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<sst xmlns="http://schemas.openxmlformats.org/spreadsheetml/2006/main" count="450" uniqueCount="312">
  <si>
    <t xml:space="preserve">[TARGET] — LBO Underwriting Model</t>
  </si>
  <si>
    <t xml:space="preserve">Target / transaction:</t>
  </si>
  <si>
    <t xml:space="preserve">[Name]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</si>
  <si>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</si>
  <si>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</si>
  <si>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</si>
  <si>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</si>
  <si>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</si>
  <si>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2024-03-13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</si>
  <si>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</si>
  <si>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</si>
  <si>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</si>
  <si>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</si>
  <si>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</si>
  <si>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</si>
  <si>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</si>
  <si>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</si>
  <si>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</si>
  <si>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</si>
  <si>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</si>
  <si>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</si>
  <si>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</si>
  <si>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</si>
  <si>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</si>
  <si>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</si>
  <si>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</si>
  <si>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</si>
  <si>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</si>
  <si>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</si>
  <si>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</si>
  <si>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</si>
  <si>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</si>
  <si>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</si>
  <si>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</si>
  <si>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</si>
  <si>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</si>
  <si>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</si>
  <si>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</si>
  <si>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</si>
  <si>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</si>
  <si>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</si>
  <si>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</si>
  <si>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</si>
  <si>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</si>
  <si>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</si>
  <si>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</si>
  <si>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</si>
  <si>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</si>
  <si>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</si>
  <si>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</si>
  <si>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</si>
  <si>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</si>
  <si>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</si>
  <si>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</si>
  <si>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</si>
  <si>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</si>
  <si>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</si>
  <si>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</si>
  <si>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</si>
  <si>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</si>
  <si>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</si>
  <si>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</si>
  <si>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</si>
  <si>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</si>
  <si>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</si>
  <si>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</si>
  <si>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</si>
  <si>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</si>
  <si>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</si>
  <si>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</si>
  <si>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</si>
  <si>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</si>
  <si>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</si>
  <si>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</si>
  <si>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</si>
  <si>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</si>
  <si>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</si>
  <si>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</si>
  <si>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</si>
  <si>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</si>
  <si>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</si>
  <si>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</si>
  <si>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</si>
  <si>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</si>
  <si>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</si>
  <si>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</si>
  <si>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</si>
  <si>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</si>
  <si>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</si>
  <si>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</si>
  <si>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</si>
  <si>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</si>
  <si>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</si>
  <si>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</si>
  <si>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</si>
  <si>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</si>
  <si>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</si>
  <si>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</si>
  <si>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</si>
  <si>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</si>
  <si>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</si>
  <si>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</si>
  <si>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</si>
  <si>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</si>
  <si>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</si>
  <si>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</si>
  <si>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</si>
  <si>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</si>
  <si>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</si>
  <si>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</si>
  <si>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</si>
  <si>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</si>
  <si>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</si>
  <si>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</si>
  <si>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</si>
  <si>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</si>
  <si>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</si>
  <si>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</si>
  <si>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</si>
  <si>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</si>
  <si>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</si>
  <si>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</si>
  <si>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</si>
  <si>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</si>
  <si>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</si>
  <si>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</si>
  <si>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</si>
  <si>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</si>
  <si>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</si>
  <si>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</si>
  <si>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</si>
  <si>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</si>
  <si>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</si>
  <si>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</si>
  <si>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</si>
  <si>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</si>
  <si>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</si>
  <si>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</si>
  <si>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</si>
  <si>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</si>
  <si>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</si>
  <si>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</si>
  <si>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</si>
  <si>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</si>
  <si>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</si>
  <si>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</si>
  <si>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</si>
  <si>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</si>
  <si>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</si>
  <si>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</si>
  <si>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</si>
  <si>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</si>
  <si>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</si>
  <si>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</si>
  <si>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</si>
  <si>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</si>
  <si>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</si>
  <si>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</si>
  <si>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</si>
  <si>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</si>
  <si>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</si>
  <si>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</si>
  <si>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</si>
  <si>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</si>
  <si>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</si>
  <si>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</si>
  <si>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</si>
  <si>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</si>
  <si>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</si>
  <si>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</si>
  <si>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</si>
  <si>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</si>
  <si>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</si>
  <si>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</si>
  <si>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</si>
  <si>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</si>
  <si>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</si>
  <si>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</si>
  <si>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</si>
  <si>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</si>
  <si>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</si>
  <si>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</si>
  <si>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</si>
  <si>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</si>
  <si>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</si>
  <si>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</si>
  <si>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</si>
  <si>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</si>
  <si>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</si>
  <si>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</si>
  <si>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</si>
  <si>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</si>
  <si>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</si>
  <si>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</si>
  <si>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</si>
  <si>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</si>
  <si>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</si>
  <si>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</si>
  <si>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</si>
  <si>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</si>
  <si>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</si>
  <si>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</si>
  <si>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</si>
  <si>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</si>
  <si>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</si>
  <si>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</si>
  <si>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</si>
  <si>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</si>
  <si>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</si>
  <si>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</si>
  <si>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</si>
  <si>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</si>
  <si>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</si>
  <si>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</si>
  <si>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</si>
  <si>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</si>
  <si>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</si>
  <si>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</si>
  <si>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</si>
  <si>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</si>
  <si>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</si>
  <si>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</si>
  <si>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</si>
  <si>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</si>
  <si>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</si>
  <si>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</si>
  <si>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</si>
  <si>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</si>
  <si>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</si>
  <si>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</si>
  <si>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</si>
  <si>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</si>
  <si>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</si>
  <si>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</si>
  <si>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</si>
  <si>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</si>
  <si>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</si>
  <si>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</si>
  <si>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</si>
  <si>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</si>
  <si>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</si>
  <si>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</si>
  <si>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</si>
  <si>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</si>
  <si>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</si>
  <si>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</si>
  <si>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</si>
  <si>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</si>
  <si>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</si>
  <si>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</si>
  <si>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</si>
  <si>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</si>
  <si>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</si>
  <si>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</si>
  <si>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</si>
  <si>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</si>
  <si>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</si>
  <si>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</si>
  <si>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</si>
  <si>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</si>
  <si>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</si>
  <si>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</si>
  <si>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</si>
  <si>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</si>
  <si>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</si>
  <si>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</si>
  <si>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</si>
  <si>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</si>
  <si>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</si>
  <si>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</si>
  <si>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</si>
  <si>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</si>
  <si>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</si>
  <si>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</si>
  <si>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</si>
  <si>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</si>
  <si>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</si>
  <si>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</si>
  <si>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</si>
  <si>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</si>
  <si>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</si>
  <si>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</si>
  <si>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</si>
  <si>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</si>
  <si>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</si>
  <si>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</si>
  <si>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</si>
  <si>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</si>
  <si>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</si>
  <si>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</si>
  <si>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</si>
  <si>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</si>
  <si>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</si>
  <si>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</si>
  <si>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</si>
  <si>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Home Depot 2023 Form 10-K</t>
  </si>
  <si>
    <t xml:space="preserve">https://www.sec.gov/Archives/edgar/data/354950/000035495024000062/hd-20240128.htm</t>
  </si>
  <si>
    <t xml:space="preserve">U.S. SEC; frozen curated observation as of case date</t>
  </si>
  <si>
    <t xml:space="preserve">Frozen source snapshot</t>
  </si>
  <si>
    <t xml:space="preserve">repo://03_Private_Equity/sources/snapshots/pe-public-home-depot-2023.json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</si>
  <si>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</si>
  <si>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</si>
  <si>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</si>
  <si>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</si>
  <si>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</si>
  <si>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</si>
  <si>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</si>
  <si>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</si>
  <si>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</si>
  <si>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pe-public-home-depot-2023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</si>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</sst>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4" t="s">
        <v>6</v>
      </c>
    </row>
    <row r="9" customFormat="false" ht="15" hidden="false" customHeight="true" outlineLevel="0" collapsed="false">
      <c r="B9" s="3" t="s">
        <v>10</v>
      </c>
      <c r="C9" s="5" t="s">
        <v>11</v>
      </c>
    </row>
    <row r="10" customFormat="false" ht="15" hidden="false" customHeight="true" outlineLevel="0" collapsed="false">
      <c r="B10" s="3" t="s">
        <v>12</v>
      </c>
      <c r="C10" s="4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110</v>
      </c>
      <c r="D6" s="1" t="s">
        <v>114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115</v>
      </c>
      <c r="C7" s="1" t="s">
        <v>116</v>
      </c>
      <c r="D7" s="1" t="s">
        <v>117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118</v>
      </c>
      <c r="C8" s="1" t="s">
        <v>119</v>
      </c>
      <c r="D8" s="1" t="s">
        <v>120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122</v>
      </c>
      <c r="C4" s="16" t="s">
        <v>11</v>
      </c>
      <c r="D4" s="16" t="s">
        <v>123</v>
      </c>
      <c r="E4" s="16" t="s">
        <v>124</v>
      </c>
      <c r="F4" s="16" t="s">
        <v>125</v>
      </c>
    </row>
    <row r="5" customFormat="false" ht="15" hidden="false" customHeight="true" outlineLevel="0" collapsed="false">
      <c r="B5" s="1" t="s">
        <v>126</v>
      </c>
      <c r="C5" s="17" t="n">
        <v>152669</v>
      </c>
      <c r="D5" s="18" t="n">
        <v>600</v>
      </c>
      <c r="E5" s="19" t="n">
        <f aca="false">IF(Cover!$C$9="Downside",D5,C5)</f>
        <v>152669</v>
      </c>
      <c r="F5" s="1" t="s">
        <v>127</v>
      </c>
    </row>
    <row r="6" customFormat="false" ht="15" hidden="false" customHeight="true" outlineLevel="0" collapsed="false">
      <c r="B6" s="1" t="s">
        <v>128</v>
      </c>
      <c r="C6" s="20" t="n">
        <v>0.153</v>
      </c>
      <c r="D6" s="21" t="n">
        <v>0.17</v>
      </c>
      <c r="E6" s="22" t="n">
        <f aca="false">IF(Cover!$C$9="Downside",D6,C6)</f>
        <v>0.153</v>
      </c>
      <c r="F6" s="1" t="s">
        <v>129</v>
      </c>
    </row>
    <row r="7" customFormat="false" ht="15" hidden="false" customHeight="true" outlineLevel="0" collapsed="false">
      <c r="B7" s="1" t="s">
        <v>130</v>
      </c>
      <c r="C7" s="20" t="n">
        <v>-0.03</v>
      </c>
      <c r="D7" s="21" t="n">
        <v>-0.02</v>
      </c>
      <c r="E7" s="22" t="n">
        <f aca="false">IF(Cover!$C$9="Downside",D7,C7)</f>
        <v>-0.03</v>
      </c>
      <c r="F7" s="1" t="s">
        <v>129</v>
      </c>
    </row>
    <row r="8" customFormat="false" ht="15" hidden="false" customHeight="true" outlineLevel="0" collapsed="false">
      <c r="B8" s="1" t="s">
        <v>131</v>
      </c>
      <c r="C8" s="23" t="n">
        <v>0.005</v>
      </c>
      <c r="D8" s="23" t="n">
        <v>-0.003</v>
      </c>
      <c r="E8" s="24" t="n">
        <f aca="false">IF(Cover!$C$9="Downside",D8,C8)</f>
        <v>0.005</v>
      </c>
      <c r="F8" s="1" t="s">
        <v>132</v>
      </c>
    </row>
    <row r="9" customFormat="false" ht="15" hidden="false" customHeight="true" outlineLevel="0" collapsed="false">
      <c r="B9" s="1" t="s">
        <v>133</v>
      </c>
      <c r="C9" s="21" t="n">
        <v>0.025</v>
      </c>
      <c r="D9" s="21" t="n">
        <v>0.025</v>
      </c>
      <c r="E9" s="22" t="n">
        <f aca="false">IF(Cover!$C$9="Downside",D9,C9)</f>
        <v>0.025</v>
      </c>
      <c r="F9" s="1" t="s">
        <v>129</v>
      </c>
    </row>
    <row r="10" customFormat="false" ht="15" hidden="false" customHeight="true" outlineLevel="0" collapsed="false">
      <c r="B10" s="1" t="s">
        <v>134</v>
      </c>
      <c r="C10" s="21" t="n">
        <v>0.035</v>
      </c>
      <c r="D10" s="21" t="n">
        <v>0.045</v>
      </c>
      <c r="E10" s="22" t="n">
        <f aca="false">IF(Cover!$C$9="Downside",D10,C10)</f>
        <v>0.035</v>
      </c>
      <c r="F10" s="1" t="s">
        <v>129</v>
      </c>
    </row>
    <row r="11" customFormat="false" ht="15" hidden="false" customHeight="true" outlineLevel="0" collapsed="false">
      <c r="B11" s="1" t="s">
        <v>135</v>
      </c>
      <c r="C11" s="21" t="n">
        <v>0.08</v>
      </c>
      <c r="D11" s="21" t="n">
        <v>0.1</v>
      </c>
      <c r="E11" s="22" t="n">
        <f aca="false">IF(Cover!$C$9="Downside",D11,C11)</f>
        <v>0.08</v>
      </c>
      <c r="F11" s="1" t="s">
        <v>129</v>
      </c>
    </row>
    <row r="12" customFormat="false" ht="15" hidden="false" customHeight="true" outlineLevel="0" collapsed="false">
      <c r="B12" s="1" t="s">
        <v>136</v>
      </c>
      <c r="C12" s="21" t="n">
        <v>0.25</v>
      </c>
      <c r="D12" s="21" t="n">
        <v>0.2</v>
      </c>
      <c r="E12" s="22" t="n">
        <f aca="false">IF(Cover!$C$9="Downside",D12,C12)</f>
        <v>0.25</v>
      </c>
      <c r="F12" s="1" t="s">
        <v>129</v>
      </c>
    </row>
    <row r="13" customFormat="false" ht="15" hidden="false" customHeight="true" outlineLevel="0" collapsed="false">
      <c r="B13" s="1" t="s">
        <v>137</v>
      </c>
      <c r="C13" s="25" t="n">
        <v>10</v>
      </c>
      <c r="D13" s="25" t="n">
        <v>9</v>
      </c>
      <c r="E13" s="26" t="n">
        <f aca="false">IF(Cover!$C$9="Downside",D13,C13)</f>
        <v>10</v>
      </c>
      <c r="F13" s="1" t="s">
        <v>138</v>
      </c>
    </row>
    <row r="14" customFormat="false" ht="15" hidden="false" customHeight="true" outlineLevel="0" collapsed="false">
      <c r="B14" s="1" t="s">
        <v>139</v>
      </c>
      <c r="C14" s="21" t="n">
        <v>0.02</v>
      </c>
      <c r="D14" s="21" t="n">
        <v>0.025</v>
      </c>
      <c r="E14" s="22" t="n">
        <f aca="false">IF(Cover!$C$9="Downside",D14,C14)</f>
        <v>0.02</v>
      </c>
      <c r="F14" s="1" t="s">
        <v>129</v>
      </c>
    </row>
    <row r="15" customFormat="false" ht="15" hidden="false" customHeight="true" outlineLevel="0" collapsed="false">
      <c r="B15" s="1" t="s">
        <v>140</v>
      </c>
      <c r="C15" s="18" t="n">
        <v>100</v>
      </c>
      <c r="D15" s="18" t="n">
        <v>100</v>
      </c>
      <c r="E15" s="19" t="n">
        <f aca="false">IF(Cover!$C$9="Downside",D15,C15)</f>
        <v>100</v>
      </c>
      <c r="F15" s="1" t="s">
        <v>127</v>
      </c>
    </row>
    <row r="16" customFormat="false" ht="15" hidden="false" customHeight="true" outlineLevel="0" collapsed="false">
      <c r="B16" s="1" t="s">
        <v>141</v>
      </c>
      <c r="C16" s="18" t="n">
        <v>20</v>
      </c>
      <c r="D16" s="18" t="n">
        <v>25</v>
      </c>
      <c r="E16" s="19" t="n">
        <f aca="false">IF(Cover!$C$9="Downside",D16,C16)</f>
        <v>20</v>
      </c>
      <c r="F16" s="1" t="s">
        <v>127</v>
      </c>
    </row>
    <row r="17" customFormat="false" ht="15" hidden="false" customHeight="true" outlineLevel="0" collapsed="false">
      <c r="B17" s="1" t="s">
        <v>142</v>
      </c>
      <c r="C17" s="18" t="n">
        <v>75</v>
      </c>
      <c r="D17" s="18" t="n">
        <v>75</v>
      </c>
      <c r="E17" s="19" t="n">
        <f aca="false">IF(Cover!$C$9="Downside",D17,C17)</f>
        <v>75</v>
      </c>
      <c r="F17" s="1" t="s">
        <v>127</v>
      </c>
    </row>
    <row r="18" customFormat="false" ht="15" hidden="false" customHeight="true" outlineLevel="0" collapsed="false">
      <c r="B18" s="1" t="s">
        <v>143</v>
      </c>
      <c r="C18" s="23" t="n">
        <v>0.09</v>
      </c>
      <c r="D18" s="23" t="n">
        <v>0.115</v>
      </c>
      <c r="E18" s="24" t="n">
        <f aca="false">IF(Cover!$C$9="Downside",D18,C18)</f>
        <v>0.09</v>
      </c>
      <c r="F18" s="1" t="s">
        <v>129</v>
      </c>
    </row>
    <row r="19" customFormat="false" ht="15" hidden="false" customHeight="true" outlineLevel="0" collapsed="false">
      <c r="B19" s="1" t="s">
        <v>144</v>
      </c>
      <c r="C19" s="25" t="n">
        <v>4</v>
      </c>
      <c r="D19" s="25" t="n">
        <v>3.5</v>
      </c>
      <c r="E19" s="26" t="n">
        <f aca="false">IF(Cover!$C$9="Downside",D19,C19)</f>
        <v>4</v>
      </c>
      <c r="F19" s="1" t="s">
        <v>145</v>
      </c>
    </row>
    <row r="20" customFormat="false" ht="15" hidden="false" customHeight="true" outlineLevel="0" collapsed="false">
      <c r="B20" s="1" t="s">
        <v>146</v>
      </c>
      <c r="C20" s="23" t="n">
        <v>0.085</v>
      </c>
      <c r="D20" s="23" t="n">
        <v>0.105</v>
      </c>
      <c r="E20" s="24" t="n">
        <f aca="false">IF(Cover!$C$9="Downside",D20,C20)</f>
        <v>0.085</v>
      </c>
      <c r="F20" s="1" t="s">
        <v>129</v>
      </c>
    </row>
    <row r="21" customFormat="false" ht="15" hidden="false" customHeight="true" outlineLevel="0" collapsed="false">
      <c r="B21" s="1" t="s">
        <v>147</v>
      </c>
      <c r="C21" s="21" t="n">
        <v>0.01</v>
      </c>
      <c r="D21" s="21" t="n">
        <v>0.01</v>
      </c>
      <c r="E21" s="22" t="n">
        <f aca="false">IF(Cover!$C$9="Downside",D21,C21)</f>
        <v>0.01</v>
      </c>
      <c r="F21" s="1" t="s">
        <v>148</v>
      </c>
    </row>
    <row r="22" customFormat="false" ht="15" hidden="false" customHeight="true" outlineLevel="0" collapsed="false">
      <c r="B22" s="1" t="s">
        <v>149</v>
      </c>
      <c r="C22" s="25" t="n">
        <v>1.5</v>
      </c>
      <c r="D22" s="25" t="n">
        <v>1</v>
      </c>
      <c r="E22" s="26" t="n">
        <f aca="false">IF(Cover!$C$9="Downside",D22,C22)</f>
        <v>1.5</v>
      </c>
      <c r="F22" s="1" t="s">
        <v>145</v>
      </c>
    </row>
    <row r="23" customFormat="false" ht="15" hidden="false" customHeight="true" outlineLevel="0" collapsed="false">
      <c r="B23" s="1" t="s">
        <v>150</v>
      </c>
      <c r="C23" s="23" t="n">
        <v>0.11</v>
      </c>
      <c r="D23" s="23" t="n">
        <v>0.13</v>
      </c>
      <c r="E23" s="24" t="n">
        <f aca="false">IF(Cover!$C$9="Downside",D23,C23)</f>
        <v>0.11</v>
      </c>
      <c r="F23" s="1" t="s">
        <v>129</v>
      </c>
    </row>
    <row r="24" customFormat="false" ht="15" hidden="false" customHeight="true" outlineLevel="0" collapsed="false">
      <c r="B24" s="1" t="s">
        <v>151</v>
      </c>
      <c r="C24" s="23" t="n">
        <v>0.03</v>
      </c>
      <c r="D24" s="23" t="n">
        <v>0.05</v>
      </c>
      <c r="E24" s="24" t="n">
        <f aca="false">IF(Cover!$C$9="Downside",D24,C24)</f>
        <v>0.03</v>
      </c>
      <c r="F24" s="1" t="s">
        <v>129</v>
      </c>
    </row>
    <row r="25" customFormat="false" ht="15" hidden="false" customHeight="true" outlineLevel="0" collapsed="false">
      <c r="B25" s="1" t="s">
        <v>152</v>
      </c>
      <c r="C25" s="21" t="n">
        <v>0.75</v>
      </c>
      <c r="D25" s="21" t="n">
        <v>0.5</v>
      </c>
      <c r="E25" s="22" t="n">
        <f aca="false">IF(Cover!$C$9="Downside",D25,C25)</f>
        <v>0.75</v>
      </c>
      <c r="F25" s="1" t="s">
        <v>153</v>
      </c>
    </row>
    <row r="26" customFormat="false" ht="15" hidden="false" customHeight="true" outlineLevel="0" collapsed="false">
      <c r="B26" s="1" t="s">
        <v>154</v>
      </c>
      <c r="C26" s="25" t="n">
        <v>7</v>
      </c>
      <c r="D26" s="25" t="n">
        <v>6.5</v>
      </c>
      <c r="E26" s="26" t="n">
        <f aca="false">IF(Cover!$C$9="Downside",D26,C26)</f>
        <v>7</v>
      </c>
      <c r="F26" s="1" t="s">
        <v>138</v>
      </c>
    </row>
    <row r="27" customFormat="false" ht="15" hidden="false" customHeight="true" outlineLevel="0" collapsed="false">
      <c r="B27" s="1" t="s">
        <v>155</v>
      </c>
      <c r="C27" s="25" t="n">
        <v>1.75</v>
      </c>
      <c r="D27" s="25" t="n">
        <v>1.5</v>
      </c>
      <c r="E27" s="26" t="n">
        <f aca="false">IF(Cover!$C$9="Downside",D27,C27)</f>
        <v>1.75</v>
      </c>
      <c r="F27" s="1" t="s">
        <v>138</v>
      </c>
    </row>
    <row r="28" customFormat="false" ht="15" hidden="false" customHeight="true" outlineLevel="0" collapsed="false">
      <c r="B28" s="1" t="s">
        <v>156</v>
      </c>
      <c r="C28" s="25" t="n">
        <v>10</v>
      </c>
      <c r="D28" s="25" t="n">
        <v>8</v>
      </c>
      <c r="E28" s="26" t="n">
        <f aca="false">IF(Cover!$C$9="Downside",D28,C28)</f>
        <v>10</v>
      </c>
      <c r="F28" s="1" t="s">
        <v>138</v>
      </c>
    </row>
    <row r="29" customFormat="false" ht="15" hidden="false" customHeight="true" outlineLevel="0" collapsed="false">
      <c r="B29" s="1" t="s">
        <v>157</v>
      </c>
      <c r="C29" s="27" t="n">
        <v>5</v>
      </c>
      <c r="D29" s="27" t="n">
        <v>5</v>
      </c>
      <c r="E29" s="28" t="n">
        <f aca="false">IF(Cover!$C$9="Downside",D29,C29)</f>
        <v>5</v>
      </c>
      <c r="F29" s="1" t="s">
        <v>158</v>
      </c>
    </row>
    <row r="30" customFormat="false" ht="15" hidden="false" customHeight="true" outlineLevel="0" collapsed="false">
      <c r="B30" s="1" t="s">
        <v>159</v>
      </c>
      <c r="C30" s="21" t="n">
        <v>0.1</v>
      </c>
      <c r="D30" s="21" t="n">
        <v>0.1</v>
      </c>
      <c r="E30" s="22" t="n">
        <f aca="false">IF(Cover!$C$9="Downside",D30,C30)</f>
        <v>0.1</v>
      </c>
      <c r="F30" s="1" t="s">
        <v>160</v>
      </c>
    </row>
    <row r="31" customFormat="false" ht="15" hidden="false" customHeight="true" outlineLevel="0" collapsed="false">
      <c r="B31" s="1" t="s">
        <v>161</v>
      </c>
      <c r="C31" s="21" t="n">
        <v>0.08</v>
      </c>
      <c r="D31" s="21" t="n">
        <v>0.08</v>
      </c>
      <c r="E31" s="22" t="n">
        <f aca="false">IF(Cover!$C$9="Downside",D31,C31)</f>
        <v>0.08</v>
      </c>
      <c r="F31" s="1" t="s">
        <v>129</v>
      </c>
    </row>
    <row r="32" customFormat="false" ht="15" hidden="false" customHeight="true" outlineLevel="0" collapsed="false">
      <c r="B32" s="1" t="s">
        <v>162</v>
      </c>
      <c r="C32" s="21" t="n">
        <v>0.2</v>
      </c>
      <c r="D32" s="21" t="n">
        <v>0.2</v>
      </c>
      <c r="E32" s="22" t="n">
        <f aca="false">IF(Cover!$C$9="Downside",D32,C32)</f>
        <v>0.2</v>
      </c>
      <c r="F32" s="1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166</v>
      </c>
      <c r="D4" s="16"/>
      <c r="E4" s="16" t="s">
        <v>167</v>
      </c>
      <c r="F4" s="16" t="s">
        <v>166</v>
      </c>
      <c r="G4" s="16"/>
    </row>
    <row r="5" customFormat="false" ht="15" hidden="false" customHeight="true" outlineLevel="0" collapsed="false">
      <c r="B5" s="1" t="s">
        <v>168</v>
      </c>
      <c r="C5" s="19" t="n">
        <f aca="false">Assumptions!E5*Assumptions!E6*Assumptions!E13</f>
        <v>233583.57</v>
      </c>
      <c r="E5" s="1" t="s">
        <v>169</v>
      </c>
      <c r="F5" s="18" t="n">
        <v>0</v>
      </c>
    </row>
    <row r="6" customFormat="false" ht="15" hidden="false" customHeight="true" outlineLevel="0" collapsed="false">
      <c r="B6" s="1" t="s">
        <v>170</v>
      </c>
      <c r="C6" s="19" t="n">
        <f aca="false">Assumptions!E15</f>
        <v>100</v>
      </c>
      <c r="E6" s="1" t="s">
        <v>171</v>
      </c>
      <c r="F6" s="19" t="n">
        <f aca="false">Assumptions!E5*Assumptions!E6*Assumptions!E19</f>
        <v>93433.428</v>
      </c>
    </row>
    <row r="7" customFormat="false" ht="15" hidden="false" customHeight="true" outlineLevel="0" collapsed="false">
      <c r="B7" s="1" t="s">
        <v>172</v>
      </c>
      <c r="C7" s="19" t="n">
        <f aca="false">C5*Assumptions!E14</f>
        <v>4671.6714</v>
      </c>
      <c r="E7" s="1" t="s">
        <v>173</v>
      </c>
      <c r="F7" s="19" t="n">
        <f aca="false">Assumptions!E5*Assumptions!E6*Assumptions!E22</f>
        <v>35037.5355</v>
      </c>
    </row>
    <row r="8" customFormat="false" ht="15" hidden="false" customHeight="true" outlineLevel="0" collapsed="false">
      <c r="B8" s="1" t="s">
        <v>174</v>
      </c>
      <c r="C8" s="19" t="n">
        <f aca="false">Assumptions!E16</f>
        <v>20</v>
      </c>
      <c r="E8" s="1" t="s">
        <v>175</v>
      </c>
      <c r="F8" s="19" t="n">
        <f aca="false">C9-SUM(F5:F7)</f>
        <v>109904.2779</v>
      </c>
    </row>
    <row r="9" customFormat="false" ht="15" hidden="false" customHeight="true" outlineLevel="0" collapsed="false">
      <c r="B9" s="29" t="s">
        <v>176</v>
      </c>
      <c r="C9" s="30" t="n">
        <f aca="false">SUM(C5:C8)</f>
        <v>238375.2414</v>
      </c>
      <c r="E9" s="29" t="s">
        <v>177</v>
      </c>
      <c r="F9" s="30" t="n">
        <f aca="false">SUM(F5:F8)</f>
        <v>238375.2414</v>
      </c>
    </row>
    <row r="10" customFormat="false" ht="15" hidden="false" customHeight="true" outlineLevel="0" collapsed="false">
      <c r="E10" s="1" t="s">
        <v>178</v>
      </c>
      <c r="F10" s="19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189</v>
      </c>
      <c r="C5" s="19" t="n">
        <f aca="false">Assumptions!E5</f>
        <v>152669</v>
      </c>
      <c r="D5" s="19" t="n">
        <f aca="false">C5*(1+Assumptions!$E$7)</f>
        <v>148088.93</v>
      </c>
      <c r="E5" s="19" t="n">
        <f aca="false">D5*(1+Assumptions!$E$7)</f>
        <v>143646.2621</v>
      </c>
      <c r="F5" s="19" t="n">
        <f aca="false">E5*(1+Assumptions!$E$7)</f>
        <v>139336.874237</v>
      </c>
      <c r="G5" s="19" t="n">
        <f aca="false">F5*(1+Assumptions!$E$7)</f>
        <v>135156.76800989</v>
      </c>
      <c r="H5" s="19" t="n">
        <f aca="false">G5*(1+Assumptions!$E$7)</f>
        <v>131102.064969593</v>
      </c>
      <c r="I5" s="19" t="n">
        <f aca="false">H5*(1+Assumptions!$E$7)</f>
        <v>127169.003020505</v>
      </c>
      <c r="J5" s="19" t="n">
        <f aca="false">I5*(1+Assumptions!$E$7)</f>
        <v>123353.93292989</v>
      </c>
    </row>
    <row r="6" customFormat="false" ht="15" hidden="false" customHeight="true" outlineLevel="0" collapsed="false">
      <c r="B6" s="1" t="s">
        <v>190</v>
      </c>
      <c r="D6" s="22" t="n">
        <f aca="false">IFERROR(D5/C5-1,0)</f>
        <v>-0.03</v>
      </c>
      <c r="E6" s="22" t="n">
        <f aca="false">IFERROR(E5/D5-1,0)</f>
        <v>-0.03</v>
      </c>
      <c r="F6" s="22" t="n">
        <f aca="false">IFERROR(F5/E5-1,0)</f>
        <v>-0.03</v>
      </c>
      <c r="G6" s="22" t="n">
        <f aca="false">IFERROR(G5/F5-1,0)</f>
        <v>-0.0299999999999999</v>
      </c>
      <c r="H6" s="22" t="n">
        <f aca="false">IFERROR(H5/G5-1,0)</f>
        <v>-0.03</v>
      </c>
      <c r="I6" s="22" t="n">
        <f aca="false">IFERROR(I5/H5-1,0)</f>
        <v>-0.03</v>
      </c>
      <c r="J6" s="22" t="n">
        <f aca="false">IFERROR(J5/I5-1,0)</f>
        <v>-0.03</v>
      </c>
    </row>
    <row r="7" customFormat="false" ht="15" hidden="false" customHeight="true" outlineLevel="0" collapsed="false">
      <c r="B7" s="1" t="s">
        <v>191</v>
      </c>
      <c r="C7" s="22" t="n">
        <f aca="false">Assumptions!E6</f>
        <v>0.153</v>
      </c>
      <c r="D7" s="22" t="n">
        <f aca="false">MAX(0,MIN(0.6,C7+Assumptions!$E$8))</f>
        <v>0.158</v>
      </c>
      <c r="E7" s="22" t="n">
        <f aca="false">MAX(0,MIN(0.6,D7+Assumptions!$E$8))</f>
        <v>0.163</v>
      </c>
      <c r="F7" s="22" t="n">
        <f aca="false">MAX(0,MIN(0.6,E7+Assumptions!$E$8))</f>
        <v>0.168</v>
      </c>
      <c r="G7" s="22" t="n">
        <f aca="false">MAX(0,MIN(0.6,F7+Assumptions!$E$8))</f>
        <v>0.173</v>
      </c>
      <c r="H7" s="22" t="n">
        <f aca="false">MAX(0,MIN(0.6,G7+Assumptions!$E$8))</f>
        <v>0.178</v>
      </c>
      <c r="I7" s="22" t="n">
        <f aca="false">MAX(0,MIN(0.6,H7+Assumptions!$E$8))</f>
        <v>0.183</v>
      </c>
      <c r="J7" s="22" t="n">
        <f aca="false">MAX(0,MIN(0.6,I7+Assumptions!$E$8))</f>
        <v>0.188</v>
      </c>
    </row>
    <row r="8" customFormat="false" ht="15" hidden="false" customHeight="true" outlineLevel="0" collapsed="false">
      <c r="B8" s="29" t="s">
        <v>192</v>
      </c>
      <c r="C8" s="30" t="n">
        <f aca="false">C5*C7</f>
        <v>23358.357</v>
      </c>
      <c r="D8" s="30" t="n">
        <f aca="false">D5*D7</f>
        <v>23398.05094</v>
      </c>
      <c r="E8" s="30" t="n">
        <f aca="false">E5*E7</f>
        <v>23414.3407223</v>
      </c>
      <c r="F8" s="30" t="n">
        <f aca="false">F5*F7</f>
        <v>23408.594871816</v>
      </c>
      <c r="G8" s="30" t="n">
        <f aca="false">G5*G7</f>
        <v>23382.120865711</v>
      </c>
      <c r="H8" s="30" t="n">
        <f aca="false">H5*H7</f>
        <v>23336.1675645876</v>
      </c>
      <c r="I8" s="30" t="n">
        <f aca="false">I5*I7</f>
        <v>23271.9275527525</v>
      </c>
      <c r="J8" s="30" t="n">
        <f aca="false">J5*J7</f>
        <v>23190.5393908194</v>
      </c>
    </row>
    <row r="9" customFormat="false" ht="15" hidden="false" customHeight="true" outlineLevel="0" collapsed="false">
      <c r="B9" s="1" t="s">
        <v>193</v>
      </c>
      <c r="C9" s="19" t="n">
        <f aca="false">C5*Assumptions!E9</f>
        <v>3816.725</v>
      </c>
      <c r="D9" s="19" t="n">
        <f aca="false">D5*Assumptions!$E$9</f>
        <v>3702.22325</v>
      </c>
      <c r="E9" s="19" t="n">
        <f aca="false">E5*Assumptions!$E$9</f>
        <v>3591.1565525</v>
      </c>
      <c r="F9" s="19" t="n">
        <f aca="false">F5*Assumptions!$E$9</f>
        <v>3483.421855925</v>
      </c>
      <c r="G9" s="19" t="n">
        <f aca="false">G5*Assumptions!$E$9</f>
        <v>3378.91920024725</v>
      </c>
      <c r="H9" s="19" t="n">
        <f aca="false">H5*Assumptions!$E$9</f>
        <v>3277.55162423983</v>
      </c>
      <c r="I9" s="19" t="n">
        <f aca="false">I5*Assumptions!$E$9</f>
        <v>3179.22507551264</v>
      </c>
      <c r="J9" s="19" t="n">
        <f aca="false">J5*Assumptions!$E$9</f>
        <v>3083.84832324726</v>
      </c>
    </row>
    <row r="10" customFormat="false" ht="15" hidden="false" customHeight="true" outlineLevel="0" collapsed="false">
      <c r="B10" s="1" t="s">
        <v>194</v>
      </c>
      <c r="C10" s="19" t="n">
        <f aca="false">C8-C9</f>
        <v>19541.632</v>
      </c>
      <c r="D10" s="19" t="n">
        <f aca="false">D8-D9</f>
        <v>19695.82769</v>
      </c>
      <c r="E10" s="19" t="n">
        <f aca="false">E8-E9</f>
        <v>19823.1841698</v>
      </c>
      <c r="F10" s="19" t="n">
        <f aca="false">F8-F9</f>
        <v>19925.173015891</v>
      </c>
      <c r="G10" s="19" t="n">
        <f aca="false">G8-G9</f>
        <v>20003.2016654637</v>
      </c>
      <c r="H10" s="19" t="n">
        <f aca="false">H8-H9</f>
        <v>20058.6159403478</v>
      </c>
      <c r="I10" s="19" t="n">
        <f aca="false">I8-I9</f>
        <v>20092.7024772399</v>
      </c>
      <c r="J10" s="19" t="n">
        <f aca="false">J8-J9</f>
        <v>20106.6910675721</v>
      </c>
    </row>
    <row r="11" customFormat="false" ht="15" hidden="false" customHeight="true" outlineLevel="0" collapsed="false">
      <c r="B11" s="1" t="s">
        <v>195</v>
      </c>
      <c r="D11" s="19" t="n">
        <f aca="false">'Debt Schedule'!D7</f>
        <v>11795.970285</v>
      </c>
      <c r="E11" s="19" t="n">
        <f aca="false">'Debt Schedule'!E7</f>
        <v>11505.1319040023</v>
      </c>
      <c r="F11" s="19" t="n">
        <f aca="false">'Debt Schedule'!F7</f>
        <v>11165.6387475201</v>
      </c>
      <c r="G11" s="19" t="n">
        <f aca="false">'Debt Schedule'!G7</f>
        <v>10793.1016843274</v>
      </c>
      <c r="H11" s="19" t="n">
        <f aca="false">'Debt Schedule'!H7</f>
        <v>10387.7988438072</v>
      </c>
      <c r="I11" s="19" t="n">
        <f aca="false">'Debt Schedule'!I7</f>
        <v>9948.97027364607</v>
      </c>
      <c r="J11" s="19" t="n">
        <f aca="false">'Debt Schedule'!J7</f>
        <v>9475.64867775454</v>
      </c>
    </row>
    <row r="12" customFormat="false" ht="15" hidden="false" customHeight="true" outlineLevel="0" collapsed="false">
      <c r="B12" s="1" t="s">
        <v>196</v>
      </c>
      <c r="D12" s="19" t="n">
        <f aca="false">D10-D11</f>
        <v>7899.857405</v>
      </c>
      <c r="E12" s="19" t="n">
        <f aca="false">E10-E11</f>
        <v>8318.05226579765</v>
      </c>
      <c r="F12" s="19" t="n">
        <f aca="false">F10-F11</f>
        <v>8759.5342683709</v>
      </c>
      <c r="G12" s="19" t="n">
        <f aca="false">G10-G11</f>
        <v>9210.09998113632</v>
      </c>
      <c r="H12" s="19" t="n">
        <f aca="false">H10-H11</f>
        <v>9670.81709654059</v>
      </c>
      <c r="I12" s="19" t="n">
        <f aca="false">I10-I11</f>
        <v>10143.7322035938</v>
      </c>
      <c r="J12" s="19" t="n">
        <f aca="false">J10-J11</f>
        <v>10631.0423898176</v>
      </c>
    </row>
    <row r="13" customFormat="false" ht="15" hidden="false" customHeight="true" outlineLevel="0" collapsed="false">
      <c r="B13" s="1" t="s">
        <v>197</v>
      </c>
      <c r="D13" s="19" t="n">
        <f aca="false">MAX(0,D12*Assumptions!$E$12)</f>
        <v>1974.96435125</v>
      </c>
      <c r="E13" s="19" t="n">
        <f aca="false">MAX(0,E12*Assumptions!$E$12)</f>
        <v>2079.51306644941</v>
      </c>
      <c r="F13" s="19" t="n">
        <f aca="false">MAX(0,F12*Assumptions!$E$12)</f>
        <v>2189.88356709272</v>
      </c>
      <c r="G13" s="19" t="n">
        <f aca="false">MAX(0,G12*Assumptions!$E$12)</f>
        <v>2302.52499528408</v>
      </c>
      <c r="H13" s="19" t="n">
        <f aca="false">MAX(0,H12*Assumptions!$E$12)</f>
        <v>2417.70427413515</v>
      </c>
      <c r="I13" s="19" t="n">
        <f aca="false">MAX(0,I12*Assumptions!$E$12)</f>
        <v>2535.93305089845</v>
      </c>
      <c r="J13" s="19" t="n">
        <f aca="false">MAX(0,J12*Assumptions!$E$12)</f>
        <v>2657.7605974544</v>
      </c>
    </row>
    <row r="14" customFormat="false" ht="15" hidden="false" customHeight="true" outlineLevel="0" collapsed="false">
      <c r="B14" s="1" t="s">
        <v>198</v>
      </c>
      <c r="D14" s="19" t="n">
        <f aca="false">D12-D13</f>
        <v>5924.89305375</v>
      </c>
      <c r="E14" s="19" t="n">
        <f aca="false">E12-E13</f>
        <v>6238.53919934824</v>
      </c>
      <c r="F14" s="19" t="n">
        <f aca="false">F12-F13</f>
        <v>6569.65070127817</v>
      </c>
      <c r="G14" s="19" t="n">
        <f aca="false">G12-G13</f>
        <v>6907.57498585224</v>
      </c>
      <c r="H14" s="19" t="n">
        <f aca="false">H12-H13</f>
        <v>7253.11282240544</v>
      </c>
      <c r="I14" s="19" t="n">
        <f aca="false">I12-I13</f>
        <v>7607.79915269535</v>
      </c>
      <c r="J14" s="19" t="n">
        <f aca="false">J12-J13</f>
        <v>7973.28179236319</v>
      </c>
    </row>
    <row r="15" customFormat="false" ht="15" hidden="false" customHeight="true" outlineLevel="0" collapsed="false">
      <c r="B15" s="1" t="s">
        <v>199</v>
      </c>
      <c r="D15" s="19" t="n">
        <f aca="false">D5*Assumptions!$E$10</f>
        <v>5183.11255</v>
      </c>
      <c r="E15" s="19" t="n">
        <f aca="false">E5*Assumptions!$E$10</f>
        <v>5027.6191735</v>
      </c>
      <c r="F15" s="19" t="n">
        <f aca="false">F5*Assumptions!$E$10</f>
        <v>4876.790598295</v>
      </c>
      <c r="G15" s="19" t="n">
        <f aca="false">G5*Assumptions!$E$10</f>
        <v>4730.48688034615</v>
      </c>
      <c r="H15" s="19" t="n">
        <f aca="false">H5*Assumptions!$E$10</f>
        <v>4588.57227393577</v>
      </c>
      <c r="I15" s="19" t="n">
        <f aca="false">I5*Assumptions!$E$10</f>
        <v>4450.91510571769</v>
      </c>
      <c r="J15" s="19" t="n">
        <f aca="false">J5*Assumptions!$E$10</f>
        <v>4317.38765254616</v>
      </c>
    </row>
    <row r="16" customFormat="false" ht="15" hidden="false" customHeight="true" outlineLevel="0" collapsed="false">
      <c r="B16" s="1" t="s">
        <v>200</v>
      </c>
      <c r="C16" s="19" t="n">
        <f aca="false">C5*Assumptions!E11</f>
        <v>12213.52</v>
      </c>
      <c r="D16" s="19" t="n">
        <f aca="false">D5*Assumptions!$E$11</f>
        <v>11847.1144</v>
      </c>
      <c r="E16" s="19" t="n">
        <f aca="false">E5*Assumptions!$E$11</f>
        <v>11491.700968</v>
      </c>
      <c r="F16" s="19" t="n">
        <f aca="false">F5*Assumptions!$E$11</f>
        <v>11146.94993896</v>
      </c>
      <c r="G16" s="19" t="n">
        <f aca="false">G5*Assumptions!$E$11</f>
        <v>10812.5414407912</v>
      </c>
      <c r="H16" s="19" t="n">
        <f aca="false">H5*Assumptions!$E$11</f>
        <v>10488.1651975675</v>
      </c>
      <c r="I16" s="19" t="n">
        <f aca="false">I5*Assumptions!$E$11</f>
        <v>10173.5202416404</v>
      </c>
      <c r="J16" s="19" t="n">
        <f aca="false">J5*Assumptions!$E$11</f>
        <v>9868.31463439123</v>
      </c>
    </row>
    <row r="17" customFormat="false" ht="15" hidden="false" customHeight="true" outlineLevel="0" collapsed="false">
      <c r="B17" s="1" t="s">
        <v>201</v>
      </c>
      <c r="D17" s="19" t="n">
        <f aca="false">D16-C16</f>
        <v>-366.4056</v>
      </c>
      <c r="E17" s="19" t="n">
        <f aca="false">E16-D16</f>
        <v>-355.413432000001</v>
      </c>
      <c r="F17" s="19" t="n">
        <f aca="false">F16-E16</f>
        <v>-344.751029040001</v>
      </c>
      <c r="G17" s="19" t="n">
        <f aca="false">G16-F16</f>
        <v>-334.408498168799</v>
      </c>
      <c r="H17" s="19" t="n">
        <f aca="false">H16-G16</f>
        <v>-324.376243223736</v>
      </c>
      <c r="I17" s="19" t="n">
        <f aca="false">I16-H16</f>
        <v>-314.644955927024</v>
      </c>
      <c r="J17" s="19" t="n">
        <f aca="false">J16-I16</f>
        <v>-305.205607249214</v>
      </c>
    </row>
    <row r="18" customFormat="false" ht="15" hidden="false" customHeight="true" outlineLevel="0" collapsed="false">
      <c r="B18" s="29" t="s">
        <v>202</v>
      </c>
      <c r="C18" s="30"/>
      <c r="D18" s="30" t="n">
        <f aca="false">D14+D9-D15-D17</f>
        <v>4810.40935375</v>
      </c>
      <c r="E18" s="30" t="n">
        <f aca="false">E14+E9-E15-E17</f>
        <v>5157.49001034824</v>
      </c>
      <c r="F18" s="30" t="n">
        <f aca="false">F14+F9-F15-F17</f>
        <v>5521.03298794817</v>
      </c>
      <c r="G18" s="30" t="n">
        <f aca="false">G14+G9-G15-G17</f>
        <v>5890.41580392214</v>
      </c>
      <c r="H18" s="30" t="n">
        <f aca="false">H14+H9-H15-H17</f>
        <v>6266.46841593325</v>
      </c>
      <c r="I18" s="30" t="n">
        <f aca="false">I14+I9-I15-I17</f>
        <v>6650.75407841732</v>
      </c>
      <c r="J18" s="30" t="n">
        <f aca="false">J14+J9-J15-J17</f>
        <v>7044.9480703135</v>
      </c>
    </row>
    <row r="19" customFormat="false" ht="15" hidden="false" customHeight="true" outlineLevel="0" collapsed="false">
      <c r="B19" s="29" t="s">
        <v>203</v>
      </c>
      <c r="C19" s="30"/>
      <c r="D19" s="30" t="n">
        <f aca="false">D8-D13-D15-D17</f>
        <v>16606.37963875</v>
      </c>
      <c r="E19" s="30" t="n">
        <f aca="false">E8-E13-E15-E17</f>
        <v>16662.6219143506</v>
      </c>
      <c r="F19" s="30" t="n">
        <f aca="false">F8-F13-F15-F17</f>
        <v>16686.6717354683</v>
      </c>
      <c r="G19" s="30" t="n">
        <f aca="false">G8-G13-G15-G17</f>
        <v>16683.5174882495</v>
      </c>
      <c r="H19" s="30" t="n">
        <f aca="false">H8-H13-H15-H17</f>
        <v>16654.2672597404</v>
      </c>
      <c r="I19" s="30" t="n">
        <f aca="false">I8-I13-I15-I17</f>
        <v>16599.7243520634</v>
      </c>
      <c r="J19" s="30" t="n">
        <f aca="false">J8-J13-J15-J17</f>
        <v>16520.596748068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204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205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206</v>
      </c>
      <c r="C5" s="19" t="n">
        <f aca="false">Assumptions!E16</f>
        <v>20</v>
      </c>
      <c r="D5" s="19" t="n">
        <f aca="false">C13</f>
        <v>20</v>
      </c>
      <c r="E5" s="19" t="n">
        <f aca="false">D13</f>
        <v>262.254692109375</v>
      </c>
      <c r="F5" s="19" t="n">
        <f aca="false">E13</f>
        <v>299.088151403601</v>
      </c>
      <c r="G5" s="19" t="n">
        <f aca="false">F13</f>
        <v>324.111678709486</v>
      </c>
      <c r="H5" s="19" t="n">
        <f aca="false">G13</f>
        <v>348.762075164477</v>
      </c>
      <c r="I5" s="19" t="n">
        <f aca="false">H13</f>
        <v>373.806013193608</v>
      </c>
      <c r="J5" s="19" t="n">
        <f aca="false">I13</f>
        <v>399.389113225683</v>
      </c>
    </row>
    <row r="6" customFormat="false" ht="15" hidden="false" customHeight="true" outlineLevel="0" collapsed="false">
      <c r="B6" s="1" t="s">
        <v>203</v>
      </c>
      <c r="D6" s="19" t="n">
        <f aca="false">'Operating Model'!D19</f>
        <v>16606.37963875</v>
      </c>
      <c r="E6" s="19" t="n">
        <f aca="false">'Operating Model'!E19</f>
        <v>16662.6219143506</v>
      </c>
      <c r="F6" s="19" t="n">
        <f aca="false">'Operating Model'!F19</f>
        <v>16686.6717354683</v>
      </c>
      <c r="G6" s="19" t="n">
        <f aca="false">'Operating Model'!G19</f>
        <v>16683.5174882495</v>
      </c>
      <c r="H6" s="19" t="n">
        <f aca="false">'Operating Model'!H19</f>
        <v>16654.2672597404</v>
      </c>
      <c r="I6" s="19" t="n">
        <f aca="false">'Operating Model'!I19</f>
        <v>16599.7243520634</v>
      </c>
      <c r="J6" s="19" t="n">
        <f aca="false">'Operating Model'!J19</f>
        <v>16520.596748068</v>
      </c>
    </row>
    <row r="7" customFormat="false" ht="15" hidden="false" customHeight="true" outlineLevel="0" collapsed="false">
      <c r="B7" s="1" t="s">
        <v>195</v>
      </c>
      <c r="D7" s="19" t="n">
        <f aca="false">SUM(D15,D18,D23)</f>
        <v>11795.970285</v>
      </c>
      <c r="E7" s="19" t="n">
        <f aca="false">SUM(E15,E18,E23)</f>
        <v>11505.1319040023</v>
      </c>
      <c r="F7" s="19" t="n">
        <f aca="false">SUM(F15,F18,F23)</f>
        <v>11165.6387475201</v>
      </c>
      <c r="G7" s="19" t="n">
        <f aca="false">SUM(G15,G18,G23)</f>
        <v>10793.1016843274</v>
      </c>
      <c r="H7" s="19" t="n">
        <f aca="false">SUM(H15,H18,H23)</f>
        <v>10387.7988438072</v>
      </c>
      <c r="I7" s="19" t="n">
        <f aca="false">SUM(I15,I18,I23)</f>
        <v>9948.97027364607</v>
      </c>
      <c r="J7" s="19" t="n">
        <f aca="false">SUM(J15,J18,J23)</f>
        <v>9475.64867775454</v>
      </c>
    </row>
    <row r="8" customFormat="false" ht="15" hidden="false" customHeight="true" outlineLevel="0" collapsed="false">
      <c r="B8" s="1" t="s">
        <v>207</v>
      </c>
      <c r="D8" s="19" t="n">
        <f aca="false">D19</f>
        <v>934.33428</v>
      </c>
      <c r="E8" s="19" t="n">
        <f aca="false">E19</f>
        <v>934.33428</v>
      </c>
      <c r="F8" s="19" t="n">
        <f aca="false">F19</f>
        <v>934.33428</v>
      </c>
      <c r="G8" s="19" t="n">
        <f aca="false">G19</f>
        <v>934.33428</v>
      </c>
      <c r="H8" s="19" t="n">
        <f aca="false">H19</f>
        <v>934.33428</v>
      </c>
      <c r="I8" s="19" t="n">
        <f aca="false">I19</f>
        <v>934.33428</v>
      </c>
      <c r="J8" s="19" t="n">
        <f aca="false">J19</f>
        <v>934.33428</v>
      </c>
    </row>
    <row r="9" customFormat="false" ht="15" hidden="false" customHeight="true" outlineLevel="0" collapsed="false">
      <c r="B9" s="1" t="s">
        <v>208</v>
      </c>
      <c r="D9" s="19" t="n">
        <f aca="false">D5+D6-D7-D8</f>
        <v>3896.07507375</v>
      </c>
      <c r="E9" s="19" t="n">
        <f aca="false">E5+E6-E7-E8</f>
        <v>4485.41042245762</v>
      </c>
      <c r="F9" s="19" t="n">
        <f aca="false">F5+F6-F7-F8</f>
        <v>4885.78685935178</v>
      </c>
      <c r="G9" s="19" t="n">
        <f aca="false">G5+G6-G7-G8</f>
        <v>5280.19320263163</v>
      </c>
      <c r="H9" s="19" t="n">
        <f aca="false">H5+H6-H7-H8</f>
        <v>5680.89621109773</v>
      </c>
      <c r="I9" s="19" t="n">
        <f aca="false">I5+I6-I7-I8</f>
        <v>6090.22581161093</v>
      </c>
      <c r="J9" s="19" t="n">
        <f aca="false">J5+J6-J7-J8</f>
        <v>6510.00290353918</v>
      </c>
    </row>
    <row r="10" customFormat="false" ht="15" hidden="false" customHeight="true" outlineLevel="0" collapsed="false">
      <c r="B10" s="1" t="s">
        <v>209</v>
      </c>
      <c r="D10" s="19" t="n">
        <f aca="false">IF(D9&lt;Assumptions!$E$16,MIN(Assumptions!$E$17-D14,Assumptions!$E$16-D9),-MIN(D14,MAX(0,D9-Assumptions!$E$16)))</f>
        <v>-0</v>
      </c>
      <c r="E10" s="19" t="n">
        <f aca="false">IF(E9&lt;Assumptions!$E$16,MIN(Assumptions!$E$17-E14,Assumptions!$E$16-E9),-MIN(E14,MAX(0,E9-Assumptions!$E$16)))</f>
        <v>-0</v>
      </c>
      <c r="F10" s="19" t="n">
        <f aca="false">IF(F9&lt;Assumptions!$E$16,MIN(Assumptions!$E$17-F14,Assumptions!$E$16-F9),-MIN(F14,MAX(0,F9-Assumptions!$E$16)))</f>
        <v>-0</v>
      </c>
      <c r="G10" s="19" t="n">
        <f aca="false">IF(G9&lt;Assumptions!$E$16,MIN(Assumptions!$E$17-G14,Assumptions!$E$16-G9),-MIN(G14,MAX(0,G9-Assumptions!$E$16)))</f>
        <v>-0</v>
      </c>
      <c r="H10" s="19" t="n">
        <f aca="false">IF(H9&lt;Assumptions!$E$16,MIN(Assumptions!$E$17-H14,Assumptions!$E$16-H9),-MIN(H14,MAX(0,H9-Assumptions!$E$16)))</f>
        <v>-0</v>
      </c>
      <c r="I10" s="19" t="n">
        <f aca="false">IF(I9&lt;Assumptions!$E$16,MIN(Assumptions!$E$17-I14,Assumptions!$E$16-I9),-MIN(I14,MAX(0,I9-Assumptions!$E$16)))</f>
        <v>-0</v>
      </c>
      <c r="J10" s="19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210</v>
      </c>
      <c r="D11" s="19" t="n">
        <f aca="false">MIN(MAX(0,D17-D19),MAX(0,D9+D10-Assumptions!$E$16)*Assumptions!$E$25)</f>
        <v>2907.0563053125</v>
      </c>
      <c r="E11" s="19" t="n">
        <f aca="false">MIN(MAX(0,E17-E19),MAX(0,E9+E10-Assumptions!$E$16)*Assumptions!$E$25)</f>
        <v>3349.05781684321</v>
      </c>
      <c r="F11" s="19" t="n">
        <f aca="false">MIN(MAX(0,F17-F19),MAX(0,F9+F10-Assumptions!$E$16)*Assumptions!$E$25)</f>
        <v>3649.34014451383</v>
      </c>
      <c r="G11" s="19" t="n">
        <f aca="false">MIN(MAX(0,G17-G19),MAX(0,G9+G10-Assumptions!$E$16)*Assumptions!$E$25)</f>
        <v>3945.14490197372</v>
      </c>
      <c r="H11" s="19" t="n">
        <f aca="false">MIN(MAX(0,H17-H19),MAX(0,H9+H10-Assumptions!$E$16)*Assumptions!$E$25)</f>
        <v>4245.67215832329</v>
      </c>
      <c r="I11" s="19" t="n">
        <f aca="false">MIN(MAX(0,I17-I19),MAX(0,I9+I10-Assumptions!$E$16)*Assumptions!$E$25)</f>
        <v>4552.6693587082</v>
      </c>
      <c r="J11" s="19" t="n">
        <f aca="false">MIN(MAX(0,J17-J19),MAX(0,J9+J10-Assumptions!$E$16)*Assumptions!$E$25)</f>
        <v>4867.50217765439</v>
      </c>
    </row>
    <row r="12" customFormat="false" ht="15" hidden="false" customHeight="true" outlineLevel="0" collapsed="false">
      <c r="B12" s="1" t="s">
        <v>211</v>
      </c>
      <c r="D12" s="19" t="n">
        <f aca="false">MIN(MAX(0,D22+D24),MAX(0,D9+D10-D11-Assumptions!$E$16)*Assumptions!$E$25)</f>
        <v>726.764076328124</v>
      </c>
      <c r="E12" s="19" t="n">
        <f aca="false">MIN(MAX(0,E22+E24),MAX(0,E9+E10-E11-Assumptions!$E$16)*Assumptions!$E$25)</f>
        <v>837.264454210804</v>
      </c>
      <c r="F12" s="19" t="n">
        <f aca="false">MIN(MAX(0,F22+F24),MAX(0,F9+F10-F11-Assumptions!$E$16)*Assumptions!$E$25)</f>
        <v>912.335036128458</v>
      </c>
      <c r="G12" s="19" t="n">
        <f aca="false">MIN(MAX(0,G22+G24),MAX(0,G9+G10-G11-Assumptions!$E$16)*Assumptions!$E$25)</f>
        <v>986.28622549343</v>
      </c>
      <c r="H12" s="19" t="n">
        <f aca="false">MIN(MAX(0,H22+H24),MAX(0,H9+H10-H11-Assumptions!$E$16)*Assumptions!$E$25)</f>
        <v>1061.41803958082</v>
      </c>
      <c r="I12" s="19" t="n">
        <f aca="false">MIN(MAX(0,I22+I24),MAX(0,I9+I10-I11-Assumptions!$E$16)*Assumptions!$E$25)</f>
        <v>1138.16733967705</v>
      </c>
      <c r="J12" s="19" t="n">
        <f aca="false">MIN(MAX(0,J22+J24),MAX(0,J9+J10-J11-Assumptions!$E$16)*Assumptions!$E$25)</f>
        <v>1216.8755444136</v>
      </c>
    </row>
    <row r="13" customFormat="false" ht="15" hidden="false" customHeight="true" outlineLevel="0" collapsed="false">
      <c r="B13" s="29" t="s">
        <v>212</v>
      </c>
      <c r="C13" s="30" t="n">
        <f aca="false">C5</f>
        <v>20</v>
      </c>
      <c r="D13" s="30" t="n">
        <f aca="false">D9+D10-D11-D12</f>
        <v>262.254692109375</v>
      </c>
      <c r="E13" s="30" t="n">
        <f aca="false">E9+E10-E11-E12</f>
        <v>299.088151403601</v>
      </c>
      <c r="F13" s="30" t="n">
        <f aca="false">F9+F10-F11-F12</f>
        <v>324.111678709486</v>
      </c>
      <c r="G13" s="30" t="n">
        <f aca="false">G9+G10-G11-G12</f>
        <v>348.762075164477</v>
      </c>
      <c r="H13" s="30" t="n">
        <f aca="false">H9+H10-H11-H12</f>
        <v>373.806013193608</v>
      </c>
      <c r="I13" s="30" t="n">
        <f aca="false">I9+I10-I11-I12</f>
        <v>399.389113225683</v>
      </c>
      <c r="J13" s="30" t="n">
        <f aca="false">J9+J10-J11-J12</f>
        <v>425.625181471199</v>
      </c>
    </row>
    <row r="14" customFormat="false" ht="15" hidden="false" customHeight="true" outlineLevel="0" collapsed="false">
      <c r="B14" s="1" t="s">
        <v>213</v>
      </c>
      <c r="C14" s="19" t="n">
        <f aca="false">'Sources &amp; Uses'!F5</f>
        <v>0</v>
      </c>
      <c r="D14" s="19" t="n">
        <f aca="false">C16</f>
        <v>0</v>
      </c>
      <c r="E14" s="19" t="n">
        <f aca="false">D16</f>
        <v>0</v>
      </c>
      <c r="F14" s="19" t="n">
        <f aca="false">E16</f>
        <v>0</v>
      </c>
      <c r="G14" s="19" t="n">
        <f aca="false">F16</f>
        <v>0</v>
      </c>
      <c r="H14" s="19" t="n">
        <f aca="false">G16</f>
        <v>0</v>
      </c>
      <c r="I14" s="19" t="n">
        <f aca="false">H16</f>
        <v>0</v>
      </c>
      <c r="J14" s="19" t="n">
        <f aca="false">I16</f>
        <v>0</v>
      </c>
    </row>
    <row r="15" customFormat="false" ht="15" hidden="false" customHeight="true" outlineLevel="0" collapsed="false">
      <c r="B15" s="1" t="s">
        <v>214</v>
      </c>
      <c r="D15" s="19" t="n">
        <f aca="false">D14*Assumptions!$E$18</f>
        <v>0</v>
      </c>
      <c r="E15" s="19" t="n">
        <f aca="false">E14*Assumptions!$E$18</f>
        <v>0</v>
      </c>
      <c r="F15" s="19" t="n">
        <f aca="false">F14*Assumptions!$E$18</f>
        <v>0</v>
      </c>
      <c r="G15" s="19" t="n">
        <f aca="false">G14*Assumptions!$E$18</f>
        <v>0</v>
      </c>
      <c r="H15" s="19" t="n">
        <f aca="false">H14*Assumptions!$E$18</f>
        <v>0</v>
      </c>
      <c r="I15" s="19" t="n">
        <f aca="false">I14*Assumptions!$E$18</f>
        <v>0</v>
      </c>
      <c r="J15" s="19" t="n">
        <f aca="false">J14*Assumptions!$E$18</f>
        <v>0</v>
      </c>
    </row>
    <row r="16" customFormat="false" ht="15" hidden="false" customHeight="true" outlineLevel="0" collapsed="false">
      <c r="B16" s="1" t="s">
        <v>215</v>
      </c>
      <c r="C16" s="19" t="n">
        <f aca="false">C14</f>
        <v>0</v>
      </c>
      <c r="D16" s="19" t="n">
        <f aca="false">MAX(0,D14+D10)</f>
        <v>0</v>
      </c>
      <c r="E16" s="19" t="n">
        <f aca="false">MAX(0,E14+E10)</f>
        <v>0</v>
      </c>
      <c r="F16" s="19" t="n">
        <f aca="false">MAX(0,F14+F10)</f>
        <v>0</v>
      </c>
      <c r="G16" s="19" t="n">
        <f aca="false">MAX(0,G14+G10)</f>
        <v>0</v>
      </c>
      <c r="H16" s="19" t="n">
        <f aca="false">MAX(0,H14+H10)</f>
        <v>0</v>
      </c>
      <c r="I16" s="19" t="n">
        <f aca="false">MAX(0,I14+I10)</f>
        <v>0</v>
      </c>
      <c r="J16" s="19" t="n">
        <f aca="false">MAX(0,J14+J10)</f>
        <v>0</v>
      </c>
    </row>
    <row r="17" customFormat="false" ht="15" hidden="false" customHeight="true" outlineLevel="0" collapsed="false">
      <c r="B17" s="1" t="s">
        <v>216</v>
      </c>
      <c r="C17" s="19" t="n">
        <f aca="false">'Sources &amp; Uses'!F6</f>
        <v>93433.428</v>
      </c>
      <c r="D17" s="19" t="n">
        <f aca="false">C21</f>
        <v>93433.428</v>
      </c>
      <c r="E17" s="19" t="n">
        <f aca="false">D21</f>
        <v>89592.0374146875</v>
      </c>
      <c r="F17" s="19" t="n">
        <f aca="false">E21</f>
        <v>85308.6453178443</v>
      </c>
      <c r="G17" s="19" t="n">
        <f aca="false">F21</f>
        <v>80724.9708933305</v>
      </c>
      <c r="H17" s="19" t="n">
        <f aca="false">G21</f>
        <v>75845.4917113568</v>
      </c>
      <c r="I17" s="19" t="n">
        <f aca="false">H21</f>
        <v>70665.4852730335</v>
      </c>
      <c r="J17" s="19" t="n">
        <f aca="false">I21</f>
        <v>65178.4816343253</v>
      </c>
    </row>
    <row r="18" customFormat="false" ht="15" hidden="false" customHeight="true" outlineLevel="0" collapsed="false">
      <c r="B18" s="1" t="s">
        <v>217</v>
      </c>
      <c r="D18" s="19" t="n">
        <f aca="false">D17*Assumptions!$E$20</f>
        <v>7941.84138</v>
      </c>
      <c r="E18" s="19" t="n">
        <f aca="false">E17*Assumptions!$E$20</f>
        <v>7615.32318024844</v>
      </c>
      <c r="F18" s="19" t="n">
        <f aca="false">F17*Assumptions!$E$20</f>
        <v>7251.23485201677</v>
      </c>
      <c r="G18" s="19" t="n">
        <f aca="false">G17*Assumptions!$E$20</f>
        <v>6861.62252593309</v>
      </c>
      <c r="H18" s="19" t="n">
        <f aca="false">H17*Assumptions!$E$20</f>
        <v>6446.86679546533</v>
      </c>
      <c r="I18" s="19" t="n">
        <f aca="false">I17*Assumptions!$E$20</f>
        <v>6006.56624820785</v>
      </c>
      <c r="J18" s="19" t="n">
        <f aca="false">J17*Assumptions!$E$20</f>
        <v>5540.17093891765</v>
      </c>
    </row>
    <row r="19" customFormat="false" ht="15" hidden="false" customHeight="true" outlineLevel="0" collapsed="false">
      <c r="B19" s="1" t="s">
        <v>218</v>
      </c>
      <c r="D19" s="19" t="n">
        <f aca="false">MIN(D17,'Sources &amp; Uses'!$F$6*Assumptions!$E$21)</f>
        <v>934.33428</v>
      </c>
      <c r="E19" s="19" t="n">
        <f aca="false">MIN(E17,'Sources &amp; Uses'!$F$6*Assumptions!$E$21)</f>
        <v>934.33428</v>
      </c>
      <c r="F19" s="19" t="n">
        <f aca="false">MIN(F17,'Sources &amp; Uses'!$F$6*Assumptions!$E$21)</f>
        <v>934.33428</v>
      </c>
      <c r="G19" s="19" t="n">
        <f aca="false">MIN(G17,'Sources &amp; Uses'!$F$6*Assumptions!$E$21)</f>
        <v>934.33428</v>
      </c>
      <c r="H19" s="19" t="n">
        <f aca="false">MIN(H17,'Sources &amp; Uses'!$F$6*Assumptions!$E$21)</f>
        <v>934.33428</v>
      </c>
      <c r="I19" s="19" t="n">
        <f aca="false">MIN(I17,'Sources &amp; Uses'!$F$6*Assumptions!$E$21)</f>
        <v>934.33428</v>
      </c>
      <c r="J19" s="19" t="n">
        <f aca="false">MIN(J17,'Sources &amp; Uses'!$F$6*Assumptions!$E$21)</f>
        <v>934.33428</v>
      </c>
    </row>
    <row r="20" customFormat="false" ht="15" hidden="false" customHeight="true" outlineLevel="0" collapsed="false">
      <c r="B20" s="29" t="s">
        <v>219</v>
      </c>
      <c r="C20" s="30" t="n">
        <f aca="false">'Sources &amp; Uses'!F7</f>
        <v>35037.5355</v>
      </c>
      <c r="D20" s="30" t="n">
        <f aca="false">D11</f>
        <v>2907.0563053125</v>
      </c>
      <c r="E20" s="30" t="n">
        <f aca="false">E11</f>
        <v>3349.05781684321</v>
      </c>
      <c r="F20" s="30" t="n">
        <f aca="false">F11</f>
        <v>3649.34014451383</v>
      </c>
      <c r="G20" s="30" t="n">
        <f aca="false">G11</f>
        <v>3945.14490197372</v>
      </c>
      <c r="H20" s="30" t="n">
        <f aca="false">H11</f>
        <v>4245.67215832329</v>
      </c>
      <c r="I20" s="30" t="n">
        <f aca="false">I11</f>
        <v>4552.6693587082</v>
      </c>
      <c r="J20" s="30" t="n">
        <f aca="false">J11</f>
        <v>4867.50217765439</v>
      </c>
    </row>
    <row r="21" customFormat="false" ht="15" hidden="false" customHeight="true" outlineLevel="0" collapsed="false">
      <c r="B21" s="1" t="s">
        <v>220</v>
      </c>
      <c r="C21" s="19" t="n">
        <f aca="false">C17</f>
        <v>93433.428</v>
      </c>
      <c r="D21" s="19" t="n">
        <f aca="false">MAX(0,D17-D19-D20)</f>
        <v>89592.0374146875</v>
      </c>
      <c r="E21" s="19" t="n">
        <f aca="false">MAX(0,E17-E19-E20)</f>
        <v>85308.6453178443</v>
      </c>
      <c r="F21" s="19" t="n">
        <f aca="false">MAX(0,F17-F19-F20)</f>
        <v>80724.9708933305</v>
      </c>
      <c r="G21" s="19" t="n">
        <f aca="false">MAX(0,G17-G19-G20)</f>
        <v>75845.4917113568</v>
      </c>
      <c r="H21" s="19" t="n">
        <f aca="false">MAX(0,H17-H19-H20)</f>
        <v>70665.4852730335</v>
      </c>
      <c r="I21" s="19" t="n">
        <f aca="false">MAX(0,I17-I19-I20)</f>
        <v>65178.4816343253</v>
      </c>
      <c r="J21" s="19" t="n">
        <f aca="false">MAX(0,J17-J19-J20)</f>
        <v>59376.6451766709</v>
      </c>
    </row>
    <row r="22" customFormat="false" ht="15" hidden="false" customHeight="true" outlineLevel="0" collapsed="false">
      <c r="B22" s="1" t="s">
        <v>221</v>
      </c>
      <c r="C22" s="19" t="n">
        <f aca="false">'Sources &amp; Uses'!F7</f>
        <v>35037.5355</v>
      </c>
      <c r="D22" s="19" t="n">
        <f aca="false">C26</f>
        <v>35037.5355</v>
      </c>
      <c r="E22" s="19" t="n">
        <f aca="false">D26</f>
        <v>35361.8974886719</v>
      </c>
      <c r="F22" s="19" t="n">
        <f aca="false">E26</f>
        <v>35585.4899591212</v>
      </c>
      <c r="G22" s="19" t="n">
        <f aca="false">F26</f>
        <v>35740.7196217664</v>
      </c>
      <c r="H22" s="19" t="n">
        <f aca="false">G26</f>
        <v>35826.654984926</v>
      </c>
      <c r="I22" s="19" t="n">
        <f aca="false">H26</f>
        <v>35840.0365948929</v>
      </c>
      <c r="J22" s="19" t="n">
        <f aca="false">I26</f>
        <v>35777.0703530627</v>
      </c>
    </row>
    <row r="23" customFormat="false" ht="15" hidden="false" customHeight="true" outlineLevel="0" collapsed="false">
      <c r="B23" s="1" t="s">
        <v>222</v>
      </c>
      <c r="D23" s="19" t="n">
        <f aca="false">D22*Assumptions!$E$23</f>
        <v>3854.128905</v>
      </c>
      <c r="E23" s="19" t="n">
        <f aca="false">E22*Assumptions!$E$23</f>
        <v>3889.80872375391</v>
      </c>
      <c r="F23" s="19" t="n">
        <f aca="false">F22*Assumptions!$E$23</f>
        <v>3914.40389550333</v>
      </c>
      <c r="G23" s="19" t="n">
        <f aca="false">G22*Assumptions!$E$23</f>
        <v>3931.4791583943</v>
      </c>
      <c r="H23" s="19" t="n">
        <f aca="false">H22*Assumptions!$E$23</f>
        <v>3940.93204834186</v>
      </c>
      <c r="I23" s="19" t="n">
        <f aca="false">I22*Assumptions!$E$23</f>
        <v>3942.40402543822</v>
      </c>
      <c r="J23" s="19" t="n">
        <f aca="false">J22*Assumptions!$E$23</f>
        <v>3935.47773883689</v>
      </c>
    </row>
    <row r="24" customFormat="false" ht="15" hidden="false" customHeight="true" outlineLevel="0" collapsed="false">
      <c r="B24" s="29" t="s">
        <v>223</v>
      </c>
      <c r="C24" s="30"/>
      <c r="D24" s="30" t="n">
        <f aca="false">D22*Assumptions!$E$24</f>
        <v>1051.126065</v>
      </c>
      <c r="E24" s="30" t="n">
        <f aca="false">E22*Assumptions!$E$24</f>
        <v>1060.85692466016</v>
      </c>
      <c r="F24" s="30" t="n">
        <f aca="false">F22*Assumptions!$E$24</f>
        <v>1067.56469877364</v>
      </c>
      <c r="G24" s="30" t="n">
        <f aca="false">G22*Assumptions!$E$24</f>
        <v>1072.22158865299</v>
      </c>
      <c r="H24" s="30" t="n">
        <f aca="false">H22*Assumptions!$E$24</f>
        <v>1074.79964954778</v>
      </c>
      <c r="I24" s="30" t="n">
        <f aca="false">I22*Assumptions!$E$24</f>
        <v>1075.20109784679</v>
      </c>
      <c r="J24" s="30" t="n">
        <f aca="false">J22*Assumptions!$E$24</f>
        <v>1073.31211059188</v>
      </c>
    </row>
    <row r="25" customFormat="false" ht="15" hidden="false" customHeight="true" outlineLevel="0" collapsed="false">
      <c r="B25" s="29" t="s">
        <v>224</v>
      </c>
      <c r="C25" s="30" t="n">
        <f aca="false">SUM(C16,C20,C13)</f>
        <v>35057.5355</v>
      </c>
      <c r="D25" s="30" t="n">
        <f aca="false">D12</f>
        <v>726.764076328124</v>
      </c>
      <c r="E25" s="30" t="n">
        <f aca="false">E12</f>
        <v>837.264454210804</v>
      </c>
      <c r="F25" s="30" t="n">
        <f aca="false">F12</f>
        <v>912.335036128458</v>
      </c>
      <c r="G25" s="30" t="n">
        <f aca="false">G12</f>
        <v>986.28622549343</v>
      </c>
      <c r="H25" s="30" t="n">
        <f aca="false">H12</f>
        <v>1061.41803958082</v>
      </c>
      <c r="I25" s="30" t="n">
        <f aca="false">I12</f>
        <v>1138.16733967705</v>
      </c>
      <c r="J25" s="30" t="n">
        <f aca="false">J12</f>
        <v>1216.8755444136</v>
      </c>
    </row>
    <row r="26" customFormat="false" ht="15" hidden="false" customHeight="true" outlineLevel="0" collapsed="false">
      <c r="B26" s="29" t="s">
        <v>225</v>
      </c>
      <c r="C26" s="30" t="n">
        <f aca="false">C22</f>
        <v>35037.5355</v>
      </c>
      <c r="D26" s="30" t="n">
        <f aca="false">MAX(0,D22+D24-D25)</f>
        <v>35361.8974886719</v>
      </c>
      <c r="E26" s="30" t="n">
        <f aca="false">MAX(0,E22+E24-E25)</f>
        <v>35585.4899591212</v>
      </c>
      <c r="F26" s="30" t="n">
        <f aca="false">MAX(0,F22+F24-F25)</f>
        <v>35740.7196217664</v>
      </c>
      <c r="G26" s="30" t="n">
        <f aca="false">MAX(0,G22+G24-G25)</f>
        <v>35826.654984926</v>
      </c>
      <c r="H26" s="30" t="n">
        <f aca="false">MAX(0,H22+H24-H25)</f>
        <v>35840.0365948929</v>
      </c>
      <c r="I26" s="30" t="n">
        <f aca="false">MAX(0,I22+I24-I25)</f>
        <v>35777.0703530627</v>
      </c>
      <c r="J26" s="30" t="n">
        <f aca="false">MAX(0,J22+J24-J25)</f>
        <v>35633.5069192409</v>
      </c>
    </row>
    <row r="27" customFormat="false" ht="15" hidden="false" customHeight="true" outlineLevel="0" collapsed="false">
      <c r="B27" s="1" t="s">
        <v>226</v>
      </c>
      <c r="C27" s="19" t="n">
        <f aca="false">SUM(C16,C21,C26)</f>
        <v>128470.9635</v>
      </c>
      <c r="D27" s="19" t="n">
        <f aca="false">SUM(D16,D21,D26)</f>
        <v>124953.934903359</v>
      </c>
      <c r="E27" s="19" t="n">
        <f aca="false">SUM(E16,E21,E26)</f>
        <v>120894.135276966</v>
      </c>
      <c r="F27" s="19" t="n">
        <f aca="false">SUM(F16,F21,F26)</f>
        <v>116465.690515097</v>
      </c>
      <c r="G27" s="19" t="n">
        <f aca="false">SUM(G16,G21,G26)</f>
        <v>111672.146696283</v>
      </c>
      <c r="H27" s="19" t="n">
        <f aca="false">SUM(H16,H21,H26)</f>
        <v>106505.521867926</v>
      </c>
      <c r="I27" s="19" t="n">
        <f aca="false">SUM(I16,I21,I26)</f>
        <v>100955.551987388</v>
      </c>
      <c r="J27" s="19" t="n">
        <f aca="false">SUM(J16,J21,J26)</f>
        <v>95010.1520959118</v>
      </c>
    </row>
    <row r="28" customFormat="false" ht="15" hidden="false" customHeight="true" outlineLevel="0" collapsed="false">
      <c r="B28" s="1" t="s">
        <v>227</v>
      </c>
      <c r="C28" s="19" t="n">
        <f aca="false">C27-C13</f>
        <v>128450.9635</v>
      </c>
      <c r="D28" s="19" t="n">
        <f aca="false">D27-D13</f>
        <v>124691.68021125</v>
      </c>
      <c r="E28" s="19" t="n">
        <f aca="false">E27-E13</f>
        <v>120595.047125562</v>
      </c>
      <c r="F28" s="19" t="n">
        <f aca="false">F27-F13</f>
        <v>116141.578836387</v>
      </c>
      <c r="G28" s="19" t="n">
        <f aca="false">G27-G13</f>
        <v>111323.384621118</v>
      </c>
      <c r="H28" s="19" t="n">
        <f aca="false">H27-H13</f>
        <v>106131.715854733</v>
      </c>
      <c r="I28" s="19" t="n">
        <f aca="false">I27-I13</f>
        <v>100556.162874162</v>
      </c>
      <c r="J28" s="19" t="n">
        <f aca="false">J27-J13</f>
        <v>94584.5269144406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228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</row>
    <row r="5" customFormat="false" ht="15" hidden="false" customHeight="true" outlineLevel="0" collapsed="false">
      <c r="B5" s="1" t="s">
        <v>230</v>
      </c>
      <c r="C5" s="26" t="n">
        <f aca="false">IFERROR('Debt Schedule'!D25/'Operating Model'!D8,0)</f>
        <v>0.0310608810191831</v>
      </c>
      <c r="D5" s="26" t="n">
        <f aca="false">IFERROR('Debt Schedule'!E25/'Operating Model'!E8,0)</f>
        <v>0.0357586175131289</v>
      </c>
      <c r="E5" s="26" t="n">
        <f aca="false">IFERROR('Debt Schedule'!F25/'Operating Model'!F8,0)</f>
        <v>0.0389743613883853</v>
      </c>
      <c r="F5" s="26" t="n">
        <f aca="false">IFERROR('Debt Schedule'!G25/'Operating Model'!G8,0)</f>
        <v>0.0421812132080706</v>
      </c>
      <c r="G5" s="26" t="n">
        <f aca="false">IFERROR('Debt Schedule'!H25/'Operating Model'!H8,0)</f>
        <v>0.0454838197678832</v>
      </c>
      <c r="H5" s="26" t="n">
        <f aca="false">IFERROR('Debt Schedule'!I25/'Operating Model'!I8,0)</f>
        <v>0.048907308477008</v>
      </c>
      <c r="I5" s="26" t="n">
        <f aca="false">IFERROR('Debt Schedule'!J25/'Operating Model'!J8,0)</f>
        <v>0.052472929754076</v>
      </c>
    </row>
    <row r="6" customFormat="false" ht="15" hidden="false" customHeight="true" outlineLevel="0" collapsed="false">
      <c r="B6" s="1" t="s">
        <v>231</v>
      </c>
      <c r="C6" s="26" t="n">
        <f aca="false">Assumptions!$E$26</f>
        <v>7</v>
      </c>
      <c r="D6" s="26" t="n">
        <f aca="false">Assumptions!$E$26</f>
        <v>7</v>
      </c>
      <c r="E6" s="26" t="n">
        <f aca="false">Assumptions!$E$26</f>
        <v>7</v>
      </c>
      <c r="F6" s="26" t="n">
        <f aca="false">Assumptions!$E$26</f>
        <v>7</v>
      </c>
      <c r="G6" s="26" t="n">
        <f aca="false">Assumptions!$E$26</f>
        <v>7</v>
      </c>
      <c r="H6" s="26" t="n">
        <f aca="false">Assumptions!$E$26</f>
        <v>7</v>
      </c>
      <c r="I6" s="26" t="n">
        <f aca="false">Assumptions!$E$26</f>
        <v>7</v>
      </c>
    </row>
    <row r="7" customFormat="false" ht="15" hidden="false" customHeight="true" outlineLevel="0" collapsed="false">
      <c r="B7" s="1" t="s">
        <v>232</v>
      </c>
      <c r="C7" s="26" t="n">
        <f aca="false">C6-C5</f>
        <v>6.96893911898082</v>
      </c>
      <c r="D7" s="26" t="n">
        <f aca="false">D6-D5</f>
        <v>6.96424138248687</v>
      </c>
      <c r="E7" s="26" t="n">
        <f aca="false">E6-E5</f>
        <v>6.96102563861161</v>
      </c>
      <c r="F7" s="26" t="n">
        <f aca="false">F6-F5</f>
        <v>6.95781878679193</v>
      </c>
      <c r="G7" s="26" t="n">
        <f aca="false">G6-G5</f>
        <v>6.95451618023212</v>
      </c>
      <c r="H7" s="26" t="n">
        <f aca="false">H6-H5</f>
        <v>6.95109269152299</v>
      </c>
      <c r="I7" s="26" t="n">
        <f aca="false">I6-I5</f>
        <v>6.94752707024592</v>
      </c>
    </row>
    <row r="8" customFormat="false" ht="15" hidden="false" customHeight="true" outlineLevel="0" collapsed="false">
      <c r="B8" s="1" t="s">
        <v>233</v>
      </c>
      <c r="C8" s="26" t="n">
        <f aca="false">IFERROR('Operating Model'!D8/'Debt Schedule'!D7,0)</f>
        <v>1.98356306218857</v>
      </c>
      <c r="D8" s="26" t="n">
        <f aca="false">IFERROR('Operating Model'!E8/'Debt Schedule'!E7,0)</f>
        <v>2.03512144994659</v>
      </c>
      <c r="E8" s="26" t="n">
        <f aca="false">IFERROR('Operating Model'!F8/'Debt Schedule'!F7,0)</f>
        <v>2.09648506468249</v>
      </c>
      <c r="F8" s="26" t="n">
        <f aca="false">IFERROR('Operating Model'!G8/'Debt Schedule'!G7,0)</f>
        <v>2.16639493906224</v>
      </c>
      <c r="G8" s="26" t="n">
        <f aca="false">IFERROR('Operating Model'!H8/'Debt Schedule'!H7,0)</f>
        <v>2.24649783033677</v>
      </c>
      <c r="H8" s="26" t="n">
        <f aca="false">IFERROR('Operating Model'!I8/'Debt Schedule'!I7,0)</f>
        <v>2.3391292679201</v>
      </c>
      <c r="I8" s="26" t="n">
        <f aca="false">IFERROR('Operating Model'!J8/'Debt Schedule'!J7,0)</f>
        <v>2.44738277868644</v>
      </c>
    </row>
    <row r="9" customFormat="false" ht="15" hidden="false" customHeight="true" outlineLevel="0" collapsed="false">
      <c r="B9" s="1" t="s">
        <v>234</v>
      </c>
      <c r="C9" s="26" t="n">
        <f aca="false">Assumptions!$E$27</f>
        <v>1.75</v>
      </c>
      <c r="D9" s="26" t="n">
        <f aca="false">Assumptions!$E$27</f>
        <v>1.75</v>
      </c>
      <c r="E9" s="26" t="n">
        <f aca="false">Assumptions!$E$27</f>
        <v>1.75</v>
      </c>
      <c r="F9" s="26" t="n">
        <f aca="false">Assumptions!$E$27</f>
        <v>1.75</v>
      </c>
      <c r="G9" s="26" t="n">
        <f aca="false">Assumptions!$E$27</f>
        <v>1.75</v>
      </c>
      <c r="H9" s="26" t="n">
        <f aca="false">Assumptions!$E$27</f>
        <v>1.75</v>
      </c>
      <c r="I9" s="26" t="n">
        <f aca="false">Assumptions!$E$27</f>
        <v>1.75</v>
      </c>
    </row>
    <row r="10" customFormat="false" ht="15" hidden="false" customHeight="true" outlineLevel="0" collapsed="false">
      <c r="B10" s="1" t="s">
        <v>235</v>
      </c>
      <c r="C10" s="26" t="n">
        <f aca="false">C8-C9</f>
        <v>0.233563062188571</v>
      </c>
      <c r="D10" s="26" t="n">
        <f aca="false">D8-D9</f>
        <v>0.285121449946588</v>
      </c>
      <c r="E10" s="26" t="n">
        <f aca="false">E8-E9</f>
        <v>0.34648506468249</v>
      </c>
      <c r="F10" s="26" t="n">
        <f aca="false">F8-F9</f>
        <v>0.416394939062236</v>
      </c>
      <c r="G10" s="26" t="n">
        <f aca="false">G8-G9</f>
        <v>0.496497830336767</v>
      </c>
      <c r="H10" s="26" t="n">
        <f aca="false">H8-H9</f>
        <v>0.589129267920095</v>
      </c>
      <c r="I10" s="26" t="n">
        <f aca="false">I8-I9</f>
        <v>0.697382778686439</v>
      </c>
    </row>
    <row r="11" customFormat="false" ht="15" hidden="false" customHeight="true" outlineLevel="0" collapsed="false">
      <c r="B11" s="1" t="s">
        <v>141</v>
      </c>
      <c r="C11" s="19" t="n">
        <f aca="false">Assumptions!$E$16</f>
        <v>20</v>
      </c>
      <c r="D11" s="19" t="n">
        <f aca="false">Assumptions!$E$16</f>
        <v>20</v>
      </c>
      <c r="E11" s="19" t="n">
        <f aca="false">Assumptions!$E$16</f>
        <v>20</v>
      </c>
      <c r="F11" s="19" t="n">
        <f aca="false">Assumptions!$E$16</f>
        <v>20</v>
      </c>
      <c r="G11" s="19" t="n">
        <f aca="false">Assumptions!$E$16</f>
        <v>20</v>
      </c>
      <c r="H11" s="19" t="n">
        <f aca="false">Assumptions!$E$16</f>
        <v>20</v>
      </c>
      <c r="I11" s="19" t="n">
        <f aca="false">Assumptions!$E$16</f>
        <v>20</v>
      </c>
    </row>
    <row r="12" customFormat="false" ht="15" hidden="false" customHeight="true" outlineLevel="0" collapsed="false">
      <c r="B12" s="1" t="s">
        <v>236</v>
      </c>
      <c r="C12" s="19" t="n">
        <f aca="false">'Debt Schedule'!D13-C11</f>
        <v>242.254692109375</v>
      </c>
      <c r="D12" s="19" t="n">
        <f aca="false">'Debt Schedule'!E13-D11</f>
        <v>279.088151403601</v>
      </c>
      <c r="E12" s="19" t="n">
        <f aca="false">'Debt Schedule'!F13-E11</f>
        <v>304.111678709486</v>
      </c>
      <c r="F12" s="19" t="n">
        <f aca="false">'Debt Schedule'!G13-F11</f>
        <v>328.762075164477</v>
      </c>
      <c r="G12" s="19" t="n">
        <f aca="false">'Debt Schedule'!H13-G11</f>
        <v>353.806013193608</v>
      </c>
      <c r="H12" s="19" t="n">
        <f aca="false">'Debt Schedule'!I13-H11</f>
        <v>379.389113225683</v>
      </c>
      <c r="I12" s="19" t="n">
        <f aca="false">'Debt Schedule'!J13-I11</f>
        <v>405.625181471199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237</v>
      </c>
      <c r="C2" s="2"/>
      <c r="D2" s="2"/>
      <c r="E2" s="2"/>
    </row>
    <row r="4" customFormat="false" ht="15" hidden="false" customHeight="true" outlineLevel="0" collapsed="false">
      <c r="B4" s="16" t="s">
        <v>229</v>
      </c>
      <c r="C4" s="16" t="s">
        <v>238</v>
      </c>
      <c r="D4" s="16" t="s">
        <v>239</v>
      </c>
      <c r="E4" s="16" t="s">
        <v>240</v>
      </c>
    </row>
    <row r="5" customFormat="false" ht="15" hidden="false" customHeight="true" outlineLevel="0" collapsed="false">
      <c r="B5" s="1" t="s">
        <v>241</v>
      </c>
      <c r="C5" s="22" t="n">
        <f aca="false">Assumptions!E30</f>
        <v>0.1</v>
      </c>
      <c r="D5" s="1" t="s">
        <v>129</v>
      </c>
      <c r="E5" s="1" t="s">
        <v>242</v>
      </c>
    </row>
    <row r="6" customFormat="false" ht="15" hidden="false" customHeight="true" outlineLevel="0" collapsed="false">
      <c r="B6" s="1" t="s">
        <v>243</v>
      </c>
      <c r="C6" s="22" t="n">
        <f aca="false">1-C5</f>
        <v>0.9</v>
      </c>
      <c r="D6" s="1" t="s">
        <v>129</v>
      </c>
      <c r="E6" s="1" t="s">
        <v>244</v>
      </c>
    </row>
    <row r="7" customFormat="false" ht="15" hidden="false" customHeight="true" outlineLevel="0" collapsed="false">
      <c r="B7" s="1" t="s">
        <v>245</v>
      </c>
      <c r="C7" s="19" t="n">
        <f aca="false">'Sources &amp; Uses'!F8</f>
        <v>109904.2779</v>
      </c>
      <c r="D7" s="1" t="s">
        <v>127</v>
      </c>
      <c r="E7" s="1" t="s">
        <v>246</v>
      </c>
    </row>
    <row r="8" customFormat="false" ht="15" hidden="false" customHeight="true" outlineLevel="0" collapsed="false">
      <c r="B8" s="1" t="s">
        <v>247</v>
      </c>
      <c r="C8" s="19" t="n">
        <f aca="false">C7*(1+Assumptions!E31)^Assumptions!E29</f>
        <v>161485.4412789</v>
      </c>
      <c r="D8" s="1" t="s">
        <v>127</v>
      </c>
      <c r="E8" s="1" t="s">
        <v>248</v>
      </c>
    </row>
    <row r="9" customFormat="false" ht="15" hidden="false" customHeight="true" outlineLevel="0" collapsed="false">
      <c r="B9" s="1" t="s">
        <v>249</v>
      </c>
      <c r="C9" s="22" t="n">
        <f aca="false">Assumptions!E32</f>
        <v>0.2</v>
      </c>
      <c r="D9" s="1" t="s">
        <v>163</v>
      </c>
      <c r="E9" s="1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252</v>
      </c>
    </row>
    <row r="5" customFormat="false" ht="15" hidden="false" customHeight="true" outlineLevel="0" collapsed="false">
      <c r="B5" s="1" t="s">
        <v>253</v>
      </c>
      <c r="C5" s="19" t="n">
        <f aca="false">'Operating Model'!D8</f>
        <v>23398.05094</v>
      </c>
      <c r="D5" s="19" t="n">
        <f aca="false">'Operating Model'!E8</f>
        <v>23414.3407223</v>
      </c>
      <c r="E5" s="19" t="n">
        <f aca="false">'Operating Model'!F8</f>
        <v>23408.594871816</v>
      </c>
      <c r="F5" s="19" t="n">
        <f aca="false">'Operating Model'!G8</f>
        <v>23382.120865711</v>
      </c>
      <c r="G5" s="19" t="n">
        <f aca="false">'Operating Model'!H8</f>
        <v>23336.1675645876</v>
      </c>
      <c r="H5" s="19" t="n">
        <f aca="false">'Operating Model'!I8</f>
        <v>23271.9275527525</v>
      </c>
      <c r="I5" s="19" t="n">
        <f aca="false">'Operating Model'!J8</f>
        <v>23190.5393908194</v>
      </c>
      <c r="J5" s="19" t="n">
        <f aca="false">INDEX(C5:I5,1,Assumptions!E29)</f>
        <v>23336.1675645876</v>
      </c>
    </row>
    <row r="6" customFormat="false" ht="15" hidden="false" customHeight="true" outlineLevel="0" collapsed="false">
      <c r="B6" s="1" t="s">
        <v>254</v>
      </c>
      <c r="C6" s="26" t="n">
        <f aca="false">Assumptions!$E$28</f>
        <v>10</v>
      </c>
      <c r="D6" s="26" t="n">
        <f aca="false">Assumptions!$E$28</f>
        <v>10</v>
      </c>
      <c r="E6" s="26" t="n">
        <f aca="false">Assumptions!$E$28</f>
        <v>10</v>
      </c>
      <c r="F6" s="26" t="n">
        <f aca="false">Assumptions!$E$28</f>
        <v>10</v>
      </c>
      <c r="G6" s="26" t="n">
        <f aca="false">Assumptions!$E$28</f>
        <v>10</v>
      </c>
      <c r="H6" s="26" t="n">
        <f aca="false">Assumptions!$E$28</f>
        <v>10</v>
      </c>
      <c r="I6" s="26" t="n">
        <f aca="false">Assumptions!$E$28</f>
        <v>10</v>
      </c>
      <c r="J6" s="26" t="n">
        <f aca="false">INDEX(C6:I6,1,Assumptions!E29)</f>
        <v>10</v>
      </c>
    </row>
    <row r="7" customFormat="false" ht="15" hidden="false" customHeight="true" outlineLevel="0" collapsed="false">
      <c r="B7" s="1" t="s">
        <v>255</v>
      </c>
      <c r="C7" s="19" t="n">
        <f aca="false">C5*C6</f>
        <v>233980.5094</v>
      </c>
      <c r="D7" s="19" t="n">
        <f aca="false">D5*D6</f>
        <v>234143.407223</v>
      </c>
      <c r="E7" s="19" t="n">
        <f aca="false">E5*E6</f>
        <v>234085.94871816</v>
      </c>
      <c r="F7" s="19" t="n">
        <f aca="false">F5*F6</f>
        <v>233821.20865711</v>
      </c>
      <c r="G7" s="19" t="n">
        <f aca="false">G5*G6</f>
        <v>233361.675645876</v>
      </c>
      <c r="H7" s="19" t="n">
        <f aca="false">H5*H6</f>
        <v>232719.275527525</v>
      </c>
      <c r="I7" s="19" t="n">
        <f aca="false">I5*I6</f>
        <v>231905.393908194</v>
      </c>
      <c r="J7" s="19" t="n">
        <f aca="false">INDEX(C7:I7,1,Assumptions!E29)</f>
        <v>233361.675645876</v>
      </c>
    </row>
    <row r="8" customFormat="false" ht="15" hidden="false" customHeight="true" outlineLevel="0" collapsed="false">
      <c r="B8" s="1" t="s">
        <v>227</v>
      </c>
      <c r="C8" s="19" t="n">
        <f aca="false">'Debt Schedule'!D28</f>
        <v>124691.68021125</v>
      </c>
      <c r="D8" s="19" t="n">
        <f aca="false">'Debt Schedule'!E28</f>
        <v>120595.047125562</v>
      </c>
      <c r="E8" s="19" t="n">
        <f aca="false">'Debt Schedule'!F28</f>
        <v>116141.578836387</v>
      </c>
      <c r="F8" s="19" t="n">
        <f aca="false">'Debt Schedule'!G28</f>
        <v>111323.384621118</v>
      </c>
      <c r="G8" s="19" t="n">
        <f aca="false">'Debt Schedule'!H28</f>
        <v>106131.715854733</v>
      </c>
      <c r="H8" s="19" t="n">
        <f aca="false">'Debt Schedule'!I28</f>
        <v>100556.162874162</v>
      </c>
      <c r="I8" s="19" t="n">
        <f aca="false">'Debt Schedule'!J28</f>
        <v>94584.5269144406</v>
      </c>
      <c r="J8" s="19" t="n">
        <f aca="false">INDEX(C8:I8,1,Assumptions!E29)</f>
        <v>106131.715854733</v>
      </c>
    </row>
    <row r="9" customFormat="false" ht="15" hidden="false" customHeight="true" outlineLevel="0" collapsed="false">
      <c r="B9" s="1" t="s">
        <v>256</v>
      </c>
      <c r="C9" s="19" t="n">
        <f aca="false">MAX(0,C7-C8)</f>
        <v>109288.82918875</v>
      </c>
      <c r="D9" s="19" t="n">
        <f aca="false">MAX(0,D7-D8)</f>
        <v>113548.360097438</v>
      </c>
      <c r="E9" s="19" t="n">
        <f aca="false">MAX(0,E7-E8)</f>
        <v>117944.369881773</v>
      </c>
      <c r="F9" s="19" t="n">
        <f aca="false">MAX(0,F7-F8)</f>
        <v>122497.824035991</v>
      </c>
      <c r="G9" s="19" t="n">
        <f aca="false">MAX(0,G7-G8)</f>
        <v>127229.959791143</v>
      </c>
      <c r="H9" s="19" t="n">
        <f aca="false">MAX(0,H7-H8)</f>
        <v>132163.112653363</v>
      </c>
      <c r="I9" s="19" t="n">
        <f aca="false">MAX(0,I7-I8)</f>
        <v>137320.866993753</v>
      </c>
      <c r="J9" s="19" t="n">
        <f aca="false">INDEX(C9:I9,1,Assumptions!E29)</f>
        <v>127229.959791143</v>
      </c>
    </row>
    <row r="10" customFormat="false" ht="15" hidden="false" customHeight="true" outlineLevel="0" collapsed="false">
      <c r="B10" s="1" t="s">
        <v>161</v>
      </c>
      <c r="C10" s="19" t="n">
        <f aca="false">'Management Equity'!$C$7*(1+Assumptions!$E$31)^1</f>
        <v>118696.620132</v>
      </c>
      <c r="D10" s="19" t="n">
        <f aca="false">'Management Equity'!$C$7*(1+Assumptions!$E$31)^2</f>
        <v>128192.34974256</v>
      </c>
      <c r="E10" s="19" t="n">
        <f aca="false">'Management Equity'!$C$7*(1+Assumptions!$E$31)^3</f>
        <v>138447.737721965</v>
      </c>
      <c r="F10" s="19" t="n">
        <f aca="false">'Management Equity'!$C$7*(1+Assumptions!$E$31)^4</f>
        <v>149523.556739722</v>
      </c>
      <c r="G10" s="19" t="n">
        <f aca="false">'Management Equity'!$C$7*(1+Assumptions!$E$31)^5</f>
        <v>161485.4412789</v>
      </c>
      <c r="H10" s="19" t="n">
        <f aca="false">'Management Equity'!$C$7*(1+Assumptions!$E$31)^6</f>
        <v>174404.276581212</v>
      </c>
      <c r="I10" s="19" t="n">
        <f aca="false">'Management Equity'!$C$7*(1+Assumptions!$E$31)^7</f>
        <v>188356.618707709</v>
      </c>
      <c r="J10" s="19" t="n">
        <f aca="false">INDEX(C10:I10,1,Assumptions!E29)</f>
        <v>161485.4412789</v>
      </c>
    </row>
    <row r="11" customFormat="false" ht="15" hidden="false" customHeight="true" outlineLevel="0" collapsed="false">
      <c r="B11" s="1" t="s">
        <v>257</v>
      </c>
      <c r="C11" s="19" t="n">
        <f aca="false">MAX(0,C9-C10)</f>
        <v>0</v>
      </c>
      <c r="D11" s="19" t="n">
        <f aca="false">MAX(0,D9-D10)</f>
        <v>0</v>
      </c>
      <c r="E11" s="19" t="n">
        <f aca="false">MAX(0,E9-E10)</f>
        <v>0</v>
      </c>
      <c r="F11" s="19" t="n">
        <f aca="false">MAX(0,F9-F10)</f>
        <v>0</v>
      </c>
      <c r="G11" s="19" t="n">
        <f aca="false">MAX(0,G9-G10)</f>
        <v>0</v>
      </c>
      <c r="H11" s="19" t="n">
        <f aca="false">MAX(0,H9-H10)</f>
        <v>0</v>
      </c>
      <c r="I11" s="19" t="n">
        <f aca="false">MAX(0,I9-I10)</f>
        <v>0</v>
      </c>
      <c r="J11" s="19" t="n">
        <f aca="false">INDEX(C11:I11,1,Assumptions!E29)</f>
        <v>0</v>
      </c>
    </row>
    <row r="12" customFormat="false" ht="15" hidden="false" customHeight="true" outlineLevel="0" collapsed="false">
      <c r="B12" s="1" t="s">
        <v>258</v>
      </c>
      <c r="C12" s="19" t="n">
        <f aca="false">MIN(C9,C9*Assumptions!$E$30+C11*Assumptions!$E$32)</f>
        <v>10928.882918875</v>
      </c>
      <c r="D12" s="19" t="n">
        <f aca="false">MIN(D9,D9*Assumptions!$E$30+D11*Assumptions!$E$32)</f>
        <v>11354.8360097438</v>
      </c>
      <c r="E12" s="19" t="n">
        <f aca="false">MIN(E9,E9*Assumptions!$E$30+E11*Assumptions!$E$32)</f>
        <v>11794.4369881773</v>
      </c>
      <c r="F12" s="19" t="n">
        <f aca="false">MIN(F9,F9*Assumptions!$E$30+F11*Assumptions!$E$32)</f>
        <v>12249.7824035991</v>
      </c>
      <c r="G12" s="19" t="n">
        <f aca="false">MIN(G9,G9*Assumptions!$E$30+G11*Assumptions!$E$32)</f>
        <v>12722.9959791143</v>
      </c>
      <c r="H12" s="19" t="n">
        <f aca="false">MIN(H9,H9*Assumptions!$E$30+H11*Assumptions!$E$32)</f>
        <v>13216.3112653363</v>
      </c>
      <c r="I12" s="19" t="n">
        <f aca="false">MIN(I9,I9*Assumptions!$E$30+I11*Assumptions!$E$32)</f>
        <v>13732.0866993753</v>
      </c>
      <c r="J12" s="19" t="n">
        <f aca="false">INDEX(C12:I12,1,Assumptions!E29)</f>
        <v>12722.9959791143</v>
      </c>
    </row>
    <row r="13" customFormat="false" ht="15" hidden="false" customHeight="true" outlineLevel="0" collapsed="false">
      <c r="B13" s="1" t="s">
        <v>259</v>
      </c>
      <c r="C13" s="19" t="n">
        <f aca="false">MAX(0,C9-C12)</f>
        <v>98359.946269875</v>
      </c>
      <c r="D13" s="19" t="n">
        <f aca="false">MAX(0,D9-D12)</f>
        <v>102193.524087694</v>
      </c>
      <c r="E13" s="19" t="n">
        <f aca="false">MAX(0,E9-E12)</f>
        <v>106149.932893595</v>
      </c>
      <c r="F13" s="19" t="n">
        <f aca="false">MAX(0,F9-F12)</f>
        <v>110248.041632392</v>
      </c>
      <c r="G13" s="19" t="n">
        <f aca="false">MAX(0,G9-G12)</f>
        <v>114506.963812029</v>
      </c>
      <c r="H13" s="19" t="n">
        <f aca="false">MAX(0,H9-H12)</f>
        <v>118946.801388027</v>
      </c>
      <c r="I13" s="19" t="n">
        <f aca="false">MAX(0,I9-I12)</f>
        <v>123588.780294378</v>
      </c>
      <c r="J13" s="19" t="n">
        <f aca="false">INDEX(C13:I13,1,Assumptions!E29)</f>
        <v>114506.963812029</v>
      </c>
    </row>
    <row r="14" customFormat="false" ht="15" hidden="false" customHeight="true" outlineLevel="0" collapsed="false">
      <c r="B14" s="1" t="s">
        <v>260</v>
      </c>
      <c r="C14" s="26" t="n">
        <f aca="false">IFERROR(C13/'Sources &amp; Uses'!$F$8,0)</f>
        <v>0.894960124840372</v>
      </c>
      <c r="D14" s="26" t="n">
        <f aca="false">IFERROR(D13/'Sources &amp; Uses'!$F$8,0)</f>
        <v>0.929841185806055</v>
      </c>
      <c r="E14" s="26" t="n">
        <f aca="false">IFERROR(E13/'Sources &amp; Uses'!$F$8,0)</f>
        <v>0.965839864670048</v>
      </c>
      <c r="F14" s="26" t="n">
        <f aca="false">IFERROR(F13/'Sources &amp; Uses'!$F$8,0)</f>
        <v>1.00312784669497</v>
      </c>
      <c r="G14" s="26" t="n">
        <f aca="false">IFERROR(G13/'Sources &amp; Uses'!$F$8,0)</f>
        <v>1.04187904238102</v>
      </c>
      <c r="H14" s="26" t="n">
        <f aca="false">IFERROR(H13/'Sources &amp; Uses'!$F$8,0)</f>
        <v>1.0822763559418</v>
      </c>
      <c r="I14" s="26" t="n">
        <f aca="false">IFERROR(I13/'Sources &amp; Uses'!$F$8,0)</f>
        <v>1.12451291847647</v>
      </c>
      <c r="J14" s="26" t="n">
        <f aca="false">INDEX(C14:I14,1,Assumptions!E29)</f>
        <v>1.04187904238102</v>
      </c>
    </row>
    <row r="15" customFormat="false" ht="15" hidden="false" customHeight="true" outlineLevel="0" collapsed="false">
      <c r="B15" s="1" t="s">
        <v>261</v>
      </c>
      <c r="C15" s="24" t="n">
        <f aca="false">IFERROR((C13/'Sources &amp; Uses'!$F$8)^(1/1)-1,0)</f>
        <v>-0.105039875159628</v>
      </c>
      <c r="D15" s="24" t="n">
        <f aca="false">IFERROR((D13/'Sources &amp; Uses'!$F$8)^(1/2)-1,0)</f>
        <v>-0.0357172687400985</v>
      </c>
      <c r="E15" s="24" t="n">
        <f aca="false">IFERROR((E13/'Sources &amp; Uses'!$F$8)^(1/3)-1,0)</f>
        <v>-0.0115188870758636</v>
      </c>
      <c r="F15" s="24" t="n">
        <f aca="false">IFERROR((F13/'Sources &amp; Uses'!$F$8)^(1/4)-1,0)</f>
        <v>0.000781046147557918</v>
      </c>
      <c r="G15" s="24" t="n">
        <f aca="false">IFERROR((G13/'Sources &amp; Uses'!$F$8)^(1/5)-1,0)</f>
        <v>0.00823892555745531</v>
      </c>
      <c r="H15" s="24" t="n">
        <f aca="false">IFERROR((H13/'Sources &amp; Uses'!$F$8)^(1/6)-1,0)</f>
        <v>0.013264969325727</v>
      </c>
      <c r="I15" s="24" t="n">
        <f aca="false">IFERROR((I13/'Sources &amp; Uses'!$F$8)^(1/7)-1,0)</f>
        <v>0.0169055920708845</v>
      </c>
      <c r="J15" s="24" t="n">
        <f aca="false">INDEX(C15:I15,1,Assumptions!E29)</f>
        <v>0.00823892555745531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263</v>
      </c>
      <c r="C4" s="31" t="n">
        <v>7</v>
      </c>
      <c r="D4" s="31" t="n">
        <v>8</v>
      </c>
      <c r="E4" s="31" t="n">
        <v>9</v>
      </c>
      <c r="F4" s="31" t="n">
        <v>10</v>
      </c>
      <c r="G4" s="31" t="n">
        <v>11</v>
      </c>
    </row>
    <row r="5" customFormat="false" ht="15" hidden="false" customHeight="true" outlineLevel="0" collapsed="false">
      <c r="B5" s="26" t="n">
        <v>8</v>
      </c>
      <c r="C5" s="22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-0.0581698451093956</v>
      </c>
      <c r="D5" s="22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0.0142785049827239</v>
      </c>
      <c r="E5" s="22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0.0705019893213061</v>
      </c>
      <c r="F5" s="22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0.116918290461881</v>
      </c>
      <c r="G5" s="22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0.156697512238684</v>
      </c>
    </row>
    <row r="6" customFormat="false" ht="15" hidden="false" customHeight="true" outlineLevel="0" collapsed="false">
      <c r="B6" s="26" t="n">
        <v>9</v>
      </c>
      <c r="C6" s="22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-0.115598250497523</v>
      </c>
      <c r="D6" s="22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-0.0475674625286657</v>
      </c>
      <c r="E6" s="22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0.00522777624550885</v>
      </c>
      <c r="F6" s="22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0.0488138280628094</v>
      </c>
      <c r="G6" s="22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0.0861674986270506</v>
      </c>
    </row>
    <row r="7" customFormat="false" ht="15" hidden="false" customHeight="true" outlineLevel="0" collapsed="false">
      <c r="B7" s="26" t="n">
        <v>10</v>
      </c>
      <c r="C7" s="22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-0.156867181583465</v>
      </c>
      <c r="D7" s="22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-0.0920109213696565</v>
      </c>
      <c r="E7" s="22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-0.0416792723292913</v>
      </c>
      <c r="F7" s="22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-0.000127080994252737</v>
      </c>
      <c r="G7" s="22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0.0354835513442162</v>
      </c>
    </row>
    <row r="8" customFormat="false" ht="15" hidden="false" customHeight="true" outlineLevel="0" collapsed="false">
      <c r="B8" s="26" t="n">
        <v>11</v>
      </c>
      <c r="C8" s="22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-0.188745283917349</v>
      </c>
      <c r="D8" s="22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-0.126341181246135</v>
      </c>
      <c r="E8" s="22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-0.0779125271120233</v>
      </c>
      <c r="F8" s="22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-0.0379313871921857</v>
      </c>
      <c r="G8" s="22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-0.00366716120520005</v>
      </c>
    </row>
    <row r="9" customFormat="false" ht="15" hidden="false" customHeight="true" outlineLevel="0" collapsed="false">
      <c r="B9" s="26" t="n">
        <v>12</v>
      </c>
      <c r="C9" s="22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-0.214531234724911</v>
      </c>
      <c r="D9" s="22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-0.154110663353755</v>
      </c>
      <c r="E9" s="22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-0.107221327103931</v>
      </c>
      <c r="F9" s="22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-0.0685109985418146</v>
      </c>
      <c r="G9" s="22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-0.0353358702552724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264</v>
      </c>
      <c r="C2" s="2"/>
    </row>
    <row r="4" customFormat="false" ht="15" hidden="false" customHeight="true" outlineLevel="0" collapsed="false">
      <c r="B4" s="16" t="s">
        <v>265</v>
      </c>
      <c r="C4" s="16" t="s">
        <v>43</v>
      </c>
    </row>
    <row r="5" customFormat="false" ht="15" hidden="false" customHeight="true" outlineLevel="0" collapsed="false">
      <c r="B5" s="1" t="s">
        <v>266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267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268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269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270</v>
      </c>
      <c r="C9" s="1" t="str">
        <f aca="false">IF(COUNTIF(Covenants!C13:I13,"BREACH")=0,"PASS","REVIEW")</f>
        <v>PASS</v>
      </c>
    </row>
    <row r="10" customFormat="false" ht="15" hidden="false" customHeight="true" outlineLevel="0" collapsed="false">
      <c r="B10" s="1" t="s">
        <v>271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272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273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</row>
    <row r="4" customFormat="false" ht="15" hidden="false" customHeight="true" outlineLevel="0" collapsed="false">
      <c r="B4" s="16" t="s">
        <v>276</v>
      </c>
      <c r="C4" s="16" t="s">
        <v>277</v>
      </c>
      <c r="D4" s="16" t="s">
        <v>106</v>
      </c>
      <c r="E4" s="16" t="s">
        <v>278</v>
      </c>
    </row>
    <row r="5" customFormat="false" ht="15" hidden="false" customHeight="true" outlineLevel="0" collapsed="false">
      <c r="B5" s="32" t="s">
        <v>279</v>
      </c>
      <c r="C5" s="32" t="s">
        <v>280</v>
      </c>
      <c r="D5" s="32" t="s">
        <v>281</v>
      </c>
      <c r="E5" s="32" t="s">
        <v>282</v>
      </c>
    </row>
    <row r="6" customFormat="false" ht="15" hidden="false" customHeight="true" outlineLevel="0" collapsed="false">
      <c r="B6" s="32" t="s">
        <v>283</v>
      </c>
      <c r="C6" s="32" t="s">
        <v>284</v>
      </c>
      <c r="D6" s="32" t="s">
        <v>6</v>
      </c>
      <c r="E6" s="32" t="s">
        <v>285</v>
      </c>
    </row>
    <row r="7" customFormat="false" ht="15" hidden="false" customHeight="true" outlineLevel="0" collapsed="false">
      <c r="B7" s="32" t="s">
        <v>286</v>
      </c>
      <c r="C7" s="32" t="s">
        <v>287</v>
      </c>
      <c r="D7" s="32" t="s">
        <v>6</v>
      </c>
      <c r="E7" s="32" t="s">
        <v>288</v>
      </c>
    </row>
    <row r="8" customFormat="false" ht="15" hidden="false" customHeight="true" outlineLevel="0" collapsed="false">
      <c r="B8" s="32" t="s">
        <v>289</v>
      </c>
      <c r="C8" s="32" t="s">
        <v>290</v>
      </c>
      <c r="D8" s="32" t="s">
        <v>6</v>
      </c>
      <c r="E8" s="32" t="s">
        <v>291</v>
      </c>
    </row>
    <row r="9" customFormat="false" ht="15" hidden="false" customHeight="true" outlineLevel="0" collapsed="false">
      <c r="B9" s="32" t="s">
        <v>292</v>
      </c>
      <c r="C9" s="32" t="s">
        <v>293</v>
      </c>
      <c r="D9" s="32" t="s">
        <v>6</v>
      </c>
      <c r="E9" s="32" t="s">
        <v>294</v>
      </c>
    </row>
    <row r="10" customFormat="false" ht="15" hidden="false" customHeight="false" outlineLevel="0" collapsed="false">
      <c r="B10" s="33" t="s">
        <v>295</v>
      </c>
      <c r="C10" s="33" t="s">
        <v>296</v>
      </c>
      <c r="D10" s="33" t="s">
        <v>8</v>
      </c>
      <c r="E10" s="33" t="s">
        <v>297</v>
      </c>
    </row>
    <row r="11" customFormat="false" ht="15" hidden="false" customHeight="false" outlineLevel="0" collapsed="false">
      <c r="B11" s="33" t="s">
        <v>298</v>
      </c>
      <c r="C11" s="33" t="s">
        <v>299</v>
      </c>
      <c r="D11" s="33" t="s">
        <v>8</v>
      </c>
      <c r="E11" s="33" t="s">
        <v>300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302</v>
      </c>
      <c r="D4" s="16" t="s">
        <v>303</v>
      </c>
      <c r="E4" s="16" t="s">
        <v>304</v>
      </c>
      <c r="F4" s="16" t="s">
        <v>305</v>
      </c>
      <c r="G4" s="16" t="s">
        <v>306</v>
      </c>
    </row>
    <row r="5" customFormat="false" ht="15" hidden="false" customHeight="true" outlineLevel="0" collapsed="false">
      <c r="B5" s="34" t="s">
        <v>307</v>
      </c>
      <c r="C5" s="34" t="s">
        <v>308</v>
      </c>
      <c r="D5" s="34" t="s">
        <v>299</v>
      </c>
      <c r="E5" s="34" t="s">
        <v>309</v>
      </c>
      <c r="F5" s="34" t="s">
        <v>310</v>
      </c>
      <c r="G5" s="34" t="s">
        <v>311</v>
      </c>
    </row>
    <row r="6" customFormat="false" ht="15" hidden="false" customHeight="true" outlineLevel="0" collapsed="false">
      <c r="B6" s="34"/>
      <c r="C6" s="34"/>
      <c r="D6" s="34"/>
      <c r="E6" s="34"/>
      <c r="F6" s="34"/>
      <c r="G6" s="34"/>
    </row>
    <row r="7" customFormat="false" ht="15" hidden="false" customHeight="true" outlineLevel="0" collapsed="false">
      <c r="B7" s="34"/>
      <c r="C7" s="34"/>
      <c r="D7" s="34"/>
      <c r="E7" s="34"/>
      <c r="F7" s="34"/>
      <c r="G7" s="34"/>
    </row>
    <row r="8" customFormat="false" ht="15" hidden="false" customHeight="true" outlineLevel="0" collapsed="false">
      <c r="B8" s="34"/>
      <c r="C8" s="34"/>
      <c r="D8" s="34"/>
      <c r="E8" s="34"/>
      <c r="F8" s="34"/>
      <c r="G8" s="34"/>
    </row>
    <row r="9" customFormat="false" ht="15" hidden="false" customHeight="true" outlineLevel="0" collapsed="false">
      <c r="B9" s="34"/>
      <c r="C9" s="34"/>
      <c r="D9" s="34"/>
      <c r="E9" s="34"/>
      <c r="F9" s="34"/>
      <c r="G9" s="34"/>
    </row>
    <row r="10" customFormat="false" ht="15" hidden="false" customHeight="tru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tru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tru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tru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tru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tru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tru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tru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tru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tru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tru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tru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tru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tru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tru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tru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tru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tru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tru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tru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2026-08-04T18:30:38Z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