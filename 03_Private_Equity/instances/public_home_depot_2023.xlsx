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Sources &amp; Uses" sheetId="6" state="visible" r:id="rId8"/>
    <sheet name="Operating Model" sheetId="7" state="visible" r:id="rId9"/>
    <sheet name="Debt Schedule" sheetId="8" state="visible" r:id="rId10"/>
    <sheet name="Covenants" sheetId="9" state="visible" r:id="rId11"/>
    <sheet name="Management Equity" sheetId="10" state="visible" r:id="rId12"/>
    <sheet name="Returns Waterfall" sheetId="11" state="visible" r:id="rId13"/>
    <sheet name="Sensitivity" sheetId="12" state="visible" r:id="rId14"/>
    <sheet name="Checks" sheetId="13" state="visible" r:id="rId15"/>
    <sheet name="Sources" sheetId="14" state="visible" r:id="rId16"/>
    <sheet name="RefreshLog" sheetId="15" state="visible" r:id="rId17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<sst xmlns="http://schemas.openxmlformats.org/spreadsheetml/2006/main" count="453" uniqueCount="314">
  <si>
    <t xml:space="preserve">[TARGET] — LBO Underwriting Model</t>
  </si>
  <si>
    <t xml:space="preserve">Target / transaction:</t>
  </si>
  <si>
    <t xml:space="preserve">The Home Depot, Inc. -- FY2023 public-company operating case</t>
  </si>
  <si>
    <t xml:space="preserve">Sponsor / principal:</t>
  </si>
  <si>
    <t xml:space="preserve">[Fund / merchant bank]</t>
  </si>
  <si>
    <t xml:space="preserve">Entry / close date:</t>
  </si>
  <si>
    <t xml:space="preserve">[date]</t>
  </si>
  <si>
    <t xml:space="preserve">Last refreshed:</t>
  </si>
  <si>
    <t xml:space="preserve">2024-03-13</t>
  </si>
  <si>
    <t xml:space="preserve">Next IC / financing event: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</si>
  <si>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</si>
  <si>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</si>
  <si>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</si>
  <si>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</si>
  <si>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</si>
  <si>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</si>
  <si>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</si>
  <si>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</si>
  <si>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</si>
  <si>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</si>
  <si>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</si>
  <si>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</si>
  <si>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</si>
  <si>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Private Equity — Institutional Decision Surface</t>
  </si>
  <si>
    <t xml:space="preserve">Model ID</t>
  </si>
  <si>
    <t xml:space="preserve">03</t>
  </si>
  <si>
    <t xml:space="preserve">Domain</t>
  </si>
  <si>
    <t xml:space="preserve">Private Equity</t>
  </si>
  <si>
    <t xml:space="preserve">Declared maturity</t>
  </si>
  <si>
    <t xml:space="preserve">M2</t>
  </si>
  <si>
    <t xml:space="preserve">Canonical builder</t>
  </si>
  <si>
    <t xml:space="preserve">tools/builders/build_lbo_release.py</t>
  </si>
  <si>
    <t xml:space="preserve">Decision arena</t>
  </si>
  <si>
    <t xml:space="preserve">deal team, operating partner, financing team, investment committee and LPAC</t>
  </si>
  <si>
    <t xml:space="preserve">Committee artifact</t>
  </si>
  <si>
    <t xml:space="preserve">investment committee underwriting memo</t>
  </si>
  <si>
    <t xml:space="preserve">Operating cadence</t>
  </si>
  <si>
    <t xml:space="preserve">weekly pre-close; monthly portfolio; quarterly IC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</si>
  <si>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</si>
  <si>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</si>
  <si>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</si>
  <si>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</si>
  <si>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</si>
  <si>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</si>
  <si>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sponsor MOIC and IRR</t>
  </si>
  <si>
    <t xml:space="preserve">OPEN</t>
  </si>
  <si>
    <t xml:space="preserve">debt paydown and covenant headroom</t>
  </si>
  <si>
    <t xml:space="preserve">management equity waterfall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</si>
  <si>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</si>
  <si>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</si>
  <si>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</si>
  <si>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EBITDA add-backs survive lender diligence?</t>
  </si>
  <si>
    <t xml:space="preserve">Where does the business need cash before it generates cash?</t>
  </si>
  <si>
    <t xml:space="preserve">Which covenant is springing and when?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</si>
  <si>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</si>
  <si>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</si>
  <si>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</si>
  <si>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volume/price/mix miss</t>
  </si>
  <si>
    <t xml:space="preserve">margin plan delay</t>
  </si>
  <si>
    <t xml:space="preserve">working-capital leakage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</si>
  <si>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</si>
  <si>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</si>
  <si>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</si>
  <si>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QoE and net working capital report</t>
  </si>
  <si>
    <t xml:space="preserve">market / commercial diligence</t>
  </si>
  <si>
    <t xml:space="preserve">debt term sheets and commitment papers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</si>
  <si>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</si>
  <si>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</si>
  <si>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</si>
  <si>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sources equal uses</t>
  </si>
  <si>
    <t xml:space="preserve">minimum cash never breached without explicit cure</t>
  </si>
  <si>
    <t xml:space="preserve">debt tranches conserve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</si>
  <si>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</si>
  <si>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</si>
  <si>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</si>
  <si>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sizing leverage off adjusted EBITDA that lenders reject</t>
  </si>
  <si>
    <t xml:space="preserve">ignoring seasonal revolver needs</t>
  </si>
  <si>
    <t xml:space="preserve">using annual averages for monthly covenant troughs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</si>
  <si>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</si>
  <si>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</si>
  <si>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</si>
  <si>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</si>
  <si>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</si>
  <si>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</si>
  <si>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</si>
  <si>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</si>
  <si>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</si>
  <si>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</si>
  <si>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</si>
  <si>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</si>
  <si>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OCC Rating Credit Risk</t>
  </si>
  <si>
    <t xml:space="preserve">repayment capacity and risk rating</t>
  </si>
  <si>
    <t xml:space="preserve">https://www.occ.treas.gov/publications-and-resources/publications/comptrollers-handbook/files/rating-credit-risk/pub-ch-rating-credit-risk.pdf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</si>
  <si>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</si>
  <si>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</si>
  <si>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</si>
  <si>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</si>
  <si>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</si>
  <si>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</si>
  <si>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</si>
  <si>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</si>
  <si>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</si>
  <si>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</si>
  <si>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</si>
  <si>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</si>
  <si>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</si>
  <si>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</si>
  <si>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</si>
  <si>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</si>
  <si>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operating KPI pack</t>
  </si>
  <si>
    <t xml:space="preserve">monthly</t>
  </si>
  <si>
    <t xml:space="preserve">reported-to-underwritten bridge</t>
  </si>
  <si>
    <t xml:space="preserve">TO MAP</t>
  </si>
  <si>
    <t xml:space="preserve">debt balances</t>
  </si>
  <si>
    <t xml:space="preserve">agent statement tie-out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</si>
  <si>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</si>
  <si>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</si>
  <si>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</si>
  <si>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</si>
  <si>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</si>
  <si>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</si>
  <si>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Transaction, Operating, and Financing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</si>
  <si>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</si>
  <si>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</si>
  <si>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</si>
  <si>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</si>
  <si>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LTM revenue</t>
  </si>
  <si>
    <t xml:space="preserve">$mm</t>
  </si>
  <si>
    <t xml:space="preserve">LTM EBITDA margin</t>
  </si>
  <si>
    <t xml:space="preserve">%</t>
  </si>
  <si>
    <t xml:space="preserve">Annual revenue growth</t>
  </si>
  <si>
    <t xml:space="preserve">Annual EBITDA margin expansion</t>
  </si>
  <si>
    <t xml:space="preserve">% points</t>
  </si>
  <si>
    <t xml:space="preserve">D&amp;A / revenue</t>
  </si>
  <si>
    <t xml:space="preserve">Capex / revenue</t>
  </si>
  <si>
    <t xml:space="preserve">NWC / revenue</t>
  </si>
  <si>
    <t xml:space="preserve">Cash tax rate</t>
  </si>
  <si>
    <t xml:space="preserve">Entry EBITDA multiple</t>
  </si>
  <si>
    <t xml:space="preserve">x</t>
  </si>
  <si>
    <t xml:space="preserve">Transaction fees / enterprise value</t>
  </si>
  <si>
    <t xml:space="preserve">Existing net debt refinanced</t>
  </si>
  <si>
    <t xml:space="preserve">Minimum cash</t>
  </si>
  <si>
    <t xml:space="preserve">Revolver commitment</t>
  </si>
  <si>
    <t xml:space="preserve">Revolver cash rate</t>
  </si>
  <si>
    <t xml:space="preserve">TLB opening leverage</t>
  </si>
  <si>
    <t xml:space="preserve">x EBITDA</t>
  </si>
  <si>
    <t xml:space="preserve">TLB cash rate</t>
  </si>
  <si>
    <t xml:space="preserve">TLB annual amortization</t>
  </si>
  <si>
    <t xml:space="preserve">% original</t>
  </si>
  <si>
    <t xml:space="preserve">Second-lien opening leverage</t>
  </si>
  <si>
    <t xml:space="preserve">Second-lien cash rate</t>
  </si>
  <si>
    <t xml:space="preserve">Second-lien PIK rate</t>
  </si>
  <si>
    <t xml:space="preserve">Cash sweep</t>
  </si>
  <si>
    <t xml:space="preserve">% excess cash</t>
  </si>
  <si>
    <t xml:space="preserve">Maximum leverage covenant</t>
  </si>
  <si>
    <t xml:space="preserve">Minimum interest coverage</t>
  </si>
  <si>
    <t xml:space="preserve">Exit EBITDA multiple</t>
  </si>
  <si>
    <t xml:space="preserve">Exit year</t>
  </si>
  <si>
    <t xml:space="preserve">year</t>
  </si>
  <si>
    <t xml:space="preserve">Management equity pool</t>
  </si>
  <si>
    <t xml:space="preserve">% fully diluted</t>
  </si>
  <si>
    <t xml:space="preserve">Sponsor preferred return</t>
  </si>
  <si>
    <t xml:space="preserve">Management catch-up above hurdle</t>
  </si>
  <si>
    <t xml:space="preserve">% incremental</t>
  </si>
  <si>
    <t xml:space="preserve">Revolver commitment fee (undrawn balance)</t>
  </si>
  <si>
    <t xml:space="preserve">% p.a.</t>
  </si>
  <si>
    <t xml:space="preserve">Transaction Sources &amp; Uses</t>
  </si>
  <si>
    <t xml:space="preserve">Uses</t>
  </si>
  <si>
    <t xml:space="preserve">Amount</t>
  </si>
  <si>
    <t xml:space="preserve">Sources</t>
  </si>
  <si>
    <t xml:space="preserve">Purchase enterprise value</t>
  </si>
  <si>
    <t xml:space="preserve">Revolver at close</t>
  </si>
  <si>
    <t xml:space="preserve">Refinance existing net debt</t>
  </si>
  <si>
    <t xml:space="preserve">Term loan B</t>
  </si>
  <si>
    <t xml:space="preserve">Transaction fees</t>
  </si>
  <si>
    <t xml:space="preserve">Second-lien / holdco debt</t>
  </si>
  <si>
    <t xml:space="preserve">Minimum cash funded</t>
  </si>
  <si>
    <t xml:space="preserve">Sponsor equity</t>
  </si>
  <si>
    <t xml:space="preserve">Total uses</t>
  </si>
  <si>
    <t xml:space="preserve">Total sources</t>
  </si>
  <si>
    <t xml:space="preserve">Sources less uses</t>
  </si>
  <si>
    <t xml:space="preserve">Seven-Year Operating, Tax, and Cash Flow Model</t>
  </si>
  <si>
    <t xml:space="preserve">$mm / %</t>
  </si>
  <si>
    <t xml:space="preserve">LTM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</si>
  <si>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</si>
  <si>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</si>
  <si>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</si>
  <si>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</si>
  <si>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</si>
  <si>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</si>
  <si>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</si>
  <si>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Revenue</t>
  </si>
  <si>
    <t xml:space="preserve">Revenue growth</t>
  </si>
  <si>
    <t xml:space="preserve">EBITDA margin</t>
  </si>
  <si>
    <t xml:space="preserve">EBITDA</t>
  </si>
  <si>
    <t xml:space="preserve">D&amp;A</t>
  </si>
  <si>
    <t xml:space="preserve">EBIT</t>
  </si>
  <si>
    <t xml:space="preserve">Cash interest</t>
  </si>
  <si>
    <t xml:space="preserve">EBT</t>
  </si>
  <si>
    <t xml:space="preserve">Cash taxes</t>
  </si>
  <si>
    <t xml:space="preserve">Net income</t>
  </si>
  <si>
    <t xml:space="preserve">Capex</t>
  </si>
  <si>
    <t xml:space="preserve">NWC</t>
  </si>
  <si>
    <t xml:space="preserve">Change in NWC</t>
  </si>
  <si>
    <t xml:space="preserve">FCF before financing</t>
  </si>
  <si>
    <t xml:space="preserve">FCF before interest</t>
  </si>
  <si>
    <t xml:space="preserve">Multi-Tranche Debt and Cash Sweep</t>
  </si>
  <si>
    <t xml:space="preserve">Close</t>
  </si>
  <si>
    <t xml:space="preserve">Beginning cash</t>
  </si>
  <si>
    <t xml:space="preserve">Mandatory TLB amortization</t>
  </si>
  <si>
    <t xml:space="preserve">Cash before revolver / sweep</t>
  </si>
  <si>
    <t xml:space="preserve">Revolver draw / (repayment)</t>
  </si>
  <si>
    <t xml:space="preserve">Cash sweep to TLB</t>
  </si>
  <si>
    <t xml:space="preserve">Cash sweep to second lien</t>
  </si>
  <si>
    <t xml:space="preserve">Ending cash</t>
  </si>
  <si>
    <t xml:space="preserve">Beginning revolver</t>
  </si>
  <si>
    <t xml:space="preserve">Revolver interest</t>
  </si>
  <si>
    <t xml:space="preserve">Ending revolver</t>
  </si>
  <si>
    <t xml:space="preserve">Beginning TLB</t>
  </si>
  <si>
    <t xml:space="preserve">TLB interest</t>
  </si>
  <si>
    <t xml:space="preserve">TLB amortization</t>
  </si>
  <si>
    <t xml:space="preserve">TLB cash sweep</t>
  </si>
  <si>
    <t xml:space="preserve">Ending TLB</t>
  </si>
  <si>
    <t xml:space="preserve">Beginning second lien</t>
  </si>
  <si>
    <t xml:space="preserve">Second-lien cash interest</t>
  </si>
  <si>
    <t xml:space="preserve">Second-lien PIK</t>
  </si>
  <si>
    <t xml:space="preserve">Second-lien cash sweep</t>
  </si>
  <si>
    <t xml:space="preserve">Ending second lien</t>
  </si>
  <si>
    <t xml:space="preserve">Total debt</t>
  </si>
  <si>
    <t xml:space="preserve">Net debt</t>
  </si>
  <si>
    <t xml:space="preserve">Lender Covenant and Liquidity Dashboard</t>
  </si>
  <si>
    <t xml:space="preserve">Metric</t>
  </si>
  <si>
    <t xml:space="preserve">Gross leverage</t>
  </si>
  <si>
    <t xml:space="preserve">Maximum leverage</t>
  </si>
  <si>
    <t xml:space="preserve">Leverage headroom</t>
  </si>
  <si>
    <t xml:space="preserve">Interest coverage</t>
  </si>
  <si>
    <t xml:space="preserve">Minimum coverage</t>
  </si>
  <si>
    <t xml:space="preserve">Coverage headroom</t>
  </si>
  <si>
    <t xml:space="preserve">Cash headroom</t>
  </si>
  <si>
    <t xml:space="preserve">Management Equity and Incentive Pool</t>
  </si>
  <si>
    <t xml:space="preserve">Value</t>
  </si>
  <si>
    <t xml:space="preserve">Units</t>
  </si>
  <si>
    <t xml:space="preserve">Notes</t>
  </si>
  <si>
    <t xml:space="preserve">Management fully diluted pool</t>
  </si>
  <si>
    <t xml:space="preserve">granted / reserved pool</t>
  </si>
  <si>
    <t xml:space="preserve">Sponsor ownership before pool</t>
  </si>
  <si>
    <t xml:space="preserve">fully diluted</t>
  </si>
  <si>
    <t xml:space="preserve">Sponsor invested equity</t>
  </si>
  <si>
    <t xml:space="preserve">entry equity</t>
  </si>
  <si>
    <t xml:space="preserve">Preferred return at exit</t>
  </si>
  <si>
    <t xml:space="preserve">sponsor hurdle</t>
  </si>
  <si>
    <t xml:space="preserve">Management catch-up rate</t>
  </si>
  <si>
    <t xml:space="preserve">above preferred return</t>
  </si>
  <si>
    <t xml:space="preserve">Exit Equity and Sponsor / Management Waterfall</t>
  </si>
  <si>
    <t xml:space="preserve">Selected exit</t>
  </si>
  <si>
    <t xml:space="preserve">Exit EBITDA</t>
  </si>
  <si>
    <t xml:space="preserve">Exit multiple</t>
  </si>
  <si>
    <t xml:space="preserve">Exit enterprise value</t>
  </si>
  <si>
    <t xml:space="preserve">Gross equity value</t>
  </si>
  <si>
    <t xml:space="preserve">Equity above preferred</t>
  </si>
  <si>
    <t xml:space="preserve">Management proceeds</t>
  </si>
  <si>
    <t xml:space="preserve">Sponsor proceeds</t>
  </si>
  <si>
    <t xml:space="preserve">Sponsor MOIC</t>
  </si>
  <si>
    <t xml:space="preserve">Sponsor IRR</t>
  </si>
  <si>
    <t xml:space="preserve">Sponsor IRR Sensitivity</t>
  </si>
  <si>
    <t xml:space="preserve">Entry / Exit multiple</t>
  </si>
  <si>
    <t xml:space="preserve">LBO Model Checks</t>
  </si>
  <si>
    <t xml:space="preserve">Check</t>
  </si>
  <si>
    <t xml:space="preserve">Sources equal uses</t>
  </si>
  <si>
    <t xml:space="preserve">Sponsor equity positive</t>
  </si>
  <si>
    <t xml:space="preserve">Debt balances nonnegative</t>
  </si>
  <si>
    <t xml:space="preserve">Cash at or above minimum</t>
  </si>
  <si>
    <t xml:space="preserve">No covenant breaches</t>
  </si>
  <si>
    <t xml:space="preserve">Exit equity nonnegative</t>
  </si>
  <si>
    <t xml:space="preserve">Waterfall conserves equity</t>
  </si>
  <si>
    <t xml:space="preserve">Selected exit year valid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</si>
  <si>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</si>
  <si>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</si>
  <si>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</si>
  <si>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</si>
  <si>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</si>
  <si>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Historical financial statements</t>
  </si>
  <si>
    <t xml:space="preserve">[filing / data room URL]</t>
  </si>
  <si>
    <t xml:space="preserve">[period]</t>
  </si>
  <si>
    <t xml:space="preserve">Revenue, margins, capex, working capital, taxes</t>
  </si>
  <si>
    <t xml:space="preserve">Quality of earnings and diligence</t>
  </si>
  <si>
    <t xml:space="preserve">[advisor report URL]</t>
  </si>
  <si>
    <t xml:space="preserve">EBITDA adjustments, one-time items, risks</t>
  </si>
  <si>
    <t xml:space="preserve">Debt term sheets and documentation</t>
  </si>
  <si>
    <t xml:space="preserve">[data room URL]</t>
  </si>
  <si>
    <t xml:space="preserve">Rates, PIK, amortization, sweeps, covenants, baskets</t>
  </si>
  <si>
    <t xml:space="preserve">Transaction terms</t>
  </si>
  <si>
    <t xml:space="preserve">[purchase agreement / process letter]</t>
  </si>
  <si>
    <t xml:space="preserve">Price, fees, minimum cash, rollover, management pool</t>
  </si>
  <si>
    <t xml:space="preserve">Market valuation references</t>
  </si>
  <si>
    <t xml:space="preserve">[public market / transaction source]</t>
  </si>
  <si>
    <t xml:space="preserve">Entry and exit multiple support</t>
  </si>
  <si>
    <t xml:space="preserve">Home Depot 2023 Form 10-K</t>
  </si>
  <si>
    <t xml:space="preserve">https://www.sec.gov/Archives/edgar/data/354950/000035495024000062/hd-20240128.htm</t>
  </si>
  <si>
    <t xml:space="preserve">U.S. SEC; frozen curated observation as of case date</t>
  </si>
  <si>
    <t xml:space="preserve">Frozen source snapshot</t>
  </si>
  <si>
    <t xml:space="preserve">repo://03_Private_Equity/sources/snapshots/pe-public-home-depot-2023.json</t>
  </si>
  <si>
    <t xml:space="preserve">Immutable curated observation package with SHA-256 digest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</si>
  <si>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</si>
  <si>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</si>
  <si>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</si>
  <si>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</si>
  <si>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</si>
  <si>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</si>
  <si>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</si>
  <si>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</si>
  <si>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pe-public-home-depot-2023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</si>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</sst>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%;[RED]\(0.0%\);\-"/>
    <numFmt numFmtId="167" formatCode="0.00%;[RED]\(0.00%\);\-"/>
    <numFmt numFmtId="168" formatCode="0.0\x;[RED]\(0.0&quot;x)&quot;;\-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4" t="s">
        <v>4</v>
      </c>
    </row>
    <row r="6" customFormat="false" ht="15" hidden="false" customHeight="false" outlineLevel="0" collapsed="false">
      <c r="B6" s="2" t="s">
        <v>5</v>
      </c>
      <c r="C6" s="4" t="s">
        <v>6</v>
      </c>
    </row>
    <row r="7" customFormat="false" ht="15" hidden="false" customHeight="false" outlineLevel="0" collapsed="false">
      <c r="B7" s="2" t="s">
        <v>7</v>
      </c>
      <c r="C7" s="3" t="s">
        <v>8</v>
      </c>
    </row>
    <row r="8" customFormat="false" ht="15" hidden="false" customHeight="false" outlineLevel="0" collapsed="false">
      <c r="B8" s="2" t="s">
        <v>9</v>
      </c>
      <c r="C8" s="4" t="s">
        <v>6</v>
      </c>
    </row>
    <row r="9" customFormat="false" ht="15" hidden="false" customHeight="false" outlineLevel="0" collapsed="false">
      <c r="B9" s="2" t="s">
        <v>10</v>
      </c>
      <c r="C9" s="3" t="s">
        <v>11</v>
      </c>
    </row>
    <row r="10" customFormat="false" ht="15" hidden="false" customHeight="false" outlineLevel="0" collapsed="false">
      <c r="B10" s="2" t="s">
        <v>12</v>
      </c>
      <c r="C10" s="4" t="s">
        <v>13</v>
      </c>
    </row>
    <row r="13" customFormat="false" ht="15" hidden="false" customHeight="false" outlineLevel="0" collapsed="false">
      <c r="B13" s="5" t="s">
        <v>14</v>
      </c>
      <c r="C13" s="5"/>
      <c r="D13" s="5"/>
      <c r="E13" s="5"/>
      <c r="F13" s="5"/>
    </row>
    <row r="14" customFormat="false" ht="15" hidden="false" customHeight="false" outlineLevel="0" collapsed="false">
      <c r="B14" s="6" t="s">
        <v>15</v>
      </c>
      <c r="C14" s="7" t="s">
        <v>16</v>
      </c>
    </row>
    <row r="15" customFormat="false" ht="15" hidden="false" customHeight="false" outlineLevel="0" collapsed="false">
      <c r="B15" s="2" t="s">
        <v>17</v>
      </c>
      <c r="C15" s="7" t="s">
        <v>18</v>
      </c>
    </row>
    <row r="16" customFormat="false" ht="15" hidden="false" customHeight="false" outlineLevel="0" collapsed="false">
      <c r="B16" s="8" t="s">
        <v>19</v>
      </c>
      <c r="C16" s="7" t="s">
        <v>20</v>
      </c>
    </row>
    <row r="17" customFormat="false" ht="15" hidden="false" customHeight="false" outlineLevel="0" collapsed="false">
      <c r="B17" s="2" t="s">
        <v>21</v>
      </c>
      <c r="C17" s="7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9" t="s">
        <v>23</v>
      </c>
      <c r="C2" s="9"/>
      <c r="D2" s="9"/>
      <c r="E2" s="9"/>
      <c r="F2" s="9"/>
    </row>
    <row r="4" customFormat="false" ht="15" hidden="false" customHeight="true" outlineLevel="0" collapsed="false">
      <c r="B4" s="10" t="s">
        <v>24</v>
      </c>
      <c r="C4" s="11" t="s">
        <v>25</v>
      </c>
      <c r="D4" s="11"/>
      <c r="E4" s="11"/>
      <c r="F4" s="11"/>
    </row>
    <row r="5" customFormat="false" ht="15" hidden="false" customHeight="true" outlineLevel="0" collapsed="false">
      <c r="B5" s="10" t="s">
        <v>26</v>
      </c>
      <c r="C5" s="11" t="s">
        <v>27</v>
      </c>
      <c r="D5" s="11"/>
      <c r="E5" s="11"/>
      <c r="F5" s="11"/>
    </row>
    <row r="6" customFormat="false" ht="15" hidden="false" customHeight="true" outlineLevel="0" collapsed="false">
      <c r="B6" s="10" t="s">
        <v>28</v>
      </c>
      <c r="C6" s="11" t="s">
        <v>29</v>
      </c>
      <c r="D6" s="11"/>
      <c r="E6" s="11"/>
      <c r="F6" s="11"/>
    </row>
    <row r="7" customFormat="false" ht="15" hidden="false" customHeight="true" outlineLevel="0" collapsed="false">
      <c r="B7" s="10" t="s">
        <v>30</v>
      </c>
      <c r="C7" s="11" t="s">
        <v>31</v>
      </c>
      <c r="D7" s="11"/>
      <c r="E7" s="11"/>
      <c r="F7" s="11"/>
    </row>
    <row r="8" customFormat="false" ht="15" hidden="false" customHeight="true" outlineLevel="0" collapsed="false">
      <c r="B8" s="10" t="s">
        <v>32</v>
      </c>
      <c r="C8" s="11" t="s">
        <v>33</v>
      </c>
      <c r="D8" s="11"/>
      <c r="E8" s="11"/>
      <c r="F8" s="11"/>
    </row>
    <row r="9" customFormat="false" ht="15" hidden="false" customHeight="true" outlineLevel="0" collapsed="false">
      <c r="B9" s="10" t="s">
        <v>34</v>
      </c>
      <c r="C9" s="11" t="s">
        <v>35</v>
      </c>
      <c r="D9" s="11"/>
      <c r="E9" s="11"/>
      <c r="F9" s="11"/>
    </row>
    <row r="10" customFormat="false" ht="15" hidden="false" customHeight="true" outlineLevel="0" collapsed="false">
      <c r="B10" s="10" t="s">
        <v>36</v>
      </c>
      <c r="C10" s="11" t="s">
        <v>37</v>
      </c>
      <c r="D10" s="11"/>
      <c r="E10" s="11"/>
      <c r="F10" s="11"/>
    </row>
    <row r="12" customFormat="false" ht="15" hidden="false" customHeight="false" outlineLevel="0" collapsed="false">
      <c r="B12" s="12" t="s">
        <v>38</v>
      </c>
      <c r="C12" s="12"/>
      <c r="D12" s="12"/>
      <c r="E12" s="12"/>
      <c r="F12" s="12"/>
    </row>
    <row r="13" customFormat="false" ht="15" hidden="false" customHeight="false" outlineLevel="0" collapsed="false">
      <c r="B13" s="13" t="s">
        <v>39</v>
      </c>
      <c r="C13" s="13" t="s">
        <v>40</v>
      </c>
      <c r="D13" s="13" t="s">
        <v>41</v>
      </c>
      <c r="E13" s="13" t="s">
        <v>42</v>
      </c>
      <c r="F13" s="13" t="s">
        <v>43</v>
      </c>
    </row>
    <row r="14" customFormat="false" ht="15" hidden="false" customHeight="false" outlineLevel="0" collapsed="false">
      <c r="B14" s="0" t="n">
        <v>1</v>
      </c>
      <c r="C14" s="0" t="s">
        <v>44</v>
      </c>
      <c r="F14" s="14" t="s">
        <v>45</v>
      </c>
    </row>
    <row r="15" customFormat="false" ht="15" hidden="false" customHeight="false" outlineLevel="0" collapsed="false">
      <c r="B15" s="0" t="n">
        <v>2</v>
      </c>
      <c r="C15" s="0" t="s">
        <v>46</v>
      </c>
      <c r="F15" s="14" t="s">
        <v>45</v>
      </c>
    </row>
    <row r="16" customFormat="false" ht="15" hidden="false" customHeight="false" outlineLevel="0" collapsed="false">
      <c r="B16" s="0" t="n">
        <v>3</v>
      </c>
      <c r="C16" s="0" t="s">
        <v>47</v>
      </c>
      <c r="F16" s="14" t="s">
        <v>45</v>
      </c>
    </row>
    <row r="17" customFormat="false" ht="15" hidden="false" customHeight="false" outlineLevel="0" collapsed="false">
      <c r="B17" s="0" t="n">
        <v>4</v>
      </c>
      <c r="C17" s="0" t="s">
        <v>48</v>
      </c>
      <c r="F17" s="14" t="s">
        <v>45</v>
      </c>
    </row>
    <row r="18" customFormat="false" ht="15" hidden="false" customHeight="false" outlineLevel="0" collapsed="false">
      <c r="B18" s="0" t="n">
        <v>5</v>
      </c>
      <c r="C18" s="0" t="s">
        <v>49</v>
      </c>
      <c r="F18" s="14" t="s">
        <v>45</v>
      </c>
    </row>
    <row r="20" customFormat="false" ht="15" hidden="false" customHeight="false" outlineLevel="0" collapsed="false">
      <c r="B20" s="12" t="s">
        <v>50</v>
      </c>
      <c r="C20" s="12"/>
      <c r="D20" s="12"/>
      <c r="E20" s="12"/>
      <c r="F20" s="12"/>
    </row>
    <row r="21" customFormat="false" ht="15" hidden="false" customHeight="false" outlineLevel="0" collapsed="false">
      <c r="B21" s="13" t="s">
        <v>39</v>
      </c>
      <c r="C21" s="13" t="s">
        <v>40</v>
      </c>
      <c r="D21" s="13" t="s">
        <v>41</v>
      </c>
      <c r="E21" s="13" t="s">
        <v>42</v>
      </c>
      <c r="F21" s="13" t="s">
        <v>43</v>
      </c>
    </row>
    <row r="22" customFormat="false" ht="15" hidden="false" customHeight="false" outlineLevel="0" collapsed="false">
      <c r="B22" s="0" t="n">
        <v>1</v>
      </c>
      <c r="C22" s="0" t="s">
        <v>51</v>
      </c>
      <c r="F22" s="14" t="s">
        <v>45</v>
      </c>
    </row>
    <row r="23" customFormat="false" ht="15" hidden="false" customHeight="false" outlineLevel="0" collapsed="false">
      <c r="B23" s="0" t="n">
        <v>2</v>
      </c>
      <c r="C23" s="0" t="s">
        <v>52</v>
      </c>
      <c r="F23" s="14" t="s">
        <v>45</v>
      </c>
    </row>
    <row r="24" customFormat="false" ht="15" hidden="false" customHeight="false" outlineLevel="0" collapsed="false">
      <c r="B24" s="0" t="n">
        <v>3</v>
      </c>
      <c r="C24" s="0" t="s">
        <v>53</v>
      </c>
      <c r="F24" s="14" t="s">
        <v>45</v>
      </c>
    </row>
    <row r="25" customFormat="false" ht="15" hidden="false" customHeight="false" outlineLevel="0" collapsed="false">
      <c r="B25" s="0" t="n">
        <v>4</v>
      </c>
      <c r="C25" s="0" t="s">
        <v>54</v>
      </c>
      <c r="F25" s="14" t="s">
        <v>45</v>
      </c>
    </row>
    <row r="26" customFormat="false" ht="15" hidden="false" customHeight="false" outlineLevel="0" collapsed="false">
      <c r="B26" s="0" t="n">
        <v>5</v>
      </c>
      <c r="C26" s="0" t="s">
        <v>55</v>
      </c>
      <c r="F26" s="14" t="s">
        <v>45</v>
      </c>
    </row>
    <row r="28" customFormat="false" ht="15" hidden="false" customHeight="false" outlineLevel="0" collapsed="false">
      <c r="B28" s="12" t="s">
        <v>56</v>
      </c>
      <c r="C28" s="12"/>
      <c r="D28" s="12"/>
      <c r="E28" s="12"/>
      <c r="F28" s="12"/>
    </row>
    <row r="29" customFormat="false" ht="15" hidden="false" customHeight="false" outlineLevel="0" collapsed="false">
      <c r="B29" s="13" t="s">
        <v>39</v>
      </c>
      <c r="C29" s="13" t="s">
        <v>40</v>
      </c>
      <c r="D29" s="13" t="s">
        <v>41</v>
      </c>
      <c r="E29" s="13" t="s">
        <v>42</v>
      </c>
      <c r="F29" s="13" t="s">
        <v>43</v>
      </c>
    </row>
    <row r="30" customFormat="false" ht="15" hidden="false" customHeight="false" outlineLevel="0" collapsed="false">
      <c r="B30" s="0" t="n">
        <v>1</v>
      </c>
      <c r="C30" s="0" t="s">
        <v>57</v>
      </c>
      <c r="F30" s="14" t="s">
        <v>45</v>
      </c>
    </row>
    <row r="31" customFormat="false" ht="15" hidden="false" customHeight="false" outlineLevel="0" collapsed="false">
      <c r="B31" s="0" t="n">
        <v>2</v>
      </c>
      <c r="C31" s="0" t="s">
        <v>58</v>
      </c>
      <c r="F31" s="14" t="s">
        <v>45</v>
      </c>
    </row>
    <row r="32" customFormat="false" ht="15" hidden="false" customHeight="false" outlineLevel="0" collapsed="false">
      <c r="B32" s="0" t="n">
        <v>3</v>
      </c>
      <c r="C32" s="0" t="s">
        <v>59</v>
      </c>
      <c r="F32" s="14" t="s">
        <v>45</v>
      </c>
    </row>
    <row r="33" customFormat="false" ht="15" hidden="false" customHeight="false" outlineLevel="0" collapsed="false">
      <c r="B33" s="0" t="n">
        <v>4</v>
      </c>
      <c r="C33" s="0" t="s">
        <v>60</v>
      </c>
      <c r="F33" s="14" t="s">
        <v>45</v>
      </c>
    </row>
    <row r="34" customFormat="false" ht="15" hidden="false" customHeight="false" outlineLevel="0" collapsed="false">
      <c r="B34" s="0" t="n">
        <v>5</v>
      </c>
      <c r="C34" s="0" t="s">
        <v>61</v>
      </c>
      <c r="F34" s="14" t="s">
        <v>45</v>
      </c>
    </row>
    <row r="36" customFormat="false" ht="15" hidden="false" customHeight="false" outlineLevel="0" collapsed="false">
      <c r="B36" s="12" t="s">
        <v>62</v>
      </c>
      <c r="C36" s="12"/>
      <c r="D36" s="12"/>
      <c r="E36" s="12"/>
      <c r="F36" s="12"/>
    </row>
    <row r="37" customFormat="false" ht="15" hidden="false" customHeight="false" outlineLevel="0" collapsed="false">
      <c r="B37" s="13" t="s">
        <v>39</v>
      </c>
      <c r="C37" s="13" t="s">
        <v>40</v>
      </c>
      <c r="D37" s="13" t="s">
        <v>41</v>
      </c>
      <c r="E37" s="13" t="s">
        <v>42</v>
      </c>
      <c r="F37" s="13" t="s">
        <v>43</v>
      </c>
    </row>
    <row r="38" customFormat="false" ht="15" hidden="false" customHeight="false" outlineLevel="0" collapsed="false">
      <c r="B38" s="0" t="n">
        <v>1</v>
      </c>
      <c r="C38" s="0" t="s">
        <v>63</v>
      </c>
      <c r="F38" s="14" t="s">
        <v>45</v>
      </c>
    </row>
    <row r="39" customFormat="false" ht="15" hidden="false" customHeight="false" outlineLevel="0" collapsed="false">
      <c r="B39" s="0" t="n">
        <v>2</v>
      </c>
      <c r="C39" s="0" t="s">
        <v>64</v>
      </c>
      <c r="F39" s="14" t="s">
        <v>45</v>
      </c>
    </row>
    <row r="40" customFormat="false" ht="15" hidden="false" customHeight="false" outlineLevel="0" collapsed="false">
      <c r="B40" s="0" t="n">
        <v>3</v>
      </c>
      <c r="C40" s="0" t="s">
        <v>65</v>
      </c>
      <c r="F40" s="14" t="s">
        <v>45</v>
      </c>
    </row>
    <row r="41" customFormat="false" ht="15" hidden="false" customHeight="false" outlineLevel="0" collapsed="false">
      <c r="B41" s="0" t="n">
        <v>4</v>
      </c>
      <c r="C41" s="0" t="s">
        <v>66</v>
      </c>
      <c r="F41" s="14" t="s">
        <v>45</v>
      </c>
    </row>
    <row r="42" customFormat="false" ht="15" hidden="false" customHeight="false" outlineLevel="0" collapsed="false">
      <c r="B42" s="0" t="n">
        <v>5</v>
      </c>
      <c r="C42" s="0" t="s">
        <v>67</v>
      </c>
      <c r="F42" s="14" t="s">
        <v>45</v>
      </c>
    </row>
    <row r="44" customFormat="false" ht="15" hidden="false" customHeight="false" outlineLevel="0" collapsed="false">
      <c r="B44" s="12" t="s">
        <v>68</v>
      </c>
      <c r="C44" s="12"/>
      <c r="D44" s="12"/>
      <c r="E44" s="12"/>
      <c r="F44" s="12"/>
    </row>
    <row r="45" customFormat="false" ht="15" hidden="false" customHeight="false" outlineLevel="0" collapsed="false">
      <c r="B45" s="13" t="s">
        <v>39</v>
      </c>
      <c r="C45" s="13" t="s">
        <v>40</v>
      </c>
      <c r="D45" s="13" t="s">
        <v>41</v>
      </c>
      <c r="E45" s="13" t="s">
        <v>42</v>
      </c>
      <c r="F45" s="13" t="s">
        <v>43</v>
      </c>
    </row>
    <row r="46" customFormat="false" ht="15" hidden="false" customHeight="false" outlineLevel="0" collapsed="false">
      <c r="B46" s="0" t="n">
        <v>1</v>
      </c>
      <c r="C46" s="0" t="s">
        <v>69</v>
      </c>
      <c r="F46" s="14" t="s">
        <v>45</v>
      </c>
    </row>
    <row r="47" customFormat="false" ht="15" hidden="false" customHeight="false" outlineLevel="0" collapsed="false">
      <c r="B47" s="0" t="n">
        <v>2</v>
      </c>
      <c r="C47" s="0" t="s">
        <v>70</v>
      </c>
      <c r="F47" s="14" t="s">
        <v>45</v>
      </c>
    </row>
    <row r="48" customFormat="false" ht="15" hidden="false" customHeight="false" outlineLevel="0" collapsed="false">
      <c r="B48" s="0" t="n">
        <v>3</v>
      </c>
      <c r="C48" s="0" t="s">
        <v>71</v>
      </c>
      <c r="F48" s="14" t="s">
        <v>45</v>
      </c>
    </row>
    <row r="49" customFormat="false" ht="15" hidden="false" customHeight="false" outlineLevel="0" collapsed="false">
      <c r="B49" s="0" t="n">
        <v>4</v>
      </c>
      <c r="C49" s="0" t="s">
        <v>72</v>
      </c>
      <c r="F49" s="14" t="s">
        <v>45</v>
      </c>
    </row>
    <row r="50" customFormat="false" ht="15" hidden="false" customHeight="false" outlineLevel="0" collapsed="false">
      <c r="B50" s="0" t="n">
        <v>5</v>
      </c>
      <c r="C50" s="0" t="s">
        <v>73</v>
      </c>
      <c r="F50" s="14" t="s">
        <v>45</v>
      </c>
    </row>
    <row r="52" customFormat="false" ht="15" hidden="false" customHeight="false" outlineLevel="0" collapsed="false">
      <c r="B52" s="12" t="s">
        <v>74</v>
      </c>
      <c r="C52" s="12"/>
      <c r="D52" s="12"/>
      <c r="E52" s="12"/>
      <c r="F52" s="12"/>
    </row>
    <row r="53" customFormat="false" ht="15" hidden="false" customHeight="false" outlineLevel="0" collapsed="false">
      <c r="B53" s="13" t="s">
        <v>39</v>
      </c>
      <c r="C53" s="13" t="s">
        <v>40</v>
      </c>
      <c r="D53" s="13" t="s">
        <v>41</v>
      </c>
      <c r="E53" s="13" t="s">
        <v>42</v>
      </c>
      <c r="F53" s="13" t="s">
        <v>43</v>
      </c>
    </row>
    <row r="54" customFormat="false" ht="15" hidden="false" customHeight="false" outlineLevel="0" collapsed="false">
      <c r="B54" s="0" t="n">
        <v>1</v>
      </c>
      <c r="C54" s="0" t="s">
        <v>75</v>
      </c>
      <c r="F54" s="14" t="s">
        <v>45</v>
      </c>
    </row>
    <row r="55" customFormat="false" ht="15" hidden="false" customHeight="false" outlineLevel="0" collapsed="false">
      <c r="B55" s="0" t="n">
        <v>2</v>
      </c>
      <c r="C55" s="0" t="s">
        <v>76</v>
      </c>
      <c r="F55" s="14" t="s">
        <v>45</v>
      </c>
    </row>
    <row r="56" customFormat="false" ht="15" hidden="false" customHeight="false" outlineLevel="0" collapsed="false">
      <c r="B56" s="0" t="n">
        <v>3</v>
      </c>
      <c r="C56" s="0" t="s">
        <v>77</v>
      </c>
      <c r="F56" s="14" t="s">
        <v>45</v>
      </c>
    </row>
    <row r="57" customFormat="false" ht="15" hidden="false" customHeight="false" outlineLevel="0" collapsed="false">
      <c r="B57" s="0" t="n">
        <v>4</v>
      </c>
      <c r="C57" s="0" t="s">
        <v>78</v>
      </c>
      <c r="F57" s="14" t="s">
        <v>45</v>
      </c>
    </row>
    <row r="58" customFormat="false" ht="15" hidden="false" customHeight="false" outlineLevel="0" collapsed="false">
      <c r="B58" s="0" t="n">
        <v>5</v>
      </c>
      <c r="C58" s="0" t="s">
        <v>79</v>
      </c>
      <c r="F58" s="14" t="s">
        <v>45</v>
      </c>
    </row>
    <row r="60" customFormat="false" ht="15" hidden="false" customHeight="false" outlineLevel="0" collapsed="false">
      <c r="B60" s="12" t="s">
        <v>80</v>
      </c>
      <c r="C60" s="12"/>
      <c r="D60" s="12"/>
      <c r="E60" s="12"/>
      <c r="F60" s="12"/>
    </row>
    <row r="61" customFormat="false" ht="15" hidden="false" customHeight="false" outlineLevel="0" collapsed="false">
      <c r="B61" s="13" t="s">
        <v>81</v>
      </c>
      <c r="C61" s="13" t="s">
        <v>82</v>
      </c>
      <c r="D61" s="13" t="s">
        <v>83</v>
      </c>
      <c r="E61" s="13" t="s">
        <v>84</v>
      </c>
      <c r="F61" s="13" t="s">
        <v>85</v>
      </c>
    </row>
    <row r="62" customFormat="false" ht="15" hidden="false" customHeight="false" outlineLevel="0" collapsed="false">
      <c r="B62" s="0" t="s">
        <v>86</v>
      </c>
      <c r="C62" s="0" t="s">
        <v>87</v>
      </c>
      <c r="D62" s="0" t="s">
        <v>88</v>
      </c>
      <c r="E62" s="0" t="s">
        <v>89</v>
      </c>
    </row>
    <row r="63" customFormat="false" ht="15" hidden="false" customHeight="false" outlineLevel="0" collapsed="false">
      <c r="B63" s="0" t="s">
        <v>90</v>
      </c>
      <c r="C63" s="0" t="s">
        <v>91</v>
      </c>
      <c r="D63" s="0" t="s">
        <v>92</v>
      </c>
      <c r="E63" s="0" t="s">
        <v>89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9" t="s">
        <v>93</v>
      </c>
      <c r="C2" s="9"/>
      <c r="D2" s="9"/>
      <c r="E2" s="9"/>
      <c r="F2" s="9"/>
      <c r="G2" s="9"/>
      <c r="H2" s="9"/>
      <c r="I2" s="9"/>
    </row>
    <row r="4" customFormat="false" ht="15" hidden="false" customHeight="false" outlineLevel="0" collapsed="false">
      <c r="B4" s="13" t="s">
        <v>94</v>
      </c>
      <c r="C4" s="13" t="s">
        <v>95</v>
      </c>
      <c r="D4" s="13" t="s">
        <v>96</v>
      </c>
      <c r="E4" s="13" t="s">
        <v>97</v>
      </c>
      <c r="F4" s="13" t="s">
        <v>98</v>
      </c>
      <c r="G4" s="13" t="s">
        <v>99</v>
      </c>
      <c r="H4" s="13" t="s">
        <v>43</v>
      </c>
      <c r="I4" s="13" t="s">
        <v>100</v>
      </c>
    </row>
    <row r="5" customFormat="false" ht="15" hidden="false" customHeight="false" outlineLevel="0" collapsed="false">
      <c r="D5" s="0" t="s">
        <v>69</v>
      </c>
      <c r="H5" s="14" t="s">
        <v>45</v>
      </c>
    </row>
    <row r="6" customFormat="false" ht="15" hidden="false" customHeight="false" outlineLevel="0" collapsed="false">
      <c r="D6" s="0" t="s">
        <v>70</v>
      </c>
      <c r="H6" s="14" t="s">
        <v>45</v>
      </c>
    </row>
    <row r="7" customFormat="false" ht="15" hidden="false" customHeight="false" outlineLevel="0" collapsed="false">
      <c r="D7" s="0" t="s">
        <v>71</v>
      </c>
      <c r="H7" s="14" t="s">
        <v>45</v>
      </c>
    </row>
    <row r="8" customFormat="false" ht="15" hidden="false" customHeight="false" outlineLevel="0" collapsed="false">
      <c r="D8" s="0" t="s">
        <v>72</v>
      </c>
      <c r="H8" s="14" t="s">
        <v>45</v>
      </c>
    </row>
    <row r="9" customFormat="false" ht="15" hidden="false" customHeight="false" outlineLevel="0" collapsed="false">
      <c r="D9" s="0" t="s">
        <v>73</v>
      </c>
      <c r="H9" s="14" t="s">
        <v>45</v>
      </c>
    </row>
    <row r="10" customFormat="false" ht="15" hidden="false" customHeight="false" outlineLevel="0" collapsed="false">
      <c r="H10" s="14"/>
    </row>
    <row r="11" customFormat="false" ht="15" hidden="false" customHeight="false" outlineLevel="0" collapsed="false">
      <c r="H11" s="14"/>
    </row>
    <row r="12" customFormat="false" ht="15" hidden="false" customHeight="false" outlineLevel="0" collapsed="false">
      <c r="H12" s="14"/>
    </row>
    <row r="13" customFormat="false" ht="15" hidden="false" customHeight="false" outlineLevel="0" collapsed="false">
      <c r="H13" s="14"/>
    </row>
    <row r="14" customFormat="false" ht="15" hidden="false" customHeight="false" outlineLevel="0" collapsed="false">
      <c r="H14" s="14"/>
    </row>
    <row r="15" customFormat="false" ht="15" hidden="false" customHeight="false" outlineLevel="0" collapsed="false">
      <c r="H15" s="14"/>
    </row>
    <row r="16" customFormat="false" ht="15" hidden="false" customHeight="false" outlineLevel="0" collapsed="false">
      <c r="H16" s="14"/>
    </row>
    <row r="17" customFormat="false" ht="15" hidden="false" customHeight="false" outlineLevel="0" collapsed="false">
      <c r="H17" s="14"/>
    </row>
    <row r="18" customFormat="false" ht="15" hidden="false" customHeight="false" outlineLevel="0" collapsed="false">
      <c r="H18" s="14"/>
    </row>
    <row r="19" customFormat="false" ht="15" hidden="false" customHeight="false" outlineLevel="0" collapsed="false">
      <c r="H19" s="14"/>
    </row>
    <row r="20" customFormat="false" ht="15" hidden="false" customHeight="false" outlineLevel="0" collapsed="false">
      <c r="H20" s="14"/>
    </row>
    <row r="21" customFormat="false" ht="15" hidden="false" customHeight="false" outlineLevel="0" collapsed="false">
      <c r="H21" s="14"/>
    </row>
    <row r="22" customFormat="false" ht="15" hidden="false" customHeight="false" outlineLevel="0" collapsed="false">
      <c r="H22" s="14"/>
    </row>
    <row r="23" customFormat="false" ht="15" hidden="false" customHeight="false" outlineLevel="0" collapsed="false">
      <c r="H23" s="14"/>
    </row>
    <row r="24" customFormat="false" ht="15" hidden="false" customHeight="false" outlineLevel="0" collapsed="false">
      <c r="H24" s="14"/>
    </row>
    <row r="25" customFormat="false" ht="15" hidden="false" customHeight="false" outlineLevel="0" collapsed="false">
      <c r="H25" s="14"/>
    </row>
    <row r="26" customFormat="false" ht="15" hidden="false" customHeight="false" outlineLevel="0" collapsed="false">
      <c r="H26" s="14"/>
    </row>
    <row r="27" customFormat="false" ht="15" hidden="false" customHeight="false" outlineLevel="0" collapsed="false">
      <c r="H27" s="14"/>
    </row>
    <row r="28" customFormat="false" ht="15" hidden="false" customHeight="false" outlineLevel="0" collapsed="false">
      <c r="H28" s="14"/>
    </row>
    <row r="29" customFormat="false" ht="15" hidden="false" customHeight="false" outlineLevel="0" collapsed="false">
      <c r="H29" s="14"/>
    </row>
    <row r="30" customFormat="false" ht="15" hidden="false" customHeight="false" outlineLevel="0" collapsed="false">
      <c r="H30" s="14"/>
    </row>
    <row r="31" customFormat="false" ht="15" hidden="false" customHeight="false" outlineLevel="0" collapsed="false">
      <c r="H31" s="14"/>
    </row>
    <row r="32" customFormat="false" ht="15" hidden="false" customHeight="false" outlineLevel="0" collapsed="false">
      <c r="H32" s="14"/>
    </row>
    <row r="33" customFormat="false" ht="15" hidden="false" customHeight="false" outlineLevel="0" collapsed="false">
      <c r="H33" s="14"/>
    </row>
    <row r="34" customFormat="false" ht="15" hidden="false" customHeight="false" outlineLevel="0" collapsed="false">
      <c r="H34" s="14"/>
    </row>
    <row r="35" customFormat="false" ht="15" hidden="false" customHeight="false" outlineLevel="0" collapsed="false">
      <c r="H35" s="14"/>
    </row>
    <row r="36" customFormat="false" ht="15" hidden="false" customHeight="false" outlineLevel="0" collapsed="false">
      <c r="H36" s="14"/>
    </row>
    <row r="37" customFormat="false" ht="15" hidden="false" customHeight="false" outlineLevel="0" collapsed="false">
      <c r="H37" s="14"/>
    </row>
    <row r="38" customFormat="false" ht="15" hidden="false" customHeight="false" outlineLevel="0" collapsed="false">
      <c r="H38" s="14"/>
    </row>
    <row r="39" customFormat="false" ht="15" hidden="false" customHeight="false" outlineLevel="0" collapsed="false">
      <c r="H39" s="14"/>
    </row>
    <row r="40" customFormat="false" ht="15" hidden="false" customHeight="false" outlineLevel="0" collapsed="false">
      <c r="H40" s="14"/>
    </row>
    <row r="41" customFormat="false" ht="15" hidden="false" customHeight="false" outlineLevel="0" collapsed="false">
      <c r="H41" s="14"/>
    </row>
    <row r="42" customFormat="false" ht="15" hidden="false" customHeight="false" outlineLevel="0" collapsed="false">
      <c r="H42" s="14"/>
    </row>
    <row r="43" customFormat="false" ht="15" hidden="false" customHeight="false" outlineLevel="0" collapsed="false">
      <c r="H43" s="14"/>
    </row>
    <row r="44" customFormat="false" ht="15" hidden="false" customHeight="false" outlineLevel="0" collapsed="false">
      <c r="H44" s="14"/>
    </row>
    <row r="45" customFormat="false" ht="15" hidden="false" customHeight="false" outlineLevel="0" collapsed="false">
      <c r="H45" s="14"/>
    </row>
    <row r="46" customFormat="false" ht="15" hidden="false" customHeight="false" outlineLevel="0" collapsed="false">
      <c r="H46" s="14"/>
    </row>
    <row r="47" customFormat="false" ht="15" hidden="false" customHeight="false" outlineLevel="0" collapsed="false">
      <c r="H47" s="14"/>
    </row>
    <row r="48" customFormat="false" ht="15" hidden="false" customHeight="false" outlineLevel="0" collapsed="false">
      <c r="H48" s="14"/>
    </row>
    <row r="49" customFormat="false" ht="15" hidden="false" customHeight="false" outlineLevel="0" collapsed="false">
      <c r="H49" s="14"/>
    </row>
    <row r="50" customFormat="false" ht="15" hidden="false" customHeight="false" outlineLevel="0" collapsed="false">
      <c r="H50" s="14"/>
    </row>
    <row r="51" customFormat="false" ht="15" hidden="false" customHeight="false" outlineLevel="0" collapsed="false">
      <c r="H51" s="14"/>
    </row>
    <row r="52" customFormat="false" ht="15" hidden="false" customHeight="false" outlineLevel="0" collapsed="false">
      <c r="H52" s="14"/>
    </row>
    <row r="53" customFormat="false" ht="15" hidden="false" customHeight="false" outlineLevel="0" collapsed="false">
      <c r="H53" s="14"/>
    </row>
    <row r="54" customFormat="false" ht="15" hidden="false" customHeight="false" outlineLevel="0" collapsed="false">
      <c r="H54" s="14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9" t="s">
        <v>101</v>
      </c>
      <c r="C2" s="9"/>
      <c r="D2" s="9"/>
      <c r="E2" s="9"/>
      <c r="F2" s="9"/>
      <c r="G2" s="9"/>
      <c r="H2" s="9"/>
      <c r="I2" s="9"/>
      <c r="J2" s="9"/>
    </row>
    <row r="4" customFormat="false" ht="15" hidden="false" customHeight="false" outlineLevel="0" collapsed="false">
      <c r="B4" s="13" t="s">
        <v>102</v>
      </c>
      <c r="C4" s="13" t="s">
        <v>103</v>
      </c>
      <c r="D4" s="13" t="s">
        <v>104</v>
      </c>
      <c r="E4" s="13" t="s">
        <v>105</v>
      </c>
      <c r="F4" s="13" t="s">
        <v>106</v>
      </c>
      <c r="G4" s="13" t="s">
        <v>41</v>
      </c>
      <c r="H4" s="13" t="s">
        <v>107</v>
      </c>
      <c r="I4" s="13" t="s">
        <v>108</v>
      </c>
      <c r="J4" s="13" t="s">
        <v>43</v>
      </c>
    </row>
    <row r="5" customFormat="false" ht="15" hidden="false" customHeight="false" outlineLevel="0" collapsed="false">
      <c r="B5" s="0" t="s">
        <v>109</v>
      </c>
      <c r="C5" s="0" t="s">
        <v>110</v>
      </c>
      <c r="D5" s="0" t="s">
        <v>111</v>
      </c>
      <c r="J5" s="14" t="s">
        <v>112</v>
      </c>
    </row>
    <row r="6" customFormat="false" ht="15" hidden="false" customHeight="false" outlineLevel="0" collapsed="false">
      <c r="B6" s="0" t="s">
        <v>113</v>
      </c>
      <c r="C6" s="0" t="s">
        <v>110</v>
      </c>
      <c r="D6" s="0" t="s">
        <v>114</v>
      </c>
      <c r="J6" s="14" t="s">
        <v>112</v>
      </c>
    </row>
    <row r="7" customFormat="false" ht="15" hidden="false" customHeight="false" outlineLevel="0" collapsed="false">
      <c r="B7" s="0" t="s">
        <v>115</v>
      </c>
      <c r="C7" s="0" t="s">
        <v>116</v>
      </c>
      <c r="D7" s="0" t="s">
        <v>117</v>
      </c>
      <c r="J7" s="14" t="s">
        <v>112</v>
      </c>
    </row>
    <row r="8" customFormat="false" ht="15" hidden="false" customHeight="false" outlineLevel="0" collapsed="false">
      <c r="B8" s="0" t="s">
        <v>118</v>
      </c>
      <c r="C8" s="0" t="s">
        <v>119</v>
      </c>
      <c r="D8" s="0" t="s">
        <v>120</v>
      </c>
      <c r="J8" s="14" t="s">
        <v>112</v>
      </c>
    </row>
    <row r="9" customFormat="false" ht="15" hidden="false" customHeight="false" outlineLevel="0" collapsed="false">
      <c r="J9" s="14"/>
    </row>
    <row r="10" customFormat="false" ht="15" hidden="false" customHeight="false" outlineLevel="0" collapsed="false">
      <c r="J10" s="14"/>
    </row>
    <row r="11" customFormat="false" ht="15" hidden="false" customHeight="false" outlineLevel="0" collapsed="false">
      <c r="J11" s="14"/>
    </row>
    <row r="12" customFormat="false" ht="15" hidden="false" customHeight="false" outlineLevel="0" collapsed="false">
      <c r="J12" s="14"/>
    </row>
    <row r="13" customFormat="false" ht="15" hidden="false" customHeight="false" outlineLevel="0" collapsed="false">
      <c r="J13" s="14"/>
    </row>
    <row r="14" customFormat="false" ht="15" hidden="false" customHeight="false" outlineLevel="0" collapsed="false">
      <c r="J14" s="14"/>
    </row>
    <row r="15" customFormat="false" ht="15" hidden="false" customHeight="false" outlineLevel="0" collapsed="false">
      <c r="J15" s="14"/>
    </row>
    <row r="16" customFormat="false" ht="15" hidden="false" customHeight="false" outlineLevel="0" collapsed="false">
      <c r="J16" s="14"/>
    </row>
    <row r="17" customFormat="false" ht="15" hidden="false" customHeight="false" outlineLevel="0" collapsed="false">
      <c r="J17" s="14"/>
    </row>
    <row r="18" customFormat="false" ht="15" hidden="false" customHeight="false" outlineLevel="0" collapsed="false">
      <c r="J18" s="14"/>
    </row>
    <row r="19" customFormat="false" ht="15" hidden="false" customHeight="false" outlineLevel="0" collapsed="false">
      <c r="J19" s="14"/>
    </row>
    <row r="20" customFormat="false" ht="15" hidden="false" customHeight="false" outlineLevel="0" collapsed="false">
      <c r="J20" s="14"/>
    </row>
    <row r="21" customFormat="false" ht="15" hidden="false" customHeight="false" outlineLevel="0" collapsed="false">
      <c r="J21" s="14"/>
    </row>
    <row r="22" customFormat="false" ht="15" hidden="false" customHeight="false" outlineLevel="0" collapsed="false">
      <c r="J22" s="14"/>
    </row>
    <row r="23" customFormat="false" ht="15" hidden="false" customHeight="false" outlineLevel="0" collapsed="false">
      <c r="J23" s="14"/>
    </row>
    <row r="24" customFormat="false" ht="15" hidden="false" customHeight="false" outlineLevel="0" collapsed="false">
      <c r="J24" s="14"/>
    </row>
    <row r="25" customFormat="false" ht="15" hidden="false" customHeight="false" outlineLevel="0" collapsed="false">
      <c r="J25" s="14"/>
    </row>
    <row r="26" customFormat="false" ht="15" hidden="false" customHeight="false" outlineLevel="0" collapsed="false">
      <c r="J26" s="14"/>
    </row>
    <row r="27" customFormat="false" ht="15" hidden="false" customHeight="false" outlineLevel="0" collapsed="false">
      <c r="J27" s="14"/>
    </row>
    <row r="28" customFormat="false" ht="15" hidden="false" customHeight="false" outlineLevel="0" collapsed="false">
      <c r="J28" s="14"/>
    </row>
    <row r="29" customFormat="false" ht="15" hidden="false" customHeight="false" outlineLevel="0" collapsed="false">
      <c r="J29" s="14"/>
    </row>
    <row r="30" customFormat="false" ht="15" hidden="false" customHeight="false" outlineLevel="0" collapsed="false">
      <c r="J30" s="14"/>
    </row>
    <row r="31" customFormat="false" ht="15" hidden="false" customHeight="false" outlineLevel="0" collapsed="false">
      <c r="J31" s="14"/>
    </row>
    <row r="32" customFormat="false" ht="15" hidden="false" customHeight="false" outlineLevel="0" collapsed="false">
      <c r="J32" s="14"/>
    </row>
    <row r="33" customFormat="false" ht="15" hidden="false" customHeight="false" outlineLevel="0" collapsed="false">
      <c r="J33" s="14"/>
    </row>
    <row r="34" customFormat="false" ht="15" hidden="false" customHeight="false" outlineLevel="0" collapsed="false">
      <c r="J34" s="14"/>
    </row>
    <row r="35" customFormat="false" ht="15" hidden="false" customHeight="false" outlineLevel="0" collapsed="false">
      <c r="J35" s="14"/>
    </row>
    <row r="36" customFormat="false" ht="15" hidden="false" customHeight="false" outlineLevel="0" collapsed="false">
      <c r="J36" s="14"/>
    </row>
    <row r="37" customFormat="false" ht="15" hidden="false" customHeight="false" outlineLevel="0" collapsed="false">
      <c r="J37" s="14"/>
    </row>
    <row r="38" customFormat="false" ht="15" hidden="false" customHeight="false" outlineLevel="0" collapsed="false">
      <c r="J38" s="14"/>
    </row>
    <row r="39" customFormat="false" ht="15" hidden="false" customHeight="false" outlineLevel="0" collapsed="false">
      <c r="J39" s="14"/>
    </row>
    <row r="40" customFormat="false" ht="15" hidden="false" customHeight="false" outlineLevel="0" collapsed="false">
      <c r="J40" s="14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5" min="3" style="0" width="15"/>
    <col collapsed="false" customWidth="true" hidden="false" outlineLevel="0" max="6" min="6" style="0" width="32"/>
  </cols>
  <sheetData>
    <row r="2" customFormat="false" ht="27.75" hidden="false" customHeight="true" outlineLevel="0" collapsed="false">
      <c r="B2" s="1" t="s">
        <v>121</v>
      </c>
      <c r="C2" s="1"/>
      <c r="D2" s="1"/>
      <c r="E2" s="1"/>
      <c r="F2" s="1"/>
    </row>
    <row r="4" customFormat="false" ht="15" hidden="false" customHeight="false" outlineLevel="0" collapsed="false">
      <c r="B4" s="15" t="s">
        <v>122</v>
      </c>
      <c r="C4" s="15" t="s">
        <v>11</v>
      </c>
      <c r="D4" s="15" t="s">
        <v>123</v>
      </c>
      <c r="E4" s="15" t="s">
        <v>124</v>
      </c>
      <c r="F4" s="15" t="s">
        <v>125</v>
      </c>
    </row>
    <row r="5" customFormat="false" ht="15" hidden="false" customHeight="false" outlineLevel="0" collapsed="false">
      <c r="B5" s="0" t="s">
        <v>126</v>
      </c>
      <c r="C5" s="16" t="n">
        <v>152669</v>
      </c>
      <c r="D5" s="17" t="n">
        <v>600</v>
      </c>
      <c r="E5" s="18" t="n">
        <f aca="false">IF(Cover!$C$9="Downside",D5,C5)</f>
        <v>152669</v>
      </c>
      <c r="F5" s="14" t="s">
        <v>127</v>
      </c>
    </row>
    <row r="6" customFormat="false" ht="15" hidden="false" customHeight="false" outlineLevel="0" collapsed="false">
      <c r="B6" s="0" t="s">
        <v>128</v>
      </c>
      <c r="C6" s="19" t="n">
        <v>0.153</v>
      </c>
      <c r="D6" s="20" t="n">
        <v>0.17</v>
      </c>
      <c r="E6" s="21" t="n">
        <f aca="false">IF(Cover!$C$9="Downside",D6,C6)</f>
        <v>0.153</v>
      </c>
      <c r="F6" s="14" t="s">
        <v>129</v>
      </c>
    </row>
    <row r="7" customFormat="false" ht="15" hidden="false" customHeight="false" outlineLevel="0" collapsed="false">
      <c r="B7" s="0" t="s">
        <v>130</v>
      </c>
      <c r="C7" s="19" t="n">
        <v>-0.03</v>
      </c>
      <c r="D7" s="20" t="n">
        <v>-0.02</v>
      </c>
      <c r="E7" s="21" t="n">
        <f aca="false">IF(Cover!$C$9="Downside",D7,C7)</f>
        <v>-0.03</v>
      </c>
      <c r="F7" s="14" t="s">
        <v>129</v>
      </c>
    </row>
    <row r="8" customFormat="false" ht="15" hidden="false" customHeight="false" outlineLevel="0" collapsed="false">
      <c r="B8" s="0" t="s">
        <v>131</v>
      </c>
      <c r="C8" s="22" t="n">
        <v>0.005</v>
      </c>
      <c r="D8" s="22" t="n">
        <v>-0.003</v>
      </c>
      <c r="E8" s="23" t="n">
        <f aca="false">IF(Cover!$C$9="Downside",D8,C8)</f>
        <v>0.005</v>
      </c>
      <c r="F8" s="14" t="s">
        <v>132</v>
      </c>
    </row>
    <row r="9" customFormat="false" ht="15" hidden="false" customHeight="false" outlineLevel="0" collapsed="false">
      <c r="B9" s="0" t="s">
        <v>133</v>
      </c>
      <c r="C9" s="20" t="n">
        <v>0.025</v>
      </c>
      <c r="D9" s="20" t="n">
        <v>0.025</v>
      </c>
      <c r="E9" s="21" t="n">
        <f aca="false">IF(Cover!$C$9="Downside",D9,C9)</f>
        <v>0.025</v>
      </c>
      <c r="F9" s="14" t="s">
        <v>129</v>
      </c>
    </row>
    <row r="10" customFormat="false" ht="15" hidden="false" customHeight="false" outlineLevel="0" collapsed="false">
      <c r="B10" s="0" t="s">
        <v>134</v>
      </c>
      <c r="C10" s="20" t="n">
        <v>0.035</v>
      </c>
      <c r="D10" s="20" t="n">
        <v>0.045</v>
      </c>
      <c r="E10" s="21" t="n">
        <f aca="false">IF(Cover!$C$9="Downside",D10,C10)</f>
        <v>0.035</v>
      </c>
      <c r="F10" s="14" t="s">
        <v>129</v>
      </c>
    </row>
    <row r="11" customFormat="false" ht="15" hidden="false" customHeight="false" outlineLevel="0" collapsed="false">
      <c r="B11" s="0" t="s">
        <v>135</v>
      </c>
      <c r="C11" s="20" t="n">
        <v>0.08</v>
      </c>
      <c r="D11" s="20" t="n">
        <v>0.1</v>
      </c>
      <c r="E11" s="21" t="n">
        <f aca="false">IF(Cover!$C$9="Downside",D11,C11)</f>
        <v>0.08</v>
      </c>
      <c r="F11" s="14" t="s">
        <v>129</v>
      </c>
    </row>
    <row r="12" customFormat="false" ht="15" hidden="false" customHeight="false" outlineLevel="0" collapsed="false">
      <c r="B12" s="0" t="s">
        <v>136</v>
      </c>
      <c r="C12" s="20" t="n">
        <v>0.25</v>
      </c>
      <c r="D12" s="20" t="n">
        <v>0.2</v>
      </c>
      <c r="E12" s="21" t="n">
        <f aca="false">IF(Cover!$C$9="Downside",D12,C12)</f>
        <v>0.25</v>
      </c>
      <c r="F12" s="14" t="s">
        <v>129</v>
      </c>
    </row>
    <row r="13" customFormat="false" ht="15" hidden="false" customHeight="false" outlineLevel="0" collapsed="false">
      <c r="B13" s="0" t="s">
        <v>137</v>
      </c>
      <c r="C13" s="24" t="n">
        <v>10</v>
      </c>
      <c r="D13" s="24" t="n">
        <v>9</v>
      </c>
      <c r="E13" s="25" t="n">
        <f aca="false">IF(Cover!$C$9="Downside",D13,C13)</f>
        <v>10</v>
      </c>
      <c r="F13" s="14" t="s">
        <v>138</v>
      </c>
    </row>
    <row r="14" customFormat="false" ht="15" hidden="false" customHeight="false" outlineLevel="0" collapsed="false">
      <c r="B14" s="0" t="s">
        <v>139</v>
      </c>
      <c r="C14" s="20" t="n">
        <v>0.02</v>
      </c>
      <c r="D14" s="20" t="n">
        <v>0.025</v>
      </c>
      <c r="E14" s="21" t="n">
        <f aca="false">IF(Cover!$C$9="Downside",D14,C14)</f>
        <v>0.02</v>
      </c>
      <c r="F14" s="14" t="s">
        <v>129</v>
      </c>
    </row>
    <row r="15" customFormat="false" ht="15" hidden="false" customHeight="false" outlineLevel="0" collapsed="false">
      <c r="B15" s="0" t="s">
        <v>140</v>
      </c>
      <c r="C15" s="17" t="n">
        <v>100</v>
      </c>
      <c r="D15" s="17" t="n">
        <v>100</v>
      </c>
      <c r="E15" s="18" t="n">
        <f aca="false">IF(Cover!$C$9="Downside",D15,C15)</f>
        <v>100</v>
      </c>
      <c r="F15" s="14" t="s">
        <v>127</v>
      </c>
    </row>
    <row r="16" customFormat="false" ht="15" hidden="false" customHeight="false" outlineLevel="0" collapsed="false">
      <c r="B16" s="0" t="s">
        <v>141</v>
      </c>
      <c r="C16" s="17" t="n">
        <v>20</v>
      </c>
      <c r="D16" s="17" t="n">
        <v>25</v>
      </c>
      <c r="E16" s="18" t="n">
        <f aca="false">IF(Cover!$C$9="Downside",D16,C16)</f>
        <v>20</v>
      </c>
      <c r="F16" s="14" t="s">
        <v>127</v>
      </c>
    </row>
    <row r="17" customFormat="false" ht="15" hidden="false" customHeight="false" outlineLevel="0" collapsed="false">
      <c r="B17" s="0" t="s">
        <v>142</v>
      </c>
      <c r="C17" s="17" t="n">
        <v>75</v>
      </c>
      <c r="D17" s="17" t="n">
        <v>75</v>
      </c>
      <c r="E17" s="18" t="n">
        <f aca="false">IF(Cover!$C$9="Downside",D17,C17)</f>
        <v>75</v>
      </c>
      <c r="F17" s="14" t="s">
        <v>127</v>
      </c>
    </row>
    <row r="18" customFormat="false" ht="15" hidden="false" customHeight="false" outlineLevel="0" collapsed="false">
      <c r="B18" s="0" t="s">
        <v>143</v>
      </c>
      <c r="C18" s="22" t="n">
        <v>0.09</v>
      </c>
      <c r="D18" s="22" t="n">
        <v>0.115</v>
      </c>
      <c r="E18" s="23" t="n">
        <f aca="false">IF(Cover!$C$9="Downside",D18,C18)</f>
        <v>0.09</v>
      </c>
      <c r="F18" s="14" t="s">
        <v>129</v>
      </c>
    </row>
    <row r="19" customFormat="false" ht="15" hidden="false" customHeight="false" outlineLevel="0" collapsed="false">
      <c r="B19" s="0" t="s">
        <v>144</v>
      </c>
      <c r="C19" s="24" t="n">
        <v>4</v>
      </c>
      <c r="D19" s="24" t="n">
        <v>3.5</v>
      </c>
      <c r="E19" s="25" t="n">
        <f aca="false">IF(Cover!$C$9="Downside",D19,C19)</f>
        <v>4</v>
      </c>
      <c r="F19" s="14" t="s">
        <v>145</v>
      </c>
    </row>
    <row r="20" customFormat="false" ht="15" hidden="false" customHeight="false" outlineLevel="0" collapsed="false">
      <c r="B20" s="0" t="s">
        <v>146</v>
      </c>
      <c r="C20" s="22" t="n">
        <v>0.085</v>
      </c>
      <c r="D20" s="22" t="n">
        <v>0.105</v>
      </c>
      <c r="E20" s="23" t="n">
        <f aca="false">IF(Cover!$C$9="Downside",D20,C20)</f>
        <v>0.085</v>
      </c>
      <c r="F20" s="14" t="s">
        <v>129</v>
      </c>
    </row>
    <row r="21" customFormat="false" ht="15" hidden="false" customHeight="false" outlineLevel="0" collapsed="false">
      <c r="B21" s="0" t="s">
        <v>147</v>
      </c>
      <c r="C21" s="20" t="n">
        <v>0.01</v>
      </c>
      <c r="D21" s="20" t="n">
        <v>0.01</v>
      </c>
      <c r="E21" s="21" t="n">
        <f aca="false">IF(Cover!$C$9="Downside",D21,C21)</f>
        <v>0.01</v>
      </c>
      <c r="F21" s="14" t="s">
        <v>148</v>
      </c>
    </row>
    <row r="22" customFormat="false" ht="15" hidden="false" customHeight="false" outlineLevel="0" collapsed="false">
      <c r="B22" s="0" t="s">
        <v>149</v>
      </c>
      <c r="C22" s="24" t="n">
        <v>1.5</v>
      </c>
      <c r="D22" s="24" t="n">
        <v>1</v>
      </c>
      <c r="E22" s="25" t="n">
        <f aca="false">IF(Cover!$C$9="Downside",D22,C22)</f>
        <v>1.5</v>
      </c>
      <c r="F22" s="14" t="s">
        <v>145</v>
      </c>
    </row>
    <row r="23" customFormat="false" ht="15" hidden="false" customHeight="false" outlineLevel="0" collapsed="false">
      <c r="B23" s="0" t="s">
        <v>150</v>
      </c>
      <c r="C23" s="22" t="n">
        <v>0.11</v>
      </c>
      <c r="D23" s="22" t="n">
        <v>0.13</v>
      </c>
      <c r="E23" s="23" t="n">
        <f aca="false">IF(Cover!$C$9="Downside",D23,C23)</f>
        <v>0.11</v>
      </c>
      <c r="F23" s="14" t="s">
        <v>129</v>
      </c>
    </row>
    <row r="24" customFormat="false" ht="15" hidden="false" customHeight="false" outlineLevel="0" collapsed="false">
      <c r="B24" s="0" t="s">
        <v>151</v>
      </c>
      <c r="C24" s="22" t="n">
        <v>0.03</v>
      </c>
      <c r="D24" s="22" t="n">
        <v>0.05</v>
      </c>
      <c r="E24" s="23" t="n">
        <f aca="false">IF(Cover!$C$9="Downside",D24,C24)</f>
        <v>0.03</v>
      </c>
      <c r="F24" s="14" t="s">
        <v>129</v>
      </c>
    </row>
    <row r="25" customFormat="false" ht="15" hidden="false" customHeight="false" outlineLevel="0" collapsed="false">
      <c r="B25" s="0" t="s">
        <v>152</v>
      </c>
      <c r="C25" s="20" t="n">
        <v>0.75</v>
      </c>
      <c r="D25" s="20" t="n">
        <v>0.5</v>
      </c>
      <c r="E25" s="21" t="n">
        <f aca="false">IF(Cover!$C$9="Downside",D25,C25)</f>
        <v>0.75</v>
      </c>
      <c r="F25" s="14" t="s">
        <v>153</v>
      </c>
    </row>
    <row r="26" customFormat="false" ht="15" hidden="false" customHeight="false" outlineLevel="0" collapsed="false">
      <c r="B26" s="0" t="s">
        <v>154</v>
      </c>
      <c r="C26" s="24" t="n">
        <v>7</v>
      </c>
      <c r="D26" s="24" t="n">
        <v>6.5</v>
      </c>
      <c r="E26" s="25" t="n">
        <f aca="false">IF(Cover!$C$9="Downside",D26,C26)</f>
        <v>7</v>
      </c>
      <c r="F26" s="14" t="s">
        <v>138</v>
      </c>
    </row>
    <row r="27" customFormat="false" ht="15" hidden="false" customHeight="false" outlineLevel="0" collapsed="false">
      <c r="B27" s="0" t="s">
        <v>155</v>
      </c>
      <c r="C27" s="24" t="n">
        <v>1.75</v>
      </c>
      <c r="D27" s="24" t="n">
        <v>1.5</v>
      </c>
      <c r="E27" s="25" t="n">
        <f aca="false">IF(Cover!$C$9="Downside",D27,C27)</f>
        <v>1.75</v>
      </c>
      <c r="F27" s="14" t="s">
        <v>138</v>
      </c>
    </row>
    <row r="28" customFormat="false" ht="15" hidden="false" customHeight="false" outlineLevel="0" collapsed="false">
      <c r="B28" s="0" t="s">
        <v>156</v>
      </c>
      <c r="C28" s="24" t="n">
        <v>10</v>
      </c>
      <c r="D28" s="24" t="n">
        <v>8</v>
      </c>
      <c r="E28" s="25" t="n">
        <f aca="false">IF(Cover!$C$9="Downside",D28,C28)</f>
        <v>10</v>
      </c>
      <c r="F28" s="14" t="s">
        <v>138</v>
      </c>
    </row>
    <row r="29" customFormat="false" ht="15" hidden="false" customHeight="false" outlineLevel="0" collapsed="false">
      <c r="B29" s="0" t="s">
        <v>157</v>
      </c>
      <c r="C29" s="26" t="n">
        <v>5</v>
      </c>
      <c r="D29" s="26" t="n">
        <v>5</v>
      </c>
      <c r="E29" s="27" t="n">
        <f aca="false">IF(Cover!$C$9="Downside",D29,C29)</f>
        <v>5</v>
      </c>
      <c r="F29" s="14" t="s">
        <v>158</v>
      </c>
    </row>
    <row r="30" customFormat="false" ht="15" hidden="false" customHeight="false" outlineLevel="0" collapsed="false">
      <c r="B30" s="0" t="s">
        <v>159</v>
      </c>
      <c r="C30" s="20" t="n">
        <v>0.1</v>
      </c>
      <c r="D30" s="20" t="n">
        <v>0.1</v>
      </c>
      <c r="E30" s="21" t="n">
        <f aca="false">IF(Cover!$C$9="Downside",D30,C30)</f>
        <v>0.1</v>
      </c>
      <c r="F30" s="14" t="s">
        <v>160</v>
      </c>
    </row>
    <row r="31" customFormat="false" ht="15" hidden="false" customHeight="false" outlineLevel="0" collapsed="false">
      <c r="B31" s="0" t="s">
        <v>161</v>
      </c>
      <c r="C31" s="20" t="n">
        <v>0.08</v>
      </c>
      <c r="D31" s="20" t="n">
        <v>0.08</v>
      </c>
      <c r="E31" s="21" t="n">
        <f aca="false">IF(Cover!$C$9="Downside",D31,C31)</f>
        <v>0.08</v>
      </c>
      <c r="F31" s="14" t="s">
        <v>129</v>
      </c>
    </row>
    <row r="32" customFormat="false" ht="15" hidden="false" customHeight="false" outlineLevel="0" collapsed="false">
      <c r="B32" s="0" t="s">
        <v>162</v>
      </c>
      <c r="C32" s="20" t="n">
        <v>0.2</v>
      </c>
      <c r="D32" s="20" t="n">
        <v>0.2</v>
      </c>
      <c r="E32" s="21" t="n">
        <f aca="false">IF(Cover!$C$9="Downside",D32,C32)</f>
        <v>0.2</v>
      </c>
      <c r="F32" s="14" t="s">
        <v>163</v>
      </c>
    </row>
    <row r="33" customFormat="false" ht="15" hidden="false" customHeight="false" outlineLevel="0" collapsed="false">
      <c r="B33" s="0" t="s">
        <v>164</v>
      </c>
      <c r="C33" s="22" t="n">
        <v>0.00375</v>
      </c>
      <c r="D33" s="22" t="n">
        <v>0.005</v>
      </c>
      <c r="E33" s="23" t="n">
        <f aca="false">IF(Cover!$C$9="Downside",D33,C33)</f>
        <v>0.00375</v>
      </c>
      <c r="F33" s="14" t="s">
        <v>165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5"/>
    <col collapsed="false" customWidth="true" hidden="false" outlineLevel="0" max="5" min="5" style="0" width="34"/>
    <col collapsed="false" customWidth="true" hidden="false" outlineLevel="0" max="6" min="6" style="0" width="18"/>
    <col collapsed="false" customWidth="true" hidden="false" outlineLevel="0" max="7" min="7" style="0" width="5"/>
  </cols>
  <sheetData>
    <row r="2" customFormat="false" ht="27.75" hidden="false" customHeight="true" outlineLevel="0" collapsed="false">
      <c r="B2" s="1" t="s">
        <v>166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167</v>
      </c>
      <c r="C4" s="15" t="s">
        <v>168</v>
      </c>
      <c r="D4" s="15"/>
      <c r="E4" s="15" t="s">
        <v>169</v>
      </c>
      <c r="F4" s="15" t="s">
        <v>168</v>
      </c>
      <c r="G4" s="15"/>
    </row>
    <row r="5" customFormat="false" ht="15" hidden="false" customHeight="false" outlineLevel="0" collapsed="false">
      <c r="B5" s="0" t="s">
        <v>170</v>
      </c>
      <c r="C5" s="18" t="n">
        <f aca="false">Assumptions!E5*Assumptions!E6*Assumptions!E13</f>
        <v>233583.57</v>
      </c>
      <c r="E5" s="14" t="s">
        <v>171</v>
      </c>
      <c r="F5" s="17" t="n">
        <v>0</v>
      </c>
    </row>
    <row r="6" customFormat="false" ht="15" hidden="false" customHeight="false" outlineLevel="0" collapsed="false">
      <c r="B6" s="0" t="s">
        <v>172</v>
      </c>
      <c r="C6" s="18" t="n">
        <f aca="false">Assumptions!E15</f>
        <v>100</v>
      </c>
      <c r="E6" s="14" t="s">
        <v>173</v>
      </c>
      <c r="F6" s="18" t="n">
        <f aca="false">Assumptions!E5*Assumptions!E6*Assumptions!E19</f>
        <v>93433.428</v>
      </c>
    </row>
    <row r="7" customFormat="false" ht="15" hidden="false" customHeight="false" outlineLevel="0" collapsed="false">
      <c r="B7" s="0" t="s">
        <v>174</v>
      </c>
      <c r="C7" s="18" t="n">
        <f aca="false">C5*Assumptions!E14</f>
        <v>4671.6714</v>
      </c>
      <c r="E7" s="14" t="s">
        <v>175</v>
      </c>
      <c r="F7" s="18" t="n">
        <f aca="false">Assumptions!E5*Assumptions!E6*Assumptions!E22</f>
        <v>35037.5355</v>
      </c>
    </row>
    <row r="8" customFormat="false" ht="15" hidden="false" customHeight="false" outlineLevel="0" collapsed="false">
      <c r="B8" s="0" t="s">
        <v>176</v>
      </c>
      <c r="C8" s="18" t="n">
        <f aca="false">Assumptions!E16</f>
        <v>20</v>
      </c>
      <c r="E8" s="14" t="s">
        <v>177</v>
      </c>
      <c r="F8" s="18" t="n">
        <f aca="false">C9-SUM(F5:F7)</f>
        <v>109904.2779</v>
      </c>
    </row>
    <row r="9" customFormat="false" ht="15" hidden="false" customHeight="false" outlineLevel="0" collapsed="false">
      <c r="B9" s="28" t="s">
        <v>178</v>
      </c>
      <c r="C9" s="29" t="n">
        <f aca="false">SUM(C5:C8)</f>
        <v>238375.2414</v>
      </c>
      <c r="E9" s="28" t="s">
        <v>179</v>
      </c>
      <c r="F9" s="29" t="n">
        <f aca="false">SUM(F5:F8)</f>
        <v>238375.2414</v>
      </c>
    </row>
    <row r="10" customFormat="false" ht="15" hidden="false" customHeight="false" outlineLevel="0" collapsed="false">
      <c r="E10" s="0" t="s">
        <v>180</v>
      </c>
      <c r="F10" s="18" t="n">
        <f aca="false">F9-C9</f>
        <v>0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10" min="3" style="0" width="13"/>
  </cols>
  <sheetData>
    <row r="2" customFormat="false" ht="27.75" hidden="false" customHeight="true" outlineLevel="0" collapsed="false">
      <c r="B2" s="1" t="s">
        <v>181</v>
      </c>
      <c r="C2" s="1"/>
      <c r="D2" s="1"/>
      <c r="E2" s="1"/>
      <c r="F2" s="1"/>
      <c r="G2" s="1"/>
      <c r="H2" s="1"/>
      <c r="I2" s="1"/>
    </row>
    <row r="4" customFormat="false" ht="15" hidden="false" customHeight="false" outlineLevel="0" collapsed="false">
      <c r="B4" s="15" t="s">
        <v>182</v>
      </c>
      <c r="C4" s="15" t="s">
        <v>183</v>
      </c>
      <c r="D4" s="15" t="s">
        <v>184</v>
      </c>
      <c r="E4" s="15" t="s">
        <v>185</v>
      </c>
      <c r="F4" s="15" t="s">
        <v>186</v>
      </c>
      <c r="G4" s="15" t="s">
        <v>187</v>
      </c>
      <c r="H4" s="15" t="s">
        <v>188</v>
      </c>
      <c r="I4" s="15" t="s">
        <v>189</v>
      </c>
      <c r="J4" s="15" t="s">
        <v>190</v>
      </c>
    </row>
    <row r="5" customFormat="false" ht="15" hidden="false" customHeight="false" outlineLevel="0" collapsed="false">
      <c r="B5" s="0" t="s">
        <v>191</v>
      </c>
      <c r="C5" s="18" t="n">
        <f aca="false">Assumptions!E5</f>
        <v>152669</v>
      </c>
      <c r="D5" s="18" t="n">
        <f aca="false">C5*(1+Assumptions!$E$7)</f>
        <v>148088.93</v>
      </c>
      <c r="E5" s="18" t="n">
        <f aca="false">D5*(1+Assumptions!$E$7)</f>
        <v>143646.2621</v>
      </c>
      <c r="F5" s="18" t="n">
        <f aca="false">E5*(1+Assumptions!$E$7)</f>
        <v>139336.874237</v>
      </c>
      <c r="G5" s="18" t="n">
        <f aca="false">F5*(1+Assumptions!$E$7)</f>
        <v>135156.76800989</v>
      </c>
      <c r="H5" s="18" t="n">
        <f aca="false">G5*(1+Assumptions!$E$7)</f>
        <v>131102.064969593</v>
      </c>
      <c r="I5" s="18" t="n">
        <f aca="false">H5*(1+Assumptions!$E$7)</f>
        <v>127169.003020505</v>
      </c>
      <c r="J5" s="18" t="n">
        <f aca="false">I5*(1+Assumptions!$E$7)</f>
        <v>123353.93292989</v>
      </c>
    </row>
    <row r="6" customFormat="false" ht="15" hidden="false" customHeight="false" outlineLevel="0" collapsed="false">
      <c r="B6" s="0" t="s">
        <v>192</v>
      </c>
      <c r="D6" s="21" t="n">
        <f aca="false">IFERROR(D5/C5-1,0)</f>
        <v>-0.03</v>
      </c>
      <c r="E6" s="21" t="n">
        <f aca="false">IFERROR(E5/D5-1,0)</f>
        <v>-0.03</v>
      </c>
      <c r="F6" s="21" t="n">
        <f aca="false">IFERROR(F5/E5-1,0)</f>
        <v>-0.03</v>
      </c>
      <c r="G6" s="21" t="n">
        <f aca="false">IFERROR(G5/F5-1,0)</f>
        <v>-0.0299999999999999</v>
      </c>
      <c r="H6" s="21" t="n">
        <f aca="false">IFERROR(H5/G5-1,0)</f>
        <v>-0.03</v>
      </c>
      <c r="I6" s="21" t="n">
        <f aca="false">IFERROR(I5/H5-1,0)</f>
        <v>-0.03</v>
      </c>
      <c r="J6" s="21" t="n">
        <f aca="false">IFERROR(J5/I5-1,0)</f>
        <v>-0.03</v>
      </c>
    </row>
    <row r="7" customFormat="false" ht="15" hidden="false" customHeight="false" outlineLevel="0" collapsed="false">
      <c r="B7" s="0" t="s">
        <v>193</v>
      </c>
      <c r="C7" s="21" t="n">
        <f aca="false">Assumptions!E6</f>
        <v>0.153</v>
      </c>
      <c r="D7" s="21" t="n">
        <f aca="false">MAX(0,MIN(0.6,C7+Assumptions!$E$8))</f>
        <v>0.158</v>
      </c>
      <c r="E7" s="21" t="n">
        <f aca="false">MAX(0,MIN(0.6,D7+Assumptions!$E$8))</f>
        <v>0.163</v>
      </c>
      <c r="F7" s="21" t="n">
        <f aca="false">MAX(0,MIN(0.6,E7+Assumptions!$E$8))</f>
        <v>0.168</v>
      </c>
      <c r="G7" s="21" t="n">
        <f aca="false">MAX(0,MIN(0.6,F7+Assumptions!$E$8))</f>
        <v>0.173</v>
      </c>
      <c r="H7" s="21" t="n">
        <f aca="false">MAX(0,MIN(0.6,G7+Assumptions!$E$8))</f>
        <v>0.178</v>
      </c>
      <c r="I7" s="21" t="n">
        <f aca="false">MAX(0,MIN(0.6,H7+Assumptions!$E$8))</f>
        <v>0.183</v>
      </c>
      <c r="J7" s="21" t="n">
        <f aca="false">MAX(0,MIN(0.6,I7+Assumptions!$E$8))</f>
        <v>0.188</v>
      </c>
    </row>
    <row r="8" customFormat="false" ht="15" hidden="false" customHeight="false" outlineLevel="0" collapsed="false">
      <c r="B8" s="28" t="s">
        <v>194</v>
      </c>
      <c r="C8" s="29" t="n">
        <f aca="false">C5*C7</f>
        <v>23358.357</v>
      </c>
      <c r="D8" s="29" t="n">
        <f aca="false">D5*D7</f>
        <v>23398.05094</v>
      </c>
      <c r="E8" s="29" t="n">
        <f aca="false">E5*E7</f>
        <v>23414.3407223</v>
      </c>
      <c r="F8" s="29" t="n">
        <f aca="false">F5*F7</f>
        <v>23408.594871816</v>
      </c>
      <c r="G8" s="29" t="n">
        <f aca="false">G5*G7</f>
        <v>23382.120865711</v>
      </c>
      <c r="H8" s="29" t="n">
        <f aca="false">H5*H7</f>
        <v>23336.1675645876</v>
      </c>
      <c r="I8" s="29" t="n">
        <f aca="false">I5*I7</f>
        <v>23271.9275527525</v>
      </c>
      <c r="J8" s="29" t="n">
        <f aca="false">J5*J7</f>
        <v>23190.5393908194</v>
      </c>
    </row>
    <row r="9" customFormat="false" ht="15" hidden="false" customHeight="false" outlineLevel="0" collapsed="false">
      <c r="B9" s="0" t="s">
        <v>195</v>
      </c>
      <c r="C9" s="18" t="n">
        <f aca="false">C5*Assumptions!E9</f>
        <v>3816.725</v>
      </c>
      <c r="D9" s="18" t="n">
        <f aca="false">D5*Assumptions!$E$9</f>
        <v>3702.22325</v>
      </c>
      <c r="E9" s="18" t="n">
        <f aca="false">E5*Assumptions!$E$9</f>
        <v>3591.1565525</v>
      </c>
      <c r="F9" s="18" t="n">
        <f aca="false">F5*Assumptions!$E$9</f>
        <v>3483.421855925</v>
      </c>
      <c r="G9" s="18" t="n">
        <f aca="false">G5*Assumptions!$E$9</f>
        <v>3378.91920024725</v>
      </c>
      <c r="H9" s="18" t="n">
        <f aca="false">H5*Assumptions!$E$9</f>
        <v>3277.55162423983</v>
      </c>
      <c r="I9" s="18" t="n">
        <f aca="false">I5*Assumptions!$E$9</f>
        <v>3179.22507551264</v>
      </c>
      <c r="J9" s="18" t="n">
        <f aca="false">J5*Assumptions!$E$9</f>
        <v>3083.84832324726</v>
      </c>
    </row>
    <row r="10" customFormat="false" ht="15" hidden="false" customHeight="false" outlineLevel="0" collapsed="false">
      <c r="B10" s="0" t="s">
        <v>196</v>
      </c>
      <c r="C10" s="18" t="n">
        <f aca="false">C8-C9</f>
        <v>19541.632</v>
      </c>
      <c r="D10" s="18" t="n">
        <f aca="false">D8-D9</f>
        <v>19695.82769</v>
      </c>
      <c r="E10" s="18" t="n">
        <f aca="false">E8-E9</f>
        <v>19823.1841698</v>
      </c>
      <c r="F10" s="18" t="n">
        <f aca="false">F8-F9</f>
        <v>19925.173015891</v>
      </c>
      <c r="G10" s="18" t="n">
        <f aca="false">G8-G9</f>
        <v>20003.2016654637</v>
      </c>
      <c r="H10" s="18" t="n">
        <f aca="false">H8-H9</f>
        <v>20058.6159403478</v>
      </c>
      <c r="I10" s="18" t="n">
        <f aca="false">I8-I9</f>
        <v>20092.7024772399</v>
      </c>
      <c r="J10" s="18" t="n">
        <f aca="false">J8-J9</f>
        <v>20106.6910675721</v>
      </c>
    </row>
    <row r="11" customFormat="false" ht="15" hidden="false" customHeight="false" outlineLevel="0" collapsed="false">
      <c r="B11" s="0" t="s">
        <v>197</v>
      </c>
      <c r="D11" s="18" t="n">
        <f aca="false">'Debt Schedule'!D7</f>
        <v>11796.251535</v>
      </c>
      <c r="E11" s="18" t="n">
        <f aca="false">'Debt Schedule'!E7</f>
        <v>11505.4309518539</v>
      </c>
      <c r="F11" s="18" t="n">
        <f aca="false">'Debt Schedule'!F7</f>
        <v>11165.9579623768</v>
      </c>
      <c r="G11" s="18" t="n">
        <f aca="false">'Debt Schedule'!G7</f>
        <v>10793.4426331471</v>
      </c>
      <c r="H11" s="18" t="n">
        <f aca="false">'Debt Schedule'!H7</f>
        <v>10388.163156209</v>
      </c>
      <c r="I11" s="18" t="n">
        <f aca="false">'Debt Schedule'!I7</f>
        <v>9949.35970106571</v>
      </c>
      <c r="J11" s="18" t="n">
        <f aca="false">'Debt Schedule'!J7</f>
        <v>9476.06510604968</v>
      </c>
    </row>
    <row r="12" customFormat="false" ht="15" hidden="false" customHeight="false" outlineLevel="0" collapsed="false">
      <c r="B12" s="0" t="s">
        <v>198</v>
      </c>
      <c r="D12" s="18" t="n">
        <f aca="false">D10-D11</f>
        <v>7899.576155</v>
      </c>
      <c r="E12" s="18" t="n">
        <f aca="false">E10-E11</f>
        <v>8317.75321794609</v>
      </c>
      <c r="F12" s="18" t="n">
        <f aca="false">F10-F11</f>
        <v>8759.21505351418</v>
      </c>
      <c r="G12" s="18" t="n">
        <f aca="false">G10-G11</f>
        <v>9209.75903231663</v>
      </c>
      <c r="H12" s="18" t="n">
        <f aca="false">H10-H11</f>
        <v>9670.45278413877</v>
      </c>
      <c r="I12" s="18" t="n">
        <f aca="false">I10-I11</f>
        <v>10143.3427761742</v>
      </c>
      <c r="J12" s="18" t="n">
        <f aca="false">J10-J11</f>
        <v>10630.6259615224</v>
      </c>
    </row>
    <row r="13" customFormat="false" ht="15" hidden="false" customHeight="false" outlineLevel="0" collapsed="false">
      <c r="B13" s="0" t="s">
        <v>199</v>
      </c>
      <c r="D13" s="18" t="n">
        <f aca="false">MAX(0,D12*Assumptions!$E$12)</f>
        <v>1974.89403875</v>
      </c>
      <c r="E13" s="18" t="n">
        <f aca="false">MAX(0,E12*Assumptions!$E$12)</f>
        <v>2079.43830448652</v>
      </c>
      <c r="F13" s="18" t="n">
        <f aca="false">MAX(0,F12*Assumptions!$E$12)</f>
        <v>2189.80376337854</v>
      </c>
      <c r="G13" s="18" t="n">
        <f aca="false">MAX(0,G12*Assumptions!$E$12)</f>
        <v>2302.43975807916</v>
      </c>
      <c r="H13" s="18" t="n">
        <f aca="false">MAX(0,H12*Assumptions!$E$12)</f>
        <v>2417.61319603469</v>
      </c>
      <c r="I13" s="18" t="n">
        <f aca="false">MAX(0,I12*Assumptions!$E$12)</f>
        <v>2535.83569404354</v>
      </c>
      <c r="J13" s="18" t="n">
        <f aca="false">MAX(0,J12*Assumptions!$E$12)</f>
        <v>2657.65649038061</v>
      </c>
    </row>
    <row r="14" customFormat="false" ht="15" hidden="false" customHeight="false" outlineLevel="0" collapsed="false">
      <c r="B14" s="0" t="s">
        <v>200</v>
      </c>
      <c r="D14" s="18" t="n">
        <f aca="false">D12-D13</f>
        <v>5924.68211625</v>
      </c>
      <c r="E14" s="18" t="n">
        <f aca="false">E12-E13</f>
        <v>6238.31491345957</v>
      </c>
      <c r="F14" s="18" t="n">
        <f aca="false">F12-F13</f>
        <v>6569.41129013564</v>
      </c>
      <c r="G14" s="18" t="n">
        <f aca="false">G12-G13</f>
        <v>6907.31927423747</v>
      </c>
      <c r="H14" s="18" t="n">
        <f aca="false">H12-H13</f>
        <v>7252.83958810408</v>
      </c>
      <c r="I14" s="18" t="n">
        <f aca="false">I12-I13</f>
        <v>7607.50708213062</v>
      </c>
      <c r="J14" s="18" t="n">
        <f aca="false">J12-J13</f>
        <v>7972.96947114184</v>
      </c>
    </row>
    <row r="15" customFormat="false" ht="15" hidden="false" customHeight="false" outlineLevel="0" collapsed="false">
      <c r="B15" s="0" t="s">
        <v>201</v>
      </c>
      <c r="D15" s="18" t="n">
        <f aca="false">D5*Assumptions!$E$10</f>
        <v>5183.11255</v>
      </c>
      <c r="E15" s="18" t="n">
        <f aca="false">E5*Assumptions!$E$10</f>
        <v>5027.6191735</v>
      </c>
      <c r="F15" s="18" t="n">
        <f aca="false">F5*Assumptions!$E$10</f>
        <v>4876.790598295</v>
      </c>
      <c r="G15" s="18" t="n">
        <f aca="false">G5*Assumptions!$E$10</f>
        <v>4730.48688034615</v>
      </c>
      <c r="H15" s="18" t="n">
        <f aca="false">H5*Assumptions!$E$10</f>
        <v>4588.57227393577</v>
      </c>
      <c r="I15" s="18" t="n">
        <f aca="false">I5*Assumptions!$E$10</f>
        <v>4450.91510571769</v>
      </c>
      <c r="J15" s="18" t="n">
        <f aca="false">J5*Assumptions!$E$10</f>
        <v>4317.38765254616</v>
      </c>
    </row>
    <row r="16" customFormat="false" ht="15" hidden="false" customHeight="false" outlineLevel="0" collapsed="false">
      <c r="B16" s="0" t="s">
        <v>202</v>
      </c>
      <c r="C16" s="18" t="n">
        <f aca="false">C5*Assumptions!E11</f>
        <v>12213.52</v>
      </c>
      <c r="D16" s="18" t="n">
        <f aca="false">D5*Assumptions!$E$11</f>
        <v>11847.1144</v>
      </c>
      <c r="E16" s="18" t="n">
        <f aca="false">E5*Assumptions!$E$11</f>
        <v>11491.700968</v>
      </c>
      <c r="F16" s="18" t="n">
        <f aca="false">F5*Assumptions!$E$11</f>
        <v>11146.94993896</v>
      </c>
      <c r="G16" s="18" t="n">
        <f aca="false">G5*Assumptions!$E$11</f>
        <v>10812.5414407912</v>
      </c>
      <c r="H16" s="18" t="n">
        <f aca="false">H5*Assumptions!$E$11</f>
        <v>10488.1651975675</v>
      </c>
      <c r="I16" s="18" t="n">
        <f aca="false">I5*Assumptions!$E$11</f>
        <v>10173.5202416404</v>
      </c>
      <c r="J16" s="18" t="n">
        <f aca="false">J5*Assumptions!$E$11</f>
        <v>9868.31463439123</v>
      </c>
    </row>
    <row r="17" customFormat="false" ht="15" hidden="false" customHeight="false" outlineLevel="0" collapsed="false">
      <c r="B17" s="0" t="s">
        <v>203</v>
      </c>
      <c r="D17" s="18" t="n">
        <f aca="false">D16-C16</f>
        <v>-366.4056</v>
      </c>
      <c r="E17" s="18" t="n">
        <f aca="false">E16-D16</f>
        <v>-355.413432000001</v>
      </c>
      <c r="F17" s="18" t="n">
        <f aca="false">F16-E16</f>
        <v>-344.751029040001</v>
      </c>
      <c r="G17" s="18" t="n">
        <f aca="false">G16-F16</f>
        <v>-334.408498168799</v>
      </c>
      <c r="H17" s="18" t="n">
        <f aca="false">H16-G16</f>
        <v>-324.376243223736</v>
      </c>
      <c r="I17" s="18" t="n">
        <f aca="false">I16-H16</f>
        <v>-314.644955927024</v>
      </c>
      <c r="J17" s="18" t="n">
        <f aca="false">J16-I16</f>
        <v>-305.205607249214</v>
      </c>
    </row>
    <row r="18" customFormat="false" ht="15" hidden="false" customHeight="false" outlineLevel="0" collapsed="false">
      <c r="B18" s="28" t="s">
        <v>204</v>
      </c>
      <c r="C18" s="29"/>
      <c r="D18" s="29" t="n">
        <f aca="false">D14+D9-D15-D17</f>
        <v>4810.19841625</v>
      </c>
      <c r="E18" s="29" t="n">
        <f aca="false">E14+E9-E15-E17</f>
        <v>5157.26572445957</v>
      </c>
      <c r="F18" s="29" t="n">
        <f aca="false">F14+F9-F15-F17</f>
        <v>5520.79357680564</v>
      </c>
      <c r="G18" s="29" t="n">
        <f aca="false">G14+G9-G15-G17</f>
        <v>5890.16009230737</v>
      </c>
      <c r="H18" s="29" t="n">
        <f aca="false">H14+H9-H15-H17</f>
        <v>6266.19518163188</v>
      </c>
      <c r="I18" s="29" t="n">
        <f aca="false">I14+I9-I15-I17</f>
        <v>6650.46200785259</v>
      </c>
      <c r="J18" s="29" t="n">
        <f aca="false">J14+J9-J15-J17</f>
        <v>7044.63574909215</v>
      </c>
    </row>
    <row r="19" customFormat="false" ht="15" hidden="false" customHeight="false" outlineLevel="0" collapsed="false">
      <c r="B19" s="28" t="s">
        <v>205</v>
      </c>
      <c r="C19" s="29"/>
      <c r="D19" s="29" t="n">
        <f aca="false">D8-D13-D15-D17</f>
        <v>16606.44995125</v>
      </c>
      <c r="E19" s="29" t="n">
        <f aca="false">E8-E13-E15-E17</f>
        <v>16662.6966763135</v>
      </c>
      <c r="F19" s="29" t="n">
        <f aca="false">F8-F13-F15-F17</f>
        <v>16686.7515391825</v>
      </c>
      <c r="G19" s="29" t="n">
        <f aca="false">G8-G13-G15-G17</f>
        <v>16683.6027254545</v>
      </c>
      <c r="H19" s="29" t="n">
        <f aca="false">H8-H13-H15-H17</f>
        <v>16654.3583378409</v>
      </c>
      <c r="I19" s="29" t="n">
        <f aca="false">I8-I13-I15-I17</f>
        <v>16599.8217089183</v>
      </c>
      <c r="J19" s="29" t="n">
        <f aca="false">J8-J13-J15-J17</f>
        <v>16520.7008551418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10" min="3" style="0" width="13"/>
  </cols>
  <sheetData>
    <row r="2" customFormat="false" ht="27.75" hidden="false" customHeight="true" outlineLevel="0" collapsed="false">
      <c r="B2" s="1" t="s">
        <v>206</v>
      </c>
      <c r="C2" s="1"/>
      <c r="D2" s="1"/>
      <c r="E2" s="1"/>
      <c r="F2" s="1"/>
      <c r="G2" s="1"/>
      <c r="H2" s="1"/>
      <c r="I2" s="1"/>
    </row>
    <row r="4" customFormat="false" ht="15" hidden="false" customHeight="false" outlineLevel="0" collapsed="false">
      <c r="B4" s="15" t="s">
        <v>182</v>
      </c>
      <c r="C4" s="15" t="s">
        <v>207</v>
      </c>
      <c r="D4" s="15" t="s">
        <v>184</v>
      </c>
      <c r="E4" s="15" t="s">
        <v>185</v>
      </c>
      <c r="F4" s="15" t="s">
        <v>186</v>
      </c>
      <c r="G4" s="15" t="s">
        <v>187</v>
      </c>
      <c r="H4" s="15" t="s">
        <v>188</v>
      </c>
      <c r="I4" s="15" t="s">
        <v>189</v>
      </c>
      <c r="J4" s="15" t="s">
        <v>190</v>
      </c>
    </row>
    <row r="5" customFormat="false" ht="15" hidden="false" customHeight="false" outlineLevel="0" collapsed="false">
      <c r="B5" s="0" t="s">
        <v>208</v>
      </c>
      <c r="C5" s="18" t="n">
        <f aca="false">Assumptions!E16</f>
        <v>20</v>
      </c>
      <c r="D5" s="18" t="n">
        <f aca="false">C13</f>
        <v>20</v>
      </c>
      <c r="E5" s="18" t="n">
        <f aca="false">D13</f>
        <v>262.241508515625</v>
      </c>
      <c r="F5" s="18" t="n">
        <f aca="false">E13</f>
        <v>299.07330956095</v>
      </c>
      <c r="G5" s="18" t="n">
        <f aca="false">F13</f>
        <v>324.095787897912</v>
      </c>
      <c r="H5" s="18" t="n">
        <f aca="false">G13</f>
        <v>348.74510001283</v>
      </c>
      <c r="I5" s="18" t="n">
        <f aca="false">H13</f>
        <v>373.787875102795</v>
      </c>
      <c r="J5" s="18" t="n">
        <f aca="false">I13</f>
        <v>399.369725184711</v>
      </c>
    </row>
    <row r="6" customFormat="false" ht="15" hidden="false" customHeight="false" outlineLevel="0" collapsed="false">
      <c r="B6" s="0" t="s">
        <v>205</v>
      </c>
      <c r="D6" s="18" t="n">
        <f aca="false">'Operating Model'!D19</f>
        <v>16606.44995125</v>
      </c>
      <c r="E6" s="18" t="n">
        <f aca="false">'Operating Model'!E19</f>
        <v>16662.6966763135</v>
      </c>
      <c r="F6" s="18" t="n">
        <f aca="false">'Operating Model'!F19</f>
        <v>16686.7515391825</v>
      </c>
      <c r="G6" s="18" t="n">
        <f aca="false">'Operating Model'!G19</f>
        <v>16683.6027254545</v>
      </c>
      <c r="H6" s="18" t="n">
        <f aca="false">'Operating Model'!H19</f>
        <v>16654.3583378409</v>
      </c>
      <c r="I6" s="18" t="n">
        <f aca="false">'Operating Model'!I19</f>
        <v>16599.8217089183</v>
      </c>
      <c r="J6" s="18" t="n">
        <f aca="false">'Operating Model'!J19</f>
        <v>16520.7008551418</v>
      </c>
    </row>
    <row r="7" customFormat="false" ht="15" hidden="false" customHeight="false" outlineLevel="0" collapsed="false">
      <c r="B7" s="0" t="s">
        <v>197</v>
      </c>
      <c r="D7" s="18" t="n">
        <f aca="false">SUM(D15,D18,D23,D29)</f>
        <v>11796.251535</v>
      </c>
      <c r="E7" s="18" t="n">
        <f aca="false">SUM(E15,E18,E23,E29)</f>
        <v>11505.4309518539</v>
      </c>
      <c r="F7" s="18" t="n">
        <f aca="false">SUM(F15,F18,F23,F29)</f>
        <v>11165.9579623768</v>
      </c>
      <c r="G7" s="18" t="n">
        <f aca="false">SUM(G15,G18,G23,G29)</f>
        <v>10793.4426331471</v>
      </c>
      <c r="H7" s="18" t="n">
        <f aca="false">SUM(H15,H18,H23,H29)</f>
        <v>10388.163156209</v>
      </c>
      <c r="I7" s="18" t="n">
        <f aca="false">SUM(I15,I18,I23,I29)</f>
        <v>9949.35970106571</v>
      </c>
      <c r="J7" s="18" t="n">
        <f aca="false">SUM(J15,J18,J23,J29)</f>
        <v>9476.06510604968</v>
      </c>
    </row>
    <row r="8" customFormat="false" ht="15" hidden="false" customHeight="false" outlineLevel="0" collapsed="false">
      <c r="B8" s="0" t="s">
        <v>209</v>
      </c>
      <c r="D8" s="18" t="n">
        <f aca="false">D19</f>
        <v>934.33428</v>
      </c>
      <c r="E8" s="18" t="n">
        <f aca="false">E19</f>
        <v>934.33428</v>
      </c>
      <c r="F8" s="18" t="n">
        <f aca="false">F19</f>
        <v>934.33428</v>
      </c>
      <c r="G8" s="18" t="n">
        <f aca="false">G19</f>
        <v>934.33428</v>
      </c>
      <c r="H8" s="18" t="n">
        <f aca="false">H19</f>
        <v>934.33428</v>
      </c>
      <c r="I8" s="18" t="n">
        <f aca="false">I19</f>
        <v>934.33428</v>
      </c>
      <c r="J8" s="18" t="n">
        <f aca="false">J19</f>
        <v>934.33428</v>
      </c>
    </row>
    <row r="9" customFormat="false" ht="15" hidden="false" customHeight="false" outlineLevel="0" collapsed="false">
      <c r="B9" s="0" t="s">
        <v>210</v>
      </c>
      <c r="D9" s="18" t="n">
        <f aca="false">D5+D6-D7-D8</f>
        <v>3895.86413625</v>
      </c>
      <c r="E9" s="18" t="n">
        <f aca="false">E5+E6-E7-E8</f>
        <v>4485.1729529752</v>
      </c>
      <c r="F9" s="18" t="n">
        <f aca="false">F5+F6-F7-F8</f>
        <v>4885.53260636659</v>
      </c>
      <c r="G9" s="18" t="n">
        <f aca="false">G5+G6-G7-G8</f>
        <v>5279.92160020528</v>
      </c>
      <c r="H9" s="18" t="n">
        <f aca="false">H5+H6-H7-H8</f>
        <v>5680.60600164471</v>
      </c>
      <c r="I9" s="18" t="n">
        <f aca="false">I5+I6-I7-I8</f>
        <v>6089.91560295538</v>
      </c>
      <c r="J9" s="18" t="n">
        <f aca="false">J5+J6-J7-J8</f>
        <v>6509.67119427686</v>
      </c>
    </row>
    <row r="10" customFormat="false" ht="15" hidden="false" customHeight="false" outlineLevel="0" collapsed="false">
      <c r="B10" s="0" t="s">
        <v>211</v>
      </c>
      <c r="D10" s="18" t="n">
        <f aca="false">IF(D9&lt;Assumptions!$E$16,MIN(Assumptions!$E$17-D14,Assumptions!$E$16-D9),-MIN(D14,MAX(0,D9-Assumptions!$E$16)))</f>
        <v>-0</v>
      </c>
      <c r="E10" s="18" t="n">
        <f aca="false">IF(E9&lt;Assumptions!$E$16,MIN(Assumptions!$E$17-E14,Assumptions!$E$16-E9),-MIN(E14,MAX(0,E9-Assumptions!$E$16)))</f>
        <v>-0</v>
      </c>
      <c r="F10" s="18" t="n">
        <f aca="false">IF(F9&lt;Assumptions!$E$16,MIN(Assumptions!$E$17-F14,Assumptions!$E$16-F9),-MIN(F14,MAX(0,F9-Assumptions!$E$16)))</f>
        <v>-0</v>
      </c>
      <c r="G10" s="18" t="n">
        <f aca="false">IF(G9&lt;Assumptions!$E$16,MIN(Assumptions!$E$17-G14,Assumptions!$E$16-G9),-MIN(G14,MAX(0,G9-Assumptions!$E$16)))</f>
        <v>-0</v>
      </c>
      <c r="H10" s="18" t="n">
        <f aca="false">IF(H9&lt;Assumptions!$E$16,MIN(Assumptions!$E$17-H14,Assumptions!$E$16-H9),-MIN(H14,MAX(0,H9-Assumptions!$E$16)))</f>
        <v>-0</v>
      </c>
      <c r="I10" s="18" t="n">
        <f aca="false">IF(I9&lt;Assumptions!$E$16,MIN(Assumptions!$E$17-I14,Assumptions!$E$16-I9),-MIN(I14,MAX(0,I9-Assumptions!$E$16)))</f>
        <v>-0</v>
      </c>
      <c r="J10" s="18" t="n">
        <f aca="false">IF(J9&lt;Assumptions!$E$16,MIN(Assumptions!$E$17-J14,Assumptions!$E$16-J9),-MIN(J14,MAX(0,J9-Assumptions!$E$16)))</f>
        <v>-0</v>
      </c>
    </row>
    <row r="11" customFormat="false" ht="15" hidden="false" customHeight="false" outlineLevel="0" collapsed="false">
      <c r="B11" s="0" t="s">
        <v>212</v>
      </c>
      <c r="D11" s="18" t="n">
        <f aca="false">MIN(MAX(0,D17-D19),MAX(0,D9+D10-Assumptions!$E$16)*Assumptions!$E$25)</f>
        <v>2906.8981021875</v>
      </c>
      <c r="E11" s="18" t="n">
        <f aca="false">MIN(MAX(0,E17-E19),MAX(0,E9+E10-Assumptions!$E$16)*Assumptions!$E$25)</f>
        <v>3348.8797147314</v>
      </c>
      <c r="F11" s="18" t="n">
        <f aca="false">MIN(MAX(0,F17-F19),MAX(0,F9+F10-Assumptions!$E$16)*Assumptions!$E$25)</f>
        <v>3649.14945477494</v>
      </c>
      <c r="G11" s="18" t="n">
        <f aca="false">MIN(MAX(0,G17-G19),MAX(0,G9+G10-Assumptions!$E$16)*Assumptions!$E$25)</f>
        <v>3944.94120015396</v>
      </c>
      <c r="H11" s="18" t="n">
        <f aca="false">MIN(MAX(0,H17-H19),MAX(0,H9+H10-Assumptions!$E$16)*Assumptions!$E$25)</f>
        <v>4245.45450123354</v>
      </c>
      <c r="I11" s="18" t="n">
        <f aca="false">MIN(MAX(0,I17-I19),MAX(0,I9+I10-Assumptions!$E$16)*Assumptions!$E$25)</f>
        <v>4552.43670221653</v>
      </c>
      <c r="J11" s="18" t="n">
        <f aca="false">MIN(MAX(0,J17-J19),MAX(0,J9+J10-Assumptions!$E$16)*Assumptions!$E$25)</f>
        <v>4867.25339570764</v>
      </c>
    </row>
    <row r="12" customFormat="false" ht="15" hidden="false" customHeight="false" outlineLevel="0" collapsed="false">
      <c r="B12" s="0" t="s">
        <v>213</v>
      </c>
      <c r="D12" s="18" t="n">
        <f aca="false">MIN(MAX(0,D22+D24),MAX(0,D9+D10-D11-Assumptions!$E$16)*Assumptions!$E$25)</f>
        <v>726.724525546874</v>
      </c>
      <c r="E12" s="18" t="n">
        <f aca="false">MIN(MAX(0,E22+E24),MAX(0,E9+E10-E11-Assumptions!$E$16)*Assumptions!$E$25)</f>
        <v>837.21992868285</v>
      </c>
      <c r="F12" s="18" t="n">
        <f aca="false">MIN(MAX(0,F22+F24),MAX(0,F9+F10-F11-Assumptions!$E$16)*Assumptions!$E$25)</f>
        <v>912.287363693735</v>
      </c>
      <c r="G12" s="18" t="n">
        <f aca="false">MIN(MAX(0,G22+G24),MAX(0,G9+G10-G11-Assumptions!$E$16)*Assumptions!$E$25)</f>
        <v>986.23530003849</v>
      </c>
      <c r="H12" s="18" t="n">
        <f aca="false">MIN(MAX(0,H22+H24),MAX(0,H9+H10-H11-Assumptions!$E$16)*Assumptions!$E$25)</f>
        <v>1061.36362530838</v>
      </c>
      <c r="I12" s="18" t="n">
        <f aca="false">MIN(MAX(0,I22+I24),MAX(0,I9+I10-I11-Assumptions!$E$16)*Assumptions!$E$25)</f>
        <v>1138.10917555413</v>
      </c>
      <c r="J12" s="18" t="n">
        <f aca="false">MIN(MAX(0,J22+J24),MAX(0,J9+J10-J11-Assumptions!$E$16)*Assumptions!$E$25)</f>
        <v>1216.81334892691</v>
      </c>
    </row>
    <row r="13" customFormat="false" ht="15" hidden="false" customHeight="false" outlineLevel="0" collapsed="false">
      <c r="B13" s="28" t="s">
        <v>214</v>
      </c>
      <c r="C13" s="29" t="n">
        <f aca="false">C5</f>
        <v>20</v>
      </c>
      <c r="D13" s="29" t="n">
        <f aca="false">D9+D10-D11-D12</f>
        <v>262.241508515625</v>
      </c>
      <c r="E13" s="29" t="n">
        <f aca="false">E9+E10-E11-E12</f>
        <v>299.07330956095</v>
      </c>
      <c r="F13" s="29" t="n">
        <f aca="false">F9+F10-F11-F12</f>
        <v>324.095787897912</v>
      </c>
      <c r="G13" s="29" t="n">
        <f aca="false">G9+G10-G11-G12</f>
        <v>348.74510001283</v>
      </c>
      <c r="H13" s="29" t="n">
        <f aca="false">H9+H10-H11-H12</f>
        <v>373.787875102795</v>
      </c>
      <c r="I13" s="29" t="n">
        <f aca="false">I9+I10-I11-I12</f>
        <v>399.369725184711</v>
      </c>
      <c r="J13" s="29" t="n">
        <f aca="false">J9+J10-J11-J12</f>
        <v>425.604449642304</v>
      </c>
    </row>
    <row r="14" customFormat="false" ht="15" hidden="false" customHeight="false" outlineLevel="0" collapsed="false">
      <c r="B14" s="0" t="s">
        <v>215</v>
      </c>
      <c r="C14" s="18" t="n">
        <f aca="false">'Sources &amp; Uses'!F5</f>
        <v>0</v>
      </c>
      <c r="D14" s="18" t="n">
        <f aca="false">C16</f>
        <v>0</v>
      </c>
      <c r="E14" s="18" t="n">
        <f aca="false">D16</f>
        <v>0</v>
      </c>
      <c r="F14" s="18" t="n">
        <f aca="false">E16</f>
        <v>0</v>
      </c>
      <c r="G14" s="18" t="n">
        <f aca="false">F16</f>
        <v>0</v>
      </c>
      <c r="H14" s="18" t="n">
        <f aca="false">G16</f>
        <v>0</v>
      </c>
      <c r="I14" s="18" t="n">
        <f aca="false">H16</f>
        <v>0</v>
      </c>
      <c r="J14" s="18" t="n">
        <f aca="false">I16</f>
        <v>0</v>
      </c>
    </row>
    <row r="15" customFormat="false" ht="15" hidden="false" customHeight="false" outlineLevel="0" collapsed="false">
      <c r="B15" s="0" t="s">
        <v>216</v>
      </c>
      <c r="D15" s="18" t="n">
        <f aca="false">D14*Assumptions!$E$18</f>
        <v>0</v>
      </c>
      <c r="E15" s="18" t="n">
        <f aca="false">E14*Assumptions!$E$18</f>
        <v>0</v>
      </c>
      <c r="F15" s="18" t="n">
        <f aca="false">F14*Assumptions!$E$18</f>
        <v>0</v>
      </c>
      <c r="G15" s="18" t="n">
        <f aca="false">G14*Assumptions!$E$18</f>
        <v>0</v>
      </c>
      <c r="H15" s="18" t="n">
        <f aca="false">H14*Assumptions!$E$18</f>
        <v>0</v>
      </c>
      <c r="I15" s="18" t="n">
        <f aca="false">I14*Assumptions!$E$18</f>
        <v>0</v>
      </c>
      <c r="J15" s="18" t="n">
        <f aca="false">J14*Assumptions!$E$18</f>
        <v>0</v>
      </c>
    </row>
    <row r="16" customFormat="false" ht="15" hidden="false" customHeight="false" outlineLevel="0" collapsed="false">
      <c r="B16" s="0" t="s">
        <v>217</v>
      </c>
      <c r="C16" s="18" t="n">
        <f aca="false">C14</f>
        <v>0</v>
      </c>
      <c r="D16" s="18" t="n">
        <f aca="false">MAX(0,D14+D10)</f>
        <v>0</v>
      </c>
      <c r="E16" s="18" t="n">
        <f aca="false">MAX(0,E14+E10)</f>
        <v>0</v>
      </c>
      <c r="F16" s="18" t="n">
        <f aca="false">MAX(0,F14+F10)</f>
        <v>0</v>
      </c>
      <c r="G16" s="18" t="n">
        <f aca="false">MAX(0,G14+G10)</f>
        <v>0</v>
      </c>
      <c r="H16" s="18" t="n">
        <f aca="false">MAX(0,H14+H10)</f>
        <v>0</v>
      </c>
      <c r="I16" s="18" t="n">
        <f aca="false">MAX(0,I14+I10)</f>
        <v>0</v>
      </c>
      <c r="J16" s="18" t="n">
        <f aca="false">MAX(0,J14+J10)</f>
        <v>0</v>
      </c>
    </row>
    <row r="17" customFormat="false" ht="15" hidden="false" customHeight="false" outlineLevel="0" collapsed="false">
      <c r="B17" s="0" t="s">
        <v>218</v>
      </c>
      <c r="C17" s="18" t="n">
        <f aca="false">'Sources &amp; Uses'!F6</f>
        <v>93433.428</v>
      </c>
      <c r="D17" s="18" t="n">
        <f aca="false">C21</f>
        <v>93433.428</v>
      </c>
      <c r="E17" s="18" t="n">
        <f aca="false">D21</f>
        <v>89592.1956178125</v>
      </c>
      <c r="F17" s="18" t="n">
        <f aca="false">E21</f>
        <v>85308.9816230811</v>
      </c>
      <c r="G17" s="18" t="n">
        <f aca="false">F21</f>
        <v>80725.4978883062</v>
      </c>
      <c r="H17" s="18" t="n">
        <f aca="false">G21</f>
        <v>75846.2224081522</v>
      </c>
      <c r="I17" s="18" t="n">
        <f aca="false">H21</f>
        <v>70666.4336269187</v>
      </c>
      <c r="J17" s="18" t="n">
        <f aca="false">I21</f>
        <v>65179.6626447022</v>
      </c>
    </row>
    <row r="18" customFormat="false" ht="15" hidden="false" customHeight="false" outlineLevel="0" collapsed="false">
      <c r="B18" s="0" t="s">
        <v>219</v>
      </c>
      <c r="D18" s="18" t="n">
        <f aca="false">D17*Assumptions!$E$20</f>
        <v>7941.84138</v>
      </c>
      <c r="E18" s="18" t="n">
        <f aca="false">E17*Assumptions!$E$20</f>
        <v>7615.33662751406</v>
      </c>
      <c r="F18" s="18" t="n">
        <f aca="false">F17*Assumptions!$E$20</f>
        <v>7251.2634379619</v>
      </c>
      <c r="G18" s="18" t="n">
        <f aca="false">G17*Assumptions!$E$20</f>
        <v>6861.66732050603</v>
      </c>
      <c r="H18" s="18" t="n">
        <f aca="false">H17*Assumptions!$E$20</f>
        <v>6446.92890469294</v>
      </c>
      <c r="I18" s="18" t="n">
        <f aca="false">I17*Assumptions!$E$20</f>
        <v>6006.64685828809</v>
      </c>
      <c r="J18" s="18" t="n">
        <f aca="false">J17*Assumptions!$E$20</f>
        <v>5540.27132479968</v>
      </c>
    </row>
    <row r="19" customFormat="false" ht="15" hidden="false" customHeight="false" outlineLevel="0" collapsed="false">
      <c r="B19" s="0" t="s">
        <v>220</v>
      </c>
      <c r="D19" s="18" t="n">
        <f aca="false">MIN(D17,'Sources &amp; Uses'!$F$6*Assumptions!$E$21)</f>
        <v>934.33428</v>
      </c>
      <c r="E19" s="18" t="n">
        <f aca="false">MIN(E17,'Sources &amp; Uses'!$F$6*Assumptions!$E$21)</f>
        <v>934.33428</v>
      </c>
      <c r="F19" s="18" t="n">
        <f aca="false">MIN(F17,'Sources &amp; Uses'!$F$6*Assumptions!$E$21)</f>
        <v>934.33428</v>
      </c>
      <c r="G19" s="18" t="n">
        <f aca="false">MIN(G17,'Sources &amp; Uses'!$F$6*Assumptions!$E$21)</f>
        <v>934.33428</v>
      </c>
      <c r="H19" s="18" t="n">
        <f aca="false">MIN(H17,'Sources &amp; Uses'!$F$6*Assumptions!$E$21)</f>
        <v>934.33428</v>
      </c>
      <c r="I19" s="18" t="n">
        <f aca="false">MIN(I17,'Sources &amp; Uses'!$F$6*Assumptions!$E$21)</f>
        <v>934.33428</v>
      </c>
      <c r="J19" s="18" t="n">
        <f aca="false">MIN(J17,'Sources &amp; Uses'!$F$6*Assumptions!$E$21)</f>
        <v>934.33428</v>
      </c>
    </row>
    <row r="20" customFormat="false" ht="15" hidden="false" customHeight="false" outlineLevel="0" collapsed="false">
      <c r="B20" s="28" t="s">
        <v>221</v>
      </c>
      <c r="C20" s="29" t="n">
        <f aca="false">'Sources &amp; Uses'!F7</f>
        <v>35037.5355</v>
      </c>
      <c r="D20" s="29" t="n">
        <f aca="false">D11</f>
        <v>2906.8981021875</v>
      </c>
      <c r="E20" s="29" t="n">
        <f aca="false">E11</f>
        <v>3348.8797147314</v>
      </c>
      <c r="F20" s="29" t="n">
        <f aca="false">F11</f>
        <v>3649.14945477494</v>
      </c>
      <c r="G20" s="29" t="n">
        <f aca="false">G11</f>
        <v>3944.94120015396</v>
      </c>
      <c r="H20" s="29" t="n">
        <f aca="false">H11</f>
        <v>4245.45450123354</v>
      </c>
      <c r="I20" s="29" t="n">
        <f aca="false">I11</f>
        <v>4552.43670221653</v>
      </c>
      <c r="J20" s="29" t="n">
        <f aca="false">J11</f>
        <v>4867.25339570764</v>
      </c>
    </row>
    <row r="21" customFormat="false" ht="15" hidden="false" customHeight="false" outlineLevel="0" collapsed="false">
      <c r="B21" s="0" t="s">
        <v>222</v>
      </c>
      <c r="C21" s="18" t="n">
        <f aca="false">C17</f>
        <v>93433.428</v>
      </c>
      <c r="D21" s="18" t="n">
        <f aca="false">MAX(0,D17-D19-D20)</f>
        <v>89592.1956178125</v>
      </c>
      <c r="E21" s="18" t="n">
        <f aca="false">MAX(0,E17-E19-E20)</f>
        <v>85308.9816230811</v>
      </c>
      <c r="F21" s="18" t="n">
        <f aca="false">MAX(0,F17-F19-F20)</f>
        <v>80725.4978883062</v>
      </c>
      <c r="G21" s="18" t="n">
        <f aca="false">MAX(0,G17-G19-G20)</f>
        <v>75846.2224081522</v>
      </c>
      <c r="H21" s="18" t="n">
        <f aca="false">MAX(0,H17-H19-H20)</f>
        <v>70666.4336269187</v>
      </c>
      <c r="I21" s="18" t="n">
        <f aca="false">MAX(0,I17-I19-I20)</f>
        <v>65179.6626447022</v>
      </c>
      <c r="J21" s="18" t="n">
        <f aca="false">MAX(0,J17-J19-J20)</f>
        <v>59378.0749689945</v>
      </c>
    </row>
    <row r="22" customFormat="false" ht="15" hidden="false" customHeight="false" outlineLevel="0" collapsed="false">
      <c r="B22" s="0" t="s">
        <v>223</v>
      </c>
      <c r="C22" s="18" t="n">
        <f aca="false">'Sources &amp; Uses'!F7</f>
        <v>35037.5355</v>
      </c>
      <c r="D22" s="18" t="n">
        <f aca="false">C26</f>
        <v>35037.5355</v>
      </c>
      <c r="E22" s="18" t="n">
        <f aca="false">D26</f>
        <v>35361.9370394531</v>
      </c>
      <c r="F22" s="18" t="n">
        <f aca="false">E26</f>
        <v>35585.5752219539</v>
      </c>
      <c r="G22" s="18" t="n">
        <f aca="false">F26</f>
        <v>35740.8551149188</v>
      </c>
      <c r="H22" s="18" t="n">
        <f aca="false">G26</f>
        <v>35826.8454683278</v>
      </c>
      <c r="I22" s="18" t="n">
        <f aca="false">H26</f>
        <v>35840.2872070693</v>
      </c>
      <c r="J22" s="18" t="n">
        <f aca="false">I26</f>
        <v>35777.3866477272</v>
      </c>
    </row>
    <row r="23" customFormat="false" ht="15" hidden="false" customHeight="false" outlineLevel="0" collapsed="false">
      <c r="B23" s="0" t="s">
        <v>224</v>
      </c>
      <c r="D23" s="18" t="n">
        <f aca="false">D22*Assumptions!$E$23</f>
        <v>3854.128905</v>
      </c>
      <c r="E23" s="18" t="n">
        <f aca="false">E22*Assumptions!$E$23</f>
        <v>3889.81307433984</v>
      </c>
      <c r="F23" s="18" t="n">
        <f aca="false">F22*Assumptions!$E$23</f>
        <v>3914.41327441493</v>
      </c>
      <c r="G23" s="18" t="n">
        <f aca="false">G22*Assumptions!$E$23</f>
        <v>3931.49406264106</v>
      </c>
      <c r="H23" s="18" t="n">
        <f aca="false">H22*Assumptions!$E$23</f>
        <v>3940.95300151606</v>
      </c>
      <c r="I23" s="18" t="n">
        <f aca="false">I22*Assumptions!$E$23</f>
        <v>3942.43159277762</v>
      </c>
      <c r="J23" s="18" t="n">
        <f aca="false">J22*Assumptions!$E$23</f>
        <v>3935.51253124999</v>
      </c>
    </row>
    <row r="24" customFormat="false" ht="15" hidden="false" customHeight="false" outlineLevel="0" collapsed="false">
      <c r="B24" s="28" t="s">
        <v>225</v>
      </c>
      <c r="C24" s="29"/>
      <c r="D24" s="29" t="n">
        <f aca="false">D22*Assumptions!$E$24</f>
        <v>1051.126065</v>
      </c>
      <c r="E24" s="29" t="n">
        <f aca="false">E22*Assumptions!$E$24</f>
        <v>1060.85811118359</v>
      </c>
      <c r="F24" s="29" t="n">
        <f aca="false">F22*Assumptions!$E$24</f>
        <v>1067.56725665862</v>
      </c>
      <c r="G24" s="29" t="n">
        <f aca="false">G22*Assumptions!$E$24</f>
        <v>1072.22565344756</v>
      </c>
      <c r="H24" s="29" t="n">
        <f aca="false">H22*Assumptions!$E$24</f>
        <v>1074.80536404983</v>
      </c>
      <c r="I24" s="29" t="n">
        <f aca="false">I22*Assumptions!$E$24</f>
        <v>1075.20861621208</v>
      </c>
      <c r="J24" s="29" t="n">
        <f aca="false">J22*Assumptions!$E$24</f>
        <v>1073.32159943182</v>
      </c>
    </row>
    <row r="25" customFormat="false" ht="15" hidden="false" customHeight="false" outlineLevel="0" collapsed="false">
      <c r="B25" s="28" t="s">
        <v>226</v>
      </c>
      <c r="C25" s="29" t="n">
        <f aca="false">SUM(C16,C20,C13)</f>
        <v>35057.5355</v>
      </c>
      <c r="D25" s="29" t="n">
        <f aca="false">D12</f>
        <v>726.724525546874</v>
      </c>
      <c r="E25" s="29" t="n">
        <f aca="false">E12</f>
        <v>837.21992868285</v>
      </c>
      <c r="F25" s="29" t="n">
        <f aca="false">F12</f>
        <v>912.287363693735</v>
      </c>
      <c r="G25" s="29" t="n">
        <f aca="false">G12</f>
        <v>986.23530003849</v>
      </c>
      <c r="H25" s="29" t="n">
        <f aca="false">H12</f>
        <v>1061.36362530838</v>
      </c>
      <c r="I25" s="29" t="n">
        <f aca="false">I12</f>
        <v>1138.10917555413</v>
      </c>
      <c r="J25" s="29" t="n">
        <f aca="false">J12</f>
        <v>1216.81334892691</v>
      </c>
    </row>
    <row r="26" customFormat="false" ht="15" hidden="false" customHeight="false" outlineLevel="0" collapsed="false">
      <c r="B26" s="28" t="s">
        <v>227</v>
      </c>
      <c r="C26" s="29" t="n">
        <f aca="false">C22</f>
        <v>35037.5355</v>
      </c>
      <c r="D26" s="29" t="n">
        <f aca="false">MAX(0,D22+D24-D25)</f>
        <v>35361.9370394531</v>
      </c>
      <c r="E26" s="29" t="n">
        <f aca="false">MAX(0,E22+E24-E25)</f>
        <v>35585.5752219539</v>
      </c>
      <c r="F26" s="29" t="n">
        <f aca="false">MAX(0,F22+F24-F25)</f>
        <v>35740.8551149188</v>
      </c>
      <c r="G26" s="29" t="n">
        <f aca="false">MAX(0,G22+G24-G25)</f>
        <v>35826.8454683278</v>
      </c>
      <c r="H26" s="29" t="n">
        <f aca="false">MAX(0,H22+H24-H25)</f>
        <v>35840.2872070693</v>
      </c>
      <c r="I26" s="29" t="n">
        <f aca="false">MAX(0,I22+I24-I25)</f>
        <v>35777.3866477272</v>
      </c>
      <c r="J26" s="29" t="n">
        <f aca="false">MAX(0,J22+J24-J25)</f>
        <v>35633.8948982321</v>
      </c>
    </row>
    <row r="27" customFormat="false" ht="15" hidden="false" customHeight="false" outlineLevel="0" collapsed="false">
      <c r="B27" s="0" t="s">
        <v>228</v>
      </c>
      <c r="C27" s="18" t="n">
        <f aca="false">SUM(C16,C21,C26)</f>
        <v>128470.9635</v>
      </c>
      <c r="D27" s="18" t="n">
        <f aca="false">SUM(D16,D21,D26)</f>
        <v>124954.132657266</v>
      </c>
      <c r="E27" s="18" t="n">
        <f aca="false">SUM(E16,E21,E26)</f>
        <v>120894.556845035</v>
      </c>
      <c r="F27" s="18" t="n">
        <f aca="false">SUM(F16,F21,F26)</f>
        <v>116466.353003225</v>
      </c>
      <c r="G27" s="18" t="n">
        <f aca="false">SUM(G16,G21,G26)</f>
        <v>111673.06787648</v>
      </c>
      <c r="H27" s="18" t="n">
        <f aca="false">SUM(H16,H21,H26)</f>
        <v>106506.720833988</v>
      </c>
      <c r="I27" s="18" t="n">
        <f aca="false">SUM(I16,I21,I26)</f>
        <v>100957.049292429</v>
      </c>
      <c r="J27" s="18" t="n">
        <f aca="false">SUM(J16,J21,J26)</f>
        <v>95011.9698672266</v>
      </c>
    </row>
    <row r="28" customFormat="false" ht="15" hidden="false" customHeight="false" outlineLevel="0" collapsed="false">
      <c r="B28" s="0" t="s">
        <v>229</v>
      </c>
      <c r="C28" s="18" t="n">
        <f aca="false">C27-C13</f>
        <v>128450.9635</v>
      </c>
      <c r="D28" s="18" t="n">
        <f aca="false">D27-D13</f>
        <v>124691.89114875</v>
      </c>
      <c r="E28" s="18" t="n">
        <f aca="false">E27-E13</f>
        <v>120595.483535474</v>
      </c>
      <c r="F28" s="18" t="n">
        <f aca="false">F27-F13</f>
        <v>116142.257215327</v>
      </c>
      <c r="G28" s="18" t="n">
        <f aca="false">G27-G13</f>
        <v>111324.322776467</v>
      </c>
      <c r="H28" s="18" t="n">
        <f aca="false">H27-H13</f>
        <v>106132.932958885</v>
      </c>
      <c r="I28" s="18" t="n">
        <f aca="false">I27-I13</f>
        <v>100557.679567245</v>
      </c>
      <c r="J28" s="18" t="n">
        <f aca="false">J27-J13</f>
        <v>94586.3654175843</v>
      </c>
    </row>
    <row r="29" customFormat="false" ht="15" hidden="false" customHeight="false" outlineLevel="0" collapsed="false">
      <c r="B29" s="0" t="s">
        <v>164</v>
      </c>
      <c r="D29" s="18" t="n">
        <f aca="false">MAX(0,Assumptions!$E$17-D14)*Assumptions!$E$33</f>
        <v>0.28125</v>
      </c>
      <c r="E29" s="18" t="n">
        <f aca="false">MAX(0,Assumptions!$E$17-E14)*Assumptions!$E$33</f>
        <v>0.28125</v>
      </c>
      <c r="F29" s="18" t="n">
        <f aca="false">MAX(0,Assumptions!$E$17-F14)*Assumptions!$E$33</f>
        <v>0.28125</v>
      </c>
      <c r="G29" s="18" t="n">
        <f aca="false">MAX(0,Assumptions!$E$17-G14)*Assumptions!$E$33</f>
        <v>0.28125</v>
      </c>
      <c r="H29" s="18" t="n">
        <f aca="false">MAX(0,Assumptions!$E$17-H14)*Assumptions!$E$33</f>
        <v>0.28125</v>
      </c>
      <c r="I29" s="18" t="n">
        <f aca="false">MAX(0,Assumptions!$E$17-I14)*Assumptions!$E$33</f>
        <v>0.28125</v>
      </c>
      <c r="J29" s="18" t="n">
        <f aca="false">MAX(0,Assumptions!$E$17-J14)*Assumptions!$E$33</f>
        <v>0.28125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9" min="3" style="0" width="13"/>
  </cols>
  <sheetData>
    <row r="2" customFormat="false" ht="27.75" hidden="false" customHeight="true" outlineLevel="0" collapsed="false">
      <c r="B2" s="1" t="s">
        <v>230</v>
      </c>
      <c r="C2" s="1"/>
      <c r="D2" s="1"/>
      <c r="E2" s="1"/>
      <c r="F2" s="1"/>
      <c r="G2" s="1"/>
      <c r="H2" s="1"/>
      <c r="I2" s="1"/>
    </row>
    <row r="4" customFormat="false" ht="15" hidden="false" customHeight="false" outlineLevel="0" collapsed="false">
      <c r="B4" s="15" t="s">
        <v>231</v>
      </c>
      <c r="C4" s="15" t="s">
        <v>184</v>
      </c>
      <c r="D4" s="15" t="s">
        <v>185</v>
      </c>
      <c r="E4" s="15" t="s">
        <v>186</v>
      </c>
      <c r="F4" s="15" t="s">
        <v>187</v>
      </c>
      <c r="G4" s="15" t="s">
        <v>188</v>
      </c>
      <c r="H4" s="15" t="s">
        <v>189</v>
      </c>
      <c r="I4" s="15" t="s">
        <v>190</v>
      </c>
    </row>
    <row r="5" customFormat="false" ht="15" hidden="false" customHeight="false" outlineLevel="0" collapsed="false">
      <c r="B5" s="0" t="s">
        <v>232</v>
      </c>
      <c r="C5" s="25" t="n">
        <f aca="false">IFERROR('Debt Schedule'!D25/'Operating Model'!D8,0)</f>
        <v>0.0310591906740619</v>
      </c>
      <c r="D5" s="25" t="n">
        <f aca="false">IFERROR('Debt Schedule'!E25/'Operating Model'!E8,0)</f>
        <v>0.0357567158782086</v>
      </c>
      <c r="E5" s="25" t="n">
        <f aca="false">IFERROR('Debt Schedule'!F25/'Operating Model'!F8,0)</f>
        <v>0.0389723248528741</v>
      </c>
      <c r="F5" s="25" t="n">
        <f aca="false">IFERROR('Debt Schedule'!G25/'Operating Model'!G8,0)</f>
        <v>0.0421790352424689</v>
      </c>
      <c r="G5" s="25" t="n">
        <f aca="false">IFERROR('Debt Schedule'!H25/'Operating Model'!H8,0)</f>
        <v>0.0454814880108674</v>
      </c>
      <c r="H5" s="25" t="n">
        <f aca="false">IFERROR('Debt Schedule'!I25/'Operating Model'!I8,0)</f>
        <v>0.0489048091514672</v>
      </c>
      <c r="I5" s="25" t="n">
        <f aca="false">IFERROR('Debt Schedule'!J25/'Operating Model'!J8,0)</f>
        <v>0.0524702478204806</v>
      </c>
    </row>
    <row r="6" customFormat="false" ht="15" hidden="false" customHeight="false" outlineLevel="0" collapsed="false">
      <c r="B6" s="0" t="s">
        <v>233</v>
      </c>
      <c r="C6" s="25" t="n">
        <f aca="false">Assumptions!$E$26</f>
        <v>7</v>
      </c>
      <c r="D6" s="25" t="n">
        <f aca="false">Assumptions!$E$26</f>
        <v>7</v>
      </c>
      <c r="E6" s="25" t="n">
        <f aca="false">Assumptions!$E$26</f>
        <v>7</v>
      </c>
      <c r="F6" s="25" t="n">
        <f aca="false">Assumptions!$E$26</f>
        <v>7</v>
      </c>
      <c r="G6" s="25" t="n">
        <f aca="false">Assumptions!$E$26</f>
        <v>7</v>
      </c>
      <c r="H6" s="25" t="n">
        <f aca="false">Assumptions!$E$26</f>
        <v>7</v>
      </c>
      <c r="I6" s="25" t="n">
        <f aca="false">Assumptions!$E$26</f>
        <v>7</v>
      </c>
    </row>
    <row r="7" customFormat="false" ht="15" hidden="false" customHeight="false" outlineLevel="0" collapsed="false">
      <c r="B7" s="0" t="s">
        <v>234</v>
      </c>
      <c r="C7" s="25" t="n">
        <f aca="false">C6-C5</f>
        <v>6.96894080932594</v>
      </c>
      <c r="D7" s="25" t="n">
        <f aca="false">D6-D5</f>
        <v>6.96424328412179</v>
      </c>
      <c r="E7" s="25" t="n">
        <f aca="false">E6-E5</f>
        <v>6.96102767514713</v>
      </c>
      <c r="F7" s="25" t="n">
        <f aca="false">F6-F5</f>
        <v>6.95782096475753</v>
      </c>
      <c r="G7" s="25" t="n">
        <f aca="false">G6-G5</f>
        <v>6.95451851198913</v>
      </c>
      <c r="H7" s="25" t="n">
        <f aca="false">H6-H5</f>
        <v>6.95109519084853</v>
      </c>
      <c r="I7" s="25" t="n">
        <f aca="false">I6-I5</f>
        <v>6.94752975217952</v>
      </c>
    </row>
    <row r="8" customFormat="false" ht="15" hidden="false" customHeight="false" outlineLevel="0" collapsed="false">
      <c r="B8" s="0" t="s">
        <v>235</v>
      </c>
      <c r="C8" s="25" t="n">
        <f aca="false">IFERROR('Operating Model'!D8/'Debt Schedule'!D7,0)</f>
        <v>1.98351576944396</v>
      </c>
      <c r="D8" s="25" t="n">
        <f aca="false">IFERROR('Operating Model'!E8/'Debt Schedule'!E7,0)</f>
        <v>2.03506855330153</v>
      </c>
      <c r="E8" s="25" t="n">
        <f aca="false">IFERROR('Operating Model'!F8/'Debt Schedule'!F7,0)</f>
        <v>2.09642512990737</v>
      </c>
      <c r="F8" s="25" t="n">
        <f aca="false">IFERROR('Operating Model'!G8/'Debt Schedule'!G7,0)</f>
        <v>2.16632650586418</v>
      </c>
      <c r="G8" s="25" t="n">
        <f aca="false">IFERROR('Operating Model'!H8/'Debt Schedule'!H7,0)</f>
        <v>2.24641904576168</v>
      </c>
      <c r="H8" s="25" t="n">
        <f aca="false">IFERROR('Operating Model'!I8/'Debt Schedule'!I7,0)</f>
        <v>2.33903771217155</v>
      </c>
      <c r="I8" s="25" t="n">
        <f aca="false">IFERROR('Operating Model'!J8/'Debt Schedule'!J7,0)</f>
        <v>2.4472752277751</v>
      </c>
    </row>
    <row r="9" customFormat="false" ht="15" hidden="false" customHeight="false" outlineLevel="0" collapsed="false">
      <c r="B9" s="0" t="s">
        <v>236</v>
      </c>
      <c r="C9" s="25" t="n">
        <f aca="false">Assumptions!$E$27</f>
        <v>1.75</v>
      </c>
      <c r="D9" s="25" t="n">
        <f aca="false">Assumptions!$E$27</f>
        <v>1.75</v>
      </c>
      <c r="E9" s="25" t="n">
        <f aca="false">Assumptions!$E$27</f>
        <v>1.75</v>
      </c>
      <c r="F9" s="25" t="n">
        <f aca="false">Assumptions!$E$27</f>
        <v>1.75</v>
      </c>
      <c r="G9" s="25" t="n">
        <f aca="false">Assumptions!$E$27</f>
        <v>1.75</v>
      </c>
      <c r="H9" s="25" t="n">
        <f aca="false">Assumptions!$E$27</f>
        <v>1.75</v>
      </c>
      <c r="I9" s="25" t="n">
        <f aca="false">Assumptions!$E$27</f>
        <v>1.75</v>
      </c>
    </row>
    <row r="10" customFormat="false" ht="15" hidden="false" customHeight="false" outlineLevel="0" collapsed="false">
      <c r="B10" s="0" t="s">
        <v>237</v>
      </c>
      <c r="C10" s="25" t="n">
        <f aca="false">C8-C9</f>
        <v>0.233515769443958</v>
      </c>
      <c r="D10" s="25" t="n">
        <f aca="false">D8-D9</f>
        <v>0.285068553301532</v>
      </c>
      <c r="E10" s="25" t="n">
        <f aca="false">E8-E9</f>
        <v>0.346425129907365</v>
      </c>
      <c r="F10" s="25" t="n">
        <f aca="false">F8-F9</f>
        <v>0.416326505864177</v>
      </c>
      <c r="G10" s="25" t="n">
        <f aca="false">G8-G9</f>
        <v>0.496419045761675</v>
      </c>
      <c r="H10" s="25" t="n">
        <f aca="false">H8-H9</f>
        <v>0.589037712171546</v>
      </c>
      <c r="I10" s="25" t="n">
        <f aca="false">I8-I9</f>
        <v>0.697275227775098</v>
      </c>
    </row>
    <row r="11" customFormat="false" ht="15" hidden="false" customHeight="false" outlineLevel="0" collapsed="false">
      <c r="B11" s="0" t="s">
        <v>141</v>
      </c>
      <c r="C11" s="18" t="n">
        <f aca="false">Assumptions!$E$16</f>
        <v>20</v>
      </c>
      <c r="D11" s="18" t="n">
        <f aca="false">Assumptions!$E$16</f>
        <v>20</v>
      </c>
      <c r="E11" s="18" t="n">
        <f aca="false">Assumptions!$E$16</f>
        <v>20</v>
      </c>
      <c r="F11" s="18" t="n">
        <f aca="false">Assumptions!$E$16</f>
        <v>20</v>
      </c>
      <c r="G11" s="18" t="n">
        <f aca="false">Assumptions!$E$16</f>
        <v>20</v>
      </c>
      <c r="H11" s="18" t="n">
        <f aca="false">Assumptions!$E$16</f>
        <v>20</v>
      </c>
      <c r="I11" s="18" t="n">
        <f aca="false">Assumptions!$E$16</f>
        <v>20</v>
      </c>
    </row>
    <row r="12" customFormat="false" ht="15" hidden="false" customHeight="false" outlineLevel="0" collapsed="false">
      <c r="B12" s="0" t="s">
        <v>238</v>
      </c>
      <c r="C12" s="18" t="n">
        <f aca="false">'Debt Schedule'!D13-C11</f>
        <v>242.241508515625</v>
      </c>
      <c r="D12" s="18" t="n">
        <f aca="false">'Debt Schedule'!E13-D11</f>
        <v>279.07330956095</v>
      </c>
      <c r="E12" s="18" t="n">
        <f aca="false">'Debt Schedule'!F13-E11</f>
        <v>304.095787897912</v>
      </c>
      <c r="F12" s="18" t="n">
        <f aca="false">'Debt Schedule'!G13-F11</f>
        <v>328.74510001283</v>
      </c>
      <c r="G12" s="18" t="n">
        <f aca="false">'Debt Schedule'!H13-G11</f>
        <v>353.787875102795</v>
      </c>
      <c r="H12" s="18" t="n">
        <f aca="false">'Debt Schedule'!I13-H11</f>
        <v>379.369725184711</v>
      </c>
      <c r="I12" s="18" t="n">
        <f aca="false">'Debt Schedule'!J13-I11</f>
        <v>405.604449642304</v>
      </c>
    </row>
    <row r="13" customFormat="false" ht="15" hidden="false" customHeight="false" outlineLevel="0" collapsed="false">
      <c r="B13" s="0" t="s">
        <v>43</v>
      </c>
      <c r="C13" s="0" t="str">
        <f aca="false">IF(AND(C7&gt;=0,C10&gt;=0,C12&gt;=0),"PASS","BREACH")</f>
        <v>PASS</v>
      </c>
      <c r="D13" s="0" t="str">
        <f aca="false">IF(AND(D7&gt;=0,D10&gt;=0,D12&gt;=0),"PASS","BREACH")</f>
        <v>PASS</v>
      </c>
      <c r="E13" s="0" t="str">
        <f aca="false">IF(AND(E7&gt;=0,E10&gt;=0,E12&gt;=0),"PASS","BREACH")</f>
        <v>PASS</v>
      </c>
      <c r="F13" s="0" t="str">
        <f aca="false">IF(AND(F7&gt;=0,F10&gt;=0,F12&gt;=0),"PASS","BREACH")</f>
        <v>PASS</v>
      </c>
      <c r="G13" s="0" t="str">
        <f aca="false">IF(AND(G7&gt;=0,G10&gt;=0,G12&gt;=0),"PASS","BREACH")</f>
        <v>PASS</v>
      </c>
      <c r="H13" s="0" t="str">
        <f aca="false">IF(AND(H7&gt;=0,H10&gt;=0,H12&gt;=0),"PASS","BREACH")</f>
        <v>PASS</v>
      </c>
      <c r="I13" s="0" t="str">
        <f aca="false">IF(AND(I7&gt;=0,I10&gt;=0,I12&gt;=0),"PASS","BREACH")</f>
        <v>PASS</v>
      </c>
    </row>
  </sheetData>
  <mergeCells count="1">
    <mergeCell ref="B2:I2"/>
  </mergeCells>
  <conditionalFormatting sqref="C13:I13">
    <cfRule type="expression" priority="2" aboveAverage="0" equalAverage="0" bottom="0" percent="0" rank="0" text="" dxfId="0">
      <formula>C13="PASS"</formula>
    </cfRule>
    <cfRule type="expression" priority="3" aboveAverage="0" equalAverage="0" bottom="0" percent="0" rank="0" text="" dxfId="1">
      <formula>C13="FAIL"</formula>
    </cfRule>
    <cfRule type="expression" priority="4" aboveAverage="0" equalAverage="0" bottom="0" percent="0" rank="0" text="" dxfId="2">
      <formula>C13="REVIEW"</formula>
    </cfRule>
    <cfRule type="expression" priority="5" aboveAverage="0" equalAverage="0" bottom="0" percent="0" rank="0" text="" dxfId="1">
      <formula>C13="BREACH"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42"/>
  </cols>
  <sheetData>
    <row r="2" customFormat="false" ht="27.75" hidden="false" customHeight="true" outlineLevel="0" collapsed="false">
      <c r="B2" s="1" t="s">
        <v>239</v>
      </c>
      <c r="C2" s="1"/>
      <c r="D2" s="1"/>
      <c r="E2" s="1"/>
    </row>
    <row r="4" customFormat="false" ht="15" hidden="false" customHeight="false" outlineLevel="0" collapsed="false">
      <c r="B4" s="15" t="s">
        <v>231</v>
      </c>
      <c r="C4" s="15" t="s">
        <v>240</v>
      </c>
      <c r="D4" s="15" t="s">
        <v>241</v>
      </c>
      <c r="E4" s="15" t="s">
        <v>242</v>
      </c>
    </row>
    <row r="5" customFormat="false" ht="15" hidden="false" customHeight="false" outlineLevel="0" collapsed="false">
      <c r="B5" s="0" t="s">
        <v>243</v>
      </c>
      <c r="C5" s="21" t="n">
        <f aca="false">Assumptions!E30</f>
        <v>0.1</v>
      </c>
      <c r="D5" s="14" t="s">
        <v>129</v>
      </c>
      <c r="E5" s="14" t="s">
        <v>244</v>
      </c>
    </row>
    <row r="6" customFormat="false" ht="15" hidden="false" customHeight="false" outlineLevel="0" collapsed="false">
      <c r="B6" s="0" t="s">
        <v>245</v>
      </c>
      <c r="C6" s="21" t="n">
        <f aca="false">1-C5</f>
        <v>0.9</v>
      </c>
      <c r="D6" s="14" t="s">
        <v>129</v>
      </c>
      <c r="E6" s="14" t="s">
        <v>246</v>
      </c>
    </row>
    <row r="7" customFormat="false" ht="15" hidden="false" customHeight="false" outlineLevel="0" collapsed="false">
      <c r="B7" s="0" t="s">
        <v>247</v>
      </c>
      <c r="C7" s="18" t="n">
        <f aca="false">'Sources &amp; Uses'!F8</f>
        <v>109904.2779</v>
      </c>
      <c r="D7" s="14" t="s">
        <v>127</v>
      </c>
      <c r="E7" s="14" t="s">
        <v>248</v>
      </c>
    </row>
    <row r="8" customFormat="false" ht="15" hidden="false" customHeight="false" outlineLevel="0" collapsed="false">
      <c r="B8" s="0" t="s">
        <v>249</v>
      </c>
      <c r="C8" s="18" t="n">
        <f aca="false">C7*(1+Assumptions!E31)^Assumptions!E29</f>
        <v>161485.4412789</v>
      </c>
      <c r="D8" s="14" t="s">
        <v>127</v>
      </c>
      <c r="E8" s="14" t="s">
        <v>250</v>
      </c>
    </row>
    <row r="9" customFormat="false" ht="15" hidden="false" customHeight="false" outlineLevel="0" collapsed="false">
      <c r="B9" s="0" t="s">
        <v>251</v>
      </c>
      <c r="C9" s="21" t="n">
        <f aca="false">Assumptions!E32</f>
        <v>0.2</v>
      </c>
      <c r="D9" s="14" t="s">
        <v>163</v>
      </c>
      <c r="E9" s="14" t="s">
        <v>252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10" min="3" style="0" width="13"/>
  </cols>
  <sheetData>
    <row r="2" customFormat="false" ht="27.75" hidden="false" customHeight="true" outlineLevel="0" collapsed="false">
      <c r="B2" s="1" t="s">
        <v>253</v>
      </c>
      <c r="C2" s="1"/>
      <c r="D2" s="1"/>
      <c r="E2" s="1"/>
      <c r="F2" s="1"/>
      <c r="G2" s="1"/>
      <c r="H2" s="1"/>
      <c r="I2" s="1"/>
      <c r="J2" s="1"/>
    </row>
    <row r="4" customFormat="false" ht="15" hidden="false" customHeight="false" outlineLevel="0" collapsed="false">
      <c r="B4" s="15" t="s">
        <v>231</v>
      </c>
      <c r="C4" s="15" t="s">
        <v>184</v>
      </c>
      <c r="D4" s="15" t="s">
        <v>185</v>
      </c>
      <c r="E4" s="15" t="s">
        <v>186</v>
      </c>
      <c r="F4" s="15" t="s">
        <v>187</v>
      </c>
      <c r="G4" s="15" t="s">
        <v>188</v>
      </c>
      <c r="H4" s="15" t="s">
        <v>189</v>
      </c>
      <c r="I4" s="15" t="s">
        <v>190</v>
      </c>
      <c r="J4" s="15" t="s">
        <v>254</v>
      </c>
    </row>
    <row r="5" customFormat="false" ht="15" hidden="false" customHeight="false" outlineLevel="0" collapsed="false">
      <c r="B5" s="0" t="s">
        <v>255</v>
      </c>
      <c r="C5" s="18" t="n">
        <f aca="false">'Operating Model'!D8</f>
        <v>23398.05094</v>
      </c>
      <c r="D5" s="18" t="n">
        <f aca="false">'Operating Model'!E8</f>
        <v>23414.3407223</v>
      </c>
      <c r="E5" s="18" t="n">
        <f aca="false">'Operating Model'!F8</f>
        <v>23408.594871816</v>
      </c>
      <c r="F5" s="18" t="n">
        <f aca="false">'Operating Model'!G8</f>
        <v>23382.120865711</v>
      </c>
      <c r="G5" s="18" t="n">
        <f aca="false">'Operating Model'!H8</f>
        <v>23336.1675645876</v>
      </c>
      <c r="H5" s="18" t="n">
        <f aca="false">'Operating Model'!I8</f>
        <v>23271.9275527525</v>
      </c>
      <c r="I5" s="18" t="n">
        <f aca="false">'Operating Model'!J8</f>
        <v>23190.5393908194</v>
      </c>
      <c r="J5" s="18" t="n">
        <f aca="false">INDEX(C5:I5,1,Assumptions!E29)</f>
        <v>23336.1675645876</v>
      </c>
    </row>
    <row r="6" customFormat="false" ht="15" hidden="false" customHeight="false" outlineLevel="0" collapsed="false">
      <c r="B6" s="0" t="s">
        <v>256</v>
      </c>
      <c r="C6" s="25" t="n">
        <f aca="false">Assumptions!$E$28</f>
        <v>10</v>
      </c>
      <c r="D6" s="25" t="n">
        <f aca="false">Assumptions!$E$28</f>
        <v>10</v>
      </c>
      <c r="E6" s="25" t="n">
        <f aca="false">Assumptions!$E$28</f>
        <v>10</v>
      </c>
      <c r="F6" s="25" t="n">
        <f aca="false">Assumptions!$E$28</f>
        <v>10</v>
      </c>
      <c r="G6" s="25" t="n">
        <f aca="false">Assumptions!$E$28</f>
        <v>10</v>
      </c>
      <c r="H6" s="25" t="n">
        <f aca="false">Assumptions!$E$28</f>
        <v>10</v>
      </c>
      <c r="I6" s="25" t="n">
        <f aca="false">Assumptions!$E$28</f>
        <v>10</v>
      </c>
      <c r="J6" s="25" t="n">
        <f aca="false">INDEX(C6:I6,1,Assumptions!E29)</f>
        <v>10</v>
      </c>
    </row>
    <row r="7" customFormat="false" ht="15" hidden="false" customHeight="false" outlineLevel="0" collapsed="false">
      <c r="B7" s="0" t="s">
        <v>257</v>
      </c>
      <c r="C7" s="18" t="n">
        <f aca="false">C5*C6</f>
        <v>233980.5094</v>
      </c>
      <c r="D7" s="18" t="n">
        <f aca="false">D5*D6</f>
        <v>234143.407223</v>
      </c>
      <c r="E7" s="18" t="n">
        <f aca="false">E5*E6</f>
        <v>234085.94871816</v>
      </c>
      <c r="F7" s="18" t="n">
        <f aca="false">F5*F6</f>
        <v>233821.20865711</v>
      </c>
      <c r="G7" s="18" t="n">
        <f aca="false">G5*G6</f>
        <v>233361.675645876</v>
      </c>
      <c r="H7" s="18" t="n">
        <f aca="false">H5*H6</f>
        <v>232719.275527525</v>
      </c>
      <c r="I7" s="18" t="n">
        <f aca="false">I5*I6</f>
        <v>231905.393908194</v>
      </c>
      <c r="J7" s="18" t="n">
        <f aca="false">INDEX(C7:I7,1,Assumptions!E29)</f>
        <v>233361.675645876</v>
      </c>
    </row>
    <row r="8" customFormat="false" ht="15" hidden="false" customHeight="false" outlineLevel="0" collapsed="false">
      <c r="B8" s="0" t="s">
        <v>229</v>
      </c>
      <c r="C8" s="18" t="n">
        <f aca="false">'Debt Schedule'!D28</f>
        <v>124691.89114875</v>
      </c>
      <c r="D8" s="18" t="n">
        <f aca="false">'Debt Schedule'!E28</f>
        <v>120595.483535474</v>
      </c>
      <c r="E8" s="18" t="n">
        <f aca="false">'Debt Schedule'!F28</f>
        <v>116142.257215327</v>
      </c>
      <c r="F8" s="18" t="n">
        <f aca="false">'Debt Schedule'!G28</f>
        <v>111324.322776467</v>
      </c>
      <c r="G8" s="18" t="n">
        <f aca="false">'Debt Schedule'!H28</f>
        <v>106132.932958885</v>
      </c>
      <c r="H8" s="18" t="n">
        <f aca="false">'Debt Schedule'!I28</f>
        <v>100557.679567245</v>
      </c>
      <c r="I8" s="18" t="n">
        <f aca="false">'Debt Schedule'!J28</f>
        <v>94586.3654175843</v>
      </c>
      <c r="J8" s="18" t="n">
        <f aca="false">INDEX(C8:I8,1,Assumptions!E29)</f>
        <v>106132.932958885</v>
      </c>
    </row>
    <row r="9" customFormat="false" ht="15" hidden="false" customHeight="false" outlineLevel="0" collapsed="false">
      <c r="B9" s="0" t="s">
        <v>258</v>
      </c>
      <c r="C9" s="18" t="n">
        <f aca="false">MAX(0,C7-C8)</f>
        <v>109288.61825125</v>
      </c>
      <c r="D9" s="18" t="n">
        <f aca="false">MAX(0,D7-D8)</f>
        <v>113547.923687526</v>
      </c>
      <c r="E9" s="18" t="n">
        <f aca="false">MAX(0,E7-E8)</f>
        <v>117943.691502833</v>
      </c>
      <c r="F9" s="18" t="n">
        <f aca="false">MAX(0,F7-F8)</f>
        <v>122496.885880643</v>
      </c>
      <c r="G9" s="18" t="n">
        <f aca="false">MAX(0,G7-G8)</f>
        <v>127228.742686991</v>
      </c>
      <c r="H9" s="18" t="n">
        <f aca="false">MAX(0,H7-H8)</f>
        <v>132161.59596028</v>
      </c>
      <c r="I9" s="18" t="n">
        <f aca="false">MAX(0,I7-I8)</f>
        <v>137319.02849061</v>
      </c>
      <c r="J9" s="18" t="n">
        <f aca="false">INDEX(C9:I9,1,Assumptions!E29)</f>
        <v>127228.742686991</v>
      </c>
    </row>
    <row r="10" customFormat="false" ht="15" hidden="false" customHeight="false" outlineLevel="0" collapsed="false">
      <c r="B10" s="0" t="s">
        <v>161</v>
      </c>
      <c r="C10" s="18" t="n">
        <f aca="false">'Management Equity'!$C$7*(1+Assumptions!$E$31)^1</f>
        <v>118696.620132</v>
      </c>
      <c r="D10" s="18" t="n">
        <f aca="false">'Management Equity'!$C$7*(1+Assumptions!$E$31)^2</f>
        <v>128192.34974256</v>
      </c>
      <c r="E10" s="18" t="n">
        <f aca="false">'Management Equity'!$C$7*(1+Assumptions!$E$31)^3</f>
        <v>138447.737721965</v>
      </c>
      <c r="F10" s="18" t="n">
        <f aca="false">'Management Equity'!$C$7*(1+Assumptions!$E$31)^4</f>
        <v>149523.556739722</v>
      </c>
      <c r="G10" s="18" t="n">
        <f aca="false">'Management Equity'!$C$7*(1+Assumptions!$E$31)^5</f>
        <v>161485.4412789</v>
      </c>
      <c r="H10" s="18" t="n">
        <f aca="false">'Management Equity'!$C$7*(1+Assumptions!$E$31)^6</f>
        <v>174404.276581212</v>
      </c>
      <c r="I10" s="18" t="n">
        <f aca="false">'Management Equity'!$C$7*(1+Assumptions!$E$31)^7</f>
        <v>188356.618707709</v>
      </c>
      <c r="J10" s="18" t="n">
        <f aca="false">INDEX(C10:I10,1,Assumptions!E29)</f>
        <v>161485.4412789</v>
      </c>
    </row>
    <row r="11" customFormat="false" ht="15" hidden="false" customHeight="false" outlineLevel="0" collapsed="false">
      <c r="B11" s="0" t="s">
        <v>259</v>
      </c>
      <c r="C11" s="18" t="n">
        <f aca="false">MAX(0,C9-C10)</f>
        <v>0</v>
      </c>
      <c r="D11" s="18" t="n">
        <f aca="false">MAX(0,D9-D10)</f>
        <v>0</v>
      </c>
      <c r="E11" s="18" t="n">
        <f aca="false">MAX(0,E9-E10)</f>
        <v>0</v>
      </c>
      <c r="F11" s="18" t="n">
        <f aca="false">MAX(0,F9-F10)</f>
        <v>0</v>
      </c>
      <c r="G11" s="18" t="n">
        <f aca="false">MAX(0,G9-G10)</f>
        <v>0</v>
      </c>
      <c r="H11" s="18" t="n">
        <f aca="false">MAX(0,H9-H10)</f>
        <v>0</v>
      </c>
      <c r="I11" s="18" t="n">
        <f aca="false">MAX(0,I9-I10)</f>
        <v>0</v>
      </c>
      <c r="J11" s="18" t="n">
        <f aca="false">INDEX(C11:I11,1,Assumptions!E29)</f>
        <v>0</v>
      </c>
    </row>
    <row r="12" customFormat="false" ht="15" hidden="false" customHeight="false" outlineLevel="0" collapsed="false">
      <c r="B12" s="0" t="s">
        <v>260</v>
      </c>
      <c r="C12" s="18" t="n">
        <f aca="false">MIN(C9,C9*Assumptions!$E$30+C11*Assumptions!$E$32)</f>
        <v>10928.861825125</v>
      </c>
      <c r="D12" s="18" t="n">
        <f aca="false">MIN(D9,D9*Assumptions!$E$30+D11*Assumptions!$E$32)</f>
        <v>11354.7923687526</v>
      </c>
      <c r="E12" s="18" t="n">
        <f aca="false">MIN(E9,E9*Assumptions!$E$30+E11*Assumptions!$E$32)</f>
        <v>11794.3691502833</v>
      </c>
      <c r="F12" s="18" t="n">
        <f aca="false">MIN(F9,F9*Assumptions!$E$30+F11*Assumptions!$E$32)</f>
        <v>12249.6885880643</v>
      </c>
      <c r="G12" s="18" t="n">
        <f aca="false">MIN(G9,G9*Assumptions!$E$30+G11*Assumptions!$E$32)</f>
        <v>12722.8742686991</v>
      </c>
      <c r="H12" s="18" t="n">
        <f aca="false">MIN(H9,H9*Assumptions!$E$30+H11*Assumptions!$E$32)</f>
        <v>13216.159596028</v>
      </c>
      <c r="I12" s="18" t="n">
        <f aca="false">MIN(I9,I9*Assumptions!$E$30+I11*Assumptions!$E$32)</f>
        <v>13731.9028490609</v>
      </c>
      <c r="J12" s="18" t="n">
        <f aca="false">INDEX(C12:I12,1,Assumptions!E29)</f>
        <v>12722.8742686991</v>
      </c>
    </row>
    <row r="13" customFormat="false" ht="15" hidden="false" customHeight="false" outlineLevel="0" collapsed="false">
      <c r="B13" s="0" t="s">
        <v>261</v>
      </c>
      <c r="C13" s="18" t="n">
        <f aca="false">MAX(0,C9-C12)</f>
        <v>98359.756426125</v>
      </c>
      <c r="D13" s="18" t="n">
        <f aca="false">MAX(0,D9-D12)</f>
        <v>102193.131318773</v>
      </c>
      <c r="E13" s="18" t="n">
        <f aca="false">MAX(0,E9-E12)</f>
        <v>106149.32235255</v>
      </c>
      <c r="F13" s="18" t="n">
        <f aca="false">MAX(0,F9-F12)</f>
        <v>110247.197292578</v>
      </c>
      <c r="G13" s="18" t="n">
        <f aca="false">MAX(0,G9-G12)</f>
        <v>114505.868418292</v>
      </c>
      <c r="H13" s="18" t="n">
        <f aca="false">MAX(0,H9-H12)</f>
        <v>118945.436364252</v>
      </c>
      <c r="I13" s="18" t="n">
        <f aca="false">MAX(0,I9-I12)</f>
        <v>123587.125641549</v>
      </c>
      <c r="J13" s="18" t="n">
        <f aca="false">INDEX(C13:I13,1,Assumptions!E29)</f>
        <v>114505.868418292</v>
      </c>
    </row>
    <row r="14" customFormat="false" ht="15" hidden="false" customHeight="false" outlineLevel="0" collapsed="false">
      <c r="B14" s="0" t="s">
        <v>262</v>
      </c>
      <c r="C14" s="25" t="n">
        <f aca="false">IFERROR(C13/'Sources &amp; Uses'!$F$8,0)</f>
        <v>0.894958397484953</v>
      </c>
      <c r="D14" s="25" t="n">
        <f aca="false">IFERROR(D13/'Sources &amp; Uses'!$F$8,0)</f>
        <v>0.929837612069633</v>
      </c>
      <c r="E14" s="25" t="n">
        <f aca="false">IFERROR(E13/'Sources &amp; Uses'!$F$8,0)</f>
        <v>0.965834309462759</v>
      </c>
      <c r="F14" s="25" t="n">
        <f aca="false">IFERROR(F13/'Sources &amp; Uses'!$F$8,0)</f>
        <v>1.00312016419316</v>
      </c>
      <c r="G14" s="25" t="n">
        <f aca="false">IFERROR(G13/'Sources &amp; Uses'!$F$8,0)</f>
        <v>1.04186907558302</v>
      </c>
      <c r="H14" s="25" t="n">
        <f aca="false">IFERROR(H13/'Sources &amp; Uses'!$F$8,0)</f>
        <v>1.08226393582676</v>
      </c>
      <c r="I14" s="25" t="n">
        <f aca="false">IFERROR(I13/'Sources &amp; Uses'!$F$8,0)</f>
        <v>1.1244978630768</v>
      </c>
      <c r="J14" s="25" t="n">
        <f aca="false">INDEX(C14:I14,1,Assumptions!E29)</f>
        <v>1.04186907558302</v>
      </c>
    </row>
    <row r="15" customFormat="false" ht="15" hidden="false" customHeight="false" outlineLevel="0" collapsed="false">
      <c r="B15" s="0" t="s">
        <v>263</v>
      </c>
      <c r="C15" s="23" t="n">
        <f aca="false">IFERROR((C13/'Sources &amp; Uses'!$F$8)^(1/1)-1,0)</f>
        <v>-0.105041602515047</v>
      </c>
      <c r="D15" s="23" t="n">
        <f aca="false">IFERROR((D13/'Sources &amp; Uses'!$F$8)^(1/2)-1,0)</f>
        <v>-0.0357191217961267</v>
      </c>
      <c r="E15" s="23" t="n">
        <f aca="false">IFERROR((E13/'Sources &amp; Uses'!$F$8)^(1/3)-1,0)</f>
        <v>-0.0115207822237074</v>
      </c>
      <c r="F15" s="23" t="n">
        <f aca="false">IFERROR((F13/'Sources &amp; Uses'!$F$8)^(1/4)-1,0)</f>
        <v>0.000779130009872731</v>
      </c>
      <c r="G15" s="23" t="n">
        <f aca="false">IFERROR((G13/'Sources &amp; Uses'!$F$8)^(1/5)-1,0)</f>
        <v>0.00823699655192778</v>
      </c>
      <c r="H15" s="23" t="n">
        <f aca="false">IFERROR((H13/'Sources &amp; Uses'!$F$8)^(1/6)-1,0)</f>
        <v>0.0132630312921269</v>
      </c>
      <c r="I15" s="23" t="n">
        <f aca="false">IFERROR((I13/'Sources &amp; Uses'!$F$8)^(1/7)-1,0)</f>
        <v>0.0169036471007922</v>
      </c>
      <c r="J15" s="23" t="n">
        <f aca="false">INDEX(C15:I15,1,Assumptions!E29)</f>
        <v>0.00823699655192778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7" min="3" style="0" width="14"/>
  </cols>
  <sheetData>
    <row r="2" customFormat="false" ht="27.75" hidden="false" customHeight="true" outlineLevel="0" collapsed="false">
      <c r="B2" s="1" t="s">
        <v>264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265</v>
      </c>
      <c r="C4" s="30" t="n">
        <v>7</v>
      </c>
      <c r="D4" s="30" t="n">
        <v>8</v>
      </c>
      <c r="E4" s="30" t="n">
        <v>9</v>
      </c>
      <c r="F4" s="30" t="n">
        <v>10</v>
      </c>
      <c r="G4" s="30" t="n">
        <v>11</v>
      </c>
    </row>
    <row r="5" customFormat="false" ht="15" hidden="false" customHeight="false" outlineLevel="0" collapsed="false">
      <c r="B5" s="25" t="n">
        <v>8</v>
      </c>
      <c r="C5" s="21" t="n">
        <f aca="false">IFERROR(((('Operating Model'!H8*C$4-'Debt Schedule'!G28)*(1-Assumptions!$E$30))/MAX(0.01,('Operating Model'!C8*$B5+Assumptions!$E$15+'Sources &amp; Uses'!C7+Assumptions!$E$16-'Sources &amp; Uses'!F6-'Sources &amp; Uses'!F7)))^(1/5)-1,0)</f>
        <v>-0.058173241584372</v>
      </c>
      <c r="D5" s="21" t="n">
        <f aca="false">IFERROR(((('Operating Model'!H8*D$4-'Debt Schedule'!G28)*(1-Assumptions!$E$30))/MAX(0.01,('Operating Model'!C8*$B5+Assumptions!$E$15+'Sources &amp; Uses'!C7+Assumptions!$E$16-'Sources &amp; Uses'!F6-'Sources &amp; Uses'!F7)))^(1/5)-1,0)</f>
        <v>0.0142759798225731</v>
      </c>
      <c r="E5" s="21" t="n">
        <f aca="false">IFERROR(((('Operating Model'!H8*E$4-'Debt Schedule'!G28)*(1-Assumptions!$E$30))/MAX(0.01,('Operating Model'!C8*$B5+Assumptions!$E$15+'Sources &amp; Uses'!C7+Assumptions!$E$16-'Sources &amp; Uses'!F6-'Sources &amp; Uses'!F7)))^(1/5)-1,0)</f>
        <v>0.0704999543073663</v>
      </c>
      <c r="F5" s="21" t="n">
        <f aca="false">IFERROR(((('Operating Model'!H8*F$4-'Debt Schedule'!G28)*(1-Assumptions!$E$30))/MAX(0.01,('Operating Model'!C8*$B5+Assumptions!$E$15+'Sources &amp; Uses'!C7+Assumptions!$E$16-'Sources &amp; Uses'!F6-'Sources &amp; Uses'!F7)))^(1/5)-1,0)</f>
        <v>0.116916573220379</v>
      </c>
      <c r="G5" s="21" t="n">
        <f aca="false">IFERROR(((('Operating Model'!H8*G$4-'Debt Schedule'!G28)*(1-Assumptions!$E$30))/MAX(0.01,('Operating Model'!C8*$B5+Assumptions!$E$15+'Sources &amp; Uses'!C7+Assumptions!$E$16-'Sources &amp; Uses'!F6-'Sources &amp; Uses'!F7)))^(1/5)-1,0)</f>
        <v>0.156696019315141</v>
      </c>
    </row>
    <row r="6" customFormat="false" ht="15" hidden="false" customHeight="false" outlineLevel="0" collapsed="false">
      <c r="B6" s="25" t="n">
        <v>9</v>
      </c>
      <c r="C6" s="21" t="n">
        <f aca="false">IFERROR(((('Operating Model'!H8*C$4-'Debt Schedule'!G28)*(1-Assumptions!$E$30))/MAX(0.01,('Operating Model'!C8*$B6+Assumptions!$E$15+'Sources &amp; Uses'!C7+Assumptions!$E$16-'Sources &amp; Uses'!F6-'Sources &amp; Uses'!F7)))^(1/5)-1,0)</f>
        <v>-0.115601439871313</v>
      </c>
      <c r="D6" s="21" t="n">
        <f aca="false">IFERROR(((('Operating Model'!H8*D$4-'Debt Schedule'!G28)*(1-Assumptions!$E$30))/MAX(0.01,('Operating Model'!C8*$B6+Assumptions!$E$15+'Sources &amp; Uses'!C7+Assumptions!$E$16-'Sources &amp; Uses'!F6-'Sources &amp; Uses'!F7)))^(1/5)-1,0)</f>
        <v>-0.0475698337163406</v>
      </c>
      <c r="E6" s="21" t="n">
        <f aca="false">IFERROR(((('Operating Model'!H8*E$4-'Debt Schedule'!G28)*(1-Assumptions!$E$30))/MAX(0.01,('Operating Model'!C8*$B6+Assumptions!$E$15+'Sources &amp; Uses'!C7+Assumptions!$E$16-'Sources &amp; Uses'!F6-'Sources &amp; Uses'!F7)))^(1/5)-1,0)</f>
        <v>0.00522586531721747</v>
      </c>
      <c r="F6" s="21" t="n">
        <f aca="false">IFERROR(((('Operating Model'!H8*F$4-'Debt Schedule'!G28)*(1-Assumptions!$E$30))/MAX(0.01,('Operating Model'!C8*$B6+Assumptions!$E$15+'Sources &amp; Uses'!C7+Assumptions!$E$16-'Sources &amp; Uses'!F6-'Sources &amp; Uses'!F7)))^(1/5)-1,0)</f>
        <v>0.0488122155306767</v>
      </c>
      <c r="G6" s="21" t="n">
        <f aca="false">IFERROR(((('Operating Model'!H8*G$4-'Debt Schedule'!G28)*(1-Assumptions!$E$30))/MAX(0.01,('Operating Model'!C8*$B6+Assumptions!$E$15+'Sources &amp; Uses'!C7+Assumptions!$E$16-'Sources &amp; Uses'!F6-'Sources &amp; Uses'!F7)))^(1/5)-1,0)</f>
        <v>0.086166096735014</v>
      </c>
    </row>
    <row r="7" customFormat="false" ht="15" hidden="false" customHeight="false" outlineLevel="0" collapsed="false">
      <c r="B7" s="25" t="n">
        <v>10</v>
      </c>
      <c r="C7" s="21" t="n">
        <f aca="false">IFERROR(((('Operating Model'!H8*C$4-'Debt Schedule'!G28)*(1-Assumptions!$E$30))/MAX(0.01,('Operating Model'!C8*$B7+Assumptions!$E$15+'Sources &amp; Uses'!C7+Assumptions!$E$16-'Sources &amp; Uses'!F6-'Sources &amp; Uses'!F7)))^(1/5)-1,0)</f>
        <v>-0.156870222131174</v>
      </c>
      <c r="D7" s="21" t="n">
        <f aca="false">IFERROR(((('Operating Model'!H8*D$4-'Debt Schedule'!G28)*(1-Assumptions!$E$30))/MAX(0.01,('Operating Model'!C8*$B7+Assumptions!$E$15+'Sources &amp; Uses'!C7+Assumptions!$E$16-'Sources &amp; Uses'!F6-'Sources &amp; Uses'!F7)))^(1/5)-1,0)</f>
        <v>-0.0920131819103536</v>
      </c>
      <c r="E7" s="21" t="n">
        <f aca="false">IFERROR(((('Operating Model'!H8*E$4-'Debt Schedule'!G28)*(1-Assumptions!$E$30))/MAX(0.01,('Operating Model'!C8*$B7+Assumptions!$E$15+'Sources &amp; Uses'!C7+Assumptions!$E$16-'Sources &amp; Uses'!F6-'Sources &amp; Uses'!F7)))^(1/5)-1,0)</f>
        <v>-0.0416810940877364</v>
      </c>
      <c r="F7" s="21" t="n">
        <f aca="false">IFERROR(((('Operating Model'!H8*F$4-'Debt Schedule'!G28)*(1-Assumptions!$E$30))/MAX(0.01,('Operating Model'!C8*$B7+Assumptions!$E$15+'Sources &amp; Uses'!C7+Assumptions!$E$16-'Sources &amp; Uses'!F6-'Sources &amp; Uses'!F7)))^(1/5)-1,0)</f>
        <v>-0.000128618280630266</v>
      </c>
      <c r="G7" s="21" t="n">
        <f aca="false">IFERROR(((('Operating Model'!H8*G$4-'Debt Schedule'!G28)*(1-Assumptions!$E$30))/MAX(0.01,('Operating Model'!C8*$B7+Assumptions!$E$15+'Sources &amp; Uses'!C7+Assumptions!$E$16-'Sources &amp; Uses'!F6-'Sources &amp; Uses'!F7)))^(1/5)-1,0)</f>
        <v>0.0354822148688141</v>
      </c>
    </row>
    <row r="8" customFormat="false" ht="15" hidden="false" customHeight="false" outlineLevel="0" collapsed="false">
      <c r="B8" s="25" t="n">
        <v>11</v>
      </c>
      <c r="C8" s="21" t="n">
        <f aca="false">IFERROR(((('Operating Model'!H8*C$4-'Debt Schedule'!G28)*(1-Assumptions!$E$30))/MAX(0.01,('Operating Model'!C8*$B8+Assumptions!$E$15+'Sources &amp; Uses'!C7+Assumptions!$E$16-'Sources &amp; Uses'!F6-'Sources &amp; Uses'!F7)))^(1/5)-1,0)</f>
        <v>-0.188748209504652</v>
      </c>
      <c r="D8" s="21" t="n">
        <f aca="false">IFERROR(((('Operating Model'!H8*D$4-'Debt Schedule'!G28)*(1-Assumptions!$E$30))/MAX(0.01,('Operating Model'!C8*$B8+Assumptions!$E$15+'Sources &amp; Uses'!C7+Assumptions!$E$16-'Sources &amp; Uses'!F6-'Sources &amp; Uses'!F7)))^(1/5)-1,0)</f>
        <v>-0.126343356317798</v>
      </c>
      <c r="E8" s="21" t="n">
        <f aca="false">IFERROR(((('Operating Model'!H8*E$4-'Debt Schedule'!G28)*(1-Assumptions!$E$30))/MAX(0.01,('Operating Model'!C8*$B8+Assumptions!$E$15+'Sources &amp; Uses'!C7+Assumptions!$E$16-'Sources &amp; Uses'!F6-'Sources &amp; Uses'!F7)))^(1/5)-1,0)</f>
        <v>-0.0779142799914012</v>
      </c>
      <c r="F8" s="21" t="n">
        <f aca="false">IFERROR(((('Operating Model'!H8*F$4-'Debt Schedule'!G28)*(1-Assumptions!$E$30))/MAX(0.01,('Operating Model'!C8*$B8+Assumptions!$E$15+'Sources &amp; Uses'!C7+Assumptions!$E$16-'Sources &amp; Uses'!F6-'Sources &amp; Uses'!F7)))^(1/5)-1,0)</f>
        <v>-0.0379328663551319</v>
      </c>
      <c r="G8" s="21" t="n">
        <f aca="false">IFERROR(((('Operating Model'!H8*G$4-'Debt Schedule'!G28)*(1-Assumptions!$E$30))/MAX(0.01,('Operating Model'!C8*$B8+Assumptions!$E$15+'Sources &amp; Uses'!C7+Assumptions!$E$16-'Sources &amp; Uses'!F6-'Sources &amp; Uses'!F7)))^(1/5)-1,0)</f>
        <v>-0.00366844714965531</v>
      </c>
    </row>
    <row r="9" customFormat="false" ht="15" hidden="false" customHeight="false" outlineLevel="0" collapsed="false">
      <c r="B9" s="25" t="n">
        <v>12</v>
      </c>
      <c r="C9" s="21" t="n">
        <f aca="false">IFERROR(((('Operating Model'!H8*C$4-'Debt Schedule'!G28)*(1-Assumptions!$E$30))/MAX(0.01,('Operating Model'!C8*$B9+Assumptions!$E$15+'Sources &amp; Uses'!C7+Assumptions!$E$16-'Sources &amp; Uses'!F6-'Sources &amp; Uses'!F7)))^(1/5)-1,0)</f>
        <v>-0.214534067321629</v>
      </c>
      <c r="D9" s="21" t="n">
        <f aca="false">IFERROR(((('Operating Model'!H8*D$4-'Debt Schedule'!G28)*(1-Assumptions!$E$30))/MAX(0.01,('Operating Model'!C8*$B9+Assumptions!$E$15+'Sources &amp; Uses'!C7+Assumptions!$E$16-'Sources &amp; Uses'!F6-'Sources &amp; Uses'!F7)))^(1/5)-1,0)</f>
        <v>-0.154112769290176</v>
      </c>
      <c r="E9" s="21" t="n">
        <f aca="false">IFERROR(((('Operating Model'!H8*E$4-'Debt Schedule'!G28)*(1-Assumptions!$E$30))/MAX(0.01,('Operating Model'!C8*$B9+Assumptions!$E$15+'Sources &amp; Uses'!C7+Assumptions!$E$16-'Sources &amp; Uses'!F6-'Sources &amp; Uses'!F7)))^(1/5)-1,0)</f>
        <v>-0.107223024267563</v>
      </c>
      <c r="F9" s="21" t="n">
        <f aca="false">IFERROR(((('Operating Model'!H8*F$4-'Debt Schedule'!G28)*(1-Assumptions!$E$30))/MAX(0.01,('Operating Model'!C8*$B9+Assumptions!$E$15+'Sources &amp; Uses'!C7+Assumptions!$E$16-'Sources &amp; Uses'!F6-'Sources &amp; Uses'!F7)))^(1/5)-1,0)</f>
        <v>-0.068512430689166</v>
      </c>
      <c r="G9" s="21" t="n">
        <f aca="false">IFERROR(((('Operating Model'!H8*G$4-'Debt Schedule'!G28)*(1-Assumptions!$E$30))/MAX(0.01,('Operating Model'!C8*$B9+Assumptions!$E$15+'Sources &amp; Uses'!C7+Assumptions!$E$16-'Sources &amp; Uses'!F6-'Sources &amp; Uses'!F7)))^(1/5)-1,0)</f>
        <v>-0.0353371153256351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266</v>
      </c>
      <c r="C2" s="1"/>
    </row>
    <row r="4" customFormat="false" ht="15" hidden="false" customHeight="false" outlineLevel="0" collapsed="false">
      <c r="B4" s="15" t="s">
        <v>267</v>
      </c>
      <c r="C4" s="15" t="s">
        <v>43</v>
      </c>
    </row>
    <row r="5" customFormat="false" ht="15" hidden="false" customHeight="false" outlineLevel="0" collapsed="false">
      <c r="B5" s="0" t="s">
        <v>268</v>
      </c>
      <c r="C5" s="0" t="str">
        <f aca="false">IF(ABS('Sources &amp; Uses'!F10)&lt;0.000001,"PASS","FAIL")</f>
        <v>PASS</v>
      </c>
    </row>
    <row r="6" customFormat="false" ht="15" hidden="false" customHeight="false" outlineLevel="0" collapsed="false">
      <c r="B6" s="0" t="s">
        <v>269</v>
      </c>
      <c r="C6" s="0" t="str">
        <f aca="false">IF('Sources &amp; Uses'!F8&gt;0,"PASS","FAIL")</f>
        <v>PASS</v>
      </c>
    </row>
    <row r="7" customFormat="false" ht="15" hidden="false" customHeight="false" outlineLevel="0" collapsed="false">
      <c r="B7" s="0" t="s">
        <v>270</v>
      </c>
      <c r="C7" s="0" t="str">
        <f aca="false">IF(MIN('Debt Schedule'!D15:J25)&gt;=0,"PASS","FAIL")</f>
        <v>PASS</v>
      </c>
    </row>
    <row r="8" customFormat="false" ht="15" hidden="false" customHeight="false" outlineLevel="0" collapsed="false">
      <c r="B8" s="0" t="s">
        <v>271</v>
      </c>
      <c r="C8" s="0" t="str">
        <f aca="false">IF(MIN('Debt Schedule'!D13:J13)&gt;=Assumptions!E16,"PASS","REVIEW")</f>
        <v>PASS</v>
      </c>
    </row>
    <row r="9" customFormat="false" ht="15" hidden="false" customHeight="false" outlineLevel="0" collapsed="false">
      <c r="B9" s="0" t="s">
        <v>272</v>
      </c>
      <c r="C9" s="0" t="str">
        <f aca="false">IF(COUNTIF(Covenants!C13:I13,"BREACH")=0,"PASS","REVIEW")</f>
        <v>PASS</v>
      </c>
    </row>
    <row r="10" customFormat="false" ht="15" hidden="false" customHeight="false" outlineLevel="0" collapsed="false">
      <c r="B10" s="0" t="s">
        <v>273</v>
      </c>
      <c r="C10" s="0" t="str">
        <f aca="false">IF(MIN('Returns Waterfall'!C9:I9)&gt;=0,"PASS","FAIL")</f>
        <v>PASS</v>
      </c>
    </row>
    <row r="11" customFormat="false" ht="15" hidden="false" customHeight="false" outlineLevel="0" collapsed="false">
      <c r="B11" s="0" t="s">
        <v>274</v>
      </c>
      <c r="C11" s="0" t="str">
        <f aca="false">IF(MAX(ABS('Returns Waterfall'!C9:I9-'Returns Waterfall'!C12:I12-'Returns Waterfall'!C13:I13))&lt;0.000001,"PASS","FAIL")</f>
        <v>PASS</v>
      </c>
    </row>
    <row r="12" customFormat="false" ht="15" hidden="false" customHeight="false" outlineLevel="0" collapsed="false">
      <c r="B12" s="0" t="s">
        <v>275</v>
      </c>
      <c r="C12" s="0" t="str">
        <f aca="false">IF(AND(Assumptions!E29&gt;=1,Assumptions!E29&lt;=7),"PASS","FAIL")</f>
        <v>PASS</v>
      </c>
    </row>
    <row r="13" customFormat="false" ht="15" hidden="false" customHeight="false" outlineLevel="0" collapsed="false">
      <c r="B13" s="0" t="s">
        <v>276</v>
      </c>
      <c r="C13" s="0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277</v>
      </c>
      <c r="C2" s="1"/>
      <c r="D2" s="1"/>
      <c r="E2" s="1"/>
    </row>
    <row r="4" customFormat="false" ht="15" hidden="false" customHeight="false" outlineLevel="0" collapsed="false">
      <c r="B4" s="15" t="s">
        <v>278</v>
      </c>
      <c r="C4" s="15" t="s">
        <v>279</v>
      </c>
      <c r="D4" s="15" t="s">
        <v>106</v>
      </c>
      <c r="E4" s="15" t="s">
        <v>280</v>
      </c>
    </row>
    <row r="5" customFormat="false" ht="15" hidden="false" customHeight="false" outlineLevel="0" collapsed="false">
      <c r="B5" s="31" t="s">
        <v>281</v>
      </c>
      <c r="C5" s="31" t="s">
        <v>282</v>
      </c>
      <c r="D5" s="31" t="s">
        <v>283</v>
      </c>
      <c r="E5" s="31" t="s">
        <v>284</v>
      </c>
    </row>
    <row r="6" customFormat="false" ht="15" hidden="false" customHeight="false" outlineLevel="0" collapsed="false">
      <c r="B6" s="31" t="s">
        <v>285</v>
      </c>
      <c r="C6" s="31" t="s">
        <v>286</v>
      </c>
      <c r="D6" s="31" t="s">
        <v>6</v>
      </c>
      <c r="E6" s="31" t="s">
        <v>287</v>
      </c>
    </row>
    <row r="7" customFormat="false" ht="15" hidden="false" customHeight="false" outlineLevel="0" collapsed="false">
      <c r="B7" s="31" t="s">
        <v>288</v>
      </c>
      <c r="C7" s="31" t="s">
        <v>289</v>
      </c>
      <c r="D7" s="31" t="s">
        <v>6</v>
      </c>
      <c r="E7" s="31" t="s">
        <v>290</v>
      </c>
    </row>
    <row r="8" customFormat="false" ht="15" hidden="false" customHeight="false" outlineLevel="0" collapsed="false">
      <c r="B8" s="31" t="s">
        <v>291</v>
      </c>
      <c r="C8" s="31" t="s">
        <v>292</v>
      </c>
      <c r="D8" s="31" t="s">
        <v>6</v>
      </c>
      <c r="E8" s="31" t="s">
        <v>293</v>
      </c>
    </row>
    <row r="9" customFormat="false" ht="15" hidden="false" customHeight="false" outlineLevel="0" collapsed="false">
      <c r="B9" s="31" t="s">
        <v>294</v>
      </c>
      <c r="C9" s="31" t="s">
        <v>295</v>
      </c>
      <c r="D9" s="31" t="s">
        <v>6</v>
      </c>
      <c r="E9" s="31" t="s">
        <v>296</v>
      </c>
    </row>
    <row r="10" customFormat="false" ht="15" hidden="false" customHeight="false" outlineLevel="0" collapsed="false">
      <c r="B10" s="32" t="s">
        <v>297</v>
      </c>
      <c r="C10" s="32" t="s">
        <v>298</v>
      </c>
      <c r="D10" s="32" t="s">
        <v>8</v>
      </c>
      <c r="E10" s="32" t="s">
        <v>299</v>
      </c>
    </row>
    <row r="11" customFormat="false" ht="15" hidden="false" customHeight="false" outlineLevel="0" collapsed="false">
      <c r="B11" s="32" t="s">
        <v>300</v>
      </c>
      <c r="C11" s="32" t="s">
        <v>301</v>
      </c>
      <c r="D11" s="32" t="s">
        <v>8</v>
      </c>
      <c r="E11" s="32" t="s">
        <v>302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303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94</v>
      </c>
      <c r="C4" s="15" t="s">
        <v>304</v>
      </c>
      <c r="D4" s="15" t="s">
        <v>305</v>
      </c>
      <c r="E4" s="15" t="s">
        <v>306</v>
      </c>
      <c r="F4" s="15" t="s">
        <v>307</v>
      </c>
      <c r="G4" s="15" t="s">
        <v>308</v>
      </c>
    </row>
    <row r="5" customFormat="false" ht="15" hidden="false" customHeight="false" outlineLevel="0" collapsed="false">
      <c r="B5" s="33" t="s">
        <v>309</v>
      </c>
      <c r="C5" s="33" t="s">
        <v>310</v>
      </c>
      <c r="D5" s="33" t="s">
        <v>301</v>
      </c>
      <c r="E5" s="33" t="s">
        <v>311</v>
      </c>
      <c r="F5" s="33" t="s">
        <v>312</v>
      </c>
      <c r="G5" s="33" t="s">
        <v>313</v>
      </c>
    </row>
    <row r="6" customFormat="false" ht="15" hidden="false" customHeight="false" outlineLevel="0" collapsed="false">
      <c r="B6" s="33"/>
      <c r="C6" s="33"/>
      <c r="D6" s="33"/>
      <c r="E6" s="33"/>
      <c r="F6" s="33"/>
      <c r="G6" s="33"/>
    </row>
    <row r="7" customFormat="false" ht="15" hidden="false" customHeight="false" outlineLevel="0" collapsed="false">
      <c r="B7" s="33"/>
      <c r="C7" s="33"/>
      <c r="D7" s="33"/>
      <c r="E7" s="33"/>
      <c r="F7" s="33"/>
      <c r="G7" s="33"/>
    </row>
    <row r="8" customFormat="false" ht="15" hidden="false" customHeight="false" outlineLevel="0" collapsed="false">
      <c r="B8" s="33"/>
      <c r="C8" s="33"/>
      <c r="D8" s="33"/>
      <c r="E8" s="33"/>
      <c r="F8" s="33"/>
      <c r="G8" s="33"/>
    </row>
    <row r="9" customFormat="false" ht="15" hidden="false" customHeight="false" outlineLevel="0" collapsed="false">
      <c r="B9" s="33"/>
      <c r="C9" s="33"/>
      <c r="D9" s="33"/>
      <c r="E9" s="33"/>
      <c r="F9" s="33"/>
      <c r="G9" s="33"/>
    </row>
    <row r="10" customFormat="false" ht="15" hidden="false" customHeight="false" outlineLevel="0" collapsed="false">
      <c r="B10" s="33"/>
      <c r="C10" s="33"/>
      <c r="D10" s="33"/>
      <c r="E10" s="33"/>
      <c r="F10" s="33"/>
      <c r="G10" s="33"/>
    </row>
    <row r="11" customFormat="false" ht="15" hidden="false" customHeight="false" outlineLevel="0" collapsed="false">
      <c r="B11" s="33"/>
      <c r="C11" s="33"/>
      <c r="D11" s="33"/>
      <c r="E11" s="33"/>
      <c r="F11" s="33"/>
      <c r="G11" s="33"/>
    </row>
    <row r="12" customFormat="false" ht="15" hidden="false" customHeight="false" outlineLevel="0" collapsed="false">
      <c r="B12" s="33"/>
      <c r="C12" s="33"/>
      <c r="D12" s="33"/>
      <c r="E12" s="33"/>
      <c r="F12" s="33"/>
      <c r="G12" s="33"/>
    </row>
    <row r="13" customFormat="false" ht="15" hidden="false" customHeight="false" outlineLevel="0" collapsed="false">
      <c r="B13" s="33"/>
      <c r="C13" s="33"/>
      <c r="D13" s="33"/>
      <c r="E13" s="33"/>
      <c r="F13" s="33"/>
      <c r="G13" s="33"/>
    </row>
    <row r="14" customFormat="false" ht="15" hidden="false" customHeight="false" outlineLevel="0" collapsed="false">
      <c r="B14" s="33"/>
      <c r="C14" s="33"/>
      <c r="D14" s="33"/>
      <c r="E14" s="33"/>
      <c r="F14" s="33"/>
      <c r="G14" s="33"/>
    </row>
    <row r="15" customFormat="false" ht="15" hidden="false" customHeight="false" outlineLevel="0" collapsed="false">
      <c r="B15" s="33"/>
      <c r="C15" s="33"/>
      <c r="D15" s="33"/>
      <c r="E15" s="33"/>
      <c r="F15" s="33"/>
      <c r="G15" s="33"/>
    </row>
    <row r="16" customFormat="false" ht="15" hidden="false" customHeight="false" outlineLevel="0" collapsed="false">
      <c r="B16" s="33"/>
      <c r="C16" s="33"/>
      <c r="D16" s="33"/>
      <c r="E16" s="33"/>
      <c r="F16" s="33"/>
      <c r="G16" s="33"/>
    </row>
    <row r="17" customFormat="false" ht="15" hidden="false" customHeight="false" outlineLevel="0" collapsed="false">
      <c r="B17" s="33"/>
      <c r="C17" s="33"/>
      <c r="D17" s="33"/>
      <c r="E17" s="33"/>
      <c r="F17" s="33"/>
      <c r="G17" s="33"/>
    </row>
    <row r="18" customFormat="false" ht="15" hidden="false" customHeight="false" outlineLevel="0" collapsed="false">
      <c r="B18" s="33"/>
      <c r="C18" s="33"/>
      <c r="D18" s="33"/>
      <c r="E18" s="33"/>
      <c r="F18" s="33"/>
      <c r="G18" s="33"/>
    </row>
    <row r="19" customFormat="false" ht="15" hidden="false" customHeight="false" outlineLevel="0" collapsed="false">
      <c r="B19" s="33"/>
      <c r="C19" s="33"/>
      <c r="D19" s="33"/>
      <c r="E19" s="33"/>
      <c r="F19" s="33"/>
      <c r="G19" s="33"/>
    </row>
    <row r="20" customFormat="false" ht="15" hidden="false" customHeight="false" outlineLevel="0" collapsed="false">
      <c r="B20" s="33"/>
      <c r="C20" s="33"/>
      <c r="D20" s="33"/>
      <c r="E20" s="33"/>
      <c r="F20" s="33"/>
      <c r="G20" s="33"/>
    </row>
    <row r="21" customFormat="false" ht="15" hidden="false" customHeight="false" outlineLevel="0" collapsed="false">
      <c r="B21" s="33"/>
      <c r="C21" s="33"/>
      <c r="D21" s="33"/>
      <c r="E21" s="33"/>
      <c r="F21" s="33"/>
      <c r="G21" s="33"/>
    </row>
    <row r="22" customFormat="false" ht="15" hidden="false" customHeight="false" outlineLevel="0" collapsed="false">
      <c r="B22" s="33"/>
      <c r="C22" s="33"/>
      <c r="D22" s="33"/>
      <c r="E22" s="33"/>
      <c r="F22" s="33"/>
      <c r="G22" s="33"/>
    </row>
    <row r="23" customFormat="false" ht="15" hidden="false" customHeight="false" outlineLevel="0" collapsed="false">
      <c r="B23" s="33"/>
      <c r="C23" s="33"/>
      <c r="D23" s="33"/>
      <c r="E23" s="33"/>
      <c r="F23" s="33"/>
      <c r="G23" s="33"/>
    </row>
    <row r="24" customFormat="false" ht="15" hidden="false" customHeight="false" outlineLevel="0" collapsed="false">
      <c r="B24" s="33"/>
      <c r="C24" s="33"/>
      <c r="D24" s="33"/>
      <c r="E24" s="33"/>
      <c r="F24" s="33"/>
      <c r="G24" s="33"/>
    </row>
    <row r="25" customFormat="false" ht="15" hidden="false" customHeight="false" outlineLevel="0" collapsed="false">
      <c r="B25" s="33"/>
      <c r="C25" s="33"/>
      <c r="D25" s="33"/>
      <c r="E25" s="33"/>
      <c r="F25" s="33"/>
      <c r="G25" s="33"/>
    </row>
    <row r="26" customFormat="false" ht="15" hidden="false" customHeight="false" outlineLevel="0" collapsed="false">
      <c r="B26" s="33"/>
      <c r="C26" s="33"/>
      <c r="D26" s="33"/>
      <c r="E26" s="33"/>
      <c r="F26" s="33"/>
      <c r="G26" s="33"/>
    </row>
    <row r="27" customFormat="false" ht="15" hidden="false" customHeight="false" outlineLevel="0" collapsed="false">
      <c r="B27" s="33"/>
      <c r="C27" s="33"/>
      <c r="D27" s="33"/>
      <c r="E27" s="33"/>
      <c r="F27" s="33"/>
      <c r="G27" s="33"/>
    </row>
    <row r="28" customFormat="false" ht="15" hidden="false" customHeight="false" outlineLevel="0" collapsed="false">
      <c r="B28" s="33"/>
      <c r="C28" s="33"/>
      <c r="D28" s="33"/>
      <c r="E28" s="33"/>
      <c r="F28" s="33"/>
      <c r="G28" s="33"/>
    </row>
    <row r="29" customFormat="false" ht="15" hidden="false" customHeight="false" outlineLevel="0" collapsed="false">
      <c r="B29" s="33"/>
      <c r="C29" s="33"/>
      <c r="D29" s="33"/>
      <c r="E29" s="33"/>
      <c r="F29" s="33"/>
      <c r="G29" s="33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2026-08-05T23:19:31Z</dcterms:created>
  <dc:creator>openpyxl</dc:creator>
  <dc:description/>
  <dc:language>en-US</dc:language>
  <cp:lastModifiedBy/>
  <dcterms:modified xsi:type="dcterms:W3CDTF">2026-08-05T23:20:28Z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