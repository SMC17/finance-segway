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<sst xmlns="http://schemas.openxmlformats.org/spreadsheetml/2006/main" count="461" uniqueCount="322">
  <si>
    <t xml:space="preserve">[TARGET] — LBO Underwriting Model</t>
  </si>
  <si>
    <t xml:space="preserve">Target / transaction:</t>
  </si>
  <si>
    <t xml:space="preserve">The Home Depot, Inc. -- FY2023 public-company operating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</si>
  <si>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</si>
  <si>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</si>
  <si>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</si>
  <si>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</si>
  <si>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</si>
  <si>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</si>
  <si>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</si>
  <si>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</si>
  <si>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</si>
  <si>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</si>
  <si>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</si>
  <si>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</si>
  <si>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</si>
  <si>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</si>
  <si>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</si>
  <si>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</si>
  <si>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</si>
  <si>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</si>
  <si>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</si>
  <si>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</si>
  <si>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</si>
  <si>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</si>
  <si>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</si>
  <si>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</si>
  <si>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</si>
  <si>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</si>
  <si>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</si>
  <si>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</si>
  <si>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</si>
  <si>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</si>
  <si>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</si>
  <si>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</si>
  <si>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</si>
  <si>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</si>
  <si>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</si>
  <si>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</si>
  <si>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</si>
  <si>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</si>
  <si>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</si>
  <si>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</si>
  <si>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</si>
  <si>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</si>
  <si>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</si>
  <si>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</si>
  <si>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</si>
  <si>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</si>
  <si>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</si>
  <si>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</si>
  <si>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</si>
  <si>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</si>
  <si>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</si>
  <si>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</si>
  <si>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</si>
  <si>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</si>
  <si>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</si>
  <si>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</si>
  <si>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</si>
  <si>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</si>
  <si>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</si>
  <si>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</si>
  <si>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</si>
  <si>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</si>
  <si>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</si>
  <si>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</si>
  <si>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</si>
  <si>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</si>
  <si>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</si>
  <si>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</si>
  <si>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</si>
  <si>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</si>
  <si>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</si>
  <si>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</si>
  <si>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</si>
  <si>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</si>
  <si>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</si>
  <si>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</si>
  <si>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</si>
  <si>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</si>
  <si>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</si>
  <si>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</si>
  <si>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</si>
  <si>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</si>
  <si>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</si>
  <si>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</si>
  <si>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</si>
  <si>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</si>
  <si>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</si>
  <si>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</si>
  <si>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</si>
  <si>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</si>
  <si>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</si>
  <si>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</si>
  <si>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</si>
  <si>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</si>
  <si>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</si>
  <si>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</si>
  <si>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</si>
  <si>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</si>
  <si>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</si>
  <si>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</si>
  <si>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</si>
  <si>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</si>
  <si>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</si>
  <si>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</si>
  <si>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</si>
  <si>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</si>
  <si>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</si>
  <si>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</si>
  <si>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</si>
  <si>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</si>
  <si>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</si>
  <si>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</si>
  <si>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</si>
  <si>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</si>
  <si>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</si>
  <si>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</si>
  <si>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</si>
  <si>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</si>
  <si>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</si>
  <si>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</si>
  <si>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</si>
  <si>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</si>
  <si>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</si>
  <si>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</si>
  <si>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</si>
  <si>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</si>
  <si>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</si>
  <si>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</si>
  <si>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</si>
  <si>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</si>
  <si>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</si>
  <si>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</si>
  <si>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</si>
  <si>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</si>
  <si>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</si>
  <si>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</si>
  <si>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</si>
  <si>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</si>
  <si>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</si>
  <si>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</si>
  <si>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</si>
  <si>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</si>
  <si>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</si>
  <si>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</si>
  <si>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</si>
  <si>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</si>
  <si>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</si>
  <si>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</si>
  <si>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</si>
  <si>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</si>
  <si>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</si>
  <si>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</si>
  <si>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</si>
  <si>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</si>
  <si>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</si>
  <si>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</si>
  <si>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</si>
  <si>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</si>
  <si>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</si>
  <si>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</si>
  <si>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</si>
  <si>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</si>
  <si>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</si>
  <si>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</si>
  <si>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</si>
  <si>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</si>
  <si>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</si>
  <si>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</si>
  <si>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</si>
  <si>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</si>
  <si>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</si>
  <si>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</si>
  <si>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</si>
  <si>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</si>
  <si>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</si>
  <si>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</si>
  <si>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</si>
  <si>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</si>
  <si>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</si>
  <si>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</si>
  <si>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</si>
  <si>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</si>
  <si>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</si>
  <si>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</si>
  <si>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</si>
  <si>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</si>
  <si>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</si>
  <si>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</si>
  <si>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</si>
  <si>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</si>
  <si>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</si>
  <si>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</si>
  <si>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</si>
  <si>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</si>
  <si>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</si>
  <si>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</si>
  <si>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</si>
  <si>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</si>
  <si>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</si>
  <si>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</si>
  <si>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</si>
  <si>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</si>
  <si>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</si>
  <si>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</si>
  <si>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</si>
  <si>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</si>
  <si>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</si>
  <si>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</si>
  <si>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</si>
  <si>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</si>
  <si>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</si>
  <si>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</si>
  <si>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</si>
  <si>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</si>
  <si>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</si>
  <si>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</si>
  <si>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</si>
  <si>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</si>
  <si>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</si>
  <si>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</si>
  <si>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</si>
  <si>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</si>
  <si>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</si>
  <si>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</si>
  <si>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</si>
  <si>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</si>
  <si>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</si>
  <si>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</si>
  <si>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</si>
  <si>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</si>
  <si>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</si>
  <si>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</si>
  <si>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</si>
  <si>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</si>
  <si>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</si>
  <si>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</si>
  <si>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</si>
  <si>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</si>
  <si>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</si>
  <si>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</si>
  <si>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</si>
  <si>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</si>
  <si>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</si>
  <si>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</si>
  <si>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</si>
  <si>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</si>
  <si>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</si>
  <si>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</si>
  <si>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</si>
  <si>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</si>
  <si>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</si>
  <si>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</si>
  <si>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</si>
  <si>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</si>
  <si>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</si>
  <si>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</si>
  <si>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</si>
  <si>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</si>
  <si>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</si>
  <si>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</si>
  <si>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</si>
  <si>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</si>
  <si>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</si>
  <si>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</si>
  <si>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</si>
  <si>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</si>
  <si>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</si>
  <si>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</si>
  <si>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</si>
  <si>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</si>
  <si>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</si>
  <si>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</si>
  <si>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</si>
  <si>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</si>
  <si>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</si>
  <si>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</si>
  <si>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</si>
  <si>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</si>
  <si>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</si>
  <si>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</si>
  <si>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</si>
  <si>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</si>
  <si>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</si>
  <si>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</si>
  <si>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</si>
  <si>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</si>
  <si>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</si>
  <si>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</si>
  <si>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</si>
  <si>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</si>
  <si>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</si>
  <si>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</si>
  <si>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</si>
  <si>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</si>
  <si>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</si>
  <si>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</si>
  <si>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</si>
  <si>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Home Depot Q4 &amp; FY2023 Earnings Call Transcript (2024-02-20)</t>
  </si>
  <si>
    <t xml:space="preserve">https://www.alphavantage.co/documentation/#earnings-call-transcripts</t>
  </si>
  <si>
    <t xml:space="preserve">2024-02-20</t>
  </si>
  <si>
    <t xml:space="preserve">Management-disclosed FY2023 operating margin (~14.2%), gross margin (~33.4%), opex/sales (~19.2%), and effective tax rate (24%), retrieved via Alpha Vantage EARNINGS_CALL_TRANSCRIPT (symbol=HD, quarter=2023Q4). Call predates the case as_of date of 2024-03-13.</t>
  </si>
  <si>
    <t xml:space="preserve">Home Depot FY2023 Cash Flow Statement (Alpha Vantage, SEC-derived)</t>
  </si>
  <si>
    <t xml:space="preserve">https://www.alphavantage.co/documentation/#cash-flow</t>
  </si>
  <si>
    <t xml:space="preserve">2024-01-31</t>
  </si>
  <si>
    <t xml:space="preserve">depreciationDepletionAndAmortization=$3,247mm, capitalExpenditures=$3,226mm for fiscalDateEnding 2024-01-31 (Home Depot FY2023, ended 2024-01-28). Retrieved via Alpha Vantage CASH_FLOW (symbol=HD).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</si>
  <si>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</si>
  <si>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</si>
  <si>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</si>
  <si>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</si>
  <si>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</si>
  <si>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</si>
  <si>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</si>
  <si>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</si>
  <si>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</si>
  <si>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2026-08-06</t>
  </si>
  <si>
    <t xml:space="preserve">Full input accounting: every candidate cell sourced or declared</t>
  </si>
  <si>
    <t xml:space="preserve">Sourced annual EBITDA-margin change (C8) from management's own FY2024 operating-margin guidance vs FY2023 actual. Reclassified every remaining candidate input as a typed driver rather than an 'illustrative' hardcode: each names its driver_type and rationale, and carries an empty basis until its range is grounded in real comparable data. Ungrounded drivers earn no coverage credit by design.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</si>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</sst>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110</v>
      </c>
      <c r="D6" s="0" t="s">
        <v>114</v>
      </c>
      <c r="J6" s="14" t="s">
        <v>112</v>
      </c>
    </row>
    <row r="7" customFormat="false" ht="15" hidden="false" customHeight="false" outlineLevel="0" collapsed="false">
      <c r="B7" s="0" t="s">
        <v>115</v>
      </c>
      <c r="C7" s="0" t="s">
        <v>116</v>
      </c>
      <c r="D7" s="0" t="s">
        <v>117</v>
      </c>
      <c r="J7" s="14" t="s">
        <v>112</v>
      </c>
    </row>
    <row r="8" customFormat="false" ht="15" hidden="false" customHeight="false" outlineLevel="0" collapsed="false">
      <c r="B8" s="0" t="s">
        <v>118</v>
      </c>
      <c r="C8" s="0" t="s">
        <v>119</v>
      </c>
      <c r="D8" s="0" t="s">
        <v>120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121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122</v>
      </c>
      <c r="C4" s="15" t="s">
        <v>11</v>
      </c>
      <c r="D4" s="15" t="s">
        <v>123</v>
      </c>
      <c r="E4" s="15" t="s">
        <v>124</v>
      </c>
      <c r="F4" s="15" t="s">
        <v>125</v>
      </c>
    </row>
    <row r="5" customFormat="false" ht="15" hidden="false" customHeight="false" outlineLevel="0" collapsed="false">
      <c r="B5" s="0" t="s">
        <v>126</v>
      </c>
      <c r="C5" s="16" t="n">
        <v>152669</v>
      </c>
      <c r="D5" s="17" t="n">
        <v>600</v>
      </c>
      <c r="E5" s="18" t="n">
        <f aca="false">IF(Cover!$C$9="Downside",D5,C5)</f>
        <v>152669</v>
      </c>
      <c r="F5" s="14" t="s">
        <v>127</v>
      </c>
    </row>
    <row r="6" customFormat="false" ht="15" hidden="false" customHeight="false" outlineLevel="0" collapsed="false">
      <c r="B6" s="0" t="s">
        <v>128</v>
      </c>
      <c r="C6" s="19" t="n">
        <v>0.163</v>
      </c>
      <c r="D6" s="20" t="n">
        <v>0.17</v>
      </c>
      <c r="E6" s="21" t="n">
        <f aca="false">IF(Cover!$C$9="Downside",D6,C6)</f>
        <v>0.163</v>
      </c>
      <c r="F6" s="14" t="s">
        <v>129</v>
      </c>
    </row>
    <row r="7" customFormat="false" ht="15" hidden="false" customHeight="false" outlineLevel="0" collapsed="false">
      <c r="B7" s="0" t="s">
        <v>130</v>
      </c>
      <c r="C7" s="19" t="n">
        <v>0.01</v>
      </c>
      <c r="D7" s="20" t="n">
        <v>-0.02</v>
      </c>
      <c r="E7" s="21" t="n">
        <f aca="false">IF(Cover!$C$9="Downside",D7,C7)</f>
        <v>0.01</v>
      </c>
      <c r="F7" s="14" t="s">
        <v>129</v>
      </c>
    </row>
    <row r="8" customFormat="false" ht="15" hidden="false" customHeight="false" outlineLevel="0" collapsed="false">
      <c r="B8" s="0" t="s">
        <v>131</v>
      </c>
      <c r="C8" s="22" t="n">
        <v>-0.001</v>
      </c>
      <c r="D8" s="23" t="n">
        <v>-0.003</v>
      </c>
      <c r="E8" s="24" t="n">
        <f aca="false">IF(Cover!$C$9="Downside",D8,C8)</f>
        <v>-0.001</v>
      </c>
      <c r="F8" s="14" t="s">
        <v>132</v>
      </c>
    </row>
    <row r="9" customFormat="false" ht="15" hidden="false" customHeight="false" outlineLevel="0" collapsed="false">
      <c r="B9" s="0" t="s">
        <v>133</v>
      </c>
      <c r="C9" s="19" t="n">
        <v>0.0213</v>
      </c>
      <c r="D9" s="20" t="n">
        <v>0.025</v>
      </c>
      <c r="E9" s="21" t="n">
        <f aca="false">IF(Cover!$C$9="Downside",D9,C9)</f>
        <v>0.0213</v>
      </c>
      <c r="F9" s="14" t="s">
        <v>129</v>
      </c>
    </row>
    <row r="10" customFormat="false" ht="15" hidden="false" customHeight="false" outlineLevel="0" collapsed="false">
      <c r="B10" s="0" t="s">
        <v>134</v>
      </c>
      <c r="C10" s="19" t="n">
        <v>0.0211</v>
      </c>
      <c r="D10" s="20" t="n">
        <v>0.045</v>
      </c>
      <c r="E10" s="21" t="n">
        <f aca="false">IF(Cover!$C$9="Downside",D10,C10)</f>
        <v>0.0211</v>
      </c>
      <c r="F10" s="14" t="s">
        <v>129</v>
      </c>
    </row>
    <row r="11" customFormat="false" ht="15" hidden="false" customHeight="false" outlineLevel="0" collapsed="false">
      <c r="B11" s="0" t="s">
        <v>135</v>
      </c>
      <c r="C11" s="20" t="n">
        <v>0.08</v>
      </c>
      <c r="D11" s="20" t="n">
        <v>0.1</v>
      </c>
      <c r="E11" s="21" t="n">
        <f aca="false">IF(Cover!$C$9="Downside",D11,C11)</f>
        <v>0.08</v>
      </c>
      <c r="F11" s="14" t="s">
        <v>129</v>
      </c>
    </row>
    <row r="12" customFormat="false" ht="15" hidden="false" customHeight="false" outlineLevel="0" collapsed="false">
      <c r="B12" s="0" t="s">
        <v>136</v>
      </c>
      <c r="C12" s="19" t="n">
        <v>0.24</v>
      </c>
      <c r="D12" s="20" t="n">
        <v>0.2</v>
      </c>
      <c r="E12" s="21" t="n">
        <f aca="false">IF(Cover!$C$9="Downside",D12,C12)</f>
        <v>0.24</v>
      </c>
      <c r="F12" s="14" t="s">
        <v>129</v>
      </c>
    </row>
    <row r="13" customFormat="false" ht="15" hidden="false" customHeight="false" outlineLevel="0" collapsed="false">
      <c r="B13" s="0" t="s">
        <v>137</v>
      </c>
      <c r="C13" s="25" t="n">
        <v>10</v>
      </c>
      <c r="D13" s="25" t="n">
        <v>9</v>
      </c>
      <c r="E13" s="26" t="n">
        <f aca="false">IF(Cover!$C$9="Downside",D13,C13)</f>
        <v>10</v>
      </c>
      <c r="F13" s="14" t="s">
        <v>138</v>
      </c>
    </row>
    <row r="14" customFormat="false" ht="15" hidden="false" customHeight="false" outlineLevel="0" collapsed="false">
      <c r="B14" s="0" t="s">
        <v>139</v>
      </c>
      <c r="C14" s="20" t="n">
        <v>0.02</v>
      </c>
      <c r="D14" s="20" t="n">
        <v>0.025</v>
      </c>
      <c r="E14" s="21" t="n">
        <f aca="false">IF(Cover!$C$9="Downside",D14,C14)</f>
        <v>0.02</v>
      </c>
      <c r="F14" s="14" t="s">
        <v>129</v>
      </c>
    </row>
    <row r="15" customFormat="false" ht="15" hidden="false" customHeight="false" outlineLevel="0" collapsed="false">
      <c r="B15" s="0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4" t="s">
        <v>127</v>
      </c>
    </row>
    <row r="16" customFormat="false" ht="15" hidden="false" customHeight="false" outlineLevel="0" collapsed="false">
      <c r="B16" s="0" t="s">
        <v>141</v>
      </c>
      <c r="C16" s="17" t="n">
        <v>20</v>
      </c>
      <c r="D16" s="17" t="n">
        <v>25</v>
      </c>
      <c r="E16" s="18" t="n">
        <f aca="false">IF(Cover!$C$9="Downside",D16,C16)</f>
        <v>20</v>
      </c>
      <c r="F16" s="14" t="s">
        <v>127</v>
      </c>
    </row>
    <row r="17" customFormat="false" ht="15" hidden="false" customHeight="false" outlineLevel="0" collapsed="false">
      <c r="B17" s="0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4" t="s">
        <v>127</v>
      </c>
    </row>
    <row r="18" customFormat="false" ht="15" hidden="false" customHeight="false" outlineLevel="0" collapsed="false">
      <c r="B18" s="0" t="s">
        <v>143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4" t="s">
        <v>129</v>
      </c>
    </row>
    <row r="19" customFormat="false" ht="15" hidden="false" customHeight="false" outlineLevel="0" collapsed="false">
      <c r="B19" s="0" t="s">
        <v>144</v>
      </c>
      <c r="C19" s="25" t="n">
        <v>4</v>
      </c>
      <c r="D19" s="25" t="n">
        <v>3.5</v>
      </c>
      <c r="E19" s="26" t="n">
        <f aca="false">IF(Cover!$C$9="Downside",D19,C19)</f>
        <v>4</v>
      </c>
      <c r="F19" s="14" t="s">
        <v>145</v>
      </c>
    </row>
    <row r="20" customFormat="false" ht="15" hidden="false" customHeight="false" outlineLevel="0" collapsed="false">
      <c r="B20" s="0" t="s">
        <v>146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4" t="s">
        <v>129</v>
      </c>
    </row>
    <row r="21" customFormat="false" ht="15" hidden="false" customHeight="false" outlineLevel="0" collapsed="false">
      <c r="B21" s="0" t="s">
        <v>147</v>
      </c>
      <c r="C21" s="20" t="n">
        <v>0.01</v>
      </c>
      <c r="D21" s="20" t="n">
        <v>0.01</v>
      </c>
      <c r="E21" s="21" t="n">
        <f aca="false">IF(Cover!$C$9="Downside",D21,C21)</f>
        <v>0.01</v>
      </c>
      <c r="F21" s="14" t="s">
        <v>148</v>
      </c>
    </row>
    <row r="22" customFormat="false" ht="15" hidden="false" customHeight="false" outlineLevel="0" collapsed="false">
      <c r="B22" s="0" t="s">
        <v>149</v>
      </c>
      <c r="C22" s="25" t="n">
        <v>1.5</v>
      </c>
      <c r="D22" s="25" t="n">
        <v>1</v>
      </c>
      <c r="E22" s="26" t="n">
        <f aca="false">IF(Cover!$C$9="Downside",D22,C22)</f>
        <v>1.5</v>
      </c>
      <c r="F22" s="14" t="s">
        <v>145</v>
      </c>
    </row>
    <row r="23" customFormat="false" ht="15" hidden="false" customHeight="false" outlineLevel="0" collapsed="false">
      <c r="B23" s="0" t="s">
        <v>150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4" t="s">
        <v>129</v>
      </c>
    </row>
    <row r="24" customFormat="false" ht="15" hidden="false" customHeight="false" outlineLevel="0" collapsed="false">
      <c r="B24" s="0" t="s">
        <v>151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4" t="s">
        <v>129</v>
      </c>
    </row>
    <row r="25" customFormat="false" ht="15" hidden="false" customHeight="false" outlineLevel="0" collapsed="false">
      <c r="B25" s="0" t="s">
        <v>152</v>
      </c>
      <c r="C25" s="20" t="n">
        <v>0.75</v>
      </c>
      <c r="D25" s="20" t="n">
        <v>0.5</v>
      </c>
      <c r="E25" s="21" t="n">
        <f aca="false">IF(Cover!$C$9="Downside",D25,C25)</f>
        <v>0.75</v>
      </c>
      <c r="F25" s="14" t="s">
        <v>153</v>
      </c>
    </row>
    <row r="26" customFormat="false" ht="15" hidden="false" customHeight="false" outlineLevel="0" collapsed="false">
      <c r="B26" s="0" t="s">
        <v>154</v>
      </c>
      <c r="C26" s="25" t="n">
        <v>7</v>
      </c>
      <c r="D26" s="25" t="n">
        <v>6.5</v>
      </c>
      <c r="E26" s="26" t="n">
        <f aca="false">IF(Cover!$C$9="Downside",D26,C26)</f>
        <v>7</v>
      </c>
      <c r="F26" s="14" t="s">
        <v>138</v>
      </c>
    </row>
    <row r="27" customFormat="false" ht="15" hidden="false" customHeight="false" outlineLevel="0" collapsed="false">
      <c r="B27" s="0" t="s">
        <v>155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4" t="s">
        <v>138</v>
      </c>
    </row>
    <row r="28" customFormat="false" ht="15" hidden="false" customHeight="false" outlineLevel="0" collapsed="false">
      <c r="B28" s="0" t="s">
        <v>156</v>
      </c>
      <c r="C28" s="25" t="n">
        <v>10</v>
      </c>
      <c r="D28" s="25" t="n">
        <v>8</v>
      </c>
      <c r="E28" s="26" t="n">
        <f aca="false">IF(Cover!$C$9="Downside",D28,C28)</f>
        <v>10</v>
      </c>
      <c r="F28" s="14" t="s">
        <v>138</v>
      </c>
    </row>
    <row r="29" customFormat="false" ht="15" hidden="false" customHeight="false" outlineLevel="0" collapsed="false">
      <c r="B29" s="0" t="s">
        <v>157</v>
      </c>
      <c r="C29" s="27" t="n">
        <v>5</v>
      </c>
      <c r="D29" s="27" t="n">
        <v>5</v>
      </c>
      <c r="E29" s="28" t="n">
        <f aca="false">IF(Cover!$C$9="Downside",D29,C29)</f>
        <v>5</v>
      </c>
      <c r="F29" s="14" t="s">
        <v>158</v>
      </c>
    </row>
    <row r="30" customFormat="false" ht="15" hidden="false" customHeight="false" outlineLevel="0" collapsed="false">
      <c r="B30" s="0" t="s">
        <v>159</v>
      </c>
      <c r="C30" s="20" t="n">
        <v>0.1</v>
      </c>
      <c r="D30" s="20" t="n">
        <v>0.1</v>
      </c>
      <c r="E30" s="21" t="n">
        <f aca="false">IF(Cover!$C$9="Downside",D30,C30)</f>
        <v>0.1</v>
      </c>
      <c r="F30" s="14" t="s">
        <v>160</v>
      </c>
    </row>
    <row r="31" customFormat="false" ht="15" hidden="false" customHeight="false" outlineLevel="0" collapsed="false">
      <c r="B31" s="0" t="s">
        <v>161</v>
      </c>
      <c r="C31" s="20" t="n">
        <v>0.08</v>
      </c>
      <c r="D31" s="20" t="n">
        <v>0.08</v>
      </c>
      <c r="E31" s="21" t="n">
        <f aca="false">IF(Cover!$C$9="Downside",D31,C31)</f>
        <v>0.08</v>
      </c>
      <c r="F31" s="14" t="s">
        <v>129</v>
      </c>
    </row>
    <row r="32" customFormat="false" ht="15" hidden="false" customHeight="false" outlineLevel="0" collapsed="false">
      <c r="B32" s="0" t="s">
        <v>162</v>
      </c>
      <c r="C32" s="20" t="n">
        <v>0.2</v>
      </c>
      <c r="D32" s="20" t="n">
        <v>0.2</v>
      </c>
      <c r="E32" s="21" t="n">
        <f aca="false">IF(Cover!$C$9="Downside",D32,C32)</f>
        <v>0.2</v>
      </c>
      <c r="F32" s="14" t="s">
        <v>163</v>
      </c>
    </row>
    <row r="33" customFormat="false" ht="15" hidden="false" customHeight="false" outlineLevel="0" collapsed="false">
      <c r="B33" s="0" t="s">
        <v>164</v>
      </c>
      <c r="C33" s="23" t="n">
        <v>0.00375</v>
      </c>
      <c r="D33" s="23" t="n">
        <v>0.005</v>
      </c>
      <c r="E33" s="24" t="n">
        <f aca="false">IF(Cover!$C$9="Downside",D33,C33)</f>
        <v>0.00375</v>
      </c>
      <c r="F33" s="14" t="s">
        <v>165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167</v>
      </c>
      <c r="C4" s="15" t="s">
        <v>168</v>
      </c>
      <c r="D4" s="15"/>
      <c r="E4" s="15" t="s">
        <v>169</v>
      </c>
      <c r="F4" s="15" t="s">
        <v>168</v>
      </c>
      <c r="G4" s="15"/>
    </row>
    <row r="5" customFormat="false" ht="15" hidden="false" customHeight="false" outlineLevel="0" collapsed="false">
      <c r="B5" s="0" t="s">
        <v>170</v>
      </c>
      <c r="C5" s="18" t="n">
        <f aca="false">Assumptions!E5*Assumptions!E6*Assumptions!E13</f>
        <v>248850.47</v>
      </c>
      <c r="E5" s="14" t="s">
        <v>171</v>
      </c>
      <c r="F5" s="17" t="n">
        <v>0</v>
      </c>
    </row>
    <row r="6" customFormat="false" ht="15" hidden="false" customHeight="false" outlineLevel="0" collapsed="false">
      <c r="B6" s="0" t="s">
        <v>172</v>
      </c>
      <c r="C6" s="18" t="n">
        <f aca="false">Assumptions!E15</f>
        <v>100</v>
      </c>
      <c r="E6" s="14" t="s">
        <v>173</v>
      </c>
      <c r="F6" s="18" t="n">
        <f aca="false">Assumptions!E5*Assumptions!E6*Assumptions!E19</f>
        <v>99540.188</v>
      </c>
    </row>
    <row r="7" customFormat="false" ht="15" hidden="false" customHeight="false" outlineLevel="0" collapsed="false">
      <c r="B7" s="0" t="s">
        <v>174</v>
      </c>
      <c r="C7" s="18" t="n">
        <f aca="false">C5*Assumptions!E14</f>
        <v>4977.0094</v>
      </c>
      <c r="E7" s="14" t="s">
        <v>175</v>
      </c>
      <c r="F7" s="18" t="n">
        <f aca="false">Assumptions!E5*Assumptions!E6*Assumptions!E22</f>
        <v>37327.5705</v>
      </c>
    </row>
    <row r="8" customFormat="false" ht="15" hidden="false" customHeight="false" outlineLevel="0" collapsed="false">
      <c r="B8" s="0" t="s">
        <v>176</v>
      </c>
      <c r="C8" s="18" t="n">
        <f aca="false">Assumptions!E16</f>
        <v>20</v>
      </c>
      <c r="E8" s="14" t="s">
        <v>177</v>
      </c>
      <c r="F8" s="18" t="n">
        <f aca="false">C9-SUM(F5:F7)</f>
        <v>117079.7209</v>
      </c>
    </row>
    <row r="9" customFormat="false" ht="15" hidden="false" customHeight="false" outlineLevel="0" collapsed="false">
      <c r="B9" s="29" t="s">
        <v>178</v>
      </c>
      <c r="C9" s="30" t="n">
        <f aca="false">SUM(C5:C8)</f>
        <v>253947.4794</v>
      </c>
      <c r="E9" s="29" t="s">
        <v>179</v>
      </c>
      <c r="F9" s="30" t="n">
        <f aca="false">SUM(F5:F8)</f>
        <v>253947.4794</v>
      </c>
    </row>
    <row r="10" customFormat="false" ht="15" hidden="false" customHeight="false" outlineLevel="0" collapsed="false">
      <c r="E10" s="0" t="s">
        <v>180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183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191</v>
      </c>
      <c r="C5" s="18" t="n">
        <f aca="false">Assumptions!E5</f>
        <v>152669</v>
      </c>
      <c r="D5" s="18" t="n">
        <f aca="false">C5*(1+Assumptions!$E$7)</f>
        <v>154195.69</v>
      </c>
      <c r="E5" s="18" t="n">
        <f aca="false">D5*(1+Assumptions!$E$7)</f>
        <v>155737.6469</v>
      </c>
      <c r="F5" s="18" t="n">
        <f aca="false">E5*(1+Assumptions!$E$7)</f>
        <v>157295.023369</v>
      </c>
      <c r="G5" s="18" t="n">
        <f aca="false">F5*(1+Assumptions!$E$7)</f>
        <v>158867.97360269</v>
      </c>
      <c r="H5" s="18" t="n">
        <f aca="false">G5*(1+Assumptions!$E$7)</f>
        <v>160456.653338717</v>
      </c>
      <c r="I5" s="18" t="n">
        <f aca="false">H5*(1+Assumptions!$E$7)</f>
        <v>162061.219872104</v>
      </c>
      <c r="J5" s="18" t="n">
        <f aca="false">I5*(1+Assumptions!$E$7)</f>
        <v>163681.832070825</v>
      </c>
    </row>
    <row r="6" customFormat="false" ht="15" hidden="false" customHeight="false" outlineLevel="0" collapsed="false">
      <c r="B6" s="0" t="s">
        <v>192</v>
      </c>
      <c r="D6" s="21" t="n">
        <f aca="false">IFERROR(D5/C5-1,0)</f>
        <v>0.01</v>
      </c>
      <c r="E6" s="21" t="n">
        <f aca="false">IFERROR(E5/D5-1,0)</f>
        <v>0.01</v>
      </c>
      <c r="F6" s="21" t="n">
        <f aca="false">IFERROR(F5/E5-1,0)</f>
        <v>0.01</v>
      </c>
      <c r="G6" s="21" t="n">
        <f aca="false">IFERROR(G5/F5-1,0)</f>
        <v>0.01</v>
      </c>
      <c r="H6" s="21" t="n">
        <f aca="false">IFERROR(H5/G5-1,0)</f>
        <v>0.01</v>
      </c>
      <c r="I6" s="21" t="n">
        <f aca="false">IFERROR(I5/H5-1,0)</f>
        <v>0.01</v>
      </c>
      <c r="J6" s="21" t="n">
        <f aca="false">IFERROR(J5/I5-1,0)</f>
        <v>0.01</v>
      </c>
    </row>
    <row r="7" customFormat="false" ht="15" hidden="false" customHeight="false" outlineLevel="0" collapsed="false">
      <c r="B7" s="0" t="s">
        <v>193</v>
      </c>
      <c r="C7" s="21" t="n">
        <f aca="false">Assumptions!E6</f>
        <v>0.163</v>
      </c>
      <c r="D7" s="21" t="n">
        <f aca="false">MAX(0,MIN(0.6,C7+Assumptions!$E$8))</f>
        <v>0.162</v>
      </c>
      <c r="E7" s="21" t="n">
        <f aca="false">MAX(0,MIN(0.6,D7+Assumptions!$E$8))</f>
        <v>0.161</v>
      </c>
      <c r="F7" s="21" t="n">
        <f aca="false">MAX(0,MIN(0.6,E7+Assumptions!$E$8))</f>
        <v>0.16</v>
      </c>
      <c r="G7" s="21" t="n">
        <f aca="false">MAX(0,MIN(0.6,F7+Assumptions!$E$8))</f>
        <v>0.159</v>
      </c>
      <c r="H7" s="21" t="n">
        <f aca="false">MAX(0,MIN(0.6,G7+Assumptions!$E$8))</f>
        <v>0.158</v>
      </c>
      <c r="I7" s="21" t="n">
        <f aca="false">MAX(0,MIN(0.6,H7+Assumptions!$E$8))</f>
        <v>0.157</v>
      </c>
      <c r="J7" s="21" t="n">
        <f aca="false">MAX(0,MIN(0.6,I7+Assumptions!$E$8))</f>
        <v>0.156</v>
      </c>
    </row>
    <row r="8" customFormat="false" ht="15" hidden="false" customHeight="false" outlineLevel="0" collapsed="false">
      <c r="B8" s="29" t="s">
        <v>194</v>
      </c>
      <c r="C8" s="30" t="n">
        <f aca="false">C5*C7</f>
        <v>24885.047</v>
      </c>
      <c r="D8" s="30" t="n">
        <f aca="false">D5*D7</f>
        <v>24979.70178</v>
      </c>
      <c r="E8" s="30" t="n">
        <f aca="false">E5*E7</f>
        <v>25073.7611509</v>
      </c>
      <c r="F8" s="30" t="n">
        <f aca="false">F5*F7</f>
        <v>25167.20373904</v>
      </c>
      <c r="G8" s="30" t="n">
        <f aca="false">G5*G7</f>
        <v>25260.0078028277</v>
      </c>
      <c r="H8" s="30" t="n">
        <f aca="false">H5*H7</f>
        <v>25352.1512275173</v>
      </c>
      <c r="I8" s="30" t="n">
        <f aca="false">I5*I7</f>
        <v>25443.6115199203</v>
      </c>
      <c r="J8" s="30" t="n">
        <f aca="false">J5*J7</f>
        <v>25534.3658030487</v>
      </c>
    </row>
    <row r="9" customFormat="false" ht="15" hidden="false" customHeight="false" outlineLevel="0" collapsed="false">
      <c r="B9" s="0" t="s">
        <v>195</v>
      </c>
      <c r="C9" s="18" t="n">
        <f aca="false">C5*Assumptions!E9</f>
        <v>3251.8497</v>
      </c>
      <c r="D9" s="18" t="n">
        <f aca="false">D5*Assumptions!$E$9</f>
        <v>3284.368197</v>
      </c>
      <c r="E9" s="18" t="n">
        <f aca="false">E5*Assumptions!$E$9</f>
        <v>3317.21187897</v>
      </c>
      <c r="F9" s="18" t="n">
        <f aca="false">F5*Assumptions!$E$9</f>
        <v>3350.3839977597</v>
      </c>
      <c r="G9" s="18" t="n">
        <f aca="false">G5*Assumptions!$E$9</f>
        <v>3383.8878377373</v>
      </c>
      <c r="H9" s="18" t="n">
        <f aca="false">H5*Assumptions!$E$9</f>
        <v>3417.72671611467</v>
      </c>
      <c r="I9" s="18" t="n">
        <f aca="false">I5*Assumptions!$E$9</f>
        <v>3451.90398327582</v>
      </c>
      <c r="J9" s="18" t="n">
        <f aca="false">J5*Assumptions!$E$9</f>
        <v>3486.42302310858</v>
      </c>
    </row>
    <row r="10" customFormat="false" ht="15" hidden="false" customHeight="false" outlineLevel="0" collapsed="false">
      <c r="B10" s="0" t="s">
        <v>196</v>
      </c>
      <c r="C10" s="18" t="n">
        <f aca="false">C8-C9</f>
        <v>21633.1973</v>
      </c>
      <c r="D10" s="18" t="n">
        <f aca="false">D8-D9</f>
        <v>21695.333583</v>
      </c>
      <c r="E10" s="18" t="n">
        <f aca="false">E8-E9</f>
        <v>21756.54927193</v>
      </c>
      <c r="F10" s="18" t="n">
        <f aca="false">F8-F9</f>
        <v>21816.8197412803</v>
      </c>
      <c r="G10" s="18" t="n">
        <f aca="false">G8-G9</f>
        <v>21876.1199650904</v>
      </c>
      <c r="H10" s="18" t="n">
        <f aca="false">H8-H9</f>
        <v>21934.4245114026</v>
      </c>
      <c r="I10" s="18" t="n">
        <f aca="false">I8-I9</f>
        <v>21991.7075366445</v>
      </c>
      <c r="J10" s="18" t="n">
        <f aca="false">J8-J9</f>
        <v>22047.9427799401</v>
      </c>
    </row>
    <row r="11" customFormat="false" ht="15" hidden="false" customHeight="false" outlineLevel="0" collapsed="false">
      <c r="B11" s="0" t="s">
        <v>197</v>
      </c>
      <c r="D11" s="18" t="n">
        <f aca="false">'Debt Schedule'!D7</f>
        <v>12567.229985</v>
      </c>
      <c r="E11" s="18" t="n">
        <f aca="false">'Debt Schedule'!E7</f>
        <v>12112.1523034845</v>
      </c>
      <c r="F11" s="18" t="n">
        <f aca="false">'Debt Schedule'!F7</f>
        <v>11593.2665797328</v>
      </c>
      <c r="G11" s="18" t="n">
        <f aca="false">'Debt Schedule'!G7</f>
        <v>11032.9366705236</v>
      </c>
      <c r="H11" s="18" t="n">
        <f aca="false">'Debt Schedule'!H7</f>
        <v>10429.6820580664</v>
      </c>
      <c r="I11" s="18" t="n">
        <f aca="false">'Debt Schedule'!I7</f>
        <v>9780.4111150332</v>
      </c>
      <c r="J11" s="18" t="n">
        <f aca="false">'Debt Schedule'!J7</f>
        <v>9081.70588740268</v>
      </c>
    </row>
    <row r="12" customFormat="false" ht="15" hidden="false" customHeight="false" outlineLevel="0" collapsed="false">
      <c r="B12" s="0" t="s">
        <v>198</v>
      </c>
      <c r="D12" s="18" t="n">
        <f aca="false">D10-D11</f>
        <v>9128.103598</v>
      </c>
      <c r="E12" s="18" t="n">
        <f aca="false">E10-E11</f>
        <v>9644.3969684455</v>
      </c>
      <c r="F12" s="18" t="n">
        <f aca="false">F10-F11</f>
        <v>10223.5531615475</v>
      </c>
      <c r="G12" s="18" t="n">
        <f aca="false">G10-G11</f>
        <v>10843.1832945669</v>
      </c>
      <c r="H12" s="18" t="n">
        <f aca="false">H10-H11</f>
        <v>11504.7424533362</v>
      </c>
      <c r="I12" s="18" t="n">
        <f aca="false">I10-I11</f>
        <v>12211.2964216113</v>
      </c>
      <c r="J12" s="18" t="n">
        <f aca="false">J10-J11</f>
        <v>12966.2368925375</v>
      </c>
    </row>
    <row r="13" customFormat="false" ht="15" hidden="false" customHeight="false" outlineLevel="0" collapsed="false">
      <c r="B13" s="0" t="s">
        <v>199</v>
      </c>
      <c r="D13" s="18" t="n">
        <f aca="false">MAX(0,D12*Assumptions!$E$12)</f>
        <v>2190.74486352</v>
      </c>
      <c r="E13" s="18" t="n">
        <f aca="false">MAX(0,E12*Assumptions!$E$12)</f>
        <v>2314.65527242692</v>
      </c>
      <c r="F13" s="18" t="n">
        <f aca="false">MAX(0,F12*Assumptions!$E$12)</f>
        <v>2453.6527587714</v>
      </c>
      <c r="G13" s="18" t="n">
        <f aca="false">MAX(0,G12*Assumptions!$E$12)</f>
        <v>2602.36399069605</v>
      </c>
      <c r="H13" s="18" t="n">
        <f aca="false">MAX(0,H12*Assumptions!$E$12)</f>
        <v>2761.13818880068</v>
      </c>
      <c r="I13" s="18" t="n">
        <f aca="false">MAX(0,I12*Assumptions!$E$12)</f>
        <v>2930.71114118672</v>
      </c>
      <c r="J13" s="18" t="n">
        <f aca="false">MAX(0,J12*Assumptions!$E$12)</f>
        <v>3111.89685420899</v>
      </c>
    </row>
    <row r="14" customFormat="false" ht="15" hidden="false" customHeight="false" outlineLevel="0" collapsed="false">
      <c r="B14" s="0" t="s">
        <v>200</v>
      </c>
      <c r="D14" s="18" t="n">
        <f aca="false">D12-D13</f>
        <v>6937.35873448</v>
      </c>
      <c r="E14" s="18" t="n">
        <f aca="false">E12-E13</f>
        <v>7329.74169601858</v>
      </c>
      <c r="F14" s="18" t="n">
        <f aca="false">F12-F13</f>
        <v>7769.90040277609</v>
      </c>
      <c r="G14" s="18" t="n">
        <f aca="false">G12-G13</f>
        <v>8240.81930387081</v>
      </c>
      <c r="H14" s="18" t="n">
        <f aca="false">H12-H13</f>
        <v>8743.60426453549</v>
      </c>
      <c r="I14" s="18" t="n">
        <f aca="false">I12-I13</f>
        <v>9280.58528042461</v>
      </c>
      <c r="J14" s="18" t="n">
        <f aca="false">J12-J13</f>
        <v>9854.34003832847</v>
      </c>
    </row>
    <row r="15" customFormat="false" ht="15" hidden="false" customHeight="false" outlineLevel="0" collapsed="false">
      <c r="B15" s="0" t="s">
        <v>201</v>
      </c>
      <c r="D15" s="18" t="n">
        <f aca="false">D5*Assumptions!$E$10</f>
        <v>3253.529059</v>
      </c>
      <c r="E15" s="18" t="n">
        <f aca="false">E5*Assumptions!$E$10</f>
        <v>3286.06434959</v>
      </c>
      <c r="F15" s="18" t="n">
        <f aca="false">F5*Assumptions!$E$10</f>
        <v>3318.9249930859</v>
      </c>
      <c r="G15" s="18" t="n">
        <f aca="false">G5*Assumptions!$E$10</f>
        <v>3352.11424301676</v>
      </c>
      <c r="H15" s="18" t="n">
        <f aca="false">H5*Assumptions!$E$10</f>
        <v>3385.63538544693</v>
      </c>
      <c r="I15" s="18" t="n">
        <f aca="false">I5*Assumptions!$E$10</f>
        <v>3419.4917393014</v>
      </c>
      <c r="J15" s="18" t="n">
        <f aca="false">J5*Assumptions!$E$10</f>
        <v>3453.68665669441</v>
      </c>
    </row>
    <row r="16" customFormat="false" ht="15" hidden="false" customHeight="false" outlineLevel="0" collapsed="false">
      <c r="B16" s="0" t="s">
        <v>202</v>
      </c>
      <c r="C16" s="18" t="n">
        <f aca="false">C5*Assumptions!E11</f>
        <v>12213.52</v>
      </c>
      <c r="D16" s="18" t="n">
        <f aca="false">D5*Assumptions!$E$11</f>
        <v>12335.6552</v>
      </c>
      <c r="E16" s="18" t="n">
        <f aca="false">E5*Assumptions!$E$11</f>
        <v>12459.011752</v>
      </c>
      <c r="F16" s="18" t="n">
        <f aca="false">F5*Assumptions!$E$11</f>
        <v>12583.60186952</v>
      </c>
      <c r="G16" s="18" t="n">
        <f aca="false">G5*Assumptions!$E$11</f>
        <v>12709.4378882152</v>
      </c>
      <c r="H16" s="18" t="n">
        <f aca="false">H5*Assumptions!$E$11</f>
        <v>12836.5322670974</v>
      </c>
      <c r="I16" s="18" t="n">
        <f aca="false">I5*Assumptions!$E$11</f>
        <v>12964.8975897683</v>
      </c>
      <c r="J16" s="18" t="n">
        <f aca="false">J5*Assumptions!$E$11</f>
        <v>13094.546565666</v>
      </c>
    </row>
    <row r="17" customFormat="false" ht="15" hidden="false" customHeight="false" outlineLevel="0" collapsed="false">
      <c r="B17" s="0" t="s">
        <v>203</v>
      </c>
      <c r="D17" s="18" t="n">
        <f aca="false">D16-C16</f>
        <v>122.135200000001</v>
      </c>
      <c r="E17" s="18" t="n">
        <f aca="false">E16-D16</f>
        <v>123.356551999999</v>
      </c>
      <c r="F17" s="18" t="n">
        <f aca="false">F16-E16</f>
        <v>124.59011752</v>
      </c>
      <c r="G17" s="18" t="n">
        <f aca="false">G16-F16</f>
        <v>125.836018695201</v>
      </c>
      <c r="H17" s="18" t="n">
        <f aca="false">H16-G16</f>
        <v>127.094378882153</v>
      </c>
      <c r="I17" s="18" t="n">
        <f aca="false">I16-H16</f>
        <v>128.365322670972</v>
      </c>
      <c r="J17" s="18" t="n">
        <f aca="false">J16-I16</f>
        <v>129.648975897684</v>
      </c>
    </row>
    <row r="18" customFormat="false" ht="15" hidden="false" customHeight="false" outlineLevel="0" collapsed="false">
      <c r="B18" s="29" t="s">
        <v>204</v>
      </c>
      <c r="C18" s="30"/>
      <c r="D18" s="30" t="n">
        <f aca="false">D14+D9-D15-D17</f>
        <v>6846.06267248</v>
      </c>
      <c r="E18" s="30" t="n">
        <f aca="false">E14+E9-E15-E17</f>
        <v>7237.53267339858</v>
      </c>
      <c r="F18" s="30" t="n">
        <f aca="false">F14+F9-F15-F17</f>
        <v>7676.76928992989</v>
      </c>
      <c r="G18" s="30" t="n">
        <f aca="false">G14+G9-G15-G17</f>
        <v>8146.75687989615</v>
      </c>
      <c r="H18" s="30" t="n">
        <f aca="false">H14+H9-H15-H17</f>
        <v>8648.60121632108</v>
      </c>
      <c r="I18" s="30" t="n">
        <f aca="false">I14+I9-I15-I17</f>
        <v>9184.63220172806</v>
      </c>
      <c r="J18" s="30" t="n">
        <f aca="false">J14+J9-J15-J17</f>
        <v>9757.42742884495</v>
      </c>
    </row>
    <row r="19" customFormat="false" ht="15" hidden="false" customHeight="false" outlineLevel="0" collapsed="false">
      <c r="B19" s="29" t="s">
        <v>205</v>
      </c>
      <c r="C19" s="30"/>
      <c r="D19" s="30" t="n">
        <f aca="false">D8-D13-D15-D17</f>
        <v>19413.29265748</v>
      </c>
      <c r="E19" s="30" t="n">
        <f aca="false">E8-E13-E15-E17</f>
        <v>19349.6849768831</v>
      </c>
      <c r="F19" s="30" t="n">
        <f aca="false">F8-F13-F15-F17</f>
        <v>19270.0358696627</v>
      </c>
      <c r="G19" s="30" t="n">
        <f aca="false">G8-G13-G15-G17</f>
        <v>19179.6935504197</v>
      </c>
      <c r="H19" s="30" t="n">
        <f aca="false">H8-H13-H15-H17</f>
        <v>19078.2832743875</v>
      </c>
      <c r="I19" s="30" t="n">
        <f aca="false">I8-I13-I15-I17</f>
        <v>18965.0433167613</v>
      </c>
      <c r="J19" s="30" t="n">
        <f aca="false">J8-J13-J15-J17</f>
        <v>18839.1333162476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206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182</v>
      </c>
      <c r="C4" s="15" t="s">
        <v>207</v>
      </c>
      <c r="D4" s="15" t="s">
        <v>184</v>
      </c>
      <c r="E4" s="15" t="s">
        <v>185</v>
      </c>
      <c r="F4" s="15" t="s">
        <v>186</v>
      </c>
      <c r="G4" s="15" t="s">
        <v>187</v>
      </c>
      <c r="H4" s="15" t="s">
        <v>188</v>
      </c>
      <c r="I4" s="15" t="s">
        <v>189</v>
      </c>
      <c r="J4" s="15" t="s">
        <v>190</v>
      </c>
    </row>
    <row r="5" customFormat="false" ht="15" hidden="false" customHeight="false" outlineLevel="0" collapsed="false">
      <c r="B5" s="0" t="s">
        <v>208</v>
      </c>
      <c r="C5" s="18" t="n">
        <f aca="false">Assumptions!E16</f>
        <v>20</v>
      </c>
      <c r="D5" s="18" t="n">
        <f aca="false">C13</f>
        <v>20</v>
      </c>
      <c r="E5" s="18" t="n">
        <f aca="false">D13</f>
        <v>385.66629953</v>
      </c>
      <c r="F5" s="18" t="n">
        <f aca="false">E13</f>
        <v>432.987318308036</v>
      </c>
      <c r="G5" s="18" t="n">
        <f aca="false">F13</f>
        <v>463.397170514871</v>
      </c>
      <c r="H5" s="18" t="n">
        <f aca="false">G13</f>
        <v>494.672010650688</v>
      </c>
      <c r="I5" s="18" t="n">
        <f aca="false">H13</f>
        <v>527.991959185735</v>
      </c>
      <c r="J5" s="18" t="n">
        <f aca="false">I13</f>
        <v>563.576392557112</v>
      </c>
    </row>
    <row r="6" customFormat="false" ht="15" hidden="false" customHeight="false" outlineLevel="0" collapsed="false">
      <c r="B6" s="0" t="s">
        <v>205</v>
      </c>
      <c r="D6" s="18" t="n">
        <f aca="false">'Operating Model'!D19</f>
        <v>19413.29265748</v>
      </c>
      <c r="E6" s="18" t="n">
        <f aca="false">'Operating Model'!E19</f>
        <v>19349.6849768831</v>
      </c>
      <c r="F6" s="18" t="n">
        <f aca="false">'Operating Model'!F19</f>
        <v>19270.0358696627</v>
      </c>
      <c r="G6" s="18" t="n">
        <f aca="false">'Operating Model'!G19</f>
        <v>19179.6935504197</v>
      </c>
      <c r="H6" s="18" t="n">
        <f aca="false">'Operating Model'!H19</f>
        <v>19078.2832743875</v>
      </c>
      <c r="I6" s="18" t="n">
        <f aca="false">'Operating Model'!I19</f>
        <v>18965.0433167613</v>
      </c>
      <c r="J6" s="18" t="n">
        <f aca="false">'Operating Model'!J19</f>
        <v>18839.1333162476</v>
      </c>
    </row>
    <row r="7" customFormat="false" ht="15" hidden="false" customHeight="false" outlineLevel="0" collapsed="false">
      <c r="B7" s="0" t="s">
        <v>197</v>
      </c>
      <c r="D7" s="18" t="n">
        <f aca="false">SUM(D15,D18,D23,D29)</f>
        <v>12567.229985</v>
      </c>
      <c r="E7" s="18" t="n">
        <f aca="false">SUM(E15,E18,E23,E29)</f>
        <v>12112.1523034845</v>
      </c>
      <c r="F7" s="18" t="n">
        <f aca="false">SUM(F15,F18,F23,F29)</f>
        <v>11593.2665797328</v>
      </c>
      <c r="G7" s="18" t="n">
        <f aca="false">SUM(G15,G18,G23,G29)</f>
        <v>11032.9366705236</v>
      </c>
      <c r="H7" s="18" t="n">
        <f aca="false">SUM(H15,H18,H23,H29)</f>
        <v>10429.6820580664</v>
      </c>
      <c r="I7" s="18" t="n">
        <f aca="false">SUM(I15,I18,I23,I29)</f>
        <v>9780.4111150332</v>
      </c>
      <c r="J7" s="18" t="n">
        <f aca="false">SUM(J15,J18,J23,J29)</f>
        <v>9081.70588740268</v>
      </c>
    </row>
    <row r="8" customFormat="false" ht="15" hidden="false" customHeight="false" outlineLevel="0" collapsed="false">
      <c r="B8" s="0" t="s">
        <v>209</v>
      </c>
      <c r="D8" s="18" t="n">
        <f aca="false">D19</f>
        <v>995.40188</v>
      </c>
      <c r="E8" s="18" t="n">
        <f aca="false">E19</f>
        <v>995.40188</v>
      </c>
      <c r="F8" s="18" t="n">
        <f aca="false">F19</f>
        <v>995.40188</v>
      </c>
      <c r="G8" s="18" t="n">
        <f aca="false">G19</f>
        <v>995.40188</v>
      </c>
      <c r="H8" s="18" t="n">
        <f aca="false">H19</f>
        <v>995.40188</v>
      </c>
      <c r="I8" s="18" t="n">
        <f aca="false">I19</f>
        <v>995.40188</v>
      </c>
      <c r="J8" s="18" t="n">
        <f aca="false">J19</f>
        <v>995.40188</v>
      </c>
    </row>
    <row r="9" customFormat="false" ht="15" hidden="false" customHeight="false" outlineLevel="0" collapsed="false">
      <c r="B9" s="0" t="s">
        <v>210</v>
      </c>
      <c r="D9" s="18" t="n">
        <f aca="false">D5+D6-D7-D8</f>
        <v>5870.66079248</v>
      </c>
      <c r="E9" s="18" t="n">
        <f aca="false">E5+E6-E7-E8</f>
        <v>6627.79709292858</v>
      </c>
      <c r="F9" s="18" t="n">
        <f aca="false">F5+F6-F7-F8</f>
        <v>7114.35472823793</v>
      </c>
      <c r="G9" s="18" t="n">
        <f aca="false">G5+G6-G7-G8</f>
        <v>7614.75217041102</v>
      </c>
      <c r="H9" s="18" t="n">
        <f aca="false">H5+H6-H7-H8</f>
        <v>8147.87134697176</v>
      </c>
      <c r="I9" s="18" t="n">
        <f aca="false">I5+I6-I7-I8</f>
        <v>8717.2222809138</v>
      </c>
      <c r="J9" s="18" t="n">
        <f aca="false">J5+J6-J7-J8</f>
        <v>9325.60194140207</v>
      </c>
    </row>
    <row r="10" customFormat="false" ht="15" hidden="false" customHeight="false" outlineLevel="0" collapsed="false">
      <c r="B10" s="0" t="s">
        <v>211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-0</v>
      </c>
      <c r="F10" s="18" t="n">
        <f aca="false">IF(F9&lt;Assumptions!$E$16,MIN(Assumptions!$E$17-F14,Assumptions!$E$16-F9),-MIN(F14,MAX(0,F9-Assumptions!$E$16)))</f>
        <v>-0</v>
      </c>
      <c r="G10" s="18" t="n">
        <f aca="false">IF(G9&lt;Assumptions!$E$16,MIN(Assumptions!$E$17-G14,Assumptions!$E$16-G9),-MIN(G14,MAX(0,G9-Assumptions!$E$16)))</f>
        <v>-0</v>
      </c>
      <c r="H10" s="18" t="n">
        <f aca="false">IF(H9&lt;Assumptions!$E$16,MIN(Assumptions!$E$17-H14,Assumptions!$E$16-H9),-MIN(H14,MAX(0,H9-Assumptions!$E$16)))</f>
        <v>-0</v>
      </c>
      <c r="I10" s="18" t="n">
        <f aca="false">IF(I9&lt;Assumptions!$E$16,MIN(Assumptions!$E$17-I14,Assumptions!$E$16-I9),-MIN(I14,MAX(0,I9-Assumptions!$E$16)))</f>
        <v>-0</v>
      </c>
      <c r="J10" s="18" t="n">
        <f aca="false">IF(J9&lt;Assumptions!$E$16,MIN(Assumptions!$E$17-J14,Assumptions!$E$16-J9),-MIN(J14,MAX(0,J9-Assumptions!$E$16)))</f>
        <v>-0</v>
      </c>
    </row>
    <row r="11" customFormat="false" ht="15" hidden="false" customHeight="false" outlineLevel="0" collapsed="false">
      <c r="B11" s="0" t="s">
        <v>212</v>
      </c>
      <c r="D11" s="18" t="n">
        <f aca="false">MIN(MAX(0,D17-D19),MAX(0,D9+D10-Assumptions!$E$16)*Assumptions!$E$25)</f>
        <v>4387.99559436</v>
      </c>
      <c r="E11" s="18" t="n">
        <f aca="false">MIN(MAX(0,E17-E19),MAX(0,E9+E10-Assumptions!$E$16)*Assumptions!$E$25)</f>
        <v>4955.84781969643</v>
      </c>
      <c r="F11" s="18" t="n">
        <f aca="false">MIN(MAX(0,F17-F19),MAX(0,F9+F10-Assumptions!$E$16)*Assumptions!$E$25)</f>
        <v>5320.76604617845</v>
      </c>
      <c r="G11" s="18" t="n">
        <f aca="false">MIN(MAX(0,G17-G19),MAX(0,G9+G10-Assumptions!$E$16)*Assumptions!$E$25)</f>
        <v>5696.06412780826</v>
      </c>
      <c r="H11" s="18" t="n">
        <f aca="false">MIN(MAX(0,H17-H19),MAX(0,H9+H10-Assumptions!$E$16)*Assumptions!$E$25)</f>
        <v>6095.90351022882</v>
      </c>
      <c r="I11" s="18" t="n">
        <f aca="false">MIN(MAX(0,I17-I19),MAX(0,I9+I10-Assumptions!$E$16)*Assumptions!$E$25)</f>
        <v>6522.91671068535</v>
      </c>
      <c r="J11" s="18" t="n">
        <f aca="false">MIN(MAX(0,J17-J19),MAX(0,J9+J10-Assumptions!$E$16)*Assumptions!$E$25)</f>
        <v>6979.20145605155</v>
      </c>
    </row>
    <row r="12" customFormat="false" ht="15" hidden="false" customHeight="false" outlineLevel="0" collapsed="false">
      <c r="B12" s="0" t="s">
        <v>213</v>
      </c>
      <c r="D12" s="18" t="n">
        <f aca="false">MIN(MAX(0,D22+D24),MAX(0,D9+D10-D11-Assumptions!$E$16)*Assumptions!$E$25)</f>
        <v>1096.99889859</v>
      </c>
      <c r="E12" s="18" t="n">
        <f aca="false">MIN(MAX(0,E22+E24),MAX(0,E9+E10-E11-Assumptions!$E$16)*Assumptions!$E$25)</f>
        <v>1238.96195492411</v>
      </c>
      <c r="F12" s="18" t="n">
        <f aca="false">MIN(MAX(0,F22+F24),MAX(0,F9+F10-F11-Assumptions!$E$16)*Assumptions!$E$25)</f>
        <v>1330.19151154461</v>
      </c>
      <c r="G12" s="18" t="n">
        <f aca="false">MIN(MAX(0,G22+G24),MAX(0,G9+G10-G11-Assumptions!$E$16)*Assumptions!$E$25)</f>
        <v>1424.01603195207</v>
      </c>
      <c r="H12" s="18" t="n">
        <f aca="false">MIN(MAX(0,H22+H24),MAX(0,H9+H10-H11-Assumptions!$E$16)*Assumptions!$E$25)</f>
        <v>1523.97587755721</v>
      </c>
      <c r="I12" s="18" t="n">
        <f aca="false">MIN(MAX(0,I22+I24),MAX(0,I9+I10-I11-Assumptions!$E$16)*Assumptions!$E$25)</f>
        <v>1630.72917767134</v>
      </c>
      <c r="J12" s="18" t="n">
        <f aca="false">MIN(MAX(0,J22+J24),MAX(0,J9+J10-J11-Assumptions!$E$16)*Assumptions!$E$25)</f>
        <v>1744.80036401289</v>
      </c>
    </row>
    <row r="13" customFormat="false" ht="15" hidden="false" customHeight="false" outlineLevel="0" collapsed="false">
      <c r="B13" s="29" t="s">
        <v>214</v>
      </c>
      <c r="C13" s="30" t="n">
        <f aca="false">C5</f>
        <v>20</v>
      </c>
      <c r="D13" s="30" t="n">
        <f aca="false">D9+D10-D11-D12</f>
        <v>385.66629953</v>
      </c>
      <c r="E13" s="30" t="n">
        <f aca="false">E9+E10-E11-E12</f>
        <v>432.987318308036</v>
      </c>
      <c r="F13" s="30" t="n">
        <f aca="false">F9+F10-F11-F12</f>
        <v>463.397170514871</v>
      </c>
      <c r="G13" s="30" t="n">
        <f aca="false">G9+G10-G11-G12</f>
        <v>494.672010650688</v>
      </c>
      <c r="H13" s="30" t="n">
        <f aca="false">H9+H10-H11-H12</f>
        <v>527.991959185735</v>
      </c>
      <c r="I13" s="30" t="n">
        <f aca="false">I9+I10-I11-I12</f>
        <v>563.576392557112</v>
      </c>
      <c r="J13" s="30" t="n">
        <f aca="false">J9+J10-J11-J12</f>
        <v>601.600121337629</v>
      </c>
    </row>
    <row r="14" customFormat="false" ht="15" hidden="false" customHeight="false" outlineLevel="0" collapsed="false">
      <c r="B14" s="0" t="s">
        <v>215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0</v>
      </c>
      <c r="G14" s="18" t="n">
        <f aca="false">F16</f>
        <v>0</v>
      </c>
      <c r="H14" s="18" t="n">
        <f aca="false">G16</f>
        <v>0</v>
      </c>
      <c r="I14" s="18" t="n">
        <f aca="false">H16</f>
        <v>0</v>
      </c>
      <c r="J14" s="18" t="n">
        <f aca="false">I16</f>
        <v>0</v>
      </c>
    </row>
    <row r="15" customFormat="false" ht="15" hidden="false" customHeight="false" outlineLevel="0" collapsed="false">
      <c r="B15" s="0" t="s">
        <v>216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</v>
      </c>
      <c r="G15" s="18" t="n">
        <f aca="false">G14*Assumptions!$E$18</f>
        <v>0</v>
      </c>
      <c r="H15" s="18" t="n">
        <f aca="false">H14*Assumptions!$E$18</f>
        <v>0</v>
      </c>
      <c r="I15" s="18" t="n">
        <f aca="false">I14*Assumptions!$E$18</f>
        <v>0</v>
      </c>
      <c r="J15" s="18" t="n">
        <f aca="false">J14*Assumptions!$E$18</f>
        <v>0</v>
      </c>
    </row>
    <row r="16" customFormat="false" ht="15" hidden="false" customHeight="false" outlineLevel="0" collapsed="false">
      <c r="B16" s="0" t="s">
        <v>217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0</v>
      </c>
      <c r="F16" s="18" t="n">
        <f aca="false">MAX(0,F14+F10)</f>
        <v>0</v>
      </c>
      <c r="G16" s="18" t="n">
        <f aca="false">MAX(0,G14+G10)</f>
        <v>0</v>
      </c>
      <c r="H16" s="18" t="n">
        <f aca="false">MAX(0,H14+H10)</f>
        <v>0</v>
      </c>
      <c r="I16" s="18" t="n">
        <f aca="false">MAX(0,I14+I10)</f>
        <v>0</v>
      </c>
      <c r="J16" s="18" t="n">
        <f aca="false">MAX(0,J14+J10)</f>
        <v>0</v>
      </c>
    </row>
    <row r="17" customFormat="false" ht="15" hidden="false" customHeight="false" outlineLevel="0" collapsed="false">
      <c r="B17" s="0" t="s">
        <v>218</v>
      </c>
      <c r="C17" s="18" t="n">
        <f aca="false">'Sources &amp; Uses'!F6</f>
        <v>99540.188</v>
      </c>
      <c r="D17" s="18" t="n">
        <f aca="false">C21</f>
        <v>99540.188</v>
      </c>
      <c r="E17" s="18" t="n">
        <f aca="false">D21</f>
        <v>94156.79052564</v>
      </c>
      <c r="F17" s="18" t="n">
        <f aca="false">E21</f>
        <v>88205.5408259436</v>
      </c>
      <c r="G17" s="18" t="n">
        <f aca="false">F21</f>
        <v>81889.3728997651</v>
      </c>
      <c r="H17" s="18" t="n">
        <f aca="false">G21</f>
        <v>75197.9068919569</v>
      </c>
      <c r="I17" s="18" t="n">
        <f aca="false">H21</f>
        <v>68106.601501728</v>
      </c>
      <c r="J17" s="18" t="n">
        <f aca="false">I21</f>
        <v>60588.2829110427</v>
      </c>
    </row>
    <row r="18" customFormat="false" ht="15" hidden="false" customHeight="false" outlineLevel="0" collapsed="false">
      <c r="B18" s="0" t="s">
        <v>219</v>
      </c>
      <c r="D18" s="18" t="n">
        <f aca="false">D17*Assumptions!$E$20</f>
        <v>8460.91598</v>
      </c>
      <c r="E18" s="18" t="n">
        <f aca="false">E17*Assumptions!$E$20</f>
        <v>8003.3271946794</v>
      </c>
      <c r="F18" s="18" t="n">
        <f aca="false">F17*Assumptions!$E$20</f>
        <v>7497.47097020521</v>
      </c>
      <c r="G18" s="18" t="n">
        <f aca="false">G17*Assumptions!$E$20</f>
        <v>6960.59669648004</v>
      </c>
      <c r="H18" s="18" t="n">
        <f aca="false">H17*Assumptions!$E$20</f>
        <v>6391.82208581633</v>
      </c>
      <c r="I18" s="18" t="n">
        <f aca="false">I17*Assumptions!$E$20</f>
        <v>5789.06112764688</v>
      </c>
      <c r="J18" s="18" t="n">
        <f aca="false">J17*Assumptions!$E$20</f>
        <v>5150.00404743863</v>
      </c>
    </row>
    <row r="19" customFormat="false" ht="15" hidden="false" customHeight="false" outlineLevel="0" collapsed="false">
      <c r="B19" s="0" t="s">
        <v>220</v>
      </c>
      <c r="D19" s="18" t="n">
        <f aca="false">MIN(D17,'Sources &amp; Uses'!$F$6*Assumptions!$E$21)</f>
        <v>995.40188</v>
      </c>
      <c r="E19" s="18" t="n">
        <f aca="false">MIN(E17,'Sources &amp; Uses'!$F$6*Assumptions!$E$21)</f>
        <v>995.40188</v>
      </c>
      <c r="F19" s="18" t="n">
        <f aca="false">MIN(F17,'Sources &amp; Uses'!$F$6*Assumptions!$E$21)</f>
        <v>995.40188</v>
      </c>
      <c r="G19" s="18" t="n">
        <f aca="false">MIN(G17,'Sources &amp; Uses'!$F$6*Assumptions!$E$21)</f>
        <v>995.40188</v>
      </c>
      <c r="H19" s="18" t="n">
        <f aca="false">MIN(H17,'Sources &amp; Uses'!$F$6*Assumptions!$E$21)</f>
        <v>995.40188</v>
      </c>
      <c r="I19" s="18" t="n">
        <f aca="false">MIN(I17,'Sources &amp; Uses'!$F$6*Assumptions!$E$21)</f>
        <v>995.40188</v>
      </c>
      <c r="J19" s="18" t="n">
        <f aca="false">MIN(J17,'Sources &amp; Uses'!$F$6*Assumptions!$E$21)</f>
        <v>995.40188</v>
      </c>
    </row>
    <row r="20" customFormat="false" ht="15" hidden="false" customHeight="false" outlineLevel="0" collapsed="false">
      <c r="B20" s="29" t="s">
        <v>221</v>
      </c>
      <c r="C20" s="30" t="n">
        <f aca="false">'Sources &amp; Uses'!F7</f>
        <v>37327.5705</v>
      </c>
      <c r="D20" s="30" t="n">
        <f aca="false">D11</f>
        <v>4387.99559436</v>
      </c>
      <c r="E20" s="30" t="n">
        <f aca="false">E11</f>
        <v>4955.84781969643</v>
      </c>
      <c r="F20" s="30" t="n">
        <f aca="false">F11</f>
        <v>5320.76604617845</v>
      </c>
      <c r="G20" s="30" t="n">
        <f aca="false">G11</f>
        <v>5696.06412780826</v>
      </c>
      <c r="H20" s="30" t="n">
        <f aca="false">H11</f>
        <v>6095.90351022882</v>
      </c>
      <c r="I20" s="30" t="n">
        <f aca="false">I11</f>
        <v>6522.91671068535</v>
      </c>
      <c r="J20" s="30" t="n">
        <f aca="false">J11</f>
        <v>6979.20145605155</v>
      </c>
    </row>
    <row r="21" customFormat="false" ht="15" hidden="false" customHeight="false" outlineLevel="0" collapsed="false">
      <c r="B21" s="0" t="s">
        <v>222</v>
      </c>
      <c r="C21" s="18" t="n">
        <f aca="false">C17</f>
        <v>99540.188</v>
      </c>
      <c r="D21" s="18" t="n">
        <f aca="false">MAX(0,D17-D19-D20)</f>
        <v>94156.79052564</v>
      </c>
      <c r="E21" s="18" t="n">
        <f aca="false">MAX(0,E17-E19-E20)</f>
        <v>88205.5408259436</v>
      </c>
      <c r="F21" s="18" t="n">
        <f aca="false">MAX(0,F17-F19-F20)</f>
        <v>81889.3728997651</v>
      </c>
      <c r="G21" s="18" t="n">
        <f aca="false">MAX(0,G17-G19-G20)</f>
        <v>75197.9068919569</v>
      </c>
      <c r="H21" s="18" t="n">
        <f aca="false">MAX(0,H17-H19-H20)</f>
        <v>68106.601501728</v>
      </c>
      <c r="I21" s="18" t="n">
        <f aca="false">MAX(0,I17-I19-I20)</f>
        <v>60588.2829110427</v>
      </c>
      <c r="J21" s="18" t="n">
        <f aca="false">MAX(0,J17-J19-J20)</f>
        <v>52613.6795749912</v>
      </c>
    </row>
    <row r="22" customFormat="false" ht="15" hidden="false" customHeight="false" outlineLevel="0" collapsed="false">
      <c r="B22" s="0" t="s">
        <v>223</v>
      </c>
      <c r="C22" s="18" t="n">
        <f aca="false">'Sources &amp; Uses'!F7</f>
        <v>37327.5705</v>
      </c>
      <c r="D22" s="18" t="n">
        <f aca="false">C26</f>
        <v>37327.5705</v>
      </c>
      <c r="E22" s="18" t="n">
        <f aca="false">D26</f>
        <v>37350.39871641</v>
      </c>
      <c r="F22" s="18" t="n">
        <f aca="false">E26</f>
        <v>37231.9487229782</v>
      </c>
      <c r="G22" s="18" t="n">
        <f aca="false">F26</f>
        <v>37018.7156731229</v>
      </c>
      <c r="H22" s="18" t="n">
        <f aca="false">G26</f>
        <v>36705.2611113646</v>
      </c>
      <c r="I22" s="18" t="n">
        <f aca="false">H26</f>
        <v>36282.4430671483</v>
      </c>
      <c r="J22" s="18" t="n">
        <f aca="false">I26</f>
        <v>35740.1871814914</v>
      </c>
    </row>
    <row r="23" customFormat="false" ht="15" hidden="false" customHeight="false" outlineLevel="0" collapsed="false">
      <c r="B23" s="0" t="s">
        <v>224</v>
      </c>
      <c r="D23" s="18" t="n">
        <f aca="false">D22*Assumptions!$E$23</f>
        <v>4106.032755</v>
      </c>
      <c r="E23" s="18" t="n">
        <f aca="false">E22*Assumptions!$E$23</f>
        <v>4108.5438588051</v>
      </c>
      <c r="F23" s="18" t="n">
        <f aca="false">F22*Assumptions!$E$23</f>
        <v>4095.5143595276</v>
      </c>
      <c r="G23" s="18" t="n">
        <f aca="false">G22*Assumptions!$E$23</f>
        <v>4072.05872404352</v>
      </c>
      <c r="H23" s="18" t="n">
        <f aca="false">H22*Assumptions!$E$23</f>
        <v>4037.5787222501</v>
      </c>
      <c r="I23" s="18" t="n">
        <f aca="false">I22*Assumptions!$E$23</f>
        <v>3991.06873738631</v>
      </c>
      <c r="J23" s="18" t="n">
        <f aca="false">J22*Assumptions!$E$23</f>
        <v>3931.42058996405</v>
      </c>
    </row>
    <row r="24" customFormat="false" ht="15" hidden="false" customHeight="false" outlineLevel="0" collapsed="false">
      <c r="B24" s="29" t="s">
        <v>225</v>
      </c>
      <c r="C24" s="30"/>
      <c r="D24" s="30" t="n">
        <f aca="false">D22*Assumptions!$E$24</f>
        <v>1119.827115</v>
      </c>
      <c r="E24" s="30" t="n">
        <f aca="false">E22*Assumptions!$E$24</f>
        <v>1120.5119614923</v>
      </c>
      <c r="F24" s="30" t="n">
        <f aca="false">F22*Assumptions!$E$24</f>
        <v>1116.95846168935</v>
      </c>
      <c r="G24" s="30" t="n">
        <f aca="false">G22*Assumptions!$E$24</f>
        <v>1110.56147019369</v>
      </c>
      <c r="H24" s="30" t="n">
        <f aca="false">H22*Assumptions!$E$24</f>
        <v>1101.15783334094</v>
      </c>
      <c r="I24" s="30" t="n">
        <f aca="false">I22*Assumptions!$E$24</f>
        <v>1088.47329201445</v>
      </c>
      <c r="J24" s="30" t="n">
        <f aca="false">J22*Assumptions!$E$24</f>
        <v>1072.20561544474</v>
      </c>
    </row>
    <row r="25" customFormat="false" ht="15" hidden="false" customHeight="false" outlineLevel="0" collapsed="false">
      <c r="B25" s="29" t="s">
        <v>226</v>
      </c>
      <c r="C25" s="30" t="n">
        <f aca="false">SUM(C16,C20,C13)</f>
        <v>37347.5705</v>
      </c>
      <c r="D25" s="30" t="n">
        <f aca="false">D12</f>
        <v>1096.99889859</v>
      </c>
      <c r="E25" s="30" t="n">
        <f aca="false">E12</f>
        <v>1238.96195492411</v>
      </c>
      <c r="F25" s="30" t="n">
        <f aca="false">F12</f>
        <v>1330.19151154461</v>
      </c>
      <c r="G25" s="30" t="n">
        <f aca="false">G12</f>
        <v>1424.01603195207</v>
      </c>
      <c r="H25" s="30" t="n">
        <f aca="false">H12</f>
        <v>1523.97587755721</v>
      </c>
      <c r="I25" s="30" t="n">
        <f aca="false">I12</f>
        <v>1630.72917767134</v>
      </c>
      <c r="J25" s="30" t="n">
        <f aca="false">J12</f>
        <v>1744.80036401289</v>
      </c>
    </row>
    <row r="26" customFormat="false" ht="15" hidden="false" customHeight="false" outlineLevel="0" collapsed="false">
      <c r="B26" s="29" t="s">
        <v>227</v>
      </c>
      <c r="C26" s="30" t="n">
        <f aca="false">C22</f>
        <v>37327.5705</v>
      </c>
      <c r="D26" s="30" t="n">
        <f aca="false">MAX(0,D22+D24-D25)</f>
        <v>37350.39871641</v>
      </c>
      <c r="E26" s="30" t="n">
        <f aca="false">MAX(0,E22+E24-E25)</f>
        <v>37231.9487229782</v>
      </c>
      <c r="F26" s="30" t="n">
        <f aca="false">MAX(0,F22+F24-F25)</f>
        <v>37018.7156731229</v>
      </c>
      <c r="G26" s="30" t="n">
        <f aca="false">MAX(0,G22+G24-G25)</f>
        <v>36705.2611113646</v>
      </c>
      <c r="H26" s="30" t="n">
        <f aca="false">MAX(0,H22+H24-H25)</f>
        <v>36282.4430671483</v>
      </c>
      <c r="I26" s="30" t="n">
        <f aca="false">MAX(0,I22+I24-I25)</f>
        <v>35740.1871814914</v>
      </c>
      <c r="J26" s="30" t="n">
        <f aca="false">MAX(0,J22+J24-J25)</f>
        <v>35067.5924329232</v>
      </c>
    </row>
    <row r="27" customFormat="false" ht="15" hidden="false" customHeight="false" outlineLevel="0" collapsed="false">
      <c r="B27" s="0" t="s">
        <v>228</v>
      </c>
      <c r="C27" s="18" t="n">
        <f aca="false">SUM(C16,C21,C26)</f>
        <v>136867.7585</v>
      </c>
      <c r="D27" s="18" t="n">
        <f aca="false">SUM(D16,D21,D26)</f>
        <v>131507.18924205</v>
      </c>
      <c r="E27" s="18" t="n">
        <f aca="false">SUM(E16,E21,E26)</f>
        <v>125437.489548922</v>
      </c>
      <c r="F27" s="18" t="n">
        <f aca="false">SUM(F16,F21,F26)</f>
        <v>118908.088572888</v>
      </c>
      <c r="G27" s="18" t="n">
        <f aca="false">SUM(G16,G21,G26)</f>
        <v>111903.168003321</v>
      </c>
      <c r="H27" s="18" t="n">
        <f aca="false">SUM(H16,H21,H26)</f>
        <v>104389.044568876</v>
      </c>
      <c r="I27" s="18" t="n">
        <f aca="false">SUM(I16,I21,I26)</f>
        <v>96328.4700925341</v>
      </c>
      <c r="J27" s="18" t="n">
        <f aca="false">SUM(J16,J21,J26)</f>
        <v>87681.2720079144</v>
      </c>
    </row>
    <row r="28" customFormat="false" ht="15" hidden="false" customHeight="false" outlineLevel="0" collapsed="false">
      <c r="B28" s="0" t="s">
        <v>229</v>
      </c>
      <c r="C28" s="18" t="n">
        <f aca="false">C27-C13</f>
        <v>136847.7585</v>
      </c>
      <c r="D28" s="18" t="n">
        <f aca="false">D27-D13</f>
        <v>131121.52294252</v>
      </c>
      <c r="E28" s="18" t="n">
        <f aca="false">E27-E13</f>
        <v>125004.502230614</v>
      </c>
      <c r="F28" s="18" t="n">
        <f aca="false">F27-F13</f>
        <v>118444.691402373</v>
      </c>
      <c r="G28" s="18" t="n">
        <f aca="false">G27-G13</f>
        <v>111408.495992671</v>
      </c>
      <c r="H28" s="18" t="n">
        <f aca="false">H27-H13</f>
        <v>103861.052609691</v>
      </c>
      <c r="I28" s="18" t="n">
        <f aca="false">I27-I13</f>
        <v>95764.893699977</v>
      </c>
      <c r="J28" s="18" t="n">
        <f aca="false">J27-J13</f>
        <v>87079.6718865768</v>
      </c>
    </row>
    <row r="29" customFormat="false" ht="15" hidden="false" customHeight="false" outlineLevel="0" collapsed="false">
      <c r="B29" s="0" t="s">
        <v>164</v>
      </c>
      <c r="D29" s="18" t="n">
        <f aca="false">MAX(0,Assumptions!$E$17-D14)*Assumptions!$E$33</f>
        <v>0.28125</v>
      </c>
      <c r="E29" s="18" t="n">
        <f aca="false">MAX(0,Assumptions!$E$17-E14)*Assumptions!$E$33</f>
        <v>0.28125</v>
      </c>
      <c r="F29" s="18" t="n">
        <f aca="false">MAX(0,Assumptions!$E$17-F14)*Assumptions!$E$33</f>
        <v>0.28125</v>
      </c>
      <c r="G29" s="18" t="n">
        <f aca="false">MAX(0,Assumptions!$E$17-G14)*Assumptions!$E$33</f>
        <v>0.28125</v>
      </c>
      <c r="H29" s="18" t="n">
        <f aca="false">MAX(0,Assumptions!$E$17-H14)*Assumptions!$E$33</f>
        <v>0.28125</v>
      </c>
      <c r="I29" s="18" t="n">
        <f aca="false">MAX(0,Assumptions!$E$17-I14)*Assumptions!$E$33</f>
        <v>0.28125</v>
      </c>
      <c r="J29" s="18" t="n">
        <f aca="false">MAX(0,Assumptions!$E$17-J14)*Assumptions!$E$33</f>
        <v>0.28125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230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</row>
    <row r="5" customFormat="false" ht="15" hidden="false" customHeight="false" outlineLevel="0" collapsed="false">
      <c r="B5" s="0" t="s">
        <v>232</v>
      </c>
      <c r="C5" s="26" t="n">
        <f aca="false">IFERROR('Debt Schedule'!D25/'Operating Model'!D8,0)</f>
        <v>0.0439156122939911</v>
      </c>
      <c r="D5" s="26" t="n">
        <f aca="false">IFERROR('Debt Schedule'!E25/'Operating Model'!E8,0)</f>
        <v>0.0494126887253864</v>
      </c>
      <c r="E5" s="26" t="n">
        <f aca="false">IFERROR('Debt Schedule'!F25/'Operating Model'!F8,0)</f>
        <v>0.0528541639086104</v>
      </c>
      <c r="F5" s="26" t="n">
        <f aca="false">IFERROR('Debt Schedule'!G25/'Operating Model'!G8,0)</f>
        <v>0.0563743306442152</v>
      </c>
      <c r="G5" s="26" t="n">
        <f aca="false">IFERROR('Debt Schedule'!H25/'Operating Model'!H8,0)</f>
        <v>0.0601122904277677</v>
      </c>
      <c r="H5" s="26" t="n">
        <f aca="false">IFERROR('Debt Schedule'!I25/'Operating Model'!I8,0)</f>
        <v>0.064091891058571</v>
      </c>
      <c r="I5" s="26" t="n">
        <f aca="false">IFERROR('Debt Schedule'!J25/'Operating Model'!J8,0)</f>
        <v>0.0683314548507237</v>
      </c>
    </row>
    <row r="6" customFormat="false" ht="15" hidden="false" customHeight="false" outlineLevel="0" collapsed="false">
      <c r="B6" s="0" t="s">
        <v>233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false" outlineLevel="0" collapsed="false">
      <c r="B7" s="0" t="s">
        <v>234</v>
      </c>
      <c r="C7" s="26" t="n">
        <f aca="false">C6-C5</f>
        <v>6.95608438770601</v>
      </c>
      <c r="D7" s="26" t="n">
        <f aca="false">D6-D5</f>
        <v>6.95058731127461</v>
      </c>
      <c r="E7" s="26" t="n">
        <f aca="false">E6-E5</f>
        <v>6.94714583609139</v>
      </c>
      <c r="F7" s="26" t="n">
        <f aca="false">F6-F5</f>
        <v>6.94362566935579</v>
      </c>
      <c r="G7" s="26" t="n">
        <f aca="false">G6-G5</f>
        <v>6.93988770957223</v>
      </c>
      <c r="H7" s="26" t="n">
        <f aca="false">H6-H5</f>
        <v>6.93590810894143</v>
      </c>
      <c r="I7" s="26" t="n">
        <f aca="false">I6-I5</f>
        <v>6.93166854514928</v>
      </c>
    </row>
    <row r="8" customFormat="false" ht="15" hidden="false" customHeight="false" outlineLevel="0" collapsed="false">
      <c r="B8" s="0" t="s">
        <v>235</v>
      </c>
      <c r="C8" s="26" t="n">
        <f aca="false">IFERROR('Operating Model'!D8/'Debt Schedule'!D7,0)</f>
        <v>1.98768557667961</v>
      </c>
      <c r="D8" s="26" t="n">
        <f aca="false">IFERROR('Operating Model'!E8/'Debt Schedule'!E7,0)</f>
        <v>2.07013258441992</v>
      </c>
      <c r="E8" s="26" t="n">
        <f aca="false">IFERROR('Operating Model'!F8/'Debt Schedule'!F7,0)</f>
        <v>2.17084663463505</v>
      </c>
      <c r="F8" s="26" t="n">
        <f aca="false">IFERROR('Operating Model'!G8/'Debt Schedule'!G7,0)</f>
        <v>2.28950899993057</v>
      </c>
      <c r="G8" s="26" t="n">
        <f aca="false">IFERROR('Operating Model'!H8/'Debt Schedule'!H7,0)</f>
        <v>2.43076932608024</v>
      </c>
      <c r="H8" s="26" t="n">
        <f aca="false">IFERROR('Operating Model'!I8/'Debt Schedule'!I7,0)</f>
        <v>2.60148691304108</v>
      </c>
      <c r="I8" s="26" t="n">
        <f aca="false">IFERROR('Operating Model'!J8/'Debt Schedule'!J7,0)</f>
        <v>2.81162659522675</v>
      </c>
    </row>
    <row r="9" customFormat="false" ht="15" hidden="false" customHeight="false" outlineLevel="0" collapsed="false">
      <c r="B9" s="0" t="s">
        <v>236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false" outlineLevel="0" collapsed="false">
      <c r="B10" s="0" t="s">
        <v>237</v>
      </c>
      <c r="C10" s="26" t="n">
        <f aca="false">C8-C9</f>
        <v>0.237685576679609</v>
      </c>
      <c r="D10" s="26" t="n">
        <f aca="false">D8-D9</f>
        <v>0.320132584419915</v>
      </c>
      <c r="E10" s="26" t="n">
        <f aca="false">E8-E9</f>
        <v>0.420846634635053</v>
      </c>
      <c r="F10" s="26" t="n">
        <f aca="false">F8-F9</f>
        <v>0.53950899993057</v>
      </c>
      <c r="G10" s="26" t="n">
        <f aca="false">G8-G9</f>
        <v>0.680769326080235</v>
      </c>
      <c r="H10" s="26" t="n">
        <f aca="false">H8-H9</f>
        <v>0.851486913041077</v>
      </c>
      <c r="I10" s="26" t="n">
        <f aca="false">I8-I9</f>
        <v>1.06162659522675</v>
      </c>
    </row>
    <row r="11" customFormat="false" ht="15" hidden="false" customHeight="false" outlineLevel="0" collapsed="false">
      <c r="B11" s="0" t="s">
        <v>141</v>
      </c>
      <c r="C11" s="18" t="n">
        <f aca="false">Assumptions!$E$16</f>
        <v>20</v>
      </c>
      <c r="D11" s="18" t="n">
        <f aca="false">Assumptions!$E$16</f>
        <v>20</v>
      </c>
      <c r="E11" s="18" t="n">
        <f aca="false">Assumptions!$E$16</f>
        <v>20</v>
      </c>
      <c r="F11" s="18" t="n">
        <f aca="false">Assumptions!$E$16</f>
        <v>20</v>
      </c>
      <c r="G11" s="18" t="n">
        <f aca="false">Assumptions!$E$16</f>
        <v>20</v>
      </c>
      <c r="H11" s="18" t="n">
        <f aca="false">Assumptions!$E$16</f>
        <v>20</v>
      </c>
      <c r="I11" s="18" t="n">
        <f aca="false">Assumptions!$E$16</f>
        <v>20</v>
      </c>
    </row>
    <row r="12" customFormat="false" ht="15" hidden="false" customHeight="false" outlineLevel="0" collapsed="false">
      <c r="B12" s="0" t="s">
        <v>238</v>
      </c>
      <c r="C12" s="18" t="n">
        <f aca="false">'Debt Schedule'!D13-C11</f>
        <v>365.66629953</v>
      </c>
      <c r="D12" s="18" t="n">
        <f aca="false">'Debt Schedule'!E13-D11</f>
        <v>412.987318308036</v>
      </c>
      <c r="E12" s="18" t="n">
        <f aca="false">'Debt Schedule'!F13-E11</f>
        <v>443.397170514871</v>
      </c>
      <c r="F12" s="18" t="n">
        <f aca="false">'Debt Schedule'!G13-F11</f>
        <v>474.672010650688</v>
      </c>
      <c r="G12" s="18" t="n">
        <f aca="false">'Debt Schedule'!H13-G11</f>
        <v>507.991959185735</v>
      </c>
      <c r="H12" s="18" t="n">
        <f aca="false">'Debt Schedule'!I13-H11</f>
        <v>543.576392557112</v>
      </c>
      <c r="I12" s="18" t="n">
        <f aca="false">'Debt Schedule'!J13-I11</f>
        <v>581.600121337629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PASS</v>
      </c>
      <c r="D13" s="0" t="str">
        <f aca="false">IF(AND(D7&gt;=0,D10&gt;=0,D12&gt;=0),"PASS","BREACH")</f>
        <v>PASS</v>
      </c>
      <c r="E13" s="0" t="str">
        <f aca="false">IF(AND(E7&gt;=0,E10&gt;=0,E12&gt;=0),"PASS","BREACH")</f>
        <v>PASS</v>
      </c>
      <c r="F13" s="0" t="str">
        <f aca="false">IF(AND(F7&gt;=0,F10&gt;=0,F12&gt;=0),"PASS","BREACH")</f>
        <v>PASS</v>
      </c>
      <c r="G13" s="0" t="str">
        <f aca="false">IF(AND(G7&gt;=0,G10&gt;=0,G12&gt;=0),"PASS","BREACH")</f>
        <v>PASS</v>
      </c>
      <c r="H13" s="0" t="str">
        <f aca="false">IF(AND(H7&gt;=0,H10&gt;=0,H12&gt;=0),"PASS","BREACH")</f>
        <v>PASS</v>
      </c>
      <c r="I13" s="0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239</v>
      </c>
      <c r="C2" s="1"/>
      <c r="D2" s="1"/>
      <c r="E2" s="1"/>
    </row>
    <row r="4" customFormat="false" ht="15" hidden="false" customHeight="false" outlineLevel="0" collapsed="false">
      <c r="B4" s="15" t="s">
        <v>231</v>
      </c>
      <c r="C4" s="15" t="s">
        <v>240</v>
      </c>
      <c r="D4" s="15" t="s">
        <v>241</v>
      </c>
      <c r="E4" s="15" t="s">
        <v>242</v>
      </c>
    </row>
    <row r="5" customFormat="false" ht="15" hidden="false" customHeight="false" outlineLevel="0" collapsed="false">
      <c r="B5" s="0" t="s">
        <v>243</v>
      </c>
      <c r="C5" s="21" t="n">
        <f aca="false">Assumptions!E30</f>
        <v>0.1</v>
      </c>
      <c r="D5" s="14" t="s">
        <v>129</v>
      </c>
      <c r="E5" s="14" t="s">
        <v>244</v>
      </c>
    </row>
    <row r="6" customFormat="false" ht="15" hidden="false" customHeight="false" outlineLevel="0" collapsed="false">
      <c r="B6" s="0" t="s">
        <v>245</v>
      </c>
      <c r="C6" s="21" t="n">
        <f aca="false">1-C5</f>
        <v>0.9</v>
      </c>
      <c r="D6" s="14" t="s">
        <v>129</v>
      </c>
      <c r="E6" s="14" t="s">
        <v>246</v>
      </c>
    </row>
    <row r="7" customFormat="false" ht="15" hidden="false" customHeight="false" outlineLevel="0" collapsed="false">
      <c r="B7" s="0" t="s">
        <v>247</v>
      </c>
      <c r="C7" s="18" t="n">
        <f aca="false">'Sources &amp; Uses'!F8</f>
        <v>117079.7209</v>
      </c>
      <c r="D7" s="14" t="s">
        <v>127</v>
      </c>
      <c r="E7" s="14" t="s">
        <v>248</v>
      </c>
    </row>
    <row r="8" customFormat="false" ht="15" hidden="false" customHeight="false" outlineLevel="0" collapsed="false">
      <c r="B8" s="0" t="s">
        <v>249</v>
      </c>
      <c r="C8" s="18" t="n">
        <f aca="false">C7*(1+Assumptions!E31)^Assumptions!E29</f>
        <v>172028.521142278</v>
      </c>
      <c r="D8" s="14" t="s">
        <v>127</v>
      </c>
      <c r="E8" s="14" t="s">
        <v>250</v>
      </c>
    </row>
    <row r="9" customFormat="false" ht="15" hidden="false" customHeight="false" outlineLevel="0" collapsed="false">
      <c r="B9" s="0" t="s">
        <v>251</v>
      </c>
      <c r="C9" s="21" t="n">
        <f aca="false">Assumptions!E32</f>
        <v>0.2</v>
      </c>
      <c r="D9" s="14" t="s">
        <v>163</v>
      </c>
      <c r="E9" s="14" t="s">
        <v>252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253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231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254</v>
      </c>
    </row>
    <row r="5" customFormat="false" ht="15" hidden="false" customHeight="false" outlineLevel="0" collapsed="false">
      <c r="B5" s="0" t="s">
        <v>255</v>
      </c>
      <c r="C5" s="18" t="n">
        <f aca="false">'Operating Model'!D8</f>
        <v>24979.70178</v>
      </c>
      <c r="D5" s="18" t="n">
        <f aca="false">'Operating Model'!E8</f>
        <v>25073.7611509</v>
      </c>
      <c r="E5" s="18" t="n">
        <f aca="false">'Operating Model'!F8</f>
        <v>25167.20373904</v>
      </c>
      <c r="F5" s="18" t="n">
        <f aca="false">'Operating Model'!G8</f>
        <v>25260.0078028277</v>
      </c>
      <c r="G5" s="18" t="n">
        <f aca="false">'Operating Model'!H8</f>
        <v>25352.1512275173</v>
      </c>
      <c r="H5" s="18" t="n">
        <f aca="false">'Operating Model'!I8</f>
        <v>25443.6115199203</v>
      </c>
      <c r="I5" s="18" t="n">
        <f aca="false">'Operating Model'!J8</f>
        <v>25534.3658030487</v>
      </c>
      <c r="J5" s="18" t="n">
        <f aca="false">INDEX(C5:I5,1,Assumptions!E29)</f>
        <v>25352.1512275173</v>
      </c>
    </row>
    <row r="6" customFormat="false" ht="15" hidden="false" customHeight="false" outlineLevel="0" collapsed="false">
      <c r="B6" s="0" t="s">
        <v>256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false" outlineLevel="0" collapsed="false">
      <c r="B7" s="0" t="s">
        <v>257</v>
      </c>
      <c r="C7" s="18" t="n">
        <f aca="false">C5*C6</f>
        <v>249797.0178</v>
      </c>
      <c r="D7" s="18" t="n">
        <f aca="false">D5*D6</f>
        <v>250737.611509</v>
      </c>
      <c r="E7" s="18" t="n">
        <f aca="false">E5*E6</f>
        <v>251672.0373904</v>
      </c>
      <c r="F7" s="18" t="n">
        <f aca="false">F5*F6</f>
        <v>252600.078028277</v>
      </c>
      <c r="G7" s="18" t="n">
        <f aca="false">G5*G6</f>
        <v>253521.512275173</v>
      </c>
      <c r="H7" s="18" t="n">
        <f aca="false">H5*H6</f>
        <v>254436.115199203</v>
      </c>
      <c r="I7" s="18" t="n">
        <f aca="false">I5*I6</f>
        <v>255343.658030487</v>
      </c>
      <c r="J7" s="18" t="n">
        <f aca="false">INDEX(C7:I7,1,Assumptions!E29)</f>
        <v>253521.512275173</v>
      </c>
    </row>
    <row r="8" customFormat="false" ht="15" hidden="false" customHeight="false" outlineLevel="0" collapsed="false">
      <c r="B8" s="0" t="s">
        <v>229</v>
      </c>
      <c r="C8" s="18" t="n">
        <f aca="false">'Debt Schedule'!D28</f>
        <v>131121.52294252</v>
      </c>
      <c r="D8" s="18" t="n">
        <f aca="false">'Debt Schedule'!E28</f>
        <v>125004.502230614</v>
      </c>
      <c r="E8" s="18" t="n">
        <f aca="false">'Debt Schedule'!F28</f>
        <v>118444.691402373</v>
      </c>
      <c r="F8" s="18" t="n">
        <f aca="false">'Debt Schedule'!G28</f>
        <v>111408.495992671</v>
      </c>
      <c r="G8" s="18" t="n">
        <f aca="false">'Debt Schedule'!H28</f>
        <v>103861.052609691</v>
      </c>
      <c r="H8" s="18" t="n">
        <f aca="false">'Debt Schedule'!I28</f>
        <v>95764.893699977</v>
      </c>
      <c r="I8" s="18" t="n">
        <f aca="false">'Debt Schedule'!J28</f>
        <v>87079.6718865768</v>
      </c>
      <c r="J8" s="18" t="n">
        <f aca="false">INDEX(C8:I8,1,Assumptions!E29)</f>
        <v>103861.052609691</v>
      </c>
    </row>
    <row r="9" customFormat="false" ht="15" hidden="false" customHeight="false" outlineLevel="0" collapsed="false">
      <c r="B9" s="0" t="s">
        <v>258</v>
      </c>
      <c r="C9" s="18" t="n">
        <f aca="false">MAX(0,C7-C8)</f>
        <v>118675.49485748</v>
      </c>
      <c r="D9" s="18" t="n">
        <f aca="false">MAX(0,D7-D8)</f>
        <v>125733.109278386</v>
      </c>
      <c r="E9" s="18" t="n">
        <f aca="false">MAX(0,E7-E8)</f>
        <v>133227.345988027</v>
      </c>
      <c r="F9" s="18" t="n">
        <f aca="false">MAX(0,F7-F8)</f>
        <v>141191.582035606</v>
      </c>
      <c r="G9" s="18" t="n">
        <f aca="false">MAX(0,G7-G8)</f>
        <v>149660.459665482</v>
      </c>
      <c r="H9" s="18" t="n">
        <f aca="false">MAX(0,H7-H8)</f>
        <v>158671.221499226</v>
      </c>
      <c r="I9" s="18" t="n">
        <f aca="false">MAX(0,I7-I8)</f>
        <v>168263.98614391</v>
      </c>
      <c r="J9" s="18" t="n">
        <f aca="false">INDEX(C9:I9,1,Assumptions!E29)</f>
        <v>149660.459665482</v>
      </c>
    </row>
    <row r="10" customFormat="false" ht="15" hidden="false" customHeight="false" outlineLevel="0" collapsed="false">
      <c r="B10" s="0" t="s">
        <v>161</v>
      </c>
      <c r="C10" s="18" t="n">
        <f aca="false">'Management Equity'!$C$7*(1+Assumptions!$E$31)^1</f>
        <v>126446.098572</v>
      </c>
      <c r="D10" s="18" t="n">
        <f aca="false">'Management Equity'!$C$7*(1+Assumptions!$E$31)^2</f>
        <v>136561.78645776</v>
      </c>
      <c r="E10" s="18" t="n">
        <f aca="false">'Management Equity'!$C$7*(1+Assumptions!$E$31)^3</f>
        <v>147486.729374381</v>
      </c>
      <c r="F10" s="18" t="n">
        <f aca="false">'Management Equity'!$C$7*(1+Assumptions!$E$31)^4</f>
        <v>159285.667724331</v>
      </c>
      <c r="G10" s="18" t="n">
        <f aca="false">'Management Equity'!$C$7*(1+Assumptions!$E$31)^5</f>
        <v>172028.521142278</v>
      </c>
      <c r="H10" s="18" t="n">
        <f aca="false">'Management Equity'!$C$7*(1+Assumptions!$E$31)^6</f>
        <v>185790.80283366</v>
      </c>
      <c r="I10" s="18" t="n">
        <f aca="false">'Management Equity'!$C$7*(1+Assumptions!$E$31)^7</f>
        <v>200654.067060353</v>
      </c>
      <c r="J10" s="18" t="n">
        <f aca="false">INDEX(C10:I10,1,Assumptions!E29)</f>
        <v>172028.521142278</v>
      </c>
    </row>
    <row r="11" customFormat="false" ht="15" hidden="false" customHeight="false" outlineLevel="0" collapsed="false">
      <c r="B11" s="0" t="s">
        <v>259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false" outlineLevel="0" collapsed="false">
      <c r="B12" s="0" t="s">
        <v>260</v>
      </c>
      <c r="C12" s="18" t="n">
        <f aca="false">MIN(C9,C9*Assumptions!$E$30+C11*Assumptions!$E$32)</f>
        <v>11867.549485748</v>
      </c>
      <c r="D12" s="18" t="n">
        <f aca="false">MIN(D9,D9*Assumptions!$E$30+D11*Assumptions!$E$32)</f>
        <v>12573.3109278386</v>
      </c>
      <c r="E12" s="18" t="n">
        <f aca="false">MIN(E9,E9*Assumptions!$E$30+E11*Assumptions!$E$32)</f>
        <v>13322.7345988027</v>
      </c>
      <c r="F12" s="18" t="n">
        <f aca="false">MIN(F9,F9*Assumptions!$E$30+F11*Assumptions!$E$32)</f>
        <v>14119.1582035606</v>
      </c>
      <c r="G12" s="18" t="n">
        <f aca="false">MIN(G9,G9*Assumptions!$E$30+G11*Assumptions!$E$32)</f>
        <v>14966.0459665482</v>
      </c>
      <c r="H12" s="18" t="n">
        <f aca="false">MIN(H9,H9*Assumptions!$E$30+H11*Assumptions!$E$32)</f>
        <v>15867.1221499226</v>
      </c>
      <c r="I12" s="18" t="n">
        <f aca="false">MIN(I9,I9*Assumptions!$E$30+I11*Assumptions!$E$32)</f>
        <v>16826.398614391</v>
      </c>
      <c r="J12" s="18" t="n">
        <f aca="false">INDEX(C12:I12,1,Assumptions!E29)</f>
        <v>14966.0459665482</v>
      </c>
    </row>
    <row r="13" customFormat="false" ht="15" hidden="false" customHeight="false" outlineLevel="0" collapsed="false">
      <c r="B13" s="0" t="s">
        <v>261</v>
      </c>
      <c r="C13" s="18" t="n">
        <f aca="false">MAX(0,C9-C12)</f>
        <v>106807.945371732</v>
      </c>
      <c r="D13" s="18" t="n">
        <f aca="false">MAX(0,D9-D12)</f>
        <v>113159.798350548</v>
      </c>
      <c r="E13" s="18" t="n">
        <f aca="false">MAX(0,E9-E12)</f>
        <v>119904.611389224</v>
      </c>
      <c r="F13" s="18" t="n">
        <f aca="false">MAX(0,F9-F12)</f>
        <v>127072.423832046</v>
      </c>
      <c r="G13" s="18" t="n">
        <f aca="false">MAX(0,G9-G12)</f>
        <v>134694.413698934</v>
      </c>
      <c r="H13" s="18" t="n">
        <f aca="false">MAX(0,H9-H12)</f>
        <v>142804.099349304</v>
      </c>
      <c r="I13" s="18" t="n">
        <f aca="false">MAX(0,I9-I12)</f>
        <v>151437.587529519</v>
      </c>
      <c r="J13" s="18" t="n">
        <f aca="false">INDEX(C13:I13,1,Assumptions!E29)</f>
        <v>134694.413698934</v>
      </c>
    </row>
    <row r="14" customFormat="false" ht="15" hidden="false" customHeight="false" outlineLevel="0" collapsed="false">
      <c r="B14" s="0" t="s">
        <v>262</v>
      </c>
      <c r="C14" s="26" t="n">
        <f aca="false">IFERROR(C13/'Sources &amp; Uses'!$F$8,0)</f>
        <v>0.912266825977136</v>
      </c>
      <c r="D14" s="26" t="n">
        <f aca="false">IFERROR(D13/'Sources &amp; Uses'!$F$8,0)</f>
        <v>0.966519201452483</v>
      </c>
      <c r="E14" s="26" t="n">
        <f aca="false">IFERROR(E13/'Sources &amp; Uses'!$F$8,0)</f>
        <v>1.02412792298708</v>
      </c>
      <c r="F14" s="26" t="n">
        <f aca="false">IFERROR(F13/'Sources &amp; Uses'!$F$8,0)</f>
        <v>1.08534956229167</v>
      </c>
      <c r="G14" s="26" t="n">
        <f aca="false">IFERROR(G13/'Sources &amp; Uses'!$F$8,0)</f>
        <v>1.15045041672058</v>
      </c>
      <c r="H14" s="26" t="n">
        <f aca="false">IFERROR(H13/'Sources &amp; Uses'!$F$8,0)</f>
        <v>1.21971677290959</v>
      </c>
      <c r="I14" s="26" t="n">
        <f aca="false">IFERROR(I13/'Sources &amp; Uses'!$F$8,0)</f>
        <v>1.2934570253961</v>
      </c>
      <c r="J14" s="26" t="n">
        <f aca="false">INDEX(C14:I14,1,Assumptions!E29)</f>
        <v>1.15045041672058</v>
      </c>
    </row>
    <row r="15" customFormat="false" ht="15" hidden="false" customHeight="false" outlineLevel="0" collapsed="false">
      <c r="B15" s="0" t="s">
        <v>263</v>
      </c>
      <c r="C15" s="24" t="n">
        <f aca="false">IFERROR((C13/'Sources &amp; Uses'!$F$8)^(1/1)-1,0)</f>
        <v>-0.087733174022864</v>
      </c>
      <c r="D15" s="24" t="n">
        <f aca="false">IFERROR((D13/'Sources &amp; Uses'!$F$8)^(1/2)-1,0)</f>
        <v>-0.0168829156949397</v>
      </c>
      <c r="E15" s="24" t="n">
        <f aca="false">IFERROR((E13/'Sources &amp; Uses'!$F$8)^(1/3)-1,0)</f>
        <v>0.00797881026828362</v>
      </c>
      <c r="F15" s="24" t="n">
        <f aca="false">IFERROR((F13/'Sources &amp; Uses'!$F$8)^(1/4)-1,0)</f>
        <v>0.0206865897800075</v>
      </c>
      <c r="G15" s="24" t="n">
        <f aca="false">IFERROR((G13/'Sources &amp; Uses'!$F$8)^(1/5)-1,0)</f>
        <v>0.0284272633192819</v>
      </c>
      <c r="H15" s="24" t="n">
        <f aca="false">IFERROR((H13/'Sources &amp; Uses'!$F$8)^(1/6)-1,0)</f>
        <v>0.0336571173086588</v>
      </c>
      <c r="I15" s="24" t="n">
        <f aca="false">IFERROR((I13/'Sources &amp; Uses'!$F$8)^(1/7)-1,0)</f>
        <v>0.0374437818774869</v>
      </c>
      <c r="J15" s="24" t="n">
        <f aca="false">INDEX(C15:I15,1,Assumptions!E29)</f>
        <v>0.0284272633192819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264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265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false" outlineLevel="0" collapsed="false">
      <c r="B5" s="26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-0.0245247399205034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0.0409517146216205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0.0931821356781608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0.136998355868621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0.174946150946277</v>
      </c>
    </row>
    <row r="6" customFormat="false" ht="15" hidden="false" customHeight="false" outlineLevel="0" collapsed="false">
      <c r="B6" s="26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-0.0840104280705566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-0.0225268087293444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0.0265185366353098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0.0676627895121642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0.103296481099602</v>
      </c>
    </row>
    <row r="7" customFormat="false" ht="15" hidden="false" customHeight="false" outlineLevel="0" collapsed="false">
      <c r="B7" s="26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-0.126756502731222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-0.0681421118870451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-0.0213855436645798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0.0178386488106841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0.0518094388895125</v>
      </c>
    </row>
    <row r="8" customFormat="false" ht="15" hidden="false" customHeight="false" outlineLevel="0" collapsed="false">
      <c r="B8" s="26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-0.159775036239478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-0.103376935850607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-0.0583882975576665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-0.0206472255609741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0.0120390823842593</v>
      </c>
    </row>
    <row r="9" customFormat="false" ht="15" hidden="false" customHeight="false" outlineLevel="0" collapsed="false">
      <c r="B9" s="26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-0.186483154805678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-0.131877773292181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-0.0883191828286724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-0.051777781240714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-0.0201304685952459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266</v>
      </c>
      <c r="C2" s="1"/>
    </row>
    <row r="4" customFormat="false" ht="15" hidden="false" customHeight="false" outlineLevel="0" collapsed="false">
      <c r="B4" s="15" t="s">
        <v>267</v>
      </c>
      <c r="C4" s="15" t="s">
        <v>43</v>
      </c>
    </row>
    <row r="5" customFormat="false" ht="15" hidden="false" customHeight="false" outlineLevel="0" collapsed="false">
      <c r="B5" s="0" t="s">
        <v>268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269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270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271</v>
      </c>
      <c r="C8" s="0" t="str">
        <f aca="false">IF(MIN('Debt Schedule'!D13:J13)&gt;=Assumptions!E16,"PASS","REVIEW")</f>
        <v>PASS</v>
      </c>
    </row>
    <row r="9" customFormat="false" ht="15" hidden="false" customHeight="false" outlineLevel="0" collapsed="false">
      <c r="B9" s="0" t="s">
        <v>272</v>
      </c>
      <c r="C9" s="0" t="str">
        <f aca="false">IF(COUNTIF(Covenants!C13:I13,"BREACH")=0,"PASS","REVIEW")</f>
        <v>PASS</v>
      </c>
    </row>
    <row r="10" customFormat="false" ht="15" hidden="false" customHeight="false" outlineLevel="0" collapsed="false">
      <c r="B10" s="0" t="s">
        <v>273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274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275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276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277</v>
      </c>
      <c r="C2" s="1"/>
      <c r="D2" s="1"/>
      <c r="E2" s="1"/>
    </row>
    <row r="4" customFormat="false" ht="15" hidden="false" customHeight="false" outlineLevel="0" collapsed="false">
      <c r="B4" s="15" t="s">
        <v>278</v>
      </c>
      <c r="C4" s="15" t="s">
        <v>279</v>
      </c>
      <c r="D4" s="15" t="s">
        <v>106</v>
      </c>
      <c r="E4" s="15" t="s">
        <v>280</v>
      </c>
    </row>
    <row r="5" customFormat="false" ht="15" hidden="false" customHeight="false" outlineLevel="0" collapsed="false">
      <c r="B5" s="32" t="s">
        <v>281</v>
      </c>
      <c r="C5" s="32" t="s">
        <v>282</v>
      </c>
      <c r="D5" s="32" t="s">
        <v>283</v>
      </c>
      <c r="E5" s="32" t="s">
        <v>284</v>
      </c>
    </row>
    <row r="6" customFormat="false" ht="15" hidden="false" customHeight="false" outlineLevel="0" collapsed="false">
      <c r="B6" s="32" t="s">
        <v>285</v>
      </c>
      <c r="C6" s="32" t="s">
        <v>286</v>
      </c>
      <c r="D6" s="32" t="s">
        <v>6</v>
      </c>
      <c r="E6" s="32" t="s">
        <v>287</v>
      </c>
    </row>
    <row r="7" customFormat="false" ht="15" hidden="false" customHeight="false" outlineLevel="0" collapsed="false">
      <c r="B7" s="32" t="s">
        <v>288</v>
      </c>
      <c r="C7" s="32" t="s">
        <v>289</v>
      </c>
      <c r="D7" s="32" t="s">
        <v>6</v>
      </c>
      <c r="E7" s="32" t="s">
        <v>290</v>
      </c>
    </row>
    <row r="8" customFormat="false" ht="15" hidden="false" customHeight="false" outlineLevel="0" collapsed="false">
      <c r="B8" s="32" t="s">
        <v>291</v>
      </c>
      <c r="C8" s="32" t="s">
        <v>292</v>
      </c>
      <c r="D8" s="32" t="s">
        <v>6</v>
      </c>
      <c r="E8" s="32" t="s">
        <v>293</v>
      </c>
    </row>
    <row r="9" customFormat="false" ht="15" hidden="false" customHeight="false" outlineLevel="0" collapsed="false">
      <c r="B9" s="32" t="s">
        <v>294</v>
      </c>
      <c r="C9" s="32" t="s">
        <v>295</v>
      </c>
      <c r="D9" s="32" t="s">
        <v>6</v>
      </c>
      <c r="E9" s="32" t="s">
        <v>296</v>
      </c>
    </row>
    <row r="10" customFormat="false" ht="15" hidden="false" customHeight="false" outlineLevel="0" collapsed="false">
      <c r="B10" s="33" t="s">
        <v>297</v>
      </c>
      <c r="C10" s="33" t="s">
        <v>298</v>
      </c>
      <c r="D10" s="33" t="s">
        <v>8</v>
      </c>
      <c r="E10" s="33" t="s">
        <v>299</v>
      </c>
    </row>
    <row r="11" customFormat="false" ht="15" hidden="false" customHeight="false" outlineLevel="0" collapsed="false">
      <c r="B11" s="33" t="s">
        <v>300</v>
      </c>
      <c r="C11" s="33" t="s">
        <v>301</v>
      </c>
      <c r="D11" s="33" t="s">
        <v>302</v>
      </c>
      <c r="E11" s="33" t="s">
        <v>303</v>
      </c>
    </row>
    <row r="12" customFormat="false" ht="15" hidden="false" customHeight="false" outlineLevel="0" collapsed="false">
      <c r="B12" s="33" t="s">
        <v>304</v>
      </c>
      <c r="C12" s="33" t="s">
        <v>305</v>
      </c>
      <c r="D12" s="33" t="s">
        <v>306</v>
      </c>
      <c r="E12" s="33" t="s">
        <v>307</v>
      </c>
    </row>
    <row r="13" customFormat="false" ht="15" hidden="false" customHeight="false" outlineLevel="0" collapsed="false">
      <c r="B13" s="33" t="s">
        <v>308</v>
      </c>
      <c r="C13" s="33" t="s">
        <v>309</v>
      </c>
      <c r="D13" s="33" t="s">
        <v>8</v>
      </c>
      <c r="E13" s="33" t="s">
        <v>310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311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312</v>
      </c>
      <c r="D4" s="15" t="s">
        <v>313</v>
      </c>
      <c r="E4" s="15" t="s">
        <v>314</v>
      </c>
      <c r="F4" s="15" t="s">
        <v>315</v>
      </c>
      <c r="G4" s="15" t="s">
        <v>316</v>
      </c>
    </row>
    <row r="5" customFormat="false" ht="15" hidden="false" customHeight="false" outlineLevel="0" collapsed="false">
      <c r="B5" s="34" t="s">
        <v>317</v>
      </c>
      <c r="C5" s="34" t="s">
        <v>318</v>
      </c>
      <c r="D5" s="34" t="s">
        <v>309</v>
      </c>
      <c r="E5" s="34" t="s">
        <v>319</v>
      </c>
      <c r="F5" s="34" t="s">
        <v>320</v>
      </c>
      <c r="G5" s="34" t="s">
        <v>321</v>
      </c>
    </row>
    <row r="6" customFormat="false" ht="15" hidden="false" customHeight="false" outlineLevel="0" collapsed="false">
      <c r="B6" s="34"/>
      <c r="C6" s="34"/>
      <c r="D6" s="34"/>
      <c r="E6" s="34"/>
      <c r="F6" s="34"/>
      <c r="G6" s="34"/>
    </row>
    <row r="7" customFormat="false" ht="15" hidden="false" customHeight="false" outlineLevel="0" collapsed="false">
      <c r="B7" s="34"/>
      <c r="C7" s="34"/>
      <c r="D7" s="34"/>
      <c r="E7" s="34"/>
      <c r="F7" s="34"/>
      <c r="G7" s="34"/>
    </row>
    <row r="8" customFormat="false" ht="15" hidden="false" customHeight="false" outlineLevel="0" collapsed="false">
      <c r="B8" s="34"/>
      <c r="C8" s="34"/>
      <c r="D8" s="34"/>
      <c r="E8" s="34"/>
      <c r="F8" s="34"/>
      <c r="G8" s="34"/>
    </row>
    <row r="9" customFormat="false" ht="15" hidden="false" customHeight="false" outlineLevel="0" collapsed="false">
      <c r="B9" s="34"/>
      <c r="C9" s="34"/>
      <c r="D9" s="34"/>
      <c r="E9" s="34"/>
      <c r="F9" s="34"/>
      <c r="G9" s="34"/>
    </row>
    <row r="10" customFormat="false" ht="15" hidden="false" customHeight="fals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fals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fals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fals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fals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fals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fals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fals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fals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fals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fals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fals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fals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fals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fals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fals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fals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fals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fals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2026-08-06T03:01:44Z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