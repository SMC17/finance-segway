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<sst xmlns="http://schemas.openxmlformats.org/spreadsheetml/2006/main" count="454" uniqueCount="315">
  <si>
    <t xml:space="preserve">[TARGET] — LBO Underwriting Model</t>
  </si>
  <si>
    <t xml:space="preserve">Target / transaction:</t>
  </si>
  <si>
    <t xml:space="preserve">Macy's FY2020 pandemic contraction</t>
  </si>
  <si>
    <t xml:space="preserve">Sponsor / principal:</t>
  </si>
  <si>
    <t xml:space="preserve">Benchmark Sponsor</t>
  </si>
  <si>
    <t xml:space="preserve">Entry / close date:</t>
  </si>
  <si>
    <t xml:space="preserve">[date]</t>
  </si>
  <si>
    <t xml:space="preserve">Last refreshed:</t>
  </si>
  <si>
    <t xml:space="preserve">2021-03-30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</si>
  <si>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</si>
  <si>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</si>
  <si>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</si>
  <si>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</si>
  <si>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</si>
  <si>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</si>
  <si>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</si>
  <si>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</si>
  <si>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</si>
  <si>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</si>
  <si>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</si>
  <si>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</si>
  <si>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</si>
  <si>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</si>
  <si>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</si>
  <si>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</si>
  <si>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</si>
  <si>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</si>
  <si>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</si>
  <si>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</si>
  <si>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</si>
  <si>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</si>
  <si>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</si>
  <si>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</si>
  <si>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</si>
  <si>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</si>
  <si>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</si>
  <si>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</si>
  <si>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</si>
  <si>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</si>
  <si>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</si>
  <si>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</si>
  <si>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</si>
  <si>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</si>
  <si>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</si>
  <si>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</si>
  <si>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</si>
  <si>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</si>
  <si>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</si>
  <si>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</si>
  <si>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</si>
  <si>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</si>
  <si>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</si>
  <si>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</si>
  <si>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</si>
  <si>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</si>
  <si>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</si>
  <si>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</si>
  <si>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</si>
  <si>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</si>
  <si>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</si>
  <si>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</si>
  <si>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</si>
  <si>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</si>
  <si>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</si>
  <si>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</si>
  <si>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</si>
  <si>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</si>
  <si>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</si>
  <si>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</si>
  <si>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</si>
  <si>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</si>
  <si>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</si>
  <si>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</si>
  <si>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</si>
  <si>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</si>
  <si>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</si>
  <si>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</si>
  <si>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</si>
  <si>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</si>
  <si>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</si>
  <si>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</si>
  <si>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</si>
  <si>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</si>
  <si>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</si>
  <si>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</si>
  <si>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</si>
  <si>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</si>
  <si>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</si>
  <si>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</si>
  <si>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</si>
  <si>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</si>
  <si>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</si>
  <si>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</si>
  <si>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</si>
  <si>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</si>
  <si>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</si>
  <si>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</si>
  <si>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</si>
  <si>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</si>
  <si>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</si>
  <si>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</si>
  <si>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</si>
  <si>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</si>
  <si>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</si>
  <si>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</si>
  <si>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</si>
  <si>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</si>
  <si>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</si>
  <si>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</si>
  <si>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</si>
  <si>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</si>
  <si>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</si>
  <si>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</si>
  <si>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</si>
  <si>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</si>
  <si>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</si>
  <si>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</si>
  <si>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</si>
  <si>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</si>
  <si>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</si>
  <si>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</si>
  <si>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</si>
  <si>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</si>
  <si>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</si>
  <si>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</si>
  <si>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</si>
  <si>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</si>
  <si>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</si>
  <si>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</si>
  <si>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</si>
  <si>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</si>
  <si>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</si>
  <si>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</si>
  <si>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</si>
  <si>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</si>
  <si>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</si>
  <si>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</si>
  <si>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</si>
  <si>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</si>
  <si>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</si>
  <si>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</si>
  <si>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</si>
  <si>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</si>
  <si>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</si>
  <si>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</si>
  <si>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</si>
  <si>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</si>
  <si>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</si>
  <si>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</si>
  <si>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</si>
  <si>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</si>
  <si>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</si>
  <si>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</si>
  <si>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</si>
  <si>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</si>
  <si>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</si>
  <si>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</si>
  <si>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</si>
  <si>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</si>
  <si>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</si>
  <si>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</si>
  <si>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</si>
  <si>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</si>
  <si>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</si>
  <si>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</si>
  <si>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</si>
  <si>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</si>
  <si>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</si>
  <si>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</si>
  <si>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</si>
  <si>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</si>
  <si>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</si>
  <si>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</si>
  <si>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</si>
  <si>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</si>
  <si>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</si>
  <si>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</si>
  <si>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</si>
  <si>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</si>
  <si>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</si>
  <si>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</si>
  <si>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</si>
  <si>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</si>
  <si>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</si>
  <si>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</si>
  <si>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</si>
  <si>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</si>
  <si>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</si>
  <si>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</si>
  <si>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</si>
  <si>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</si>
  <si>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</si>
  <si>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</si>
  <si>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</si>
  <si>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</si>
  <si>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</si>
  <si>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</si>
  <si>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</si>
  <si>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</si>
  <si>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</si>
  <si>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</si>
  <si>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</si>
  <si>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</si>
  <si>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</si>
  <si>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</si>
  <si>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</si>
  <si>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</si>
  <si>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</si>
  <si>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</si>
  <si>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</si>
  <si>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</si>
  <si>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</si>
  <si>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</si>
  <si>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</si>
  <si>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</si>
  <si>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</si>
  <si>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</si>
  <si>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</si>
  <si>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</si>
  <si>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</si>
  <si>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</si>
  <si>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</si>
  <si>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</si>
  <si>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</si>
  <si>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</si>
  <si>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</si>
  <si>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</si>
  <si>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</si>
  <si>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</si>
  <si>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</si>
  <si>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</si>
  <si>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</si>
  <si>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</si>
  <si>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</si>
  <si>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</si>
  <si>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</si>
  <si>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</si>
  <si>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</si>
  <si>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</si>
  <si>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</si>
  <si>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</si>
  <si>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</si>
  <si>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</si>
  <si>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</si>
  <si>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</si>
  <si>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</si>
  <si>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</si>
  <si>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</si>
  <si>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</si>
  <si>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</si>
  <si>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</si>
  <si>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</si>
  <si>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</si>
  <si>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</si>
  <si>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</si>
  <si>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</si>
  <si>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</si>
  <si>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</si>
  <si>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</si>
  <si>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</si>
  <si>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</si>
  <si>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</si>
  <si>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</si>
  <si>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</si>
  <si>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</si>
  <si>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</si>
  <si>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</si>
  <si>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</si>
  <si>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</si>
  <si>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</si>
  <si>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</si>
  <si>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</si>
  <si>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</si>
  <si>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</si>
  <si>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</si>
  <si>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</si>
  <si>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</si>
  <si>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</si>
  <si>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</si>
  <si>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</si>
  <si>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</si>
  <si>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</si>
  <si>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</si>
  <si>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</si>
  <si>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</si>
  <si>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</si>
  <si>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</si>
  <si>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</si>
  <si>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</si>
  <si>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</si>
  <si>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</si>
  <si>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</si>
  <si>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</si>
  <si>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</si>
  <si>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</si>
  <si>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Macy's 2020 Form 10-K</t>
  </si>
  <si>
    <t xml:space="preserve">https://www.sec.gov/Archives/edgar/data/794367/000079436721000038/m-20210130.htm</t>
  </si>
  <si>
    <t xml:space="preserve">U.S. SEC; frozen curated observation as of case date</t>
  </si>
  <si>
    <t xml:space="preserve">Frozen source snapshot</t>
  </si>
  <si>
    <t xml:space="preserve">repo://03_Private_Equity/sources/snapshots/pe-public-macys-2020.json</t>
  </si>
  <si>
    <t xml:space="preserve">Immutable curated observation package with SHA-256 digest</t>
  </si>
  <si>
    <t xml:space="preserve">Retained modeler assumption from pe-adversarial-contraction.json</t>
  </si>
  <si>
    <t xml:space="preserve">repo://standards/benchmark_cases/pe-adversarial-contraction.json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</si>
  <si>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</si>
  <si>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</si>
  <si>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</si>
  <si>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</si>
  <si>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</si>
  <si>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</si>
  <si>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</si>
  <si>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</si>
  <si>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</si>
  <si>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pe-public-macys-2020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</si>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</sst>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123</v>
      </c>
      <c r="D4" s="16" t="s">
        <v>11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127</v>
      </c>
    </row>
    <row r="6" customFormat="false" ht="15" hidden="false" customHeight="true" outlineLevel="0" collapsed="false">
      <c r="B6" s="1" t="s">
        <v>128</v>
      </c>
      <c r="C6" s="19" t="n">
        <v>0.2</v>
      </c>
      <c r="D6" s="20" t="n">
        <v>0.02</v>
      </c>
      <c r="E6" s="21" t="n">
        <f aca="false">IF(Cover!$C$9="Downside",D6,C6)</f>
        <v>0.02</v>
      </c>
      <c r="F6" s="1" t="s">
        <v>129</v>
      </c>
    </row>
    <row r="7" customFormat="false" ht="15" hidden="false" customHeight="true" outlineLevel="0" collapsed="false">
      <c r="B7" s="1" t="s">
        <v>130</v>
      </c>
      <c r="C7" s="19" t="n">
        <v>0.06</v>
      </c>
      <c r="D7" s="20" t="n">
        <v>-0.291</v>
      </c>
      <c r="E7" s="21" t="n">
        <f aca="false">IF(Cover!$C$9="Downside",D7,C7)</f>
        <v>-0.291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2" t="n">
        <v>0.005</v>
      </c>
      <c r="D8" s="23" t="n">
        <v>-0.008</v>
      </c>
      <c r="E8" s="24" t="n">
        <f aca="false">IF(Cover!$C$9="Downside",D8,C8)</f>
        <v>-0.008</v>
      </c>
      <c r="F8" s="1" t="s">
        <v>132</v>
      </c>
    </row>
    <row r="9" customFormat="false" ht="15" hidden="false" customHeight="true" outlineLevel="0" collapsed="false">
      <c r="B9" s="1" t="s">
        <v>133</v>
      </c>
      <c r="C9" s="19" t="n">
        <v>0.025</v>
      </c>
      <c r="D9" s="19" t="n">
        <v>0.025</v>
      </c>
      <c r="E9" s="21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19" t="n">
        <v>0.035</v>
      </c>
      <c r="D10" s="19" t="n">
        <v>0.045</v>
      </c>
      <c r="E10" s="21" t="n">
        <f aca="false">IF(Cover!$C$9="Downside",D10,C10)</f>
        <v>0.045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19" t="n">
        <v>0.08</v>
      </c>
      <c r="D11" s="19" t="n">
        <v>0.1</v>
      </c>
      <c r="E11" s="21" t="n">
        <f aca="false">IF(Cover!$C$9="Downside",D11,C11)</f>
        <v>0.1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19" t="n">
        <v>0.25</v>
      </c>
      <c r="D12" s="19" t="n">
        <v>0.2</v>
      </c>
      <c r="E12" s="21" t="n">
        <f aca="false">IF(Cover!$C$9="Downside",D12,C12)</f>
        <v>0.2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</v>
      </c>
      <c r="D13" s="25" t="n">
        <v>9</v>
      </c>
      <c r="E13" s="26" t="n">
        <f aca="false">IF(Cover!$C$9="Downside",D13,C13)</f>
        <v>9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19" t="n">
        <v>0.02</v>
      </c>
      <c r="D14" s="19" t="n">
        <v>0.025</v>
      </c>
      <c r="E14" s="21" t="n">
        <f aca="false">IF(Cover!$C$9="Downside",D14,C14)</f>
        <v>0.025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2" t="n">
        <v>0.09</v>
      </c>
      <c r="D18" s="22" t="n">
        <v>0.115</v>
      </c>
      <c r="E18" s="24" t="n">
        <f aca="false">IF(Cover!$C$9="Downside",D18,C18)</f>
        <v>0.115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</v>
      </c>
      <c r="D19" s="25" t="n">
        <v>3.5</v>
      </c>
      <c r="E19" s="26" t="n">
        <f aca="false">IF(Cover!$C$9="Downside",D19,C19)</f>
        <v>3.5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2" t="n">
        <v>0.085</v>
      </c>
      <c r="D20" s="22" t="n">
        <v>0.105</v>
      </c>
      <c r="E20" s="24" t="n">
        <f aca="false">IF(Cover!$C$9="Downside",D20,C20)</f>
        <v>0.105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19" t="n">
        <v>0.01</v>
      </c>
      <c r="D21" s="19" t="n">
        <v>0.01</v>
      </c>
      <c r="E21" s="21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1.5</v>
      </c>
      <c r="D22" s="25" t="n">
        <v>1</v>
      </c>
      <c r="E22" s="26" t="n">
        <f aca="false">IF(Cover!$C$9="Downside",D22,C22)</f>
        <v>1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2" t="n">
        <v>0.11</v>
      </c>
      <c r="D23" s="22" t="n">
        <v>0.13</v>
      </c>
      <c r="E23" s="24" t="n">
        <f aca="false">IF(Cover!$C$9="Downside",D23,C23)</f>
        <v>0.13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2" t="n">
        <v>0.03</v>
      </c>
      <c r="D24" s="23" t="n">
        <v>0.07</v>
      </c>
      <c r="E24" s="24" t="n">
        <f aca="false">IF(Cover!$C$9="Downside",D24,C24)</f>
        <v>0.07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19" t="n">
        <v>0.75</v>
      </c>
      <c r="D25" s="19" t="n">
        <v>0.5</v>
      </c>
      <c r="E25" s="21" t="n">
        <f aca="false">IF(Cover!$C$9="Downside",D25,C25)</f>
        <v>0.5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5" t="n">
        <v>7</v>
      </c>
      <c r="D26" s="25" t="n">
        <v>6.5</v>
      </c>
      <c r="E26" s="26" t="n">
        <f aca="false">IF(Cover!$C$9="Downside",D26,C26)</f>
        <v>6.5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5" t="n">
        <v>1.75</v>
      </c>
      <c r="D27" s="25" t="n">
        <v>1.5</v>
      </c>
      <c r="E27" s="26" t="n">
        <f aca="false">IF(Cover!$C$9="Downside",D27,C27)</f>
        <v>1.5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7" t="n">
        <v>7</v>
      </c>
      <c r="E28" s="26" t="n">
        <f aca="false">IF(Cover!$C$9="Downside",D28,C28)</f>
        <v>7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19" t="n">
        <v>0.1</v>
      </c>
      <c r="D30" s="19" t="n">
        <v>0.1</v>
      </c>
      <c r="E30" s="21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19" t="n">
        <v>0.08</v>
      </c>
      <c r="D31" s="19" t="n">
        <v>0.08</v>
      </c>
      <c r="E31" s="21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19" t="n">
        <v>0.2</v>
      </c>
      <c r="D32" s="19" t="n">
        <v>0.2</v>
      </c>
      <c r="E32" s="21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8" t="n">
        <f aca="false">Assumptions!E5*Assumptions!E6*Assumptions!E13</f>
        <v>108</v>
      </c>
      <c r="E5" s="1" t="s">
        <v>169</v>
      </c>
      <c r="F5" s="17" t="n">
        <v>0</v>
      </c>
    </row>
    <row r="6" customFormat="false" ht="15" hidden="false" customHeight="true" outlineLevel="0" collapsed="false">
      <c r="B6" s="1" t="s">
        <v>170</v>
      </c>
      <c r="C6" s="18" t="n">
        <f aca="false">Assumptions!E15</f>
        <v>100</v>
      </c>
      <c r="E6" s="1" t="s">
        <v>171</v>
      </c>
      <c r="F6" s="18" t="n">
        <f aca="false">Assumptions!E5*Assumptions!E6*Assumptions!E19</f>
        <v>42</v>
      </c>
    </row>
    <row r="7" customFormat="false" ht="15" hidden="false" customHeight="true" outlineLevel="0" collapsed="false">
      <c r="B7" s="1" t="s">
        <v>172</v>
      </c>
      <c r="C7" s="18" t="n">
        <f aca="false">C5*Assumptions!E14</f>
        <v>2.7</v>
      </c>
      <c r="E7" s="1" t="s">
        <v>173</v>
      </c>
      <c r="F7" s="18" t="n">
        <f aca="false">Assumptions!E5*Assumptions!E6*Assumptions!E22</f>
        <v>12</v>
      </c>
    </row>
    <row r="8" customFormat="false" ht="15" hidden="false" customHeight="true" outlineLevel="0" collapsed="false">
      <c r="B8" s="1" t="s">
        <v>174</v>
      </c>
      <c r="C8" s="18" t="n">
        <f aca="false">Assumptions!E16</f>
        <v>25</v>
      </c>
      <c r="E8" s="1" t="s">
        <v>175</v>
      </c>
      <c r="F8" s="18" t="n">
        <f aca="false">C9-SUM(F5:F7)</f>
        <v>181.7</v>
      </c>
    </row>
    <row r="9" customFormat="false" ht="15" hidden="false" customHeight="true" outlineLevel="0" collapsed="false">
      <c r="B9" s="30" t="s">
        <v>176</v>
      </c>
      <c r="C9" s="31" t="n">
        <f aca="false">SUM(C5:C8)</f>
        <v>235.7</v>
      </c>
      <c r="E9" s="30" t="s">
        <v>177</v>
      </c>
      <c r="F9" s="31" t="n">
        <f aca="false">SUM(F5:F8)</f>
        <v>235.7</v>
      </c>
    </row>
    <row r="10" customFormat="false" ht="15" hidden="false" customHeight="true" outlineLevel="0" collapsed="false">
      <c r="E10" s="1" t="s">
        <v>178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8" t="n">
        <f aca="false">Assumptions!E5</f>
        <v>600</v>
      </c>
      <c r="D5" s="18" t="n">
        <f aca="false">C5*(1+Assumptions!$E$7)</f>
        <v>425.4</v>
      </c>
      <c r="E5" s="18" t="n">
        <f aca="false">D5*(1+Assumptions!$E$7)</f>
        <v>301.6086</v>
      </c>
      <c r="F5" s="18" t="n">
        <f aca="false">E5*(1+Assumptions!$E$7)</f>
        <v>213.8404974</v>
      </c>
      <c r="G5" s="18" t="n">
        <f aca="false">F5*(1+Assumptions!$E$7)</f>
        <v>151.6129126566</v>
      </c>
      <c r="H5" s="18" t="n">
        <f aca="false">G5*(1+Assumptions!$E$7)</f>
        <v>107.493555073529</v>
      </c>
      <c r="I5" s="18" t="n">
        <f aca="false">H5*(1+Assumptions!$E$7)</f>
        <v>76.2129305471324</v>
      </c>
      <c r="J5" s="18" t="n">
        <f aca="false">I5*(1+Assumptions!$E$7)</f>
        <v>54.0349677579169</v>
      </c>
    </row>
    <row r="6" customFormat="false" ht="15" hidden="false" customHeight="true" outlineLevel="0" collapsed="false">
      <c r="B6" s="1" t="s">
        <v>190</v>
      </c>
      <c r="D6" s="21" t="n">
        <f aca="false">IFERROR(D5/C5-1,0)</f>
        <v>-0.291</v>
      </c>
      <c r="E6" s="21" t="n">
        <f aca="false">IFERROR(E5/D5-1,0)</f>
        <v>-0.291</v>
      </c>
      <c r="F6" s="21" t="n">
        <f aca="false">IFERROR(F5/E5-1,0)</f>
        <v>-0.291</v>
      </c>
      <c r="G6" s="21" t="n">
        <f aca="false">IFERROR(G5/F5-1,0)</f>
        <v>-0.291</v>
      </c>
      <c r="H6" s="21" t="n">
        <f aca="false">IFERROR(H5/G5-1,0)</f>
        <v>-0.291</v>
      </c>
      <c r="I6" s="21" t="n">
        <f aca="false">IFERROR(I5/H5-1,0)</f>
        <v>-0.291</v>
      </c>
      <c r="J6" s="21" t="n">
        <f aca="false">IFERROR(J5/I5-1,0)</f>
        <v>-0.291</v>
      </c>
    </row>
    <row r="7" customFormat="false" ht="15" hidden="false" customHeight="true" outlineLevel="0" collapsed="false">
      <c r="B7" s="1" t="s">
        <v>191</v>
      </c>
      <c r="C7" s="21" t="n">
        <f aca="false">Assumptions!E6</f>
        <v>0.02</v>
      </c>
      <c r="D7" s="21" t="n">
        <f aca="false">MAX(0,MIN(0.6,C7+Assumptions!$E$8))</f>
        <v>0.012</v>
      </c>
      <c r="E7" s="21" t="n">
        <f aca="false">MAX(0,MIN(0.6,D7+Assumptions!$E$8))</f>
        <v>0.004</v>
      </c>
      <c r="F7" s="21" t="n">
        <f aca="false">MAX(0,MIN(0.6,E7+Assumptions!$E$8))</f>
        <v>0</v>
      </c>
      <c r="G7" s="21" t="n">
        <f aca="false">MAX(0,MIN(0.6,F7+Assumptions!$E$8))</f>
        <v>0</v>
      </c>
      <c r="H7" s="21" t="n">
        <f aca="false">MAX(0,MIN(0.6,G7+Assumptions!$E$8))</f>
        <v>0</v>
      </c>
      <c r="I7" s="21" t="n">
        <f aca="false">MAX(0,MIN(0.6,H7+Assumptions!$E$8))</f>
        <v>0</v>
      </c>
      <c r="J7" s="21" t="n">
        <f aca="false">MAX(0,MIN(0.6,I7+Assumptions!$E$8))</f>
        <v>0</v>
      </c>
    </row>
    <row r="8" customFormat="false" ht="15" hidden="false" customHeight="true" outlineLevel="0" collapsed="false">
      <c r="B8" s="30" t="s">
        <v>192</v>
      </c>
      <c r="C8" s="31" t="n">
        <f aca="false">C5*C7</f>
        <v>12</v>
      </c>
      <c r="D8" s="31" t="n">
        <f aca="false">D5*D7</f>
        <v>5.1048</v>
      </c>
      <c r="E8" s="31" t="n">
        <f aca="false">E5*E7</f>
        <v>1.2064344</v>
      </c>
      <c r="F8" s="31" t="n">
        <f aca="false">F5*F7</f>
        <v>0</v>
      </c>
      <c r="G8" s="31" t="n">
        <f aca="false">G5*G7</f>
        <v>0</v>
      </c>
      <c r="H8" s="31" t="n">
        <f aca="false">H5*H7</f>
        <v>0</v>
      </c>
      <c r="I8" s="31" t="n">
        <f aca="false">I5*I7</f>
        <v>0</v>
      </c>
      <c r="J8" s="31" t="n">
        <f aca="false">J5*J7</f>
        <v>0</v>
      </c>
    </row>
    <row r="9" customFormat="false" ht="15" hidden="false" customHeight="true" outlineLevel="0" collapsed="false">
      <c r="B9" s="1" t="s">
        <v>193</v>
      </c>
      <c r="C9" s="18" t="n">
        <f aca="false">C5*Assumptions!E9</f>
        <v>15</v>
      </c>
      <c r="D9" s="18" t="n">
        <f aca="false">D5*Assumptions!$E$9</f>
        <v>10.635</v>
      </c>
      <c r="E9" s="18" t="n">
        <f aca="false">E5*Assumptions!$E$9</f>
        <v>7.540215</v>
      </c>
      <c r="F9" s="18" t="n">
        <f aca="false">F5*Assumptions!$E$9</f>
        <v>5.346012435</v>
      </c>
      <c r="G9" s="18" t="n">
        <f aca="false">G5*Assumptions!$E$9</f>
        <v>3.790322816415</v>
      </c>
      <c r="H9" s="18" t="n">
        <f aca="false">H5*Assumptions!$E$9</f>
        <v>2.68733887683824</v>
      </c>
      <c r="I9" s="18" t="n">
        <f aca="false">I5*Assumptions!$E$9</f>
        <v>1.90532326367831</v>
      </c>
      <c r="J9" s="18" t="n">
        <f aca="false">J5*Assumptions!$E$9</f>
        <v>1.35087419394792</v>
      </c>
    </row>
    <row r="10" customFormat="false" ht="15" hidden="false" customHeight="true" outlineLevel="0" collapsed="false">
      <c r="B10" s="1" t="s">
        <v>194</v>
      </c>
      <c r="C10" s="18" t="n">
        <f aca="false">C8-C9</f>
        <v>-3</v>
      </c>
      <c r="D10" s="18" t="n">
        <f aca="false">D8-D9</f>
        <v>-5.5302</v>
      </c>
      <c r="E10" s="18" t="n">
        <f aca="false">E8-E9</f>
        <v>-6.3337806</v>
      </c>
      <c r="F10" s="18" t="n">
        <f aca="false">F8-F9</f>
        <v>-5.346012435</v>
      </c>
      <c r="G10" s="18" t="n">
        <f aca="false">G8-G9</f>
        <v>-3.790322816415</v>
      </c>
      <c r="H10" s="18" t="n">
        <f aca="false">H8-H9</f>
        <v>-2.68733887683824</v>
      </c>
      <c r="I10" s="18" t="n">
        <f aca="false">I8-I9</f>
        <v>-1.90532326367831</v>
      </c>
      <c r="J10" s="18" t="n">
        <f aca="false">J8-J9</f>
        <v>-1.35087419394792</v>
      </c>
    </row>
    <row r="11" customFormat="false" ht="15" hidden="false" customHeight="true" outlineLevel="0" collapsed="false">
      <c r="B11" s="1" t="s">
        <v>195</v>
      </c>
      <c r="D11" s="18" t="n">
        <f aca="false">'Debt Schedule'!D7</f>
        <v>5.97</v>
      </c>
      <c r="E11" s="18" t="n">
        <f aca="false">'Debt Schedule'!E7</f>
        <v>6.376443</v>
      </c>
      <c r="F11" s="18" t="n">
        <f aca="false">'Debt Schedule'!F7</f>
        <v>7.229261394</v>
      </c>
      <c r="G11" s="18" t="n">
        <f aca="false">'Debt Schedule'!G7</f>
        <v>8.287140928455</v>
      </c>
      <c r="H11" s="18" t="n">
        <f aca="false">'Debt Schedule'!H7</f>
        <v>9.44711642927613</v>
      </c>
      <c r="I11" s="18" t="n">
        <f aca="false">'Debt Schedule'!I7</f>
        <v>10.7297802782351</v>
      </c>
      <c r="J11" s="18" t="n">
        <f aca="false">'Debt Schedule'!J7</f>
        <v>12.1557383927524</v>
      </c>
    </row>
    <row r="12" customFormat="false" ht="15" hidden="false" customHeight="true" outlineLevel="0" collapsed="false">
      <c r="B12" s="1" t="s">
        <v>196</v>
      </c>
      <c r="D12" s="18" t="n">
        <f aca="false">D10-D11</f>
        <v>-11.5002</v>
      </c>
      <c r="E12" s="18" t="n">
        <f aca="false">E10-E11</f>
        <v>-12.7102236</v>
      </c>
      <c r="F12" s="18" t="n">
        <f aca="false">F10-F11</f>
        <v>-12.575273829</v>
      </c>
      <c r="G12" s="18" t="n">
        <f aca="false">G10-G11</f>
        <v>-12.07746374487</v>
      </c>
      <c r="H12" s="18" t="n">
        <f aca="false">H10-H11</f>
        <v>-12.1344553061144</v>
      </c>
      <c r="I12" s="18" t="n">
        <f aca="false">I10-I11</f>
        <v>-12.6351035419134</v>
      </c>
      <c r="J12" s="18" t="n">
        <f aca="false">J10-J11</f>
        <v>-13.5066125867003</v>
      </c>
    </row>
    <row r="13" customFormat="false" ht="15" hidden="false" customHeight="true" outlineLevel="0" collapsed="false">
      <c r="B13" s="1" t="s">
        <v>197</v>
      </c>
      <c r="D13" s="18" t="n">
        <f aca="false">MAX(0,D12*Assumptions!$E$12)</f>
        <v>0</v>
      </c>
      <c r="E13" s="18" t="n">
        <f aca="false">MAX(0,E12*Assumptions!$E$12)</f>
        <v>0</v>
      </c>
      <c r="F13" s="18" t="n">
        <f aca="false">MAX(0,F12*Assumptions!$E$12)</f>
        <v>0</v>
      </c>
      <c r="G13" s="18" t="n">
        <f aca="false">MAX(0,G12*Assumptions!$E$12)</f>
        <v>0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198</v>
      </c>
      <c r="D14" s="18" t="n">
        <f aca="false">D12-D13</f>
        <v>-11.5002</v>
      </c>
      <c r="E14" s="18" t="n">
        <f aca="false">E12-E13</f>
        <v>-12.7102236</v>
      </c>
      <c r="F14" s="18" t="n">
        <f aca="false">F12-F13</f>
        <v>-12.575273829</v>
      </c>
      <c r="G14" s="18" t="n">
        <f aca="false">G12-G13</f>
        <v>-12.07746374487</v>
      </c>
      <c r="H14" s="18" t="n">
        <f aca="false">H12-H13</f>
        <v>-12.1344553061144</v>
      </c>
      <c r="I14" s="18" t="n">
        <f aca="false">I12-I13</f>
        <v>-12.6351035419134</v>
      </c>
      <c r="J14" s="18" t="n">
        <f aca="false">J12-J13</f>
        <v>-13.5066125867003</v>
      </c>
    </row>
    <row r="15" customFormat="false" ht="15" hidden="false" customHeight="true" outlineLevel="0" collapsed="false">
      <c r="B15" s="1" t="s">
        <v>199</v>
      </c>
      <c r="D15" s="18" t="n">
        <f aca="false">D5*Assumptions!$E$10</f>
        <v>19.143</v>
      </c>
      <c r="E15" s="18" t="n">
        <f aca="false">E5*Assumptions!$E$10</f>
        <v>13.572387</v>
      </c>
      <c r="F15" s="18" t="n">
        <f aca="false">F5*Assumptions!$E$10</f>
        <v>9.622822383</v>
      </c>
      <c r="G15" s="18" t="n">
        <f aca="false">G5*Assumptions!$E$10</f>
        <v>6.822581069547</v>
      </c>
      <c r="H15" s="18" t="n">
        <f aca="false">H5*Assumptions!$E$10</f>
        <v>4.83720997830883</v>
      </c>
      <c r="I15" s="18" t="n">
        <f aca="false">I5*Assumptions!$E$10</f>
        <v>3.42958187462096</v>
      </c>
      <c r="J15" s="18" t="n">
        <f aca="false">J5*Assumptions!$E$10</f>
        <v>2.43157354910626</v>
      </c>
    </row>
    <row r="16" customFormat="false" ht="15" hidden="false" customHeight="true" outlineLevel="0" collapsed="false">
      <c r="B16" s="1" t="s">
        <v>200</v>
      </c>
      <c r="C16" s="18" t="n">
        <f aca="false">C5*Assumptions!E11</f>
        <v>60</v>
      </c>
      <c r="D16" s="18" t="n">
        <f aca="false">D5*Assumptions!$E$11</f>
        <v>42.54</v>
      </c>
      <c r="E16" s="18" t="n">
        <f aca="false">E5*Assumptions!$E$11</f>
        <v>30.16086</v>
      </c>
      <c r="F16" s="18" t="n">
        <f aca="false">F5*Assumptions!$E$11</f>
        <v>21.38404974</v>
      </c>
      <c r="G16" s="18" t="n">
        <f aca="false">G5*Assumptions!$E$11</f>
        <v>15.16129126566</v>
      </c>
      <c r="H16" s="18" t="n">
        <f aca="false">H5*Assumptions!$E$11</f>
        <v>10.7493555073529</v>
      </c>
      <c r="I16" s="18" t="n">
        <f aca="false">I5*Assumptions!$E$11</f>
        <v>7.62129305471324</v>
      </c>
      <c r="J16" s="18" t="n">
        <f aca="false">J5*Assumptions!$E$11</f>
        <v>5.40349677579169</v>
      </c>
    </row>
    <row r="17" customFormat="false" ht="15" hidden="false" customHeight="true" outlineLevel="0" collapsed="false">
      <c r="B17" s="1" t="s">
        <v>201</v>
      </c>
      <c r="D17" s="18" t="n">
        <f aca="false">D16-C16</f>
        <v>-17.46</v>
      </c>
      <c r="E17" s="18" t="n">
        <f aca="false">E16-D16</f>
        <v>-12.37914</v>
      </c>
      <c r="F17" s="18" t="n">
        <f aca="false">F16-E16</f>
        <v>-8.77681026</v>
      </c>
      <c r="G17" s="18" t="n">
        <f aca="false">G16-F16</f>
        <v>-6.22275847434</v>
      </c>
      <c r="H17" s="18" t="n">
        <f aca="false">H16-G16</f>
        <v>-4.41193575830706</v>
      </c>
      <c r="I17" s="18" t="n">
        <f aca="false">I16-H16</f>
        <v>-3.12806245263971</v>
      </c>
      <c r="J17" s="18" t="n">
        <f aca="false">J16-I16</f>
        <v>-2.21779627892155</v>
      </c>
    </row>
    <row r="18" customFormat="false" ht="15" hidden="false" customHeight="true" outlineLevel="0" collapsed="false">
      <c r="B18" s="30" t="s">
        <v>202</v>
      </c>
      <c r="C18" s="31"/>
      <c r="D18" s="31" t="n">
        <f aca="false">D14+D9-D15-D17</f>
        <v>-2.54820000000001</v>
      </c>
      <c r="E18" s="31" t="n">
        <f aca="false">E14+E9-E15-E17</f>
        <v>-6.36325560000001</v>
      </c>
      <c r="F18" s="31" t="n">
        <f aca="false">F14+F9-F15-F17</f>
        <v>-8.075273517</v>
      </c>
      <c r="G18" s="31" t="n">
        <f aca="false">G14+G9-G15-G17</f>
        <v>-8.88696352366201</v>
      </c>
      <c r="H18" s="31" t="n">
        <f aca="false">H14+H9-H15-H17</f>
        <v>-9.8723906492779</v>
      </c>
      <c r="I18" s="31" t="n">
        <f aca="false">I14+I9-I15-I17</f>
        <v>-11.0312997002163</v>
      </c>
      <c r="J18" s="31" t="n">
        <f aca="false">J14+J9-J15-J17</f>
        <v>-12.3695156629371</v>
      </c>
    </row>
    <row r="19" customFormat="false" ht="15" hidden="false" customHeight="true" outlineLevel="0" collapsed="false">
      <c r="B19" s="30" t="s">
        <v>203</v>
      </c>
      <c r="C19" s="31"/>
      <c r="D19" s="31" t="n">
        <f aca="false">D8-D13-D15-D17</f>
        <v>3.42179999999999</v>
      </c>
      <c r="E19" s="31" t="n">
        <f aca="false">E8-E13-E15-E17</f>
        <v>0.0131873999999943</v>
      </c>
      <c r="F19" s="31" t="n">
        <f aca="false">F8-F13-F15-F17</f>
        <v>-0.846012123000003</v>
      </c>
      <c r="G19" s="31" t="n">
        <f aca="false">G8-G13-G15-G17</f>
        <v>-0.599822595207004</v>
      </c>
      <c r="H19" s="31" t="n">
        <f aca="false">H8-H13-H15-H17</f>
        <v>-0.425274220001765</v>
      </c>
      <c r="I19" s="31" t="n">
        <f aca="false">I8-I13-I15-I17</f>
        <v>-0.30151942198125</v>
      </c>
      <c r="J19" s="31" t="n">
        <f aca="false">J8-J13-J15-J17</f>
        <v>-0.213777270184707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25</v>
      </c>
      <c r="F5" s="18" t="n">
        <f aca="false">E13</f>
        <v>25</v>
      </c>
      <c r="G5" s="18" t="n">
        <f aca="false">F13</f>
        <v>25</v>
      </c>
      <c r="H5" s="18" t="n">
        <f aca="false">G13</f>
        <v>25</v>
      </c>
      <c r="I5" s="18" t="n">
        <f aca="false">H13</f>
        <v>25</v>
      </c>
      <c r="J5" s="18" t="n">
        <f aca="false">I13</f>
        <v>25</v>
      </c>
    </row>
    <row r="6" customFormat="false" ht="15" hidden="false" customHeight="true" outlineLevel="0" collapsed="false">
      <c r="B6" s="1" t="s">
        <v>203</v>
      </c>
      <c r="D6" s="18" t="n">
        <f aca="false">'Operating Model'!D19</f>
        <v>3.42179999999999</v>
      </c>
      <c r="E6" s="18" t="n">
        <f aca="false">'Operating Model'!E19</f>
        <v>0.0131873999999943</v>
      </c>
      <c r="F6" s="18" t="n">
        <f aca="false">'Operating Model'!F19</f>
        <v>-0.846012123000003</v>
      </c>
      <c r="G6" s="18" t="n">
        <f aca="false">'Operating Model'!G19</f>
        <v>-0.599822595207004</v>
      </c>
      <c r="H6" s="18" t="n">
        <f aca="false">'Operating Model'!H19</f>
        <v>-0.425274220001765</v>
      </c>
      <c r="I6" s="18" t="n">
        <f aca="false">'Operating Model'!I19</f>
        <v>-0.30151942198125</v>
      </c>
      <c r="J6" s="18" t="n">
        <f aca="false">'Operating Model'!J19</f>
        <v>-0.213777270184707</v>
      </c>
    </row>
    <row r="7" customFormat="false" ht="15" hidden="false" customHeight="true" outlineLevel="0" collapsed="false">
      <c r="B7" s="1" t="s">
        <v>195</v>
      </c>
      <c r="D7" s="18" t="n">
        <f aca="false">SUM(D15,D18,D23)</f>
        <v>5.97</v>
      </c>
      <c r="E7" s="18" t="n">
        <f aca="false">SUM(E15,E18,E23)</f>
        <v>6.376443</v>
      </c>
      <c r="F7" s="18" t="n">
        <f aca="false">SUM(F15,F18,F23)</f>
        <v>7.229261394</v>
      </c>
      <c r="G7" s="18" t="n">
        <f aca="false">SUM(G15,G18,G23)</f>
        <v>8.287140928455</v>
      </c>
      <c r="H7" s="18" t="n">
        <f aca="false">SUM(H15,H18,H23)</f>
        <v>9.44711642927613</v>
      </c>
      <c r="I7" s="18" t="n">
        <f aca="false">SUM(I15,I18,I23)</f>
        <v>10.7297802782351</v>
      </c>
      <c r="J7" s="18" t="n">
        <f aca="false">SUM(J15,J18,J23)</f>
        <v>12.1557383927524</v>
      </c>
    </row>
    <row r="8" customFormat="false" ht="15" hidden="false" customHeight="true" outlineLevel="0" collapsed="false">
      <c r="B8" s="1" t="s">
        <v>207</v>
      </c>
      <c r="D8" s="18" t="n">
        <f aca="false">D19</f>
        <v>0.42</v>
      </c>
      <c r="E8" s="18" t="n">
        <f aca="false">E19</f>
        <v>0.42</v>
      </c>
      <c r="F8" s="18" t="n">
        <f aca="false">F19</f>
        <v>0.42</v>
      </c>
      <c r="G8" s="18" t="n">
        <f aca="false">G19</f>
        <v>0.42</v>
      </c>
      <c r="H8" s="18" t="n">
        <f aca="false">H19</f>
        <v>0.42</v>
      </c>
      <c r="I8" s="18" t="n">
        <f aca="false">I19</f>
        <v>0.42</v>
      </c>
      <c r="J8" s="18" t="n">
        <f aca="false">J19</f>
        <v>0.42</v>
      </c>
    </row>
    <row r="9" customFormat="false" ht="15" hidden="false" customHeight="true" outlineLevel="0" collapsed="false">
      <c r="B9" s="1" t="s">
        <v>208</v>
      </c>
      <c r="D9" s="18" t="n">
        <f aca="false">D5+D6-D7-D8</f>
        <v>22.0318</v>
      </c>
      <c r="E9" s="18" t="n">
        <f aca="false">E5+E6-E7-E8</f>
        <v>18.2167444</v>
      </c>
      <c r="F9" s="18" t="n">
        <f aca="false">F5+F6-F7-F8</f>
        <v>16.504726483</v>
      </c>
      <c r="G9" s="18" t="n">
        <f aca="false">G5+G6-G7-G8</f>
        <v>15.693036476338</v>
      </c>
      <c r="H9" s="18" t="n">
        <f aca="false">H5+H6-H7-H8</f>
        <v>14.7076093507221</v>
      </c>
      <c r="I9" s="18" t="n">
        <f aca="false">I5+I6-I7-I8</f>
        <v>13.5487002997837</v>
      </c>
      <c r="J9" s="18" t="n">
        <f aca="false">J5+J6-J7-J8</f>
        <v>12.2104843370629</v>
      </c>
    </row>
    <row r="10" customFormat="false" ht="15" hidden="false" customHeight="true" outlineLevel="0" collapsed="false">
      <c r="B10" s="1" t="s">
        <v>209</v>
      </c>
      <c r="D10" s="18" t="n">
        <f aca="false">IF(D9&lt;Assumptions!$E$16,MIN(Assumptions!$E$17-D14,Assumptions!$E$16-D9),-MIN(D14,MAX(0,D9-Assumptions!$E$16)))</f>
        <v>2.96820000000001</v>
      </c>
      <c r="E10" s="18" t="n">
        <f aca="false">IF(E9&lt;Assumptions!$E$16,MIN(Assumptions!$E$17-E14,Assumptions!$E$16-E9),-MIN(E14,MAX(0,E9-Assumptions!$E$16)))</f>
        <v>6.78325560000001</v>
      </c>
      <c r="F10" s="18" t="n">
        <f aca="false">IF(F9&lt;Assumptions!$E$16,MIN(Assumptions!$E$17-F14,Assumptions!$E$16-F9),-MIN(F14,MAX(0,F9-Assumptions!$E$16)))</f>
        <v>8.49527351700001</v>
      </c>
      <c r="G10" s="18" t="n">
        <f aca="false">IF(G9&lt;Assumptions!$E$16,MIN(Assumptions!$E$17-G14,Assumptions!$E$16-G9),-MIN(G14,MAX(0,G9-Assumptions!$E$16)))</f>
        <v>9.30696352366201</v>
      </c>
      <c r="H10" s="18" t="n">
        <f aca="false">IF(H9&lt;Assumptions!$E$16,MIN(Assumptions!$E$17-H14,Assumptions!$E$16-H9),-MIN(H14,MAX(0,H9-Assumptions!$E$16)))</f>
        <v>10.2923906492779</v>
      </c>
      <c r="I10" s="18" t="n">
        <f aca="false">IF(I9&lt;Assumptions!$E$16,MIN(Assumptions!$E$17-I14,Assumptions!$E$16-I9),-MIN(I14,MAX(0,I9-Assumptions!$E$16)))</f>
        <v>11.4512997002163</v>
      </c>
      <c r="J10" s="18" t="n">
        <f aca="false">IF(J9&lt;Assumptions!$E$16,MIN(Assumptions!$E$17-J14,Assumptions!$E$16-J9),-MIN(J14,MAX(0,J9-Assumptions!$E$16)))</f>
        <v>12.7895156629371</v>
      </c>
    </row>
    <row r="11" customFormat="false" ht="15" hidden="false" customHeight="true" outlineLevel="0" collapsed="false">
      <c r="B11" s="1" t="s">
        <v>210</v>
      </c>
      <c r="D11" s="18" t="n">
        <f aca="false">MIN(MAX(0,D17-D19),MAX(0,D9+D10-Assumptions!$E$16)*Assumptions!$E$25)</f>
        <v>0</v>
      </c>
      <c r="E11" s="18" t="n">
        <f aca="false">MIN(MAX(0,E17-E19),MAX(0,E9+E10-Assumptions!$E$16)*Assumptions!$E$25)</f>
        <v>0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211</v>
      </c>
      <c r="D12" s="18" t="n">
        <f aca="false">MIN(MAX(0,D22+D24),MAX(0,D9+D10-D11-Assumptions!$E$16)*Assumptions!$E$25)</f>
        <v>0</v>
      </c>
      <c r="E12" s="18" t="n">
        <f aca="false">MIN(MAX(0,E22+E24),MAX(0,E9+E10-E11-Assumptions!$E$16)*Assumptions!$E$25)</f>
        <v>0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0" t="s">
        <v>212</v>
      </c>
      <c r="C13" s="31" t="n">
        <f aca="false">C5</f>
        <v>25</v>
      </c>
      <c r="D13" s="31" t="n">
        <f aca="false">D9+D10-D11-D12</f>
        <v>25</v>
      </c>
      <c r="E13" s="31" t="n">
        <f aca="false">E9+E10-E11-E12</f>
        <v>25</v>
      </c>
      <c r="F13" s="31" t="n">
        <f aca="false">F9+F10-F11-F12</f>
        <v>25</v>
      </c>
      <c r="G13" s="31" t="n">
        <f aca="false">G9+G10-G11-G12</f>
        <v>25</v>
      </c>
      <c r="H13" s="31" t="n">
        <f aca="false">H9+H10-H11-H12</f>
        <v>25</v>
      </c>
      <c r="I13" s="31" t="n">
        <f aca="false">I9+I10-I11-I12</f>
        <v>25</v>
      </c>
      <c r="J13" s="31" t="n">
        <f aca="false">J9+J10-J11-J12</f>
        <v>25</v>
      </c>
    </row>
    <row r="14" customFormat="false" ht="15" hidden="false" customHeight="true" outlineLevel="0" collapsed="false">
      <c r="B14" s="1" t="s">
        <v>213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2.96820000000001</v>
      </c>
      <c r="F14" s="18" t="n">
        <f aca="false">E16</f>
        <v>9.75145560000002</v>
      </c>
      <c r="G14" s="18" t="n">
        <f aca="false">F16</f>
        <v>18.246729117</v>
      </c>
      <c r="H14" s="18" t="n">
        <f aca="false">G16</f>
        <v>27.553692640662</v>
      </c>
      <c r="I14" s="18" t="n">
        <f aca="false">H16</f>
        <v>37.8460832899399</v>
      </c>
      <c r="J14" s="18" t="n">
        <f aca="false">I16</f>
        <v>49.2973829901563</v>
      </c>
    </row>
    <row r="15" customFormat="false" ht="15" hidden="false" customHeight="true" outlineLevel="0" collapsed="false">
      <c r="B15" s="1" t="s">
        <v>214</v>
      </c>
      <c r="D15" s="18" t="n">
        <f aca="false">D14*Assumptions!$E$18</f>
        <v>0</v>
      </c>
      <c r="E15" s="18" t="n">
        <f aca="false">E14*Assumptions!$E$18</f>
        <v>0.341343000000001</v>
      </c>
      <c r="F15" s="18" t="n">
        <f aca="false">F14*Assumptions!$E$18</f>
        <v>1.121417394</v>
      </c>
      <c r="G15" s="18" t="n">
        <f aca="false">G14*Assumptions!$E$18</f>
        <v>2.098373848455</v>
      </c>
      <c r="H15" s="18" t="n">
        <f aca="false">H14*Assumptions!$E$18</f>
        <v>3.16867465367613</v>
      </c>
      <c r="I15" s="18" t="n">
        <f aca="false">I14*Assumptions!$E$18</f>
        <v>4.35229957834309</v>
      </c>
      <c r="J15" s="18" t="n">
        <f aca="false">J14*Assumptions!$E$18</f>
        <v>5.66919904386797</v>
      </c>
    </row>
    <row r="16" customFormat="false" ht="15" hidden="false" customHeight="true" outlineLevel="0" collapsed="false">
      <c r="B16" s="1" t="s">
        <v>215</v>
      </c>
      <c r="C16" s="18" t="n">
        <f aca="false">C14</f>
        <v>0</v>
      </c>
      <c r="D16" s="18" t="n">
        <f aca="false">MAX(0,D14+D10)</f>
        <v>2.96820000000001</v>
      </c>
      <c r="E16" s="18" t="n">
        <f aca="false">MAX(0,E14+E10)</f>
        <v>9.75145560000002</v>
      </c>
      <c r="F16" s="18" t="n">
        <f aca="false">MAX(0,F14+F10)</f>
        <v>18.246729117</v>
      </c>
      <c r="G16" s="18" t="n">
        <f aca="false">MAX(0,G14+G10)</f>
        <v>27.553692640662</v>
      </c>
      <c r="H16" s="18" t="n">
        <f aca="false">MAX(0,H14+H10)</f>
        <v>37.8460832899399</v>
      </c>
      <c r="I16" s="18" t="n">
        <f aca="false">MAX(0,I14+I10)</f>
        <v>49.2973829901563</v>
      </c>
      <c r="J16" s="18" t="n">
        <f aca="false">MAX(0,J14+J10)</f>
        <v>62.0868986530934</v>
      </c>
    </row>
    <row r="17" customFormat="false" ht="15" hidden="false" customHeight="true" outlineLevel="0" collapsed="false">
      <c r="B17" s="1" t="s">
        <v>216</v>
      </c>
      <c r="C17" s="18" t="n">
        <f aca="false">'Sources &amp; Uses'!F6</f>
        <v>42</v>
      </c>
      <c r="D17" s="18" t="n">
        <f aca="false">C21</f>
        <v>42</v>
      </c>
      <c r="E17" s="18" t="n">
        <f aca="false">D21</f>
        <v>41.58</v>
      </c>
      <c r="F17" s="18" t="n">
        <f aca="false">E21</f>
        <v>41.16</v>
      </c>
      <c r="G17" s="18" t="n">
        <f aca="false">F21</f>
        <v>40.74</v>
      </c>
      <c r="H17" s="18" t="n">
        <f aca="false">G21</f>
        <v>40.32</v>
      </c>
      <c r="I17" s="18" t="n">
        <f aca="false">H21</f>
        <v>39.9</v>
      </c>
      <c r="J17" s="18" t="n">
        <f aca="false">I21</f>
        <v>39.48</v>
      </c>
    </row>
    <row r="18" customFormat="false" ht="15" hidden="false" customHeight="true" outlineLevel="0" collapsed="false">
      <c r="B18" s="1" t="s">
        <v>217</v>
      </c>
      <c r="D18" s="18" t="n">
        <f aca="false">D17*Assumptions!$E$20</f>
        <v>4.41</v>
      </c>
      <c r="E18" s="18" t="n">
        <f aca="false">E17*Assumptions!$E$20</f>
        <v>4.3659</v>
      </c>
      <c r="F18" s="18" t="n">
        <f aca="false">F17*Assumptions!$E$20</f>
        <v>4.3218</v>
      </c>
      <c r="G18" s="18" t="n">
        <f aca="false">G17*Assumptions!$E$20</f>
        <v>4.2777</v>
      </c>
      <c r="H18" s="18" t="n">
        <f aca="false">H17*Assumptions!$E$20</f>
        <v>4.2336</v>
      </c>
      <c r="I18" s="18" t="n">
        <f aca="false">I17*Assumptions!$E$20</f>
        <v>4.1895</v>
      </c>
      <c r="J18" s="18" t="n">
        <f aca="false">J17*Assumptions!$E$20</f>
        <v>4.1454</v>
      </c>
    </row>
    <row r="19" customFormat="false" ht="15" hidden="false" customHeight="true" outlineLevel="0" collapsed="false">
      <c r="B19" s="1" t="s">
        <v>218</v>
      </c>
      <c r="D19" s="18" t="n">
        <f aca="false">MIN(D17,'Sources &amp; Uses'!$F$6*Assumptions!$E$21)</f>
        <v>0.42</v>
      </c>
      <c r="E19" s="18" t="n">
        <f aca="false">MIN(E17,'Sources &amp; Uses'!$F$6*Assumptions!$E$21)</f>
        <v>0.42</v>
      </c>
      <c r="F19" s="18" t="n">
        <f aca="false">MIN(F17,'Sources &amp; Uses'!$F$6*Assumptions!$E$21)</f>
        <v>0.42</v>
      </c>
      <c r="G19" s="18" t="n">
        <f aca="false">MIN(G17,'Sources &amp; Uses'!$F$6*Assumptions!$E$21)</f>
        <v>0.42</v>
      </c>
      <c r="H19" s="18" t="n">
        <f aca="false">MIN(H17,'Sources &amp; Uses'!$F$6*Assumptions!$E$21)</f>
        <v>0.42</v>
      </c>
      <c r="I19" s="18" t="n">
        <f aca="false">MIN(I17,'Sources &amp; Uses'!$F$6*Assumptions!$E$21)</f>
        <v>0.42</v>
      </c>
      <c r="J19" s="18" t="n">
        <f aca="false">MIN(J17,'Sources &amp; Uses'!$F$6*Assumptions!$E$21)</f>
        <v>0.42</v>
      </c>
    </row>
    <row r="20" customFormat="false" ht="15" hidden="false" customHeight="true" outlineLevel="0" collapsed="false">
      <c r="B20" s="30" t="s">
        <v>219</v>
      </c>
      <c r="C20" s="31" t="n">
        <f aca="false">'Sources &amp; Uses'!F7</f>
        <v>12</v>
      </c>
      <c r="D20" s="31" t="n">
        <f aca="false">D11</f>
        <v>0</v>
      </c>
      <c r="E20" s="31" t="n">
        <f aca="false">E11</f>
        <v>0</v>
      </c>
      <c r="F20" s="31" t="n">
        <f aca="false">F11</f>
        <v>0</v>
      </c>
      <c r="G20" s="31" t="n">
        <f aca="false">G11</f>
        <v>0</v>
      </c>
      <c r="H20" s="31" t="n">
        <f aca="false">H11</f>
        <v>0</v>
      </c>
      <c r="I20" s="31" t="n">
        <f aca="false">I11</f>
        <v>0</v>
      </c>
      <c r="J20" s="31" t="n">
        <f aca="false">J11</f>
        <v>0</v>
      </c>
    </row>
    <row r="21" customFormat="false" ht="15" hidden="false" customHeight="true" outlineLevel="0" collapsed="false">
      <c r="B21" s="1" t="s">
        <v>220</v>
      </c>
      <c r="C21" s="18" t="n">
        <f aca="false">C17</f>
        <v>42</v>
      </c>
      <c r="D21" s="18" t="n">
        <f aca="false">MAX(0,D17-D19-D20)</f>
        <v>41.58</v>
      </c>
      <c r="E21" s="18" t="n">
        <f aca="false">MAX(0,E17-E19-E20)</f>
        <v>41.16</v>
      </c>
      <c r="F21" s="18" t="n">
        <f aca="false">MAX(0,F17-F19-F20)</f>
        <v>40.74</v>
      </c>
      <c r="G21" s="18" t="n">
        <f aca="false">MAX(0,G17-G19-G20)</f>
        <v>40.32</v>
      </c>
      <c r="H21" s="18" t="n">
        <f aca="false">MAX(0,H17-H19-H20)</f>
        <v>39.9</v>
      </c>
      <c r="I21" s="18" t="n">
        <f aca="false">MAX(0,I17-I19-I20)</f>
        <v>39.48</v>
      </c>
      <c r="J21" s="18" t="n">
        <f aca="false">MAX(0,J17-J19-J20)</f>
        <v>39.06</v>
      </c>
    </row>
    <row r="22" customFormat="false" ht="15" hidden="false" customHeight="true" outlineLevel="0" collapsed="false">
      <c r="B22" s="1" t="s">
        <v>221</v>
      </c>
      <c r="C22" s="18" t="n">
        <f aca="false">'Sources &amp; Uses'!F7</f>
        <v>12</v>
      </c>
      <c r="D22" s="18" t="n">
        <f aca="false">C26</f>
        <v>12</v>
      </c>
      <c r="E22" s="18" t="n">
        <f aca="false">D26</f>
        <v>12.84</v>
      </c>
      <c r="F22" s="18" t="n">
        <f aca="false">E26</f>
        <v>13.7388</v>
      </c>
      <c r="G22" s="18" t="n">
        <f aca="false">F26</f>
        <v>14.700516</v>
      </c>
      <c r="H22" s="18" t="n">
        <f aca="false">G26</f>
        <v>15.72955212</v>
      </c>
      <c r="I22" s="18" t="n">
        <f aca="false">H26</f>
        <v>16.8306207684</v>
      </c>
      <c r="J22" s="18" t="n">
        <f aca="false">I26</f>
        <v>18.008764222188</v>
      </c>
    </row>
    <row r="23" customFormat="false" ht="15" hidden="false" customHeight="true" outlineLevel="0" collapsed="false">
      <c r="B23" s="1" t="s">
        <v>222</v>
      </c>
      <c r="D23" s="18" t="n">
        <f aca="false">D22*Assumptions!$E$23</f>
        <v>1.56</v>
      </c>
      <c r="E23" s="18" t="n">
        <f aca="false">E22*Assumptions!$E$23</f>
        <v>1.6692</v>
      </c>
      <c r="F23" s="18" t="n">
        <f aca="false">F22*Assumptions!$E$23</f>
        <v>1.786044</v>
      </c>
      <c r="G23" s="18" t="n">
        <f aca="false">G22*Assumptions!$E$23</f>
        <v>1.91106708</v>
      </c>
      <c r="H23" s="18" t="n">
        <f aca="false">H22*Assumptions!$E$23</f>
        <v>2.0448417756</v>
      </c>
      <c r="I23" s="18" t="n">
        <f aca="false">I22*Assumptions!$E$23</f>
        <v>2.187980699892</v>
      </c>
      <c r="J23" s="18" t="n">
        <f aca="false">J22*Assumptions!$E$23</f>
        <v>2.34113934888444</v>
      </c>
    </row>
    <row r="24" customFormat="false" ht="15" hidden="false" customHeight="true" outlineLevel="0" collapsed="false">
      <c r="B24" s="30" t="s">
        <v>223</v>
      </c>
      <c r="C24" s="31"/>
      <c r="D24" s="31" t="n">
        <f aca="false">D22*Assumptions!$E$24</f>
        <v>0.84</v>
      </c>
      <c r="E24" s="31" t="n">
        <f aca="false">E22*Assumptions!$E$24</f>
        <v>0.8988</v>
      </c>
      <c r="F24" s="31" t="n">
        <f aca="false">F22*Assumptions!$E$24</f>
        <v>0.961716</v>
      </c>
      <c r="G24" s="31" t="n">
        <f aca="false">G22*Assumptions!$E$24</f>
        <v>1.02903612</v>
      </c>
      <c r="H24" s="31" t="n">
        <f aca="false">H22*Assumptions!$E$24</f>
        <v>1.1010686484</v>
      </c>
      <c r="I24" s="31" t="n">
        <f aca="false">I22*Assumptions!$E$24</f>
        <v>1.178143453788</v>
      </c>
      <c r="J24" s="31" t="n">
        <f aca="false">J22*Assumptions!$E$24</f>
        <v>1.26061349555316</v>
      </c>
    </row>
    <row r="25" customFormat="false" ht="15" hidden="false" customHeight="true" outlineLevel="0" collapsed="false">
      <c r="B25" s="30" t="s">
        <v>224</v>
      </c>
      <c r="C25" s="31" t="n">
        <f aca="false">SUM(C16,C20,C13)</f>
        <v>37</v>
      </c>
      <c r="D25" s="31" t="n">
        <f aca="false">D12</f>
        <v>0</v>
      </c>
      <c r="E25" s="31" t="n">
        <f aca="false">E12</f>
        <v>0</v>
      </c>
      <c r="F25" s="31" t="n">
        <f aca="false">F12</f>
        <v>0</v>
      </c>
      <c r="G25" s="31" t="n">
        <f aca="false">G12</f>
        <v>0</v>
      </c>
      <c r="H25" s="31" t="n">
        <f aca="false">H12</f>
        <v>0</v>
      </c>
      <c r="I25" s="31" t="n">
        <f aca="false">I12</f>
        <v>0</v>
      </c>
      <c r="J25" s="31" t="n">
        <f aca="false">J12</f>
        <v>0</v>
      </c>
    </row>
    <row r="26" customFormat="false" ht="15" hidden="false" customHeight="true" outlineLevel="0" collapsed="false">
      <c r="B26" s="30" t="s">
        <v>225</v>
      </c>
      <c r="C26" s="31" t="n">
        <f aca="false">C22</f>
        <v>12</v>
      </c>
      <c r="D26" s="31" t="n">
        <f aca="false">MAX(0,D22+D24-D25)</f>
        <v>12.84</v>
      </c>
      <c r="E26" s="31" t="n">
        <f aca="false">MAX(0,E22+E24-E25)</f>
        <v>13.7388</v>
      </c>
      <c r="F26" s="31" t="n">
        <f aca="false">MAX(0,F22+F24-F25)</f>
        <v>14.700516</v>
      </c>
      <c r="G26" s="31" t="n">
        <f aca="false">MAX(0,G22+G24-G25)</f>
        <v>15.72955212</v>
      </c>
      <c r="H26" s="31" t="n">
        <f aca="false">MAX(0,H22+H24-H25)</f>
        <v>16.8306207684</v>
      </c>
      <c r="I26" s="31" t="n">
        <f aca="false">MAX(0,I22+I24-I25)</f>
        <v>18.008764222188</v>
      </c>
      <c r="J26" s="31" t="n">
        <f aca="false">MAX(0,J22+J24-J25)</f>
        <v>19.2693777177412</v>
      </c>
    </row>
    <row r="27" customFormat="false" ht="15" hidden="false" customHeight="true" outlineLevel="0" collapsed="false">
      <c r="B27" s="1" t="s">
        <v>226</v>
      </c>
      <c r="C27" s="18" t="n">
        <f aca="false">SUM(C16,C21,C26)</f>
        <v>54</v>
      </c>
      <c r="D27" s="18" t="n">
        <f aca="false">SUM(D16,D21,D26)</f>
        <v>57.3882</v>
      </c>
      <c r="E27" s="18" t="n">
        <f aca="false">SUM(E16,E21,E26)</f>
        <v>64.6502556</v>
      </c>
      <c r="F27" s="18" t="n">
        <f aca="false">SUM(F16,F21,F26)</f>
        <v>73.687245117</v>
      </c>
      <c r="G27" s="18" t="n">
        <f aca="false">SUM(G16,G21,G26)</f>
        <v>83.603244760662</v>
      </c>
      <c r="H27" s="18" t="n">
        <f aca="false">SUM(H16,H21,H26)</f>
        <v>94.5767040583399</v>
      </c>
      <c r="I27" s="18" t="n">
        <f aca="false">SUM(I16,I21,I26)</f>
        <v>106.786147212344</v>
      </c>
      <c r="J27" s="18" t="n">
        <f aca="false">SUM(J16,J21,J26)</f>
        <v>120.416276370835</v>
      </c>
    </row>
    <row r="28" customFormat="false" ht="15" hidden="false" customHeight="true" outlineLevel="0" collapsed="false">
      <c r="B28" s="1" t="s">
        <v>227</v>
      </c>
      <c r="C28" s="18" t="n">
        <f aca="false">C27-C13</f>
        <v>29</v>
      </c>
      <c r="D28" s="18" t="n">
        <f aca="false">D27-D13</f>
        <v>32.3882</v>
      </c>
      <c r="E28" s="18" t="n">
        <f aca="false">E27-E13</f>
        <v>39.6502556</v>
      </c>
      <c r="F28" s="18" t="n">
        <f aca="false">F27-F13</f>
        <v>48.687245117</v>
      </c>
      <c r="G28" s="18" t="n">
        <f aca="false">G27-G13</f>
        <v>58.603244760662</v>
      </c>
      <c r="H28" s="18" t="n">
        <f aca="false">H27-H13</f>
        <v>69.5767040583399</v>
      </c>
      <c r="I28" s="18" t="n">
        <f aca="false">I27-I13</f>
        <v>81.7861472123443</v>
      </c>
      <c r="J28" s="18" t="n">
        <f aca="false">J27-J13</f>
        <v>95.4162763708346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6" t="n">
        <f aca="false">IFERROR('Debt Schedule'!D25/'Operating Model'!D8,0)</f>
        <v>0</v>
      </c>
      <c r="D5" s="26" t="n">
        <f aca="false">IFERROR('Debt Schedule'!E25/'Operating Model'!E8,0)</f>
        <v>0</v>
      </c>
      <c r="E5" s="26" t="n">
        <f aca="false">IFERROR('Debt Schedule'!F25/'Operating Model'!F8,0)</f>
        <v>0</v>
      </c>
      <c r="F5" s="26" t="n">
        <f aca="false">IFERROR('Debt Schedule'!G25/'Operating Model'!G8,0)</f>
        <v>0</v>
      </c>
      <c r="G5" s="26" t="n">
        <f aca="false">IFERROR('Debt Schedule'!H25/'Operating Model'!H8,0)</f>
        <v>0</v>
      </c>
      <c r="H5" s="26" t="n">
        <f aca="false">IFERROR('Debt Schedule'!I25/'Operating Model'!I8,0)</f>
        <v>0</v>
      </c>
      <c r="I5" s="26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231</v>
      </c>
      <c r="C6" s="26" t="n">
        <f aca="false">Assumptions!$E$26</f>
        <v>6.5</v>
      </c>
      <c r="D6" s="26" t="n">
        <f aca="false">Assumptions!$E$26</f>
        <v>6.5</v>
      </c>
      <c r="E6" s="26" t="n">
        <f aca="false">Assumptions!$E$26</f>
        <v>6.5</v>
      </c>
      <c r="F6" s="26" t="n">
        <f aca="false">Assumptions!$E$26</f>
        <v>6.5</v>
      </c>
      <c r="G6" s="26" t="n">
        <f aca="false">Assumptions!$E$26</f>
        <v>6.5</v>
      </c>
      <c r="H6" s="26" t="n">
        <f aca="false">Assumptions!$E$26</f>
        <v>6.5</v>
      </c>
      <c r="I6" s="26" t="n">
        <f aca="false">Assumptions!$E$26</f>
        <v>6.5</v>
      </c>
    </row>
    <row r="7" customFormat="false" ht="15" hidden="false" customHeight="true" outlineLevel="0" collapsed="false">
      <c r="B7" s="1" t="s">
        <v>232</v>
      </c>
      <c r="C7" s="26" t="n">
        <f aca="false">C6-C5</f>
        <v>6.5</v>
      </c>
      <c r="D7" s="26" t="n">
        <f aca="false">D6-D5</f>
        <v>6.5</v>
      </c>
      <c r="E7" s="26" t="n">
        <f aca="false">E6-E5</f>
        <v>6.5</v>
      </c>
      <c r="F7" s="26" t="n">
        <f aca="false">F6-F5</f>
        <v>6.5</v>
      </c>
      <c r="G7" s="26" t="n">
        <f aca="false">G6-G5</f>
        <v>6.5</v>
      </c>
      <c r="H7" s="26" t="n">
        <f aca="false">H6-H5</f>
        <v>6.5</v>
      </c>
      <c r="I7" s="26" t="n">
        <f aca="false">I6-I5</f>
        <v>6.5</v>
      </c>
    </row>
    <row r="8" customFormat="false" ht="15" hidden="false" customHeight="true" outlineLevel="0" collapsed="false">
      <c r="B8" s="1" t="s">
        <v>233</v>
      </c>
      <c r="C8" s="26" t="n">
        <f aca="false">IFERROR('Operating Model'!D8/'Debt Schedule'!D7,0)</f>
        <v>0.855075376884422</v>
      </c>
      <c r="D8" s="26" t="n">
        <f aca="false">IFERROR('Operating Model'!E8/'Debt Schedule'!E7,0)</f>
        <v>0.189201785384108</v>
      </c>
      <c r="E8" s="26" t="n">
        <f aca="false">IFERROR('Operating Model'!F8/'Debt Schedule'!F7,0)</f>
        <v>0</v>
      </c>
      <c r="F8" s="26" t="n">
        <f aca="false">IFERROR('Operating Model'!G8/'Debt Schedule'!G7,0)</f>
        <v>0</v>
      </c>
      <c r="G8" s="26" t="n">
        <f aca="false">IFERROR('Operating Model'!H8/'Debt Schedule'!H7,0)</f>
        <v>0</v>
      </c>
      <c r="H8" s="26" t="n">
        <f aca="false">IFERROR('Operating Model'!I8/'Debt Schedule'!I7,0)</f>
        <v>0</v>
      </c>
      <c r="I8" s="26" t="n">
        <f aca="false">IFERROR('Operating Model'!J8/'Debt Schedule'!J7,0)</f>
        <v>0</v>
      </c>
    </row>
    <row r="9" customFormat="false" ht="15" hidden="false" customHeight="true" outlineLevel="0" collapsed="false">
      <c r="B9" s="1" t="s">
        <v>234</v>
      </c>
      <c r="C9" s="26" t="n">
        <f aca="false">Assumptions!$E$27</f>
        <v>1.5</v>
      </c>
      <c r="D9" s="26" t="n">
        <f aca="false">Assumptions!$E$27</f>
        <v>1.5</v>
      </c>
      <c r="E9" s="26" t="n">
        <f aca="false">Assumptions!$E$27</f>
        <v>1.5</v>
      </c>
      <c r="F9" s="26" t="n">
        <f aca="false">Assumptions!$E$27</f>
        <v>1.5</v>
      </c>
      <c r="G9" s="26" t="n">
        <f aca="false">Assumptions!$E$27</f>
        <v>1.5</v>
      </c>
      <c r="H9" s="26" t="n">
        <f aca="false">Assumptions!$E$27</f>
        <v>1.5</v>
      </c>
      <c r="I9" s="26" t="n">
        <f aca="false">Assumptions!$E$27</f>
        <v>1.5</v>
      </c>
    </row>
    <row r="10" customFormat="false" ht="15" hidden="false" customHeight="true" outlineLevel="0" collapsed="false">
      <c r="B10" s="1" t="s">
        <v>235</v>
      </c>
      <c r="C10" s="26" t="n">
        <f aca="false">C8-C9</f>
        <v>-0.644924623115578</v>
      </c>
      <c r="D10" s="26" t="n">
        <f aca="false">D8-D9</f>
        <v>-1.31079821461589</v>
      </c>
      <c r="E10" s="26" t="n">
        <f aca="false">E8-E9</f>
        <v>-1.5</v>
      </c>
      <c r="F10" s="26" t="n">
        <f aca="false">F8-F9</f>
        <v>-1.5</v>
      </c>
      <c r="G10" s="26" t="n">
        <f aca="false">G8-G9</f>
        <v>-1.5</v>
      </c>
      <c r="H10" s="26" t="n">
        <f aca="false">H8-H9</f>
        <v>-1.5</v>
      </c>
      <c r="I10" s="26" t="n">
        <f aca="false">I8-I9</f>
        <v>-1.5</v>
      </c>
    </row>
    <row r="11" customFormat="false" ht="15" hidden="false" customHeight="true" outlineLevel="0" collapsed="false">
      <c r="B11" s="1" t="s">
        <v>141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236</v>
      </c>
      <c r="C12" s="18" t="n">
        <f aca="false">'Debt Schedule'!D13-C11</f>
        <v>0</v>
      </c>
      <c r="D12" s="18" t="n">
        <f aca="false">'Debt Schedule'!E13-D11</f>
        <v>0</v>
      </c>
      <c r="E12" s="18" t="n">
        <f aca="false">'Debt Schedule'!F13-E11</f>
        <v>0</v>
      </c>
      <c r="F12" s="18" t="n">
        <f aca="false">'Debt Schedule'!G13-F11</f>
        <v>0</v>
      </c>
      <c r="G12" s="18" t="n">
        <f aca="false">'Debt Schedule'!H13-G11</f>
        <v>0</v>
      </c>
      <c r="H12" s="18" t="n">
        <f aca="false">'Debt Schedule'!I13-H11</f>
        <v>0</v>
      </c>
      <c r="I12" s="18" t="n">
        <f aca="false">'Debt Schedule'!J13-I11</f>
        <v>0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BREACH</v>
      </c>
      <c r="D13" s="1" t="str">
        <f aca="false">IF(AND(D7&gt;=0,D10&gt;=0,D12&gt;=0),"PASS","BREACH")</f>
        <v>BREACH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1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1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8" t="n">
        <f aca="false">'Sources &amp; Uses'!F8</f>
        <v>181.7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8" t="n">
        <f aca="false">C7*(1+Assumptions!E31)^Assumptions!E29</f>
        <v>266.97691155456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1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8" t="n">
        <f aca="false">'Operating Model'!D8</f>
        <v>5.1048</v>
      </c>
      <c r="D5" s="18" t="n">
        <f aca="false">'Operating Model'!E8</f>
        <v>1.2064344</v>
      </c>
      <c r="E5" s="18" t="n">
        <f aca="false">'Operating Model'!F8</f>
        <v>0</v>
      </c>
      <c r="F5" s="18" t="n">
        <f aca="false">'Operating Model'!G8</f>
        <v>0</v>
      </c>
      <c r="G5" s="18" t="n">
        <f aca="false">'Operating Model'!H8</f>
        <v>0</v>
      </c>
      <c r="H5" s="18" t="n">
        <f aca="false">'Operating Model'!I8</f>
        <v>0</v>
      </c>
      <c r="I5" s="18" t="n">
        <f aca="false">'Operating Model'!J8</f>
        <v>0</v>
      </c>
      <c r="J5" s="18" t="n">
        <f aca="false">INDEX(C5:I5,1,Assumptions!E29)</f>
        <v>0</v>
      </c>
    </row>
    <row r="6" customFormat="false" ht="15" hidden="false" customHeight="true" outlineLevel="0" collapsed="false">
      <c r="B6" s="1" t="s">
        <v>254</v>
      </c>
      <c r="C6" s="26" t="n">
        <f aca="false">Assumptions!$E$28</f>
        <v>7</v>
      </c>
      <c r="D6" s="26" t="n">
        <f aca="false">Assumptions!$E$28</f>
        <v>7</v>
      </c>
      <c r="E6" s="26" t="n">
        <f aca="false">Assumptions!$E$28</f>
        <v>7</v>
      </c>
      <c r="F6" s="26" t="n">
        <f aca="false">Assumptions!$E$28</f>
        <v>7</v>
      </c>
      <c r="G6" s="26" t="n">
        <f aca="false">Assumptions!$E$28</f>
        <v>7</v>
      </c>
      <c r="H6" s="26" t="n">
        <f aca="false">Assumptions!$E$28</f>
        <v>7</v>
      </c>
      <c r="I6" s="26" t="n">
        <f aca="false">Assumptions!$E$28</f>
        <v>7</v>
      </c>
      <c r="J6" s="26" t="n">
        <f aca="false">INDEX(C6:I6,1,Assumptions!E29)</f>
        <v>7</v>
      </c>
    </row>
    <row r="7" customFormat="false" ht="15" hidden="false" customHeight="true" outlineLevel="0" collapsed="false">
      <c r="B7" s="1" t="s">
        <v>255</v>
      </c>
      <c r="C7" s="18" t="n">
        <f aca="false">C5*C6</f>
        <v>35.7336</v>
      </c>
      <c r="D7" s="18" t="n">
        <f aca="false">D5*D6</f>
        <v>8.4450408</v>
      </c>
      <c r="E7" s="18" t="n">
        <f aca="false">E5*E6</f>
        <v>0</v>
      </c>
      <c r="F7" s="18" t="n">
        <f aca="false">F5*F6</f>
        <v>0</v>
      </c>
      <c r="G7" s="18" t="n">
        <f aca="false">G5*G6</f>
        <v>0</v>
      </c>
      <c r="H7" s="18" t="n">
        <f aca="false">H5*H6</f>
        <v>0</v>
      </c>
      <c r="I7" s="18" t="n">
        <f aca="false">I5*I6</f>
        <v>0</v>
      </c>
      <c r="J7" s="18" t="n">
        <f aca="false">INDEX(C7:I7,1,Assumptions!E29)</f>
        <v>0</v>
      </c>
    </row>
    <row r="8" customFormat="false" ht="15" hidden="false" customHeight="true" outlineLevel="0" collapsed="false">
      <c r="B8" s="1" t="s">
        <v>227</v>
      </c>
      <c r="C8" s="18" t="n">
        <f aca="false">'Debt Schedule'!D28</f>
        <v>32.3882</v>
      </c>
      <c r="D8" s="18" t="n">
        <f aca="false">'Debt Schedule'!E28</f>
        <v>39.6502556</v>
      </c>
      <c r="E8" s="18" t="n">
        <f aca="false">'Debt Schedule'!F28</f>
        <v>48.687245117</v>
      </c>
      <c r="F8" s="18" t="n">
        <f aca="false">'Debt Schedule'!G28</f>
        <v>58.603244760662</v>
      </c>
      <c r="G8" s="18" t="n">
        <f aca="false">'Debt Schedule'!H28</f>
        <v>69.5767040583399</v>
      </c>
      <c r="H8" s="18" t="n">
        <f aca="false">'Debt Schedule'!I28</f>
        <v>81.7861472123443</v>
      </c>
      <c r="I8" s="18" t="n">
        <f aca="false">'Debt Schedule'!J28</f>
        <v>95.4162763708346</v>
      </c>
      <c r="J8" s="18" t="n">
        <f aca="false">INDEX(C8:I8,1,Assumptions!E29)</f>
        <v>69.5767040583399</v>
      </c>
    </row>
    <row r="9" customFormat="false" ht="15" hidden="false" customHeight="true" outlineLevel="0" collapsed="false">
      <c r="B9" s="1" t="s">
        <v>256</v>
      </c>
      <c r="C9" s="18" t="n">
        <f aca="false">MAX(0,C7-C8)</f>
        <v>3.3454</v>
      </c>
      <c r="D9" s="18" t="n">
        <f aca="false">MAX(0,D7-D8)</f>
        <v>0</v>
      </c>
      <c r="E9" s="18" t="n">
        <f aca="false">MAX(0,E7-E8)</f>
        <v>0</v>
      </c>
      <c r="F9" s="18" t="n">
        <f aca="false">MAX(0,F7-F8)</f>
        <v>0</v>
      </c>
      <c r="G9" s="18" t="n">
        <f aca="false">MAX(0,G7-G8)</f>
        <v>0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0</v>
      </c>
    </row>
    <row r="10" customFormat="false" ht="15" hidden="false" customHeight="true" outlineLevel="0" collapsed="false">
      <c r="B10" s="1" t="s">
        <v>161</v>
      </c>
      <c r="C10" s="18" t="n">
        <f aca="false">'Management Equity'!$C$7*(1+Assumptions!$E$31)^1</f>
        <v>196.236</v>
      </c>
      <c r="D10" s="18" t="n">
        <f aca="false">'Management Equity'!$C$7*(1+Assumptions!$E$31)^2</f>
        <v>211.93488</v>
      </c>
      <c r="E10" s="18" t="n">
        <f aca="false">'Management Equity'!$C$7*(1+Assumptions!$E$31)^3</f>
        <v>228.8896704</v>
      </c>
      <c r="F10" s="18" t="n">
        <f aca="false">'Management Equity'!$C$7*(1+Assumptions!$E$31)^4</f>
        <v>247.200844032</v>
      </c>
      <c r="G10" s="18" t="n">
        <f aca="false">'Management Equity'!$C$7*(1+Assumptions!$E$31)^5</f>
        <v>266.97691155456</v>
      </c>
      <c r="H10" s="18" t="n">
        <f aca="false">'Management Equity'!$C$7*(1+Assumptions!$E$31)^6</f>
        <v>288.335064478925</v>
      </c>
      <c r="I10" s="18" t="n">
        <f aca="false">'Management Equity'!$C$7*(1+Assumptions!$E$31)^7</f>
        <v>311.401869637239</v>
      </c>
      <c r="J10" s="18" t="n">
        <f aca="false">INDEX(C10:I10,1,Assumptions!E29)</f>
        <v>266.97691155456</v>
      </c>
    </row>
    <row r="11" customFormat="false" ht="15" hidden="false" customHeight="true" outlineLevel="0" collapsed="false">
      <c r="B11" s="1" t="s">
        <v>257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8" t="n">
        <f aca="false">MIN(C9,C9*Assumptions!$E$30+C11*Assumptions!$E$32)</f>
        <v>0.33454</v>
      </c>
      <c r="D12" s="18" t="n">
        <f aca="false">MIN(D9,D9*Assumptions!$E$30+D11*Assumptions!$E$32)</f>
        <v>0</v>
      </c>
      <c r="E12" s="18" t="n">
        <f aca="false">MIN(E9,E9*Assumptions!$E$30+E11*Assumptions!$E$32)</f>
        <v>0</v>
      </c>
      <c r="F12" s="18" t="n">
        <f aca="false">MIN(F9,F9*Assumptions!$E$30+F11*Assumptions!$E$32)</f>
        <v>0</v>
      </c>
      <c r="G12" s="18" t="n">
        <f aca="false">MIN(G9,G9*Assumptions!$E$30+G11*Assumptions!$E$32)</f>
        <v>0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0</v>
      </c>
    </row>
    <row r="13" customFormat="false" ht="15" hidden="false" customHeight="true" outlineLevel="0" collapsed="false">
      <c r="B13" s="1" t="s">
        <v>259</v>
      </c>
      <c r="C13" s="18" t="n">
        <f aca="false">MAX(0,C9-C12)</f>
        <v>3.01086</v>
      </c>
      <c r="D13" s="18" t="n">
        <f aca="false">MAX(0,D9-D12)</f>
        <v>0</v>
      </c>
      <c r="E13" s="18" t="n">
        <f aca="false">MAX(0,E9-E12)</f>
        <v>0</v>
      </c>
      <c r="F13" s="18" t="n">
        <f aca="false">MAX(0,F9-F12)</f>
        <v>0</v>
      </c>
      <c r="G13" s="18" t="n">
        <f aca="false">MAX(0,G9-G12)</f>
        <v>0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0</v>
      </c>
    </row>
    <row r="14" customFormat="false" ht="15" hidden="false" customHeight="true" outlineLevel="0" collapsed="false">
      <c r="B14" s="1" t="s">
        <v>260</v>
      </c>
      <c r="C14" s="26" t="n">
        <f aca="false">IFERROR(C13/'Sources &amp; Uses'!$F$8,0)</f>
        <v>0.0165705008255366</v>
      </c>
      <c r="D14" s="26" t="n">
        <f aca="false">IFERROR(D13/'Sources &amp; Uses'!$F$8,0)</f>
        <v>0</v>
      </c>
      <c r="E14" s="26" t="n">
        <f aca="false">IFERROR(E13/'Sources &amp; Uses'!$F$8,0)</f>
        <v>0</v>
      </c>
      <c r="F14" s="26" t="n">
        <f aca="false">IFERROR(F13/'Sources &amp; Uses'!$F$8,0)</f>
        <v>0</v>
      </c>
      <c r="G14" s="26" t="n">
        <f aca="false">IFERROR(G13/'Sources &amp; Uses'!$F$8,0)</f>
        <v>0</v>
      </c>
      <c r="H14" s="26" t="n">
        <f aca="false">IFERROR(H13/'Sources &amp; Uses'!$F$8,0)</f>
        <v>0</v>
      </c>
      <c r="I14" s="26" t="n">
        <f aca="false">IFERROR(I13/'Sources &amp; Uses'!$F$8,0)</f>
        <v>0</v>
      </c>
      <c r="J14" s="26" t="n">
        <f aca="false">INDEX(C14:I14,1,Assumptions!E29)</f>
        <v>0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-0.983429499174463</v>
      </c>
      <c r="D15" s="24" t="n">
        <f aca="false">IFERROR((D13/'Sources &amp; Uses'!$F$8)^(1/2)-1,0)</f>
        <v>-1</v>
      </c>
      <c r="E15" s="24" t="n">
        <f aca="false">IFERROR((E13/'Sources &amp; Uses'!$F$8)^(1/3)-1,0)</f>
        <v>-1</v>
      </c>
      <c r="F15" s="24" t="n">
        <f aca="false">IFERROR((F13/'Sources &amp; Uses'!$F$8)^(1/4)-1,0)</f>
        <v>-1</v>
      </c>
      <c r="G15" s="24" t="n">
        <f aca="false">IFERROR((G13/'Sources &amp; Uses'!$F$8)^(1/5)-1,0)</f>
        <v>-1</v>
      </c>
      <c r="H15" s="24" t="n">
        <f aca="false">IFERROR((H13/'Sources &amp; Uses'!$F$8)^(1/6)-1,0)</f>
        <v>-1</v>
      </c>
      <c r="I15" s="24" t="n">
        <f aca="false">IFERROR((I13/'Sources &amp; Uses'!$F$8)^(1/7)-1,0)</f>
        <v>-1</v>
      </c>
      <c r="J15" s="24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6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-1.79158301320034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-1.79158301320034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-1.79158301320034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-1.79158301320034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-1.79158301320034</v>
      </c>
    </row>
    <row r="6" customFormat="false" ht="15" hidden="false" customHeight="true" outlineLevel="0" collapsed="false">
      <c r="B6" s="26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-1.78083963359383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-1.78083963359383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-1.78083963359383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-1.78083963359383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-1.78083963359383</v>
      </c>
    </row>
    <row r="7" customFormat="false" ht="15" hidden="false" customHeight="true" outlineLevel="0" collapsed="false">
      <c r="B7" s="26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-1.77091573544857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-1.77091573544857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-1.77091573544857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-1.77091573544857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-1.77091573544857</v>
      </c>
    </row>
    <row r="8" customFormat="false" ht="15" hidden="false" customHeight="true" outlineLevel="0" collapsed="false">
      <c r="B8" s="26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-1.76170354375543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-1.76170354375543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-1.76170354375543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-1.76170354375543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-1.76170354375543</v>
      </c>
    </row>
    <row r="9" customFormat="false" ht="15" hidden="false" customHeight="true" outlineLevel="0" collapsed="false">
      <c r="B9" s="26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-1.75311474160507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-1.75311474160507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-1.75311474160507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-1.75311474160507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-1.75311474160507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3" t="s">
        <v>279</v>
      </c>
      <c r="C5" s="33" t="s">
        <v>280</v>
      </c>
      <c r="D5" s="33" t="s">
        <v>281</v>
      </c>
      <c r="E5" s="33" t="s">
        <v>282</v>
      </c>
    </row>
    <row r="6" customFormat="false" ht="15" hidden="false" customHeight="true" outlineLevel="0" collapsed="false">
      <c r="B6" s="33" t="s">
        <v>283</v>
      </c>
      <c r="C6" s="33" t="s">
        <v>284</v>
      </c>
      <c r="D6" s="33" t="s">
        <v>6</v>
      </c>
      <c r="E6" s="33" t="s">
        <v>285</v>
      </c>
    </row>
    <row r="7" customFormat="false" ht="15" hidden="false" customHeight="true" outlineLevel="0" collapsed="false">
      <c r="B7" s="33" t="s">
        <v>286</v>
      </c>
      <c r="C7" s="33" t="s">
        <v>287</v>
      </c>
      <c r="D7" s="33" t="s">
        <v>6</v>
      </c>
      <c r="E7" s="33" t="s">
        <v>288</v>
      </c>
    </row>
    <row r="8" customFormat="false" ht="15" hidden="false" customHeight="true" outlineLevel="0" collapsed="false">
      <c r="B8" s="33" t="s">
        <v>289</v>
      </c>
      <c r="C8" s="33" t="s">
        <v>290</v>
      </c>
      <c r="D8" s="33" t="s">
        <v>6</v>
      </c>
      <c r="E8" s="33" t="s">
        <v>291</v>
      </c>
    </row>
    <row r="9" customFormat="false" ht="15" hidden="false" customHeight="true" outlineLevel="0" collapsed="false">
      <c r="B9" s="33" t="s">
        <v>292</v>
      </c>
      <c r="C9" s="33" t="s">
        <v>293</v>
      </c>
      <c r="D9" s="33" t="s">
        <v>6</v>
      </c>
      <c r="E9" s="33" t="s">
        <v>294</v>
      </c>
    </row>
    <row r="10" customFormat="false" ht="15" hidden="false" customHeight="false" outlineLevel="0" collapsed="false">
      <c r="B10" s="34" t="s">
        <v>295</v>
      </c>
      <c r="C10" s="34" t="s">
        <v>296</v>
      </c>
      <c r="D10" s="34" t="s">
        <v>8</v>
      </c>
      <c r="E10" s="34" t="s">
        <v>297</v>
      </c>
    </row>
    <row r="11" customFormat="false" ht="15" hidden="false" customHeight="false" outlineLevel="0" collapsed="false">
      <c r="B11" s="34" t="s">
        <v>298</v>
      </c>
      <c r="C11" s="34" t="s">
        <v>299</v>
      </c>
      <c r="D11" s="34" t="s">
        <v>8</v>
      </c>
      <c r="E11" s="34" t="s">
        <v>300</v>
      </c>
    </row>
    <row r="12" customFormat="false" ht="15" hidden="false" customHeight="false" outlineLevel="0" collapsed="false">
      <c r="B12" s="34" t="s">
        <v>301</v>
      </c>
      <c r="C12" s="34" t="s">
        <v>302</v>
      </c>
      <c r="D12" s="34" t="s">
        <v>8</v>
      </c>
      <c r="E12" s="34" t="s">
        <v>303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305</v>
      </c>
      <c r="D4" s="16" t="s">
        <v>306</v>
      </c>
      <c r="E4" s="16" t="s">
        <v>307</v>
      </c>
      <c r="F4" s="16" t="s">
        <v>308</v>
      </c>
      <c r="G4" s="16" t="s">
        <v>309</v>
      </c>
    </row>
    <row r="5" customFormat="false" ht="15" hidden="false" customHeight="true" outlineLevel="0" collapsed="false">
      <c r="B5" s="35" t="s">
        <v>310</v>
      </c>
      <c r="C5" s="35" t="s">
        <v>311</v>
      </c>
      <c r="D5" s="35" t="s">
        <v>299</v>
      </c>
      <c r="E5" s="35" t="s">
        <v>312</v>
      </c>
      <c r="F5" s="35" t="s">
        <v>313</v>
      </c>
      <c r="G5" s="35" t="s">
        <v>314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