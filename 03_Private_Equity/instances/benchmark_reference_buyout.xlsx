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stitutional Surface" sheetId="2" state="visible" r:id="rId4"/>
    <sheet name="Challenge Log" sheetId="3" state="visible" r:id="rId5"/>
    <sheet name="Lineage Map" sheetId="4" state="visible" r:id="rId6"/>
    <sheet name="Assumptions" sheetId="5" state="visible" r:id="rId7"/>
    <sheet name="Sources &amp; Uses" sheetId="6" state="visible" r:id="rId8"/>
    <sheet name="Operating Model" sheetId="7" state="visible" r:id="rId9"/>
    <sheet name="Debt Schedule" sheetId="8" state="visible" r:id="rId10"/>
    <sheet name="Covenants" sheetId="9" state="visible" r:id="rId11"/>
    <sheet name="Management Equity" sheetId="10" state="visible" r:id="rId12"/>
    <sheet name="Returns Waterfall" sheetId="11" state="visible" r:id="rId13"/>
    <sheet name="Sensitivity" sheetId="12" state="visible" r:id="rId14"/>
    <sheet name="Checks" sheetId="13" state="visible" r:id="rId15"/>
    <sheet name="Sources" sheetId="14" state="visible" r:id="rId16"/>
    <sheet name="RefreshLog" sheetId="15" state="visible" r:id="rId17"/>
  </sheets>
  <definedNames>
    <definedName function="false" hidden="false" name="FS_DOMAIN" vbProcedure="false">'Institutional Surface'!$C$5</definedName>
    <definedName function="false" hidden="false" name="FS_MATURITY" vbProcedure="false">'Institutional Surface'!$C$6</definedName>
    <definedName function="false" hidden="false" name="FS_MODEL_ID" vbProcedure="false">'Institutional Surface'!$C$4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<sst xmlns="http://schemas.openxmlformats.org/spreadsheetml/2006/main" count="446" uniqueCount="308">
  <si>
    <t xml:space="preserve">[TARGET] — LBO Underwriting Model</t>
  </si>
  <si>
    <t xml:space="preserve">Target / transaction:</t>
  </si>
  <si>
    <t xml:space="preserve">Reference Middle-Market Buyout</t>
  </si>
  <si>
    <t xml:space="preserve">Sponsor / principal:</t>
  </si>
  <si>
    <t xml:space="preserve">Benchmark Sponsor</t>
  </si>
  <si>
    <t xml:space="preserve">Entry / close date:</t>
  </si>
  <si>
    <t xml:space="preserve">[date]</t>
  </si>
  <si>
    <t xml:space="preserve">Last refreshed:</t>
  </si>
  <si>
    <t xml:space="preserve">2026-08-03</t>
  </si>
  <si>
    <t xml:space="preserve">Next IC / financing event:</t>
  </si>
  <si>
    <t xml:space="preserve">Active scenario:</t>
  </si>
  <si>
    <t xml:space="preserve">Base</t>
  </si>
  <si>
    <t xml:space="preserve">Units:</t>
  </si>
  <si>
    <t xml:space="preserve">$ in millions unless noted</t>
  </si>
  <si>
    <t xml:space="preserve">Modeling conventions</t>
  </si>
  <si>
    <t xml:space="preserve">Blue text / yellow fill</t>
  </si>
  <si>
    <t xml:space="preserve">Hardcoded input or selected scenario</t>
  </si>
  <si>
    <t xml:space="preserve">Black text</t>
  </si>
  <si>
    <t xml:space="preserve">Formula / same-sheet calculation</t>
  </si>
  <si>
    <t xml:space="preserve">Green text</t>
  </si>
  <si>
    <t xml:space="preserve">Cross-sheet formula / link</t>
  </si>
  <si>
    <t xml:space="preserve">Checks</t>
  </si>
  <si>
    <t xml:space="preserve">PASS / REVIEW / FAIL must remain visible</t>
  </si>
  <si>
    <t xml:space="preserve">Private Equity — Institutional Decision Surface</t>
  </si>
  <si>
    <t xml:space="preserve">Model ID</t>
  </si>
  <si>
    <t xml:space="preserve">03</t>
  </si>
  <si>
    <t xml:space="preserve">Domain</t>
  </si>
  <si>
    <t xml:space="preserve">Private Equity</t>
  </si>
  <si>
    <t xml:space="preserve">Declared maturity</t>
  </si>
  <si>
    <t xml:space="preserve">M2</t>
  </si>
  <si>
    <t xml:space="preserve">Canonical builder</t>
  </si>
  <si>
    <t xml:space="preserve">tools/builders/build_lbo_release.py</t>
  </si>
  <si>
    <t xml:space="preserve">Decision arena</t>
  </si>
  <si>
    <t xml:space="preserve">deal team, operating partner, financing team, investment committee and LPAC</t>
  </si>
  <si>
    <t xml:space="preserve">Committee artifact</t>
  </si>
  <si>
    <t xml:space="preserve">investment committee underwriting memo</t>
  </si>
  <si>
    <t xml:space="preserve">Operating cadence</t>
  </si>
  <si>
    <t xml:space="preserve">weekly pre-close; monthly portfolio; quarterly IC</t>
  </si>
  <si>
    <t xml:space="preserve">Key decision outputs</t>
  </si>
  <si>
    <t xml:space="preserve">#</t>
  </si>
  <si>
    <t xml:space="preserve">Requirement</t>
  </si>
  <si>
    <t xml:space="preserve">Owner</t>
  </si>
  <si>
    <t xml:space="preserve">Evidence / location</t>
  </si>
  <si>
    <t xml:space="preserve">Status</t>
  </si>
  <si>
    <t xml:space="preserve">sponsor MOIC and IRR</t>
  </si>
  <si>
    <t xml:space="preserve">OPEN</t>
  </si>
  <si>
    <t xml:space="preserve">debt paydown and covenant headroom</t>
  </si>
  <si>
    <t xml:space="preserve">management equity waterfall</t>
  </si>
  <si>
    <t xml:space="preserve">base, downside and break-even outputs</t>
  </si>
  <si>
    <t xml:space="preserve">liquidity / funding requirement and binding constraint</t>
  </si>
  <si>
    <t xml:space="preserve">Insider questions</t>
  </si>
  <si>
    <t xml:space="preserve">What EBITDA add-backs survive lender diligence?</t>
  </si>
  <si>
    <t xml:space="preserve">Where does the business need cash before it generates cash?</t>
  </si>
  <si>
    <t xml:space="preserve">Which covenant is springing and when?</t>
  </si>
  <si>
    <t xml:space="preserve">Which assumption is owner-approved versus modeler judgement?</t>
  </si>
  <si>
    <t xml:space="preserve">What fails first and who must act?</t>
  </si>
  <si>
    <t xml:space="preserve">Scenario families</t>
  </si>
  <si>
    <t xml:space="preserve">volume/price/mix miss</t>
  </si>
  <si>
    <t xml:space="preserve">margin plan delay</t>
  </si>
  <si>
    <t xml:space="preserve">working-capital leakage</t>
  </si>
  <si>
    <t xml:space="preserve">data freshness / source failure</t>
  </si>
  <si>
    <t xml:space="preserve">combined severe-but-plausible downside</t>
  </si>
  <si>
    <t xml:space="preserve">Primary diligence documents</t>
  </si>
  <si>
    <t xml:space="preserve">QoE and net working capital report</t>
  </si>
  <si>
    <t xml:space="preserve">market / commercial diligence</t>
  </si>
  <si>
    <t xml:space="preserve">debt term sheets and commitment papers</t>
  </si>
  <si>
    <t xml:space="preserve">approved model card and assumption register</t>
  </si>
  <si>
    <t xml:space="preserve">independent validation and challenge record</t>
  </si>
  <si>
    <t xml:space="preserve">Challenge tests</t>
  </si>
  <si>
    <t xml:space="preserve">sources equal uses</t>
  </si>
  <si>
    <t xml:space="preserve">minimum cash never breached without explicit cure</t>
  </si>
  <si>
    <t xml:space="preserve">debt tranches conserve</t>
  </si>
  <si>
    <t xml:space="preserve">source-to-model lineage is reproducible</t>
  </si>
  <si>
    <t xml:space="preserve">units, signs, dates and legal definitions reconcile</t>
  </si>
  <si>
    <t xml:space="preserve">Known failure modes</t>
  </si>
  <si>
    <t xml:space="preserve">sizing leverage off adjusted EBITDA that lenders reject</t>
  </si>
  <si>
    <t xml:space="preserve">ignoring seasonal revolver needs</t>
  </si>
  <si>
    <t xml:space="preserve">using annual averages for monthly covenant troughs</t>
  </si>
  <si>
    <t xml:space="preserve">stale vintage presented as current</t>
  </si>
  <si>
    <t xml:space="preserve">decision output disconnected from a binding constraint</t>
  </si>
  <si>
    <t xml:space="preserve">Regulatory / methodological anchors</t>
  </si>
  <si>
    <t xml:space="preserve">Standard</t>
  </si>
  <si>
    <t xml:space="preserve">Scope</t>
  </si>
  <si>
    <t xml:space="preserve">Source URL</t>
  </si>
  <si>
    <t xml:space="preserve">Applicability</t>
  </si>
  <si>
    <t xml:space="preserve">Review note</t>
  </si>
  <si>
    <t xml:space="preserve">Federal Reserve SR 26-2 Model Risk Management</t>
  </si>
  <si>
    <t xml:space="preserve">governance, validation, change control, monitoring</t>
  </si>
  <si>
    <t xml:space="preserve">https://www.federalreserve.gov/supervisionreg/srletters/SR2602.htm</t>
  </si>
  <si>
    <t xml:space="preserve">Map explicitly</t>
  </si>
  <si>
    <t xml:space="preserve">OCC Rating Credit Risk</t>
  </si>
  <si>
    <t xml:space="preserve">repayment capacity and risk rating</t>
  </si>
  <si>
    <t xml:space="preserve">https://www.occ.treas.gov/publications-and-resources/publications/comptrollers-handbook/files/rating-credit-risk/pub-ch-rating-credit-risk.pdf</t>
  </si>
  <si>
    <t xml:space="preserve">Independent Challenge, Override and Closure Log</t>
  </si>
  <si>
    <t xml:space="preserve">Date</t>
  </si>
  <si>
    <t xml:space="preserve">Reviewer</t>
  </si>
  <si>
    <t xml:space="preserve">Challenge</t>
  </si>
  <si>
    <t xml:space="preserve">Owner response</t>
  </si>
  <si>
    <t xml:space="preserve">Evidence</t>
  </si>
  <si>
    <t xml:space="preserve">Impact</t>
  </si>
  <si>
    <t xml:space="preserve">Closure</t>
  </si>
  <si>
    <t xml:space="preserve">Source, Transformation, Ownership and Refresh Map</t>
  </si>
  <si>
    <t xml:space="preserve">Source class</t>
  </si>
  <si>
    <t xml:space="preserve">Cadence</t>
  </si>
  <si>
    <t xml:space="preserve">Control</t>
  </si>
  <si>
    <t xml:space="preserve">System / provider</t>
  </si>
  <si>
    <t xml:space="preserve">As-of</t>
  </si>
  <si>
    <t xml:space="preserve">Transform</t>
  </si>
  <si>
    <t xml:space="preserve">Downstream</t>
  </si>
  <si>
    <t xml:space="preserve">operating KPI pack</t>
  </si>
  <si>
    <t xml:space="preserve">monthly</t>
  </si>
  <si>
    <t xml:space="preserve">reported-to-underwritten bridge</t>
  </si>
  <si>
    <t xml:space="preserve">TO MAP</t>
  </si>
  <si>
    <t xml:space="preserve">debt balances</t>
  </si>
  <si>
    <t xml:space="preserve">agent statement tie-out</t>
  </si>
  <si>
    <t xml:space="preserve">model governance evidence</t>
  </si>
  <si>
    <t xml:space="preserve">per release</t>
  </si>
  <si>
    <t xml:space="preserve">version, reviewer, sign-off and change log</t>
  </si>
  <si>
    <t xml:space="preserve">decision-use snapshot</t>
  </si>
  <si>
    <t xml:space="preserve">per decision</t>
  </si>
  <si>
    <t xml:space="preserve">immutable as-of date and source receipt</t>
  </si>
  <si>
    <t xml:space="preserve">Transaction, Operating, and Financing Assumptions</t>
  </si>
  <si>
    <t xml:space="preserve">Assumption</t>
  </si>
  <si>
    <t xml:space="preserve">Downside</t>
  </si>
  <si>
    <t xml:space="preserve">Active</t>
  </si>
  <si>
    <t xml:space="preserve">Units / note</t>
  </si>
  <si>
    <t xml:space="preserve">LTM revenue</t>
  </si>
  <si>
    <t xml:space="preserve">$mm</t>
  </si>
  <si>
    <t xml:space="preserve">LTM EBITDA margin</t>
  </si>
  <si>
    <t xml:space="preserve">%</t>
  </si>
  <si>
    <t xml:space="preserve">Annual revenue growth</t>
  </si>
  <si>
    <t xml:space="preserve">Annual EBITDA margin expansion</t>
  </si>
  <si>
    <t xml:space="preserve">% points</t>
  </si>
  <si>
    <t xml:space="preserve">D&amp;A / revenue</t>
  </si>
  <si>
    <t xml:space="preserve">Capex / revenue</t>
  </si>
  <si>
    <t xml:space="preserve">NWC / revenue</t>
  </si>
  <si>
    <t xml:space="preserve">Cash tax rate</t>
  </si>
  <si>
    <t xml:space="preserve">Entry EBITDA multiple</t>
  </si>
  <si>
    <t xml:space="preserve">x</t>
  </si>
  <si>
    <t xml:space="preserve">Transaction fees / enterprise value</t>
  </si>
  <si>
    <t xml:space="preserve">Existing net debt refinanced</t>
  </si>
  <si>
    <t xml:space="preserve">Minimum cash</t>
  </si>
  <si>
    <t xml:space="preserve">Revolver commitment</t>
  </si>
  <si>
    <t xml:space="preserve">Revolver cash rate</t>
  </si>
  <si>
    <t xml:space="preserve">TLB opening leverage</t>
  </si>
  <si>
    <t xml:space="preserve">x EBITDA</t>
  </si>
  <si>
    <t xml:space="preserve">TLB cash rate</t>
  </si>
  <si>
    <t xml:space="preserve">TLB annual amortization</t>
  </si>
  <si>
    <t xml:space="preserve">% original</t>
  </si>
  <si>
    <t xml:space="preserve">Second-lien opening leverage</t>
  </si>
  <si>
    <t xml:space="preserve">Second-lien cash rate</t>
  </si>
  <si>
    <t xml:space="preserve">Second-lien PIK rate</t>
  </si>
  <si>
    <t xml:space="preserve">Cash sweep</t>
  </si>
  <si>
    <t xml:space="preserve">% excess cash</t>
  </si>
  <si>
    <t xml:space="preserve">Maximum leverage covenant</t>
  </si>
  <si>
    <t xml:space="preserve">Minimum interest coverage</t>
  </si>
  <si>
    <t xml:space="preserve">Exit EBITDA multiple</t>
  </si>
  <si>
    <t xml:space="preserve">Exit year</t>
  </si>
  <si>
    <t xml:space="preserve">year</t>
  </si>
  <si>
    <t xml:space="preserve">Management equity pool</t>
  </si>
  <si>
    <t xml:space="preserve">% fully diluted</t>
  </si>
  <si>
    <t xml:space="preserve">Sponsor preferred return</t>
  </si>
  <si>
    <t xml:space="preserve">Management catch-up above hurdle</t>
  </si>
  <si>
    <t xml:space="preserve">% incremental</t>
  </si>
  <si>
    <t xml:space="preserve">Transaction Sources &amp; Uses</t>
  </si>
  <si>
    <t xml:space="preserve">Uses</t>
  </si>
  <si>
    <t xml:space="preserve">Amount</t>
  </si>
  <si>
    <t xml:space="preserve">Sources</t>
  </si>
  <si>
    <t xml:space="preserve">Purchase enterprise value</t>
  </si>
  <si>
    <t xml:space="preserve">Revolver at close</t>
  </si>
  <si>
    <t xml:space="preserve">Refinance existing net debt</t>
  </si>
  <si>
    <t xml:space="preserve">Term loan B</t>
  </si>
  <si>
    <t xml:space="preserve">Transaction fees</t>
  </si>
  <si>
    <t xml:space="preserve">Second-lien / holdco debt</t>
  </si>
  <si>
    <t xml:space="preserve">Minimum cash funded</t>
  </si>
  <si>
    <t xml:space="preserve">Sponsor equity</t>
  </si>
  <si>
    <t xml:space="preserve">Total uses</t>
  </si>
  <si>
    <t xml:space="preserve">Total sources</t>
  </si>
  <si>
    <t xml:space="preserve">Sources less uses</t>
  </si>
  <si>
    <t xml:space="preserve">Seven-Year Operating, Tax, and Cash Flow Model</t>
  </si>
  <si>
    <t xml:space="preserve">$mm / %</t>
  </si>
  <si>
    <t xml:space="preserve">LTM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</si>
  <si>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</si>
  <si>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</si>
  <si>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</si>
  <si>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</si>
  <si>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</si>
  <si>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Year 6</t>
  </si>
  <si>
    <t xml:space="preserve">Year 7</t>
  </si>
  <si>
    <t xml:space="preserve">Revenue</t>
  </si>
  <si>
    <t xml:space="preserve">Revenue growth</t>
  </si>
  <si>
    <t xml:space="preserve">EBITDA margin</t>
  </si>
  <si>
    <t xml:space="preserve">EBITDA</t>
  </si>
  <si>
    <t xml:space="preserve">D&amp;A</t>
  </si>
  <si>
    <t xml:space="preserve">EBIT</t>
  </si>
  <si>
    <t xml:space="preserve">Cash interest</t>
  </si>
  <si>
    <t xml:space="preserve">EBT</t>
  </si>
  <si>
    <t xml:space="preserve">Cash taxes</t>
  </si>
  <si>
    <t xml:space="preserve">Net income</t>
  </si>
  <si>
    <t xml:space="preserve">Capex</t>
  </si>
  <si>
    <t xml:space="preserve">NWC</t>
  </si>
  <si>
    <t xml:space="preserve">Change in NWC</t>
  </si>
  <si>
    <t xml:space="preserve">FCF before financing</t>
  </si>
  <si>
    <t xml:space="preserve">FCF before interest</t>
  </si>
  <si>
    <t xml:space="preserve">Multi-Tranche Debt and Cash Sweep</t>
  </si>
  <si>
    <t xml:space="preserve">Close</t>
  </si>
  <si>
    <t xml:space="preserve">Beginning cash</t>
  </si>
  <si>
    <t xml:space="preserve">Mandatory TLB amortization</t>
  </si>
  <si>
    <t xml:space="preserve">Cash before revolver / sweep</t>
  </si>
  <si>
    <t xml:space="preserve">Revolver draw / (repayment)</t>
  </si>
  <si>
    <t xml:space="preserve">Cash sweep to TLB</t>
  </si>
  <si>
    <t xml:space="preserve">Cash sweep to second lien</t>
  </si>
  <si>
    <t xml:space="preserve">Ending cash</t>
  </si>
  <si>
    <t xml:space="preserve">Beginning revolver</t>
  </si>
  <si>
    <t xml:space="preserve">Revolver interest</t>
  </si>
  <si>
    <t xml:space="preserve">Ending revolver</t>
  </si>
  <si>
    <t xml:space="preserve">Beginning TLB</t>
  </si>
  <si>
    <t xml:space="preserve">TLB interest</t>
  </si>
  <si>
    <t xml:space="preserve">TLB amortization</t>
  </si>
  <si>
    <t xml:space="preserve">TLB cash sweep</t>
  </si>
  <si>
    <t xml:space="preserve">Ending TLB</t>
  </si>
  <si>
    <t xml:space="preserve">Beginning second lien</t>
  </si>
  <si>
    <t xml:space="preserve">Second-lien cash interest</t>
  </si>
  <si>
    <t xml:space="preserve">Second-lien PIK</t>
  </si>
  <si>
    <t xml:space="preserve">Second-lien cash sweep</t>
  </si>
  <si>
    <t xml:space="preserve">Ending second lien</t>
  </si>
  <si>
    <t xml:space="preserve">Total debt</t>
  </si>
  <si>
    <t xml:space="preserve">Net debt</t>
  </si>
  <si>
    <t xml:space="preserve">Lender Covenant and Liquidity Dashboard</t>
  </si>
  <si>
    <t xml:space="preserve">Metric</t>
  </si>
  <si>
    <t xml:space="preserve">Gross leverage</t>
  </si>
  <si>
    <t xml:space="preserve">Maximum leverage</t>
  </si>
  <si>
    <t xml:space="preserve">Leverage headroom</t>
  </si>
  <si>
    <t xml:space="preserve">Interest coverage</t>
  </si>
  <si>
    <t xml:space="preserve">Minimum coverage</t>
  </si>
  <si>
    <t xml:space="preserve">Coverage headroom</t>
  </si>
  <si>
    <t xml:space="preserve">Cash headroom</t>
  </si>
  <si>
    <t xml:space="preserve">Management Equity and Incentive Pool</t>
  </si>
  <si>
    <t xml:space="preserve">Value</t>
  </si>
  <si>
    <t xml:space="preserve">Units</t>
  </si>
  <si>
    <t xml:space="preserve">Notes</t>
  </si>
  <si>
    <t xml:space="preserve">Management fully diluted pool</t>
  </si>
  <si>
    <t xml:space="preserve">granted / reserved pool</t>
  </si>
  <si>
    <t xml:space="preserve">Sponsor ownership before pool</t>
  </si>
  <si>
    <t xml:space="preserve">fully diluted</t>
  </si>
  <si>
    <t xml:space="preserve">Sponsor invested equity</t>
  </si>
  <si>
    <t xml:space="preserve">entry equity</t>
  </si>
  <si>
    <t xml:space="preserve">Preferred return at exit</t>
  </si>
  <si>
    <t xml:space="preserve">sponsor hurdle</t>
  </si>
  <si>
    <t xml:space="preserve">Management catch-up rate</t>
  </si>
  <si>
    <t xml:space="preserve">above preferred return</t>
  </si>
  <si>
    <t xml:space="preserve">Exit Equity and Sponsor / Management Waterfall</t>
  </si>
  <si>
    <t xml:space="preserve">Selected exit</t>
  </si>
  <si>
    <t xml:space="preserve">Exit EBITDA</t>
  </si>
  <si>
    <t xml:space="preserve">Exit multiple</t>
  </si>
  <si>
    <t xml:space="preserve">Exit enterprise value</t>
  </si>
  <si>
    <t xml:space="preserve">Gross equity value</t>
  </si>
  <si>
    <t xml:space="preserve">Equity above preferred</t>
  </si>
  <si>
    <t xml:space="preserve">Management proceeds</t>
  </si>
  <si>
    <t xml:space="preserve">Sponsor proceeds</t>
  </si>
  <si>
    <t xml:space="preserve">Sponsor MOIC</t>
  </si>
  <si>
    <t xml:space="preserve">Sponsor IRR</t>
  </si>
  <si>
    <t xml:space="preserve">Sponsor IRR Sensitivity</t>
  </si>
  <si>
    <t xml:space="preserve">Entry / Exit multiple</t>
  </si>
  <si>
    <t xml:space="preserve">LBO Model Checks</t>
  </si>
  <si>
    <t xml:space="preserve">Check</t>
  </si>
  <si>
    <t xml:space="preserve">Sources equal uses</t>
  </si>
  <si>
    <t xml:space="preserve">Sponsor equity positive</t>
  </si>
  <si>
    <t xml:space="preserve">Debt balances nonnegative</t>
  </si>
  <si>
    <t xml:space="preserve">Cash at or above minimum</t>
  </si>
  <si>
    <t xml:space="preserve">No covenant breaches</t>
  </si>
  <si>
    <t xml:space="preserve">Exit equity nonnegative</t>
  </si>
  <si>
    <t xml:space="preserve">Waterfall conserves equity</t>
  </si>
  <si>
    <t xml:space="preserve">Selected exit year valid</t>
  </si>
  <si>
    <t xml:space="preserve">Overall</t>
  </si>
  <si>
    <t xml:space="preserve">Source Register</t>
  </si>
  <si>
    <t xml:space="preserve">Input / dataset</t>
  </si>
  <si>
    <t xml:space="preserve">Source URL or document</t>
  </si>
  <si>
    <t xml:space="preserve">Notes / transformation</t>
  </si>
  <si>
    <t xml:space="preserve">Historical financial statements</t>
  </si>
  <si>
    <t xml:space="preserve">[filing / data room URL]</t>
  </si>
  <si>
    <t xml:space="preserve">[period]</t>
  </si>
  <si>
    <t xml:space="preserve">Revenue, margins, capex, working capital, taxes</t>
  </si>
  <si>
    <t xml:space="preserve">Quality of earnings and diligence</t>
  </si>
  <si>
    <t xml:space="preserve">[advisor report URL]</t>
  </si>
  <si>
    <t xml:space="preserve">EBITDA adjustments, one-time items, risks</t>
  </si>
  <si>
    <t xml:space="preserve">Debt term sheets and documentation</t>
  </si>
  <si>
    <t xml:space="preserve">[data room URL]</t>
  </si>
  <si>
    <t xml:space="preserve">Rates, PIK, amortization, sweeps, covenants, baskets</t>
  </si>
  <si>
    <t xml:space="preserve">Transaction terms</t>
  </si>
  <si>
    <t xml:space="preserve">[purchase agreement / process letter]</t>
  </si>
  <si>
    <t xml:space="preserve">Price, fees, minimum cash, rollover, management pool</t>
  </si>
  <si>
    <t xml:space="preserve">Market valuation references</t>
  </si>
  <si>
    <t xml:space="preserve">[public market / transaction source]</t>
  </si>
  <si>
    <t xml:space="preserve">Entry and exit multiple support</t>
  </si>
  <si>
    <t xml:space="preserve">Finance-Segway benchmark fixture pe-reference-buyout</t>
  </si>
  <si>
    <t xml:space="preserve">repo://standards/benchmark_cases/pe-reference-buyout.json</t>
  </si>
  <si>
    <t xml:space="preserve">Synthetic engineering fixture; not investment evidence</t>
  </si>
  <si>
    <t xml:space="preserve">Refresh Log</t>
  </si>
  <si>
    <t xml:space="preserve">Trigger</t>
  </si>
  <si>
    <t xml:space="preserve">Source snapshot</t>
  </si>
  <si>
    <t xml:space="preserve">What changed</t>
  </si>
  <si>
    <t xml:space="preserve">Reviewer / challenge</t>
  </si>
  <si>
    <t xml:space="preserve">Next check</t>
  </si>
  <si>
    <t xml:space="preserve">Synthetic benchmark generation</t>
  </si>
  <si>
    <t xml:space="preserve">Generated pe-reference-buyout from canonical release template</t>
  </si>
  <si>
    <t xml:space="preserve">Engineering fixture only; not public underwriting or M4 evidence</t>
  </si>
  <si>
    <t xml:space="preserve">On builder, formula, or contract change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</si>
</sst>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.0;[RED]&quot;($&quot;#,##0.0\);\-"/>
    <numFmt numFmtId="166" formatCode="0.0%;[RED]\(0.0%\);\-"/>
    <numFmt numFmtId="167" formatCode="0.00%;[RED]\(0.00%\);\-"/>
    <numFmt numFmtId="168" formatCode="0.0\x;[RED]\(0.0&quot;x)&quot;;\-"/>
    <numFmt numFmtId="169" formatCode="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0"/>
      <color rgb="FF111827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color rgb="FF111827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5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17365D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CE4D6"/>
      </patternFill>
    </fill>
    <fill>
      <patternFill patternType="solid">
        <fgColor rgb="FF17365D"/>
        <bgColor rgb="FF333333"/>
      </patternFill>
    </fill>
    <fill>
      <patternFill patternType="solid">
        <fgColor rgb="FFD9EAF7"/>
        <bgColor rgb="FFE2F0D9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  <border diagonalUp="false" diagonalDown="false">
      <left/>
      <right/>
      <top/>
      <bottom style="thin">
        <color rgb="FFB7B7B7"/>
      </bottom>
      <diagonal/>
    </border>
    <border diagonalUp="false" diagonalDown="false">
      <left/>
      <right/>
      <top style="thin">
        <color rgb="FF111827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3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E2F0D9"/>
        </patternFill>
      </fill>
    </dxf>
    <dxf>
      <fill>
        <patternFill>
          <bgColor rgb="FFFCE4D6"/>
        </patternFill>
      </fill>
    </dxf>
    <dxf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9EAF7"/>
      <rgbColor rgb="FF660066"/>
      <rgbColor rgb="FFFF8080"/>
      <rgbColor rgb="FF0066CC"/>
      <rgbColor rgb="FFB7B7B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65D"/>
      <rgbColor rgb="FF339966"/>
      <rgbColor rgb="FF111827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6"/>
    <col collapsed="false" customWidth="true" hidden="false" outlineLevel="0" max="3" min="3" style="1" width="46"/>
    <col collapsed="false" customWidth="true" hidden="false" outlineLevel="0" max="6" min="4" style="1" width="12"/>
  </cols>
  <sheetData>
    <row r="2" customFormat="false" ht="27.75" hidden="false" customHeight="true" outlineLevel="0" collapsed="false">
      <c r="B2" s="2" t="s">
        <v>0</v>
      </c>
      <c r="C2" s="2"/>
      <c r="D2" s="2"/>
      <c r="E2" s="2"/>
      <c r="F2" s="2"/>
    </row>
    <row r="4" customFormat="false" ht="15" hidden="false" customHeight="true" outlineLevel="0" collapsed="false">
      <c r="B4" s="3" t="s">
        <v>1</v>
      </c>
      <c r="C4" s="4" t="s">
        <v>2</v>
      </c>
    </row>
    <row r="5" customFormat="false" ht="15" hidden="false" customHeight="true" outlineLevel="0" collapsed="false">
      <c r="B5" s="3" t="s">
        <v>3</v>
      </c>
      <c r="C5" s="4" t="s">
        <v>4</v>
      </c>
    </row>
    <row r="6" customFormat="false" ht="15" hidden="false" customHeight="true" outlineLevel="0" collapsed="false">
      <c r="B6" s="3" t="s">
        <v>5</v>
      </c>
      <c r="C6" s="5" t="s">
        <v>6</v>
      </c>
    </row>
    <row r="7" customFormat="false" ht="15" hidden="false" customHeight="true" outlineLevel="0" collapsed="false">
      <c r="B7" s="3" t="s">
        <v>7</v>
      </c>
      <c r="C7" s="4" t="s">
        <v>8</v>
      </c>
    </row>
    <row r="8" customFormat="false" ht="15" hidden="false" customHeight="true" outlineLevel="0" collapsed="false">
      <c r="B8" s="3" t="s">
        <v>9</v>
      </c>
      <c r="C8" s="5" t="s">
        <v>6</v>
      </c>
    </row>
    <row r="9" customFormat="false" ht="15" hidden="false" customHeight="true" outlineLevel="0" collapsed="false">
      <c r="B9" s="3" t="s">
        <v>10</v>
      </c>
      <c r="C9" s="4" t="s">
        <v>11</v>
      </c>
    </row>
    <row r="10" customFormat="false" ht="15" hidden="false" customHeight="true" outlineLevel="0" collapsed="false">
      <c r="B10" s="3" t="s">
        <v>12</v>
      </c>
      <c r="C10" s="5" t="s">
        <v>13</v>
      </c>
    </row>
    <row r="13" customFormat="false" ht="15" hidden="false" customHeight="true" outlineLevel="0" collapsed="false">
      <c r="B13" s="6" t="s">
        <v>14</v>
      </c>
      <c r="C13" s="6"/>
      <c r="D13" s="6"/>
      <c r="E13" s="6"/>
      <c r="F13" s="6"/>
    </row>
    <row r="14" customFormat="false" ht="15" hidden="false" customHeight="true" outlineLevel="0" collapsed="false">
      <c r="B14" s="7" t="s">
        <v>15</v>
      </c>
      <c r="C14" s="8" t="s">
        <v>16</v>
      </c>
    </row>
    <row r="15" customFormat="false" ht="15" hidden="false" customHeight="true" outlineLevel="0" collapsed="false">
      <c r="B15" s="3" t="s">
        <v>17</v>
      </c>
      <c r="C15" s="8" t="s">
        <v>18</v>
      </c>
    </row>
    <row r="16" customFormat="false" ht="15" hidden="false" customHeight="true" outlineLevel="0" collapsed="false">
      <c r="B16" s="9" t="s">
        <v>19</v>
      </c>
      <c r="C16" s="8" t="s">
        <v>20</v>
      </c>
    </row>
    <row r="17" customFormat="false" ht="15" hidden="false" customHeight="true" outlineLevel="0" collapsed="false">
      <c r="B17" s="3" t="s">
        <v>21</v>
      </c>
      <c r="C17" s="8" t="s">
        <v>22</v>
      </c>
    </row>
  </sheetData>
  <mergeCells count="2">
    <mergeCell ref="B2:F2"/>
    <mergeCell ref="B13:F13"/>
  </mergeCells>
  <dataValidations count="1">
    <dataValidation allowBlank="false" errorStyle="stop" operator="between" showDropDown="false" showErrorMessage="false" showInputMessage="false" sqref="C9" type="list">
      <formula1>"Base,Downside"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26"/>
    <col collapsed="false" customWidth="true" hidden="false" outlineLevel="0" max="3" min="3" style="0" width="48"/>
    <col collapsed="false" customWidth="true" hidden="false" outlineLevel="0" max="4" min="4" style="0" width="24"/>
    <col collapsed="false" customWidth="true" hidden="false" outlineLevel="0" max="5" min="5" style="0" width="34"/>
    <col collapsed="false" customWidth="true" hidden="false" outlineLevel="0" max="6" min="6" style="0" width="20"/>
  </cols>
  <sheetData>
    <row r="2" customFormat="false" ht="18.55" hidden="false" customHeight="false" outlineLevel="0" collapsed="false">
      <c r="B2" s="10" t="s">
        <v>23</v>
      </c>
      <c r="C2" s="10"/>
      <c r="D2" s="10"/>
      <c r="E2" s="10"/>
      <c r="F2" s="10"/>
    </row>
    <row r="4" customFormat="false" ht="15" hidden="false" customHeight="true" outlineLevel="0" collapsed="false">
      <c r="B4" s="11" t="s">
        <v>24</v>
      </c>
      <c r="C4" s="12" t="s">
        <v>25</v>
      </c>
      <c r="D4" s="12"/>
      <c r="E4" s="12"/>
      <c r="F4" s="12"/>
    </row>
    <row r="5" customFormat="false" ht="15" hidden="false" customHeight="true" outlineLevel="0" collapsed="false">
      <c r="B5" s="11" t="s">
        <v>26</v>
      </c>
      <c r="C5" s="12" t="s">
        <v>27</v>
      </c>
      <c r="D5" s="12"/>
      <c r="E5" s="12"/>
      <c r="F5" s="12"/>
    </row>
    <row r="6" customFormat="false" ht="15" hidden="false" customHeight="true" outlineLevel="0" collapsed="false">
      <c r="B6" s="11" t="s">
        <v>28</v>
      </c>
      <c r="C6" s="12" t="s">
        <v>29</v>
      </c>
      <c r="D6" s="12"/>
      <c r="E6" s="12"/>
      <c r="F6" s="12"/>
    </row>
    <row r="7" customFormat="false" ht="15" hidden="false" customHeight="true" outlineLevel="0" collapsed="false">
      <c r="B7" s="11" t="s">
        <v>30</v>
      </c>
      <c r="C7" s="12" t="s">
        <v>31</v>
      </c>
      <c r="D7" s="12"/>
      <c r="E7" s="12"/>
      <c r="F7" s="12"/>
    </row>
    <row r="8" customFormat="false" ht="15" hidden="false" customHeight="true" outlineLevel="0" collapsed="false">
      <c r="B8" s="11" t="s">
        <v>32</v>
      </c>
      <c r="C8" s="12" t="s">
        <v>33</v>
      </c>
      <c r="D8" s="12"/>
      <c r="E8" s="12"/>
      <c r="F8" s="12"/>
    </row>
    <row r="9" customFormat="false" ht="15" hidden="false" customHeight="true" outlineLevel="0" collapsed="false">
      <c r="B9" s="11" t="s">
        <v>34</v>
      </c>
      <c r="C9" s="12" t="s">
        <v>35</v>
      </c>
      <c r="D9" s="12"/>
      <c r="E9" s="12"/>
      <c r="F9" s="12"/>
    </row>
    <row r="10" customFormat="false" ht="15" hidden="false" customHeight="true" outlineLevel="0" collapsed="false">
      <c r="B10" s="11" t="s">
        <v>36</v>
      </c>
      <c r="C10" s="12" t="s">
        <v>37</v>
      </c>
      <c r="D10" s="12"/>
      <c r="E10" s="12"/>
      <c r="F10" s="12"/>
    </row>
    <row r="12" customFormat="false" ht="15" hidden="false" customHeight="false" outlineLevel="0" collapsed="false">
      <c r="B12" s="13" t="s">
        <v>38</v>
      </c>
      <c r="C12" s="13"/>
      <c r="D12" s="13"/>
      <c r="E12" s="13"/>
      <c r="F12" s="13"/>
    </row>
    <row r="13" customFormat="false" ht="15" hidden="false" customHeight="false" outlineLevel="0" collapsed="false">
      <c r="B13" s="14" t="s">
        <v>39</v>
      </c>
      <c r="C13" s="14" t="s">
        <v>40</v>
      </c>
      <c r="D13" s="14" t="s">
        <v>41</v>
      </c>
      <c r="E13" s="14" t="s">
        <v>42</v>
      </c>
      <c r="F13" s="14" t="s">
        <v>43</v>
      </c>
    </row>
    <row r="14" customFormat="false" ht="15" hidden="false" customHeight="false" outlineLevel="0" collapsed="false">
      <c r="B14" s="1" t="n">
        <v>1</v>
      </c>
      <c r="C14" s="1" t="s">
        <v>44</v>
      </c>
      <c r="D14" s="1"/>
      <c r="E14" s="1"/>
      <c r="F14" s="15" t="s">
        <v>45</v>
      </c>
    </row>
    <row r="15" customFormat="false" ht="15" hidden="false" customHeight="false" outlineLevel="0" collapsed="false">
      <c r="B15" s="1" t="n">
        <v>2</v>
      </c>
      <c r="C15" s="1" t="s">
        <v>46</v>
      </c>
      <c r="D15" s="1"/>
      <c r="E15" s="1"/>
      <c r="F15" s="15" t="s">
        <v>45</v>
      </c>
    </row>
    <row r="16" customFormat="false" ht="15" hidden="false" customHeight="false" outlineLevel="0" collapsed="false">
      <c r="B16" s="1" t="n">
        <v>3</v>
      </c>
      <c r="C16" s="1" t="s">
        <v>47</v>
      </c>
      <c r="D16" s="1"/>
      <c r="E16" s="1"/>
      <c r="F16" s="15" t="s">
        <v>45</v>
      </c>
    </row>
    <row r="17" customFormat="false" ht="15" hidden="false" customHeight="false" outlineLevel="0" collapsed="false">
      <c r="B17" s="1" t="n">
        <v>4</v>
      </c>
      <c r="C17" s="1" t="s">
        <v>48</v>
      </c>
      <c r="D17" s="1"/>
      <c r="E17" s="1"/>
      <c r="F17" s="15" t="s">
        <v>45</v>
      </c>
    </row>
    <row r="18" customFormat="false" ht="15" hidden="false" customHeight="false" outlineLevel="0" collapsed="false">
      <c r="B18" s="1" t="n">
        <v>5</v>
      </c>
      <c r="C18" s="1" t="s">
        <v>49</v>
      </c>
      <c r="D18" s="1"/>
      <c r="E18" s="1"/>
      <c r="F18" s="15" t="s">
        <v>45</v>
      </c>
    </row>
    <row r="20" customFormat="false" ht="15" hidden="false" customHeight="false" outlineLevel="0" collapsed="false">
      <c r="B20" s="13" t="s">
        <v>50</v>
      </c>
      <c r="C20" s="13"/>
      <c r="D20" s="13"/>
      <c r="E20" s="13"/>
      <c r="F20" s="13"/>
    </row>
    <row r="21" customFormat="false" ht="15" hidden="false" customHeight="false" outlineLevel="0" collapsed="false">
      <c r="B21" s="14" t="s">
        <v>39</v>
      </c>
      <c r="C21" s="14" t="s">
        <v>40</v>
      </c>
      <c r="D21" s="14" t="s">
        <v>41</v>
      </c>
      <c r="E21" s="14" t="s">
        <v>42</v>
      </c>
      <c r="F21" s="14" t="s">
        <v>43</v>
      </c>
    </row>
    <row r="22" customFormat="false" ht="15" hidden="false" customHeight="false" outlineLevel="0" collapsed="false">
      <c r="B22" s="1" t="n">
        <v>1</v>
      </c>
      <c r="C22" s="1" t="s">
        <v>51</v>
      </c>
      <c r="D22" s="1"/>
      <c r="E22" s="1"/>
      <c r="F22" s="15" t="s">
        <v>45</v>
      </c>
    </row>
    <row r="23" customFormat="false" ht="15" hidden="false" customHeight="false" outlineLevel="0" collapsed="false">
      <c r="B23" s="1" t="n">
        <v>2</v>
      </c>
      <c r="C23" s="1" t="s">
        <v>52</v>
      </c>
      <c r="D23" s="1"/>
      <c r="E23" s="1"/>
      <c r="F23" s="15" t="s">
        <v>45</v>
      </c>
    </row>
    <row r="24" customFormat="false" ht="15" hidden="false" customHeight="false" outlineLevel="0" collapsed="false">
      <c r="B24" s="1" t="n">
        <v>3</v>
      </c>
      <c r="C24" s="1" t="s">
        <v>53</v>
      </c>
      <c r="D24" s="1"/>
      <c r="E24" s="1"/>
      <c r="F24" s="15" t="s">
        <v>45</v>
      </c>
    </row>
    <row r="25" customFormat="false" ht="15" hidden="false" customHeight="false" outlineLevel="0" collapsed="false">
      <c r="B25" s="1" t="n">
        <v>4</v>
      </c>
      <c r="C25" s="1" t="s">
        <v>54</v>
      </c>
      <c r="D25" s="1"/>
      <c r="E25" s="1"/>
      <c r="F25" s="15" t="s">
        <v>45</v>
      </c>
    </row>
    <row r="26" customFormat="false" ht="15" hidden="false" customHeight="false" outlineLevel="0" collapsed="false">
      <c r="B26" s="1" t="n">
        <v>5</v>
      </c>
      <c r="C26" s="1" t="s">
        <v>55</v>
      </c>
      <c r="D26" s="1"/>
      <c r="E26" s="1"/>
      <c r="F26" s="15" t="s">
        <v>45</v>
      </c>
    </row>
    <row r="28" customFormat="false" ht="15" hidden="false" customHeight="false" outlineLevel="0" collapsed="false">
      <c r="B28" s="13" t="s">
        <v>56</v>
      </c>
      <c r="C28" s="13"/>
      <c r="D28" s="13"/>
      <c r="E28" s="13"/>
      <c r="F28" s="13"/>
    </row>
    <row r="29" customFormat="false" ht="15" hidden="false" customHeight="false" outlineLevel="0" collapsed="false">
      <c r="B29" s="14" t="s">
        <v>39</v>
      </c>
      <c r="C29" s="14" t="s">
        <v>40</v>
      </c>
      <c r="D29" s="14" t="s">
        <v>41</v>
      </c>
      <c r="E29" s="14" t="s">
        <v>42</v>
      </c>
      <c r="F29" s="14" t="s">
        <v>43</v>
      </c>
    </row>
    <row r="30" customFormat="false" ht="15" hidden="false" customHeight="false" outlineLevel="0" collapsed="false">
      <c r="B30" s="1" t="n">
        <v>1</v>
      </c>
      <c r="C30" s="1" t="s">
        <v>57</v>
      </c>
      <c r="D30" s="1"/>
      <c r="E30" s="1"/>
      <c r="F30" s="15" t="s">
        <v>45</v>
      </c>
    </row>
    <row r="31" customFormat="false" ht="15" hidden="false" customHeight="false" outlineLevel="0" collapsed="false">
      <c r="B31" s="1" t="n">
        <v>2</v>
      </c>
      <c r="C31" s="1" t="s">
        <v>58</v>
      </c>
      <c r="D31" s="1"/>
      <c r="E31" s="1"/>
      <c r="F31" s="15" t="s">
        <v>45</v>
      </c>
    </row>
    <row r="32" customFormat="false" ht="15" hidden="false" customHeight="false" outlineLevel="0" collapsed="false">
      <c r="B32" s="1" t="n">
        <v>3</v>
      </c>
      <c r="C32" s="1" t="s">
        <v>59</v>
      </c>
      <c r="D32" s="1"/>
      <c r="E32" s="1"/>
      <c r="F32" s="15" t="s">
        <v>45</v>
      </c>
    </row>
    <row r="33" customFormat="false" ht="15" hidden="false" customHeight="false" outlineLevel="0" collapsed="false">
      <c r="B33" s="1" t="n">
        <v>4</v>
      </c>
      <c r="C33" s="1" t="s">
        <v>60</v>
      </c>
      <c r="D33" s="1"/>
      <c r="E33" s="1"/>
      <c r="F33" s="15" t="s">
        <v>45</v>
      </c>
    </row>
    <row r="34" customFormat="false" ht="15" hidden="false" customHeight="false" outlineLevel="0" collapsed="false">
      <c r="B34" s="1" t="n">
        <v>5</v>
      </c>
      <c r="C34" s="1" t="s">
        <v>61</v>
      </c>
      <c r="D34" s="1"/>
      <c r="E34" s="1"/>
      <c r="F34" s="15" t="s">
        <v>45</v>
      </c>
    </row>
    <row r="36" customFormat="false" ht="15" hidden="false" customHeight="false" outlineLevel="0" collapsed="false">
      <c r="B36" s="13" t="s">
        <v>62</v>
      </c>
      <c r="C36" s="13"/>
      <c r="D36" s="13"/>
      <c r="E36" s="13"/>
      <c r="F36" s="13"/>
    </row>
    <row r="37" customFormat="false" ht="15" hidden="false" customHeight="false" outlineLevel="0" collapsed="false">
      <c r="B37" s="14" t="s">
        <v>39</v>
      </c>
      <c r="C37" s="14" t="s">
        <v>40</v>
      </c>
      <c r="D37" s="14" t="s">
        <v>41</v>
      </c>
      <c r="E37" s="14" t="s">
        <v>42</v>
      </c>
      <c r="F37" s="14" t="s">
        <v>43</v>
      </c>
    </row>
    <row r="38" customFormat="false" ht="15" hidden="false" customHeight="false" outlineLevel="0" collapsed="false">
      <c r="B38" s="1" t="n">
        <v>1</v>
      </c>
      <c r="C38" s="1" t="s">
        <v>63</v>
      </c>
      <c r="D38" s="1"/>
      <c r="E38" s="1"/>
      <c r="F38" s="15" t="s">
        <v>45</v>
      </c>
    </row>
    <row r="39" customFormat="false" ht="15" hidden="false" customHeight="false" outlineLevel="0" collapsed="false">
      <c r="B39" s="1" t="n">
        <v>2</v>
      </c>
      <c r="C39" s="1" t="s">
        <v>64</v>
      </c>
      <c r="D39" s="1"/>
      <c r="E39" s="1"/>
      <c r="F39" s="15" t="s">
        <v>45</v>
      </c>
    </row>
    <row r="40" customFormat="false" ht="15" hidden="false" customHeight="false" outlineLevel="0" collapsed="false">
      <c r="B40" s="1" t="n">
        <v>3</v>
      </c>
      <c r="C40" s="1" t="s">
        <v>65</v>
      </c>
      <c r="D40" s="1"/>
      <c r="E40" s="1"/>
      <c r="F40" s="15" t="s">
        <v>45</v>
      </c>
    </row>
    <row r="41" customFormat="false" ht="15" hidden="false" customHeight="false" outlineLevel="0" collapsed="false">
      <c r="B41" s="1" t="n">
        <v>4</v>
      </c>
      <c r="C41" s="1" t="s">
        <v>66</v>
      </c>
      <c r="D41" s="1"/>
      <c r="E41" s="1"/>
      <c r="F41" s="15" t="s">
        <v>45</v>
      </c>
    </row>
    <row r="42" customFormat="false" ht="15" hidden="false" customHeight="false" outlineLevel="0" collapsed="false">
      <c r="B42" s="1" t="n">
        <v>5</v>
      </c>
      <c r="C42" s="1" t="s">
        <v>67</v>
      </c>
      <c r="D42" s="1"/>
      <c r="E42" s="1"/>
      <c r="F42" s="15" t="s">
        <v>45</v>
      </c>
    </row>
    <row r="44" customFormat="false" ht="15" hidden="false" customHeight="false" outlineLevel="0" collapsed="false">
      <c r="B44" s="13" t="s">
        <v>68</v>
      </c>
      <c r="C44" s="13"/>
      <c r="D44" s="13"/>
      <c r="E44" s="13"/>
      <c r="F44" s="13"/>
    </row>
    <row r="45" customFormat="false" ht="15" hidden="false" customHeight="false" outlineLevel="0" collapsed="false">
      <c r="B45" s="14" t="s">
        <v>39</v>
      </c>
      <c r="C45" s="14" t="s">
        <v>40</v>
      </c>
      <c r="D45" s="14" t="s">
        <v>41</v>
      </c>
      <c r="E45" s="14" t="s">
        <v>42</v>
      </c>
      <c r="F45" s="14" t="s">
        <v>43</v>
      </c>
    </row>
    <row r="46" customFormat="false" ht="15" hidden="false" customHeight="false" outlineLevel="0" collapsed="false">
      <c r="B46" s="1" t="n">
        <v>1</v>
      </c>
      <c r="C46" s="1" t="s">
        <v>69</v>
      </c>
      <c r="D46" s="1"/>
      <c r="E46" s="1"/>
      <c r="F46" s="15" t="s">
        <v>45</v>
      </c>
    </row>
    <row r="47" customFormat="false" ht="15" hidden="false" customHeight="false" outlineLevel="0" collapsed="false">
      <c r="B47" s="1" t="n">
        <v>2</v>
      </c>
      <c r="C47" s="1" t="s">
        <v>70</v>
      </c>
      <c r="D47" s="1"/>
      <c r="E47" s="1"/>
      <c r="F47" s="15" t="s">
        <v>45</v>
      </c>
    </row>
    <row r="48" customFormat="false" ht="15" hidden="false" customHeight="false" outlineLevel="0" collapsed="false">
      <c r="B48" s="1" t="n">
        <v>3</v>
      </c>
      <c r="C48" s="1" t="s">
        <v>71</v>
      </c>
      <c r="D48" s="1"/>
      <c r="E48" s="1"/>
      <c r="F48" s="15" t="s">
        <v>45</v>
      </c>
    </row>
    <row r="49" customFormat="false" ht="15" hidden="false" customHeight="false" outlineLevel="0" collapsed="false">
      <c r="B49" s="1" t="n">
        <v>4</v>
      </c>
      <c r="C49" s="1" t="s">
        <v>72</v>
      </c>
      <c r="D49" s="1"/>
      <c r="E49" s="1"/>
      <c r="F49" s="15" t="s">
        <v>45</v>
      </c>
    </row>
    <row r="50" customFormat="false" ht="15" hidden="false" customHeight="false" outlineLevel="0" collapsed="false">
      <c r="B50" s="1" t="n">
        <v>5</v>
      </c>
      <c r="C50" s="1" t="s">
        <v>73</v>
      </c>
      <c r="D50" s="1"/>
      <c r="E50" s="1"/>
      <c r="F50" s="15" t="s">
        <v>45</v>
      </c>
    </row>
    <row r="52" customFormat="false" ht="15" hidden="false" customHeight="false" outlineLevel="0" collapsed="false">
      <c r="B52" s="13" t="s">
        <v>74</v>
      </c>
      <c r="C52" s="13"/>
      <c r="D52" s="13"/>
      <c r="E52" s="13"/>
      <c r="F52" s="13"/>
    </row>
    <row r="53" customFormat="false" ht="15" hidden="false" customHeight="false" outlineLevel="0" collapsed="false">
      <c r="B53" s="14" t="s">
        <v>39</v>
      </c>
      <c r="C53" s="14" t="s">
        <v>40</v>
      </c>
      <c r="D53" s="14" t="s">
        <v>41</v>
      </c>
      <c r="E53" s="14" t="s">
        <v>42</v>
      </c>
      <c r="F53" s="14" t="s">
        <v>43</v>
      </c>
    </row>
    <row r="54" customFormat="false" ht="15" hidden="false" customHeight="false" outlineLevel="0" collapsed="false">
      <c r="B54" s="1" t="n">
        <v>1</v>
      </c>
      <c r="C54" s="1" t="s">
        <v>75</v>
      </c>
      <c r="D54" s="1"/>
      <c r="E54" s="1"/>
      <c r="F54" s="15" t="s">
        <v>45</v>
      </c>
    </row>
    <row r="55" customFormat="false" ht="15" hidden="false" customHeight="false" outlineLevel="0" collapsed="false">
      <c r="B55" s="1" t="n">
        <v>2</v>
      </c>
      <c r="C55" s="1" t="s">
        <v>76</v>
      </c>
      <c r="D55" s="1"/>
      <c r="E55" s="1"/>
      <c r="F55" s="15" t="s">
        <v>45</v>
      </c>
    </row>
    <row r="56" customFormat="false" ht="15" hidden="false" customHeight="false" outlineLevel="0" collapsed="false">
      <c r="B56" s="1" t="n">
        <v>3</v>
      </c>
      <c r="C56" s="1" t="s">
        <v>77</v>
      </c>
      <c r="D56" s="1"/>
      <c r="E56" s="1"/>
      <c r="F56" s="15" t="s">
        <v>45</v>
      </c>
    </row>
    <row r="57" customFormat="false" ht="15" hidden="false" customHeight="false" outlineLevel="0" collapsed="false">
      <c r="B57" s="1" t="n">
        <v>4</v>
      </c>
      <c r="C57" s="1" t="s">
        <v>78</v>
      </c>
      <c r="D57" s="1"/>
      <c r="E57" s="1"/>
      <c r="F57" s="15" t="s">
        <v>45</v>
      </c>
    </row>
    <row r="58" customFormat="false" ht="15" hidden="false" customHeight="false" outlineLevel="0" collapsed="false">
      <c r="B58" s="1" t="n">
        <v>5</v>
      </c>
      <c r="C58" s="1" t="s">
        <v>79</v>
      </c>
      <c r="D58" s="1"/>
      <c r="E58" s="1"/>
      <c r="F58" s="15" t="s">
        <v>45</v>
      </c>
    </row>
    <row r="60" customFormat="false" ht="15" hidden="false" customHeight="false" outlineLevel="0" collapsed="false">
      <c r="B60" s="13" t="s">
        <v>80</v>
      </c>
      <c r="C60" s="13"/>
      <c r="D60" s="13"/>
      <c r="E60" s="13"/>
      <c r="F60" s="13"/>
    </row>
    <row r="61" customFormat="false" ht="15" hidden="false" customHeight="false" outlineLevel="0" collapsed="false">
      <c r="B61" s="14" t="s">
        <v>81</v>
      </c>
      <c r="C61" s="14" t="s">
        <v>82</v>
      </c>
      <c r="D61" s="14" t="s">
        <v>83</v>
      </c>
      <c r="E61" s="14" t="s">
        <v>84</v>
      </c>
      <c r="F61" s="14" t="s">
        <v>85</v>
      </c>
    </row>
    <row r="62" customFormat="false" ht="15" hidden="false" customHeight="false" outlineLevel="0" collapsed="false">
      <c r="B62" s="1" t="s">
        <v>86</v>
      </c>
      <c r="C62" s="1" t="s">
        <v>87</v>
      </c>
      <c r="D62" s="1" t="s">
        <v>88</v>
      </c>
      <c r="E62" s="1" t="s">
        <v>89</v>
      </c>
      <c r="F62" s="1"/>
    </row>
    <row r="63" customFormat="false" ht="15" hidden="false" customHeight="false" outlineLevel="0" collapsed="false">
      <c r="B63" s="1" t="s">
        <v>90</v>
      </c>
      <c r="C63" s="1" t="s">
        <v>91</v>
      </c>
      <c r="D63" s="1" t="s">
        <v>92</v>
      </c>
      <c r="E63" s="1" t="s">
        <v>89</v>
      </c>
      <c r="F63" s="1"/>
    </row>
  </sheetData>
  <mergeCells count="15">
    <mergeCell ref="B2:F2"/>
    <mergeCell ref="C4:F4"/>
    <mergeCell ref="C5:F5"/>
    <mergeCell ref="C6:F6"/>
    <mergeCell ref="C7:F7"/>
    <mergeCell ref="C8:F8"/>
    <mergeCell ref="C9:F9"/>
    <mergeCell ref="C10:F10"/>
    <mergeCell ref="B12:F12"/>
    <mergeCell ref="B20:F20"/>
    <mergeCell ref="B28:F28"/>
    <mergeCell ref="B36:F36"/>
    <mergeCell ref="B44:F44"/>
    <mergeCell ref="B52:F52"/>
    <mergeCell ref="B60:F60"/>
  </mergeCells>
  <dataValidations count="6">
    <dataValidation allowBlank="false" errorStyle="stop" operator="between" showDropDown="false" showErrorMessage="false" showInputMessage="false" sqref="F14:F18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22:F26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30:F34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38:F42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46:F50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54:F58" type="list">
      <formula1>"OPEN,IN REVIEW,CLOSED,NOT APPLICABLE"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13"/>
    <col collapsed="false" customWidth="true" hidden="false" outlineLevel="0" max="3" min="3" style="0" width="22"/>
    <col collapsed="false" customWidth="true" hidden="false" outlineLevel="0" max="4" min="4" style="0" width="52"/>
    <col collapsed="false" customWidth="true" hidden="false" outlineLevel="0" max="5" min="5" style="0" width="46"/>
    <col collapsed="false" customWidth="true" hidden="false" outlineLevel="0" max="6" min="6" style="0" width="36"/>
    <col collapsed="false" customWidth="true" hidden="false" outlineLevel="0" max="7" min="7" style="0" width="14"/>
    <col collapsed="false" customWidth="true" hidden="false" outlineLevel="0" max="8" min="8" style="0" width="18"/>
    <col collapsed="false" customWidth="true" hidden="false" outlineLevel="0" max="9" min="9" style="0" width="14"/>
  </cols>
  <sheetData>
    <row r="2" customFormat="false" ht="18.55" hidden="false" customHeight="false" outlineLevel="0" collapsed="false">
      <c r="B2" s="10" t="s">
        <v>93</v>
      </c>
      <c r="C2" s="10"/>
      <c r="D2" s="10"/>
      <c r="E2" s="10"/>
      <c r="F2" s="10"/>
      <c r="G2" s="10"/>
      <c r="H2" s="10"/>
      <c r="I2" s="10"/>
    </row>
    <row r="4" customFormat="false" ht="15" hidden="false" customHeight="false" outlineLevel="0" collapsed="false">
      <c r="B4" s="14" t="s">
        <v>94</v>
      </c>
      <c r="C4" s="14" t="s">
        <v>95</v>
      </c>
      <c r="D4" s="14" t="s">
        <v>96</v>
      </c>
      <c r="E4" s="14" t="s">
        <v>97</v>
      </c>
      <c r="F4" s="14" t="s">
        <v>98</v>
      </c>
      <c r="G4" s="14" t="s">
        <v>99</v>
      </c>
      <c r="H4" s="14" t="s">
        <v>43</v>
      </c>
      <c r="I4" s="14" t="s">
        <v>100</v>
      </c>
    </row>
    <row r="5" customFormat="false" ht="15" hidden="false" customHeight="false" outlineLevel="0" collapsed="false">
      <c r="B5" s="1"/>
      <c r="C5" s="1"/>
      <c r="D5" s="1" t="s">
        <v>69</v>
      </c>
      <c r="E5" s="1"/>
      <c r="F5" s="1"/>
      <c r="G5" s="1"/>
      <c r="H5" s="15" t="s">
        <v>45</v>
      </c>
      <c r="I5" s="1"/>
    </row>
    <row r="6" customFormat="false" ht="15" hidden="false" customHeight="false" outlineLevel="0" collapsed="false">
      <c r="B6" s="1"/>
      <c r="C6" s="1"/>
      <c r="D6" s="1" t="s">
        <v>70</v>
      </c>
      <c r="E6" s="1"/>
      <c r="F6" s="1"/>
      <c r="G6" s="1"/>
      <c r="H6" s="15" t="s">
        <v>45</v>
      </c>
      <c r="I6" s="1"/>
    </row>
    <row r="7" customFormat="false" ht="15" hidden="false" customHeight="false" outlineLevel="0" collapsed="false">
      <c r="B7" s="1"/>
      <c r="C7" s="1"/>
      <c r="D7" s="1" t="s">
        <v>71</v>
      </c>
      <c r="E7" s="1"/>
      <c r="F7" s="1"/>
      <c r="G7" s="1"/>
      <c r="H7" s="15" t="s">
        <v>45</v>
      </c>
      <c r="I7" s="1"/>
    </row>
    <row r="8" customFormat="false" ht="15" hidden="false" customHeight="false" outlineLevel="0" collapsed="false">
      <c r="B8" s="1"/>
      <c r="C8" s="1"/>
      <c r="D8" s="1" t="s">
        <v>72</v>
      </c>
      <c r="E8" s="1"/>
      <c r="F8" s="1"/>
      <c r="G8" s="1"/>
      <c r="H8" s="15" t="s">
        <v>45</v>
      </c>
      <c r="I8" s="1"/>
    </row>
    <row r="9" customFormat="false" ht="15" hidden="false" customHeight="false" outlineLevel="0" collapsed="false">
      <c r="B9" s="1"/>
      <c r="C9" s="1"/>
      <c r="D9" s="1" t="s">
        <v>73</v>
      </c>
      <c r="E9" s="1"/>
      <c r="F9" s="1"/>
      <c r="G9" s="1"/>
      <c r="H9" s="15" t="s">
        <v>45</v>
      </c>
      <c r="I9" s="1"/>
    </row>
  </sheetData>
  <mergeCells count="1">
    <mergeCell ref="B2:I2"/>
  </mergeCells>
  <dataValidations count="2">
    <dataValidation allowBlank="false" errorStyle="stop" operator="between" showDropDown="false" showErrorMessage="false" showInputMessage="false" sqref="H5:H54" type="list">
      <formula1>"OPEN,IN REVIEW,REMEDIATED,ACCEPTED RISK,CLOSED"</formula1>
      <formula2>0</formula2>
    </dataValidation>
    <dataValidation allowBlank="false" errorStyle="stop" operator="between" showDropDown="false" showErrorMessage="false" showInputMessage="false" sqref="G5:G54" type="list">
      <formula1>"LOW,MEDIUM,HIGH,CRITICAL"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24"/>
    <col collapsed="false" customWidth="true" hidden="false" outlineLevel="0" max="3" min="3" style="0" width="18"/>
    <col collapsed="false" customWidth="true" hidden="false" outlineLevel="0" max="4" min="4" style="0" width="42"/>
    <col collapsed="false" customWidth="true" hidden="false" outlineLevel="0" max="5" min="5" style="0" width="24"/>
    <col collapsed="false" customWidth="true" hidden="false" outlineLevel="0" max="6" min="6" style="0" width="18"/>
    <col collapsed="false" customWidth="true" hidden="false" outlineLevel="0" max="7" min="7" style="0" width="22"/>
    <col collapsed="false" customWidth="true" hidden="false" outlineLevel="0" max="8" min="8" style="0" width="42"/>
    <col collapsed="false" customWidth="true" hidden="false" outlineLevel="0" max="9" min="9" style="0" width="30"/>
    <col collapsed="false" customWidth="true" hidden="false" outlineLevel="0" max="10" min="10" style="0" width="15"/>
  </cols>
  <sheetData>
    <row r="2" customFormat="false" ht="18.55" hidden="false" customHeight="false" outlineLevel="0" collapsed="false">
      <c r="B2" s="10" t="s">
        <v>101</v>
      </c>
      <c r="C2" s="10"/>
      <c r="D2" s="10"/>
      <c r="E2" s="10"/>
      <c r="F2" s="10"/>
      <c r="G2" s="10"/>
      <c r="H2" s="10"/>
      <c r="I2" s="10"/>
      <c r="J2" s="10"/>
    </row>
    <row r="4" customFormat="false" ht="15" hidden="false" customHeight="false" outlineLevel="0" collapsed="false">
      <c r="B4" s="14" t="s">
        <v>102</v>
      </c>
      <c r="C4" s="14" t="s">
        <v>103</v>
      </c>
      <c r="D4" s="14" t="s">
        <v>104</v>
      </c>
      <c r="E4" s="14" t="s">
        <v>105</v>
      </c>
      <c r="F4" s="14" t="s">
        <v>106</v>
      </c>
      <c r="G4" s="14" t="s">
        <v>41</v>
      </c>
      <c r="H4" s="14" t="s">
        <v>107</v>
      </c>
      <c r="I4" s="14" t="s">
        <v>108</v>
      </c>
      <c r="J4" s="14" t="s">
        <v>43</v>
      </c>
    </row>
    <row r="5" customFormat="false" ht="15" hidden="false" customHeight="false" outlineLevel="0" collapsed="false">
      <c r="B5" s="1" t="s">
        <v>109</v>
      </c>
      <c r="C5" s="1" t="s">
        <v>110</v>
      </c>
      <c r="D5" s="1" t="s">
        <v>111</v>
      </c>
      <c r="E5" s="1"/>
      <c r="F5" s="1"/>
      <c r="G5" s="1"/>
      <c r="H5" s="1"/>
      <c r="I5" s="1"/>
      <c r="J5" s="15" t="s">
        <v>112</v>
      </c>
    </row>
    <row r="6" customFormat="false" ht="15" hidden="false" customHeight="false" outlineLevel="0" collapsed="false">
      <c r="B6" s="1" t="s">
        <v>113</v>
      </c>
      <c r="C6" s="1" t="s">
        <v>110</v>
      </c>
      <c r="D6" s="1" t="s">
        <v>114</v>
      </c>
      <c r="E6" s="1"/>
      <c r="F6" s="1"/>
      <c r="G6" s="1"/>
      <c r="H6" s="1"/>
      <c r="I6" s="1"/>
      <c r="J6" s="15" t="s">
        <v>112</v>
      </c>
    </row>
    <row r="7" customFormat="false" ht="15" hidden="false" customHeight="false" outlineLevel="0" collapsed="false">
      <c r="B7" s="1" t="s">
        <v>115</v>
      </c>
      <c r="C7" s="1" t="s">
        <v>116</v>
      </c>
      <c r="D7" s="1" t="s">
        <v>117</v>
      </c>
      <c r="E7" s="1"/>
      <c r="F7" s="1"/>
      <c r="G7" s="1"/>
      <c r="H7" s="1"/>
      <c r="I7" s="1"/>
      <c r="J7" s="15" t="s">
        <v>112</v>
      </c>
    </row>
    <row r="8" customFormat="false" ht="15" hidden="false" customHeight="false" outlineLevel="0" collapsed="false">
      <c r="B8" s="1" t="s">
        <v>118</v>
      </c>
      <c r="C8" s="1" t="s">
        <v>119</v>
      </c>
      <c r="D8" s="1" t="s">
        <v>120</v>
      </c>
      <c r="E8" s="1"/>
      <c r="F8" s="1"/>
      <c r="G8" s="1"/>
      <c r="H8" s="1"/>
      <c r="I8" s="1"/>
      <c r="J8" s="15" t="s">
        <v>112</v>
      </c>
    </row>
  </sheetData>
  <mergeCells count="1">
    <mergeCell ref="B2:J2"/>
  </mergeCells>
  <dataValidations count="1">
    <dataValidation allowBlank="false" errorStyle="stop" operator="between" showDropDown="false" showErrorMessage="false" showInputMessage="false" sqref="J5:J40" type="list">
      <formula1>"TO MAP,ACTIVE,STALE,EXCEPTION,RETIRED"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46"/>
    <col collapsed="false" customWidth="true" hidden="false" outlineLevel="0" max="5" min="3" style="1" width="15"/>
    <col collapsed="false" customWidth="true" hidden="false" outlineLevel="0" max="6" min="6" style="1" width="32"/>
  </cols>
  <sheetData>
    <row r="2" customFormat="false" ht="27.75" hidden="false" customHeight="true" outlineLevel="0" collapsed="false">
      <c r="B2" s="2" t="s">
        <v>121</v>
      </c>
      <c r="C2" s="2"/>
      <c r="D2" s="2"/>
      <c r="E2" s="2"/>
      <c r="F2" s="2"/>
    </row>
    <row r="4" customFormat="false" ht="15" hidden="false" customHeight="true" outlineLevel="0" collapsed="false">
      <c r="B4" s="16" t="s">
        <v>122</v>
      </c>
      <c r="C4" s="16" t="s">
        <v>11</v>
      </c>
      <c r="D4" s="16" t="s">
        <v>123</v>
      </c>
      <c r="E4" s="16" t="s">
        <v>124</v>
      </c>
      <c r="F4" s="16" t="s">
        <v>125</v>
      </c>
    </row>
    <row r="5" customFormat="false" ht="15" hidden="false" customHeight="true" outlineLevel="0" collapsed="false">
      <c r="B5" s="1" t="s">
        <v>126</v>
      </c>
      <c r="C5" s="17" t="n">
        <v>650</v>
      </c>
      <c r="D5" s="18" t="n">
        <v>600</v>
      </c>
      <c r="E5" s="19" t="n">
        <f aca="false">IF(Cover!$C$9="Downside",D5,C5)</f>
        <v>650</v>
      </c>
      <c r="F5" s="1" t="s">
        <v>127</v>
      </c>
    </row>
    <row r="6" customFormat="false" ht="15" hidden="false" customHeight="true" outlineLevel="0" collapsed="false">
      <c r="B6" s="1" t="s">
        <v>128</v>
      </c>
      <c r="C6" s="20" t="n">
        <v>0.22</v>
      </c>
      <c r="D6" s="21" t="n">
        <v>0.17</v>
      </c>
      <c r="E6" s="22" t="n">
        <f aca="false">IF(Cover!$C$9="Downside",D6,C6)</f>
        <v>0.22</v>
      </c>
      <c r="F6" s="1" t="s">
        <v>129</v>
      </c>
    </row>
    <row r="7" customFormat="false" ht="15" hidden="false" customHeight="true" outlineLevel="0" collapsed="false">
      <c r="B7" s="1" t="s">
        <v>130</v>
      </c>
      <c r="C7" s="20" t="n">
        <v>0.055</v>
      </c>
      <c r="D7" s="21" t="n">
        <v>-0.02</v>
      </c>
      <c r="E7" s="22" t="n">
        <f aca="false">IF(Cover!$C$9="Downside",D7,C7)</f>
        <v>0.055</v>
      </c>
      <c r="F7" s="1" t="s">
        <v>129</v>
      </c>
    </row>
    <row r="8" customFormat="false" ht="15" hidden="false" customHeight="true" outlineLevel="0" collapsed="false">
      <c r="B8" s="1" t="s">
        <v>131</v>
      </c>
      <c r="C8" s="23" t="n">
        <v>0.005</v>
      </c>
      <c r="D8" s="23" t="n">
        <v>-0.003</v>
      </c>
      <c r="E8" s="24" t="n">
        <f aca="false">IF(Cover!$C$9="Downside",D8,C8)</f>
        <v>0.005</v>
      </c>
      <c r="F8" s="1" t="s">
        <v>132</v>
      </c>
    </row>
    <row r="9" customFormat="false" ht="15" hidden="false" customHeight="true" outlineLevel="0" collapsed="false">
      <c r="B9" s="1" t="s">
        <v>133</v>
      </c>
      <c r="C9" s="21" t="n">
        <v>0.025</v>
      </c>
      <c r="D9" s="21" t="n">
        <v>0.025</v>
      </c>
      <c r="E9" s="22" t="n">
        <f aca="false">IF(Cover!$C$9="Downside",D9,C9)</f>
        <v>0.025</v>
      </c>
      <c r="F9" s="1" t="s">
        <v>129</v>
      </c>
    </row>
    <row r="10" customFormat="false" ht="15" hidden="false" customHeight="true" outlineLevel="0" collapsed="false">
      <c r="B10" s="1" t="s">
        <v>134</v>
      </c>
      <c r="C10" s="21" t="n">
        <v>0.035</v>
      </c>
      <c r="D10" s="21" t="n">
        <v>0.045</v>
      </c>
      <c r="E10" s="22" t="n">
        <f aca="false">IF(Cover!$C$9="Downside",D10,C10)</f>
        <v>0.035</v>
      </c>
      <c r="F10" s="1" t="s">
        <v>129</v>
      </c>
    </row>
    <row r="11" customFormat="false" ht="15" hidden="false" customHeight="true" outlineLevel="0" collapsed="false">
      <c r="B11" s="1" t="s">
        <v>135</v>
      </c>
      <c r="C11" s="21" t="n">
        <v>0.08</v>
      </c>
      <c r="D11" s="21" t="n">
        <v>0.1</v>
      </c>
      <c r="E11" s="22" t="n">
        <f aca="false">IF(Cover!$C$9="Downside",D11,C11)</f>
        <v>0.08</v>
      </c>
      <c r="F11" s="1" t="s">
        <v>129</v>
      </c>
    </row>
    <row r="12" customFormat="false" ht="15" hidden="false" customHeight="true" outlineLevel="0" collapsed="false">
      <c r="B12" s="1" t="s">
        <v>136</v>
      </c>
      <c r="C12" s="21" t="n">
        <v>0.25</v>
      </c>
      <c r="D12" s="21" t="n">
        <v>0.2</v>
      </c>
      <c r="E12" s="22" t="n">
        <f aca="false">IF(Cover!$C$9="Downside",D12,C12)</f>
        <v>0.25</v>
      </c>
      <c r="F12" s="1" t="s">
        <v>129</v>
      </c>
    </row>
    <row r="13" customFormat="false" ht="15" hidden="false" customHeight="true" outlineLevel="0" collapsed="false">
      <c r="B13" s="1" t="s">
        <v>137</v>
      </c>
      <c r="C13" s="25" t="n">
        <v>10.5</v>
      </c>
      <c r="D13" s="26" t="n">
        <v>9</v>
      </c>
      <c r="E13" s="27" t="n">
        <f aca="false">IF(Cover!$C$9="Downside",D13,C13)</f>
        <v>10.5</v>
      </c>
      <c r="F13" s="1" t="s">
        <v>138</v>
      </c>
    </row>
    <row r="14" customFormat="false" ht="15" hidden="false" customHeight="true" outlineLevel="0" collapsed="false">
      <c r="B14" s="1" t="s">
        <v>139</v>
      </c>
      <c r="C14" s="21" t="n">
        <v>0.02</v>
      </c>
      <c r="D14" s="21" t="n">
        <v>0.025</v>
      </c>
      <c r="E14" s="22" t="n">
        <f aca="false">IF(Cover!$C$9="Downside",D14,C14)</f>
        <v>0.02</v>
      </c>
      <c r="F14" s="1" t="s">
        <v>129</v>
      </c>
    </row>
    <row r="15" customFormat="false" ht="15" hidden="false" customHeight="true" outlineLevel="0" collapsed="false">
      <c r="B15" s="1" t="s">
        <v>140</v>
      </c>
      <c r="C15" s="18" t="n">
        <v>100</v>
      </c>
      <c r="D15" s="18" t="n">
        <v>100</v>
      </c>
      <c r="E15" s="19" t="n">
        <f aca="false">IF(Cover!$C$9="Downside",D15,C15)</f>
        <v>100</v>
      </c>
      <c r="F15" s="1" t="s">
        <v>127</v>
      </c>
    </row>
    <row r="16" customFormat="false" ht="15" hidden="false" customHeight="true" outlineLevel="0" collapsed="false">
      <c r="B16" s="1" t="s">
        <v>141</v>
      </c>
      <c r="C16" s="18" t="n">
        <v>20</v>
      </c>
      <c r="D16" s="18" t="n">
        <v>25</v>
      </c>
      <c r="E16" s="19" t="n">
        <f aca="false">IF(Cover!$C$9="Downside",D16,C16)</f>
        <v>20</v>
      </c>
      <c r="F16" s="1" t="s">
        <v>127</v>
      </c>
    </row>
    <row r="17" customFormat="false" ht="15" hidden="false" customHeight="true" outlineLevel="0" collapsed="false">
      <c r="B17" s="1" t="s">
        <v>142</v>
      </c>
      <c r="C17" s="18" t="n">
        <v>75</v>
      </c>
      <c r="D17" s="18" t="n">
        <v>75</v>
      </c>
      <c r="E17" s="19" t="n">
        <f aca="false">IF(Cover!$C$9="Downside",D17,C17)</f>
        <v>75</v>
      </c>
      <c r="F17" s="1" t="s">
        <v>127</v>
      </c>
    </row>
    <row r="18" customFormat="false" ht="15" hidden="false" customHeight="true" outlineLevel="0" collapsed="false">
      <c r="B18" s="1" t="s">
        <v>143</v>
      </c>
      <c r="C18" s="23" t="n">
        <v>0.09</v>
      </c>
      <c r="D18" s="23" t="n">
        <v>0.115</v>
      </c>
      <c r="E18" s="24" t="n">
        <f aca="false">IF(Cover!$C$9="Downside",D18,C18)</f>
        <v>0.09</v>
      </c>
      <c r="F18" s="1" t="s">
        <v>129</v>
      </c>
    </row>
    <row r="19" customFormat="false" ht="15" hidden="false" customHeight="true" outlineLevel="0" collapsed="false">
      <c r="B19" s="1" t="s">
        <v>144</v>
      </c>
      <c r="C19" s="25" t="n">
        <v>4.25</v>
      </c>
      <c r="D19" s="26" t="n">
        <v>3.5</v>
      </c>
      <c r="E19" s="27" t="n">
        <f aca="false">IF(Cover!$C$9="Downside",D19,C19)</f>
        <v>4.25</v>
      </c>
      <c r="F19" s="1" t="s">
        <v>145</v>
      </c>
    </row>
    <row r="20" customFormat="false" ht="15" hidden="false" customHeight="true" outlineLevel="0" collapsed="false">
      <c r="B20" s="1" t="s">
        <v>146</v>
      </c>
      <c r="C20" s="23" t="n">
        <v>0.085</v>
      </c>
      <c r="D20" s="23" t="n">
        <v>0.105</v>
      </c>
      <c r="E20" s="24" t="n">
        <f aca="false">IF(Cover!$C$9="Downside",D20,C20)</f>
        <v>0.085</v>
      </c>
      <c r="F20" s="1" t="s">
        <v>129</v>
      </c>
    </row>
    <row r="21" customFormat="false" ht="15" hidden="false" customHeight="true" outlineLevel="0" collapsed="false">
      <c r="B21" s="1" t="s">
        <v>147</v>
      </c>
      <c r="C21" s="21" t="n">
        <v>0.01</v>
      </c>
      <c r="D21" s="21" t="n">
        <v>0.01</v>
      </c>
      <c r="E21" s="22" t="n">
        <f aca="false">IF(Cover!$C$9="Downside",D21,C21)</f>
        <v>0.01</v>
      </c>
      <c r="F21" s="1" t="s">
        <v>148</v>
      </c>
    </row>
    <row r="22" customFormat="false" ht="15" hidden="false" customHeight="true" outlineLevel="0" collapsed="false">
      <c r="B22" s="1" t="s">
        <v>149</v>
      </c>
      <c r="C22" s="25" t="n">
        <v>1.25</v>
      </c>
      <c r="D22" s="26" t="n">
        <v>1</v>
      </c>
      <c r="E22" s="27" t="n">
        <f aca="false">IF(Cover!$C$9="Downside",D22,C22)</f>
        <v>1.25</v>
      </c>
      <c r="F22" s="1" t="s">
        <v>145</v>
      </c>
    </row>
    <row r="23" customFormat="false" ht="15" hidden="false" customHeight="true" outlineLevel="0" collapsed="false">
      <c r="B23" s="1" t="s">
        <v>150</v>
      </c>
      <c r="C23" s="23" t="n">
        <v>0.11</v>
      </c>
      <c r="D23" s="23" t="n">
        <v>0.13</v>
      </c>
      <c r="E23" s="24" t="n">
        <f aca="false">IF(Cover!$C$9="Downside",D23,C23)</f>
        <v>0.11</v>
      </c>
      <c r="F23" s="1" t="s">
        <v>129</v>
      </c>
    </row>
    <row r="24" customFormat="false" ht="15" hidden="false" customHeight="true" outlineLevel="0" collapsed="false">
      <c r="B24" s="1" t="s">
        <v>151</v>
      </c>
      <c r="C24" s="23" t="n">
        <v>0.03</v>
      </c>
      <c r="D24" s="23" t="n">
        <v>0.05</v>
      </c>
      <c r="E24" s="24" t="n">
        <f aca="false">IF(Cover!$C$9="Downside",D24,C24)</f>
        <v>0.03</v>
      </c>
      <c r="F24" s="1" t="s">
        <v>129</v>
      </c>
    </row>
    <row r="25" customFormat="false" ht="15" hidden="false" customHeight="true" outlineLevel="0" collapsed="false">
      <c r="B25" s="1" t="s">
        <v>152</v>
      </c>
      <c r="C25" s="21" t="n">
        <v>0.75</v>
      </c>
      <c r="D25" s="21" t="n">
        <v>0.5</v>
      </c>
      <c r="E25" s="22" t="n">
        <f aca="false">IF(Cover!$C$9="Downside",D25,C25)</f>
        <v>0.75</v>
      </c>
      <c r="F25" s="1" t="s">
        <v>153</v>
      </c>
    </row>
    <row r="26" customFormat="false" ht="15" hidden="false" customHeight="true" outlineLevel="0" collapsed="false">
      <c r="B26" s="1" t="s">
        <v>154</v>
      </c>
      <c r="C26" s="26" t="n">
        <v>7</v>
      </c>
      <c r="D26" s="26" t="n">
        <v>6.5</v>
      </c>
      <c r="E26" s="27" t="n">
        <f aca="false">IF(Cover!$C$9="Downside",D26,C26)</f>
        <v>7</v>
      </c>
      <c r="F26" s="1" t="s">
        <v>138</v>
      </c>
    </row>
    <row r="27" customFormat="false" ht="15" hidden="false" customHeight="true" outlineLevel="0" collapsed="false">
      <c r="B27" s="1" t="s">
        <v>155</v>
      </c>
      <c r="C27" s="26" t="n">
        <v>1.75</v>
      </c>
      <c r="D27" s="26" t="n">
        <v>1.5</v>
      </c>
      <c r="E27" s="27" t="n">
        <f aca="false">IF(Cover!$C$9="Downside",D27,C27)</f>
        <v>1.75</v>
      </c>
      <c r="F27" s="1" t="s">
        <v>138</v>
      </c>
    </row>
    <row r="28" customFormat="false" ht="15" hidden="false" customHeight="true" outlineLevel="0" collapsed="false">
      <c r="B28" s="1" t="s">
        <v>156</v>
      </c>
      <c r="C28" s="25" t="n">
        <v>10</v>
      </c>
      <c r="D28" s="26" t="n">
        <v>8</v>
      </c>
      <c r="E28" s="27" t="n">
        <f aca="false">IF(Cover!$C$9="Downside",D28,C28)</f>
        <v>10</v>
      </c>
      <c r="F28" s="1" t="s">
        <v>138</v>
      </c>
    </row>
    <row r="29" customFormat="false" ht="15" hidden="false" customHeight="true" outlineLevel="0" collapsed="false">
      <c r="B29" s="1" t="s">
        <v>157</v>
      </c>
      <c r="C29" s="28" t="n">
        <v>5</v>
      </c>
      <c r="D29" s="28" t="n">
        <v>5</v>
      </c>
      <c r="E29" s="29" t="n">
        <f aca="false">IF(Cover!$C$9="Downside",D29,C29)</f>
        <v>5</v>
      </c>
      <c r="F29" s="1" t="s">
        <v>158</v>
      </c>
    </row>
    <row r="30" customFormat="false" ht="15" hidden="false" customHeight="true" outlineLevel="0" collapsed="false">
      <c r="B30" s="1" t="s">
        <v>159</v>
      </c>
      <c r="C30" s="21" t="n">
        <v>0.1</v>
      </c>
      <c r="D30" s="21" t="n">
        <v>0.1</v>
      </c>
      <c r="E30" s="22" t="n">
        <f aca="false">IF(Cover!$C$9="Downside",D30,C30)</f>
        <v>0.1</v>
      </c>
      <c r="F30" s="1" t="s">
        <v>160</v>
      </c>
    </row>
    <row r="31" customFormat="false" ht="15" hidden="false" customHeight="true" outlineLevel="0" collapsed="false">
      <c r="B31" s="1" t="s">
        <v>161</v>
      </c>
      <c r="C31" s="21" t="n">
        <v>0.08</v>
      </c>
      <c r="D31" s="21" t="n">
        <v>0.08</v>
      </c>
      <c r="E31" s="22" t="n">
        <f aca="false">IF(Cover!$C$9="Downside",D31,C31)</f>
        <v>0.08</v>
      </c>
      <c r="F31" s="1" t="s">
        <v>129</v>
      </c>
    </row>
    <row r="32" customFormat="false" ht="15" hidden="false" customHeight="true" outlineLevel="0" collapsed="false">
      <c r="B32" s="1" t="s">
        <v>162</v>
      </c>
      <c r="C32" s="21" t="n">
        <v>0.2</v>
      </c>
      <c r="D32" s="21" t="n">
        <v>0.2</v>
      </c>
      <c r="E32" s="22" t="n">
        <f aca="false">IF(Cover!$C$9="Downside",D32,C32)</f>
        <v>0.2</v>
      </c>
      <c r="F32" s="1" t="s">
        <v>163</v>
      </c>
    </row>
  </sheetData>
  <mergeCells count="1">
    <mergeCell ref="B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4"/>
    <col collapsed="false" customWidth="true" hidden="false" outlineLevel="0" max="3" min="3" style="1" width="18"/>
    <col collapsed="false" customWidth="true" hidden="false" outlineLevel="0" max="4" min="4" style="1" width="5"/>
    <col collapsed="false" customWidth="true" hidden="false" outlineLevel="0" max="5" min="5" style="1" width="34"/>
    <col collapsed="false" customWidth="true" hidden="false" outlineLevel="0" max="6" min="6" style="1" width="18"/>
    <col collapsed="false" customWidth="true" hidden="false" outlineLevel="0" max="7" min="7" style="1" width="5"/>
  </cols>
  <sheetData>
    <row r="2" customFormat="false" ht="27.75" hidden="false" customHeight="true" outlineLevel="0" collapsed="false">
      <c r="B2" s="2" t="s">
        <v>164</v>
      </c>
      <c r="C2" s="2"/>
      <c r="D2" s="2"/>
      <c r="E2" s="2"/>
      <c r="F2" s="2"/>
      <c r="G2" s="2"/>
    </row>
    <row r="4" customFormat="false" ht="15" hidden="false" customHeight="true" outlineLevel="0" collapsed="false">
      <c r="B4" s="16" t="s">
        <v>165</v>
      </c>
      <c r="C4" s="16" t="s">
        <v>166</v>
      </c>
      <c r="D4" s="16"/>
      <c r="E4" s="16" t="s">
        <v>167</v>
      </c>
      <c r="F4" s="16" t="s">
        <v>166</v>
      </c>
      <c r="G4" s="16"/>
    </row>
    <row r="5" customFormat="false" ht="15" hidden="false" customHeight="true" outlineLevel="0" collapsed="false">
      <c r="B5" s="1" t="s">
        <v>168</v>
      </c>
      <c r="C5" s="19" t="n">
        <f aca="false">Assumptions!E5*Assumptions!E6*Assumptions!E13</f>
        <v>1501.5</v>
      </c>
      <c r="E5" s="1" t="s">
        <v>169</v>
      </c>
      <c r="F5" s="18" t="n">
        <v>0</v>
      </c>
    </row>
    <row r="6" customFormat="false" ht="15" hidden="false" customHeight="true" outlineLevel="0" collapsed="false">
      <c r="B6" s="1" t="s">
        <v>170</v>
      </c>
      <c r="C6" s="19" t="n">
        <f aca="false">Assumptions!E15</f>
        <v>100</v>
      </c>
      <c r="E6" s="1" t="s">
        <v>171</v>
      </c>
      <c r="F6" s="19" t="n">
        <f aca="false">Assumptions!E5*Assumptions!E6*Assumptions!E19</f>
        <v>607.75</v>
      </c>
    </row>
    <row r="7" customFormat="false" ht="15" hidden="false" customHeight="true" outlineLevel="0" collapsed="false">
      <c r="B7" s="1" t="s">
        <v>172</v>
      </c>
      <c r="C7" s="19" t="n">
        <f aca="false">C5*Assumptions!E14</f>
        <v>30.03</v>
      </c>
      <c r="E7" s="1" t="s">
        <v>173</v>
      </c>
      <c r="F7" s="19" t="n">
        <f aca="false">Assumptions!E5*Assumptions!E6*Assumptions!E22</f>
        <v>178.75</v>
      </c>
    </row>
    <row r="8" customFormat="false" ht="15" hidden="false" customHeight="true" outlineLevel="0" collapsed="false">
      <c r="B8" s="1" t="s">
        <v>174</v>
      </c>
      <c r="C8" s="19" t="n">
        <f aca="false">Assumptions!E16</f>
        <v>20</v>
      </c>
      <c r="E8" s="1" t="s">
        <v>175</v>
      </c>
      <c r="F8" s="19" t="n">
        <f aca="false">C9-SUM(F5:F7)</f>
        <v>865.03</v>
      </c>
    </row>
    <row r="9" customFormat="false" ht="15" hidden="false" customHeight="true" outlineLevel="0" collapsed="false">
      <c r="B9" s="30" t="s">
        <v>176</v>
      </c>
      <c r="C9" s="31" t="n">
        <f aca="false">SUM(C5:C8)</f>
        <v>1651.53</v>
      </c>
      <c r="E9" s="30" t="s">
        <v>177</v>
      </c>
      <c r="F9" s="31" t="n">
        <f aca="false">SUM(F5:F8)</f>
        <v>1651.53</v>
      </c>
    </row>
    <row r="10" customFormat="false" ht="15" hidden="false" customHeight="true" outlineLevel="0" collapsed="false">
      <c r="E10" s="1" t="s">
        <v>178</v>
      </c>
      <c r="F10" s="19" t="n">
        <f aca="false">F9-C9</f>
        <v>0</v>
      </c>
    </row>
  </sheetData>
  <mergeCells count="1">
    <mergeCell ref="B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6"/>
    <col collapsed="false" customWidth="true" hidden="false" outlineLevel="0" max="10" min="3" style="1" width="13"/>
  </cols>
  <sheetData>
    <row r="2" customFormat="false" ht="27.75" hidden="false" customHeight="true" outlineLevel="0" collapsed="false">
      <c r="B2" s="2" t="s">
        <v>179</v>
      </c>
      <c r="C2" s="2"/>
      <c r="D2" s="2"/>
      <c r="E2" s="2"/>
      <c r="F2" s="2"/>
      <c r="G2" s="2"/>
      <c r="H2" s="2"/>
      <c r="I2" s="2"/>
    </row>
    <row r="4" customFormat="false" ht="15" hidden="false" customHeight="true" outlineLevel="0" collapsed="false">
      <c r="B4" s="16" t="s">
        <v>180</v>
      </c>
      <c r="C4" s="16" t="s">
        <v>181</v>
      </c>
      <c r="D4" s="16" t="s">
        <v>182</v>
      </c>
      <c r="E4" s="16" t="s">
        <v>183</v>
      </c>
      <c r="F4" s="16" t="s">
        <v>184</v>
      </c>
      <c r="G4" s="16" t="s">
        <v>185</v>
      </c>
      <c r="H4" s="16" t="s">
        <v>186</v>
      </c>
      <c r="I4" s="16" t="s">
        <v>187</v>
      </c>
      <c r="J4" s="16" t="s">
        <v>188</v>
      </c>
    </row>
    <row r="5" customFormat="false" ht="15" hidden="false" customHeight="true" outlineLevel="0" collapsed="false">
      <c r="B5" s="1" t="s">
        <v>189</v>
      </c>
      <c r="C5" s="19" t="n">
        <f aca="false">Assumptions!E5</f>
        <v>650</v>
      </c>
      <c r="D5" s="19" t="n">
        <f aca="false">C5*(1+Assumptions!$E$7)</f>
        <v>685.75</v>
      </c>
      <c r="E5" s="19" t="n">
        <f aca="false">D5*(1+Assumptions!$E$7)</f>
        <v>723.46625</v>
      </c>
      <c r="F5" s="19" t="n">
        <f aca="false">E5*(1+Assumptions!$E$7)</f>
        <v>763.25689375</v>
      </c>
      <c r="G5" s="19" t="n">
        <f aca="false">F5*(1+Assumptions!$E$7)</f>
        <v>805.23602290625</v>
      </c>
      <c r="H5" s="19" t="n">
        <f aca="false">G5*(1+Assumptions!$E$7)</f>
        <v>849.524004166094</v>
      </c>
      <c r="I5" s="19" t="n">
        <f aca="false">H5*(1+Assumptions!$E$7)</f>
        <v>896.247824395229</v>
      </c>
      <c r="J5" s="19" t="n">
        <f aca="false">I5*(1+Assumptions!$E$7)</f>
        <v>945.541454736966</v>
      </c>
    </row>
    <row r="6" customFormat="false" ht="15" hidden="false" customHeight="true" outlineLevel="0" collapsed="false">
      <c r="B6" s="1" t="s">
        <v>190</v>
      </c>
      <c r="D6" s="22" t="n">
        <f aca="false">IFERROR(D5/C5-1,0)</f>
        <v>0.0549999999999999</v>
      </c>
      <c r="E6" s="22" t="n">
        <f aca="false">IFERROR(E5/D5-1,0)</f>
        <v>0.0549999999999999</v>
      </c>
      <c r="F6" s="22" t="n">
        <f aca="false">IFERROR(F5/E5-1,0)</f>
        <v>0.0549999999999999</v>
      </c>
      <c r="G6" s="22" t="n">
        <f aca="false">IFERROR(G5/F5-1,0)</f>
        <v>0.0549999999999999</v>
      </c>
      <c r="H6" s="22" t="n">
        <f aca="false">IFERROR(H5/G5-1,0)</f>
        <v>0.0549999999999999</v>
      </c>
      <c r="I6" s="22" t="n">
        <f aca="false">IFERROR(I5/H5-1,0)</f>
        <v>0.0549999999999999</v>
      </c>
      <c r="J6" s="22" t="n">
        <f aca="false">IFERROR(J5/I5-1,0)</f>
        <v>0.0549999999999999</v>
      </c>
    </row>
    <row r="7" customFormat="false" ht="15" hidden="false" customHeight="true" outlineLevel="0" collapsed="false">
      <c r="B7" s="1" t="s">
        <v>191</v>
      </c>
      <c r="C7" s="22" t="n">
        <f aca="false">Assumptions!E6</f>
        <v>0.22</v>
      </c>
      <c r="D7" s="22" t="n">
        <f aca="false">MAX(0,MIN(0.6,C7+Assumptions!$E$8))</f>
        <v>0.225</v>
      </c>
      <c r="E7" s="22" t="n">
        <f aca="false">MAX(0,MIN(0.6,D7+Assumptions!$E$8))</f>
        <v>0.23</v>
      </c>
      <c r="F7" s="22" t="n">
        <f aca="false">MAX(0,MIN(0.6,E7+Assumptions!$E$8))</f>
        <v>0.235</v>
      </c>
      <c r="G7" s="22" t="n">
        <f aca="false">MAX(0,MIN(0.6,F7+Assumptions!$E$8))</f>
        <v>0.24</v>
      </c>
      <c r="H7" s="22" t="n">
        <f aca="false">MAX(0,MIN(0.6,G7+Assumptions!$E$8))</f>
        <v>0.245</v>
      </c>
      <c r="I7" s="22" t="n">
        <f aca="false">MAX(0,MIN(0.6,H7+Assumptions!$E$8))</f>
        <v>0.25</v>
      </c>
      <c r="J7" s="22" t="n">
        <f aca="false">MAX(0,MIN(0.6,I7+Assumptions!$E$8))</f>
        <v>0.255</v>
      </c>
    </row>
    <row r="8" customFormat="false" ht="15" hidden="false" customHeight="true" outlineLevel="0" collapsed="false">
      <c r="B8" s="30" t="s">
        <v>192</v>
      </c>
      <c r="C8" s="31" t="n">
        <f aca="false">C5*C7</f>
        <v>143</v>
      </c>
      <c r="D8" s="31" t="n">
        <f aca="false">D5*D7</f>
        <v>154.29375</v>
      </c>
      <c r="E8" s="31" t="n">
        <f aca="false">E5*E7</f>
        <v>166.3972375</v>
      </c>
      <c r="F8" s="31" t="n">
        <f aca="false">F5*F7</f>
        <v>179.36537003125</v>
      </c>
      <c r="G8" s="31" t="n">
        <f aca="false">G5*G7</f>
        <v>193.2566454975</v>
      </c>
      <c r="H8" s="31" t="n">
        <f aca="false">H5*H7</f>
        <v>208.133381020693</v>
      </c>
      <c r="I8" s="31" t="n">
        <f aca="false">I5*I7</f>
        <v>224.061956098807</v>
      </c>
      <c r="J8" s="31" t="n">
        <f aca="false">J5*J7</f>
        <v>241.113070957926</v>
      </c>
    </row>
    <row r="9" customFormat="false" ht="15" hidden="false" customHeight="true" outlineLevel="0" collapsed="false">
      <c r="B9" s="1" t="s">
        <v>193</v>
      </c>
      <c r="C9" s="19" t="n">
        <f aca="false">C5*Assumptions!E9</f>
        <v>16.25</v>
      </c>
      <c r="D9" s="19" t="n">
        <f aca="false">D5*Assumptions!$E$9</f>
        <v>17.14375</v>
      </c>
      <c r="E9" s="19" t="n">
        <f aca="false">E5*Assumptions!$E$9</f>
        <v>18.08665625</v>
      </c>
      <c r="F9" s="19" t="n">
        <f aca="false">F5*Assumptions!$E$9</f>
        <v>19.08142234375</v>
      </c>
      <c r="G9" s="19" t="n">
        <f aca="false">G5*Assumptions!$E$9</f>
        <v>20.1309005726562</v>
      </c>
      <c r="H9" s="19" t="n">
        <f aca="false">H5*Assumptions!$E$9</f>
        <v>21.2381001041523</v>
      </c>
      <c r="I9" s="19" t="n">
        <f aca="false">I5*Assumptions!$E$9</f>
        <v>22.4061956098807</v>
      </c>
      <c r="J9" s="19" t="n">
        <f aca="false">J5*Assumptions!$E$9</f>
        <v>23.6385363684242</v>
      </c>
    </row>
    <row r="10" customFormat="false" ht="15" hidden="false" customHeight="true" outlineLevel="0" collapsed="false">
      <c r="B10" s="1" t="s">
        <v>194</v>
      </c>
      <c r="C10" s="19" t="n">
        <f aca="false">C8-C9</f>
        <v>126.75</v>
      </c>
      <c r="D10" s="19" t="n">
        <f aca="false">D8-D9</f>
        <v>137.15</v>
      </c>
      <c r="E10" s="19" t="n">
        <f aca="false">E8-E9</f>
        <v>148.31058125</v>
      </c>
      <c r="F10" s="19" t="n">
        <f aca="false">F8-F9</f>
        <v>160.2839476875</v>
      </c>
      <c r="G10" s="19" t="n">
        <f aca="false">G8-G9</f>
        <v>173.125744924844</v>
      </c>
      <c r="H10" s="19" t="n">
        <f aca="false">H8-H9</f>
        <v>186.895280916541</v>
      </c>
      <c r="I10" s="19" t="n">
        <f aca="false">I8-I9</f>
        <v>201.655760488926</v>
      </c>
      <c r="J10" s="19" t="n">
        <f aca="false">J8-J9</f>
        <v>217.474534589502</v>
      </c>
    </row>
    <row r="11" customFormat="false" ht="15" hidden="false" customHeight="true" outlineLevel="0" collapsed="false">
      <c r="B11" s="1" t="s">
        <v>195</v>
      </c>
      <c r="D11" s="19" t="n">
        <f aca="false">'Debt Schedule'!D7</f>
        <v>71.32125</v>
      </c>
      <c r="E11" s="19" t="n">
        <f aca="false">'Debt Schedule'!E7</f>
        <v>68.5615150390625</v>
      </c>
      <c r="F11" s="19" t="n">
        <f aca="false">'Debt Schedule'!F7</f>
        <v>64.7858371894836</v>
      </c>
      <c r="G11" s="19" t="n">
        <f aca="false">'Debt Schedule'!G7</f>
        <v>59.9872123748665</v>
      </c>
      <c r="H11" s="19" t="n">
        <f aca="false">'Debt Schedule'!H7</f>
        <v>54.0408588855524</v>
      </c>
      <c r="I11" s="19" t="n">
        <f aca="false">'Debt Schedule'!I7</f>
        <v>46.8020517171997</v>
      </c>
      <c r="J11" s="19" t="n">
        <f aca="false">'Debt Schedule'!J7</f>
        <v>38.1106198225234</v>
      </c>
    </row>
    <row r="12" customFormat="false" ht="15" hidden="false" customHeight="true" outlineLevel="0" collapsed="false">
      <c r="B12" s="1" t="s">
        <v>196</v>
      </c>
      <c r="D12" s="19" t="n">
        <f aca="false">D10-D11</f>
        <v>65.82875</v>
      </c>
      <c r="E12" s="19" t="n">
        <f aca="false">E10-E11</f>
        <v>79.7490662109375</v>
      </c>
      <c r="F12" s="19" t="n">
        <f aca="false">F10-F11</f>
        <v>95.4981104980164</v>
      </c>
      <c r="G12" s="19" t="n">
        <f aca="false">G10-G11</f>
        <v>113.138532549977</v>
      </c>
      <c r="H12" s="19" t="n">
        <f aca="false">H10-H11</f>
        <v>132.854422030988</v>
      </c>
      <c r="I12" s="19" t="n">
        <f aca="false">I10-I11</f>
        <v>154.853708771727</v>
      </c>
      <c r="J12" s="19" t="n">
        <f aca="false">J10-J11</f>
        <v>179.363914766979</v>
      </c>
    </row>
    <row r="13" customFormat="false" ht="15" hidden="false" customHeight="true" outlineLevel="0" collapsed="false">
      <c r="B13" s="1" t="s">
        <v>197</v>
      </c>
      <c r="D13" s="19" t="n">
        <f aca="false">MAX(0,D12*Assumptions!$E$12)</f>
        <v>16.4571875</v>
      </c>
      <c r="E13" s="19" t="n">
        <f aca="false">MAX(0,E12*Assumptions!$E$12)</f>
        <v>19.9372665527344</v>
      </c>
      <c r="F13" s="19" t="n">
        <f aca="false">MAX(0,F12*Assumptions!$E$12)</f>
        <v>23.8745276245041</v>
      </c>
      <c r="G13" s="19" t="n">
        <f aca="false">MAX(0,G12*Assumptions!$E$12)</f>
        <v>28.2846331374943</v>
      </c>
      <c r="H13" s="19" t="n">
        <f aca="false">MAX(0,H12*Assumptions!$E$12)</f>
        <v>33.213605507747</v>
      </c>
      <c r="I13" s="19" t="n">
        <f aca="false">MAX(0,I12*Assumptions!$E$12)</f>
        <v>38.7134271929317</v>
      </c>
      <c r="J13" s="19" t="n">
        <f aca="false">MAX(0,J12*Assumptions!$E$12)</f>
        <v>44.8409786917447</v>
      </c>
    </row>
    <row r="14" customFormat="false" ht="15" hidden="false" customHeight="true" outlineLevel="0" collapsed="false">
      <c r="B14" s="1" t="s">
        <v>198</v>
      </c>
      <c r="D14" s="19" t="n">
        <f aca="false">D12-D13</f>
        <v>49.3715625</v>
      </c>
      <c r="E14" s="19" t="n">
        <f aca="false">E12-E13</f>
        <v>59.8117996582031</v>
      </c>
      <c r="F14" s="19" t="n">
        <f aca="false">F12-F13</f>
        <v>71.6235828735123</v>
      </c>
      <c r="G14" s="19" t="n">
        <f aca="false">G12-G13</f>
        <v>84.8538994124829</v>
      </c>
      <c r="H14" s="19" t="n">
        <f aca="false">H12-H13</f>
        <v>99.6408165232411</v>
      </c>
      <c r="I14" s="19" t="n">
        <f aca="false">I12-I13</f>
        <v>116.140281578795</v>
      </c>
      <c r="J14" s="19" t="n">
        <f aca="false">J12-J13</f>
        <v>134.522936075234</v>
      </c>
    </row>
    <row r="15" customFormat="false" ht="15" hidden="false" customHeight="true" outlineLevel="0" collapsed="false">
      <c r="B15" s="1" t="s">
        <v>199</v>
      </c>
      <c r="D15" s="19" t="n">
        <f aca="false">D5*Assumptions!$E$10</f>
        <v>24.00125</v>
      </c>
      <c r="E15" s="19" t="n">
        <f aca="false">E5*Assumptions!$E$10</f>
        <v>25.32131875</v>
      </c>
      <c r="F15" s="19" t="n">
        <f aca="false">F5*Assumptions!$E$10</f>
        <v>26.71399128125</v>
      </c>
      <c r="G15" s="19" t="n">
        <f aca="false">G5*Assumptions!$E$10</f>
        <v>28.1832608017188</v>
      </c>
      <c r="H15" s="19" t="n">
        <f aca="false">H5*Assumptions!$E$10</f>
        <v>29.7333401458133</v>
      </c>
      <c r="I15" s="19" t="n">
        <f aca="false">I5*Assumptions!$E$10</f>
        <v>31.368673853833</v>
      </c>
      <c r="J15" s="19" t="n">
        <f aca="false">J5*Assumptions!$E$10</f>
        <v>33.0939509157938</v>
      </c>
    </row>
    <row r="16" customFormat="false" ht="15" hidden="false" customHeight="true" outlineLevel="0" collapsed="false">
      <c r="B16" s="1" t="s">
        <v>200</v>
      </c>
      <c r="C16" s="19" t="n">
        <f aca="false">C5*Assumptions!E11</f>
        <v>52</v>
      </c>
      <c r="D16" s="19" t="n">
        <f aca="false">D5*Assumptions!$E$11</f>
        <v>54.86</v>
      </c>
      <c r="E16" s="19" t="n">
        <f aca="false">E5*Assumptions!$E$11</f>
        <v>57.8773</v>
      </c>
      <c r="F16" s="19" t="n">
        <f aca="false">F5*Assumptions!$E$11</f>
        <v>61.0605515</v>
      </c>
      <c r="G16" s="19" t="n">
        <f aca="false">G5*Assumptions!$E$11</f>
        <v>64.4188818325</v>
      </c>
      <c r="H16" s="19" t="n">
        <f aca="false">H5*Assumptions!$E$11</f>
        <v>67.9619203332875</v>
      </c>
      <c r="I16" s="19" t="n">
        <f aca="false">I5*Assumptions!$E$11</f>
        <v>71.6998259516183</v>
      </c>
      <c r="J16" s="19" t="n">
        <f aca="false">J5*Assumptions!$E$11</f>
        <v>75.6433163789573</v>
      </c>
    </row>
    <row r="17" customFormat="false" ht="15" hidden="false" customHeight="true" outlineLevel="0" collapsed="false">
      <c r="B17" s="1" t="s">
        <v>201</v>
      </c>
      <c r="D17" s="19" t="n">
        <f aca="false">D16-C16</f>
        <v>2.86</v>
      </c>
      <c r="E17" s="19" t="n">
        <f aca="false">E16-D16</f>
        <v>3.0173</v>
      </c>
      <c r="F17" s="19" t="n">
        <f aca="false">F16-E16</f>
        <v>3.1832515</v>
      </c>
      <c r="G17" s="19" t="n">
        <f aca="false">G16-F16</f>
        <v>3.3583303325</v>
      </c>
      <c r="H17" s="19" t="n">
        <f aca="false">H16-G16</f>
        <v>3.5430385007875</v>
      </c>
      <c r="I17" s="19" t="n">
        <f aca="false">I16-H16</f>
        <v>3.7379056183308</v>
      </c>
      <c r="J17" s="19" t="n">
        <f aca="false">J16-I16</f>
        <v>3.943490427339</v>
      </c>
    </row>
    <row r="18" customFormat="false" ht="15" hidden="false" customHeight="true" outlineLevel="0" collapsed="false">
      <c r="B18" s="30" t="s">
        <v>202</v>
      </c>
      <c r="C18" s="31"/>
      <c r="D18" s="31" t="n">
        <f aca="false">D14+D9-D15-D17</f>
        <v>39.6540625</v>
      </c>
      <c r="E18" s="31" t="n">
        <f aca="false">E14+E9-E15-E17</f>
        <v>49.5598371582031</v>
      </c>
      <c r="F18" s="31" t="n">
        <f aca="false">F14+F9-F15-F17</f>
        <v>60.8077624360123</v>
      </c>
      <c r="G18" s="31" t="n">
        <f aca="false">G14+G9-G15-G17</f>
        <v>73.4432088509204</v>
      </c>
      <c r="H18" s="31" t="n">
        <f aca="false">H14+H9-H15-H17</f>
        <v>87.6025379807927</v>
      </c>
      <c r="I18" s="31" t="n">
        <f aca="false">I14+I9-I15-I17</f>
        <v>103.439897716512</v>
      </c>
      <c r="J18" s="31" t="n">
        <f aca="false">J14+J9-J15-J17</f>
        <v>121.124031100526</v>
      </c>
    </row>
    <row r="19" customFormat="false" ht="15" hidden="false" customHeight="true" outlineLevel="0" collapsed="false">
      <c r="B19" s="30" t="s">
        <v>203</v>
      </c>
      <c r="C19" s="31"/>
      <c r="D19" s="31" t="n">
        <f aca="false">D8-D13-D15-D17</f>
        <v>110.9753125</v>
      </c>
      <c r="E19" s="31" t="n">
        <f aca="false">E8-E13-E15-E17</f>
        <v>118.121352197266</v>
      </c>
      <c r="F19" s="31" t="n">
        <f aca="false">F8-F13-F15-F17</f>
        <v>125.593599625496</v>
      </c>
      <c r="G19" s="31" t="n">
        <f aca="false">G8-G13-G15-G17</f>
        <v>133.430421225787</v>
      </c>
      <c r="H19" s="31" t="n">
        <f aca="false">H8-H13-H15-H17</f>
        <v>141.643396866345</v>
      </c>
      <c r="I19" s="31" t="n">
        <f aca="false">I8-I13-I15-I17</f>
        <v>150.241949433712</v>
      </c>
      <c r="J19" s="31" t="n">
        <f aca="false">J8-J13-J15-J17</f>
        <v>159.234650923049</v>
      </c>
    </row>
  </sheetData>
  <mergeCells count="1">
    <mergeCell ref="B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42"/>
    <col collapsed="false" customWidth="true" hidden="false" outlineLevel="0" max="10" min="3" style="1" width="13"/>
  </cols>
  <sheetData>
    <row r="2" customFormat="false" ht="27.75" hidden="false" customHeight="true" outlineLevel="0" collapsed="false">
      <c r="B2" s="2" t="s">
        <v>204</v>
      </c>
      <c r="C2" s="2"/>
      <c r="D2" s="2"/>
      <c r="E2" s="2"/>
      <c r="F2" s="2"/>
      <c r="G2" s="2"/>
      <c r="H2" s="2"/>
      <c r="I2" s="2"/>
    </row>
    <row r="4" customFormat="false" ht="15" hidden="false" customHeight="true" outlineLevel="0" collapsed="false">
      <c r="B4" s="16" t="s">
        <v>180</v>
      </c>
      <c r="C4" s="16" t="s">
        <v>205</v>
      </c>
      <c r="D4" s="16" t="s">
        <v>182</v>
      </c>
      <c r="E4" s="16" t="s">
        <v>183</v>
      </c>
      <c r="F4" s="16" t="s">
        <v>184</v>
      </c>
      <c r="G4" s="16" t="s">
        <v>185</v>
      </c>
      <c r="H4" s="16" t="s">
        <v>186</v>
      </c>
      <c r="I4" s="16" t="s">
        <v>187</v>
      </c>
      <c r="J4" s="16" t="s">
        <v>188</v>
      </c>
    </row>
    <row r="5" customFormat="false" ht="15" hidden="false" customHeight="true" outlineLevel="0" collapsed="false">
      <c r="B5" s="1" t="s">
        <v>206</v>
      </c>
      <c r="C5" s="19" t="n">
        <f aca="false">Assumptions!E16</f>
        <v>20</v>
      </c>
      <c r="D5" s="19" t="n">
        <f aca="false">C13</f>
        <v>20</v>
      </c>
      <c r="E5" s="19" t="n">
        <f aca="false">D13</f>
        <v>22.09853515625</v>
      </c>
      <c r="F5" s="19" t="n">
        <f aca="false">E13</f>
        <v>22.8488045196533</v>
      </c>
      <c r="G5" s="19" t="n">
        <f aca="false">F13</f>
        <v>23.5986916847291</v>
      </c>
      <c r="H5" s="19" t="n">
        <f aca="false">G13</f>
        <v>24.4352750334781</v>
      </c>
      <c r="I5" s="19" t="n">
        <f aca="false">H13</f>
        <v>25.3725195633919</v>
      </c>
      <c r="J5" s="19" t="n">
        <f aca="false">I13</f>
        <v>26.420932329994</v>
      </c>
    </row>
    <row r="6" customFormat="false" ht="15" hidden="false" customHeight="true" outlineLevel="0" collapsed="false">
      <c r="B6" s="1" t="s">
        <v>203</v>
      </c>
      <c r="D6" s="19" t="n">
        <f aca="false">'Operating Model'!D19</f>
        <v>110.9753125</v>
      </c>
      <c r="E6" s="19" t="n">
        <f aca="false">'Operating Model'!E19</f>
        <v>118.121352197266</v>
      </c>
      <c r="F6" s="19" t="n">
        <f aca="false">'Operating Model'!F19</f>
        <v>125.593599625496</v>
      </c>
      <c r="G6" s="19" t="n">
        <f aca="false">'Operating Model'!G19</f>
        <v>133.430421225787</v>
      </c>
      <c r="H6" s="19" t="n">
        <f aca="false">'Operating Model'!H19</f>
        <v>141.643396866345</v>
      </c>
      <c r="I6" s="19" t="n">
        <f aca="false">'Operating Model'!I19</f>
        <v>150.241949433712</v>
      </c>
      <c r="J6" s="19" t="n">
        <f aca="false">'Operating Model'!J19</f>
        <v>159.234650923049</v>
      </c>
    </row>
    <row r="7" customFormat="false" ht="15" hidden="false" customHeight="true" outlineLevel="0" collapsed="false">
      <c r="B7" s="1" t="s">
        <v>195</v>
      </c>
      <c r="D7" s="19" t="n">
        <f aca="false">SUM(D15,D18,D23)</f>
        <v>71.32125</v>
      </c>
      <c r="E7" s="19" t="n">
        <f aca="false">SUM(E15,E18,E23)</f>
        <v>68.5615150390625</v>
      </c>
      <c r="F7" s="19" t="n">
        <f aca="false">SUM(F15,F18,F23)</f>
        <v>64.7858371894836</v>
      </c>
      <c r="G7" s="19" t="n">
        <f aca="false">SUM(G15,G18,G23)</f>
        <v>59.9872123748665</v>
      </c>
      <c r="H7" s="19" t="n">
        <f aca="false">SUM(H15,H18,H23)</f>
        <v>54.0408588855524</v>
      </c>
      <c r="I7" s="19" t="n">
        <f aca="false">SUM(I15,I18,I23)</f>
        <v>46.8020517171997</v>
      </c>
      <c r="J7" s="19" t="n">
        <f aca="false">SUM(J15,J18,J23)</f>
        <v>38.1106198225234</v>
      </c>
    </row>
    <row r="8" customFormat="false" ht="15" hidden="false" customHeight="true" outlineLevel="0" collapsed="false">
      <c r="B8" s="1" t="s">
        <v>207</v>
      </c>
      <c r="D8" s="19" t="n">
        <f aca="false">D19</f>
        <v>6.0775</v>
      </c>
      <c r="E8" s="19" t="n">
        <f aca="false">E19</f>
        <v>6.0775</v>
      </c>
      <c r="F8" s="19" t="n">
        <f aca="false">F19</f>
        <v>6.0775</v>
      </c>
      <c r="G8" s="19" t="n">
        <f aca="false">G19</f>
        <v>6.0775</v>
      </c>
      <c r="H8" s="19" t="n">
        <f aca="false">H19</f>
        <v>6.0775</v>
      </c>
      <c r="I8" s="19" t="n">
        <f aca="false">I19</f>
        <v>6.0775</v>
      </c>
      <c r="J8" s="19" t="n">
        <f aca="false">J19</f>
        <v>6.0775</v>
      </c>
    </row>
    <row r="9" customFormat="false" ht="15" hidden="false" customHeight="true" outlineLevel="0" collapsed="false">
      <c r="B9" s="1" t="s">
        <v>208</v>
      </c>
      <c r="D9" s="19" t="n">
        <f aca="false">D5+D6-D7-D8</f>
        <v>53.5765625</v>
      </c>
      <c r="E9" s="19" t="n">
        <f aca="false">E5+E6-E7-E8</f>
        <v>65.5808723144531</v>
      </c>
      <c r="F9" s="19" t="n">
        <f aca="false">F5+F6-F7-F8</f>
        <v>77.5790669556656</v>
      </c>
      <c r="G9" s="19" t="n">
        <f aca="false">G5+G6-G7-G8</f>
        <v>90.9644005356495</v>
      </c>
      <c r="H9" s="19" t="n">
        <f aca="false">H5+H6-H7-H8</f>
        <v>105.960313014271</v>
      </c>
      <c r="I9" s="19" t="n">
        <f aca="false">I5+I6-I7-I8</f>
        <v>122.734917279904</v>
      </c>
      <c r="J9" s="19" t="n">
        <f aca="false">J5+J6-J7-J8</f>
        <v>141.46746343052</v>
      </c>
    </row>
    <row r="10" customFormat="false" ht="15" hidden="false" customHeight="true" outlineLevel="0" collapsed="false">
      <c r="B10" s="1" t="s">
        <v>209</v>
      </c>
      <c r="D10" s="19" t="n">
        <f aca="false">IF(D9&lt;Assumptions!$E$16,MIN(Assumptions!$E$17-D14,Assumptions!$E$16-D9),-MIN(D14,MAX(0,D9-Assumptions!$E$16)))</f>
        <v>-0</v>
      </c>
      <c r="E10" s="19" t="n">
        <f aca="false">IF(E9&lt;Assumptions!$E$16,MIN(Assumptions!$E$17-E14,Assumptions!$E$16-E9),-MIN(E14,MAX(0,E9-Assumptions!$E$16)))</f>
        <v>-0</v>
      </c>
      <c r="F10" s="19" t="n">
        <f aca="false">IF(F9&lt;Assumptions!$E$16,MIN(Assumptions!$E$17-F14,Assumptions!$E$16-F9),-MIN(F14,MAX(0,F9-Assumptions!$E$16)))</f>
        <v>-0</v>
      </c>
      <c r="G10" s="19" t="n">
        <f aca="false">IF(G9&lt;Assumptions!$E$16,MIN(Assumptions!$E$17-G14,Assumptions!$E$16-G9),-MIN(G14,MAX(0,G9-Assumptions!$E$16)))</f>
        <v>-0</v>
      </c>
      <c r="H10" s="19" t="n">
        <f aca="false">IF(H9&lt;Assumptions!$E$16,MIN(Assumptions!$E$17-H14,Assumptions!$E$16-H9),-MIN(H14,MAX(0,H9-Assumptions!$E$16)))</f>
        <v>-0</v>
      </c>
      <c r="I10" s="19" t="n">
        <f aca="false">IF(I9&lt;Assumptions!$E$16,MIN(Assumptions!$E$17-I14,Assumptions!$E$16-I9),-MIN(I14,MAX(0,I9-Assumptions!$E$16)))</f>
        <v>-0</v>
      </c>
      <c r="J10" s="19" t="n">
        <f aca="false">IF(J9&lt;Assumptions!$E$16,MIN(Assumptions!$E$17-J14,Assumptions!$E$16-J9),-MIN(J14,MAX(0,J9-Assumptions!$E$16)))</f>
        <v>-0</v>
      </c>
    </row>
    <row r="11" customFormat="false" ht="15" hidden="false" customHeight="true" outlineLevel="0" collapsed="false">
      <c r="B11" s="1" t="s">
        <v>210</v>
      </c>
      <c r="D11" s="19" t="n">
        <f aca="false">MIN(MAX(0,D17-D19),MAX(0,D9+D10-Assumptions!$E$16)*Assumptions!$E$25)</f>
        <v>25.182421875</v>
      </c>
      <c r="E11" s="19" t="n">
        <f aca="false">MIN(MAX(0,E17-E19),MAX(0,E9+E10-Assumptions!$E$16)*Assumptions!$E$25)</f>
        <v>34.1856542358398</v>
      </c>
      <c r="F11" s="19" t="n">
        <f aca="false">MIN(MAX(0,F17-F19),MAX(0,F9+F10-Assumptions!$E$16)*Assumptions!$E$25)</f>
        <v>43.1843002167492</v>
      </c>
      <c r="G11" s="19" t="n">
        <f aca="false">MIN(MAX(0,G17-G19),MAX(0,G9+G10-Assumptions!$E$16)*Assumptions!$E$25)</f>
        <v>53.2233004017371</v>
      </c>
      <c r="H11" s="19" t="n">
        <f aca="false">MIN(MAX(0,H17-H19),MAX(0,H9+H10-Assumptions!$E$16)*Assumptions!$E$25)</f>
        <v>64.4702347607031</v>
      </c>
      <c r="I11" s="19" t="n">
        <f aca="false">MIN(MAX(0,I17-I19),MAX(0,I9+I10-Assumptions!$E$16)*Assumptions!$E$25)</f>
        <v>77.0511879599279</v>
      </c>
      <c r="J11" s="19" t="n">
        <f aca="false">MIN(MAX(0,J17-J19),MAX(0,J9+J10-Assumptions!$E$16)*Assumptions!$E$25)</f>
        <v>91.1005975728896</v>
      </c>
    </row>
    <row r="12" customFormat="false" ht="15" hidden="false" customHeight="true" outlineLevel="0" collapsed="false">
      <c r="B12" s="1" t="s">
        <v>211</v>
      </c>
      <c r="D12" s="19" t="n">
        <f aca="false">MIN(MAX(0,D22+D24),MAX(0,D9+D10-D11-Assumptions!$E$16)*Assumptions!$E$25)</f>
        <v>6.29560546875</v>
      </c>
      <c r="E12" s="19" t="n">
        <f aca="false">MIN(MAX(0,E22+E24),MAX(0,E9+E10-E11-Assumptions!$E$16)*Assumptions!$E$25)</f>
        <v>8.54641355895996</v>
      </c>
      <c r="F12" s="19" t="n">
        <f aca="false">MIN(MAX(0,F22+F24),MAX(0,F9+F10-F11-Assumptions!$E$16)*Assumptions!$E$25)</f>
        <v>10.7960750541873</v>
      </c>
      <c r="G12" s="19" t="n">
        <f aca="false">MIN(MAX(0,G22+G24),MAX(0,G9+G10-G11-Assumptions!$E$16)*Assumptions!$E$25)</f>
        <v>13.3058251004343</v>
      </c>
      <c r="H12" s="19" t="n">
        <f aca="false">MIN(MAX(0,H22+H24),MAX(0,H9+H10-H11-Assumptions!$E$16)*Assumptions!$E$25)</f>
        <v>16.1175586901758</v>
      </c>
      <c r="I12" s="19" t="n">
        <f aca="false">MIN(MAX(0,I22+I24),MAX(0,I9+I10-I11-Assumptions!$E$16)*Assumptions!$E$25)</f>
        <v>19.262796989982</v>
      </c>
      <c r="J12" s="19" t="n">
        <f aca="false">MIN(MAX(0,J22+J24),MAX(0,J9+J10-J11-Assumptions!$E$16)*Assumptions!$E$25)</f>
        <v>22.7751493932224</v>
      </c>
    </row>
    <row r="13" customFormat="false" ht="15" hidden="false" customHeight="true" outlineLevel="0" collapsed="false">
      <c r="B13" s="30" t="s">
        <v>212</v>
      </c>
      <c r="C13" s="31" t="n">
        <f aca="false">C5</f>
        <v>20</v>
      </c>
      <c r="D13" s="31" t="n">
        <f aca="false">D9+D10-D11-D12</f>
        <v>22.09853515625</v>
      </c>
      <c r="E13" s="31" t="n">
        <f aca="false">E9+E10-E11-E12</f>
        <v>22.8488045196533</v>
      </c>
      <c r="F13" s="31" t="n">
        <f aca="false">F9+F10-F11-F12</f>
        <v>23.5986916847291</v>
      </c>
      <c r="G13" s="31" t="n">
        <f aca="false">G9+G10-G11-G12</f>
        <v>24.4352750334781</v>
      </c>
      <c r="H13" s="31" t="n">
        <f aca="false">H9+H10-H11-H12</f>
        <v>25.3725195633919</v>
      </c>
      <c r="I13" s="31" t="n">
        <f aca="false">I9+I10-I11-I12</f>
        <v>26.420932329994</v>
      </c>
      <c r="J13" s="31" t="n">
        <f aca="false">J9+J10-J11-J12</f>
        <v>27.5917164644075</v>
      </c>
    </row>
    <row r="14" customFormat="false" ht="15" hidden="false" customHeight="true" outlineLevel="0" collapsed="false">
      <c r="B14" s="1" t="s">
        <v>213</v>
      </c>
      <c r="C14" s="19" t="n">
        <f aca="false">'Sources &amp; Uses'!F5</f>
        <v>0</v>
      </c>
      <c r="D14" s="19" t="n">
        <f aca="false">C16</f>
        <v>0</v>
      </c>
      <c r="E14" s="19" t="n">
        <f aca="false">D16</f>
        <v>0</v>
      </c>
      <c r="F14" s="19" t="n">
        <f aca="false">E16</f>
        <v>0</v>
      </c>
      <c r="G14" s="19" t="n">
        <f aca="false">F16</f>
        <v>0</v>
      </c>
      <c r="H14" s="19" t="n">
        <f aca="false">G16</f>
        <v>0</v>
      </c>
      <c r="I14" s="19" t="n">
        <f aca="false">H16</f>
        <v>0</v>
      </c>
      <c r="J14" s="19" t="n">
        <f aca="false">I16</f>
        <v>0</v>
      </c>
    </row>
    <row r="15" customFormat="false" ht="15" hidden="false" customHeight="true" outlineLevel="0" collapsed="false">
      <c r="B15" s="1" t="s">
        <v>214</v>
      </c>
      <c r="D15" s="19" t="n">
        <f aca="false">D14*Assumptions!$E$18</f>
        <v>0</v>
      </c>
      <c r="E15" s="19" t="n">
        <f aca="false">E14*Assumptions!$E$18</f>
        <v>0</v>
      </c>
      <c r="F15" s="19" t="n">
        <f aca="false">F14*Assumptions!$E$18</f>
        <v>0</v>
      </c>
      <c r="G15" s="19" t="n">
        <f aca="false">G14*Assumptions!$E$18</f>
        <v>0</v>
      </c>
      <c r="H15" s="19" t="n">
        <f aca="false">H14*Assumptions!$E$18</f>
        <v>0</v>
      </c>
      <c r="I15" s="19" t="n">
        <f aca="false">I14*Assumptions!$E$18</f>
        <v>0</v>
      </c>
      <c r="J15" s="19" t="n">
        <f aca="false">J14*Assumptions!$E$18</f>
        <v>0</v>
      </c>
    </row>
    <row r="16" customFormat="false" ht="15" hidden="false" customHeight="true" outlineLevel="0" collapsed="false">
      <c r="B16" s="1" t="s">
        <v>215</v>
      </c>
      <c r="C16" s="19" t="n">
        <f aca="false">C14</f>
        <v>0</v>
      </c>
      <c r="D16" s="19" t="n">
        <f aca="false">MAX(0,D14+D10)</f>
        <v>0</v>
      </c>
      <c r="E16" s="19" t="n">
        <f aca="false">MAX(0,E14+E10)</f>
        <v>0</v>
      </c>
      <c r="F16" s="19" t="n">
        <f aca="false">MAX(0,F14+F10)</f>
        <v>0</v>
      </c>
      <c r="G16" s="19" t="n">
        <f aca="false">MAX(0,G14+G10)</f>
        <v>0</v>
      </c>
      <c r="H16" s="19" t="n">
        <f aca="false">MAX(0,H14+H10)</f>
        <v>0</v>
      </c>
      <c r="I16" s="19" t="n">
        <f aca="false">MAX(0,I14+I10)</f>
        <v>0</v>
      </c>
      <c r="J16" s="19" t="n">
        <f aca="false">MAX(0,J14+J10)</f>
        <v>0</v>
      </c>
    </row>
    <row r="17" customFormat="false" ht="15" hidden="false" customHeight="true" outlineLevel="0" collapsed="false">
      <c r="B17" s="1" t="s">
        <v>216</v>
      </c>
      <c r="C17" s="19" t="n">
        <f aca="false">'Sources &amp; Uses'!F6</f>
        <v>607.75</v>
      </c>
      <c r="D17" s="19" t="n">
        <f aca="false">C21</f>
        <v>607.75</v>
      </c>
      <c r="E17" s="19" t="n">
        <f aca="false">D21</f>
        <v>576.490078125</v>
      </c>
      <c r="F17" s="19" t="n">
        <f aca="false">E21</f>
        <v>536.22692388916</v>
      </c>
      <c r="G17" s="19" t="n">
        <f aca="false">F21</f>
        <v>486.965123672411</v>
      </c>
      <c r="H17" s="19" t="n">
        <f aca="false">G21</f>
        <v>427.664323270674</v>
      </c>
      <c r="I17" s="19" t="n">
        <f aca="false">H21</f>
        <v>357.116588509971</v>
      </c>
      <c r="J17" s="19" t="n">
        <f aca="false">I21</f>
        <v>273.987900550043</v>
      </c>
    </row>
    <row r="18" customFormat="false" ht="15" hidden="false" customHeight="true" outlineLevel="0" collapsed="false">
      <c r="B18" s="1" t="s">
        <v>217</v>
      </c>
      <c r="D18" s="19" t="n">
        <f aca="false">D17*Assumptions!$E$20</f>
        <v>51.65875</v>
      </c>
      <c r="E18" s="19" t="n">
        <f aca="false">E17*Assumptions!$E$20</f>
        <v>49.001656640625</v>
      </c>
      <c r="F18" s="19" t="n">
        <f aca="false">F17*Assumptions!$E$20</f>
        <v>45.5792885305786</v>
      </c>
      <c r="G18" s="19" t="n">
        <f aca="false">G17*Assumptions!$E$20</f>
        <v>41.3920355121549</v>
      </c>
      <c r="H18" s="19" t="n">
        <f aca="false">H17*Assumptions!$E$20</f>
        <v>36.3514674780073</v>
      </c>
      <c r="I18" s="19" t="n">
        <f aca="false">I17*Assumptions!$E$20</f>
        <v>30.3549100233475</v>
      </c>
      <c r="J18" s="19" t="n">
        <f aca="false">J17*Assumptions!$E$20</f>
        <v>23.2889715467537</v>
      </c>
    </row>
    <row r="19" customFormat="false" ht="15" hidden="false" customHeight="true" outlineLevel="0" collapsed="false">
      <c r="B19" s="1" t="s">
        <v>218</v>
      </c>
      <c r="D19" s="19" t="n">
        <f aca="false">MIN(D17,'Sources &amp; Uses'!$F$6*Assumptions!$E$21)</f>
        <v>6.0775</v>
      </c>
      <c r="E19" s="19" t="n">
        <f aca="false">MIN(E17,'Sources &amp; Uses'!$F$6*Assumptions!$E$21)</f>
        <v>6.0775</v>
      </c>
      <c r="F19" s="19" t="n">
        <f aca="false">MIN(F17,'Sources &amp; Uses'!$F$6*Assumptions!$E$21)</f>
        <v>6.0775</v>
      </c>
      <c r="G19" s="19" t="n">
        <f aca="false">MIN(G17,'Sources &amp; Uses'!$F$6*Assumptions!$E$21)</f>
        <v>6.0775</v>
      </c>
      <c r="H19" s="19" t="n">
        <f aca="false">MIN(H17,'Sources &amp; Uses'!$F$6*Assumptions!$E$21)</f>
        <v>6.0775</v>
      </c>
      <c r="I19" s="19" t="n">
        <f aca="false">MIN(I17,'Sources &amp; Uses'!$F$6*Assumptions!$E$21)</f>
        <v>6.0775</v>
      </c>
      <c r="J19" s="19" t="n">
        <f aca="false">MIN(J17,'Sources &amp; Uses'!$F$6*Assumptions!$E$21)</f>
        <v>6.0775</v>
      </c>
    </row>
    <row r="20" customFormat="false" ht="15" hidden="false" customHeight="true" outlineLevel="0" collapsed="false">
      <c r="B20" s="30" t="s">
        <v>219</v>
      </c>
      <c r="C20" s="31" t="n">
        <f aca="false">'Sources &amp; Uses'!F7</f>
        <v>178.75</v>
      </c>
      <c r="D20" s="31" t="n">
        <f aca="false">D11</f>
        <v>25.182421875</v>
      </c>
      <c r="E20" s="31" t="n">
        <f aca="false">E11</f>
        <v>34.1856542358398</v>
      </c>
      <c r="F20" s="31" t="n">
        <f aca="false">F11</f>
        <v>43.1843002167492</v>
      </c>
      <c r="G20" s="31" t="n">
        <f aca="false">G11</f>
        <v>53.2233004017371</v>
      </c>
      <c r="H20" s="31" t="n">
        <f aca="false">H11</f>
        <v>64.4702347607031</v>
      </c>
      <c r="I20" s="31" t="n">
        <f aca="false">I11</f>
        <v>77.0511879599279</v>
      </c>
      <c r="J20" s="31" t="n">
        <f aca="false">J11</f>
        <v>91.1005975728896</v>
      </c>
    </row>
    <row r="21" customFormat="false" ht="15" hidden="false" customHeight="true" outlineLevel="0" collapsed="false">
      <c r="B21" s="1" t="s">
        <v>220</v>
      </c>
      <c r="C21" s="19" t="n">
        <f aca="false">C17</f>
        <v>607.75</v>
      </c>
      <c r="D21" s="19" t="n">
        <f aca="false">MAX(0,D17-D19-D20)</f>
        <v>576.490078125</v>
      </c>
      <c r="E21" s="19" t="n">
        <f aca="false">MAX(0,E17-E19-E20)</f>
        <v>536.22692388916</v>
      </c>
      <c r="F21" s="19" t="n">
        <f aca="false">MAX(0,F17-F19-F20)</f>
        <v>486.965123672411</v>
      </c>
      <c r="G21" s="19" t="n">
        <f aca="false">MAX(0,G17-G19-G20)</f>
        <v>427.664323270674</v>
      </c>
      <c r="H21" s="19" t="n">
        <f aca="false">MAX(0,H17-H19-H20)</f>
        <v>357.116588509971</v>
      </c>
      <c r="I21" s="19" t="n">
        <f aca="false">MAX(0,I17-I19-I20)</f>
        <v>273.987900550043</v>
      </c>
      <c r="J21" s="19" t="n">
        <f aca="false">MAX(0,J17-J19-J20)</f>
        <v>176.809802977153</v>
      </c>
    </row>
    <row r="22" customFormat="false" ht="15" hidden="false" customHeight="true" outlineLevel="0" collapsed="false">
      <c r="B22" s="1" t="s">
        <v>221</v>
      </c>
      <c r="C22" s="19" t="n">
        <f aca="false">'Sources &amp; Uses'!F7</f>
        <v>178.75</v>
      </c>
      <c r="D22" s="19" t="n">
        <f aca="false">C26</f>
        <v>178.75</v>
      </c>
      <c r="E22" s="19" t="n">
        <f aca="false">D26</f>
        <v>177.81689453125</v>
      </c>
      <c r="F22" s="19" t="n">
        <f aca="false">E26</f>
        <v>174.604987808228</v>
      </c>
      <c r="G22" s="19" t="n">
        <f aca="false">F26</f>
        <v>169.047062388287</v>
      </c>
      <c r="H22" s="19" t="n">
        <f aca="false">G26</f>
        <v>160.812649159501</v>
      </c>
      <c r="I22" s="19" t="n">
        <f aca="false">H26</f>
        <v>149.519469944111</v>
      </c>
      <c r="J22" s="19" t="n">
        <f aca="false">I26</f>
        <v>134.742257052452</v>
      </c>
    </row>
    <row r="23" customFormat="false" ht="15" hidden="false" customHeight="true" outlineLevel="0" collapsed="false">
      <c r="B23" s="1" t="s">
        <v>222</v>
      </c>
      <c r="D23" s="19" t="n">
        <f aca="false">D22*Assumptions!$E$23</f>
        <v>19.6625</v>
      </c>
      <c r="E23" s="19" t="n">
        <f aca="false">E22*Assumptions!$E$23</f>
        <v>19.5598583984375</v>
      </c>
      <c r="F23" s="19" t="n">
        <f aca="false">F22*Assumptions!$E$23</f>
        <v>19.206548658905</v>
      </c>
      <c r="G23" s="19" t="n">
        <f aca="false">G22*Assumptions!$E$23</f>
        <v>18.5951768627116</v>
      </c>
      <c r="H23" s="19" t="n">
        <f aca="false">H22*Assumptions!$E$23</f>
        <v>17.6893914075452</v>
      </c>
      <c r="I23" s="19" t="n">
        <f aca="false">I22*Assumptions!$E$23</f>
        <v>16.4471416938522</v>
      </c>
      <c r="J23" s="19" t="n">
        <f aca="false">J22*Assumptions!$E$23</f>
        <v>14.8216482757697</v>
      </c>
    </row>
    <row r="24" customFormat="false" ht="15" hidden="false" customHeight="true" outlineLevel="0" collapsed="false">
      <c r="B24" s="30" t="s">
        <v>223</v>
      </c>
      <c r="C24" s="31"/>
      <c r="D24" s="31" t="n">
        <f aca="false">D22*Assumptions!$E$24</f>
        <v>5.3625</v>
      </c>
      <c r="E24" s="31" t="n">
        <f aca="false">E22*Assumptions!$E$24</f>
        <v>5.3345068359375</v>
      </c>
      <c r="F24" s="31" t="n">
        <f aca="false">F22*Assumptions!$E$24</f>
        <v>5.23814963424683</v>
      </c>
      <c r="G24" s="31" t="n">
        <f aca="false">G22*Assumptions!$E$24</f>
        <v>5.07141187164861</v>
      </c>
      <c r="H24" s="31" t="n">
        <f aca="false">H22*Assumptions!$E$24</f>
        <v>4.82437947478504</v>
      </c>
      <c r="I24" s="31" t="n">
        <f aca="false">I22*Assumptions!$E$24</f>
        <v>4.48558409832332</v>
      </c>
      <c r="J24" s="31" t="n">
        <f aca="false">J22*Assumptions!$E$24</f>
        <v>4.04226771157356</v>
      </c>
    </row>
    <row r="25" customFormat="false" ht="15" hidden="false" customHeight="true" outlineLevel="0" collapsed="false">
      <c r="B25" s="30" t="s">
        <v>224</v>
      </c>
      <c r="C25" s="31" t="n">
        <f aca="false">SUM(C16,C20,C13)</f>
        <v>198.75</v>
      </c>
      <c r="D25" s="31" t="n">
        <f aca="false">D12</f>
        <v>6.29560546875</v>
      </c>
      <c r="E25" s="31" t="n">
        <f aca="false">E12</f>
        <v>8.54641355895996</v>
      </c>
      <c r="F25" s="31" t="n">
        <f aca="false">F12</f>
        <v>10.7960750541873</v>
      </c>
      <c r="G25" s="31" t="n">
        <f aca="false">G12</f>
        <v>13.3058251004343</v>
      </c>
      <c r="H25" s="31" t="n">
        <f aca="false">H12</f>
        <v>16.1175586901758</v>
      </c>
      <c r="I25" s="31" t="n">
        <f aca="false">I12</f>
        <v>19.262796989982</v>
      </c>
      <c r="J25" s="31" t="n">
        <f aca="false">J12</f>
        <v>22.7751493932224</v>
      </c>
    </row>
    <row r="26" customFormat="false" ht="15" hidden="false" customHeight="true" outlineLevel="0" collapsed="false">
      <c r="B26" s="30" t="s">
        <v>225</v>
      </c>
      <c r="C26" s="31" t="n">
        <f aca="false">C22</f>
        <v>178.75</v>
      </c>
      <c r="D26" s="31" t="n">
        <f aca="false">MAX(0,D22+D24-D25)</f>
        <v>177.81689453125</v>
      </c>
      <c r="E26" s="31" t="n">
        <f aca="false">MAX(0,E22+E24-E25)</f>
        <v>174.604987808228</v>
      </c>
      <c r="F26" s="31" t="n">
        <f aca="false">MAX(0,F22+F24-F25)</f>
        <v>169.047062388287</v>
      </c>
      <c r="G26" s="31" t="n">
        <f aca="false">MAX(0,G22+G24-G25)</f>
        <v>160.812649159501</v>
      </c>
      <c r="H26" s="31" t="n">
        <f aca="false">MAX(0,H22+H24-H25)</f>
        <v>149.519469944111</v>
      </c>
      <c r="I26" s="31" t="n">
        <f aca="false">MAX(0,I22+I24-I25)</f>
        <v>134.742257052452</v>
      </c>
      <c r="J26" s="31" t="n">
        <f aca="false">MAX(0,J22+J24-J25)</f>
        <v>116.009375370803</v>
      </c>
    </row>
    <row r="27" customFormat="false" ht="15" hidden="false" customHeight="true" outlineLevel="0" collapsed="false">
      <c r="B27" s="1" t="s">
        <v>226</v>
      </c>
      <c r="C27" s="19" t="n">
        <f aca="false">SUM(C16,C21,C26)</f>
        <v>786.5</v>
      </c>
      <c r="D27" s="19" t="n">
        <f aca="false">SUM(D16,D21,D26)</f>
        <v>754.30697265625</v>
      </c>
      <c r="E27" s="19" t="n">
        <f aca="false">SUM(E16,E21,E26)</f>
        <v>710.831911697388</v>
      </c>
      <c r="F27" s="19" t="n">
        <f aca="false">SUM(F16,F21,F26)</f>
        <v>656.012186060698</v>
      </c>
      <c r="G27" s="19" t="n">
        <f aca="false">SUM(G16,G21,G26)</f>
        <v>588.476972430175</v>
      </c>
      <c r="H27" s="19" t="n">
        <f aca="false">SUM(H16,H21,H26)</f>
        <v>506.636058454082</v>
      </c>
      <c r="I27" s="19" t="n">
        <f aca="false">SUM(I16,I21,I26)</f>
        <v>408.730157602495</v>
      </c>
      <c r="J27" s="19" t="n">
        <f aca="false">SUM(J16,J21,J26)</f>
        <v>292.819178347957</v>
      </c>
    </row>
    <row r="28" customFormat="false" ht="15" hidden="false" customHeight="true" outlineLevel="0" collapsed="false">
      <c r="B28" s="1" t="s">
        <v>227</v>
      </c>
      <c r="C28" s="19" t="n">
        <f aca="false">C27-C13</f>
        <v>766.5</v>
      </c>
      <c r="D28" s="19" t="n">
        <f aca="false">D27-D13</f>
        <v>732.2084375</v>
      </c>
      <c r="E28" s="19" t="n">
        <f aca="false">E27-E13</f>
        <v>687.983107177734</v>
      </c>
      <c r="F28" s="19" t="n">
        <f aca="false">F27-F13</f>
        <v>632.413494375969</v>
      </c>
      <c r="G28" s="19" t="n">
        <f aca="false">G27-G13</f>
        <v>564.041697396697</v>
      </c>
      <c r="H28" s="19" t="n">
        <f aca="false">H27-H13</f>
        <v>481.26353889069</v>
      </c>
      <c r="I28" s="19" t="n">
        <f aca="false">I27-I13</f>
        <v>382.309225272501</v>
      </c>
      <c r="J28" s="19" t="n">
        <f aca="false">J27-J13</f>
        <v>265.227461883549</v>
      </c>
    </row>
  </sheetData>
  <mergeCells count="1">
    <mergeCell ref="B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4"/>
    <col collapsed="false" customWidth="true" hidden="false" outlineLevel="0" max="9" min="3" style="1" width="13"/>
  </cols>
  <sheetData>
    <row r="2" customFormat="false" ht="27.75" hidden="false" customHeight="true" outlineLevel="0" collapsed="false">
      <c r="B2" s="2" t="s">
        <v>228</v>
      </c>
      <c r="C2" s="2"/>
      <c r="D2" s="2"/>
      <c r="E2" s="2"/>
      <c r="F2" s="2"/>
      <c r="G2" s="2"/>
      <c r="H2" s="2"/>
      <c r="I2" s="2"/>
    </row>
    <row r="4" customFormat="false" ht="15" hidden="false" customHeight="true" outlineLevel="0" collapsed="false">
      <c r="B4" s="16" t="s">
        <v>229</v>
      </c>
      <c r="C4" s="16" t="s">
        <v>182</v>
      </c>
      <c r="D4" s="16" t="s">
        <v>183</v>
      </c>
      <c r="E4" s="16" t="s">
        <v>184</v>
      </c>
      <c r="F4" s="16" t="s">
        <v>185</v>
      </c>
      <c r="G4" s="16" t="s">
        <v>186</v>
      </c>
      <c r="H4" s="16" t="s">
        <v>187</v>
      </c>
      <c r="I4" s="16" t="s">
        <v>188</v>
      </c>
    </row>
    <row r="5" customFormat="false" ht="15" hidden="false" customHeight="true" outlineLevel="0" collapsed="false">
      <c r="B5" s="1" t="s">
        <v>230</v>
      </c>
      <c r="C5" s="27" t="n">
        <f aca="false">IFERROR('Debt Schedule'!D25/'Operating Model'!D8,0)</f>
        <v>0.0408027251184834</v>
      </c>
      <c r="D5" s="27" t="n">
        <f aca="false">IFERROR('Debt Schedule'!E25/'Operating Model'!E8,0)</f>
        <v>0.0513615110885477</v>
      </c>
      <c r="E5" s="27" t="n">
        <f aca="false">IFERROR('Debt Schedule'!F25/'Operating Model'!F8,0)</f>
        <v>0.060190409399018</v>
      </c>
      <c r="F5" s="27" t="n">
        <f aca="false">IFERROR('Debt Schedule'!G25/'Operating Model'!G8,0)</f>
        <v>0.068850543618726</v>
      </c>
      <c r="G5" s="27" t="n">
        <f aca="false">IFERROR('Debt Schedule'!H25/'Operating Model'!H8,0)</f>
        <v>0.0774386050480453</v>
      </c>
      <c r="H5" s="27" t="n">
        <f aca="false">IFERROR('Debt Schedule'!I25/'Operating Model'!I8,0)</f>
        <v>0.0859708507654349</v>
      </c>
      <c r="I5" s="27" t="n">
        <f aca="false">IFERROR('Debt Schedule'!J25/'Operating Model'!J8,0)</f>
        <v>0.0944583771536658</v>
      </c>
    </row>
    <row r="6" customFormat="false" ht="15" hidden="false" customHeight="true" outlineLevel="0" collapsed="false">
      <c r="B6" s="1" t="s">
        <v>231</v>
      </c>
      <c r="C6" s="27" t="n">
        <f aca="false">Assumptions!$E$26</f>
        <v>7</v>
      </c>
      <c r="D6" s="27" t="n">
        <f aca="false">Assumptions!$E$26</f>
        <v>7</v>
      </c>
      <c r="E6" s="27" t="n">
        <f aca="false">Assumptions!$E$26</f>
        <v>7</v>
      </c>
      <c r="F6" s="27" t="n">
        <f aca="false">Assumptions!$E$26</f>
        <v>7</v>
      </c>
      <c r="G6" s="27" t="n">
        <f aca="false">Assumptions!$E$26</f>
        <v>7</v>
      </c>
      <c r="H6" s="27" t="n">
        <f aca="false">Assumptions!$E$26</f>
        <v>7</v>
      </c>
      <c r="I6" s="27" t="n">
        <f aca="false">Assumptions!$E$26</f>
        <v>7</v>
      </c>
    </row>
    <row r="7" customFormat="false" ht="15" hidden="false" customHeight="true" outlineLevel="0" collapsed="false">
      <c r="B7" s="1" t="s">
        <v>232</v>
      </c>
      <c r="C7" s="27" t="n">
        <f aca="false">C6-C5</f>
        <v>6.95919727488152</v>
      </c>
      <c r="D7" s="27" t="n">
        <f aca="false">D6-D5</f>
        <v>6.94863848891145</v>
      </c>
      <c r="E7" s="27" t="n">
        <f aca="false">E6-E5</f>
        <v>6.93980959060098</v>
      </c>
      <c r="F7" s="27" t="n">
        <f aca="false">F6-F5</f>
        <v>6.93114945638127</v>
      </c>
      <c r="G7" s="27" t="n">
        <f aca="false">G6-G5</f>
        <v>6.92256139495196</v>
      </c>
      <c r="H7" s="27" t="n">
        <f aca="false">H6-H5</f>
        <v>6.91402914923457</v>
      </c>
      <c r="I7" s="27" t="n">
        <f aca="false">I6-I5</f>
        <v>6.90554162284633</v>
      </c>
    </row>
    <row r="8" customFormat="false" ht="15" hidden="false" customHeight="true" outlineLevel="0" collapsed="false">
      <c r="B8" s="1" t="s">
        <v>233</v>
      </c>
      <c r="C8" s="27" t="n">
        <f aca="false">IFERROR('Operating Model'!D8/'Debt Schedule'!D7,0)</f>
        <v>2.16336295283664</v>
      </c>
      <c r="D8" s="27" t="n">
        <f aca="false">IFERROR('Operating Model'!E8/'Debt Schedule'!E7,0)</f>
        <v>2.42697725400607</v>
      </c>
      <c r="E8" s="27" t="n">
        <f aca="false">IFERROR('Operating Model'!F8/'Debt Schedule'!F7,0)</f>
        <v>2.76858921351356</v>
      </c>
      <c r="F8" s="27" t="n">
        <f aca="false">IFERROR('Operating Model'!G8/'Debt Schedule'!G7,0)</f>
        <v>3.22163070838862</v>
      </c>
      <c r="G8" s="27" t="n">
        <f aca="false">IFERROR('Operating Model'!H8/'Debt Schedule'!H7,0)</f>
        <v>3.85140771839835</v>
      </c>
      <c r="H8" s="27" t="n">
        <f aca="false">IFERROR('Operating Model'!I8/'Debt Schedule'!I7,0)</f>
        <v>4.78743875274307</v>
      </c>
      <c r="I8" s="27" t="n">
        <f aca="false">IFERROR('Operating Model'!J8/'Debt Schedule'!J7,0)</f>
        <v>6.32666359352751</v>
      </c>
    </row>
    <row r="9" customFormat="false" ht="15" hidden="false" customHeight="true" outlineLevel="0" collapsed="false">
      <c r="B9" s="1" t="s">
        <v>234</v>
      </c>
      <c r="C9" s="27" t="n">
        <f aca="false">Assumptions!$E$27</f>
        <v>1.75</v>
      </c>
      <c r="D9" s="27" t="n">
        <f aca="false">Assumptions!$E$27</f>
        <v>1.75</v>
      </c>
      <c r="E9" s="27" t="n">
        <f aca="false">Assumptions!$E$27</f>
        <v>1.75</v>
      </c>
      <c r="F9" s="27" t="n">
        <f aca="false">Assumptions!$E$27</f>
        <v>1.75</v>
      </c>
      <c r="G9" s="27" t="n">
        <f aca="false">Assumptions!$E$27</f>
        <v>1.75</v>
      </c>
      <c r="H9" s="27" t="n">
        <f aca="false">Assumptions!$E$27</f>
        <v>1.75</v>
      </c>
      <c r="I9" s="27" t="n">
        <f aca="false">Assumptions!$E$27</f>
        <v>1.75</v>
      </c>
    </row>
    <row r="10" customFormat="false" ht="15" hidden="false" customHeight="true" outlineLevel="0" collapsed="false">
      <c r="B10" s="1" t="s">
        <v>235</v>
      </c>
      <c r="C10" s="27" t="n">
        <f aca="false">C8-C9</f>
        <v>0.413362952836637</v>
      </c>
      <c r="D10" s="27" t="n">
        <f aca="false">D8-D9</f>
        <v>0.676977254006073</v>
      </c>
      <c r="E10" s="27" t="n">
        <f aca="false">E8-E9</f>
        <v>1.01858921351356</v>
      </c>
      <c r="F10" s="27" t="n">
        <f aca="false">F8-F9</f>
        <v>1.47163070838862</v>
      </c>
      <c r="G10" s="27" t="n">
        <f aca="false">G8-G9</f>
        <v>2.10140771839835</v>
      </c>
      <c r="H10" s="27" t="n">
        <f aca="false">H8-H9</f>
        <v>3.03743875274307</v>
      </c>
      <c r="I10" s="27" t="n">
        <f aca="false">I8-I9</f>
        <v>4.57666359352751</v>
      </c>
    </row>
    <row r="11" customFormat="false" ht="15" hidden="false" customHeight="true" outlineLevel="0" collapsed="false">
      <c r="B11" s="1" t="s">
        <v>141</v>
      </c>
      <c r="C11" s="19" t="n">
        <f aca="false">Assumptions!$E$16</f>
        <v>20</v>
      </c>
      <c r="D11" s="19" t="n">
        <f aca="false">Assumptions!$E$16</f>
        <v>20</v>
      </c>
      <c r="E11" s="19" t="n">
        <f aca="false">Assumptions!$E$16</f>
        <v>20</v>
      </c>
      <c r="F11" s="19" t="n">
        <f aca="false">Assumptions!$E$16</f>
        <v>20</v>
      </c>
      <c r="G11" s="19" t="n">
        <f aca="false">Assumptions!$E$16</f>
        <v>20</v>
      </c>
      <c r="H11" s="19" t="n">
        <f aca="false">Assumptions!$E$16</f>
        <v>20</v>
      </c>
      <c r="I11" s="19" t="n">
        <f aca="false">Assumptions!$E$16</f>
        <v>20</v>
      </c>
    </row>
    <row r="12" customFormat="false" ht="15" hidden="false" customHeight="true" outlineLevel="0" collapsed="false">
      <c r="B12" s="1" t="s">
        <v>236</v>
      </c>
      <c r="C12" s="19" t="n">
        <f aca="false">'Debt Schedule'!D13-C11</f>
        <v>2.09853515625</v>
      </c>
      <c r="D12" s="19" t="n">
        <f aca="false">'Debt Schedule'!E13-D11</f>
        <v>2.84880451965332</v>
      </c>
      <c r="E12" s="19" t="n">
        <f aca="false">'Debt Schedule'!F13-E11</f>
        <v>3.5986916847291</v>
      </c>
      <c r="F12" s="19" t="n">
        <f aca="false">'Debt Schedule'!G13-F11</f>
        <v>4.4352750334781</v>
      </c>
      <c r="G12" s="19" t="n">
        <f aca="false">'Debt Schedule'!H13-G11</f>
        <v>5.37251956339192</v>
      </c>
      <c r="H12" s="19" t="n">
        <f aca="false">'Debt Schedule'!I13-H11</f>
        <v>6.420932329994</v>
      </c>
      <c r="I12" s="19" t="n">
        <f aca="false">'Debt Schedule'!J13-I11</f>
        <v>7.59171646440747</v>
      </c>
    </row>
    <row r="13" customFormat="false" ht="15" hidden="false" customHeight="true" outlineLevel="0" collapsed="false">
      <c r="B13" s="1" t="s">
        <v>43</v>
      </c>
      <c r="C13" s="1" t="str">
        <f aca="false">IF(AND(C7&gt;=0,C10&gt;=0,C12&gt;=0),"PASS","BREACH")</f>
        <v>PASS</v>
      </c>
      <c r="D13" s="1" t="str">
        <f aca="false">IF(AND(D7&gt;=0,D10&gt;=0,D12&gt;=0),"PASS","BREACH")</f>
        <v>PASS</v>
      </c>
      <c r="E13" s="1" t="str">
        <f aca="false">IF(AND(E7&gt;=0,E10&gt;=0,E12&gt;=0),"PASS","BREACH")</f>
        <v>PASS</v>
      </c>
      <c r="F13" s="1" t="str">
        <f aca="false">IF(AND(F7&gt;=0,F10&gt;=0,F12&gt;=0),"PASS","BREACH")</f>
        <v>PASS</v>
      </c>
      <c r="G13" s="1" t="str">
        <f aca="false">IF(AND(G7&gt;=0,G10&gt;=0,G12&gt;=0),"PASS","BREACH")</f>
        <v>PASS</v>
      </c>
      <c r="H13" s="1" t="str">
        <f aca="false">IF(AND(H7&gt;=0,H10&gt;=0,H12&gt;=0),"PASS","BREACH")</f>
        <v>PASS</v>
      </c>
      <c r="I13" s="1" t="str">
        <f aca="false">IF(AND(I7&gt;=0,I10&gt;=0,I12&gt;=0),"PASS","BREACH")</f>
        <v>PASS</v>
      </c>
    </row>
  </sheetData>
  <mergeCells count="1">
    <mergeCell ref="B2:I2"/>
  </mergeCells>
  <conditionalFormatting sqref="C13:I13">
    <cfRule type="expression" priority="2" aboveAverage="0" equalAverage="0" bottom="0" percent="0" rank="0" text="" dxfId="0">
      <formula>C13="PASS"</formula>
    </cfRule>
    <cfRule type="expression" priority="3" aboveAverage="0" equalAverage="0" bottom="0" percent="0" rank="0" text="" dxfId="1">
      <formula>C13="FAIL"</formula>
    </cfRule>
    <cfRule type="expression" priority="4" aboveAverage="0" equalAverage="0" bottom="0" percent="0" rank="0" text="" dxfId="2">
      <formula>C13="REVIEW"</formula>
    </cfRule>
    <cfRule type="expression" priority="5" aboveAverage="0" equalAverage="0" bottom="0" percent="0" rank="0" text="" dxfId="1">
      <formula>C13="BREACH"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4"/>
    <col collapsed="false" customWidth="true" hidden="false" outlineLevel="0" max="3" min="3" style="1" width="18"/>
    <col collapsed="false" customWidth="true" hidden="false" outlineLevel="0" max="4" min="4" style="1" width="16"/>
    <col collapsed="false" customWidth="true" hidden="false" outlineLevel="0" max="5" min="5" style="1" width="42"/>
  </cols>
  <sheetData>
    <row r="2" customFormat="false" ht="27.75" hidden="false" customHeight="true" outlineLevel="0" collapsed="false">
      <c r="B2" s="2" t="s">
        <v>237</v>
      </c>
      <c r="C2" s="2"/>
      <c r="D2" s="2"/>
      <c r="E2" s="2"/>
    </row>
    <row r="4" customFormat="false" ht="15" hidden="false" customHeight="true" outlineLevel="0" collapsed="false">
      <c r="B4" s="16" t="s">
        <v>229</v>
      </c>
      <c r="C4" s="16" t="s">
        <v>238</v>
      </c>
      <c r="D4" s="16" t="s">
        <v>239</v>
      </c>
      <c r="E4" s="16" t="s">
        <v>240</v>
      </c>
    </row>
    <row r="5" customFormat="false" ht="15" hidden="false" customHeight="true" outlineLevel="0" collapsed="false">
      <c r="B5" s="1" t="s">
        <v>241</v>
      </c>
      <c r="C5" s="22" t="n">
        <f aca="false">Assumptions!E30</f>
        <v>0.1</v>
      </c>
      <c r="D5" s="1" t="s">
        <v>129</v>
      </c>
      <c r="E5" s="1" t="s">
        <v>242</v>
      </c>
    </row>
    <row r="6" customFormat="false" ht="15" hidden="false" customHeight="true" outlineLevel="0" collapsed="false">
      <c r="B6" s="1" t="s">
        <v>243</v>
      </c>
      <c r="C6" s="22" t="n">
        <f aca="false">1-C5</f>
        <v>0.9</v>
      </c>
      <c r="D6" s="1" t="s">
        <v>129</v>
      </c>
      <c r="E6" s="1" t="s">
        <v>244</v>
      </c>
    </row>
    <row r="7" customFormat="false" ht="15" hidden="false" customHeight="true" outlineLevel="0" collapsed="false">
      <c r="B7" s="1" t="s">
        <v>245</v>
      </c>
      <c r="C7" s="19" t="n">
        <f aca="false">'Sources &amp; Uses'!F8</f>
        <v>865.03</v>
      </c>
      <c r="D7" s="1" t="s">
        <v>127</v>
      </c>
      <c r="E7" s="1" t="s">
        <v>246</v>
      </c>
    </row>
    <row r="8" customFormat="false" ht="15" hidden="false" customHeight="true" outlineLevel="0" collapsed="false">
      <c r="B8" s="1" t="s">
        <v>247</v>
      </c>
      <c r="C8" s="19" t="n">
        <f aca="false">C7*(1+Assumptions!E31)^Assumptions!E29</f>
        <v>1271.0128662743</v>
      </c>
      <c r="D8" s="1" t="s">
        <v>127</v>
      </c>
      <c r="E8" s="1" t="s">
        <v>248</v>
      </c>
    </row>
    <row r="9" customFormat="false" ht="15" hidden="false" customHeight="true" outlineLevel="0" collapsed="false">
      <c r="B9" s="1" t="s">
        <v>249</v>
      </c>
      <c r="C9" s="22" t="n">
        <f aca="false">Assumptions!E32</f>
        <v>0.2</v>
      </c>
      <c r="D9" s="1" t="s">
        <v>163</v>
      </c>
      <c r="E9" s="1" t="s">
        <v>250</v>
      </c>
    </row>
  </sheetData>
  <mergeCells count="1">
    <mergeCell ref="B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4"/>
    <col collapsed="false" customWidth="true" hidden="false" outlineLevel="0" max="10" min="3" style="1" width="13"/>
  </cols>
  <sheetData>
    <row r="2" customFormat="false" ht="27.75" hidden="false" customHeight="true" outlineLevel="0" collapsed="false">
      <c r="B2" s="2" t="s">
        <v>251</v>
      </c>
      <c r="C2" s="2"/>
      <c r="D2" s="2"/>
      <c r="E2" s="2"/>
      <c r="F2" s="2"/>
      <c r="G2" s="2"/>
      <c r="H2" s="2"/>
      <c r="I2" s="2"/>
      <c r="J2" s="2"/>
    </row>
    <row r="4" customFormat="false" ht="15" hidden="false" customHeight="true" outlineLevel="0" collapsed="false">
      <c r="B4" s="16" t="s">
        <v>229</v>
      </c>
      <c r="C4" s="16" t="s">
        <v>182</v>
      </c>
      <c r="D4" s="16" t="s">
        <v>183</v>
      </c>
      <c r="E4" s="16" t="s">
        <v>184</v>
      </c>
      <c r="F4" s="16" t="s">
        <v>185</v>
      </c>
      <c r="G4" s="16" t="s">
        <v>186</v>
      </c>
      <c r="H4" s="16" t="s">
        <v>187</v>
      </c>
      <c r="I4" s="16" t="s">
        <v>188</v>
      </c>
      <c r="J4" s="16" t="s">
        <v>252</v>
      </c>
    </row>
    <row r="5" customFormat="false" ht="15" hidden="false" customHeight="true" outlineLevel="0" collapsed="false">
      <c r="B5" s="1" t="s">
        <v>253</v>
      </c>
      <c r="C5" s="19" t="n">
        <f aca="false">'Operating Model'!D8</f>
        <v>154.29375</v>
      </c>
      <c r="D5" s="19" t="n">
        <f aca="false">'Operating Model'!E8</f>
        <v>166.3972375</v>
      </c>
      <c r="E5" s="19" t="n">
        <f aca="false">'Operating Model'!F8</f>
        <v>179.36537003125</v>
      </c>
      <c r="F5" s="19" t="n">
        <f aca="false">'Operating Model'!G8</f>
        <v>193.2566454975</v>
      </c>
      <c r="G5" s="19" t="n">
        <f aca="false">'Operating Model'!H8</f>
        <v>208.133381020693</v>
      </c>
      <c r="H5" s="19" t="n">
        <f aca="false">'Operating Model'!I8</f>
        <v>224.061956098807</v>
      </c>
      <c r="I5" s="19" t="n">
        <f aca="false">'Operating Model'!J8</f>
        <v>241.113070957926</v>
      </c>
      <c r="J5" s="19" t="n">
        <f aca="false">INDEX(C5:I5,1,Assumptions!E29)</f>
        <v>208.133381020693</v>
      </c>
    </row>
    <row r="6" customFormat="false" ht="15" hidden="false" customHeight="true" outlineLevel="0" collapsed="false">
      <c r="B6" s="1" t="s">
        <v>254</v>
      </c>
      <c r="C6" s="27" t="n">
        <f aca="false">Assumptions!$E$28</f>
        <v>10</v>
      </c>
      <c r="D6" s="27" t="n">
        <f aca="false">Assumptions!$E$28</f>
        <v>10</v>
      </c>
      <c r="E6" s="27" t="n">
        <f aca="false">Assumptions!$E$28</f>
        <v>10</v>
      </c>
      <c r="F6" s="27" t="n">
        <f aca="false">Assumptions!$E$28</f>
        <v>10</v>
      </c>
      <c r="G6" s="27" t="n">
        <f aca="false">Assumptions!$E$28</f>
        <v>10</v>
      </c>
      <c r="H6" s="27" t="n">
        <f aca="false">Assumptions!$E$28</f>
        <v>10</v>
      </c>
      <c r="I6" s="27" t="n">
        <f aca="false">Assumptions!$E$28</f>
        <v>10</v>
      </c>
      <c r="J6" s="27" t="n">
        <f aca="false">INDEX(C6:I6,1,Assumptions!E29)</f>
        <v>10</v>
      </c>
    </row>
    <row r="7" customFormat="false" ht="15" hidden="false" customHeight="true" outlineLevel="0" collapsed="false">
      <c r="B7" s="1" t="s">
        <v>255</v>
      </c>
      <c r="C7" s="19" t="n">
        <f aca="false">C5*C6</f>
        <v>1542.9375</v>
      </c>
      <c r="D7" s="19" t="n">
        <f aca="false">D5*D6</f>
        <v>1663.972375</v>
      </c>
      <c r="E7" s="19" t="n">
        <f aca="false">E5*E6</f>
        <v>1793.6537003125</v>
      </c>
      <c r="F7" s="19" t="n">
        <f aca="false">F5*F6</f>
        <v>1932.566454975</v>
      </c>
      <c r="G7" s="19" t="n">
        <f aca="false">G5*G6</f>
        <v>2081.33381020693</v>
      </c>
      <c r="H7" s="19" t="n">
        <f aca="false">H5*H6</f>
        <v>2240.61956098807</v>
      </c>
      <c r="I7" s="19" t="n">
        <f aca="false">I5*I6</f>
        <v>2411.13070957926</v>
      </c>
      <c r="J7" s="19" t="n">
        <f aca="false">INDEX(C7:I7,1,Assumptions!E29)</f>
        <v>2081.33381020693</v>
      </c>
    </row>
    <row r="8" customFormat="false" ht="15" hidden="false" customHeight="true" outlineLevel="0" collapsed="false">
      <c r="B8" s="1" t="s">
        <v>227</v>
      </c>
      <c r="C8" s="19" t="n">
        <f aca="false">'Debt Schedule'!D28</f>
        <v>732.2084375</v>
      </c>
      <c r="D8" s="19" t="n">
        <f aca="false">'Debt Schedule'!E28</f>
        <v>687.983107177734</v>
      </c>
      <c r="E8" s="19" t="n">
        <f aca="false">'Debt Schedule'!F28</f>
        <v>632.413494375969</v>
      </c>
      <c r="F8" s="19" t="n">
        <f aca="false">'Debt Schedule'!G28</f>
        <v>564.041697396697</v>
      </c>
      <c r="G8" s="19" t="n">
        <f aca="false">'Debt Schedule'!H28</f>
        <v>481.26353889069</v>
      </c>
      <c r="H8" s="19" t="n">
        <f aca="false">'Debt Schedule'!I28</f>
        <v>382.309225272501</v>
      </c>
      <c r="I8" s="19" t="n">
        <f aca="false">'Debt Schedule'!J28</f>
        <v>265.227461883549</v>
      </c>
      <c r="J8" s="19" t="n">
        <f aca="false">INDEX(C8:I8,1,Assumptions!E29)</f>
        <v>481.26353889069</v>
      </c>
    </row>
    <row r="9" customFormat="false" ht="15" hidden="false" customHeight="true" outlineLevel="0" collapsed="false">
      <c r="B9" s="1" t="s">
        <v>256</v>
      </c>
      <c r="C9" s="19" t="n">
        <f aca="false">MAX(0,C7-C8)</f>
        <v>810.7290625</v>
      </c>
      <c r="D9" s="19" t="n">
        <f aca="false">MAX(0,D7-D8)</f>
        <v>975.989267822265</v>
      </c>
      <c r="E9" s="19" t="n">
        <f aca="false">MAX(0,E7-E8)</f>
        <v>1161.24020593653</v>
      </c>
      <c r="F9" s="19" t="n">
        <f aca="false">MAX(0,F7-F8)</f>
        <v>1368.5247575783</v>
      </c>
      <c r="G9" s="19" t="n">
        <f aca="false">MAX(0,G7-G8)</f>
        <v>1600.07027131624</v>
      </c>
      <c r="H9" s="19" t="n">
        <f aca="false">MAX(0,H7-H8)</f>
        <v>1858.31033571557</v>
      </c>
      <c r="I9" s="19" t="n">
        <f aca="false">MAX(0,I7-I8)</f>
        <v>2145.90324769572</v>
      </c>
      <c r="J9" s="19" t="n">
        <f aca="false">INDEX(C9:I9,1,Assumptions!E29)</f>
        <v>1600.07027131624</v>
      </c>
    </row>
    <row r="10" customFormat="false" ht="15" hidden="false" customHeight="true" outlineLevel="0" collapsed="false">
      <c r="B10" s="1" t="s">
        <v>161</v>
      </c>
      <c r="C10" s="19" t="n">
        <f aca="false">'Management Equity'!$C$7*(1+Assumptions!$E$31)^1</f>
        <v>934.2324</v>
      </c>
      <c r="D10" s="19" t="n">
        <f aca="false">'Management Equity'!$C$7*(1+Assumptions!$E$31)^2</f>
        <v>1008.970992</v>
      </c>
      <c r="E10" s="19" t="n">
        <f aca="false">'Management Equity'!$C$7*(1+Assumptions!$E$31)^3</f>
        <v>1089.68867136</v>
      </c>
      <c r="F10" s="19" t="n">
        <f aca="false">'Management Equity'!$C$7*(1+Assumptions!$E$31)^4</f>
        <v>1176.8637650688</v>
      </c>
      <c r="G10" s="19" t="n">
        <f aca="false">'Management Equity'!$C$7*(1+Assumptions!$E$31)^5</f>
        <v>1271.0128662743</v>
      </c>
      <c r="H10" s="19" t="n">
        <f aca="false">'Management Equity'!$C$7*(1+Assumptions!$E$31)^6</f>
        <v>1372.69389557625</v>
      </c>
      <c r="I10" s="19" t="n">
        <f aca="false">'Management Equity'!$C$7*(1+Assumptions!$E$31)^7</f>
        <v>1482.50940722235</v>
      </c>
      <c r="J10" s="19" t="n">
        <f aca="false">INDEX(C10:I10,1,Assumptions!E29)</f>
        <v>1271.0128662743</v>
      </c>
    </row>
    <row r="11" customFormat="false" ht="15" hidden="false" customHeight="true" outlineLevel="0" collapsed="false">
      <c r="B11" s="1" t="s">
        <v>257</v>
      </c>
      <c r="C11" s="19" t="n">
        <f aca="false">MAX(0,C9-C10)</f>
        <v>0</v>
      </c>
      <c r="D11" s="19" t="n">
        <f aca="false">MAX(0,D9-D10)</f>
        <v>0</v>
      </c>
      <c r="E11" s="19" t="n">
        <f aca="false">MAX(0,E9-E10)</f>
        <v>71.5515345765309</v>
      </c>
      <c r="F11" s="19" t="n">
        <f aca="false">MAX(0,F9-F10)</f>
        <v>191.660992509503</v>
      </c>
      <c r="G11" s="19" t="n">
        <f aca="false">MAX(0,G9-G10)</f>
        <v>329.057405041935</v>
      </c>
      <c r="H11" s="19" t="n">
        <f aca="false">MAX(0,H9-H10)</f>
        <v>485.616440139322</v>
      </c>
      <c r="I11" s="19" t="n">
        <f aca="false">MAX(0,I9-I10)</f>
        <v>663.393840473366</v>
      </c>
      <c r="J11" s="19" t="n">
        <f aca="false">INDEX(C11:I11,1,Assumptions!E29)</f>
        <v>329.057405041935</v>
      </c>
    </row>
    <row r="12" customFormat="false" ht="15" hidden="false" customHeight="true" outlineLevel="0" collapsed="false">
      <c r="B12" s="1" t="s">
        <v>258</v>
      </c>
      <c r="C12" s="19" t="n">
        <f aca="false">MIN(C9,C9*Assumptions!$E$30+C11*Assumptions!$E$32)</f>
        <v>81.07290625</v>
      </c>
      <c r="D12" s="19" t="n">
        <f aca="false">MIN(D9,D9*Assumptions!$E$30+D11*Assumptions!$E$32)</f>
        <v>97.5989267822266</v>
      </c>
      <c r="E12" s="19" t="n">
        <f aca="false">MIN(E9,E9*Assumptions!$E$30+E11*Assumptions!$E$32)</f>
        <v>130.434327508959</v>
      </c>
      <c r="F12" s="19" t="n">
        <f aca="false">MIN(F9,F9*Assumptions!$E$30+F11*Assumptions!$E$32)</f>
        <v>175.184674259731</v>
      </c>
      <c r="G12" s="19" t="n">
        <f aca="false">MIN(G9,G9*Assumptions!$E$30+G11*Assumptions!$E$32)</f>
        <v>225.818508140011</v>
      </c>
      <c r="H12" s="19" t="n">
        <f aca="false">MIN(H9,H9*Assumptions!$E$30+H11*Assumptions!$E$32)</f>
        <v>282.954321599421</v>
      </c>
      <c r="I12" s="19" t="n">
        <f aca="false">MIN(I9,I9*Assumptions!$E$30+I11*Assumptions!$E$32)</f>
        <v>347.269092864245</v>
      </c>
      <c r="J12" s="19" t="n">
        <f aca="false">INDEX(C12:I12,1,Assumptions!E29)</f>
        <v>225.818508140011</v>
      </c>
    </row>
    <row r="13" customFormat="false" ht="15" hidden="false" customHeight="true" outlineLevel="0" collapsed="false">
      <c r="B13" s="1" t="s">
        <v>259</v>
      </c>
      <c r="C13" s="19" t="n">
        <f aca="false">MAX(0,C9-C12)</f>
        <v>729.65615625</v>
      </c>
      <c r="D13" s="19" t="n">
        <f aca="false">MAX(0,D9-D12)</f>
        <v>878.390341040039</v>
      </c>
      <c r="E13" s="19" t="n">
        <f aca="false">MAX(0,E9-E12)</f>
        <v>1030.80587842757</v>
      </c>
      <c r="F13" s="19" t="n">
        <f aca="false">MAX(0,F9-F12)</f>
        <v>1193.34008331857</v>
      </c>
      <c r="G13" s="19" t="n">
        <f aca="false">MAX(0,G9-G12)</f>
        <v>1374.25176317623</v>
      </c>
      <c r="H13" s="19" t="n">
        <f aca="false">MAX(0,H9-H12)</f>
        <v>1575.35601411615</v>
      </c>
      <c r="I13" s="19" t="n">
        <f aca="false">MAX(0,I9-I12)</f>
        <v>1798.63415483147</v>
      </c>
      <c r="J13" s="19" t="n">
        <f aca="false">INDEX(C13:I13,1,Assumptions!E29)</f>
        <v>1374.25176317623</v>
      </c>
    </row>
    <row r="14" customFormat="false" ht="15" hidden="false" customHeight="true" outlineLevel="0" collapsed="false">
      <c r="B14" s="1" t="s">
        <v>260</v>
      </c>
      <c r="C14" s="27" t="n">
        <f aca="false">IFERROR(C13/'Sources &amp; Uses'!$F$8,0)</f>
        <v>0.843503874143094</v>
      </c>
      <c r="D14" s="27" t="n">
        <f aca="false">IFERROR(D13/'Sources &amp; Uses'!$F$8,0)</f>
        <v>1.0154449453083</v>
      </c>
      <c r="E14" s="27" t="n">
        <f aca="false">IFERROR(E13/'Sources &amp; Uses'!$F$8,0)</f>
        <v>1.19164176783183</v>
      </c>
      <c r="F14" s="27" t="n">
        <f aca="false">IFERROR(F13/'Sources &amp; Uses'!$F$8,0)</f>
        <v>1.37953606616946</v>
      </c>
      <c r="G14" s="27" t="n">
        <f aca="false">IFERROR(G13/'Sources &amp; Uses'!$F$8,0)</f>
        <v>1.58867526348939</v>
      </c>
      <c r="H14" s="27" t="n">
        <f aca="false">IFERROR(H13/'Sources &amp; Uses'!$F$8,0)</f>
        <v>1.82115766403032</v>
      </c>
      <c r="I14" s="27" t="n">
        <f aca="false">IFERROR(I13/'Sources &amp; Uses'!$F$8,0)</f>
        <v>2.07927373019603</v>
      </c>
      <c r="J14" s="27" t="n">
        <f aca="false">INDEX(C14:I14,1,Assumptions!E29)</f>
        <v>1.58867526348939</v>
      </c>
    </row>
    <row r="15" customFormat="false" ht="15" hidden="false" customHeight="true" outlineLevel="0" collapsed="false">
      <c r="B15" s="1" t="s">
        <v>261</v>
      </c>
      <c r="C15" s="24" t="n">
        <f aca="false">IFERROR((C13/'Sources &amp; Uses'!$F$8)^(1/1)-1,0)</f>
        <v>-0.156496125856906</v>
      </c>
      <c r="D15" s="24" t="n">
        <f aca="false">IFERROR((D13/'Sources &amp; Uses'!$F$8)^(1/2)-1,0)</f>
        <v>0.00769288243407784</v>
      </c>
      <c r="E15" s="24" t="n">
        <f aca="false">IFERROR((E13/'Sources &amp; Uses'!$F$8)^(1/3)-1,0)</f>
        <v>0.0601856112108703</v>
      </c>
      <c r="F15" s="24" t="n">
        <f aca="false">IFERROR((F13/'Sources &amp; Uses'!$F$8)^(1/4)-1,0)</f>
        <v>0.0837603667309206</v>
      </c>
      <c r="G15" s="24" t="n">
        <f aca="false">IFERROR((G13/'Sources &amp; Uses'!$F$8)^(1/5)-1,0)</f>
        <v>0.0970010081155761</v>
      </c>
      <c r="H15" s="24" t="n">
        <f aca="false">IFERROR((H13/'Sources &amp; Uses'!$F$8)^(1/6)-1,0)</f>
        <v>0.105073736936111</v>
      </c>
      <c r="I15" s="24" t="n">
        <f aca="false">IFERROR((I13/'Sources &amp; Uses'!$F$8)^(1/7)-1,0)</f>
        <v>0.110237653808597</v>
      </c>
      <c r="J15" s="24" t="n">
        <f aca="false">INDEX(C15:I15,1,Assumptions!E29)</f>
        <v>0.0970010081155761</v>
      </c>
    </row>
  </sheetData>
  <mergeCells count="1">
    <mergeCell ref="B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8"/>
    <col collapsed="false" customWidth="true" hidden="false" outlineLevel="0" max="7" min="3" style="1" width="14"/>
  </cols>
  <sheetData>
    <row r="2" customFormat="false" ht="27.75" hidden="false" customHeight="true" outlineLevel="0" collapsed="false">
      <c r="B2" s="2" t="s">
        <v>262</v>
      </c>
      <c r="C2" s="2"/>
      <c r="D2" s="2"/>
      <c r="E2" s="2"/>
      <c r="F2" s="2"/>
      <c r="G2" s="2"/>
    </row>
    <row r="4" customFormat="false" ht="15" hidden="false" customHeight="true" outlineLevel="0" collapsed="false">
      <c r="B4" s="16" t="s">
        <v>263</v>
      </c>
      <c r="C4" s="32" t="n">
        <v>7</v>
      </c>
      <c r="D4" s="32" t="n">
        <v>8</v>
      </c>
      <c r="E4" s="32" t="n">
        <v>9</v>
      </c>
      <c r="F4" s="32" t="n">
        <v>10</v>
      </c>
      <c r="G4" s="32" t="n">
        <v>11</v>
      </c>
    </row>
    <row r="5" customFormat="false" ht="15" hidden="false" customHeight="true" outlineLevel="0" collapsed="false">
      <c r="B5" s="27" t="n">
        <v>8</v>
      </c>
      <c r="C5" s="22" t="n">
        <f aca="false">IFERROR(((('Operating Model'!H8*C$4-'Debt Schedule'!G28)*(1-Assumptions!$E$30))/MAX(0.01,('Operating Model'!C8*$B5+Assumptions!$E$15+'Sources &amp; Uses'!C7+Assumptions!$E$16-'Sources &amp; Uses'!F6-'Sources &amp; Uses'!F7)))^(1/5)-1,0)</f>
        <v>0.096265991638065</v>
      </c>
      <c r="D5" s="22" t="n">
        <f aca="false">IFERROR(((('Operating Model'!H8*D$4-'Debt Schedule'!G28)*(1-Assumptions!$E$30))/MAX(0.01,('Operating Model'!C8*$B5+Assumptions!$E$15+'Sources &amp; Uses'!C7+Assumptions!$E$16-'Sources &amp; Uses'!F6-'Sources &amp; Uses'!F7)))^(1/5)-1,0)</f>
        <v>0.14318264301404</v>
      </c>
      <c r="E5" s="22" t="n">
        <f aca="false">IFERROR(((('Operating Model'!H8*E$4-'Debt Schedule'!G28)*(1-Assumptions!$E$30))/MAX(0.01,('Operating Model'!C8*$B5+Assumptions!$E$15+'Sources &amp; Uses'!C7+Assumptions!$E$16-'Sources &amp; Uses'!F6-'Sources &amp; Uses'!F7)))^(1/5)-1,0)</f>
        <v>0.18346282269318</v>
      </c>
      <c r="F5" s="22" t="n">
        <f aca="false">IFERROR(((('Operating Model'!H8*F$4-'Debt Schedule'!G28)*(1-Assumptions!$E$30))/MAX(0.01,('Operating Model'!C8*$B5+Assumptions!$E$15+'Sources &amp; Uses'!C7+Assumptions!$E$16-'Sources &amp; Uses'!F6-'Sources &amp; Uses'!F7)))^(1/5)-1,0)</f>
        <v>0.218905392137389</v>
      </c>
      <c r="G5" s="22" t="n">
        <f aca="false">IFERROR(((('Operating Model'!H8*G$4-'Debt Schedule'!G28)*(1-Assumptions!$E$30))/MAX(0.01,('Operating Model'!C8*$B5+Assumptions!$E$15+'Sources &amp; Uses'!C7+Assumptions!$E$16-'Sources &amp; Uses'!F6-'Sources &amp; Uses'!F7)))^(1/5)-1,0)</f>
        <v>0.250648885222881</v>
      </c>
    </row>
    <row r="6" customFormat="false" ht="15" hidden="false" customHeight="true" outlineLevel="0" collapsed="false">
      <c r="B6" s="27" t="n">
        <v>9</v>
      </c>
      <c r="C6" s="22" t="n">
        <f aca="false">IFERROR(((('Operating Model'!H8*C$4-'Debt Schedule'!G28)*(1-Assumptions!$E$30))/MAX(0.01,('Operating Model'!C8*$B6+Assumptions!$E$15+'Sources &amp; Uses'!C7+Assumptions!$E$16-'Sources &amp; Uses'!F6-'Sources &amp; Uses'!F7)))^(1/5)-1,0)</f>
        <v>0.0431693527288102</v>
      </c>
      <c r="D6" s="22" t="n">
        <f aca="false">IFERROR(((('Operating Model'!H8*D$4-'Debt Schedule'!G28)*(1-Assumptions!$E$30))/MAX(0.01,('Operating Model'!C8*$B6+Assumptions!$E$15+'Sources &amp; Uses'!C7+Assumptions!$E$16-'Sources &amp; Uses'!F6-'Sources &amp; Uses'!F7)))^(1/5)-1,0)</f>
        <v>0.0878136390802908</v>
      </c>
      <c r="E6" s="22" t="n">
        <f aca="false">IFERROR(((('Operating Model'!H8*E$4-'Debt Schedule'!G28)*(1-Assumptions!$E$30))/MAX(0.01,('Operating Model'!C8*$B6+Assumptions!$E$15+'Sources &amp; Uses'!C7+Assumptions!$E$16-'Sources &amp; Uses'!F6-'Sources &amp; Uses'!F7)))^(1/5)-1,0)</f>
        <v>0.126142885161255</v>
      </c>
      <c r="F6" s="22" t="n">
        <f aca="false">IFERROR(((('Operating Model'!H8*F$4-'Debt Schedule'!G28)*(1-Assumptions!$E$30))/MAX(0.01,('Operating Model'!C8*$B6+Assumptions!$E$15+'Sources &amp; Uses'!C7+Assumptions!$E$16-'Sources &amp; Uses'!F6-'Sources &amp; Uses'!F7)))^(1/5)-1,0)</f>
        <v>0.159868826226814</v>
      </c>
      <c r="G6" s="22" t="n">
        <f aca="false">IFERROR(((('Operating Model'!H8*G$4-'Debt Schedule'!G28)*(1-Assumptions!$E$30))/MAX(0.01,('Operating Model'!C8*$B6+Assumptions!$E$15+'Sources &amp; Uses'!C7+Assumptions!$E$16-'Sources &amp; Uses'!F6-'Sources &amp; Uses'!F7)))^(1/5)-1,0)</f>
        <v>0.190074852308007</v>
      </c>
    </row>
    <row r="7" customFormat="false" ht="15" hidden="false" customHeight="true" outlineLevel="0" collapsed="false">
      <c r="B7" s="27" t="n">
        <v>10</v>
      </c>
      <c r="C7" s="22" t="n">
        <f aca="false">IFERROR(((('Operating Model'!H8*C$4-'Debt Schedule'!G28)*(1-Assumptions!$E$30))/MAX(0.01,('Operating Model'!C8*$B7+Assumptions!$E$15+'Sources &amp; Uses'!C7+Assumptions!$E$16-'Sources &amp; Uses'!F6-'Sources &amp; Uses'!F7)))^(1/5)-1,0)</f>
        <v>0.00252593219265407</v>
      </c>
      <c r="D7" s="22" t="n">
        <f aca="false">IFERROR(((('Operating Model'!H8*D$4-'Debt Schedule'!G28)*(1-Assumptions!$E$30))/MAX(0.01,('Operating Model'!C8*$B7+Assumptions!$E$15+'Sources &amp; Uses'!C7+Assumptions!$E$16-'Sources &amp; Uses'!F6-'Sources &amp; Uses'!F7)))^(1/5)-1,0)</f>
        <v>0.045430811131548</v>
      </c>
      <c r="E7" s="22" t="n">
        <f aca="false">IFERROR(((('Operating Model'!H8*E$4-'Debt Schedule'!G28)*(1-Assumptions!$E$30))/MAX(0.01,('Operating Model'!C8*$B7+Assumptions!$E$15+'Sources &amp; Uses'!C7+Assumptions!$E$16-'Sources &amp; Uses'!F6-'Sources &amp; Uses'!F7)))^(1/5)-1,0)</f>
        <v>0.0822666931070322</v>
      </c>
      <c r="F7" s="22" t="n">
        <f aca="false">IFERROR(((('Operating Model'!H8*F$4-'Debt Schedule'!G28)*(1-Assumptions!$E$30))/MAX(0.01,('Operating Model'!C8*$B7+Assumptions!$E$15+'Sources &amp; Uses'!C7+Assumptions!$E$16-'Sources &amp; Uses'!F6-'Sources &amp; Uses'!F7)))^(1/5)-1,0)</f>
        <v>0.114678621637503</v>
      </c>
      <c r="G7" s="22" t="n">
        <f aca="false">IFERROR(((('Operating Model'!H8*G$4-'Debt Schedule'!G28)*(1-Assumptions!$E$30))/MAX(0.01,('Operating Model'!C8*$B7+Assumptions!$E$15+'Sources &amp; Uses'!C7+Assumptions!$E$16-'Sources &amp; Uses'!F6-'Sources &amp; Uses'!F7)))^(1/5)-1,0)</f>
        <v>0.143707776276363</v>
      </c>
    </row>
    <row r="8" customFormat="false" ht="15" hidden="false" customHeight="true" outlineLevel="0" collapsed="false">
      <c r="B8" s="27" t="n">
        <v>11</v>
      </c>
      <c r="C8" s="22" t="n">
        <f aca="false">IFERROR(((('Operating Model'!H8*C$4-'Debt Schedule'!G28)*(1-Assumptions!$E$30))/MAX(0.01,('Operating Model'!C8*$B8+Assumptions!$E$15+'Sources &amp; Uses'!C7+Assumptions!$E$16-'Sources &amp; Uses'!F6-'Sources &amp; Uses'!F7)))^(1/5)-1,0)</f>
        <v>-0.030151392524593</v>
      </c>
      <c r="D8" s="22" t="n">
        <f aca="false">IFERROR(((('Operating Model'!H8*D$4-'Debt Schedule'!G28)*(1-Assumptions!$E$30))/MAX(0.01,('Operating Model'!C8*$B8+Assumptions!$E$15+'Sources &amp; Uses'!C7+Assumptions!$E$16-'Sources &amp; Uses'!F6-'Sources &amp; Uses'!F7)))^(1/5)-1,0)</f>
        <v>0.0113550022294837</v>
      </c>
      <c r="E8" s="22" t="n">
        <f aca="false">IFERROR(((('Operating Model'!H8*E$4-'Debt Schedule'!G28)*(1-Assumptions!$E$30))/MAX(0.01,('Operating Model'!C8*$B8+Assumptions!$E$15+'Sources &amp; Uses'!C7+Assumptions!$E$16-'Sources &amp; Uses'!F6-'Sources &amp; Uses'!F7)))^(1/5)-1,0)</f>
        <v>0.046990218927486</v>
      </c>
      <c r="F8" s="22" t="n">
        <f aca="false">IFERROR(((('Operating Model'!H8*F$4-'Debt Schedule'!G28)*(1-Assumptions!$E$30))/MAX(0.01,('Operating Model'!C8*$B8+Assumptions!$E$15+'Sources &amp; Uses'!C7+Assumptions!$E$16-'Sources &amp; Uses'!F6-'Sources &amp; Uses'!F7)))^(1/5)-1,0)</f>
        <v>0.0783456809075245</v>
      </c>
      <c r="G8" s="22" t="n">
        <f aca="false">IFERROR(((('Operating Model'!H8*G$4-'Debt Schedule'!G28)*(1-Assumptions!$E$30))/MAX(0.01,('Operating Model'!C8*$B8+Assumptions!$E$15+'Sources &amp; Uses'!C7+Assumptions!$E$16-'Sources &amp; Uses'!F6-'Sources &amp; Uses'!F7)))^(1/5)-1,0)</f>
        <v>0.106428630483811</v>
      </c>
    </row>
    <row r="9" customFormat="false" ht="15" hidden="false" customHeight="true" outlineLevel="0" collapsed="false">
      <c r="B9" s="27" t="n">
        <v>12</v>
      </c>
      <c r="C9" s="22" t="n">
        <f aca="false">IFERROR(((('Operating Model'!H8*C$4-'Debt Schedule'!G28)*(1-Assumptions!$E$30))/MAX(0.01,('Operating Model'!C8*$B9+Assumptions!$E$15+'Sources &amp; Uses'!C7+Assumptions!$E$16-'Sources &amp; Uses'!F6-'Sources &amp; Uses'!F7)))^(1/5)-1,0)</f>
        <v>-0.0573264053996212</v>
      </c>
      <c r="D9" s="22" t="n">
        <f aca="false">IFERROR(((('Operating Model'!H8*D$4-'Debt Schedule'!G28)*(1-Assumptions!$E$30))/MAX(0.01,('Operating Model'!C8*$B9+Assumptions!$E$15+'Sources &amp; Uses'!C7+Assumptions!$E$16-'Sources &amp; Uses'!F6-'Sources &amp; Uses'!F7)))^(1/5)-1,0)</f>
        <v>-0.016983013616466</v>
      </c>
      <c r="E9" s="22" t="n">
        <f aca="false">IFERROR(((('Operating Model'!H8*E$4-'Debt Schedule'!G28)*(1-Assumptions!$E$30))/MAX(0.01,('Operating Model'!C8*$B9+Assumptions!$E$15+'Sources &amp; Uses'!C7+Assumptions!$E$16-'Sources &amp; Uses'!F6-'Sources &amp; Uses'!F7)))^(1/5)-1,0)</f>
        <v>0.0176537096413141</v>
      </c>
      <c r="F9" s="22" t="n">
        <f aca="false">IFERROR(((('Operating Model'!H8*F$4-'Debt Schedule'!G28)*(1-Assumptions!$E$30))/MAX(0.01,('Operating Model'!C8*$B9+Assumptions!$E$15+'Sources &amp; Uses'!C7+Assumptions!$E$16-'Sources &amp; Uses'!F6-'Sources &amp; Uses'!F7)))^(1/5)-1,0)</f>
        <v>0.0481305962680012</v>
      </c>
      <c r="G9" s="22" t="n">
        <f aca="false">IFERROR(((('Operating Model'!H8*G$4-'Debt Schedule'!G28)*(1-Assumptions!$E$30))/MAX(0.01,('Operating Model'!C8*$B9+Assumptions!$E$15+'Sources &amp; Uses'!C7+Assumptions!$E$16-'Sources &amp; Uses'!F6-'Sources &amp; Uses'!F7)))^(1/5)-1,0)</f>
        <v>0.0754266657988645</v>
      </c>
    </row>
  </sheetData>
  <mergeCells count="1">
    <mergeCell ref="B2:G2"/>
  </mergeCells>
  <conditionalFormatting sqref="C5:G9">
    <cfRule type="colorScale" priority="2">
      <colorScale>
        <cfvo type="min" val="0"/>
        <cfvo type="percentile" val="50"/>
        <cfvo type="max" val="0"/>
        <color rgb="FFFCE4D6"/>
        <color rgb="FFFFF2CC"/>
        <color rgb="FFE2F0D9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46"/>
    <col collapsed="false" customWidth="true" hidden="false" outlineLevel="0" max="3" min="3" style="1" width="18"/>
  </cols>
  <sheetData>
    <row r="2" customFormat="false" ht="27.75" hidden="false" customHeight="true" outlineLevel="0" collapsed="false">
      <c r="B2" s="2" t="s">
        <v>264</v>
      </c>
      <c r="C2" s="2"/>
    </row>
    <row r="4" customFormat="false" ht="15" hidden="false" customHeight="true" outlineLevel="0" collapsed="false">
      <c r="B4" s="16" t="s">
        <v>265</v>
      </c>
      <c r="C4" s="16" t="s">
        <v>43</v>
      </c>
    </row>
    <row r="5" customFormat="false" ht="15" hidden="false" customHeight="true" outlineLevel="0" collapsed="false">
      <c r="B5" s="1" t="s">
        <v>266</v>
      </c>
      <c r="C5" s="1" t="str">
        <f aca="false">IF(ABS('Sources &amp; Uses'!F10)&lt;0.000001,"PASS","FAIL")</f>
        <v>PASS</v>
      </c>
    </row>
    <row r="6" customFormat="false" ht="15" hidden="false" customHeight="true" outlineLevel="0" collapsed="false">
      <c r="B6" s="1" t="s">
        <v>267</v>
      </c>
      <c r="C6" s="1" t="str">
        <f aca="false">IF('Sources &amp; Uses'!F8&gt;0,"PASS","FAIL")</f>
        <v>PASS</v>
      </c>
    </row>
    <row r="7" customFormat="false" ht="15" hidden="false" customHeight="true" outlineLevel="0" collapsed="false">
      <c r="B7" s="1" t="s">
        <v>268</v>
      </c>
      <c r="C7" s="1" t="str">
        <f aca="false">IF(MIN('Debt Schedule'!D15:J25)&gt;=0,"PASS","FAIL")</f>
        <v>PASS</v>
      </c>
    </row>
    <row r="8" customFormat="false" ht="15" hidden="false" customHeight="true" outlineLevel="0" collapsed="false">
      <c r="B8" s="1" t="s">
        <v>269</v>
      </c>
      <c r="C8" s="1" t="str">
        <f aca="false">IF(MIN('Debt Schedule'!D13:J13)&gt;=Assumptions!E16,"PASS","REVIEW")</f>
        <v>PASS</v>
      </c>
    </row>
    <row r="9" customFormat="false" ht="15" hidden="false" customHeight="true" outlineLevel="0" collapsed="false">
      <c r="B9" s="1" t="s">
        <v>270</v>
      </c>
      <c r="C9" s="1" t="str">
        <f aca="false">IF(COUNTIF(Covenants!C13:I13,"BREACH")=0,"PASS","REVIEW")</f>
        <v>PASS</v>
      </c>
    </row>
    <row r="10" customFormat="false" ht="15" hidden="false" customHeight="true" outlineLevel="0" collapsed="false">
      <c r="B10" s="1" t="s">
        <v>271</v>
      </c>
      <c r="C10" s="1" t="str">
        <f aca="false">IF(MIN('Returns Waterfall'!C9:I9)&gt;=0,"PASS","FAIL")</f>
        <v>PASS</v>
      </c>
    </row>
    <row r="11" customFormat="false" ht="15" hidden="false" customHeight="true" outlineLevel="0" collapsed="false">
      <c r="B11" s="1" t="s">
        <v>272</v>
      </c>
      <c r="C11" s="1" t="str">
        <f aca="false">IF(MAX(ABS('Returns Waterfall'!C9:I9-'Returns Waterfall'!C12:I12-'Returns Waterfall'!C13:I13))&lt;0.000001,"PASS","FAIL")</f>
        <v>PASS</v>
      </c>
    </row>
    <row r="12" customFormat="false" ht="15" hidden="false" customHeight="true" outlineLevel="0" collapsed="false">
      <c r="B12" s="1" t="s">
        <v>273</v>
      </c>
      <c r="C12" s="1" t="str">
        <f aca="false">IF(AND(Assumptions!E29&gt;=1,Assumptions!E29&lt;=7),"PASS","FAIL")</f>
        <v>PASS</v>
      </c>
    </row>
    <row r="13" customFormat="false" ht="15" hidden="false" customHeight="true" outlineLevel="0" collapsed="false">
      <c r="B13" s="1" t="s">
        <v>274</v>
      </c>
      <c r="C13" s="1" t="str">
        <f aca="false">IF(COUNTIF(C5:C12,"FAIL")=0,"PASS","FAIL")</f>
        <v>PASS</v>
      </c>
    </row>
  </sheetData>
  <mergeCells count="1">
    <mergeCell ref="B2:C2"/>
  </mergeCells>
  <conditionalFormatting sqref="C5:C13">
    <cfRule type="expression" priority="2" aboveAverage="0" equalAverage="0" bottom="0" percent="0" rank="0" text="" dxfId="0">
      <formula>C5="PASS"</formula>
    </cfRule>
    <cfRule type="expression" priority="3" aboveAverage="0" equalAverage="0" bottom="0" percent="0" rank="0" text="" dxfId="1">
      <formula>C5="FAIL"</formula>
    </cfRule>
    <cfRule type="expression" priority="4" aboveAverage="0" equalAverage="0" bottom="0" percent="0" rank="0" text="" dxfId="2">
      <formula>C5="REVIEW"</formula>
    </cfRule>
    <cfRule type="expression" priority="5" aboveAverage="0" equalAverage="0" bottom="0" percent="0" rank="0" text="" dxfId="1">
      <formula>C5="BREACH"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4"/>
    <col collapsed="false" customWidth="true" hidden="false" outlineLevel="0" max="3" min="3" style="1" width="58"/>
    <col collapsed="false" customWidth="true" hidden="false" outlineLevel="0" max="4" min="4" style="1" width="16"/>
    <col collapsed="false" customWidth="true" hidden="false" outlineLevel="0" max="5" min="5" style="1" width="48"/>
  </cols>
  <sheetData>
    <row r="2" customFormat="false" ht="27.75" hidden="false" customHeight="true" outlineLevel="0" collapsed="false">
      <c r="B2" s="2" t="s">
        <v>275</v>
      </c>
      <c r="C2" s="2"/>
      <c r="D2" s="2"/>
      <c r="E2" s="2"/>
    </row>
    <row r="4" customFormat="false" ht="15" hidden="false" customHeight="true" outlineLevel="0" collapsed="false">
      <c r="B4" s="16" t="s">
        <v>276</v>
      </c>
      <c r="C4" s="16" t="s">
        <v>277</v>
      </c>
      <c r="D4" s="16" t="s">
        <v>106</v>
      </c>
      <c r="E4" s="16" t="s">
        <v>278</v>
      </c>
    </row>
    <row r="5" customFormat="false" ht="15" hidden="false" customHeight="true" outlineLevel="0" collapsed="false">
      <c r="B5" s="33" t="s">
        <v>279</v>
      </c>
      <c r="C5" s="33" t="s">
        <v>280</v>
      </c>
      <c r="D5" s="33" t="s">
        <v>281</v>
      </c>
      <c r="E5" s="33" t="s">
        <v>282</v>
      </c>
    </row>
    <row r="6" customFormat="false" ht="15" hidden="false" customHeight="true" outlineLevel="0" collapsed="false">
      <c r="B6" s="33" t="s">
        <v>283</v>
      </c>
      <c r="C6" s="33" t="s">
        <v>284</v>
      </c>
      <c r="D6" s="33" t="s">
        <v>6</v>
      </c>
      <c r="E6" s="33" t="s">
        <v>285</v>
      </c>
    </row>
    <row r="7" customFormat="false" ht="15" hidden="false" customHeight="true" outlineLevel="0" collapsed="false">
      <c r="B7" s="33" t="s">
        <v>286</v>
      </c>
      <c r="C7" s="33" t="s">
        <v>287</v>
      </c>
      <c r="D7" s="33" t="s">
        <v>6</v>
      </c>
      <c r="E7" s="33" t="s">
        <v>288</v>
      </c>
    </row>
    <row r="8" customFormat="false" ht="15" hidden="false" customHeight="true" outlineLevel="0" collapsed="false">
      <c r="B8" s="33" t="s">
        <v>289</v>
      </c>
      <c r="C8" s="33" t="s">
        <v>290</v>
      </c>
      <c r="D8" s="33" t="s">
        <v>6</v>
      </c>
      <c r="E8" s="33" t="s">
        <v>291</v>
      </c>
    </row>
    <row r="9" customFormat="false" ht="15" hidden="false" customHeight="true" outlineLevel="0" collapsed="false">
      <c r="B9" s="33" t="s">
        <v>292</v>
      </c>
      <c r="C9" s="33" t="s">
        <v>293</v>
      </c>
      <c r="D9" s="33" t="s">
        <v>6</v>
      </c>
      <c r="E9" s="33" t="s">
        <v>294</v>
      </c>
    </row>
    <row r="10" customFormat="false" ht="15" hidden="false" customHeight="false" outlineLevel="0" collapsed="false">
      <c r="B10" s="34" t="s">
        <v>295</v>
      </c>
      <c r="C10" s="34" t="s">
        <v>296</v>
      </c>
      <c r="D10" s="34" t="s">
        <v>8</v>
      </c>
      <c r="E10" s="34" t="s">
        <v>297</v>
      </c>
    </row>
  </sheetData>
  <mergeCells count="1">
    <mergeCell ref="B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4"/>
    <col collapsed="false" customWidth="true" hidden="false" outlineLevel="0" max="3" min="3" style="1" width="22"/>
    <col collapsed="false" customWidth="true" hidden="false" outlineLevel="0" max="4" min="4" style="1" width="28"/>
    <col collapsed="false" customWidth="true" hidden="false" outlineLevel="0" max="5" min="5" style="1" width="38"/>
    <col collapsed="false" customWidth="true" hidden="false" outlineLevel="0" max="6" min="6" style="1" width="34"/>
    <col collapsed="false" customWidth="true" hidden="false" outlineLevel="0" max="7" min="7" style="1" width="18"/>
  </cols>
  <sheetData>
    <row r="2" customFormat="false" ht="27.75" hidden="false" customHeight="true" outlineLevel="0" collapsed="false">
      <c r="B2" s="2" t="s">
        <v>298</v>
      </c>
      <c r="C2" s="2"/>
      <c r="D2" s="2"/>
      <c r="E2" s="2"/>
      <c r="F2" s="2"/>
      <c r="G2" s="2"/>
    </row>
    <row r="4" customFormat="false" ht="15" hidden="false" customHeight="true" outlineLevel="0" collapsed="false">
      <c r="B4" s="16" t="s">
        <v>94</v>
      </c>
      <c r="C4" s="16" t="s">
        <v>299</v>
      </c>
      <c r="D4" s="16" t="s">
        <v>300</v>
      </c>
      <c r="E4" s="16" t="s">
        <v>301</v>
      </c>
      <c r="F4" s="16" t="s">
        <v>302</v>
      </c>
      <c r="G4" s="16" t="s">
        <v>303</v>
      </c>
    </row>
    <row r="5" customFormat="false" ht="15" hidden="false" customHeight="true" outlineLevel="0" collapsed="false">
      <c r="B5" s="35" t="s">
        <v>8</v>
      </c>
      <c r="C5" s="35" t="s">
        <v>304</v>
      </c>
      <c r="D5" s="35" t="s">
        <v>296</v>
      </c>
      <c r="E5" s="35" t="s">
        <v>305</v>
      </c>
      <c r="F5" s="35" t="s">
        <v>306</v>
      </c>
      <c r="G5" s="35" t="s">
        <v>307</v>
      </c>
    </row>
    <row r="6" customFormat="false" ht="15" hidden="false" customHeight="true" outlineLevel="0" collapsed="false">
      <c r="B6" s="35"/>
      <c r="C6" s="35"/>
      <c r="D6" s="35"/>
      <c r="E6" s="35"/>
      <c r="F6" s="35"/>
      <c r="G6" s="35"/>
    </row>
    <row r="7" customFormat="false" ht="15" hidden="false" customHeight="true" outlineLevel="0" collapsed="false">
      <c r="B7" s="35"/>
      <c r="C7" s="35"/>
      <c r="D7" s="35"/>
      <c r="E7" s="35"/>
      <c r="F7" s="35"/>
      <c r="G7" s="35"/>
    </row>
    <row r="8" customFormat="false" ht="15" hidden="false" customHeight="true" outlineLevel="0" collapsed="false">
      <c r="B8" s="35"/>
      <c r="C8" s="35"/>
      <c r="D8" s="35"/>
      <c r="E8" s="35"/>
      <c r="F8" s="35"/>
      <c r="G8" s="35"/>
    </row>
    <row r="9" customFormat="false" ht="15" hidden="false" customHeight="true" outlineLevel="0" collapsed="false">
      <c r="B9" s="35"/>
      <c r="C9" s="35"/>
      <c r="D9" s="35"/>
      <c r="E9" s="35"/>
      <c r="F9" s="35"/>
      <c r="G9" s="35"/>
    </row>
    <row r="10" customFormat="false" ht="15" hidden="false" customHeight="true" outlineLevel="0" collapsed="false">
      <c r="B10" s="35"/>
      <c r="C10" s="35"/>
      <c r="D10" s="35"/>
      <c r="E10" s="35"/>
      <c r="F10" s="35"/>
      <c r="G10" s="35"/>
    </row>
    <row r="11" customFormat="false" ht="15" hidden="false" customHeight="true" outlineLevel="0" collapsed="false">
      <c r="B11" s="35"/>
      <c r="C11" s="35"/>
      <c r="D11" s="35"/>
      <c r="E11" s="35"/>
      <c r="F11" s="35"/>
      <c r="G11" s="35"/>
    </row>
    <row r="12" customFormat="false" ht="15" hidden="false" customHeight="true" outlineLevel="0" collapsed="false">
      <c r="B12" s="35"/>
      <c r="C12" s="35"/>
      <c r="D12" s="35"/>
      <c r="E12" s="35"/>
      <c r="F12" s="35"/>
      <c r="G12" s="35"/>
    </row>
    <row r="13" customFormat="false" ht="15" hidden="false" customHeight="true" outlineLevel="0" collapsed="false">
      <c r="B13" s="35"/>
      <c r="C13" s="35"/>
      <c r="D13" s="35"/>
      <c r="E13" s="35"/>
      <c r="F13" s="35"/>
      <c r="G13" s="35"/>
    </row>
    <row r="14" customFormat="false" ht="15" hidden="false" customHeight="true" outlineLevel="0" collapsed="false">
      <c r="B14" s="35"/>
      <c r="C14" s="35"/>
      <c r="D14" s="35"/>
      <c r="E14" s="35"/>
      <c r="F14" s="35"/>
      <c r="G14" s="35"/>
    </row>
    <row r="15" customFormat="false" ht="15" hidden="false" customHeight="true" outlineLevel="0" collapsed="false">
      <c r="B15" s="35"/>
      <c r="C15" s="35"/>
      <c r="D15" s="35"/>
      <c r="E15" s="35"/>
      <c r="F15" s="35"/>
      <c r="G15" s="35"/>
    </row>
    <row r="16" customFormat="false" ht="15" hidden="false" customHeight="true" outlineLevel="0" collapsed="false">
      <c r="B16" s="35"/>
      <c r="C16" s="35"/>
      <c r="D16" s="35"/>
      <c r="E16" s="35"/>
      <c r="F16" s="35"/>
      <c r="G16" s="35"/>
    </row>
    <row r="17" customFormat="false" ht="15" hidden="false" customHeight="true" outlineLevel="0" collapsed="false">
      <c r="B17" s="35"/>
      <c r="C17" s="35"/>
      <c r="D17" s="35"/>
      <c r="E17" s="35"/>
      <c r="F17" s="35"/>
      <c r="G17" s="35"/>
    </row>
    <row r="18" customFormat="false" ht="15" hidden="false" customHeight="true" outlineLevel="0" collapsed="false">
      <c r="B18" s="35"/>
      <c r="C18" s="35"/>
      <c r="D18" s="35"/>
      <c r="E18" s="35"/>
      <c r="F18" s="35"/>
      <c r="G18" s="35"/>
    </row>
    <row r="19" customFormat="false" ht="15" hidden="false" customHeight="true" outlineLevel="0" collapsed="false">
      <c r="B19" s="35"/>
      <c r="C19" s="35"/>
      <c r="D19" s="35"/>
      <c r="E19" s="35"/>
      <c r="F19" s="35"/>
      <c r="G19" s="35"/>
    </row>
    <row r="20" customFormat="false" ht="15" hidden="false" customHeight="true" outlineLevel="0" collapsed="false">
      <c r="B20" s="35"/>
      <c r="C20" s="35"/>
      <c r="D20" s="35"/>
      <c r="E20" s="35"/>
      <c r="F20" s="35"/>
      <c r="G20" s="35"/>
    </row>
    <row r="21" customFormat="false" ht="15" hidden="false" customHeight="true" outlineLevel="0" collapsed="false">
      <c r="B21" s="35"/>
      <c r="C21" s="35"/>
      <c r="D21" s="35"/>
      <c r="E21" s="35"/>
      <c r="F21" s="35"/>
      <c r="G21" s="35"/>
    </row>
    <row r="22" customFormat="false" ht="15" hidden="false" customHeight="true" outlineLevel="0" collapsed="false">
      <c r="B22" s="35"/>
      <c r="C22" s="35"/>
      <c r="D22" s="35"/>
      <c r="E22" s="35"/>
      <c r="F22" s="35"/>
      <c r="G22" s="35"/>
    </row>
    <row r="23" customFormat="false" ht="15" hidden="false" customHeight="true" outlineLevel="0" collapsed="false">
      <c r="B23" s="35"/>
      <c r="C23" s="35"/>
      <c r="D23" s="35"/>
      <c r="E23" s="35"/>
      <c r="F23" s="35"/>
      <c r="G23" s="35"/>
    </row>
    <row r="24" customFormat="false" ht="15" hidden="false" customHeight="true" outlineLevel="0" collapsed="false">
      <c r="B24" s="35"/>
      <c r="C24" s="35"/>
      <c r="D24" s="35"/>
      <c r="E24" s="35"/>
      <c r="F24" s="35"/>
      <c r="G24" s="35"/>
    </row>
    <row r="25" customFormat="false" ht="15" hidden="false" customHeight="true" outlineLevel="0" collapsed="false">
      <c r="B25" s="35"/>
      <c r="C25" s="35"/>
      <c r="D25" s="35"/>
      <c r="E25" s="35"/>
      <c r="F25" s="35"/>
      <c r="G25" s="35"/>
    </row>
    <row r="26" customFormat="false" ht="15" hidden="false" customHeight="true" outlineLevel="0" collapsed="false">
      <c r="B26" s="35"/>
      <c r="C26" s="35"/>
      <c r="D26" s="35"/>
      <c r="E26" s="35"/>
      <c r="F26" s="35"/>
      <c r="G26" s="35"/>
    </row>
    <row r="27" customFormat="false" ht="15" hidden="false" customHeight="true" outlineLevel="0" collapsed="false">
      <c r="B27" s="35"/>
      <c r="C27" s="35"/>
      <c r="D27" s="35"/>
      <c r="E27" s="35"/>
      <c r="F27" s="35"/>
      <c r="G27" s="35"/>
    </row>
    <row r="28" customFormat="false" ht="15" hidden="false" customHeight="true" outlineLevel="0" collapsed="false">
      <c r="B28" s="35"/>
      <c r="C28" s="35"/>
      <c r="D28" s="35"/>
      <c r="E28" s="35"/>
      <c r="F28" s="35"/>
      <c r="G28" s="35"/>
    </row>
    <row r="29" customFormat="false" ht="15" hidden="false" customHeight="true" outlineLevel="0" collapsed="false">
      <c r="B29" s="35"/>
      <c r="C29" s="35"/>
      <c r="D29" s="35"/>
      <c r="E29" s="35"/>
      <c r="F29" s="35"/>
      <c r="G29" s="35"/>
    </row>
  </sheetData>
  <mergeCells count="1">
    <mergeCell ref="B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2026-08-04T03:47:42Z</dcterms:created>
  <dc:creator>openpyxl</dc:creator>
  <dc:description/>
  <dc:language>en-US</dc:language>
  <cp:lastModifiedBy/>
  <dcterms:modified xsi:type="dcterms:W3CDTF">2026-08-04T03:48:47Z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