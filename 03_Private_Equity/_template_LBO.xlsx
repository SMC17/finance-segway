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Sources &amp; Uses" sheetId="3" state="visible" r:id="rId5"/>
    <sheet name="Operating Model" sheetId="4" state="visible" r:id="rId6"/>
    <sheet name="Debt Schedule" sheetId="5" state="visible" r:id="rId7"/>
    <sheet name="Covenants" sheetId="6" state="visible" r:id="rId8"/>
    <sheet name="Management Equity" sheetId="7" state="visible" r:id="rId9"/>
    <sheet name="Returns Waterfall" sheetId="8" state="visible" r:id="rId10"/>
    <sheet name="Sensitivity" sheetId="9" state="visible" r:id="rId11"/>
    <sheet name="Checks" sheetId="10" state="visible" r:id="rId12"/>
    <sheet name="Sources" sheetId="11" state="visible" r:id="rId13"/>
    <sheet name="RefreshLog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<sst xmlns="http://schemas.openxmlformats.org/spreadsheetml/2006/main" count="266" uniqueCount="205">
  <si>
    <t xml:space="preserve">[TARGET] — LBO Underwriting Model</t>
  </si>
  <si>
    <t xml:space="preserve">Target / transaction:</t>
  </si>
  <si>
    <t xml:space="preserve">[Name]</t>
  </si>
  <si>
    <t xml:space="preserve">Sponsor / principal:</t>
  </si>
  <si>
    <t xml:space="preserve">[Fund / merchant bank]</t>
  </si>
  <si>
    <t xml:space="preserve">Entry / close date:</t>
  </si>
  <si>
    <t xml:space="preserve">[date]</t>
  </si>
  <si>
    <t xml:space="preserve">Last refreshed:</t>
  </si>
  <si>
    <t xml:space="preserve">Next IC / financing event: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</si>
  <si>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</si>
  <si>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</si>
  <si>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</si>
  <si>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</si>
  <si>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</si>
  <si>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</si>
  <si>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</si>
  <si>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</si>
  <si>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</si>
  <si>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</si>
  <si>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</si>
  <si>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</si>
  <si>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</si>
  <si>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Transaction, Operating, and Financing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</si>
  <si>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</si>
  <si>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</si>
  <si>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</si>
  <si>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</si>
  <si>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LTM revenue</t>
  </si>
  <si>
    <t xml:space="preserve">$mm</t>
  </si>
  <si>
    <t xml:space="preserve">LTM EBITDA margin</t>
  </si>
  <si>
    <t xml:space="preserve">%</t>
  </si>
  <si>
    <t xml:space="preserve">Annual revenue growth</t>
  </si>
  <si>
    <t xml:space="preserve">Annual EBITDA margin expansion</t>
  </si>
  <si>
    <t xml:space="preserve">% points</t>
  </si>
  <si>
    <t xml:space="preserve">D&amp;A / revenue</t>
  </si>
  <si>
    <t xml:space="preserve">Capex / revenue</t>
  </si>
  <si>
    <t xml:space="preserve">NWC / revenue</t>
  </si>
  <si>
    <t xml:space="preserve">Cash tax rate</t>
  </si>
  <si>
    <t xml:space="preserve">Entry EBITDA multiple</t>
  </si>
  <si>
    <t xml:space="preserve">x</t>
  </si>
  <si>
    <t xml:space="preserve">Transaction fees / enterprise value</t>
  </si>
  <si>
    <t xml:space="preserve">Existing net debt refinanced</t>
  </si>
  <si>
    <t xml:space="preserve">Minimum cash</t>
  </si>
  <si>
    <t xml:space="preserve">Revolver commitment</t>
  </si>
  <si>
    <t xml:space="preserve">Revolver cash rate</t>
  </si>
  <si>
    <t xml:space="preserve">TLB opening leverage</t>
  </si>
  <si>
    <t xml:space="preserve">x EBITDA</t>
  </si>
  <si>
    <t xml:space="preserve">TLB cash rate</t>
  </si>
  <si>
    <t xml:space="preserve">TLB annual amortization</t>
  </si>
  <si>
    <t xml:space="preserve">% original</t>
  </si>
  <si>
    <t xml:space="preserve">Second-lien opening leverage</t>
  </si>
  <si>
    <t xml:space="preserve">Second-lien cash rate</t>
  </si>
  <si>
    <t xml:space="preserve">Second-lien PIK rate</t>
  </si>
  <si>
    <t xml:space="preserve">Cash sweep</t>
  </si>
  <si>
    <t xml:space="preserve">% excess cash</t>
  </si>
  <si>
    <t xml:space="preserve">Maximum leverage covenant</t>
  </si>
  <si>
    <t xml:space="preserve">Minimum interest coverage</t>
  </si>
  <si>
    <t xml:space="preserve">Exit EBITDA multiple</t>
  </si>
  <si>
    <t xml:space="preserve">Exit year</t>
  </si>
  <si>
    <t xml:space="preserve">year</t>
  </si>
  <si>
    <t xml:space="preserve">Management equity pool</t>
  </si>
  <si>
    <t xml:space="preserve">% fully diluted</t>
  </si>
  <si>
    <t xml:space="preserve">Sponsor preferred return</t>
  </si>
  <si>
    <t xml:space="preserve">Management catch-up above hurdle</t>
  </si>
  <si>
    <t xml:space="preserve">% incremental</t>
  </si>
  <si>
    <t xml:space="preserve">Transaction Sources &amp; Uses</t>
  </si>
  <si>
    <t xml:space="preserve">Uses</t>
  </si>
  <si>
    <t xml:space="preserve">Amount</t>
  </si>
  <si>
    <t xml:space="preserve">Sources</t>
  </si>
  <si>
    <t xml:space="preserve">Purchase enterprise value</t>
  </si>
  <si>
    <t xml:space="preserve">Revolver at close</t>
  </si>
  <si>
    <t xml:space="preserve">Refinance existing net debt</t>
  </si>
  <si>
    <t xml:space="preserve">Term loan B</t>
  </si>
  <si>
    <t xml:space="preserve">Transaction fees</t>
  </si>
  <si>
    <t xml:space="preserve">Second-lien / holdco debt</t>
  </si>
  <si>
    <t xml:space="preserve">Minimum cash funded</t>
  </si>
  <si>
    <t xml:space="preserve">Sponsor equity</t>
  </si>
  <si>
    <t xml:space="preserve">Total uses</t>
  </si>
  <si>
    <t xml:space="preserve">Total sources</t>
  </si>
  <si>
    <t xml:space="preserve">Sources less uses</t>
  </si>
  <si>
    <t xml:space="preserve">Seven-Year Operating, Tax, and Cash Flow Model</t>
  </si>
  <si>
    <t xml:space="preserve">$mm / %</t>
  </si>
  <si>
    <t xml:space="preserve">LTM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</si>
  <si>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</si>
  <si>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</si>
  <si>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</si>
  <si>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</si>
  <si>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</si>
  <si>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</si>
  <si>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</si>
  <si>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Revenue</t>
  </si>
  <si>
    <t xml:space="preserve">Revenue growth</t>
  </si>
  <si>
    <t xml:space="preserve">EBITDA margin</t>
  </si>
  <si>
    <t xml:space="preserve">EBITDA</t>
  </si>
  <si>
    <t xml:space="preserve">D&amp;A</t>
  </si>
  <si>
    <t xml:space="preserve">EBIT</t>
  </si>
  <si>
    <t xml:space="preserve">Cash interest</t>
  </si>
  <si>
    <t xml:space="preserve">EBT</t>
  </si>
  <si>
    <t xml:space="preserve">Cash taxes</t>
  </si>
  <si>
    <t xml:space="preserve">Net income</t>
  </si>
  <si>
    <t xml:space="preserve">Capex</t>
  </si>
  <si>
    <t xml:space="preserve">NWC</t>
  </si>
  <si>
    <t xml:space="preserve">Change in NWC</t>
  </si>
  <si>
    <t xml:space="preserve">FCF before financing</t>
  </si>
  <si>
    <t xml:space="preserve">FCF before interest</t>
  </si>
  <si>
    <t xml:space="preserve">Multi-Tranche Debt and Cash Sweep</t>
  </si>
  <si>
    <t xml:space="preserve">Close</t>
  </si>
  <si>
    <t xml:space="preserve">Beginning cash</t>
  </si>
  <si>
    <t xml:space="preserve">Mandatory TLB amortization</t>
  </si>
  <si>
    <t xml:space="preserve">Cash before revolver / sweep</t>
  </si>
  <si>
    <t xml:space="preserve">Revolver draw / (repayment)</t>
  </si>
  <si>
    <t xml:space="preserve">Cash sweep to TLB</t>
  </si>
  <si>
    <t xml:space="preserve">Cash sweep to second lien</t>
  </si>
  <si>
    <t xml:space="preserve">Ending cash</t>
  </si>
  <si>
    <t xml:space="preserve">Beginning revolver</t>
  </si>
  <si>
    <t xml:space="preserve">Revolver interest</t>
  </si>
  <si>
    <t xml:space="preserve">Ending revolver</t>
  </si>
  <si>
    <t xml:space="preserve">Beginning TLB</t>
  </si>
  <si>
    <t xml:space="preserve">TLB interest</t>
  </si>
  <si>
    <t xml:space="preserve">TLB amortization</t>
  </si>
  <si>
    <t xml:space="preserve">TLB cash sweep</t>
  </si>
  <si>
    <t xml:space="preserve">Ending TLB</t>
  </si>
  <si>
    <t xml:space="preserve">Beginning second lien</t>
  </si>
  <si>
    <t xml:space="preserve">Second-lien cash interest</t>
  </si>
  <si>
    <t xml:space="preserve">Second-lien PIK</t>
  </si>
  <si>
    <t xml:space="preserve">Second-lien cash sweep</t>
  </si>
  <si>
    <t xml:space="preserve">Ending second lien</t>
  </si>
  <si>
    <t xml:space="preserve">Total debt</t>
  </si>
  <si>
    <t xml:space="preserve">Net debt</t>
  </si>
  <si>
    <t xml:space="preserve">Lender Covenant and Liquidity Dashboard</t>
  </si>
  <si>
    <t xml:space="preserve">Metric</t>
  </si>
  <si>
    <t xml:space="preserve">Gross leverage</t>
  </si>
  <si>
    <t xml:space="preserve">Maximum leverage</t>
  </si>
  <si>
    <t xml:space="preserve">Leverage headroom</t>
  </si>
  <si>
    <t xml:space="preserve">Interest coverage</t>
  </si>
  <si>
    <t xml:space="preserve">Minimum coverage</t>
  </si>
  <si>
    <t xml:space="preserve">Coverage headroom</t>
  </si>
  <si>
    <t xml:space="preserve">Cash headroom</t>
  </si>
  <si>
    <t xml:space="preserve">Status</t>
  </si>
  <si>
    <t xml:space="preserve">Management Equity and Incentive Pool</t>
  </si>
  <si>
    <t xml:space="preserve">Value</t>
  </si>
  <si>
    <t xml:space="preserve">Units</t>
  </si>
  <si>
    <t xml:space="preserve">Notes</t>
  </si>
  <si>
    <t xml:space="preserve">Management fully diluted pool</t>
  </si>
  <si>
    <t xml:space="preserve">granted / reserved pool</t>
  </si>
  <si>
    <t xml:space="preserve">Sponsor ownership before pool</t>
  </si>
  <si>
    <t xml:space="preserve">fully diluted</t>
  </si>
  <si>
    <t xml:space="preserve">Sponsor invested equity</t>
  </si>
  <si>
    <t xml:space="preserve">entry equity</t>
  </si>
  <si>
    <t xml:space="preserve">Preferred return at exit</t>
  </si>
  <si>
    <t xml:space="preserve">sponsor hurdle</t>
  </si>
  <si>
    <t xml:space="preserve">Management catch-up rate</t>
  </si>
  <si>
    <t xml:space="preserve">above preferred return</t>
  </si>
  <si>
    <t xml:space="preserve">Exit Equity and Sponsor / Management Waterfall</t>
  </si>
  <si>
    <t xml:space="preserve">Selected exit</t>
  </si>
  <si>
    <t xml:space="preserve">Exit EBITDA</t>
  </si>
  <si>
    <t xml:space="preserve">Exit multiple</t>
  </si>
  <si>
    <t xml:space="preserve">Exit enterprise value</t>
  </si>
  <si>
    <t xml:space="preserve">Gross equity value</t>
  </si>
  <si>
    <t xml:space="preserve">Equity above preferred</t>
  </si>
  <si>
    <t xml:space="preserve">Management proceeds</t>
  </si>
  <si>
    <t xml:space="preserve">Sponsor proceeds</t>
  </si>
  <si>
    <t xml:space="preserve">Sponsor MOIC</t>
  </si>
  <si>
    <t xml:space="preserve">Sponsor IRR</t>
  </si>
  <si>
    <t xml:space="preserve">Sponsor IRR Sensitivity</t>
  </si>
  <si>
    <t xml:space="preserve">Entry / Exit multiple</t>
  </si>
  <si>
    <t xml:space="preserve">LBO Model Checks</t>
  </si>
  <si>
    <t xml:space="preserve">Check</t>
  </si>
  <si>
    <t xml:space="preserve">Sources equal uses</t>
  </si>
  <si>
    <t xml:space="preserve">Sponsor equity positive</t>
  </si>
  <si>
    <t xml:space="preserve">Debt balances nonnegative</t>
  </si>
  <si>
    <t xml:space="preserve">Cash at or above minimum</t>
  </si>
  <si>
    <t xml:space="preserve">No covenant breaches</t>
  </si>
  <si>
    <t xml:space="preserve">Exit equity nonnegative</t>
  </si>
  <si>
    <t xml:space="preserve">Waterfall conserves equity</t>
  </si>
  <si>
    <t xml:space="preserve">Selected exit year valid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</si>
  <si>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</si>
  <si>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</si>
  <si>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</si>
  <si>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</si>
  <si>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As-of</t>
  </si>
  <si>
    <t xml:space="preserve">Notes / transformation</t>
  </si>
  <si>
    <t xml:space="preserve">Historical financial statements</t>
  </si>
  <si>
    <t xml:space="preserve">[filing / data room URL]</t>
  </si>
  <si>
    <t xml:space="preserve">[period]</t>
  </si>
  <si>
    <t xml:space="preserve">Revenue, margins, capex, working capital, taxes</t>
  </si>
  <si>
    <t xml:space="preserve">Quality of earnings and diligence</t>
  </si>
  <si>
    <t xml:space="preserve">[advisor report URL]</t>
  </si>
  <si>
    <t xml:space="preserve">EBITDA adjustments, one-time items, risks</t>
  </si>
  <si>
    <t xml:space="preserve">Debt term sheets and documentation</t>
  </si>
  <si>
    <t xml:space="preserve">[data room URL]</t>
  </si>
  <si>
    <t xml:space="preserve">Rates, PIK, amortization, sweeps, covenants, baskets</t>
  </si>
  <si>
    <t xml:space="preserve">Transaction terms</t>
  </si>
  <si>
    <t xml:space="preserve">[purchase agreement / process letter]</t>
  </si>
  <si>
    <t xml:space="preserve">Price, fees, minimum cash, rollover, management pool</t>
  </si>
  <si>
    <t xml:space="preserve">Market valuation references</t>
  </si>
  <si>
    <t xml:space="preserve">[public market / transaction source]</t>
  </si>
  <si>
    <t xml:space="preserve">Entry and exit multiple support</t>
  </si>
  <si>
    <t xml:space="preserve">Refresh Log</t>
  </si>
  <si>
    <t xml:space="preserve">Date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</si>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</sst>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;[RED]&quot;($&quot;#,##0.0\);\-"/>
    <numFmt numFmtId="166" formatCode="0.0%;[RED]\(0.0%\);\-"/>
    <numFmt numFmtId="167" formatCode="0.00%;[RED]\(0.00%\);\-"/>
    <numFmt numFmtId="168" formatCode="0.0\x;[RED]\(0.0&quot;x)&quot;;\-"/>
    <numFmt numFmtId="169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6" min="4" style="0" width="1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  <row r="7" customFormat="false" ht="15" hidden="false" customHeight="false" outlineLevel="0" collapsed="false">
      <c r="B7" s="2" t="s">
        <v>7</v>
      </c>
      <c r="C7" s="3" t="s">
        <v>6</v>
      </c>
    </row>
    <row r="8" customFormat="false" ht="15" hidden="false" customHeight="false" outlineLevel="0" collapsed="false">
      <c r="B8" s="2" t="s">
        <v>8</v>
      </c>
      <c r="C8" s="3" t="s">
        <v>6</v>
      </c>
    </row>
    <row r="9" customFormat="false" ht="15" hidden="false" customHeight="false" outlineLevel="0" collapsed="false">
      <c r="B9" s="2" t="s">
        <v>9</v>
      </c>
      <c r="C9" s="3" t="s">
        <v>10</v>
      </c>
    </row>
    <row r="10" customFormat="false" ht="15" hidden="false" customHeight="false" outlineLevel="0" collapsed="false">
      <c r="B10" s="2" t="s">
        <v>11</v>
      </c>
      <c r="C10" s="3" t="s">
        <v>12</v>
      </c>
    </row>
    <row r="13" customFormat="false" ht="15" hidden="false" customHeight="false" outlineLevel="0" collapsed="false">
      <c r="B13" s="4" t="s">
        <v>13</v>
      </c>
      <c r="C13" s="4"/>
      <c r="D13" s="4"/>
      <c r="E13" s="4"/>
      <c r="F13" s="4"/>
    </row>
    <row r="14" customFormat="false" ht="15" hidden="false" customHeight="false" outlineLevel="0" collapsed="false">
      <c r="B14" s="5" t="s">
        <v>14</v>
      </c>
      <c r="C14" s="6" t="s">
        <v>15</v>
      </c>
    </row>
    <row r="15" customFormat="false" ht="15" hidden="false" customHeight="false" outlineLevel="0" collapsed="false">
      <c r="B15" s="2" t="s">
        <v>16</v>
      </c>
      <c r="C15" s="6" t="s">
        <v>17</v>
      </c>
    </row>
    <row r="16" customFormat="false" ht="15" hidden="false" customHeight="false" outlineLevel="0" collapsed="false">
      <c r="B16" s="7" t="s">
        <v>18</v>
      </c>
      <c r="C16" s="6" t="s">
        <v>19</v>
      </c>
    </row>
    <row r="17" customFormat="false" ht="15" hidden="false" customHeight="false" outlineLevel="0" collapsed="false">
      <c r="B17" s="2" t="s">
        <v>20</v>
      </c>
      <c r="C17" s="6" t="s">
        <v>21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5" min="3" style="0" width="15"/>
    <col collapsed="false" customWidth="true" hidden="false" outlineLevel="0" max="6" min="6" style="0" width="32"/>
  </cols>
  <sheetData>
    <row r="2" customFormat="false" ht="27.75" hidden="false" customHeight="true" outlineLevel="0" collapsed="false">
      <c r="B2" s="1" t="s">
        <v>22</v>
      </c>
      <c r="C2" s="1"/>
      <c r="D2" s="1"/>
      <c r="E2" s="1"/>
      <c r="F2" s="1"/>
    </row>
    <row r="4" customFormat="false" ht="15" hidden="false" customHeight="false" outlineLevel="0" collapsed="false">
      <c r="B4" s="8" t="s">
        <v>23</v>
      </c>
      <c r="C4" s="8" t="s">
        <v>10</v>
      </c>
      <c r="D4" s="8" t="s">
        <v>24</v>
      </c>
      <c r="E4" s="8" t="s">
        <v>25</v>
      </c>
      <c r="F4" s="8" t="s">
        <v>26</v>
      </c>
    </row>
    <row r="5" customFormat="false" ht="15" hidden="false" customHeight="false" outlineLevel="0" collapsed="false">
      <c r="B5" s="0" t="s">
        <v>27</v>
      </c>
      <c r="C5" s="9" t="n">
        <v>600</v>
      </c>
      <c r="D5" s="9" t="n">
        <v>600</v>
      </c>
      <c r="E5" s="10" t="n">
        <f aca="false">IF(Cover!$C$9="Downside",D5,C5)</f>
        <v>600</v>
      </c>
      <c r="F5" s="11" t="s">
        <v>28</v>
      </c>
    </row>
    <row r="6" customFormat="false" ht="15" hidden="false" customHeight="false" outlineLevel="0" collapsed="false">
      <c r="B6" s="0" t="s">
        <v>29</v>
      </c>
      <c r="C6" s="12" t="n">
        <v>0.2</v>
      </c>
      <c r="D6" s="12" t="n">
        <v>0.17</v>
      </c>
      <c r="E6" s="13" t="n">
        <f aca="false">IF(Cover!$C$9="Downside",D6,C6)</f>
        <v>0.2</v>
      </c>
      <c r="F6" s="11" t="s">
        <v>30</v>
      </c>
    </row>
    <row r="7" customFormat="false" ht="15" hidden="false" customHeight="false" outlineLevel="0" collapsed="false">
      <c r="B7" s="0" t="s">
        <v>31</v>
      </c>
      <c r="C7" s="12" t="n">
        <v>0.06</v>
      </c>
      <c r="D7" s="12" t="n">
        <v>-0.02</v>
      </c>
      <c r="E7" s="13" t="n">
        <f aca="false">IF(Cover!$C$9="Downside",D7,C7)</f>
        <v>0.06</v>
      </c>
      <c r="F7" s="11" t="s">
        <v>30</v>
      </c>
    </row>
    <row r="8" customFormat="false" ht="15" hidden="false" customHeight="false" outlineLevel="0" collapsed="false">
      <c r="B8" s="0" t="s">
        <v>32</v>
      </c>
      <c r="C8" s="14" t="n">
        <v>0.005</v>
      </c>
      <c r="D8" s="14" t="n">
        <v>-0.003</v>
      </c>
      <c r="E8" s="15" t="n">
        <f aca="false">IF(Cover!$C$9="Downside",D8,C8)</f>
        <v>0.005</v>
      </c>
      <c r="F8" s="11" t="s">
        <v>33</v>
      </c>
    </row>
    <row r="9" customFormat="false" ht="15" hidden="false" customHeight="false" outlineLevel="0" collapsed="false">
      <c r="B9" s="0" t="s">
        <v>34</v>
      </c>
      <c r="C9" s="12" t="n">
        <v>0.025</v>
      </c>
      <c r="D9" s="12" t="n">
        <v>0.025</v>
      </c>
      <c r="E9" s="13" t="n">
        <f aca="false">IF(Cover!$C$9="Downside",D9,C9)</f>
        <v>0.025</v>
      </c>
      <c r="F9" s="11" t="s">
        <v>30</v>
      </c>
    </row>
    <row r="10" customFormat="false" ht="15" hidden="false" customHeight="false" outlineLevel="0" collapsed="false">
      <c r="B10" s="0" t="s">
        <v>35</v>
      </c>
      <c r="C10" s="12" t="n">
        <v>0.035</v>
      </c>
      <c r="D10" s="12" t="n">
        <v>0.045</v>
      </c>
      <c r="E10" s="13" t="n">
        <f aca="false">IF(Cover!$C$9="Downside",D10,C10)</f>
        <v>0.035</v>
      </c>
      <c r="F10" s="11" t="s">
        <v>30</v>
      </c>
    </row>
    <row r="11" customFormat="false" ht="15" hidden="false" customHeight="false" outlineLevel="0" collapsed="false">
      <c r="B11" s="0" t="s">
        <v>36</v>
      </c>
      <c r="C11" s="12" t="n">
        <v>0.08</v>
      </c>
      <c r="D11" s="12" t="n">
        <v>0.1</v>
      </c>
      <c r="E11" s="13" t="n">
        <f aca="false">IF(Cover!$C$9="Downside",D11,C11)</f>
        <v>0.08</v>
      </c>
      <c r="F11" s="11" t="s">
        <v>30</v>
      </c>
    </row>
    <row r="12" customFormat="false" ht="15" hidden="false" customHeight="false" outlineLevel="0" collapsed="false">
      <c r="B12" s="0" t="s">
        <v>37</v>
      </c>
      <c r="C12" s="12" t="n">
        <v>0.25</v>
      </c>
      <c r="D12" s="12" t="n">
        <v>0.2</v>
      </c>
      <c r="E12" s="13" t="n">
        <f aca="false">IF(Cover!$C$9="Downside",D12,C12)</f>
        <v>0.25</v>
      </c>
      <c r="F12" s="11" t="s">
        <v>30</v>
      </c>
    </row>
    <row r="13" customFormat="false" ht="15" hidden="false" customHeight="false" outlineLevel="0" collapsed="false">
      <c r="B13" s="0" t="s">
        <v>38</v>
      </c>
      <c r="C13" s="16" t="n">
        <v>10</v>
      </c>
      <c r="D13" s="16" t="n">
        <v>9</v>
      </c>
      <c r="E13" s="17" t="n">
        <f aca="false">IF(Cover!$C$9="Downside",D13,C13)</f>
        <v>10</v>
      </c>
      <c r="F13" s="11" t="s">
        <v>39</v>
      </c>
    </row>
    <row r="14" customFormat="false" ht="15" hidden="false" customHeight="false" outlineLevel="0" collapsed="false">
      <c r="B14" s="0" t="s">
        <v>40</v>
      </c>
      <c r="C14" s="12" t="n">
        <v>0.02</v>
      </c>
      <c r="D14" s="12" t="n">
        <v>0.025</v>
      </c>
      <c r="E14" s="13" t="n">
        <f aca="false">IF(Cover!$C$9="Downside",D14,C14)</f>
        <v>0.02</v>
      </c>
      <c r="F14" s="11" t="s">
        <v>30</v>
      </c>
    </row>
    <row r="15" customFormat="false" ht="15" hidden="false" customHeight="false" outlineLevel="0" collapsed="false">
      <c r="B15" s="0" t="s">
        <v>41</v>
      </c>
      <c r="C15" s="9" t="n">
        <v>100</v>
      </c>
      <c r="D15" s="9" t="n">
        <v>100</v>
      </c>
      <c r="E15" s="10" t="n">
        <f aca="false">IF(Cover!$C$9="Downside",D15,C15)</f>
        <v>100</v>
      </c>
      <c r="F15" s="11" t="s">
        <v>28</v>
      </c>
    </row>
    <row r="16" customFormat="false" ht="15" hidden="false" customHeight="false" outlineLevel="0" collapsed="false">
      <c r="B16" s="0" t="s">
        <v>42</v>
      </c>
      <c r="C16" s="9" t="n">
        <v>20</v>
      </c>
      <c r="D16" s="9" t="n">
        <v>25</v>
      </c>
      <c r="E16" s="10" t="n">
        <f aca="false">IF(Cover!$C$9="Downside",D16,C16)</f>
        <v>20</v>
      </c>
      <c r="F16" s="11" t="s">
        <v>28</v>
      </c>
    </row>
    <row r="17" customFormat="false" ht="15" hidden="false" customHeight="false" outlineLevel="0" collapsed="false">
      <c r="B17" s="0" t="s">
        <v>43</v>
      </c>
      <c r="C17" s="9" t="n">
        <v>75</v>
      </c>
      <c r="D17" s="9" t="n">
        <v>75</v>
      </c>
      <c r="E17" s="10" t="n">
        <f aca="false">IF(Cover!$C$9="Downside",D17,C17)</f>
        <v>75</v>
      </c>
      <c r="F17" s="11" t="s">
        <v>28</v>
      </c>
    </row>
    <row r="18" customFormat="false" ht="15" hidden="false" customHeight="false" outlineLevel="0" collapsed="false">
      <c r="B18" s="0" t="s">
        <v>44</v>
      </c>
      <c r="C18" s="14" t="n">
        <v>0.09</v>
      </c>
      <c r="D18" s="14" t="n">
        <v>0.115</v>
      </c>
      <c r="E18" s="15" t="n">
        <f aca="false">IF(Cover!$C$9="Downside",D18,C18)</f>
        <v>0.09</v>
      </c>
      <c r="F18" s="11" t="s">
        <v>30</v>
      </c>
    </row>
    <row r="19" customFormat="false" ht="15" hidden="false" customHeight="false" outlineLevel="0" collapsed="false">
      <c r="B19" s="0" t="s">
        <v>45</v>
      </c>
      <c r="C19" s="16" t="n">
        <v>4</v>
      </c>
      <c r="D19" s="16" t="n">
        <v>3.5</v>
      </c>
      <c r="E19" s="17" t="n">
        <f aca="false">IF(Cover!$C$9="Downside",D19,C19)</f>
        <v>4</v>
      </c>
      <c r="F19" s="11" t="s">
        <v>46</v>
      </c>
    </row>
    <row r="20" customFormat="false" ht="15" hidden="false" customHeight="false" outlineLevel="0" collapsed="false">
      <c r="B20" s="0" t="s">
        <v>47</v>
      </c>
      <c r="C20" s="14" t="n">
        <v>0.085</v>
      </c>
      <c r="D20" s="14" t="n">
        <v>0.105</v>
      </c>
      <c r="E20" s="15" t="n">
        <f aca="false">IF(Cover!$C$9="Downside",D20,C20)</f>
        <v>0.085</v>
      </c>
      <c r="F20" s="11" t="s">
        <v>30</v>
      </c>
    </row>
    <row r="21" customFormat="false" ht="15" hidden="false" customHeight="false" outlineLevel="0" collapsed="false">
      <c r="B21" s="0" t="s">
        <v>48</v>
      </c>
      <c r="C21" s="12" t="n">
        <v>0.01</v>
      </c>
      <c r="D21" s="12" t="n">
        <v>0.01</v>
      </c>
      <c r="E21" s="13" t="n">
        <f aca="false">IF(Cover!$C$9="Downside",D21,C21)</f>
        <v>0.01</v>
      </c>
      <c r="F21" s="11" t="s">
        <v>49</v>
      </c>
    </row>
    <row r="22" customFormat="false" ht="15" hidden="false" customHeight="false" outlineLevel="0" collapsed="false">
      <c r="B22" s="0" t="s">
        <v>50</v>
      </c>
      <c r="C22" s="16" t="n">
        <v>1.5</v>
      </c>
      <c r="D22" s="16" t="n">
        <v>1</v>
      </c>
      <c r="E22" s="17" t="n">
        <f aca="false">IF(Cover!$C$9="Downside",D22,C22)</f>
        <v>1.5</v>
      </c>
      <c r="F22" s="11" t="s">
        <v>46</v>
      </c>
    </row>
    <row r="23" customFormat="false" ht="15" hidden="false" customHeight="false" outlineLevel="0" collapsed="false">
      <c r="B23" s="0" t="s">
        <v>51</v>
      </c>
      <c r="C23" s="14" t="n">
        <v>0.11</v>
      </c>
      <c r="D23" s="14" t="n">
        <v>0.13</v>
      </c>
      <c r="E23" s="15" t="n">
        <f aca="false">IF(Cover!$C$9="Downside",D23,C23)</f>
        <v>0.11</v>
      </c>
      <c r="F23" s="11" t="s">
        <v>30</v>
      </c>
    </row>
    <row r="24" customFormat="false" ht="15" hidden="false" customHeight="false" outlineLevel="0" collapsed="false">
      <c r="B24" s="0" t="s">
        <v>52</v>
      </c>
      <c r="C24" s="14" t="n">
        <v>0.03</v>
      </c>
      <c r="D24" s="14" t="n">
        <v>0.05</v>
      </c>
      <c r="E24" s="15" t="n">
        <f aca="false">IF(Cover!$C$9="Downside",D24,C24)</f>
        <v>0.03</v>
      </c>
      <c r="F24" s="11" t="s">
        <v>30</v>
      </c>
    </row>
    <row r="25" customFormat="false" ht="15" hidden="false" customHeight="false" outlineLevel="0" collapsed="false">
      <c r="B25" s="0" t="s">
        <v>53</v>
      </c>
      <c r="C25" s="12" t="n">
        <v>0.75</v>
      </c>
      <c r="D25" s="12" t="n">
        <v>0.5</v>
      </c>
      <c r="E25" s="13" t="n">
        <f aca="false">IF(Cover!$C$9="Downside",D25,C25)</f>
        <v>0.75</v>
      </c>
      <c r="F25" s="11" t="s">
        <v>54</v>
      </c>
    </row>
    <row r="26" customFormat="false" ht="15" hidden="false" customHeight="false" outlineLevel="0" collapsed="false">
      <c r="B26" s="0" t="s">
        <v>55</v>
      </c>
      <c r="C26" s="16" t="n">
        <v>7</v>
      </c>
      <c r="D26" s="16" t="n">
        <v>6.5</v>
      </c>
      <c r="E26" s="17" t="n">
        <f aca="false">IF(Cover!$C$9="Downside",D26,C26)</f>
        <v>7</v>
      </c>
      <c r="F26" s="11" t="s">
        <v>39</v>
      </c>
    </row>
    <row r="27" customFormat="false" ht="15" hidden="false" customHeight="false" outlineLevel="0" collapsed="false">
      <c r="B27" s="0" t="s">
        <v>56</v>
      </c>
      <c r="C27" s="16" t="n">
        <v>1.75</v>
      </c>
      <c r="D27" s="16" t="n">
        <v>1.5</v>
      </c>
      <c r="E27" s="17" t="n">
        <f aca="false">IF(Cover!$C$9="Downside",D27,C27)</f>
        <v>1.75</v>
      </c>
      <c r="F27" s="11" t="s">
        <v>39</v>
      </c>
    </row>
    <row r="28" customFormat="false" ht="15" hidden="false" customHeight="false" outlineLevel="0" collapsed="false">
      <c r="B28" s="0" t="s">
        <v>57</v>
      </c>
      <c r="C28" s="16" t="n">
        <v>10</v>
      </c>
      <c r="D28" s="16" t="n">
        <v>8</v>
      </c>
      <c r="E28" s="17" t="n">
        <f aca="false">IF(Cover!$C$9="Downside",D28,C28)</f>
        <v>10</v>
      </c>
      <c r="F28" s="11" t="s">
        <v>39</v>
      </c>
    </row>
    <row r="29" customFormat="false" ht="15" hidden="false" customHeight="false" outlineLevel="0" collapsed="false">
      <c r="B29" s="0" t="s">
        <v>58</v>
      </c>
      <c r="C29" s="18" t="n">
        <v>5</v>
      </c>
      <c r="D29" s="18" t="n">
        <v>5</v>
      </c>
      <c r="E29" s="19" t="n">
        <f aca="false">IF(Cover!$C$9="Downside",D29,C29)</f>
        <v>5</v>
      </c>
      <c r="F29" s="11" t="s">
        <v>59</v>
      </c>
    </row>
    <row r="30" customFormat="false" ht="15" hidden="false" customHeight="false" outlineLevel="0" collapsed="false">
      <c r="B30" s="0" t="s">
        <v>60</v>
      </c>
      <c r="C30" s="12" t="n">
        <v>0.1</v>
      </c>
      <c r="D30" s="12" t="n">
        <v>0.1</v>
      </c>
      <c r="E30" s="13" t="n">
        <f aca="false">IF(Cover!$C$9="Downside",D30,C30)</f>
        <v>0.1</v>
      </c>
      <c r="F30" s="11" t="s">
        <v>61</v>
      </c>
    </row>
    <row r="31" customFormat="false" ht="15" hidden="false" customHeight="false" outlineLevel="0" collapsed="false">
      <c r="B31" s="0" t="s">
        <v>62</v>
      </c>
      <c r="C31" s="12" t="n">
        <v>0.08</v>
      </c>
      <c r="D31" s="12" t="n">
        <v>0.08</v>
      </c>
      <c r="E31" s="13" t="n">
        <f aca="false">IF(Cover!$C$9="Downside",D31,C31)</f>
        <v>0.08</v>
      </c>
      <c r="F31" s="11" t="s">
        <v>30</v>
      </c>
    </row>
    <row r="32" customFormat="false" ht="15" hidden="false" customHeight="false" outlineLevel="0" collapsed="false">
      <c r="B32" s="0" t="s">
        <v>63</v>
      </c>
      <c r="C32" s="12" t="n">
        <v>0.2</v>
      </c>
      <c r="D32" s="12" t="n">
        <v>0.2</v>
      </c>
      <c r="E32" s="13" t="n">
        <f aca="false">IF(Cover!$C$9="Downside",D32,C32)</f>
        <v>0.2</v>
      </c>
      <c r="F32" s="11" t="s">
        <v>64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5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7" min="7" style="0" width="5"/>
  </cols>
  <sheetData>
    <row r="2" customFormat="false" ht="27.75" hidden="false" customHeight="true" outlineLevel="0" collapsed="false">
      <c r="B2" s="1" t="s">
        <v>65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8" t="s">
        <v>66</v>
      </c>
      <c r="C4" s="8" t="s">
        <v>67</v>
      </c>
      <c r="D4" s="8"/>
      <c r="E4" s="8" t="s">
        <v>68</v>
      </c>
      <c r="F4" s="8" t="s">
        <v>67</v>
      </c>
      <c r="G4" s="8"/>
    </row>
    <row r="5" customFormat="false" ht="15" hidden="false" customHeight="false" outlineLevel="0" collapsed="false">
      <c r="B5" s="0" t="s">
        <v>69</v>
      </c>
      <c r="C5" s="10" t="n">
        <f aca="false">Assumptions!E5*Assumptions!E6*Assumptions!E13</f>
        <v>1200</v>
      </c>
      <c r="E5" s="11" t="s">
        <v>70</v>
      </c>
      <c r="F5" s="9" t="n">
        <v>0</v>
      </c>
    </row>
    <row r="6" customFormat="false" ht="15" hidden="false" customHeight="false" outlineLevel="0" collapsed="false">
      <c r="B6" s="0" t="s">
        <v>71</v>
      </c>
      <c r="C6" s="10" t="n">
        <f aca="false">Assumptions!E15</f>
        <v>100</v>
      </c>
      <c r="E6" s="11" t="s">
        <v>72</v>
      </c>
      <c r="F6" s="10" t="n">
        <f aca="false">Assumptions!E5*Assumptions!E6*Assumptions!E19</f>
        <v>480</v>
      </c>
    </row>
    <row r="7" customFormat="false" ht="15" hidden="false" customHeight="false" outlineLevel="0" collapsed="false">
      <c r="B7" s="0" t="s">
        <v>73</v>
      </c>
      <c r="C7" s="10" t="n">
        <f aca="false">C5*Assumptions!E14</f>
        <v>24</v>
      </c>
      <c r="E7" s="11" t="s">
        <v>74</v>
      </c>
      <c r="F7" s="10" t="n">
        <f aca="false">Assumptions!E5*Assumptions!E6*Assumptions!E22</f>
        <v>180</v>
      </c>
    </row>
    <row r="8" customFormat="false" ht="15" hidden="false" customHeight="false" outlineLevel="0" collapsed="false">
      <c r="B8" s="0" t="s">
        <v>75</v>
      </c>
      <c r="C8" s="10" t="n">
        <f aca="false">Assumptions!E16</f>
        <v>20</v>
      </c>
      <c r="E8" s="11" t="s">
        <v>76</v>
      </c>
      <c r="F8" s="10" t="n">
        <f aca="false">C9-SUM(F5:F7)</f>
        <v>684</v>
      </c>
    </row>
    <row r="9" customFormat="false" ht="15" hidden="false" customHeight="false" outlineLevel="0" collapsed="false">
      <c r="B9" s="20" t="s">
        <v>77</v>
      </c>
      <c r="C9" s="21" t="n">
        <f aca="false">SUM(C5:C8)</f>
        <v>1344</v>
      </c>
      <c r="E9" s="20" t="s">
        <v>78</v>
      </c>
      <c r="F9" s="21" t="n">
        <f aca="false">SUM(F5:F8)</f>
        <v>1344</v>
      </c>
    </row>
    <row r="10" customFormat="false" ht="15" hidden="false" customHeight="false" outlineLevel="0" collapsed="false">
      <c r="E10" s="0" t="s">
        <v>79</v>
      </c>
      <c r="F10" s="10" t="n">
        <f aca="false">F9-C9</f>
        <v>0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10" min="3" style="0" width="13"/>
  </cols>
  <sheetData>
    <row r="2" customFormat="false" ht="27.75" hidden="false" customHeight="true" outlineLevel="0" collapsed="false">
      <c r="B2" s="1" t="s">
        <v>80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8" t="s">
        <v>81</v>
      </c>
      <c r="C4" s="8" t="s">
        <v>82</v>
      </c>
      <c r="D4" s="8" t="s">
        <v>83</v>
      </c>
      <c r="E4" s="8" t="s">
        <v>84</v>
      </c>
      <c r="F4" s="8" t="s">
        <v>85</v>
      </c>
      <c r="G4" s="8" t="s">
        <v>86</v>
      </c>
      <c r="H4" s="8" t="s">
        <v>87</v>
      </c>
      <c r="I4" s="8" t="s">
        <v>88</v>
      </c>
      <c r="J4" s="8" t="s">
        <v>89</v>
      </c>
    </row>
    <row r="5" customFormat="false" ht="15" hidden="false" customHeight="false" outlineLevel="0" collapsed="false">
      <c r="B5" s="0" t="s">
        <v>90</v>
      </c>
      <c r="C5" s="10" t="n">
        <f aca="false">Assumptions!E5</f>
        <v>600</v>
      </c>
      <c r="D5" s="10" t="n">
        <f aca="false">C5*(1+Assumptions!$E$7)</f>
        <v>636</v>
      </c>
      <c r="E5" s="10" t="n">
        <f aca="false">D5*(1+Assumptions!$E$7)</f>
        <v>674.16</v>
      </c>
      <c r="F5" s="10" t="n">
        <f aca="false">E5*(1+Assumptions!$E$7)</f>
        <v>714.6096</v>
      </c>
      <c r="G5" s="10" t="n">
        <f aca="false">F5*(1+Assumptions!$E$7)</f>
        <v>757.486176</v>
      </c>
      <c r="H5" s="10" t="n">
        <f aca="false">G5*(1+Assumptions!$E$7)</f>
        <v>802.93534656</v>
      </c>
      <c r="I5" s="10" t="n">
        <f aca="false">H5*(1+Assumptions!$E$7)</f>
        <v>851.1114673536</v>
      </c>
      <c r="J5" s="10" t="n">
        <f aca="false">I5*(1+Assumptions!$E$7)</f>
        <v>902.178155394816</v>
      </c>
    </row>
    <row r="6" customFormat="false" ht="15" hidden="false" customHeight="false" outlineLevel="0" collapsed="false">
      <c r="B6" s="0" t="s">
        <v>91</v>
      </c>
      <c r="D6" s="13" t="n">
        <f aca="false">IFERROR(D5/C5-1,0)</f>
        <v>0.0600000000000001</v>
      </c>
      <c r="E6" s="13" t="n">
        <f aca="false">IFERROR(E5/D5-1,0)</f>
        <v>0.0600000000000001</v>
      </c>
      <c r="F6" s="13" t="n">
        <f aca="false">IFERROR(F5/E5-1,0)</f>
        <v>0.0600000000000001</v>
      </c>
      <c r="G6" s="13" t="n">
        <f aca="false">IFERROR(G5/F5-1,0)</f>
        <v>0.0600000000000001</v>
      </c>
      <c r="H6" s="13" t="n">
        <f aca="false">IFERROR(H5/G5-1,0)</f>
        <v>0.0600000000000001</v>
      </c>
      <c r="I6" s="13" t="n">
        <f aca="false">IFERROR(I5/H5-1,0)</f>
        <v>0.0600000000000001</v>
      </c>
      <c r="J6" s="13" t="n">
        <f aca="false">IFERROR(J5/I5-1,0)</f>
        <v>0.0600000000000001</v>
      </c>
    </row>
    <row r="7" customFormat="false" ht="15" hidden="false" customHeight="false" outlineLevel="0" collapsed="false">
      <c r="B7" s="0" t="s">
        <v>92</v>
      </c>
      <c r="C7" s="13" t="n">
        <f aca="false">Assumptions!E6</f>
        <v>0.2</v>
      </c>
      <c r="D7" s="13" t="n">
        <f aca="false">MAX(0,MIN(0.6,C7+Assumptions!$E$8))</f>
        <v>0.205</v>
      </c>
      <c r="E7" s="13" t="n">
        <f aca="false">MAX(0,MIN(0.6,D7+Assumptions!$E$8))</f>
        <v>0.21</v>
      </c>
      <c r="F7" s="13" t="n">
        <f aca="false">MAX(0,MIN(0.6,E7+Assumptions!$E$8))</f>
        <v>0.215</v>
      </c>
      <c r="G7" s="13" t="n">
        <f aca="false">MAX(0,MIN(0.6,F7+Assumptions!$E$8))</f>
        <v>0.22</v>
      </c>
      <c r="H7" s="13" t="n">
        <f aca="false">MAX(0,MIN(0.6,G7+Assumptions!$E$8))</f>
        <v>0.225</v>
      </c>
      <c r="I7" s="13" t="n">
        <f aca="false">MAX(0,MIN(0.6,H7+Assumptions!$E$8))</f>
        <v>0.23</v>
      </c>
      <c r="J7" s="13" t="n">
        <f aca="false">MAX(0,MIN(0.6,I7+Assumptions!$E$8))</f>
        <v>0.235</v>
      </c>
    </row>
    <row r="8" customFormat="false" ht="15" hidden="false" customHeight="false" outlineLevel="0" collapsed="false">
      <c r="B8" s="20" t="s">
        <v>93</v>
      </c>
      <c r="C8" s="21" t="n">
        <f aca="false">C5*C7</f>
        <v>120</v>
      </c>
      <c r="D8" s="21" t="n">
        <f aca="false">D5*D7</f>
        <v>130.38</v>
      </c>
      <c r="E8" s="21" t="n">
        <f aca="false">E5*E7</f>
        <v>141.5736</v>
      </c>
      <c r="F8" s="21" t="n">
        <f aca="false">F5*F7</f>
        <v>153.641064</v>
      </c>
      <c r="G8" s="21" t="n">
        <f aca="false">G5*G7</f>
        <v>166.64695872</v>
      </c>
      <c r="H8" s="21" t="n">
        <f aca="false">H5*H7</f>
        <v>180.660452976</v>
      </c>
      <c r="I8" s="21" t="n">
        <f aca="false">I5*I7</f>
        <v>195.755637491328</v>
      </c>
      <c r="J8" s="21" t="n">
        <f aca="false">J5*J7</f>
        <v>212.011866517782</v>
      </c>
    </row>
    <row r="9" customFormat="false" ht="15" hidden="false" customHeight="false" outlineLevel="0" collapsed="false">
      <c r="B9" s="0" t="s">
        <v>94</v>
      </c>
      <c r="C9" s="10" t="n">
        <f aca="false">C5*Assumptions!E9</f>
        <v>15</v>
      </c>
      <c r="D9" s="10" t="n">
        <f aca="false">D5*Assumptions!$E$9</f>
        <v>15.9</v>
      </c>
      <c r="E9" s="10" t="n">
        <f aca="false">E5*Assumptions!$E$9</f>
        <v>16.854</v>
      </c>
      <c r="F9" s="10" t="n">
        <f aca="false">F5*Assumptions!$E$9</f>
        <v>17.86524</v>
      </c>
      <c r="G9" s="10" t="n">
        <f aca="false">G5*Assumptions!$E$9</f>
        <v>18.9371544</v>
      </c>
      <c r="H9" s="10" t="n">
        <f aca="false">H5*Assumptions!$E$9</f>
        <v>20.073383664</v>
      </c>
      <c r="I9" s="10" t="n">
        <f aca="false">I5*Assumptions!$E$9</f>
        <v>21.27778668384</v>
      </c>
      <c r="J9" s="10" t="n">
        <f aca="false">J5*Assumptions!$E$9</f>
        <v>22.5544538848704</v>
      </c>
    </row>
    <row r="10" customFormat="false" ht="15" hidden="false" customHeight="false" outlineLevel="0" collapsed="false">
      <c r="B10" s="0" t="s">
        <v>95</v>
      </c>
      <c r="C10" s="10" t="n">
        <f aca="false">C8-C9</f>
        <v>105</v>
      </c>
      <c r="D10" s="10" t="n">
        <f aca="false">D8-D9</f>
        <v>114.48</v>
      </c>
      <c r="E10" s="10" t="n">
        <f aca="false">E8-E9</f>
        <v>124.7196</v>
      </c>
      <c r="F10" s="10" t="n">
        <f aca="false">F8-F9</f>
        <v>135.775824</v>
      </c>
      <c r="G10" s="10" t="n">
        <f aca="false">G8-G9</f>
        <v>147.70980432</v>
      </c>
      <c r="H10" s="10" t="n">
        <f aca="false">H8-H9</f>
        <v>160.587069312</v>
      </c>
      <c r="I10" s="10" t="n">
        <f aca="false">I8-I9</f>
        <v>174.477850807488</v>
      </c>
      <c r="J10" s="10" t="n">
        <f aca="false">J8-J9</f>
        <v>189.457412632911</v>
      </c>
    </row>
    <row r="11" customFormat="false" ht="15" hidden="false" customHeight="false" outlineLevel="0" collapsed="false">
      <c r="B11" s="0" t="s">
        <v>96</v>
      </c>
      <c r="D11" s="10" t="n">
        <f aca="false">'Debt Schedule'!D7</f>
        <v>60.6</v>
      </c>
      <c r="E11" s="10" t="n">
        <f aca="false">'Debt Schedule'!E7</f>
        <v>58.56103125</v>
      </c>
      <c r="F11" s="10" t="n">
        <f aca="false">'Debt Schedule'!F7</f>
        <v>55.6542798369141</v>
      </c>
      <c r="G11" s="10" t="n">
        <f aca="false">'Debt Schedule'!G7</f>
        <v>51.8543615505904</v>
      </c>
      <c r="H11" s="10" t="n">
        <f aca="false">'Debt Schedule'!H7</f>
        <v>47.0443350153266</v>
      </c>
      <c r="I11" s="10" t="n">
        <f aca="false">'Debt Schedule'!I7</f>
        <v>41.0891802106918</v>
      </c>
      <c r="J11" s="10" t="n">
        <f aca="false">'Debt Schedule'!J7</f>
        <v>33.8388469022483</v>
      </c>
    </row>
    <row r="12" customFormat="false" ht="15" hidden="false" customHeight="false" outlineLevel="0" collapsed="false">
      <c r="B12" s="0" t="s">
        <v>97</v>
      </c>
      <c r="D12" s="10" t="n">
        <f aca="false">D10-D11</f>
        <v>53.88</v>
      </c>
      <c r="E12" s="10" t="n">
        <f aca="false">E10-E11</f>
        <v>66.15856875</v>
      </c>
      <c r="F12" s="10" t="n">
        <f aca="false">F10-F11</f>
        <v>80.121544163086</v>
      </c>
      <c r="G12" s="10" t="n">
        <f aca="false">G10-G11</f>
        <v>95.8554427694097</v>
      </c>
      <c r="H12" s="10" t="n">
        <f aca="false">H10-H11</f>
        <v>113.542734296673</v>
      </c>
      <c r="I12" s="10" t="n">
        <f aca="false">I10-I11</f>
        <v>133.388670596796</v>
      </c>
      <c r="J12" s="10" t="n">
        <f aca="false">J10-J11</f>
        <v>155.618565730663</v>
      </c>
    </row>
    <row r="13" customFormat="false" ht="15" hidden="false" customHeight="false" outlineLevel="0" collapsed="false">
      <c r="B13" s="0" t="s">
        <v>98</v>
      </c>
      <c r="D13" s="10" t="n">
        <f aca="false">MAX(0,D12*Assumptions!$E$12)</f>
        <v>13.47</v>
      </c>
      <c r="E13" s="10" t="n">
        <f aca="false">MAX(0,E12*Assumptions!$E$12)</f>
        <v>16.5396421875</v>
      </c>
      <c r="F13" s="10" t="n">
        <f aca="false">MAX(0,F12*Assumptions!$E$12)</f>
        <v>20.0303860407715</v>
      </c>
      <c r="G13" s="10" t="n">
        <f aca="false">MAX(0,G12*Assumptions!$E$12)</f>
        <v>23.9638606923524</v>
      </c>
      <c r="H13" s="10" t="n">
        <f aca="false">MAX(0,H12*Assumptions!$E$12)</f>
        <v>28.3856835741684</v>
      </c>
      <c r="I13" s="10" t="n">
        <f aca="false">MAX(0,I12*Assumptions!$E$12)</f>
        <v>33.3471676491991</v>
      </c>
      <c r="J13" s="10" t="n">
        <f aca="false">MAX(0,J12*Assumptions!$E$12)</f>
        <v>38.9046414326658</v>
      </c>
    </row>
    <row r="14" customFormat="false" ht="15" hidden="false" customHeight="false" outlineLevel="0" collapsed="false">
      <c r="B14" s="0" t="s">
        <v>99</v>
      </c>
      <c r="D14" s="10" t="n">
        <f aca="false">D12-D13</f>
        <v>40.41</v>
      </c>
      <c r="E14" s="10" t="n">
        <f aca="false">E12-E13</f>
        <v>49.6189265625</v>
      </c>
      <c r="F14" s="10" t="n">
        <f aca="false">F12-F13</f>
        <v>60.0911581223145</v>
      </c>
      <c r="G14" s="10" t="n">
        <f aca="false">G12-G13</f>
        <v>71.8915820770573</v>
      </c>
      <c r="H14" s="10" t="n">
        <f aca="false">H12-H13</f>
        <v>85.1570507225051</v>
      </c>
      <c r="I14" s="10" t="n">
        <f aca="false">I12-I13</f>
        <v>100.041502947597</v>
      </c>
      <c r="J14" s="10" t="n">
        <f aca="false">J12-J13</f>
        <v>116.713924297997</v>
      </c>
    </row>
    <row r="15" customFormat="false" ht="15" hidden="false" customHeight="false" outlineLevel="0" collapsed="false">
      <c r="B15" s="0" t="s">
        <v>100</v>
      </c>
      <c r="D15" s="10" t="n">
        <f aca="false">D5*Assumptions!$E$10</f>
        <v>22.26</v>
      </c>
      <c r="E15" s="10" t="n">
        <f aca="false">E5*Assumptions!$E$10</f>
        <v>23.5956</v>
      </c>
      <c r="F15" s="10" t="n">
        <f aca="false">F5*Assumptions!$E$10</f>
        <v>25.011336</v>
      </c>
      <c r="G15" s="10" t="n">
        <f aca="false">G5*Assumptions!$E$10</f>
        <v>26.51201616</v>
      </c>
      <c r="H15" s="10" t="n">
        <f aca="false">H5*Assumptions!$E$10</f>
        <v>28.1027371296</v>
      </c>
      <c r="I15" s="10" t="n">
        <f aca="false">I5*Assumptions!$E$10</f>
        <v>29.788901357376</v>
      </c>
      <c r="J15" s="10" t="n">
        <f aca="false">J5*Assumptions!$E$10</f>
        <v>31.5762354388186</v>
      </c>
    </row>
    <row r="16" customFormat="false" ht="15" hidden="false" customHeight="false" outlineLevel="0" collapsed="false">
      <c r="B16" s="0" t="s">
        <v>101</v>
      </c>
      <c r="C16" s="10" t="n">
        <f aca="false">C5*Assumptions!E11</f>
        <v>48</v>
      </c>
      <c r="D16" s="10" t="n">
        <f aca="false">D5*Assumptions!$E$11</f>
        <v>50.88</v>
      </c>
      <c r="E16" s="10" t="n">
        <f aca="false">E5*Assumptions!$E$11</f>
        <v>53.9328</v>
      </c>
      <c r="F16" s="10" t="n">
        <f aca="false">F5*Assumptions!$E$11</f>
        <v>57.168768</v>
      </c>
      <c r="G16" s="10" t="n">
        <f aca="false">G5*Assumptions!$E$11</f>
        <v>60.59889408</v>
      </c>
      <c r="H16" s="10" t="n">
        <f aca="false">H5*Assumptions!$E$11</f>
        <v>64.2348277248</v>
      </c>
      <c r="I16" s="10" t="n">
        <f aca="false">I5*Assumptions!$E$11</f>
        <v>68.088917388288</v>
      </c>
      <c r="J16" s="10" t="n">
        <f aca="false">J5*Assumptions!$E$11</f>
        <v>72.1742524315853</v>
      </c>
    </row>
    <row r="17" customFormat="false" ht="15" hidden="false" customHeight="false" outlineLevel="0" collapsed="false">
      <c r="B17" s="0" t="s">
        <v>102</v>
      </c>
      <c r="D17" s="10" t="n">
        <f aca="false">D16-C16</f>
        <v>2.88</v>
      </c>
      <c r="E17" s="10" t="n">
        <f aca="false">E16-D16</f>
        <v>3.05280000000001</v>
      </c>
      <c r="F17" s="10" t="n">
        <f aca="false">F16-E16</f>
        <v>3.235968</v>
      </c>
      <c r="G17" s="10" t="n">
        <f aca="false">G16-F16</f>
        <v>3.43012608</v>
      </c>
      <c r="H17" s="10" t="n">
        <f aca="false">H16-G16</f>
        <v>3.63593364480001</v>
      </c>
      <c r="I17" s="10" t="n">
        <f aca="false">I16-H16</f>
        <v>3.85408966348801</v>
      </c>
      <c r="J17" s="10" t="n">
        <f aca="false">J16-I16</f>
        <v>4.08533504329728</v>
      </c>
    </row>
    <row r="18" customFormat="false" ht="15" hidden="false" customHeight="false" outlineLevel="0" collapsed="false">
      <c r="B18" s="20" t="s">
        <v>103</v>
      </c>
      <c r="C18" s="21"/>
      <c r="D18" s="21" t="n">
        <f aca="false">D14+D9-D15-D17</f>
        <v>31.17</v>
      </c>
      <c r="E18" s="21" t="n">
        <f aca="false">E14+E9-E15-E17</f>
        <v>39.8245265625</v>
      </c>
      <c r="F18" s="21" t="n">
        <f aca="false">F14+F9-F15-F17</f>
        <v>49.7090941223145</v>
      </c>
      <c r="G18" s="21" t="n">
        <f aca="false">G14+G9-G15-G17</f>
        <v>60.8865942370572</v>
      </c>
      <c r="H18" s="21" t="n">
        <f aca="false">H14+H9-H15-H17</f>
        <v>73.4917636121051</v>
      </c>
      <c r="I18" s="21" t="n">
        <f aca="false">I14+I9-I15-I17</f>
        <v>87.6762986105732</v>
      </c>
      <c r="J18" s="21" t="n">
        <f aca="false">J14+J9-J15-J17</f>
        <v>103.606807700752</v>
      </c>
    </row>
    <row r="19" customFormat="false" ht="15" hidden="false" customHeight="false" outlineLevel="0" collapsed="false">
      <c r="B19" s="20" t="s">
        <v>104</v>
      </c>
      <c r="C19" s="21"/>
      <c r="D19" s="21" t="n">
        <f aca="false">D8-D13-D15-D17</f>
        <v>91.77</v>
      </c>
      <c r="E19" s="21" t="n">
        <f aca="false">E8-E13-E15-E17</f>
        <v>98.3855578125</v>
      </c>
      <c r="F19" s="21" t="n">
        <f aca="false">F8-F13-F15-F17</f>
        <v>105.363373959229</v>
      </c>
      <c r="G19" s="21" t="n">
        <f aca="false">G8-G13-G15-G17</f>
        <v>112.740955787648</v>
      </c>
      <c r="H19" s="21" t="n">
        <f aca="false">H8-H13-H15-H17</f>
        <v>120.536098627432</v>
      </c>
      <c r="I19" s="21" t="n">
        <f aca="false">I8-I13-I15-I17</f>
        <v>128.765478821265</v>
      </c>
      <c r="J19" s="21" t="n">
        <f aca="false">J8-J13-J15-J17</f>
        <v>137.445654603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10" min="3" style="0" width="13"/>
  </cols>
  <sheetData>
    <row r="2" customFormat="false" ht="27.75" hidden="false" customHeight="true" outlineLevel="0" collapsed="false">
      <c r="B2" s="1" t="s">
        <v>105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8" t="s">
        <v>81</v>
      </c>
      <c r="C4" s="8" t="s">
        <v>106</v>
      </c>
      <c r="D4" s="8" t="s">
        <v>83</v>
      </c>
      <c r="E4" s="8" t="s">
        <v>84</v>
      </c>
      <c r="F4" s="8" t="s">
        <v>85</v>
      </c>
      <c r="G4" s="8" t="s">
        <v>86</v>
      </c>
      <c r="H4" s="8" t="s">
        <v>87</v>
      </c>
      <c r="I4" s="8" t="s">
        <v>88</v>
      </c>
      <c r="J4" s="8" t="s">
        <v>89</v>
      </c>
    </row>
    <row r="5" customFormat="false" ht="15" hidden="false" customHeight="false" outlineLevel="0" collapsed="false">
      <c r="B5" s="0" t="s">
        <v>107</v>
      </c>
      <c r="C5" s="10" t="n">
        <f aca="false">Assumptions!E16</f>
        <v>20</v>
      </c>
      <c r="D5" s="10" t="n">
        <f aca="false">C13</f>
        <v>20</v>
      </c>
      <c r="E5" s="10" t="n">
        <f aca="false">D13</f>
        <v>21.648125</v>
      </c>
      <c r="F5" s="10" t="n">
        <f aca="false">E13</f>
        <v>22.2920407226563</v>
      </c>
      <c r="G5" s="10" t="n">
        <f aca="false">F13</f>
        <v>22.9500709278107</v>
      </c>
      <c r="H5" s="10" t="n">
        <f aca="false">G13</f>
        <v>23.6897915728042</v>
      </c>
      <c r="I5" s="10" t="n">
        <f aca="false">H13</f>
        <v>24.5238471990568</v>
      </c>
      <c r="J5" s="10" t="n">
        <f aca="false">I13</f>
        <v>25.4625091131019</v>
      </c>
    </row>
    <row r="6" customFormat="false" ht="15" hidden="false" customHeight="false" outlineLevel="0" collapsed="false">
      <c r="B6" s="0" t="s">
        <v>104</v>
      </c>
      <c r="D6" s="10" t="n">
        <f aca="false">'Operating Model'!D19</f>
        <v>91.77</v>
      </c>
      <c r="E6" s="10" t="n">
        <f aca="false">'Operating Model'!E19</f>
        <v>98.3855578125</v>
      </c>
      <c r="F6" s="10" t="n">
        <f aca="false">'Operating Model'!F19</f>
        <v>105.363373959229</v>
      </c>
      <c r="G6" s="10" t="n">
        <f aca="false">'Operating Model'!G19</f>
        <v>112.740955787648</v>
      </c>
      <c r="H6" s="10" t="n">
        <f aca="false">'Operating Model'!H19</f>
        <v>120.536098627432</v>
      </c>
      <c r="I6" s="10" t="n">
        <f aca="false">'Operating Model'!I19</f>
        <v>128.765478821265</v>
      </c>
      <c r="J6" s="10" t="n">
        <f aca="false">'Operating Model'!J19</f>
        <v>137.445654603</v>
      </c>
    </row>
    <row r="7" customFormat="false" ht="15" hidden="false" customHeight="false" outlineLevel="0" collapsed="false">
      <c r="B7" s="0" t="s">
        <v>96</v>
      </c>
      <c r="D7" s="10" t="n">
        <f aca="false">SUM(D15,D18,D23)</f>
        <v>60.6</v>
      </c>
      <c r="E7" s="10" t="n">
        <f aca="false">SUM(E15,E18,E23)</f>
        <v>58.56103125</v>
      </c>
      <c r="F7" s="10" t="n">
        <f aca="false">SUM(F15,F18,F23)</f>
        <v>55.6542798369141</v>
      </c>
      <c r="G7" s="10" t="n">
        <f aca="false">SUM(G15,G18,G23)</f>
        <v>51.8543615505904</v>
      </c>
      <c r="H7" s="10" t="n">
        <f aca="false">SUM(H15,H18,H23)</f>
        <v>47.0443350153266</v>
      </c>
      <c r="I7" s="10" t="n">
        <f aca="false">SUM(I15,I18,I23)</f>
        <v>41.0891802106918</v>
      </c>
      <c r="J7" s="10" t="n">
        <f aca="false">SUM(J15,J18,J23)</f>
        <v>33.8388469022483</v>
      </c>
    </row>
    <row r="8" customFormat="false" ht="15" hidden="false" customHeight="false" outlineLevel="0" collapsed="false">
      <c r="B8" s="0" t="s">
        <v>108</v>
      </c>
      <c r="D8" s="10" t="n">
        <f aca="false">D19</f>
        <v>4.8</v>
      </c>
      <c r="E8" s="10" t="n">
        <f aca="false">E19</f>
        <v>4.8</v>
      </c>
      <c r="F8" s="10" t="n">
        <f aca="false">F19</f>
        <v>4.8</v>
      </c>
      <c r="G8" s="10" t="n">
        <f aca="false">G19</f>
        <v>4.8</v>
      </c>
      <c r="H8" s="10" t="n">
        <f aca="false">H19</f>
        <v>4.8</v>
      </c>
      <c r="I8" s="10" t="n">
        <f aca="false">I19</f>
        <v>4.8</v>
      </c>
      <c r="J8" s="10" t="n">
        <f aca="false">J19</f>
        <v>4.8</v>
      </c>
    </row>
    <row r="9" customFormat="false" ht="15" hidden="false" customHeight="false" outlineLevel="0" collapsed="false">
      <c r="B9" s="0" t="s">
        <v>109</v>
      </c>
      <c r="D9" s="10" t="n">
        <f aca="false">D5+D6-D7-D8</f>
        <v>46.37</v>
      </c>
      <c r="E9" s="10" t="n">
        <f aca="false">E5+E6-E7-E8</f>
        <v>56.6726515625</v>
      </c>
      <c r="F9" s="10" t="n">
        <f aca="false">F5+F6-F7-F8</f>
        <v>67.2011348449707</v>
      </c>
      <c r="G9" s="10" t="n">
        <f aca="false">G5+G6-G7-G8</f>
        <v>79.0366651648679</v>
      </c>
      <c r="H9" s="10" t="n">
        <f aca="false">H5+H6-H7-H8</f>
        <v>92.3815551849094</v>
      </c>
      <c r="I9" s="10" t="n">
        <f aca="false">I5+I6-I7-I8</f>
        <v>107.40014580963</v>
      </c>
      <c r="J9" s="10" t="n">
        <f aca="false">J5+J6-J7-J8</f>
        <v>124.269316813854</v>
      </c>
    </row>
    <row r="10" customFormat="false" ht="15" hidden="false" customHeight="false" outlineLevel="0" collapsed="false">
      <c r="B10" s="0" t="s">
        <v>110</v>
      </c>
      <c r="D10" s="10" t="n">
        <f aca="false">IF(D9&lt;Assumptions!$E$16,MIN(Assumptions!$E$17-D14,Assumptions!$E$16-D9),-MIN(D14,MAX(0,D9-Assumptions!$E$16)))</f>
        <v>-0</v>
      </c>
      <c r="E10" s="10" t="n">
        <f aca="false">IF(E9&lt;Assumptions!$E$16,MIN(Assumptions!$E$17-E14,Assumptions!$E$16-E9),-MIN(E14,MAX(0,E9-Assumptions!$E$16)))</f>
        <v>-0</v>
      </c>
      <c r="F10" s="10" t="n">
        <f aca="false">IF(F9&lt;Assumptions!$E$16,MIN(Assumptions!$E$17-F14,Assumptions!$E$16-F9),-MIN(F14,MAX(0,F9-Assumptions!$E$16)))</f>
        <v>-0</v>
      </c>
      <c r="G10" s="10" t="n">
        <f aca="false">IF(G9&lt;Assumptions!$E$16,MIN(Assumptions!$E$17-G14,Assumptions!$E$16-G9),-MIN(G14,MAX(0,G9-Assumptions!$E$16)))</f>
        <v>-0</v>
      </c>
      <c r="H10" s="10" t="n">
        <f aca="false">IF(H9&lt;Assumptions!$E$16,MIN(Assumptions!$E$17-H14,Assumptions!$E$16-H9),-MIN(H14,MAX(0,H9-Assumptions!$E$16)))</f>
        <v>-0</v>
      </c>
      <c r="I10" s="10" t="n">
        <f aca="false">IF(I9&lt;Assumptions!$E$16,MIN(Assumptions!$E$17-I14,Assumptions!$E$16-I9),-MIN(I14,MAX(0,I9-Assumptions!$E$16)))</f>
        <v>-0</v>
      </c>
      <c r="J10" s="10" t="n">
        <f aca="false">IF(J9&lt;Assumptions!$E$16,MIN(Assumptions!$E$17-J14,Assumptions!$E$16-J9),-MIN(J14,MAX(0,J9-Assumptions!$E$16)))</f>
        <v>-0</v>
      </c>
    </row>
    <row r="11" customFormat="false" ht="15" hidden="false" customHeight="false" outlineLevel="0" collapsed="false">
      <c r="B11" s="0" t="s">
        <v>111</v>
      </c>
      <c r="D11" s="10" t="n">
        <f aca="false">MIN(MAX(0,D17-D19),MAX(0,D9+D10-Assumptions!$E$16)*Assumptions!$E$25)</f>
        <v>19.7775</v>
      </c>
      <c r="E11" s="10" t="n">
        <f aca="false">MIN(MAX(0,E17-E19),MAX(0,E9+E10-Assumptions!$E$16)*Assumptions!$E$25)</f>
        <v>27.504488671875</v>
      </c>
      <c r="F11" s="10" t="n">
        <f aca="false">MIN(MAX(0,F17-F19),MAX(0,F9+F10-Assumptions!$E$16)*Assumptions!$E$25)</f>
        <v>35.4008511337281</v>
      </c>
      <c r="G11" s="10" t="n">
        <f aca="false">MIN(MAX(0,G17-G19),MAX(0,G9+G10-Assumptions!$E$16)*Assumptions!$E$25)</f>
        <v>44.2774988736509</v>
      </c>
      <c r="H11" s="10" t="n">
        <f aca="false">MIN(MAX(0,H17-H19),MAX(0,H9+H10-Assumptions!$E$16)*Assumptions!$E$25)</f>
        <v>54.286166388682</v>
      </c>
      <c r="I11" s="10" t="n">
        <f aca="false">MIN(MAX(0,I17-I19),MAX(0,I9+I10-Assumptions!$E$16)*Assumptions!$E$25)</f>
        <v>65.5501093572225</v>
      </c>
      <c r="J11" s="10" t="n">
        <f aca="false">MIN(MAX(0,J17-J19),MAX(0,J9+J10-Assumptions!$E$16)*Assumptions!$E$25)</f>
        <v>78.2019876103904</v>
      </c>
    </row>
    <row r="12" customFormat="false" ht="15" hidden="false" customHeight="false" outlineLevel="0" collapsed="false">
      <c r="B12" s="0" t="s">
        <v>112</v>
      </c>
      <c r="D12" s="10" t="n">
        <f aca="false">MIN(MAX(0,D22+D24),MAX(0,D9+D10-D11-Assumptions!$E$16)*Assumptions!$E$25)</f>
        <v>4.944375</v>
      </c>
      <c r="E12" s="10" t="n">
        <f aca="false">MIN(MAX(0,E22+E24),MAX(0,E9+E10-E11-Assumptions!$E$16)*Assumptions!$E$25)</f>
        <v>6.87612216796875</v>
      </c>
      <c r="F12" s="10" t="n">
        <f aca="false">MIN(MAX(0,F22+F24),MAX(0,F9+F10-F11-Assumptions!$E$16)*Assumptions!$E$25)</f>
        <v>8.85021278343201</v>
      </c>
      <c r="G12" s="10" t="n">
        <f aca="false">MIN(MAX(0,G22+G24),MAX(0,G9+G10-G11-Assumptions!$E$16)*Assumptions!$E$25)</f>
        <v>11.0693747184127</v>
      </c>
      <c r="H12" s="10" t="n">
        <f aca="false">MIN(MAX(0,H22+H24),MAX(0,H9+H10-H11-Assumptions!$E$16)*Assumptions!$E$25)</f>
        <v>13.5715415971705</v>
      </c>
      <c r="I12" s="10" t="n">
        <f aca="false">MIN(MAX(0,I22+I24),MAX(0,I9+I10-I11-Assumptions!$E$16)*Assumptions!$E$25)</f>
        <v>16.3875273393056</v>
      </c>
      <c r="J12" s="10" t="n">
        <f aca="false">MIN(MAX(0,J22+J24),MAX(0,J9+J10-J11-Assumptions!$E$16)*Assumptions!$E$25)</f>
        <v>19.5504969025976</v>
      </c>
    </row>
    <row r="13" customFormat="false" ht="15" hidden="false" customHeight="false" outlineLevel="0" collapsed="false">
      <c r="B13" s="20" t="s">
        <v>113</v>
      </c>
      <c r="C13" s="21" t="n">
        <f aca="false">C5</f>
        <v>20</v>
      </c>
      <c r="D13" s="21" t="n">
        <f aca="false">D9+D10-D11-D12</f>
        <v>21.648125</v>
      </c>
      <c r="E13" s="21" t="n">
        <f aca="false">E9+E10-E11-E12</f>
        <v>22.2920407226563</v>
      </c>
      <c r="F13" s="21" t="n">
        <f aca="false">F9+F10-F11-F12</f>
        <v>22.9500709278107</v>
      </c>
      <c r="G13" s="21" t="n">
        <f aca="false">G9+G10-G11-G12</f>
        <v>23.6897915728042</v>
      </c>
      <c r="H13" s="21" t="n">
        <f aca="false">H9+H10-H11-H12</f>
        <v>24.5238471990568</v>
      </c>
      <c r="I13" s="21" t="n">
        <f aca="false">I9+I10-I11-I12</f>
        <v>25.4625091131019</v>
      </c>
      <c r="J13" s="21" t="n">
        <f aca="false">J9+J10-J11-J12</f>
        <v>26.5168323008659</v>
      </c>
    </row>
    <row r="14" customFormat="false" ht="15" hidden="false" customHeight="false" outlineLevel="0" collapsed="false">
      <c r="B14" s="0" t="s">
        <v>114</v>
      </c>
      <c r="C14" s="10" t="n">
        <f aca="false">'Sources &amp; Uses'!F5</f>
        <v>0</v>
      </c>
      <c r="D14" s="10" t="n">
        <f aca="false">C16</f>
        <v>0</v>
      </c>
      <c r="E14" s="10" t="n">
        <f aca="false">D16</f>
        <v>0</v>
      </c>
      <c r="F14" s="10" t="n">
        <f aca="false">E16</f>
        <v>0</v>
      </c>
      <c r="G14" s="10" t="n">
        <f aca="false">F16</f>
        <v>0</v>
      </c>
      <c r="H14" s="10" t="n">
        <f aca="false">G16</f>
        <v>0</v>
      </c>
      <c r="I14" s="10" t="n">
        <f aca="false">H16</f>
        <v>0</v>
      </c>
      <c r="J14" s="10" t="n">
        <f aca="false">I16</f>
        <v>0</v>
      </c>
    </row>
    <row r="15" customFormat="false" ht="15" hidden="false" customHeight="false" outlineLevel="0" collapsed="false">
      <c r="B15" s="0" t="s">
        <v>115</v>
      </c>
      <c r="D15" s="10" t="n">
        <f aca="false">D14*Assumptions!$E$18</f>
        <v>0</v>
      </c>
      <c r="E15" s="10" t="n">
        <f aca="false">E14*Assumptions!$E$18</f>
        <v>0</v>
      </c>
      <c r="F15" s="10" t="n">
        <f aca="false">F14*Assumptions!$E$18</f>
        <v>0</v>
      </c>
      <c r="G15" s="10" t="n">
        <f aca="false">G14*Assumptions!$E$18</f>
        <v>0</v>
      </c>
      <c r="H15" s="10" t="n">
        <f aca="false">H14*Assumptions!$E$18</f>
        <v>0</v>
      </c>
      <c r="I15" s="10" t="n">
        <f aca="false">I14*Assumptions!$E$18</f>
        <v>0</v>
      </c>
      <c r="J15" s="10" t="n">
        <f aca="false">J14*Assumptions!$E$18</f>
        <v>0</v>
      </c>
    </row>
    <row r="16" customFormat="false" ht="15" hidden="false" customHeight="false" outlineLevel="0" collapsed="false">
      <c r="B16" s="0" t="s">
        <v>116</v>
      </c>
      <c r="C16" s="10" t="n">
        <f aca="false">C14</f>
        <v>0</v>
      </c>
      <c r="D16" s="10" t="n">
        <f aca="false">MAX(0,D14+D10)</f>
        <v>0</v>
      </c>
      <c r="E16" s="10" t="n">
        <f aca="false">MAX(0,E14+E10)</f>
        <v>0</v>
      </c>
      <c r="F16" s="10" t="n">
        <f aca="false">MAX(0,F14+F10)</f>
        <v>0</v>
      </c>
      <c r="G16" s="10" t="n">
        <f aca="false">MAX(0,G14+G10)</f>
        <v>0</v>
      </c>
      <c r="H16" s="10" t="n">
        <f aca="false">MAX(0,H14+H10)</f>
        <v>0</v>
      </c>
      <c r="I16" s="10" t="n">
        <f aca="false">MAX(0,I14+I10)</f>
        <v>0</v>
      </c>
      <c r="J16" s="10" t="n">
        <f aca="false">MAX(0,J14+J10)</f>
        <v>0</v>
      </c>
    </row>
    <row r="17" customFormat="false" ht="15" hidden="false" customHeight="false" outlineLevel="0" collapsed="false">
      <c r="B17" s="0" t="s">
        <v>117</v>
      </c>
      <c r="C17" s="10" t="n">
        <f aca="false">'Sources &amp; Uses'!F6</f>
        <v>480</v>
      </c>
      <c r="D17" s="10" t="n">
        <f aca="false">C21</f>
        <v>480</v>
      </c>
      <c r="E17" s="10" t="n">
        <f aca="false">D21</f>
        <v>455.4225</v>
      </c>
      <c r="F17" s="10" t="n">
        <f aca="false">E21</f>
        <v>423.118011328125</v>
      </c>
      <c r="G17" s="10" t="n">
        <f aca="false">F21</f>
        <v>382.917160194397</v>
      </c>
      <c r="H17" s="10" t="n">
        <f aca="false">G21</f>
        <v>333.839661320746</v>
      </c>
      <c r="I17" s="10" t="n">
        <f aca="false">H21</f>
        <v>274.753494932064</v>
      </c>
      <c r="J17" s="10" t="n">
        <f aca="false">I21</f>
        <v>204.403385574841</v>
      </c>
    </row>
    <row r="18" customFormat="false" ht="15" hidden="false" customHeight="false" outlineLevel="0" collapsed="false">
      <c r="B18" s="0" t="s">
        <v>118</v>
      </c>
      <c r="D18" s="10" t="n">
        <f aca="false">D17*Assumptions!$E$20</f>
        <v>40.8</v>
      </c>
      <c r="E18" s="10" t="n">
        <f aca="false">E17*Assumptions!$E$20</f>
        <v>38.7109125</v>
      </c>
      <c r="F18" s="10" t="n">
        <f aca="false">F17*Assumptions!$E$20</f>
        <v>35.9650309628906</v>
      </c>
      <c r="G18" s="10" t="n">
        <f aca="false">G17*Assumptions!$E$20</f>
        <v>32.5479586165237</v>
      </c>
      <c r="H18" s="10" t="n">
        <f aca="false">H17*Assumptions!$E$20</f>
        <v>28.3763712122634</v>
      </c>
      <c r="I18" s="10" t="n">
        <f aca="false">I17*Assumptions!$E$20</f>
        <v>23.3540470692254</v>
      </c>
      <c r="J18" s="10" t="n">
        <f aca="false">J17*Assumptions!$E$20</f>
        <v>17.3742877738615</v>
      </c>
    </row>
    <row r="19" customFormat="false" ht="15" hidden="false" customHeight="false" outlineLevel="0" collapsed="false">
      <c r="B19" s="0" t="s">
        <v>119</v>
      </c>
      <c r="D19" s="10" t="n">
        <f aca="false">MIN(D17,'Sources &amp; Uses'!$F$6*Assumptions!$E$21)</f>
        <v>4.8</v>
      </c>
      <c r="E19" s="10" t="n">
        <f aca="false">MIN(E17,'Sources &amp; Uses'!$F$6*Assumptions!$E$21)</f>
        <v>4.8</v>
      </c>
      <c r="F19" s="10" t="n">
        <f aca="false">MIN(F17,'Sources &amp; Uses'!$F$6*Assumptions!$E$21)</f>
        <v>4.8</v>
      </c>
      <c r="G19" s="10" t="n">
        <f aca="false">MIN(G17,'Sources &amp; Uses'!$F$6*Assumptions!$E$21)</f>
        <v>4.8</v>
      </c>
      <c r="H19" s="10" t="n">
        <f aca="false">MIN(H17,'Sources &amp; Uses'!$F$6*Assumptions!$E$21)</f>
        <v>4.8</v>
      </c>
      <c r="I19" s="10" t="n">
        <f aca="false">MIN(I17,'Sources &amp; Uses'!$F$6*Assumptions!$E$21)</f>
        <v>4.8</v>
      </c>
      <c r="J19" s="10" t="n">
        <f aca="false">MIN(J17,'Sources &amp; Uses'!$F$6*Assumptions!$E$21)</f>
        <v>4.8</v>
      </c>
    </row>
    <row r="20" customFormat="false" ht="15" hidden="false" customHeight="false" outlineLevel="0" collapsed="false">
      <c r="B20" s="20" t="s">
        <v>120</v>
      </c>
      <c r="C20" s="21" t="n">
        <f aca="false">'Sources &amp; Uses'!F7</f>
        <v>180</v>
      </c>
      <c r="D20" s="21" t="n">
        <f aca="false">D11</f>
        <v>19.7775</v>
      </c>
      <c r="E20" s="21" t="n">
        <f aca="false">E11</f>
        <v>27.504488671875</v>
      </c>
      <c r="F20" s="21" t="n">
        <f aca="false">F11</f>
        <v>35.4008511337281</v>
      </c>
      <c r="G20" s="21" t="n">
        <f aca="false">G11</f>
        <v>44.2774988736509</v>
      </c>
      <c r="H20" s="21" t="n">
        <f aca="false">H11</f>
        <v>54.286166388682</v>
      </c>
      <c r="I20" s="21" t="n">
        <f aca="false">I11</f>
        <v>65.5501093572225</v>
      </c>
      <c r="J20" s="21" t="n">
        <f aca="false">J11</f>
        <v>78.2019876103904</v>
      </c>
    </row>
    <row r="21" customFormat="false" ht="15" hidden="false" customHeight="false" outlineLevel="0" collapsed="false">
      <c r="B21" s="0" t="s">
        <v>121</v>
      </c>
      <c r="C21" s="10" t="n">
        <f aca="false">C17</f>
        <v>480</v>
      </c>
      <c r="D21" s="10" t="n">
        <f aca="false">MAX(0,D17-D19-D20)</f>
        <v>455.4225</v>
      </c>
      <c r="E21" s="10" t="n">
        <f aca="false">MAX(0,E17-E19-E20)</f>
        <v>423.118011328125</v>
      </c>
      <c r="F21" s="10" t="n">
        <f aca="false">MAX(0,F17-F19-F20)</f>
        <v>382.917160194397</v>
      </c>
      <c r="G21" s="10" t="n">
        <f aca="false">MAX(0,G17-G19-G20)</f>
        <v>333.839661320746</v>
      </c>
      <c r="H21" s="10" t="n">
        <f aca="false">MAX(0,H17-H19-H20)</f>
        <v>274.753494932064</v>
      </c>
      <c r="I21" s="10" t="n">
        <f aca="false">MAX(0,I17-I19-I20)</f>
        <v>204.403385574841</v>
      </c>
      <c r="J21" s="10" t="n">
        <f aca="false">MAX(0,J17-J19-J20)</f>
        <v>121.401397964451</v>
      </c>
    </row>
    <row r="22" customFormat="false" ht="15" hidden="false" customHeight="false" outlineLevel="0" collapsed="false">
      <c r="B22" s="0" t="s">
        <v>122</v>
      </c>
      <c r="C22" s="10" t="n">
        <f aca="false">'Sources &amp; Uses'!F7</f>
        <v>180</v>
      </c>
      <c r="D22" s="10" t="n">
        <f aca="false">C26</f>
        <v>180</v>
      </c>
      <c r="E22" s="10" t="n">
        <f aca="false">D26</f>
        <v>180.455625</v>
      </c>
      <c r="F22" s="10" t="n">
        <f aca="false">E26</f>
        <v>178.993171582031</v>
      </c>
      <c r="G22" s="10" t="n">
        <f aca="false">F26</f>
        <v>175.51275394606</v>
      </c>
      <c r="H22" s="10" t="n">
        <f aca="false">G26</f>
        <v>169.708761846029</v>
      </c>
      <c r="I22" s="10" t="n">
        <f aca="false">H26</f>
        <v>161.22848310424</v>
      </c>
      <c r="J22" s="10" t="n">
        <f aca="false">I26</f>
        <v>149.677810258061</v>
      </c>
    </row>
    <row r="23" customFormat="false" ht="15" hidden="false" customHeight="false" outlineLevel="0" collapsed="false">
      <c r="B23" s="0" t="s">
        <v>123</v>
      </c>
      <c r="D23" s="10" t="n">
        <f aca="false">D22*Assumptions!$E$23</f>
        <v>19.8</v>
      </c>
      <c r="E23" s="10" t="n">
        <f aca="false">E22*Assumptions!$E$23</f>
        <v>19.85011875</v>
      </c>
      <c r="F23" s="10" t="n">
        <f aca="false">F22*Assumptions!$E$23</f>
        <v>19.6892488740234</v>
      </c>
      <c r="G23" s="10" t="n">
        <f aca="false">G22*Assumptions!$E$23</f>
        <v>19.3064029340666</v>
      </c>
      <c r="H23" s="10" t="n">
        <f aca="false">H22*Assumptions!$E$23</f>
        <v>18.6679638030632</v>
      </c>
      <c r="I23" s="10" t="n">
        <f aca="false">I22*Assumptions!$E$23</f>
        <v>17.7351331414664</v>
      </c>
      <c r="J23" s="10" t="n">
        <f aca="false">J22*Assumptions!$E$23</f>
        <v>16.4645591283867</v>
      </c>
    </row>
    <row r="24" customFormat="false" ht="15" hidden="false" customHeight="false" outlineLevel="0" collapsed="false">
      <c r="B24" s="20" t="s">
        <v>124</v>
      </c>
      <c r="C24" s="21"/>
      <c r="D24" s="21" t="n">
        <f aca="false">D22*Assumptions!$E$24</f>
        <v>5.4</v>
      </c>
      <c r="E24" s="21" t="n">
        <f aca="false">E22*Assumptions!$E$24</f>
        <v>5.41366875</v>
      </c>
      <c r="F24" s="21" t="n">
        <f aca="false">F22*Assumptions!$E$24</f>
        <v>5.36979514746094</v>
      </c>
      <c r="G24" s="21" t="n">
        <f aca="false">G22*Assumptions!$E$24</f>
        <v>5.26538261838181</v>
      </c>
      <c r="H24" s="21" t="n">
        <f aca="false">H22*Assumptions!$E$24</f>
        <v>5.09126285538088</v>
      </c>
      <c r="I24" s="21" t="n">
        <f aca="false">I22*Assumptions!$E$24</f>
        <v>4.83685449312719</v>
      </c>
      <c r="J24" s="21" t="n">
        <f aca="false">J22*Assumptions!$E$24</f>
        <v>4.49033430774184</v>
      </c>
    </row>
    <row r="25" customFormat="false" ht="15" hidden="false" customHeight="false" outlineLevel="0" collapsed="false">
      <c r="B25" s="20" t="s">
        <v>125</v>
      </c>
      <c r="C25" s="21" t="n">
        <f aca="false">SUM(C16,C20,C13)</f>
        <v>200</v>
      </c>
      <c r="D25" s="21" t="n">
        <f aca="false">D12</f>
        <v>4.944375</v>
      </c>
      <c r="E25" s="21" t="n">
        <f aca="false">E12</f>
        <v>6.87612216796875</v>
      </c>
      <c r="F25" s="21" t="n">
        <f aca="false">F12</f>
        <v>8.85021278343201</v>
      </c>
      <c r="G25" s="21" t="n">
        <f aca="false">G12</f>
        <v>11.0693747184127</v>
      </c>
      <c r="H25" s="21" t="n">
        <f aca="false">H12</f>
        <v>13.5715415971705</v>
      </c>
      <c r="I25" s="21" t="n">
        <f aca="false">I12</f>
        <v>16.3875273393056</v>
      </c>
      <c r="J25" s="21" t="n">
        <f aca="false">J12</f>
        <v>19.5504969025976</v>
      </c>
    </row>
    <row r="26" customFormat="false" ht="15" hidden="false" customHeight="false" outlineLevel="0" collapsed="false">
      <c r="B26" s="20" t="s">
        <v>126</v>
      </c>
      <c r="C26" s="21" t="n">
        <f aca="false">C22</f>
        <v>180</v>
      </c>
      <c r="D26" s="21" t="n">
        <f aca="false">MAX(0,D22+D24-D25)</f>
        <v>180.455625</v>
      </c>
      <c r="E26" s="21" t="n">
        <f aca="false">MAX(0,E22+E24-E25)</f>
        <v>178.993171582031</v>
      </c>
      <c r="F26" s="21" t="n">
        <f aca="false">MAX(0,F22+F24-F25)</f>
        <v>175.51275394606</v>
      </c>
      <c r="G26" s="21" t="n">
        <f aca="false">MAX(0,G22+G24-G25)</f>
        <v>169.708761846029</v>
      </c>
      <c r="H26" s="21" t="n">
        <f aca="false">MAX(0,H22+H24-H25)</f>
        <v>161.22848310424</v>
      </c>
      <c r="I26" s="21" t="n">
        <f aca="false">MAX(0,I22+I24-I25)</f>
        <v>149.677810258061</v>
      </c>
      <c r="J26" s="21" t="n">
        <f aca="false">MAX(0,J22+J24-J25)</f>
        <v>134.617647663205</v>
      </c>
    </row>
    <row r="27" customFormat="false" ht="15" hidden="false" customHeight="false" outlineLevel="0" collapsed="false">
      <c r="B27" s="0" t="s">
        <v>127</v>
      </c>
      <c r="C27" s="10" t="n">
        <f aca="false">SUM(C16,C21,C26)</f>
        <v>660</v>
      </c>
      <c r="D27" s="10" t="n">
        <f aca="false">SUM(D16,D21,D26)</f>
        <v>635.878125</v>
      </c>
      <c r="E27" s="10" t="n">
        <f aca="false">SUM(E16,E21,E26)</f>
        <v>602.111182910156</v>
      </c>
      <c r="F27" s="10" t="n">
        <f aca="false">SUM(F16,F21,F26)</f>
        <v>558.429914140457</v>
      </c>
      <c r="G27" s="10" t="n">
        <f aca="false">SUM(G16,G21,G26)</f>
        <v>503.548423166775</v>
      </c>
      <c r="H27" s="10" t="n">
        <f aca="false">SUM(H16,H21,H26)</f>
        <v>435.981978036304</v>
      </c>
      <c r="I27" s="10" t="n">
        <f aca="false">SUM(I16,I21,I26)</f>
        <v>354.081195832903</v>
      </c>
      <c r="J27" s="10" t="n">
        <f aca="false">SUM(J16,J21,J26)</f>
        <v>256.019045627656</v>
      </c>
    </row>
    <row r="28" customFormat="false" ht="15" hidden="false" customHeight="false" outlineLevel="0" collapsed="false">
      <c r="B28" s="0" t="s">
        <v>128</v>
      </c>
      <c r="C28" s="10" t="n">
        <f aca="false">C27-C13</f>
        <v>640</v>
      </c>
      <c r="D28" s="10" t="n">
        <f aca="false">D27-D13</f>
        <v>614.23</v>
      </c>
      <c r="E28" s="10" t="n">
        <f aca="false">E27-E13</f>
        <v>579.8191421875</v>
      </c>
      <c r="F28" s="10" t="n">
        <f aca="false">F27-F13</f>
        <v>535.479843212647</v>
      </c>
      <c r="G28" s="10" t="n">
        <f aca="false">G27-G13</f>
        <v>479.858631593971</v>
      </c>
      <c r="H28" s="10" t="n">
        <f aca="false">H27-H13</f>
        <v>411.458130837247</v>
      </c>
      <c r="I28" s="10" t="n">
        <f aca="false">I27-I13</f>
        <v>328.618686719801</v>
      </c>
      <c r="J28" s="10" t="n">
        <f aca="false">J27-J13</f>
        <v>229.502213326791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9" min="3" style="0" width="13"/>
  </cols>
  <sheetData>
    <row r="2" customFormat="false" ht="27.75" hidden="false" customHeight="true" outlineLevel="0" collapsed="false">
      <c r="B2" s="1" t="s">
        <v>129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8" t="s">
        <v>130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88</v>
      </c>
      <c r="I4" s="8" t="s">
        <v>89</v>
      </c>
    </row>
    <row r="5" customFormat="false" ht="15" hidden="false" customHeight="false" outlineLevel="0" collapsed="false">
      <c r="B5" s="0" t="s">
        <v>131</v>
      </c>
      <c r="C5" s="17" t="n">
        <f aca="false">IFERROR('Debt Schedule'!D25/'Operating Model'!D8,0)</f>
        <v>0.0379228025770824</v>
      </c>
      <c r="D5" s="17" t="n">
        <f aca="false">IFERROR('Debt Schedule'!E25/'Operating Model'!E8,0)</f>
        <v>0.0485692400840888</v>
      </c>
      <c r="E5" s="17" t="n">
        <f aca="false">IFERROR('Debt Schedule'!F25/'Operating Model'!F8,0)</f>
        <v>0.057603172960531</v>
      </c>
      <c r="F5" s="17" t="n">
        <f aca="false">IFERROR('Debt Schedule'!G25/'Operating Model'!G8,0)</f>
        <v>0.0664241028065294</v>
      </c>
      <c r="G5" s="17" t="n">
        <f aca="false">IFERROR('Debt Schedule'!H25/'Operating Model'!H8,0)</f>
        <v>0.0751218176064987</v>
      </c>
      <c r="H5" s="17" t="n">
        <f aca="false">IFERROR('Debt Schedule'!I25/'Operating Model'!I8,0)</f>
        <v>0.083714203837586</v>
      </c>
      <c r="I5" s="17" t="n">
        <f aca="false">IFERROR('Debt Schedule'!J25/'Operating Model'!J8,0)</f>
        <v>0.0922141634037162</v>
      </c>
    </row>
    <row r="6" customFormat="false" ht="15" hidden="false" customHeight="false" outlineLevel="0" collapsed="false">
      <c r="B6" s="0" t="s">
        <v>132</v>
      </c>
      <c r="C6" s="17" t="n">
        <f aca="false">Assumptions!$E$26</f>
        <v>7</v>
      </c>
      <c r="D6" s="17" t="n">
        <f aca="false">Assumptions!$E$26</f>
        <v>7</v>
      </c>
      <c r="E6" s="17" t="n">
        <f aca="false">Assumptions!$E$26</f>
        <v>7</v>
      </c>
      <c r="F6" s="17" t="n">
        <f aca="false">Assumptions!$E$26</f>
        <v>7</v>
      </c>
      <c r="G6" s="17" t="n">
        <f aca="false">Assumptions!$E$26</f>
        <v>7</v>
      </c>
      <c r="H6" s="17" t="n">
        <f aca="false">Assumptions!$E$26</f>
        <v>7</v>
      </c>
      <c r="I6" s="17" t="n">
        <f aca="false">Assumptions!$E$26</f>
        <v>7</v>
      </c>
    </row>
    <row r="7" customFormat="false" ht="15" hidden="false" customHeight="false" outlineLevel="0" collapsed="false">
      <c r="B7" s="0" t="s">
        <v>133</v>
      </c>
      <c r="C7" s="17" t="n">
        <f aca="false">C6-C5</f>
        <v>6.96207719742292</v>
      </c>
      <c r="D7" s="17" t="n">
        <f aca="false">D6-D5</f>
        <v>6.95143075991591</v>
      </c>
      <c r="E7" s="17" t="n">
        <f aca="false">E6-E5</f>
        <v>6.94239682703947</v>
      </c>
      <c r="F7" s="17" t="n">
        <f aca="false">F6-F5</f>
        <v>6.93357589719347</v>
      </c>
      <c r="G7" s="17" t="n">
        <f aca="false">G6-G5</f>
        <v>6.9248781823935</v>
      </c>
      <c r="H7" s="17" t="n">
        <f aca="false">H6-H5</f>
        <v>6.91628579616241</v>
      </c>
      <c r="I7" s="17" t="n">
        <f aca="false">I6-I5</f>
        <v>6.90778583659628</v>
      </c>
    </row>
    <row r="8" customFormat="false" ht="15" hidden="false" customHeight="false" outlineLevel="0" collapsed="false">
      <c r="B8" s="0" t="s">
        <v>134</v>
      </c>
      <c r="C8" s="17" t="n">
        <f aca="false">IFERROR('Operating Model'!D8/'Debt Schedule'!D7,0)</f>
        <v>2.15148514851485</v>
      </c>
      <c r="D8" s="17" t="n">
        <f aca="false">IFERROR('Operating Model'!E8/'Debt Schedule'!E7,0)</f>
        <v>2.41753939399761</v>
      </c>
      <c r="E8" s="17" t="n">
        <f aca="false">IFERROR('Operating Model'!F8/'Debt Schedule'!F7,0)</f>
        <v>2.76063340411951</v>
      </c>
      <c r="F8" s="17" t="n">
        <f aca="false">IFERROR('Operating Model'!G8/'Debt Schedule'!G7,0)</f>
        <v>3.21375008266981</v>
      </c>
      <c r="G8" s="17" t="n">
        <f aca="false">IFERROR('Operating Model'!H8/'Debt Schedule'!H7,0)</f>
        <v>3.84021695528574</v>
      </c>
      <c r="H8" s="17" t="n">
        <f aca="false">IFERROR('Operating Model'!I8/'Debt Schedule'!I7,0)</f>
        <v>4.7641650791658</v>
      </c>
      <c r="I8" s="17" t="n">
        <f aca="false">IFERROR('Operating Model'!J8/'Debt Schedule'!J7,0)</f>
        <v>6.26533957053057</v>
      </c>
    </row>
    <row r="9" customFormat="false" ht="15" hidden="false" customHeight="false" outlineLevel="0" collapsed="false">
      <c r="B9" s="0" t="s">
        <v>135</v>
      </c>
      <c r="C9" s="17" t="n">
        <f aca="false">Assumptions!$E$27</f>
        <v>1.75</v>
      </c>
      <c r="D9" s="17" t="n">
        <f aca="false">Assumptions!$E$27</f>
        <v>1.75</v>
      </c>
      <c r="E9" s="17" t="n">
        <f aca="false">Assumptions!$E$27</f>
        <v>1.75</v>
      </c>
      <c r="F9" s="17" t="n">
        <f aca="false">Assumptions!$E$27</f>
        <v>1.75</v>
      </c>
      <c r="G9" s="17" t="n">
        <f aca="false">Assumptions!$E$27</f>
        <v>1.75</v>
      </c>
      <c r="H9" s="17" t="n">
        <f aca="false">Assumptions!$E$27</f>
        <v>1.75</v>
      </c>
      <c r="I9" s="17" t="n">
        <f aca="false">Assumptions!$E$27</f>
        <v>1.75</v>
      </c>
    </row>
    <row r="10" customFormat="false" ht="15" hidden="false" customHeight="false" outlineLevel="0" collapsed="false">
      <c r="B10" s="0" t="s">
        <v>136</v>
      </c>
      <c r="C10" s="17" t="n">
        <f aca="false">C8-C9</f>
        <v>0.401485148514852</v>
      </c>
      <c r="D10" s="17" t="n">
        <f aca="false">D8-D9</f>
        <v>0.667539393997608</v>
      </c>
      <c r="E10" s="17" t="n">
        <f aca="false">E8-E9</f>
        <v>1.01063340411951</v>
      </c>
      <c r="F10" s="17" t="n">
        <f aca="false">F8-F9</f>
        <v>1.46375008266981</v>
      </c>
      <c r="G10" s="17" t="n">
        <f aca="false">G8-G9</f>
        <v>2.09021695528574</v>
      </c>
      <c r="H10" s="17" t="n">
        <f aca="false">H8-H9</f>
        <v>3.0141650791658</v>
      </c>
      <c r="I10" s="17" t="n">
        <f aca="false">I8-I9</f>
        <v>4.51533957053057</v>
      </c>
    </row>
    <row r="11" customFormat="false" ht="15" hidden="false" customHeight="false" outlineLevel="0" collapsed="false">
      <c r="B11" s="0" t="s">
        <v>42</v>
      </c>
      <c r="C11" s="10" t="n">
        <f aca="false">Assumptions!$E$16</f>
        <v>20</v>
      </c>
      <c r="D11" s="10" t="n">
        <f aca="false">Assumptions!$E$16</f>
        <v>20</v>
      </c>
      <c r="E11" s="10" t="n">
        <f aca="false">Assumptions!$E$16</f>
        <v>20</v>
      </c>
      <c r="F11" s="10" t="n">
        <f aca="false">Assumptions!$E$16</f>
        <v>20</v>
      </c>
      <c r="G11" s="10" t="n">
        <f aca="false">Assumptions!$E$16</f>
        <v>20</v>
      </c>
      <c r="H11" s="10" t="n">
        <f aca="false">Assumptions!$E$16</f>
        <v>20</v>
      </c>
      <c r="I11" s="10" t="n">
        <f aca="false">Assumptions!$E$16</f>
        <v>20</v>
      </c>
    </row>
    <row r="12" customFormat="false" ht="15" hidden="false" customHeight="false" outlineLevel="0" collapsed="false">
      <c r="B12" s="0" t="s">
        <v>137</v>
      </c>
      <c r="C12" s="10" t="n">
        <f aca="false">'Debt Schedule'!D13-C11</f>
        <v>1.648125</v>
      </c>
      <c r="D12" s="10" t="n">
        <f aca="false">'Debt Schedule'!E13-D11</f>
        <v>2.29204072265625</v>
      </c>
      <c r="E12" s="10" t="n">
        <f aca="false">'Debt Schedule'!F13-E11</f>
        <v>2.95007092781067</v>
      </c>
      <c r="F12" s="10" t="n">
        <f aca="false">'Debt Schedule'!G13-F11</f>
        <v>3.68979157280425</v>
      </c>
      <c r="G12" s="10" t="n">
        <f aca="false">'Debt Schedule'!H13-G11</f>
        <v>4.52384719905684</v>
      </c>
      <c r="H12" s="10" t="n">
        <f aca="false">'Debt Schedule'!I13-H11</f>
        <v>5.46250911310188</v>
      </c>
      <c r="I12" s="10" t="n">
        <f aca="false">'Debt Schedule'!J13-I11</f>
        <v>6.51683230086587</v>
      </c>
    </row>
    <row r="13" customFormat="false" ht="15" hidden="false" customHeight="false" outlineLevel="0" collapsed="false">
      <c r="B13" s="0" t="s">
        <v>138</v>
      </c>
      <c r="C13" s="0" t="str">
        <f aca="false">IF(AND(C7&gt;=0,C10&gt;=0,C12&gt;=0),"PASS","BREACH")</f>
        <v>PASS</v>
      </c>
      <c r="D13" s="0" t="str">
        <f aca="false">IF(AND(D7&gt;=0,D10&gt;=0,D12&gt;=0),"PASS","BREACH")</f>
        <v>PASS</v>
      </c>
      <c r="E13" s="0" t="str">
        <f aca="false">IF(AND(E7&gt;=0,E10&gt;=0,E12&gt;=0),"PASS","BREACH")</f>
        <v>PASS</v>
      </c>
      <c r="F13" s="0" t="str">
        <f aca="false">IF(AND(F7&gt;=0,F10&gt;=0,F12&gt;=0),"PASS","BREACH")</f>
        <v>PASS</v>
      </c>
      <c r="G13" s="0" t="str">
        <f aca="false">IF(AND(G7&gt;=0,G10&gt;=0,G12&gt;=0),"PASS","BREACH")</f>
        <v>PASS</v>
      </c>
      <c r="H13" s="0" t="str">
        <f aca="false">IF(AND(H7&gt;=0,H10&gt;=0,H12&gt;=0),"PASS","BREACH")</f>
        <v>PASS</v>
      </c>
      <c r="I13" s="0" t="str">
        <f aca="false">IF(AND(I7&gt;=0,I10&gt;=0,I12&gt;=0),"PASS","BREACH")</f>
        <v>PASS</v>
      </c>
    </row>
  </sheetData>
  <mergeCells count="1">
    <mergeCell ref="B2:I2"/>
  </mergeCells>
  <conditionalFormatting sqref="C13:I13">
    <cfRule type="expression" priority="2" aboveAverage="0" equalAverage="0" bottom="0" percent="0" rank="0" text="" dxfId="0">
      <formula>C13="PASS"</formula>
    </cfRule>
    <cfRule type="expression" priority="3" aboveAverage="0" equalAverage="0" bottom="0" percent="0" rank="0" text="" dxfId="1">
      <formula>C13="FAIL"</formula>
    </cfRule>
    <cfRule type="expression" priority="4" aboveAverage="0" equalAverage="0" bottom="0" percent="0" rank="0" text="" dxfId="2">
      <formula>C13="REVIEW"</formula>
    </cfRule>
    <cfRule type="expression" priority="5" aboveAverage="0" equalAverage="0" bottom="0" percent="0" rank="0" text="" dxfId="1">
      <formula>C13="BREACH"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42"/>
  </cols>
  <sheetData>
    <row r="2" customFormat="false" ht="27.75" hidden="false" customHeight="true" outlineLevel="0" collapsed="false">
      <c r="B2" s="1" t="s">
        <v>139</v>
      </c>
      <c r="C2" s="1"/>
      <c r="D2" s="1"/>
      <c r="E2" s="1"/>
    </row>
    <row r="4" customFormat="false" ht="15" hidden="false" customHeight="false" outlineLevel="0" collapsed="false">
      <c r="B4" s="8" t="s">
        <v>130</v>
      </c>
      <c r="C4" s="8" t="s">
        <v>140</v>
      </c>
      <c r="D4" s="8" t="s">
        <v>141</v>
      </c>
      <c r="E4" s="8" t="s">
        <v>142</v>
      </c>
    </row>
    <row r="5" customFormat="false" ht="15" hidden="false" customHeight="false" outlineLevel="0" collapsed="false">
      <c r="B5" s="0" t="s">
        <v>143</v>
      </c>
      <c r="C5" s="13" t="n">
        <f aca="false">Assumptions!E30</f>
        <v>0.1</v>
      </c>
      <c r="D5" s="11" t="s">
        <v>30</v>
      </c>
      <c r="E5" s="11" t="s">
        <v>144</v>
      </c>
    </row>
    <row r="6" customFormat="false" ht="15" hidden="false" customHeight="false" outlineLevel="0" collapsed="false">
      <c r="B6" s="0" t="s">
        <v>145</v>
      </c>
      <c r="C6" s="13" t="n">
        <f aca="false">1-C5</f>
        <v>0.9</v>
      </c>
      <c r="D6" s="11" t="s">
        <v>30</v>
      </c>
      <c r="E6" s="11" t="s">
        <v>146</v>
      </c>
    </row>
    <row r="7" customFormat="false" ht="15" hidden="false" customHeight="false" outlineLevel="0" collapsed="false">
      <c r="B7" s="0" t="s">
        <v>147</v>
      </c>
      <c r="C7" s="10" t="n">
        <f aca="false">'Sources &amp; Uses'!F8</f>
        <v>684</v>
      </c>
      <c r="D7" s="11" t="s">
        <v>28</v>
      </c>
      <c r="E7" s="11" t="s">
        <v>148</v>
      </c>
    </row>
    <row r="8" customFormat="false" ht="15" hidden="false" customHeight="false" outlineLevel="0" collapsed="false">
      <c r="B8" s="0" t="s">
        <v>149</v>
      </c>
      <c r="C8" s="10" t="n">
        <f aca="false">C7*(1+Assumptions!E31)^Assumptions!E29</f>
        <v>1005.0204045312</v>
      </c>
      <c r="D8" s="11" t="s">
        <v>28</v>
      </c>
      <c r="E8" s="11" t="s">
        <v>150</v>
      </c>
    </row>
    <row r="9" customFormat="false" ht="15" hidden="false" customHeight="false" outlineLevel="0" collapsed="false">
      <c r="B9" s="0" t="s">
        <v>151</v>
      </c>
      <c r="C9" s="13" t="n">
        <f aca="false">Assumptions!E32</f>
        <v>0.2</v>
      </c>
      <c r="D9" s="11" t="s">
        <v>64</v>
      </c>
      <c r="E9" s="11" t="s">
        <v>152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10" min="3" style="0" width="13"/>
  </cols>
  <sheetData>
    <row r="2" customFormat="false" ht="27.75" hidden="false" customHeight="true" outlineLevel="0" collapsed="false">
      <c r="B2" s="1" t="s">
        <v>153</v>
      </c>
      <c r="C2" s="1"/>
      <c r="D2" s="1"/>
      <c r="E2" s="1"/>
      <c r="F2" s="1"/>
      <c r="G2" s="1"/>
      <c r="H2" s="1"/>
      <c r="I2" s="1"/>
      <c r="J2" s="1"/>
    </row>
    <row r="4" customFormat="false" ht="15" hidden="false" customHeight="false" outlineLevel="0" collapsed="false">
      <c r="B4" s="8" t="s">
        <v>130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88</v>
      </c>
      <c r="I4" s="8" t="s">
        <v>89</v>
      </c>
      <c r="J4" s="8" t="s">
        <v>154</v>
      </c>
    </row>
    <row r="5" customFormat="false" ht="15" hidden="false" customHeight="false" outlineLevel="0" collapsed="false">
      <c r="B5" s="0" t="s">
        <v>155</v>
      </c>
      <c r="C5" s="10" t="n">
        <f aca="false">'Operating Model'!D8</f>
        <v>130.38</v>
      </c>
      <c r="D5" s="10" t="n">
        <f aca="false">'Operating Model'!E8</f>
        <v>141.5736</v>
      </c>
      <c r="E5" s="10" t="n">
        <f aca="false">'Operating Model'!F8</f>
        <v>153.641064</v>
      </c>
      <c r="F5" s="10" t="n">
        <f aca="false">'Operating Model'!G8</f>
        <v>166.64695872</v>
      </c>
      <c r="G5" s="10" t="n">
        <f aca="false">'Operating Model'!H8</f>
        <v>180.660452976</v>
      </c>
      <c r="H5" s="10" t="n">
        <f aca="false">'Operating Model'!I8</f>
        <v>195.755637491328</v>
      </c>
      <c r="I5" s="10" t="n">
        <f aca="false">'Operating Model'!J8</f>
        <v>212.011866517782</v>
      </c>
      <c r="J5" s="10" t="n">
        <f aca="false">INDEX(C5:I5,1,Assumptions!E29)</f>
        <v>180.660452976</v>
      </c>
    </row>
    <row r="6" customFormat="false" ht="15" hidden="false" customHeight="false" outlineLevel="0" collapsed="false">
      <c r="B6" s="0" t="s">
        <v>156</v>
      </c>
      <c r="C6" s="17" t="n">
        <f aca="false">Assumptions!$E$28</f>
        <v>10</v>
      </c>
      <c r="D6" s="17" t="n">
        <f aca="false">Assumptions!$E$28</f>
        <v>10</v>
      </c>
      <c r="E6" s="17" t="n">
        <f aca="false">Assumptions!$E$28</f>
        <v>10</v>
      </c>
      <c r="F6" s="17" t="n">
        <f aca="false">Assumptions!$E$28</f>
        <v>10</v>
      </c>
      <c r="G6" s="17" t="n">
        <f aca="false">Assumptions!$E$28</f>
        <v>10</v>
      </c>
      <c r="H6" s="17" t="n">
        <f aca="false">Assumptions!$E$28</f>
        <v>10</v>
      </c>
      <c r="I6" s="17" t="n">
        <f aca="false">Assumptions!$E$28</f>
        <v>10</v>
      </c>
      <c r="J6" s="17" t="n">
        <f aca="false">INDEX(C6:I6,1,Assumptions!E29)</f>
        <v>10</v>
      </c>
    </row>
    <row r="7" customFormat="false" ht="15" hidden="false" customHeight="false" outlineLevel="0" collapsed="false">
      <c r="B7" s="0" t="s">
        <v>157</v>
      </c>
      <c r="C7" s="10" t="n">
        <f aca="false">C5*C6</f>
        <v>1303.8</v>
      </c>
      <c r="D7" s="10" t="n">
        <f aca="false">D5*D6</f>
        <v>1415.736</v>
      </c>
      <c r="E7" s="10" t="n">
        <f aca="false">E5*E6</f>
        <v>1536.41064</v>
      </c>
      <c r="F7" s="10" t="n">
        <f aca="false">F5*F6</f>
        <v>1666.4695872</v>
      </c>
      <c r="G7" s="10" t="n">
        <f aca="false">G5*G6</f>
        <v>1806.60452976</v>
      </c>
      <c r="H7" s="10" t="n">
        <f aca="false">H5*H6</f>
        <v>1957.55637491328</v>
      </c>
      <c r="I7" s="10" t="n">
        <f aca="false">I5*I6</f>
        <v>2120.11866517782</v>
      </c>
      <c r="J7" s="10" t="n">
        <f aca="false">INDEX(C7:I7,1,Assumptions!E29)</f>
        <v>1806.60452976</v>
      </c>
    </row>
    <row r="8" customFormat="false" ht="15" hidden="false" customHeight="false" outlineLevel="0" collapsed="false">
      <c r="B8" s="0" t="s">
        <v>128</v>
      </c>
      <c r="C8" s="10" t="n">
        <f aca="false">'Debt Schedule'!D28</f>
        <v>614.23</v>
      </c>
      <c r="D8" s="10" t="n">
        <f aca="false">'Debt Schedule'!E28</f>
        <v>579.8191421875</v>
      </c>
      <c r="E8" s="10" t="n">
        <f aca="false">'Debt Schedule'!F28</f>
        <v>535.479843212647</v>
      </c>
      <c r="F8" s="10" t="n">
        <f aca="false">'Debt Schedule'!G28</f>
        <v>479.858631593971</v>
      </c>
      <c r="G8" s="10" t="n">
        <f aca="false">'Debt Schedule'!H28</f>
        <v>411.458130837247</v>
      </c>
      <c r="H8" s="10" t="n">
        <f aca="false">'Debt Schedule'!I28</f>
        <v>328.618686719801</v>
      </c>
      <c r="I8" s="10" t="n">
        <f aca="false">'Debt Schedule'!J28</f>
        <v>229.502213326791</v>
      </c>
      <c r="J8" s="10" t="n">
        <f aca="false">INDEX(C8:I8,1,Assumptions!E29)</f>
        <v>411.458130837247</v>
      </c>
    </row>
    <row r="9" customFormat="false" ht="15" hidden="false" customHeight="false" outlineLevel="0" collapsed="false">
      <c r="B9" s="0" t="s">
        <v>158</v>
      </c>
      <c r="C9" s="10" t="n">
        <f aca="false">MAX(0,C7-C8)</f>
        <v>689.57</v>
      </c>
      <c r="D9" s="10" t="n">
        <f aca="false">MAX(0,D7-D8)</f>
        <v>835.9168578125</v>
      </c>
      <c r="E9" s="10" t="n">
        <f aca="false">MAX(0,E7-E8)</f>
        <v>1000.93079678735</v>
      </c>
      <c r="F9" s="10" t="n">
        <f aca="false">MAX(0,F7-F8)</f>
        <v>1186.61095560603</v>
      </c>
      <c r="G9" s="10" t="n">
        <f aca="false">MAX(0,G7-G8)</f>
        <v>1395.14639892275</v>
      </c>
      <c r="H9" s="10" t="n">
        <f aca="false">MAX(0,H7-H8)</f>
        <v>1628.93768819348</v>
      </c>
      <c r="I9" s="10" t="n">
        <f aca="false">MAX(0,I7-I8)</f>
        <v>1890.61645185103</v>
      </c>
      <c r="J9" s="10" t="n">
        <f aca="false">INDEX(C9:I9,1,Assumptions!E29)</f>
        <v>1395.14639892275</v>
      </c>
    </row>
    <row r="10" customFormat="false" ht="15" hidden="false" customHeight="false" outlineLevel="0" collapsed="false">
      <c r="B10" s="0" t="s">
        <v>62</v>
      </c>
      <c r="C10" s="10" t="n">
        <f aca="false">'Management Equity'!$C$7*(1+Assumptions!$E$31)^1</f>
        <v>738.72</v>
      </c>
      <c r="D10" s="10" t="n">
        <f aca="false">'Management Equity'!$C$7*(1+Assumptions!$E$31)^2</f>
        <v>797.8176</v>
      </c>
      <c r="E10" s="10" t="n">
        <f aca="false">'Management Equity'!$C$7*(1+Assumptions!$E$31)^3</f>
        <v>861.643008</v>
      </c>
      <c r="F10" s="10" t="n">
        <f aca="false">'Management Equity'!$C$7*(1+Assumptions!$E$31)^4</f>
        <v>930.57444864</v>
      </c>
      <c r="G10" s="10" t="n">
        <f aca="false">'Management Equity'!$C$7*(1+Assumptions!$E$31)^5</f>
        <v>1005.0204045312</v>
      </c>
      <c r="H10" s="10" t="n">
        <f aca="false">'Management Equity'!$C$7*(1+Assumptions!$E$31)^6</f>
        <v>1085.4220368937</v>
      </c>
      <c r="I10" s="10" t="n">
        <f aca="false">'Management Equity'!$C$7*(1+Assumptions!$E$31)^7</f>
        <v>1172.25579984519</v>
      </c>
      <c r="J10" s="10" t="n">
        <f aca="false">INDEX(C10:I10,1,Assumptions!E29)</f>
        <v>1005.0204045312</v>
      </c>
    </row>
    <row r="11" customFormat="false" ht="15" hidden="false" customHeight="false" outlineLevel="0" collapsed="false">
      <c r="B11" s="0" t="s">
        <v>159</v>
      </c>
      <c r="C11" s="10" t="n">
        <f aca="false">MAX(0,C9-C10)</f>
        <v>0</v>
      </c>
      <c r="D11" s="10" t="n">
        <f aca="false">MAX(0,D9-D10)</f>
        <v>38.0992578125002</v>
      </c>
      <c r="E11" s="10" t="n">
        <f aca="false">MAX(0,E9-E10)</f>
        <v>139.287788787354</v>
      </c>
      <c r="F11" s="10" t="n">
        <f aca="false">MAX(0,F9-F10)</f>
        <v>256.036506966029</v>
      </c>
      <c r="G11" s="10" t="n">
        <f aca="false">MAX(0,G9-G10)</f>
        <v>390.125994391554</v>
      </c>
      <c r="H11" s="10" t="n">
        <f aca="false">MAX(0,H9-H10)</f>
        <v>543.515651299784</v>
      </c>
      <c r="I11" s="10" t="n">
        <f aca="false">MAX(0,I9-I10)</f>
        <v>718.360652005836</v>
      </c>
      <c r="J11" s="10" t="n">
        <f aca="false">INDEX(C11:I11,1,Assumptions!E29)</f>
        <v>390.125994391554</v>
      </c>
    </row>
    <row r="12" customFormat="false" ht="15" hidden="false" customHeight="false" outlineLevel="0" collapsed="false">
      <c r="B12" s="0" t="s">
        <v>160</v>
      </c>
      <c r="C12" s="10" t="n">
        <f aca="false">MIN(C9,C9*Assumptions!$E$30+C11*Assumptions!$E$32)</f>
        <v>68.957</v>
      </c>
      <c r="D12" s="10" t="n">
        <f aca="false">MIN(D9,D9*Assumptions!$E$30+D11*Assumptions!$E$32)</f>
        <v>91.2115373437501</v>
      </c>
      <c r="E12" s="10" t="n">
        <f aca="false">MIN(E9,E9*Assumptions!$E$30+E11*Assumptions!$E$32)</f>
        <v>127.950637436206</v>
      </c>
      <c r="F12" s="10" t="n">
        <f aca="false">MIN(F9,F9*Assumptions!$E$30+F11*Assumptions!$E$32)</f>
        <v>169.868396953809</v>
      </c>
      <c r="G12" s="10" t="n">
        <f aca="false">MIN(G9,G9*Assumptions!$E$30+G11*Assumptions!$E$32)</f>
        <v>217.539838770586</v>
      </c>
      <c r="H12" s="10" t="n">
        <f aca="false">MIN(H9,H9*Assumptions!$E$30+H11*Assumptions!$E$32)</f>
        <v>271.596899079305</v>
      </c>
      <c r="I12" s="10" t="n">
        <f aca="false">MIN(I9,I9*Assumptions!$E$30+I11*Assumptions!$E$32)</f>
        <v>332.73377558627</v>
      </c>
      <c r="J12" s="10" t="n">
        <f aca="false">INDEX(C12:I12,1,Assumptions!E29)</f>
        <v>217.539838770586</v>
      </c>
    </row>
    <row r="13" customFormat="false" ht="15" hidden="false" customHeight="false" outlineLevel="0" collapsed="false">
      <c r="B13" s="0" t="s">
        <v>161</v>
      </c>
      <c r="C13" s="10" t="n">
        <f aca="false">MAX(0,C9-C12)</f>
        <v>620.613</v>
      </c>
      <c r="D13" s="10" t="n">
        <f aca="false">MAX(0,D9-D12)</f>
        <v>744.70532046875</v>
      </c>
      <c r="E13" s="10" t="n">
        <f aca="false">MAX(0,E9-E12)</f>
        <v>872.980159351148</v>
      </c>
      <c r="F13" s="10" t="n">
        <f aca="false">MAX(0,F9-F12)</f>
        <v>1016.74255865222</v>
      </c>
      <c r="G13" s="10" t="n">
        <f aca="false">MAX(0,G9-G12)</f>
        <v>1177.60656015217</v>
      </c>
      <c r="H13" s="10" t="n">
        <f aca="false">MAX(0,H9-H12)</f>
        <v>1357.34078911418</v>
      </c>
      <c r="I13" s="10" t="n">
        <f aca="false">MAX(0,I9-I12)</f>
        <v>1557.88267626476</v>
      </c>
      <c r="J13" s="10" t="n">
        <f aca="false">INDEX(C13:I13,1,Assumptions!E29)</f>
        <v>1177.60656015217</v>
      </c>
    </row>
    <row r="14" customFormat="false" ht="15" hidden="false" customHeight="false" outlineLevel="0" collapsed="false">
      <c r="B14" s="0" t="s">
        <v>162</v>
      </c>
      <c r="C14" s="17" t="n">
        <f aca="false">IFERROR(C13/'Sources &amp; Uses'!$F$8,0)</f>
        <v>0.907328947368422</v>
      </c>
      <c r="D14" s="17" t="n">
        <f aca="false">IFERROR(D13/'Sources &amp; Uses'!$F$8,0)</f>
        <v>1.08875046852156</v>
      </c>
      <c r="E14" s="17" t="n">
        <f aca="false">IFERROR(E13/'Sources &amp; Uses'!$F$8,0)</f>
        <v>1.27628678267712</v>
      </c>
      <c r="F14" s="17" t="n">
        <f aca="false">IFERROR(F13/'Sources &amp; Uses'!$F$8,0)</f>
        <v>1.48646572902371</v>
      </c>
      <c r="G14" s="17" t="n">
        <f aca="false">IFERROR(G13/'Sources &amp; Uses'!$F$8,0)</f>
        <v>1.72164701776633</v>
      </c>
      <c r="H14" s="17" t="n">
        <f aca="false">IFERROR(H13/'Sources &amp; Uses'!$F$8,0)</f>
        <v>1.98441635835406</v>
      </c>
      <c r="I14" s="17" t="n">
        <f aca="false">IFERROR(I13/'Sources &amp; Uses'!$F$8,0)</f>
        <v>2.27760625184906</v>
      </c>
      <c r="J14" s="17" t="n">
        <f aca="false">INDEX(C14:I14,1,Assumptions!E29)</f>
        <v>1.72164701776633</v>
      </c>
    </row>
    <row r="15" customFormat="false" ht="15" hidden="false" customHeight="false" outlineLevel="0" collapsed="false">
      <c r="B15" s="0" t="s">
        <v>163</v>
      </c>
      <c r="C15" s="15" t="n">
        <f aca="false">IFERROR((C13/'Sources &amp; Uses'!$F$8)^(1/1)-1,0)</f>
        <v>-0.0926710526315785</v>
      </c>
      <c r="D15" s="15" t="n">
        <f aca="false">IFERROR((D13/'Sources &amp; Uses'!$F$8)^(1/2)-1,0)</f>
        <v>0.0434320622453408</v>
      </c>
      <c r="E15" s="15" t="n">
        <f aca="false">IFERROR((E13/'Sources &amp; Uses'!$F$8)^(1/3)-1,0)</f>
        <v>0.0847161107319903</v>
      </c>
      <c r="F15" s="15" t="n">
        <f aca="false">IFERROR((F13/'Sources &amp; Uses'!$F$8)^(1/4)-1,0)</f>
        <v>0.104177072879936</v>
      </c>
      <c r="G15" s="15" t="n">
        <f aca="false">IFERROR((G13/'Sources &amp; Uses'!$F$8)^(1/5)-1,0)</f>
        <v>0.114779112854649</v>
      </c>
      <c r="H15" s="15" t="n">
        <f aca="false">IFERROR((H13/'Sources &amp; Uses'!$F$8)^(1/6)-1,0)</f>
        <v>0.120999622661521</v>
      </c>
      <c r="I15" s="15" t="n">
        <f aca="false">IFERROR((I13/'Sources &amp; Uses'!$F$8)^(1/7)-1,0)</f>
        <v>0.12478205273581</v>
      </c>
      <c r="J15" s="15" t="n">
        <f aca="false">INDEX(C15:I15,1,Assumptions!E29)</f>
        <v>0.114779112854649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7" min="3" style="0" width="14"/>
  </cols>
  <sheetData>
    <row r="2" customFormat="false" ht="27.75" hidden="false" customHeight="true" outlineLevel="0" collapsed="false">
      <c r="B2" s="1" t="s">
        <v>164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8" t="s">
        <v>165</v>
      </c>
      <c r="C4" s="22" t="n">
        <v>7</v>
      </c>
      <c r="D4" s="22" t="n">
        <v>8</v>
      </c>
      <c r="E4" s="22" t="n">
        <v>9</v>
      </c>
      <c r="F4" s="22" t="n">
        <v>10</v>
      </c>
      <c r="G4" s="22" t="n">
        <v>11</v>
      </c>
    </row>
    <row r="5" customFormat="false" ht="15" hidden="false" customHeight="false" outlineLevel="0" collapsed="false">
      <c r="B5" s="17" t="n">
        <v>8</v>
      </c>
      <c r="C5" s="13" t="n">
        <f aca="false">IFERROR(((('Operating Model'!H8*C$4-'Debt Schedule'!G28)*(1-Assumptions!$E$30))/MAX(0.01,('Operating Model'!C8*$B5+Assumptions!$E$15+'Sources &amp; Uses'!C7+Assumptions!$E$16-'Sources &amp; Uses'!F6-'Sources &amp; Uses'!F7)))^(1/5)-1,0)</f>
        <v>0.0972858580031475</v>
      </c>
      <c r="D5" s="13" t="n">
        <f aca="false">IFERROR(((('Operating Model'!H8*D$4-'Debt Schedule'!G28)*(1-Assumptions!$E$30))/MAX(0.01,('Operating Model'!C8*$B5+Assumptions!$E$15+'Sources &amp; Uses'!C7+Assumptions!$E$16-'Sources &amp; Uses'!F6-'Sources &amp; Uses'!F7)))^(1/5)-1,0)</f>
        <v>0.143709201952766</v>
      </c>
      <c r="E5" s="13" t="n">
        <f aca="false">IFERROR(((('Operating Model'!H8*E$4-'Debt Schedule'!G28)*(1-Assumptions!$E$30))/MAX(0.01,('Operating Model'!C8*$B5+Assumptions!$E$15+'Sources &amp; Uses'!C7+Assumptions!$E$16-'Sources &amp; Uses'!F6-'Sources &amp; Uses'!F7)))^(1/5)-1,0)</f>
        <v>0.183628209829697</v>
      </c>
      <c r="F5" s="13" t="n">
        <f aca="false">IFERROR(((('Operating Model'!H8*F$4-'Debt Schedule'!G28)*(1-Assumptions!$E$30))/MAX(0.01,('Operating Model'!C8*$B5+Assumptions!$E$15+'Sources &amp; Uses'!C7+Assumptions!$E$16-'Sources &amp; Uses'!F6-'Sources &amp; Uses'!F7)))^(1/5)-1,0)</f>
        <v>0.218791617445564</v>
      </c>
      <c r="G5" s="13" t="n">
        <f aca="false">IFERROR(((('Operating Model'!H8*G$4-'Debt Schedule'!G28)*(1-Assumptions!$E$30))/MAX(0.01,('Operating Model'!C8*$B5+Assumptions!$E$15+'Sources &amp; Uses'!C7+Assumptions!$E$16-'Sources &amp; Uses'!F6-'Sources &amp; Uses'!F7)))^(1/5)-1,0)</f>
        <v>0.25031078113967</v>
      </c>
    </row>
    <row r="6" customFormat="false" ht="15" hidden="false" customHeight="false" outlineLevel="0" collapsed="false">
      <c r="B6" s="17" t="n">
        <v>9</v>
      </c>
      <c r="C6" s="13" t="n">
        <f aca="false">IFERROR(((('Operating Model'!H8*C$4-'Debt Schedule'!G28)*(1-Assumptions!$E$30))/MAX(0.01,('Operating Model'!C8*$B6+Assumptions!$E$15+'Sources &amp; Uses'!C7+Assumptions!$E$16-'Sources &amp; Uses'!F6-'Sources &amp; Uses'!F7)))^(1/5)-1,0)</f>
        <v>0.0460213652710335</v>
      </c>
      <c r="D6" s="13" t="n">
        <f aca="false">IFERROR(((('Operating Model'!H8*D$4-'Debt Schedule'!G28)*(1-Assumptions!$E$30))/MAX(0.01,('Operating Model'!C8*$B6+Assumptions!$E$15+'Sources &amp; Uses'!C7+Assumptions!$E$16-'Sources &amp; Uses'!F6-'Sources &amp; Uses'!F7)))^(1/5)-1,0)</f>
        <v>0.0902758403145711</v>
      </c>
      <c r="E6" s="13" t="n">
        <f aca="false">IFERROR(((('Operating Model'!H8*E$4-'Debt Schedule'!G28)*(1-Assumptions!$E$30))/MAX(0.01,('Operating Model'!C8*$B6+Assumptions!$E$15+'Sources &amp; Uses'!C7+Assumptions!$E$16-'Sources &amp; Uses'!F6-'Sources &amp; Uses'!F7)))^(1/5)-1,0)</f>
        <v>0.128329857702238</v>
      </c>
      <c r="F6" s="13" t="n">
        <f aca="false">IFERROR(((('Operating Model'!H8*F$4-'Debt Schedule'!G28)*(1-Assumptions!$E$30))/MAX(0.01,('Operating Model'!C8*$B6+Assumptions!$E$15+'Sources &amp; Uses'!C7+Assumptions!$E$16-'Sources &amp; Uses'!F6-'Sources &amp; Uses'!F7)))^(1/5)-1,0)</f>
        <v>0.161850453428192</v>
      </c>
      <c r="G6" s="13" t="n">
        <f aca="false">IFERROR(((('Operating Model'!H8*G$4-'Debt Schedule'!G28)*(1-Assumptions!$E$30))/MAX(0.01,('Operating Model'!C8*$B6+Assumptions!$E$15+'Sources &amp; Uses'!C7+Assumptions!$E$16-'Sources &amp; Uses'!F6-'Sources &amp; Uses'!F7)))^(1/5)-1,0)</f>
        <v>0.191897061975129</v>
      </c>
    </row>
    <row r="7" customFormat="false" ht="15" hidden="false" customHeight="false" outlineLevel="0" collapsed="false">
      <c r="B7" s="17" t="n">
        <v>10</v>
      </c>
      <c r="C7" s="13" t="n">
        <f aca="false">IFERROR(((('Operating Model'!H8*C$4-'Debt Schedule'!G28)*(1-Assumptions!$E$30))/MAX(0.01,('Operating Model'!C8*$B7+Assumptions!$E$15+'Sources &amp; Uses'!C7+Assumptions!$E$16-'Sources &amp; Uses'!F6-'Sources &amp; Uses'!F7)))^(1/5)-1,0)</f>
        <v>0.00643366558356728</v>
      </c>
      <c r="D7" s="13" t="n">
        <f aca="false">IFERROR(((('Operating Model'!H8*D$4-'Debt Schedule'!G28)*(1-Assumptions!$E$30))/MAX(0.01,('Operating Model'!C8*$B7+Assumptions!$E$15+'Sources &amp; Uses'!C7+Assumptions!$E$16-'Sources &amp; Uses'!F6-'Sources &amp; Uses'!F7)))^(1/5)-1,0)</f>
        <v>0.0490132868181712</v>
      </c>
      <c r="E7" s="13" t="n">
        <f aca="false">IFERROR(((('Operating Model'!H8*E$4-'Debt Schedule'!G28)*(1-Assumptions!$E$30))/MAX(0.01,('Operating Model'!C8*$B7+Assumptions!$E$15+'Sources &amp; Uses'!C7+Assumptions!$E$16-'Sources &amp; Uses'!F6-'Sources &amp; Uses'!F7)))^(1/5)-1,0)</f>
        <v>0.0856271127697343</v>
      </c>
      <c r="F7" s="13" t="n">
        <f aca="false">IFERROR(((('Operating Model'!H8*F$4-'Debt Schedule'!G28)*(1-Assumptions!$E$30))/MAX(0.01,('Operating Model'!C8*$B7+Assumptions!$E$15+'Sources &amp; Uses'!C7+Assumptions!$E$16-'Sources &amp; Uses'!F6-'Sources &amp; Uses'!F7)))^(1/5)-1,0)</f>
        <v>0.117879088827868</v>
      </c>
      <c r="G7" s="13" t="n">
        <f aca="false">IFERROR(((('Operating Model'!H8*G$4-'Debt Schedule'!G28)*(1-Assumptions!$E$30))/MAX(0.01,('Operating Model'!C8*$B7+Assumptions!$E$15+'Sources &amp; Uses'!C7+Assumptions!$E$16-'Sources &amp; Uses'!F6-'Sources &amp; Uses'!F7)))^(1/5)-1,0)</f>
        <v>0.146788554143055</v>
      </c>
    </row>
    <row r="8" customFormat="false" ht="15" hidden="false" customHeight="false" outlineLevel="0" collapsed="false">
      <c r="B8" s="17" t="n">
        <v>11</v>
      </c>
      <c r="C8" s="13" t="n">
        <f aca="false">IFERROR(((('Operating Model'!H8*C$4-'Debt Schedule'!G28)*(1-Assumptions!$E$30))/MAX(0.01,('Operating Model'!C8*$B8+Assumptions!$E$15+'Sources &amp; Uses'!C7+Assumptions!$E$16-'Sources &amp; Uses'!F6-'Sources &amp; Uses'!F7)))^(1/5)-1,0)</f>
        <v>-0.0255822953674929</v>
      </c>
      <c r="D8" s="13" t="n">
        <f aca="false">IFERROR(((('Operating Model'!H8*D$4-'Debt Schedule'!G28)*(1-Assumptions!$E$30))/MAX(0.01,('Operating Model'!C8*$B8+Assumptions!$E$15+'Sources &amp; Uses'!C7+Assumptions!$E$16-'Sources &amp; Uses'!F6-'Sources &amp; Uses'!F7)))^(1/5)-1,0)</f>
        <v>0.015642812860069</v>
      </c>
      <c r="E8" s="13" t="n">
        <f aca="false">IFERROR(((('Operating Model'!H8*E$4-'Debt Schedule'!G28)*(1-Assumptions!$E$30))/MAX(0.01,('Operating Model'!C8*$B8+Assumptions!$E$15+'Sources &amp; Uses'!C7+Assumptions!$E$16-'Sources &amp; Uses'!F6-'Sources &amp; Uses'!F7)))^(1/5)-1,0)</f>
        <v>0.0510919054943553</v>
      </c>
      <c r="F8" s="13" t="n">
        <f aca="false">IFERROR(((('Operating Model'!H8*F$4-'Debt Schedule'!G28)*(1-Assumptions!$E$30))/MAX(0.01,('Operating Model'!C8*$B8+Assumptions!$E$15+'Sources &amp; Uses'!C7+Assumptions!$E$16-'Sources &amp; Uses'!F6-'Sources &amp; Uses'!F7)))^(1/5)-1,0)</f>
        <v>0.0823179043406941</v>
      </c>
      <c r="G8" s="13" t="n">
        <f aca="false">IFERROR(((('Operating Model'!H8*G$4-'Debt Schedule'!G28)*(1-Assumptions!$E$30))/MAX(0.01,('Operating Model'!C8*$B8+Assumptions!$E$15+'Sources &amp; Uses'!C7+Assumptions!$E$16-'Sources &amp; Uses'!F6-'Sources &amp; Uses'!F7)))^(1/5)-1,0)</f>
        <v>0.110307722048396</v>
      </c>
    </row>
    <row r="9" customFormat="false" ht="15" hidden="false" customHeight="false" outlineLevel="0" collapsed="false">
      <c r="B9" s="17" t="n">
        <v>12</v>
      </c>
      <c r="C9" s="13" t="n">
        <f aca="false">IFERROR(((('Operating Model'!H8*C$4-'Debt Schedule'!G28)*(1-Assumptions!$E$30))/MAX(0.01,('Operating Model'!C8*$B9+Assumptions!$E$15+'Sources &amp; Uses'!C7+Assumptions!$E$16-'Sources &amp; Uses'!F6-'Sources &amp; Uses'!F7)))^(1/5)-1,0)</f>
        <v>-0.0523194185524529</v>
      </c>
      <c r="D9" s="13" t="n">
        <f aca="false">IFERROR(((('Operating Model'!H8*D$4-'Debt Schedule'!G28)*(1-Assumptions!$E$30))/MAX(0.01,('Operating Model'!C8*$B9+Assumptions!$E$15+'Sources &amp; Uses'!C7+Assumptions!$E$16-'Sources &amp; Uses'!F6-'Sources &amp; Uses'!F7)))^(1/5)-1,0)</f>
        <v>-0.0122254892759234</v>
      </c>
      <c r="E9" s="13" t="n">
        <f aca="false">IFERROR(((('Operating Model'!H8*E$4-'Debt Schedule'!G28)*(1-Assumptions!$E$30))/MAX(0.01,('Operating Model'!C8*$B9+Assumptions!$E$15+'Sources &amp; Uses'!C7+Assumptions!$E$16-'Sources &amp; Uses'!F6-'Sources &amp; Uses'!F7)))^(1/5)-1,0)</f>
        <v>0.022250912948437</v>
      </c>
      <c r="F9" s="13" t="n">
        <f aca="false">IFERROR(((('Operating Model'!H8*F$4-'Debt Schedule'!G28)*(1-Assumptions!$E$30))/MAX(0.01,('Operating Model'!C8*$B9+Assumptions!$E$15+'Sources &amp; Uses'!C7+Assumptions!$E$16-'Sources &amp; Uses'!F6-'Sources &amp; Uses'!F7)))^(1/5)-1,0)</f>
        <v>0.0526200991837582</v>
      </c>
      <c r="G9" s="13" t="n">
        <f aca="false">IFERROR(((('Operating Model'!H8*G$4-'Debt Schedule'!G28)*(1-Assumptions!$E$30))/MAX(0.01,('Operating Model'!C8*$B9+Assumptions!$E$15+'Sources &amp; Uses'!C7+Assumptions!$E$16-'Sources &amp; Uses'!F6-'Sources &amp; Uses'!F7)))^(1/5)-1,0)</f>
        <v>0.0798419021064067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166</v>
      </c>
      <c r="C2" s="1"/>
    </row>
    <row r="4" customFormat="false" ht="15" hidden="false" customHeight="false" outlineLevel="0" collapsed="false">
      <c r="B4" s="8" t="s">
        <v>167</v>
      </c>
      <c r="C4" s="8" t="s">
        <v>138</v>
      </c>
    </row>
    <row r="5" customFormat="false" ht="15" hidden="false" customHeight="false" outlineLevel="0" collapsed="false">
      <c r="B5" s="0" t="s">
        <v>168</v>
      </c>
      <c r="C5" s="0" t="str">
        <f aca="false">IF(ABS('Sources &amp; Uses'!F10)&lt;0.000001,"PASS","FAIL")</f>
        <v>PASS</v>
      </c>
    </row>
    <row r="6" customFormat="false" ht="15" hidden="false" customHeight="false" outlineLevel="0" collapsed="false">
      <c r="B6" s="0" t="s">
        <v>169</v>
      </c>
      <c r="C6" s="0" t="str">
        <f aca="false">IF('Sources &amp; Uses'!F8&gt;0,"PASS","FAIL")</f>
        <v>PASS</v>
      </c>
    </row>
    <row r="7" customFormat="false" ht="15" hidden="false" customHeight="false" outlineLevel="0" collapsed="false">
      <c r="B7" s="0" t="s">
        <v>170</v>
      </c>
      <c r="C7" s="0" t="str">
        <f aca="false">IF(MIN('Debt Schedule'!D15:J25)&gt;=0,"PASS","FAIL")</f>
        <v>PASS</v>
      </c>
    </row>
    <row r="8" customFormat="false" ht="15" hidden="false" customHeight="false" outlineLevel="0" collapsed="false">
      <c r="B8" s="0" t="s">
        <v>171</v>
      </c>
      <c r="C8" s="0" t="str">
        <f aca="false">IF(MIN('Debt Schedule'!D13:J13)&gt;=Assumptions!E16,"PASS","REVIEW")</f>
        <v>PASS</v>
      </c>
    </row>
    <row r="9" customFormat="false" ht="15" hidden="false" customHeight="false" outlineLevel="0" collapsed="false">
      <c r="B9" s="0" t="s">
        <v>172</v>
      </c>
      <c r="C9" s="0" t="str">
        <f aca="false">IF(COUNTIF(Covenants!C13:I13,"BREACH")=0,"PASS","REVIEW")</f>
        <v>PASS</v>
      </c>
    </row>
    <row r="10" customFormat="false" ht="15" hidden="false" customHeight="false" outlineLevel="0" collapsed="false">
      <c r="B10" s="0" t="s">
        <v>173</v>
      </c>
      <c r="C10" s="0" t="str">
        <f aca="false">IF(MIN('Returns Waterfall'!C9:I9)&gt;=0,"PASS","FAIL")</f>
        <v>PASS</v>
      </c>
    </row>
    <row r="11" customFormat="false" ht="15" hidden="false" customHeight="false" outlineLevel="0" collapsed="false">
      <c r="B11" s="0" t="s">
        <v>174</v>
      </c>
      <c r="C11" s="0" t="str">
        <f aca="false">IF(MAX(ABS('Returns Waterfall'!C9:I9-'Returns Waterfall'!C12:I12-'Returns Waterfall'!C13:I13))&lt;0.000001,"PASS","FAIL")</f>
        <v>PASS</v>
      </c>
    </row>
    <row r="12" customFormat="false" ht="15" hidden="false" customHeight="false" outlineLevel="0" collapsed="false">
      <c r="B12" s="0" t="s">
        <v>175</v>
      </c>
      <c r="C12" s="0" t="str">
        <f aca="false">IF(AND(Assumptions!E29&gt;=1,Assumptions!E29&lt;=7),"PASS","FAIL")</f>
        <v>PASS</v>
      </c>
    </row>
    <row r="13" customFormat="false" ht="15" hidden="false" customHeight="false" outlineLevel="0" collapsed="false">
      <c r="B13" s="0" t="s">
        <v>176</v>
      </c>
      <c r="C13" s="0" t="str">
        <f aca="false">IF(COUNTIF(C5:C12,"FAIL")=0,"PASS","FAIL")</f>
        <v>PASS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48"/>
  </cols>
  <sheetData>
    <row r="2" customFormat="false" ht="27.75" hidden="false" customHeight="true" outlineLevel="0" collapsed="false">
      <c r="B2" s="1" t="s">
        <v>177</v>
      </c>
      <c r="C2" s="1"/>
      <c r="D2" s="1"/>
      <c r="E2" s="1"/>
    </row>
    <row r="4" customFormat="false" ht="15" hidden="false" customHeight="false" outlineLevel="0" collapsed="false">
      <c r="B4" s="8" t="s">
        <v>178</v>
      </c>
      <c r="C4" s="8" t="s">
        <v>179</v>
      </c>
      <c r="D4" s="8" t="s">
        <v>180</v>
      </c>
      <c r="E4" s="8" t="s">
        <v>181</v>
      </c>
    </row>
    <row r="5" customFormat="false" ht="15" hidden="false" customHeight="false" outlineLevel="0" collapsed="false">
      <c r="B5" s="23" t="s">
        <v>182</v>
      </c>
      <c r="C5" s="23" t="s">
        <v>183</v>
      </c>
      <c r="D5" s="23" t="s">
        <v>184</v>
      </c>
      <c r="E5" s="23" t="s">
        <v>185</v>
      </c>
    </row>
    <row r="6" customFormat="false" ht="15" hidden="false" customHeight="false" outlineLevel="0" collapsed="false">
      <c r="B6" s="23" t="s">
        <v>186</v>
      </c>
      <c r="C6" s="23" t="s">
        <v>187</v>
      </c>
      <c r="D6" s="23" t="s">
        <v>6</v>
      </c>
      <c r="E6" s="23" t="s">
        <v>188</v>
      </c>
    </row>
    <row r="7" customFormat="false" ht="15" hidden="false" customHeight="false" outlineLevel="0" collapsed="false">
      <c r="B7" s="23" t="s">
        <v>189</v>
      </c>
      <c r="C7" s="23" t="s">
        <v>190</v>
      </c>
      <c r="D7" s="23" t="s">
        <v>6</v>
      </c>
      <c r="E7" s="23" t="s">
        <v>191</v>
      </c>
    </row>
    <row r="8" customFormat="false" ht="15" hidden="false" customHeight="false" outlineLevel="0" collapsed="false">
      <c r="B8" s="23" t="s">
        <v>192</v>
      </c>
      <c r="C8" s="23" t="s">
        <v>193</v>
      </c>
      <c r="D8" s="23" t="s">
        <v>6</v>
      </c>
      <c r="E8" s="23" t="s">
        <v>194</v>
      </c>
    </row>
    <row r="9" customFormat="false" ht="15" hidden="false" customHeight="false" outlineLevel="0" collapsed="false">
      <c r="B9" s="23" t="s">
        <v>195</v>
      </c>
      <c r="C9" s="23" t="s">
        <v>196</v>
      </c>
      <c r="D9" s="23" t="s">
        <v>6</v>
      </c>
      <c r="E9" s="23" t="s">
        <v>197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18"/>
  </cols>
  <sheetData>
    <row r="2" customFormat="false" ht="27.75" hidden="false" customHeight="true" outlineLevel="0" collapsed="false">
      <c r="B2" s="1" t="s">
        <v>198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8" t="s">
        <v>199</v>
      </c>
      <c r="C4" s="8" t="s">
        <v>200</v>
      </c>
      <c r="D4" s="8" t="s">
        <v>201</v>
      </c>
      <c r="E4" s="8" t="s">
        <v>202</v>
      </c>
      <c r="F4" s="8" t="s">
        <v>203</v>
      </c>
      <c r="G4" s="8" t="s">
        <v>204</v>
      </c>
    </row>
    <row r="5" customFormat="false" ht="15" hidden="false" customHeight="false" outlineLevel="0" collapsed="false">
      <c r="B5" s="24"/>
      <c r="C5" s="24"/>
      <c r="D5" s="24"/>
      <c r="E5" s="24"/>
      <c r="F5" s="24"/>
      <c r="G5" s="24"/>
    </row>
    <row r="6" customFormat="false" ht="15" hidden="false" customHeight="false" outlineLevel="0" collapsed="false">
      <c r="B6" s="24"/>
      <c r="C6" s="24"/>
      <c r="D6" s="24"/>
      <c r="E6" s="24"/>
      <c r="F6" s="24"/>
      <c r="G6" s="24"/>
    </row>
    <row r="7" customFormat="false" ht="15" hidden="false" customHeight="false" outlineLevel="0" collapsed="false">
      <c r="B7" s="24"/>
      <c r="C7" s="24"/>
      <c r="D7" s="24"/>
      <c r="E7" s="24"/>
      <c r="F7" s="24"/>
      <c r="G7" s="24"/>
    </row>
    <row r="8" customFormat="false" ht="15" hidden="false" customHeight="false" outlineLevel="0" collapsed="false">
      <c r="B8" s="24"/>
      <c r="C8" s="24"/>
      <c r="D8" s="24"/>
      <c r="E8" s="24"/>
      <c r="F8" s="24"/>
      <c r="G8" s="24"/>
    </row>
    <row r="9" customFormat="false" ht="15" hidden="false" customHeight="false" outlineLevel="0" collapsed="false">
      <c r="B9" s="24"/>
      <c r="C9" s="24"/>
      <c r="D9" s="24"/>
      <c r="E9" s="24"/>
      <c r="F9" s="24"/>
      <c r="G9" s="24"/>
    </row>
    <row r="10" customFormat="false" ht="15" hidden="false" customHeight="false" outlineLevel="0" collapsed="false">
      <c r="B10" s="24"/>
      <c r="C10" s="24"/>
      <c r="D10" s="24"/>
      <c r="E10" s="24"/>
      <c r="F10" s="24"/>
      <c r="G10" s="24"/>
    </row>
    <row r="11" customFormat="false" ht="15" hidden="false" customHeight="false" outlineLevel="0" collapsed="false">
      <c r="B11" s="24"/>
      <c r="C11" s="24"/>
      <c r="D11" s="24"/>
      <c r="E11" s="24"/>
      <c r="F11" s="24"/>
      <c r="G11" s="24"/>
    </row>
    <row r="12" customFormat="false" ht="15" hidden="false" customHeight="false" outlineLevel="0" collapsed="false">
      <c r="B12" s="24"/>
      <c r="C12" s="24"/>
      <c r="D12" s="24"/>
      <c r="E12" s="24"/>
      <c r="F12" s="24"/>
      <c r="G12" s="24"/>
    </row>
    <row r="13" customFormat="false" ht="15" hidden="false" customHeight="false" outlineLevel="0" collapsed="false">
      <c r="B13" s="24"/>
      <c r="C13" s="24"/>
      <c r="D13" s="24"/>
      <c r="E13" s="24"/>
      <c r="F13" s="24"/>
      <c r="G13" s="24"/>
    </row>
    <row r="14" customFormat="false" ht="15" hidden="false" customHeight="false" outlineLevel="0" collapsed="false">
      <c r="B14" s="24"/>
      <c r="C14" s="24"/>
      <c r="D14" s="24"/>
      <c r="E14" s="24"/>
      <c r="F14" s="24"/>
      <c r="G14" s="24"/>
    </row>
    <row r="15" customFormat="false" ht="15" hidden="false" customHeight="false" outlineLevel="0" collapsed="false">
      <c r="B15" s="24"/>
      <c r="C15" s="24"/>
      <c r="D15" s="24"/>
      <c r="E15" s="24"/>
      <c r="F15" s="24"/>
      <c r="G15" s="24"/>
    </row>
    <row r="16" customFormat="false" ht="15" hidden="false" customHeight="false" outlineLevel="0" collapsed="false">
      <c r="B16" s="24"/>
      <c r="C16" s="24"/>
      <c r="D16" s="24"/>
      <c r="E16" s="24"/>
      <c r="F16" s="24"/>
      <c r="G16" s="24"/>
    </row>
    <row r="17" customFormat="false" ht="15" hidden="false" customHeight="false" outlineLevel="0" collapsed="false">
      <c r="B17" s="24"/>
      <c r="C17" s="24"/>
      <c r="D17" s="24"/>
      <c r="E17" s="24"/>
      <c r="F17" s="24"/>
      <c r="G17" s="24"/>
    </row>
    <row r="18" customFormat="false" ht="15" hidden="false" customHeight="false" outlineLevel="0" collapsed="false">
      <c r="B18" s="24"/>
      <c r="C18" s="24"/>
      <c r="D18" s="24"/>
      <c r="E18" s="24"/>
      <c r="F18" s="24"/>
      <c r="G18" s="24"/>
    </row>
    <row r="19" customFormat="false" ht="15" hidden="false" customHeight="false" outlineLevel="0" collapsed="false">
      <c r="B19" s="24"/>
      <c r="C19" s="24"/>
      <c r="D19" s="24"/>
      <c r="E19" s="24"/>
      <c r="F19" s="24"/>
      <c r="G19" s="24"/>
    </row>
    <row r="20" customFormat="false" ht="15" hidden="false" customHeight="false" outlineLevel="0" collapsed="false">
      <c r="B20" s="24"/>
      <c r="C20" s="24"/>
      <c r="D20" s="24"/>
      <c r="E20" s="24"/>
      <c r="F20" s="24"/>
      <c r="G20" s="24"/>
    </row>
    <row r="21" customFormat="false" ht="15" hidden="false" customHeight="false" outlineLevel="0" collapsed="false">
      <c r="B21" s="24"/>
      <c r="C21" s="24"/>
      <c r="D21" s="24"/>
      <c r="E21" s="24"/>
      <c r="F21" s="24"/>
      <c r="G21" s="24"/>
    </row>
    <row r="22" customFormat="false" ht="15" hidden="false" customHeight="false" outlineLevel="0" collapsed="false">
      <c r="B22" s="24"/>
      <c r="C22" s="24"/>
      <c r="D22" s="24"/>
      <c r="E22" s="24"/>
      <c r="F22" s="24"/>
      <c r="G22" s="24"/>
    </row>
    <row r="23" customFormat="false" ht="15" hidden="false" customHeight="false" outlineLevel="0" collapsed="false">
      <c r="B23" s="24"/>
      <c r="C23" s="24"/>
      <c r="D23" s="24"/>
      <c r="E23" s="24"/>
      <c r="F23" s="24"/>
      <c r="G23" s="24"/>
    </row>
    <row r="24" customFormat="false" ht="15" hidden="false" customHeight="false" outlineLevel="0" collapsed="false">
      <c r="B24" s="24"/>
      <c r="C24" s="24"/>
      <c r="D24" s="24"/>
      <c r="E24" s="24"/>
      <c r="F24" s="24"/>
      <c r="G24" s="24"/>
    </row>
    <row r="25" customFormat="false" ht="15" hidden="false" customHeight="false" outlineLevel="0" collapsed="false">
      <c r="B25" s="24"/>
      <c r="C25" s="24"/>
      <c r="D25" s="24"/>
      <c r="E25" s="24"/>
      <c r="F25" s="24"/>
      <c r="G25" s="24"/>
    </row>
    <row r="26" customFormat="false" ht="15" hidden="false" customHeight="false" outlineLevel="0" collapsed="false">
      <c r="B26" s="24"/>
      <c r="C26" s="24"/>
      <c r="D26" s="24"/>
      <c r="E26" s="24"/>
      <c r="F26" s="24"/>
      <c r="G26" s="24"/>
    </row>
    <row r="27" customFormat="false" ht="15" hidden="false" customHeight="false" outlineLevel="0" collapsed="false">
      <c r="B27" s="24"/>
      <c r="C27" s="24"/>
      <c r="D27" s="24"/>
      <c r="E27" s="24"/>
      <c r="F27" s="24"/>
      <c r="G27" s="24"/>
    </row>
    <row r="28" customFormat="false" ht="15" hidden="false" customHeight="false" outlineLevel="0" collapsed="false">
      <c r="B28" s="24"/>
      <c r="C28" s="24"/>
      <c r="D28" s="24"/>
      <c r="E28" s="24"/>
      <c r="F28" s="24"/>
      <c r="G28" s="24"/>
    </row>
    <row r="29" customFormat="false" ht="15" hidden="false" customHeight="false" outlineLevel="0" collapsed="false">
      <c r="B29" s="24"/>
      <c r="C29" s="24"/>
      <c r="D29" s="24"/>
      <c r="E29" s="24"/>
      <c r="F29" s="24"/>
      <c r="G29" s="24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2026-08-04T02:31:12Z</dcterms:created>
  <dc:creator>openpyxl</dc:creator>
  <dc:description/>
  <dc:language>en-US</dc:language>
  <cp:lastModifiedBy/>
  <dcterms:modified xsi:type="dcterms:W3CDTF">2026-08-04T02:31:12Z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