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Recovery Waterfall" sheetId="5" state="visible" r:id="rId5"/>
    <sheet name="Liquidation vs Reorg" sheetId="6" state="visible" r:id="rId6"/>
    <sheet name="RefreshLog" sheetId="7" state="visible" r:id="rId7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\$#,##0;&quot;($&quot;#,##0\);\-"/>
    <numFmt numFmtId="165" formatCode="0.0%;\(0.0%\);\-"/>
    <numFmt numFmtId="166" formatCode="#,##0;\(#,##0\)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808080"/>
      <sz val="8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4" fontId="6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5" borderId="0" pivotButton="0" quotePrefix="0" xfId="0"/>
    <xf numFmtId="0" fontId="11" fillId="0" borderId="0" pivotButton="0" quotePrefix="0" xfId="0"/>
    <xf numFmtId="0" fontId="0" fillId="0" borderId="0" applyAlignment="1" pivotButton="0" quotePrefix="0" xfId="0">
      <alignment wrapText="1"/>
    </xf>
    <xf numFmtId="0" fontId="12" fillId="5" borderId="0" pivotButton="0" quotePrefix="0" xfId="0"/>
    <xf numFmtId="0" fontId="11" fillId="6" borderId="2" applyAlignment="1" pivotButton="0" quotePrefix="0" xfId="0">
      <alignment wrapText="1"/>
    </xf>
    <xf numFmtId="0" fontId="7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4" fontId="6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8" min="1" max="1"/>
    <col width="30" customWidth="1" style="18" min="2" max="2"/>
    <col width="40" customWidth="1" style="18" min="3" max="3"/>
    <col width="4" customWidth="1" style="18" min="4" max="4"/>
  </cols>
  <sheetData>
    <row r="2" ht="19.7" customHeight="1" s="19">
      <c r="B2" s="20" t="inlineStr">
        <is>
          <t>[COMPANY] — Distressed / Restructuring Model</t>
        </is>
      </c>
    </row>
    <row r="4" ht="15" customHeight="1" s="19">
      <c r="B4" s="21" t="inlineStr">
        <is>
          <t>Situation type:</t>
        </is>
      </c>
      <c r="C4" s="22" t="inlineStr">
        <is>
          <t>Chapter 11 / Out-of-court / Chapter 7</t>
        </is>
      </c>
    </row>
    <row r="5" ht="15" customHeight="1" s="19">
      <c r="B5" s="21" t="inlineStr">
        <is>
          <t>Petition/filing date:</t>
        </is>
      </c>
      <c r="C5" s="22" t="inlineStr">
        <is>
          <t>[date]</t>
        </is>
      </c>
    </row>
    <row r="6" ht="15" customHeight="1" s="19">
      <c r="B6" s="21" t="inlineStr">
        <is>
          <t>Last refreshed:</t>
        </is>
      </c>
      <c r="C6" s="22" t="inlineStr">
        <is>
          <t>[date]</t>
        </is>
      </c>
    </row>
    <row r="7" ht="15" customHeight="1" s="19">
      <c r="B7" s="21" t="inlineStr">
        <is>
          <t>Refresh cadence:</t>
        </is>
      </c>
      <c r="C7" s="22" t="inlineStr">
        <is>
          <t>Weekly (daily near key dates)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19" min="2" max="2"/>
    <col width="48" customWidth="1" style="19" min="3" max="3"/>
    <col width="24" customWidth="1" style="19" min="4" max="4"/>
    <col width="34" customWidth="1" style="19" min="5" max="5"/>
    <col width="20" customWidth="1" style="19" min="6" max="6"/>
  </cols>
  <sheetData>
    <row r="2">
      <c r="B2" s="23" t="inlineStr">
        <is>
          <t>Distressed &amp; Restructuring — Institutional Decision Surface</t>
        </is>
      </c>
    </row>
    <row r="4">
      <c r="B4" s="24" t="inlineStr">
        <is>
          <t>Model ID</t>
        </is>
      </c>
      <c r="C4" s="25" t="inlineStr">
        <is>
          <t>24</t>
        </is>
      </c>
    </row>
    <row r="5">
      <c r="B5" s="24" t="inlineStr">
        <is>
          <t>Domain</t>
        </is>
      </c>
      <c r="C5" s="25" t="inlineStr">
        <is>
          <t>Distressed &amp; Restructuring</t>
        </is>
      </c>
    </row>
    <row r="6">
      <c r="B6" s="24" t="inlineStr">
        <is>
          <t>Declared maturity</t>
        </is>
      </c>
      <c r="C6" s="25" t="inlineStr">
        <is>
          <t>M1</t>
        </is>
      </c>
    </row>
    <row r="7">
      <c r="B7" s="24" t="inlineStr">
        <is>
          <t>Canonical builder</t>
        </is>
      </c>
      <c r="C7" s="25" t="inlineStr">
        <is>
          <t>tools/builders/build_restructuring_template.py</t>
        </is>
      </c>
    </row>
    <row r="8">
      <c r="B8" s="24" t="inlineStr">
        <is>
          <t>Decision arena</t>
        </is>
      </c>
      <c r="C8" s="25" t="inlineStr">
        <is>
          <t>debtor, creditor groups, advisors, court and new-money providers</t>
        </is>
      </c>
    </row>
    <row r="9">
      <c r="B9" s="24" t="inlineStr">
        <is>
          <t>Committee artifact</t>
        </is>
      </c>
      <c r="C9" s="25" t="inlineStr">
        <is>
          <t>13-week liquidity, recovery and plan-value pack</t>
        </is>
      </c>
    </row>
    <row r="10">
      <c r="B10" s="24" t="inlineStr">
        <is>
          <t>Operating cadence</t>
        </is>
      </c>
      <c r="C10" s="25" t="inlineStr">
        <is>
          <t>daily liquidity; weekly stakeholder; court-event driven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13-week liquidity and DIP need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enterprise / reorganization value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recovery by class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What is the first day cash goes negative?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creditor is the fulcrum under each value case?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collateral and priority actually support each claim?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liquidity miss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vendor tightening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priming and adequate protection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13-week cash flow and variance report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credit agreements and intercreditor documents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claims register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weekly cash roll-forward balances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claims map equals capital structure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recoveries conserve distributable value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using EBITDA while cash burns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critical-vendor and professional fees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assuming par claims without disputes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OCC Rating Credit Risk</t>
        </is>
      </c>
      <c r="C63" t="inlineStr">
        <is>
          <t>repayment capacity and risk rating</t>
        </is>
      </c>
      <c r="D63" t="inlineStr">
        <is>
          <t>https://www.occ.treas.gov/publications-and-resources/publications/comptrollers-handbook/files/rating-credit-risk/pub-ch-rating-credit-risk.pdf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22" customWidth="1" style="19" min="3" max="3"/>
    <col width="52" customWidth="1" style="19" min="4" max="4"/>
    <col width="46" customWidth="1" style="19" min="5" max="5"/>
    <col width="36" customWidth="1" style="19" min="6" max="6"/>
    <col width="14" customWidth="1" style="19" min="7" max="7"/>
    <col width="18" customWidth="1" style="19" min="8" max="8"/>
    <col width="14" customWidth="1" style="19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B5" t="inlineStr"/>
      <c r="C5" t="inlineStr"/>
      <c r="D5" t="inlineStr">
        <is>
          <t>weekly cash roll-forward balances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claims map equals capital structure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recoveries conserve distributable value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19" min="2" max="2"/>
    <col width="18" customWidth="1" style="19" min="3" max="3"/>
    <col width="42" customWidth="1" style="19" min="4" max="4"/>
    <col width="24" customWidth="1" style="19" min="5" max="5"/>
    <col width="18" customWidth="1" style="19" min="6" max="6"/>
    <col width="22" customWidth="1" style="19" min="7" max="7"/>
    <col width="42" customWidth="1" style="19" min="8" max="8"/>
    <col width="30" customWidth="1" style="19" min="9" max="9"/>
    <col width="15" customWidth="1" style="19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cash receipts/disbursements</t>
        </is>
      </c>
      <c r="C5" t="inlineStr">
        <is>
          <t>daily/weekly</t>
        </is>
      </c>
      <c r="D5" t="inlineStr">
        <is>
          <t>bank and AP/AR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claims and debt</t>
        </is>
      </c>
      <c r="C6" t="inlineStr">
        <is>
          <t>event-driven</t>
        </is>
      </c>
      <c r="D6" t="inlineStr">
        <is>
          <t>legal status and class mapping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G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8" min="1" max="1"/>
    <col width="24" customWidth="1" style="18" min="2" max="2"/>
    <col width="14" customWidth="1" style="18" min="3" max="6"/>
    <col width="16" customWidth="1" style="18" min="7" max="7"/>
  </cols>
  <sheetData>
    <row r="2" ht="19.7" customHeight="1" s="19">
      <c r="B2" s="20" t="inlineStr">
        <is>
          <t>Capital Structure &amp; Recovery Waterfall</t>
        </is>
      </c>
    </row>
    <row r="4" ht="15" customHeight="1" s="19">
      <c r="A4" s="28" t="n"/>
      <c r="B4" s="28" t="inlineStr">
        <is>
          <t>Tranche</t>
        </is>
      </c>
      <c r="C4" s="28" t="inlineStr">
        <is>
          <t>Face claim ($)</t>
        </is>
      </c>
      <c r="D4" s="28" t="inlineStr">
        <is>
          <t>Seniority rank</t>
        </is>
      </c>
      <c r="E4" s="28" t="inlineStr">
        <is>
          <t>Recovery ($)</t>
        </is>
      </c>
      <c r="F4" s="28" t="inlineStr">
        <is>
          <t>Recovery %</t>
        </is>
      </c>
      <c r="G4" s="18" t="inlineStr">
        <is>
          <t>Fulcrum?</t>
        </is>
      </c>
    </row>
    <row r="5" ht="15" customHeight="1" s="19">
      <c r="B5" s="29" t="inlineStr">
        <is>
          <t>DIP / super-priority</t>
        </is>
      </c>
      <c r="C5" s="30" t="n">
        <v>0</v>
      </c>
      <c r="D5" s="22" t="n">
        <v>1</v>
      </c>
      <c r="E5" s="31">
        <f>MIN(C12,C5)</f>
        <v/>
      </c>
      <c r="F5" s="32">
        <f>IFERROR(E5/C5,"-")</f>
        <v/>
      </c>
      <c r="G5" s="33">
        <f>IF(AND(ISNUMBER(F5),F5&lt;1),"FULCRUM","")</f>
        <v/>
      </c>
    </row>
    <row r="6" ht="15" customHeight="1" s="19">
      <c r="B6" s="29" t="inlineStr">
        <is>
          <t>First lien secured</t>
        </is>
      </c>
      <c r="C6" s="30" t="n">
        <v>0</v>
      </c>
      <c r="D6" s="22" t="n">
        <v>2</v>
      </c>
      <c r="E6" s="31">
        <f>MIN(MAX(C12-SUM(E5:E5),0),C6)</f>
        <v/>
      </c>
      <c r="F6" s="32">
        <f>IFERROR(E6/C6,"-")</f>
        <v/>
      </c>
      <c r="G6" s="33">
        <f>IF(AND(ISNUMBER(F6),F6&lt;1,ISNUMBER(F5),F5&gt;=1),"FULCRUM","")</f>
        <v/>
      </c>
    </row>
    <row r="7" ht="15" customHeight="1" s="19">
      <c r="B7" s="29" t="inlineStr">
        <is>
          <t>Second lien secured</t>
        </is>
      </c>
      <c r="C7" s="30" t="n">
        <v>0</v>
      </c>
      <c r="D7" s="22" t="n">
        <v>3</v>
      </c>
      <c r="E7" s="31">
        <f>MIN(MAX(C12-SUM(E5:E6),0),C7)</f>
        <v/>
      </c>
      <c r="F7" s="32">
        <f>IFERROR(E7/C7,"-")</f>
        <v/>
      </c>
      <c r="G7" s="33">
        <f>IF(AND(ISNUMBER(F7),F7&lt;1,ISNUMBER(F6),F6&gt;=1),"FULCRUM","")</f>
        <v/>
      </c>
    </row>
    <row r="8" ht="15" customHeight="1" s="19">
      <c r="B8" s="29" t="inlineStr">
        <is>
          <t>Senior unsecured notes</t>
        </is>
      </c>
      <c r="C8" s="30" t="n">
        <v>0</v>
      </c>
      <c r="D8" s="22" t="n">
        <v>4</v>
      </c>
      <c r="E8" s="31">
        <f>MIN(MAX(C12-SUM(E5:E7),0),C8)</f>
        <v/>
      </c>
      <c r="F8" s="32">
        <f>IFERROR(E8/C8,"-")</f>
        <v/>
      </c>
      <c r="G8" s="33">
        <f>IF(AND(ISNUMBER(F8),F8&lt;1,ISNUMBER(F7),F7&gt;=1),"FULCRUM","")</f>
        <v/>
      </c>
    </row>
    <row r="9" ht="15" customHeight="1" s="19">
      <c r="B9" s="29" t="inlineStr">
        <is>
          <t>Subordinated debt</t>
        </is>
      </c>
      <c r="C9" s="30" t="n">
        <v>0</v>
      </c>
      <c r="D9" s="22" t="n">
        <v>5</v>
      </c>
      <c r="E9" s="31">
        <f>MIN(MAX(C12-SUM(E5:E8),0),C9)</f>
        <v/>
      </c>
      <c r="F9" s="32">
        <f>IFERROR(E9/C9,"-")</f>
        <v/>
      </c>
      <c r="G9" s="33">
        <f>IF(AND(ISNUMBER(F9),F9&lt;1,ISNUMBER(F8),F8&gt;=1),"FULCRUM","")</f>
        <v/>
      </c>
    </row>
    <row r="10" ht="15" customHeight="1" s="19">
      <c r="B10" s="29" t="inlineStr">
        <is>
          <t>Equity</t>
        </is>
      </c>
      <c r="C10" s="30" t="n">
        <v>0</v>
      </c>
      <c r="D10" s="22" t="n">
        <v>6</v>
      </c>
      <c r="E10" s="31">
        <f>MIN(MAX(C12-SUM(E5:E9),0),C10)</f>
        <v/>
      </c>
      <c r="F10" s="32">
        <f>IFERROR(E10/C10,"-")</f>
        <v/>
      </c>
      <c r="G10" s="33">
        <f>IF(AND(ISNUMBER(F10),F10&lt;1,ISNUMBER(F9),F9&gt;=1),"FULCRUM","")</f>
        <v/>
      </c>
    </row>
    <row r="12" ht="15" customHeight="1" s="19">
      <c r="B12" s="18" t="inlineStr">
        <is>
          <t>Total enterprise value available for distribution ($)</t>
        </is>
      </c>
      <c r="C12" s="34" t="n">
        <v>0</v>
      </c>
    </row>
    <row r="14" ht="15" customHeight="1" s="19">
      <c r="B14" s="35" t="inlineStr">
        <is>
          <t>Waterfall (senior to junior, absolute priority)</t>
        </is>
      </c>
    </row>
    <row r="20" ht="15" customHeight="1" s="19">
      <c r="B20" s="36" t="inlineStr">
        <is>
          <t>Fulcrum security = the tranche where recovery % first drops below 100% — that class controls the reorg (converts to new equity)</t>
        </is>
      </c>
    </row>
    <row r="21" ht="15" customHeight="1" s="19">
      <c r="B21" s="18" t="inlineStr">
        <is>
          <t>Fulcrum security</t>
        </is>
      </c>
      <c r="C21" s="33">
        <f>IFERROR(INDEX(B5:B10,MATCH("FULCRUM",G5:G10,0)),"-")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8" min="1" max="1"/>
    <col width="30" customWidth="1" style="18" min="2" max="2"/>
    <col width="16" customWidth="1" style="18" min="3" max="4"/>
    <col width="40" customWidth="1" style="18" min="5" max="5"/>
  </cols>
  <sheetData>
    <row r="2" ht="19.7" customHeight="1" s="19">
      <c r="B2" s="20" t="inlineStr">
        <is>
          <t>Liquidation (Ch. 7) vs. Reorganization (Ch. 11) NPV</t>
        </is>
      </c>
    </row>
    <row r="4" ht="15" customHeight="1" s="19">
      <c r="C4" s="28" t="inlineStr">
        <is>
          <t>Liquidation</t>
        </is>
      </c>
      <c r="D4" s="28" t="inlineStr">
        <is>
          <t>Reorg</t>
        </is>
      </c>
      <c r="E4" s="28" t="inlineStr">
        <is>
          <t>Notes</t>
        </is>
      </c>
    </row>
    <row r="5" ht="15" customHeight="1" s="19">
      <c r="B5" s="18" t="inlineStr">
        <is>
          <t>Gross asset value / going-concern EV</t>
        </is>
      </c>
      <c r="C5" s="30" t="n">
        <v>0</v>
      </c>
      <c r="D5" s="30" t="n">
        <v>0</v>
      </c>
    </row>
    <row r="6" ht="15" customHeight="1" s="19">
      <c r="B6" s="18" t="inlineStr">
        <is>
          <t>Less: liquidation discount / distress costs</t>
        </is>
      </c>
      <c r="C6" s="30" t="n">
        <v>0</v>
      </c>
      <c r="D6" s="37" t="n"/>
    </row>
    <row r="7" ht="15" customHeight="1" s="19">
      <c r="B7" s="18" t="inlineStr">
        <is>
          <t>Less: administrative/professional fees</t>
        </is>
      </c>
      <c r="C7" s="30" t="n">
        <v>0</v>
      </c>
      <c r="D7" s="30" t="n">
        <v>0</v>
      </c>
    </row>
    <row r="8" ht="15" customHeight="1" s="19">
      <c r="B8" s="18" t="inlineStr">
        <is>
          <t>Time to distribution (months)</t>
        </is>
      </c>
      <c r="C8" s="38" t="n">
        <v>6</v>
      </c>
      <c r="D8" s="38" t="n">
        <v>18</v>
      </c>
    </row>
    <row r="9" ht="15" customHeight="1" s="19">
      <c r="B9" s="18" t="inlineStr">
        <is>
          <t>Discount rate (annual, for NPV of delayed recovery)</t>
        </is>
      </c>
      <c r="C9" s="39" t="n">
        <v>0.15</v>
      </c>
      <c r="D9" s="37" t="n"/>
    </row>
    <row r="10" ht="15" customHeight="1" s="19">
      <c r="C10" s="37" t="n"/>
      <c r="D10" s="37" t="n"/>
    </row>
    <row r="11" ht="15" customHeight="1" s="19">
      <c r="B11" s="18" t="inlineStr">
        <is>
          <t>Net proceeds</t>
        </is>
      </c>
      <c r="C11" s="31">
        <f>C5-C6-C7</f>
        <v/>
      </c>
      <c r="D11" s="31">
        <f>D5-D7</f>
        <v/>
      </c>
    </row>
    <row r="12" ht="15" customHeight="1" s="19">
      <c r="B12" s="18" t="inlineStr">
        <is>
          <t>NPV of proceeds (discounted for time to distribution)</t>
        </is>
      </c>
      <c r="C12" s="40">
        <f>C11/(1+$C$9)^(C8/12)</f>
        <v/>
      </c>
      <c r="D12" s="40">
        <f>D11/(1+$C$9)^(D8/12)</f>
        <v/>
      </c>
      <c r="E12" s="36" t="inlineStr">
        <is>
          <t>Compare NPVs — higher wins for creditors as a class, though individual tranche outcomes differ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8" min="1" max="1"/>
    <col width="14" customWidth="1" style="18" min="2" max="2"/>
    <col width="16" customWidth="1" style="18" min="3" max="3"/>
    <col width="30" customWidth="1" style="18" min="4" max="5"/>
    <col width="16" customWidth="1" style="18" min="6" max="6"/>
  </cols>
  <sheetData>
    <row r="2" ht="19.7" customHeight="1" s="19">
      <c r="B2" s="20" t="inlineStr">
        <is>
          <t>Refresh Log</t>
        </is>
      </c>
    </row>
    <row r="4" ht="15" customHeight="1" s="19">
      <c r="B4" s="28" t="inlineStr">
        <is>
          <t>Date</t>
        </is>
      </c>
      <c r="C4" s="28" t="inlineStr">
        <is>
          <t>Trigger</t>
        </is>
      </c>
      <c r="D4" s="28" t="inlineStr">
        <is>
          <t>What changed</t>
        </is>
      </c>
      <c r="E4" s="28" t="inlineStr">
        <is>
          <t>Reviewer notes</t>
        </is>
      </c>
      <c r="F4" s="28" t="inlineStr">
        <is>
          <t>Next check</t>
        </is>
      </c>
    </row>
    <row r="5" ht="15" customHeight="1" s="19">
      <c r="B5" s="37" t="n"/>
      <c r="C5" s="37" t="n"/>
      <c r="D5" s="37" t="n"/>
      <c r="E5" s="37" t="n"/>
      <c r="F5" s="37" t="n"/>
    </row>
    <row r="6" ht="15" customHeight="1" s="19">
      <c r="B6" s="37" t="n"/>
      <c r="C6" s="37" t="n"/>
      <c r="D6" s="37" t="n"/>
      <c r="E6" s="37" t="n"/>
      <c r="F6" s="37" t="n"/>
    </row>
    <row r="7" ht="15" customHeight="1" s="19">
      <c r="B7" s="37" t="n"/>
      <c r="C7" s="37" t="n"/>
      <c r="D7" s="37" t="n"/>
      <c r="E7" s="37" t="n"/>
      <c r="F7" s="37" t="n"/>
    </row>
    <row r="8" ht="15" customHeight="1" s="19">
      <c r="B8" s="37" t="n"/>
      <c r="C8" s="37" t="n"/>
      <c r="D8" s="37" t="n"/>
      <c r="E8" s="37" t="n"/>
      <c r="F8" s="37" t="n"/>
    </row>
    <row r="9" ht="15" customHeight="1" s="19">
      <c r="B9" s="37" t="n"/>
      <c r="C9" s="37" t="n"/>
      <c r="D9" s="37" t="n"/>
      <c r="E9" s="37" t="n"/>
      <c r="F9" s="37" t="n"/>
    </row>
    <row r="10" ht="15" customHeight="1" s="19">
      <c r="B10" s="37" t="n"/>
      <c r="C10" s="37" t="n"/>
      <c r="D10" s="37" t="n"/>
      <c r="E10" s="37" t="n"/>
      <c r="F10" s="37" t="n"/>
    </row>
    <row r="11" ht="15" customHeight="1" s="19">
      <c r="B11" s="37" t="n"/>
      <c r="C11" s="37" t="n"/>
      <c r="D11" s="37" t="n"/>
      <c r="E11" s="37" t="n"/>
      <c r="F11" s="37" t="n"/>
    </row>
    <row r="12" ht="15" customHeight="1" s="19">
      <c r="B12" s="37" t="n"/>
      <c r="C12" s="37" t="n"/>
      <c r="D12" s="37" t="n"/>
      <c r="E12" s="37" t="n"/>
      <c r="F12" s="37" t="n"/>
    </row>
    <row r="13" ht="15" customHeight="1" s="19">
      <c r="B13" s="37" t="n"/>
      <c r="C13" s="37" t="n"/>
      <c r="D13" s="37" t="n"/>
      <c r="E13" s="37" t="n"/>
      <c r="F13" s="37" t="n"/>
    </row>
    <row r="14" ht="15" customHeight="1" s="19">
      <c r="B14" s="37" t="n"/>
      <c r="C14" s="37" t="n"/>
      <c r="D14" s="37" t="n"/>
      <c r="E14" s="37" t="n"/>
      <c r="F14" s="3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2026-08-03T23:01:07Z</dcterms:created>
  <dcterms:modified xsi:type="dcterms:W3CDTF">2026-08-04T03:48:34Z</dcterms:modified>
  <cp:revision>0</cp:revision>
</cp:coreProperties>
</file>