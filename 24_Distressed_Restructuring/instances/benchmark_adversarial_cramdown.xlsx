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Recovery Waterfall" sheetId="5" state="visible" r:id="rId7"/>
    <sheet name="13-Week Liquidity" sheetId="6" state="visible" r:id="rId8"/>
    <sheet name="New Money" sheetId="7" state="visible" r:id="rId9"/>
    <sheet name="Liquidation vs Reorg" sheetId="8" state="visible" r:id="rId10"/>
    <sheet name="Decision &amp; Checks" sheetId="9" state="visible" r:id="rId11"/>
    <sheet name="RefreshLog" sheetId="10" state="visible" r:id="rId12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<sst xmlns="http://schemas.openxmlformats.org/spreadsheetml/2006/main" count="288" uniqueCount="208">
  <si>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</si>
  <si>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</si>
  <si>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</si>
  <si>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</si>
  <si>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</si>
  <si>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</si>
  <si>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2026-08-04</t>
  </si>
  <si>
    <t xml:space="preserve">Refresh cadence:</t>
  </si>
  <si>
    <t xml:space="preserve">Weekly (daily near key dates)</t>
  </si>
  <si>
    <t xml:space="preserve">Distressed &amp; Restructuring — Institutional Decision Surface</t>
  </si>
  <si>
    <t xml:space="preserve">Model ID</t>
  </si>
  <si>
    <t xml:space="preserve">24</t>
  </si>
  <si>
    <t xml:space="preserve">Domain</t>
  </si>
  <si>
    <t xml:space="preserve">Distressed &amp; Restructuring</t>
  </si>
  <si>
    <t xml:space="preserve">Declared maturity</t>
  </si>
  <si>
    <t xml:space="preserve">M2</t>
  </si>
  <si>
    <t xml:space="preserve">Canonical builder</t>
  </si>
  <si>
    <t xml:space="preserve">tools/builders/build_restructuring_release.py</t>
  </si>
  <si>
    <t xml:space="preserve">Decision arena</t>
  </si>
  <si>
    <t xml:space="preserve">debtor, creditor groups, advisors, court and new-money providers</t>
  </si>
  <si>
    <t xml:space="preserve">Committee artifact</t>
  </si>
  <si>
    <t xml:space="preserve">13-week liquidity, recovery and plan-value pack</t>
  </si>
  <si>
    <t xml:space="preserve">Operating cadence</t>
  </si>
  <si>
    <t xml:space="preserve">daily liquidity; weekly stakeholder; court-event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</si>
  <si>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</si>
  <si>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</si>
  <si>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</si>
  <si>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</si>
  <si>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</si>
  <si>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</si>
  <si>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13-week liquidity and DIP need</t>
  </si>
  <si>
    <t xml:space="preserve">OPEN</t>
  </si>
  <si>
    <t xml:space="preserve">enterprise / reorganization value</t>
  </si>
  <si>
    <t xml:space="preserve">recovery by class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</si>
  <si>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</si>
  <si>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</si>
  <si>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</si>
  <si>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first day cash goes negative?</t>
  </si>
  <si>
    <t xml:space="preserve">Which creditor is the fulcrum under each value case?</t>
  </si>
  <si>
    <t xml:space="preserve">What collateral and priority actually support each claim?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</si>
  <si>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</si>
  <si>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</si>
  <si>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</si>
  <si>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liquidity miss</t>
  </si>
  <si>
    <t xml:space="preserve">vendor tightening</t>
  </si>
  <si>
    <t xml:space="preserve">priming and adequate protection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</si>
  <si>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</si>
  <si>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</si>
  <si>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</si>
  <si>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13-week cash flow and variance report</t>
  </si>
  <si>
    <t xml:space="preserve">credit agreements and intercreditor documents</t>
  </si>
  <si>
    <t xml:space="preserve">claims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</si>
  <si>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</si>
  <si>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</si>
  <si>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</si>
  <si>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weekly cash roll-forward balances</t>
  </si>
  <si>
    <t xml:space="preserve">claims map equals capital structure</t>
  </si>
  <si>
    <t xml:space="preserve">recoveries conserve distributable value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</si>
  <si>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</si>
  <si>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</si>
  <si>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</si>
  <si>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EBITDA while cash burns</t>
  </si>
  <si>
    <t xml:space="preserve">ignoring critical-vendor and professional fees</t>
  </si>
  <si>
    <t xml:space="preserve">assuming par claims without disputes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</si>
  <si>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</si>
  <si>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</si>
  <si>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</si>
  <si>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</si>
  <si>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</si>
  <si>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</si>
  <si>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</si>
  <si>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</si>
  <si>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</si>
  <si>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</si>
  <si>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</si>
  <si>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</si>
  <si>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</si>
  <si>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</si>
  <si>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</si>
  <si>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</si>
  <si>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</si>
  <si>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</si>
  <si>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</si>
  <si>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</si>
  <si>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</si>
  <si>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</si>
  <si>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</si>
  <si>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</si>
  <si>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</si>
  <si>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</si>
  <si>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</si>
  <si>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</si>
  <si>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</si>
  <si>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</si>
  <si>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</si>
  <si>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receipts/disbursements</t>
  </si>
  <si>
    <t xml:space="preserve">daily/weekly</t>
  </si>
  <si>
    <t xml:space="preserve">bank and AP/AR reconciliation</t>
  </si>
  <si>
    <t xml:space="preserve">TO MAP</t>
  </si>
  <si>
    <t xml:space="preserve">claims and debt</t>
  </si>
  <si>
    <t xml:space="preserve">event-driven</t>
  </si>
  <si>
    <t xml:space="preserve">legal status and class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</si>
  <si>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</si>
  <si>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</si>
  <si>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</si>
  <si>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</si>
  <si>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</si>
  <si>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</si>
  <si>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</si>
  <si>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</si>
  <si>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</si>
  <si>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</si>
  <si>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</si>
  <si>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</si>
  <si>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</si>
  <si>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</si>
  <si>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</si>
  <si>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</si>
  <si>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</si>
  <si>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</si>
  <si>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</si>
  <si>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</si>
  <si>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</si>
  <si>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</si>
  <si>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</si>
  <si>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13-Week Cash Flow, Minimum Liquidity, and Funding Need</t>
  </si>
  <si>
    <t xml:space="preserve">Initial unrestricted liquidity</t>
  </si>
  <si>
    <t xml:space="preserve">Minimum operating liquidity</t>
  </si>
  <si>
    <t xml:space="preserve">Week</t>
  </si>
  <si>
    <t xml:space="preserve">Beginning cash</t>
  </si>
  <si>
    <t xml:space="preserve">Receipts</t>
  </si>
  <si>
    <t xml:space="preserve">Operating disbursements</t>
  </si>
  <si>
    <t xml:space="preserve">Interest</t>
  </si>
  <si>
    <t xml:space="preserve">Professional fees</t>
  </si>
  <si>
    <t xml:space="preserve">New money</t>
  </si>
  <si>
    <t xml:space="preserve">Ending cash</t>
  </si>
  <si>
    <t xml:space="preserve">Headroom</t>
  </si>
  <si>
    <t xml:space="preserve">Minimum ending cash</t>
  </si>
  <si>
    <t xml:space="preserve">Peak funding need</t>
  </si>
  <si>
    <t xml:space="preserve">First breach week</t>
  </si>
  <si>
    <t xml:space="preserve">A 13-week schedule is an operating control: replace the illustrative weekly flows with treasury-owned receipts, disbursements, financing availability, and variance explanations.</t>
  </si>
  <si>
    <t xml:space="preserve">DIP / Rescue Financing Economics and Priority</t>
  </si>
  <si>
    <t xml:space="preserve">New-money commitment</t>
  </si>
  <si>
    <t xml:space="preserve">committed financing</t>
  </si>
  <si>
    <t xml:space="preserve">Expected draw</t>
  </si>
  <si>
    <t xml:space="preserve">peak funding need</t>
  </si>
  <si>
    <t xml:space="preserve">Upfront fee</t>
  </si>
  <si>
    <t xml:space="preserve">% of drawn amount</t>
  </si>
  <si>
    <t xml:space="preserve">Annual cash interest rate</t>
  </si>
  <si>
    <t xml:space="preserve">contractual cash coupon</t>
  </si>
  <si>
    <t xml:space="preserve">Tenor</t>
  </si>
  <si>
    <t xml:space="preserve">years</t>
  </si>
  <si>
    <t xml:space="preserve">Exit fee</t>
  </si>
  <si>
    <t xml:space="preserve">Super-priority / administrative claim</t>
  </si>
  <si>
    <t xml:space="preserve">1.0x if fully senior to prepetition claims</t>
  </si>
  <si>
    <t xml:space="preserve">Undrawn commitment</t>
  </si>
  <si>
    <t xml:space="preserve">Upfront fee amount</t>
  </si>
  <si>
    <t xml:space="preserve">Cash interest</t>
  </si>
  <si>
    <t xml:space="preserve">Exit fee amount</t>
  </si>
  <si>
    <t xml:space="preserve">Total new-money claim at exit</t>
  </si>
  <si>
    <t xml:space="preserve">Commitment sufficiency</t>
  </si>
  <si>
    <t xml:space="preserve">Priority, roll-up, milestones, collateral, avoidance risk, and adequate-protection terms require legal review and cannot be inferred from economic seniority alone.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</si>
  <si>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</si>
  <si>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</si>
  <si>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</si>
  <si>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</si>
  <si>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</si>
  <si>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</si>
  <si>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</si>
  <si>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</si>
  <si>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</si>
  <si>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</si>
  <si>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</si>
  <si>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</si>
  <si>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Distressed / Restructuring Decision Dashboard and Independent Checks</t>
  </si>
  <si>
    <t xml:space="preserve">Check / decision</t>
  </si>
  <si>
    <t xml:space="preserve">Metric</t>
  </si>
  <si>
    <t xml:space="preserve">Interpretation / action</t>
  </si>
  <si>
    <t xml:space="preserve">Waterfall conservation residual</t>
  </si>
  <si>
    <t xml:space="preserve">Distributed value must equal enterprise value available under the modeled waterfall.</t>
  </si>
  <si>
    <t xml:space="preserve">Priority ordering</t>
  </si>
  <si>
    <t xml:space="preserve">Junior recoveries may not exceed an impaired senior class under the absolute-priority model.</t>
  </si>
  <si>
    <t xml:space="preserve">The impaired class immediately below fully paid senior claims is the modeled fulcrum.</t>
  </si>
  <si>
    <t xml:space="preserve">Minimum 13-week liquidity</t>
  </si>
  <si>
    <t xml:space="preserve">Escalate a minimum-liquidity breach before the modeled cash-out date.</t>
  </si>
  <si>
    <t xml:space="preserve">New-money commitment must cover peak need plus execution contingency.</t>
  </si>
  <si>
    <t xml:space="preserve">Reorganization NPV uplift</t>
  </si>
  <si>
    <t xml:space="preserve">Reorganization should not be preferred without a supportable value advantage and feasible plan.</t>
  </si>
  <si>
    <t xml:space="preserve">New-money commitment status</t>
  </si>
  <si>
    <t xml:space="preserve">Insufficient rescue financing requires a revised operating plan, asset sale, or liquidation path.</t>
  </si>
  <si>
    <t xml:space="preserve">Equity recovery</t>
  </si>
  <si>
    <t xml:space="preserve">Equity value while a creditor class is impaired requires explicit exception analysis.</t>
  </si>
  <si>
    <t xml:space="preserve">Overall model status</t>
  </si>
  <si>
    <t xml:space="preserve">Primary decision outputs</t>
  </si>
  <si>
    <t xml:space="preserve">Enterprise value available</t>
  </si>
  <si>
    <t xml:space="preserve">Liquidation NPV</t>
  </si>
  <si>
    <t xml:space="preserve">Reorganization NPV</t>
  </si>
  <si>
    <t xml:space="preserve">Total new-money claim</t>
  </si>
  <si>
    <t xml:space="preserve">First liquidity breach week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</si>
  <si>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</si>
  <si>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</si>
  <si>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</si>
  <si>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</si>
  <si>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</si>
  <si>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</si>
  <si>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distressed-adversarial-cramdown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</si>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</sst>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"/>
    <numFmt numFmtId="168" formatCode="0.0\x"/>
    <numFmt numFmtId="169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100</v>
      </c>
      <c r="D6" s="0" t="s">
        <v>101</v>
      </c>
      <c r="J6" s="10" t="s">
        <v>98</v>
      </c>
    </row>
    <row r="7" customFormat="false" ht="15" hidden="false" customHeight="false" outlineLevel="0" collapsed="false">
      <c r="B7" s="0" t="s">
        <v>102</v>
      </c>
      <c r="C7" s="0" t="s">
        <v>103</v>
      </c>
      <c r="D7" s="0" t="s">
        <v>104</v>
      </c>
      <c r="J7" s="10" t="s">
        <v>98</v>
      </c>
    </row>
    <row r="8" customFormat="false" ht="15" hidden="false" customHeight="false" outlineLevel="0" collapsed="false">
      <c r="B8" s="0" t="s">
        <v>105</v>
      </c>
      <c r="C8" s="0" t="s">
        <v>106</v>
      </c>
      <c r="D8" s="0" t="s">
        <v>107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4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108</v>
      </c>
    </row>
    <row r="4" customFormat="false" ht="15" hidden="false" customHeight="false" outlineLevel="0" collapsed="false">
      <c r="A4" s="11"/>
      <c r="B4" s="11" t="s">
        <v>109</v>
      </c>
      <c r="C4" s="11" t="s">
        <v>110</v>
      </c>
      <c r="D4" s="11" t="s">
        <v>111</v>
      </c>
      <c r="E4" s="11" t="s">
        <v>112</v>
      </c>
      <c r="F4" s="11" t="s">
        <v>113</v>
      </c>
      <c r="G4" s="10" t="s">
        <v>114</v>
      </c>
    </row>
    <row r="5" customFormat="false" ht="15" hidden="false" customHeight="false" outlineLevel="0" collapsed="false">
      <c r="B5" s="12" t="s">
        <v>115</v>
      </c>
      <c r="C5" s="13" t="n">
        <v>15</v>
      </c>
      <c r="D5" s="3" t="n">
        <v>1</v>
      </c>
      <c r="E5" s="14" t="n">
        <f aca="false">MIN(C12,C5)</f>
        <v>15</v>
      </c>
      <c r="F5" s="15" t="n">
        <f aca="false">IFERROR(E5/C5,"-")</f>
        <v>1</v>
      </c>
      <c r="G5" s="16" t="str">
        <f aca="false">IF(AND(ISNUMBER(F5),F5&lt;1),"FULCRUM","")</f>
        <v/>
      </c>
    </row>
    <row r="6" customFormat="false" ht="15" hidden="false" customHeight="false" outlineLevel="0" collapsed="false">
      <c r="B6" s="12" t="s">
        <v>116</v>
      </c>
      <c r="C6" s="13" t="n">
        <v>80</v>
      </c>
      <c r="D6" s="3" t="n">
        <v>2</v>
      </c>
      <c r="E6" s="14" t="n">
        <f aca="false">MIN(MAX(C12-SUM(E5:E5),0),C6)</f>
        <v>80</v>
      </c>
      <c r="F6" s="15" t="n">
        <f aca="false">IFERROR(E6/C6,"-")</f>
        <v>1</v>
      </c>
      <c r="G6" s="16" t="str">
        <f aca="false">IF(AND(ISNUMBER(F6),F6&lt;1,ISNUMBER(F5),F5&gt;=1),"FULCRUM","")</f>
        <v/>
      </c>
    </row>
    <row r="7" customFormat="false" ht="15" hidden="false" customHeight="false" outlineLevel="0" collapsed="false">
      <c r="B7" s="12" t="s">
        <v>117</v>
      </c>
      <c r="C7" s="13" t="n">
        <v>20</v>
      </c>
      <c r="D7" s="3" t="n">
        <v>3</v>
      </c>
      <c r="E7" s="14" t="n">
        <f aca="false">MIN(MAX(C12-SUM(E5:E6),0),C7)</f>
        <v>5</v>
      </c>
      <c r="F7" s="15" t="n">
        <f aca="false">IFERROR(E7/C7,"-")</f>
        <v>0.25</v>
      </c>
      <c r="G7" s="16" t="str">
        <f aca="false">IF(AND(ISNUMBER(F7),F7&lt;1,ISNUMBER(F6),F6&gt;=1),"FULCRUM","")</f>
        <v>FULCRUM</v>
      </c>
    </row>
    <row r="8" customFormat="false" ht="15" hidden="false" customHeight="false" outlineLevel="0" collapsed="false">
      <c r="B8" s="12" t="s">
        <v>118</v>
      </c>
      <c r="C8" s="13" t="n">
        <v>50</v>
      </c>
      <c r="D8" s="3" t="n">
        <v>4</v>
      </c>
      <c r="E8" s="14" t="n">
        <f aca="false">MIN(MAX(C12-SUM(E5:E7),0),C8)</f>
        <v>0</v>
      </c>
      <c r="F8" s="15" t="n">
        <f aca="false">IFERROR(E8/C8,"-")</f>
        <v>0</v>
      </c>
      <c r="G8" s="16" t="str">
        <f aca="false">IF(AND(ISNUMBER(F8),F8&lt;1,ISNUMBER(F7),F7&gt;=1),"FULCRUM","")</f>
        <v/>
      </c>
    </row>
    <row r="9" customFormat="false" ht="15" hidden="false" customHeight="false" outlineLevel="0" collapsed="false">
      <c r="B9" s="12" t="s">
        <v>119</v>
      </c>
      <c r="C9" s="13" t="n">
        <v>20</v>
      </c>
      <c r="D9" s="3" t="n">
        <v>5</v>
      </c>
      <c r="E9" s="14" t="n">
        <f aca="false">MIN(MAX(C12-SUM(E5:E8),0),C9)</f>
        <v>0</v>
      </c>
      <c r="F9" s="15" t="n">
        <f aca="false">IFERROR(E9/C9,"-")</f>
        <v>0</v>
      </c>
      <c r="G9" s="16" t="str">
        <f aca="false">IF(AND(ISNUMBER(F9),F9&lt;1,ISNUMBER(F8),F8&gt;=1),"FULCRUM","")</f>
        <v/>
      </c>
    </row>
    <row r="10" customFormat="false" ht="15" hidden="false" customHeight="false" outlineLevel="0" collapsed="false">
      <c r="B10" s="12" t="s">
        <v>120</v>
      </c>
      <c r="C10" s="13" t="n">
        <v>0</v>
      </c>
      <c r="D10" s="3" t="n">
        <v>6</v>
      </c>
      <c r="E10" s="14" t="n">
        <f aca="false">MIN(MAX(C12-SUM(E5:E9),0),C10)</f>
        <v>0</v>
      </c>
      <c r="F10" s="15" t="str">
        <f aca="false">IFERROR(E10/C10,"-")</f>
        <v>-</v>
      </c>
      <c r="G10" s="16" t="str">
        <f aca="false">IF(AND(ISNUMBER(F10),F10&lt;1,ISNUMBER(F9),F9&gt;=1),"FULCRUM","")</f>
        <v/>
      </c>
    </row>
    <row r="12" customFormat="false" ht="15" hidden="false" customHeight="false" outlineLevel="0" collapsed="false">
      <c r="B12" s="0" t="s">
        <v>121</v>
      </c>
      <c r="C12" s="17" t="n">
        <v>100</v>
      </c>
    </row>
    <row r="14" customFormat="false" ht="15" hidden="false" customHeight="false" outlineLevel="0" collapsed="false">
      <c r="B14" s="18" t="s">
        <v>122</v>
      </c>
    </row>
    <row r="20" customFormat="false" ht="15" hidden="false" customHeight="false" outlineLevel="0" collapsed="false">
      <c r="B20" s="19" t="s">
        <v>123</v>
      </c>
    </row>
    <row r="21" customFormat="false" ht="15" hidden="false" customHeight="false" outlineLevel="0" collapsed="false">
      <c r="B21" s="0" t="s">
        <v>124</v>
      </c>
      <c r="C21" s="16" t="str">
        <f aca="false">IFERROR(INDEX(B5:B10,MATCH("FULCRUM",G5:G10,0)),"-")</f>
        <v>Second lien secured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125</v>
      </c>
    </row>
    <row r="3" customFormat="false" ht="15" hidden="false" customHeight="false" outlineLevel="0" collapsed="false">
      <c r="B3" s="0" t="s">
        <v>126</v>
      </c>
      <c r="C3" s="13" t="n">
        <v>5</v>
      </c>
    </row>
    <row r="4" customFormat="false" ht="15" hidden="false" customHeight="false" outlineLevel="0" collapsed="false">
      <c r="B4" s="0" t="s">
        <v>127</v>
      </c>
      <c r="C4" s="13" t="n">
        <v>5</v>
      </c>
    </row>
    <row r="6" customFormat="false" ht="15" hidden="false" customHeight="false" outlineLevel="0" collapsed="false">
      <c r="B6" s="11" t="s">
        <v>128</v>
      </c>
      <c r="C6" s="11" t="s">
        <v>129</v>
      </c>
      <c r="D6" s="11" t="s">
        <v>130</v>
      </c>
      <c r="E6" s="11" t="s">
        <v>131</v>
      </c>
      <c r="F6" s="11" t="s">
        <v>132</v>
      </c>
      <c r="G6" s="11" t="s">
        <v>133</v>
      </c>
      <c r="H6" s="11" t="s">
        <v>134</v>
      </c>
      <c r="I6" s="11" t="s">
        <v>135</v>
      </c>
      <c r="J6" s="11" t="s">
        <v>136</v>
      </c>
      <c r="K6" s="11" t="s">
        <v>29</v>
      </c>
    </row>
    <row r="7" customFormat="false" ht="15" hidden="false" customHeight="false" outlineLevel="0" collapsed="false">
      <c r="B7" s="0" t="n">
        <v>1</v>
      </c>
      <c r="C7" s="14" t="n">
        <f aca="false">$C$3</f>
        <v>5</v>
      </c>
      <c r="D7" s="13" t="n">
        <v>4</v>
      </c>
      <c r="E7" s="13" t="n">
        <v>5</v>
      </c>
      <c r="F7" s="13" t="n">
        <v>0.75</v>
      </c>
      <c r="G7" s="13" t="n">
        <v>0.75</v>
      </c>
      <c r="H7" s="13" t="n">
        <v>0</v>
      </c>
      <c r="I7" s="14" t="n">
        <f aca="false">C7+D7+H7-E7-F7-G7</f>
        <v>2.5</v>
      </c>
      <c r="J7" s="14" t="n">
        <f aca="false">I7-$C$4</f>
        <v>-2.5</v>
      </c>
      <c r="K7" s="20" t="str">
        <f aca="false">IF(J7&gt;=0,"PASS","BREACH")</f>
        <v>BREACH</v>
      </c>
    </row>
    <row r="8" customFormat="false" ht="15" hidden="false" customHeight="false" outlineLevel="0" collapsed="false">
      <c r="B8" s="0" t="n">
        <v>2</v>
      </c>
      <c r="C8" s="14" t="n">
        <f aca="false">I7</f>
        <v>2.5</v>
      </c>
      <c r="D8" s="13" t="n">
        <v>4</v>
      </c>
      <c r="E8" s="13" t="n">
        <v>5</v>
      </c>
      <c r="F8" s="13" t="n">
        <v>0.75</v>
      </c>
      <c r="G8" s="13" t="n">
        <v>0.75</v>
      </c>
      <c r="H8" s="13" t="n">
        <v>0</v>
      </c>
      <c r="I8" s="14" t="n">
        <f aca="false">C8+D8+H8-E8-F8-G8</f>
        <v>0</v>
      </c>
      <c r="J8" s="14" t="n">
        <f aca="false">I8-$C$4</f>
        <v>-5</v>
      </c>
      <c r="K8" s="20" t="str">
        <f aca="false">IF(J8&gt;=0,"PASS","BREACH")</f>
        <v>BREACH</v>
      </c>
    </row>
    <row r="9" customFormat="false" ht="15" hidden="false" customHeight="false" outlineLevel="0" collapsed="false">
      <c r="B9" s="0" t="n">
        <v>3</v>
      </c>
      <c r="C9" s="14" t="n">
        <f aca="false">I8</f>
        <v>0</v>
      </c>
      <c r="D9" s="13" t="n">
        <v>4</v>
      </c>
      <c r="E9" s="13" t="n">
        <v>5</v>
      </c>
      <c r="F9" s="13" t="n">
        <v>0.75</v>
      </c>
      <c r="G9" s="13" t="n">
        <v>0.75</v>
      </c>
      <c r="H9" s="13" t="n">
        <v>0</v>
      </c>
      <c r="I9" s="14" t="n">
        <f aca="false">C9+D9+H9-E9-F9-G9</f>
        <v>-2.5</v>
      </c>
      <c r="J9" s="14" t="n">
        <f aca="false">I9-$C$4</f>
        <v>-7.5</v>
      </c>
      <c r="K9" s="20" t="str">
        <f aca="false">IF(J9&gt;=0,"PASS","BREACH")</f>
        <v>BREACH</v>
      </c>
    </row>
    <row r="10" customFormat="false" ht="15" hidden="false" customHeight="false" outlineLevel="0" collapsed="false">
      <c r="B10" s="0" t="n">
        <v>4</v>
      </c>
      <c r="C10" s="14" t="n">
        <f aca="false">I9</f>
        <v>-2.5</v>
      </c>
      <c r="D10" s="13" t="n">
        <v>4</v>
      </c>
      <c r="E10" s="13" t="n">
        <v>5</v>
      </c>
      <c r="F10" s="13" t="n">
        <v>0.75</v>
      </c>
      <c r="G10" s="13" t="n">
        <v>0.75</v>
      </c>
      <c r="H10" s="13" t="n">
        <v>0</v>
      </c>
      <c r="I10" s="14" t="n">
        <f aca="false">C10+D10+H10-E10-F10-G10</f>
        <v>-5</v>
      </c>
      <c r="J10" s="14" t="n">
        <f aca="false">I10-$C$4</f>
        <v>-10</v>
      </c>
      <c r="K10" s="20" t="str">
        <f aca="false">IF(J10&gt;=0,"PASS","BREACH")</f>
        <v>BREACH</v>
      </c>
    </row>
    <row r="11" customFormat="false" ht="15" hidden="false" customHeight="false" outlineLevel="0" collapsed="false">
      <c r="B11" s="0" t="n">
        <v>5</v>
      </c>
      <c r="C11" s="14" t="n">
        <f aca="false">I10</f>
        <v>-5</v>
      </c>
      <c r="D11" s="13" t="n">
        <v>4</v>
      </c>
      <c r="E11" s="13" t="n">
        <v>5</v>
      </c>
      <c r="F11" s="13" t="n">
        <v>0.75</v>
      </c>
      <c r="G11" s="13" t="n">
        <v>0.75</v>
      </c>
      <c r="H11" s="13" t="n">
        <v>0</v>
      </c>
      <c r="I11" s="14" t="n">
        <f aca="false">C11+D11+H11-E11-F11-G11</f>
        <v>-7.5</v>
      </c>
      <c r="J11" s="14" t="n">
        <f aca="false">I11-$C$4</f>
        <v>-12.5</v>
      </c>
      <c r="K11" s="20" t="str">
        <f aca="false">IF(J11&gt;=0,"PASS","BREACH")</f>
        <v>BREACH</v>
      </c>
    </row>
    <row r="12" customFormat="false" ht="15" hidden="false" customHeight="false" outlineLevel="0" collapsed="false">
      <c r="B12" s="0" t="n">
        <v>6</v>
      </c>
      <c r="C12" s="14" t="n">
        <f aca="false">I11</f>
        <v>-7.5</v>
      </c>
      <c r="D12" s="13" t="n">
        <v>4</v>
      </c>
      <c r="E12" s="13" t="n">
        <v>5</v>
      </c>
      <c r="F12" s="13" t="n">
        <v>0.75</v>
      </c>
      <c r="G12" s="13" t="n">
        <v>0.75</v>
      </c>
      <c r="H12" s="13" t="n">
        <v>0</v>
      </c>
      <c r="I12" s="14" t="n">
        <f aca="false">C12+D12+H12-E12-F12-G12</f>
        <v>-10</v>
      </c>
      <c r="J12" s="14" t="n">
        <f aca="false">I12-$C$4</f>
        <v>-15</v>
      </c>
      <c r="K12" s="20" t="str">
        <f aca="false">IF(J12&gt;=0,"PASS","BREACH")</f>
        <v>BREACH</v>
      </c>
    </row>
    <row r="13" customFormat="false" ht="15" hidden="false" customHeight="false" outlineLevel="0" collapsed="false">
      <c r="B13" s="0" t="n">
        <v>7</v>
      </c>
      <c r="C13" s="14" t="n">
        <f aca="false">I12</f>
        <v>-10</v>
      </c>
      <c r="D13" s="13" t="n">
        <v>4</v>
      </c>
      <c r="E13" s="13" t="n">
        <v>5</v>
      </c>
      <c r="F13" s="13" t="n">
        <v>0.75</v>
      </c>
      <c r="G13" s="13" t="n">
        <v>0.75</v>
      </c>
      <c r="H13" s="13" t="n">
        <v>0</v>
      </c>
      <c r="I13" s="14" t="n">
        <f aca="false">C13+D13+H13-E13-F13-G13</f>
        <v>-12.5</v>
      </c>
      <c r="J13" s="14" t="n">
        <f aca="false">I13-$C$4</f>
        <v>-17.5</v>
      </c>
      <c r="K13" s="20" t="str">
        <f aca="false">IF(J13&gt;=0,"PASS","BREACH")</f>
        <v>BREACH</v>
      </c>
    </row>
    <row r="14" customFormat="false" ht="15" hidden="false" customHeight="false" outlineLevel="0" collapsed="false">
      <c r="B14" s="0" t="n">
        <v>8</v>
      </c>
      <c r="C14" s="14" t="n">
        <f aca="false">I13</f>
        <v>-12.5</v>
      </c>
      <c r="D14" s="13" t="n">
        <v>4</v>
      </c>
      <c r="E14" s="13" t="n">
        <v>5</v>
      </c>
      <c r="F14" s="13" t="n">
        <v>0.75</v>
      </c>
      <c r="G14" s="13" t="n">
        <v>0.75</v>
      </c>
      <c r="H14" s="13" t="n">
        <v>0</v>
      </c>
      <c r="I14" s="14" t="n">
        <f aca="false">C14+D14+H14-E14-F14-G14</f>
        <v>-15</v>
      </c>
      <c r="J14" s="14" t="n">
        <f aca="false">I14-$C$4</f>
        <v>-20</v>
      </c>
      <c r="K14" s="20" t="str">
        <f aca="false">IF(J14&gt;=0,"PASS","BREACH")</f>
        <v>BREACH</v>
      </c>
    </row>
    <row r="15" customFormat="false" ht="15" hidden="false" customHeight="false" outlineLevel="0" collapsed="false">
      <c r="B15" s="0" t="n">
        <v>9</v>
      </c>
      <c r="C15" s="14" t="n">
        <f aca="false">I14</f>
        <v>-15</v>
      </c>
      <c r="D15" s="13" t="n">
        <v>4</v>
      </c>
      <c r="E15" s="13" t="n">
        <v>5</v>
      </c>
      <c r="F15" s="13" t="n">
        <v>0.75</v>
      </c>
      <c r="G15" s="13" t="n">
        <v>0.75</v>
      </c>
      <c r="H15" s="13" t="n">
        <v>0</v>
      </c>
      <c r="I15" s="14" t="n">
        <f aca="false">C15+D15+H15-E15-F15-G15</f>
        <v>-17.5</v>
      </c>
      <c r="J15" s="14" t="n">
        <f aca="false">I15-$C$4</f>
        <v>-22.5</v>
      </c>
      <c r="K15" s="20" t="str">
        <f aca="false">IF(J15&gt;=0,"PASS","BREACH")</f>
        <v>BREACH</v>
      </c>
    </row>
    <row r="16" customFormat="false" ht="15" hidden="false" customHeight="false" outlineLevel="0" collapsed="false">
      <c r="B16" s="0" t="n">
        <v>10</v>
      </c>
      <c r="C16" s="14" t="n">
        <f aca="false">I15</f>
        <v>-17.5</v>
      </c>
      <c r="D16" s="13" t="n">
        <v>4</v>
      </c>
      <c r="E16" s="13" t="n">
        <v>5</v>
      </c>
      <c r="F16" s="13" t="n">
        <v>0.75</v>
      </c>
      <c r="G16" s="13" t="n">
        <v>0.75</v>
      </c>
      <c r="H16" s="13" t="n">
        <v>0</v>
      </c>
      <c r="I16" s="14" t="n">
        <f aca="false">C16+D16+H16-E16-F16-G16</f>
        <v>-20</v>
      </c>
      <c r="J16" s="14" t="n">
        <f aca="false">I16-$C$4</f>
        <v>-25</v>
      </c>
      <c r="K16" s="20" t="str">
        <f aca="false">IF(J16&gt;=0,"PASS","BREACH")</f>
        <v>BREACH</v>
      </c>
    </row>
    <row r="17" customFormat="false" ht="15" hidden="false" customHeight="false" outlineLevel="0" collapsed="false">
      <c r="B17" s="0" t="n">
        <v>11</v>
      </c>
      <c r="C17" s="14" t="n">
        <f aca="false">I16</f>
        <v>-20</v>
      </c>
      <c r="D17" s="13" t="n">
        <v>4</v>
      </c>
      <c r="E17" s="13" t="n">
        <v>5</v>
      </c>
      <c r="F17" s="13" t="n">
        <v>0.75</v>
      </c>
      <c r="G17" s="13" t="n">
        <v>0.75</v>
      </c>
      <c r="H17" s="13" t="n">
        <v>0</v>
      </c>
      <c r="I17" s="14" t="n">
        <f aca="false">C17+D17+H17-E17-F17-G17</f>
        <v>-22.5</v>
      </c>
      <c r="J17" s="14" t="n">
        <f aca="false">I17-$C$4</f>
        <v>-27.5</v>
      </c>
      <c r="K17" s="20" t="str">
        <f aca="false">IF(J17&gt;=0,"PASS","BREACH")</f>
        <v>BREACH</v>
      </c>
    </row>
    <row r="18" customFormat="false" ht="15" hidden="false" customHeight="false" outlineLevel="0" collapsed="false">
      <c r="B18" s="0" t="n">
        <v>12</v>
      </c>
      <c r="C18" s="14" t="n">
        <f aca="false">I17</f>
        <v>-22.5</v>
      </c>
      <c r="D18" s="13" t="n">
        <v>4</v>
      </c>
      <c r="E18" s="13" t="n">
        <v>5</v>
      </c>
      <c r="F18" s="13" t="n">
        <v>0.75</v>
      </c>
      <c r="G18" s="13" t="n">
        <v>0.75</v>
      </c>
      <c r="H18" s="13" t="n">
        <v>0</v>
      </c>
      <c r="I18" s="14" t="n">
        <f aca="false">C18+D18+H18-E18-F18-G18</f>
        <v>-25</v>
      </c>
      <c r="J18" s="14" t="n">
        <f aca="false">I18-$C$4</f>
        <v>-30</v>
      </c>
      <c r="K18" s="20" t="str">
        <f aca="false">IF(J18&gt;=0,"PASS","BREACH")</f>
        <v>BREACH</v>
      </c>
    </row>
    <row r="19" customFormat="false" ht="15" hidden="false" customHeight="false" outlineLevel="0" collapsed="false">
      <c r="B19" s="0" t="n">
        <v>13</v>
      </c>
      <c r="C19" s="14" t="n">
        <f aca="false">I18</f>
        <v>-25</v>
      </c>
      <c r="D19" s="13" t="n">
        <v>4</v>
      </c>
      <c r="E19" s="13" t="n">
        <v>5</v>
      </c>
      <c r="F19" s="13" t="n">
        <v>0.75</v>
      </c>
      <c r="G19" s="13" t="n">
        <v>0.75</v>
      </c>
      <c r="H19" s="13" t="n">
        <v>0</v>
      </c>
      <c r="I19" s="14" t="n">
        <f aca="false">C19+D19+H19-E19-F19-G19</f>
        <v>-27.5</v>
      </c>
      <c r="J19" s="14" t="n">
        <f aca="false">I19-$C$4</f>
        <v>-32.5</v>
      </c>
      <c r="K19" s="20" t="str">
        <f aca="false">IF(J19&gt;=0,"PASS","BREACH")</f>
        <v>BREACH</v>
      </c>
    </row>
    <row r="22" customFormat="false" ht="15" hidden="false" customHeight="false" outlineLevel="0" collapsed="false">
      <c r="B22" s="0" t="s">
        <v>137</v>
      </c>
      <c r="C22" s="14" t="n">
        <f aca="false">MIN(I7:I19)</f>
        <v>-27.5</v>
      </c>
    </row>
    <row r="23" customFormat="false" ht="15" hidden="false" customHeight="false" outlineLevel="0" collapsed="false">
      <c r="B23" s="0" t="s">
        <v>138</v>
      </c>
      <c r="C23" s="14" t="n">
        <f aca="false">MAX(0,-MIN(J7:J19))</f>
        <v>32.5</v>
      </c>
    </row>
    <row r="24" customFormat="false" ht="15" hidden="false" customHeight="false" outlineLevel="0" collapsed="false">
      <c r="B24" s="0" t="s">
        <v>139</v>
      </c>
      <c r="C24" s="20" t="n">
        <f aca="false">IFERROR(MATCH("BREACH",K7:K19,0),"-")</f>
        <v>1</v>
      </c>
    </row>
    <row r="26" customFormat="false" ht="15" hidden="false" customHeight="false" outlineLevel="0" collapsed="false">
      <c r="B26" s="1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141</v>
      </c>
    </row>
    <row r="5" customFormat="false" ht="15" hidden="false" customHeight="false" outlineLevel="0" collapsed="false">
      <c r="B5" s="0" t="s">
        <v>142</v>
      </c>
      <c r="C5" s="13" t="n">
        <v>5</v>
      </c>
      <c r="D5" s="10" t="s">
        <v>143</v>
      </c>
    </row>
    <row r="6" customFormat="false" ht="15" hidden="false" customHeight="false" outlineLevel="0" collapsed="false">
      <c r="B6" s="0" t="s">
        <v>144</v>
      </c>
      <c r="C6" s="14" t="n">
        <f aca="false">'13-Week Liquidity'!C23</f>
        <v>32.5</v>
      </c>
      <c r="D6" s="10" t="s">
        <v>145</v>
      </c>
    </row>
    <row r="7" customFormat="false" ht="15" hidden="false" customHeight="false" outlineLevel="0" collapsed="false">
      <c r="B7" s="0" t="s">
        <v>146</v>
      </c>
      <c r="C7" s="21" t="n">
        <v>0.05</v>
      </c>
      <c r="D7" s="10" t="s">
        <v>147</v>
      </c>
    </row>
    <row r="8" customFormat="false" ht="15" hidden="false" customHeight="false" outlineLevel="0" collapsed="false">
      <c r="B8" s="0" t="s">
        <v>148</v>
      </c>
      <c r="C8" s="21" t="n">
        <v>0.18</v>
      </c>
      <c r="D8" s="10" t="s">
        <v>149</v>
      </c>
    </row>
    <row r="9" customFormat="false" ht="15" hidden="false" customHeight="false" outlineLevel="0" collapsed="false">
      <c r="B9" s="0" t="s">
        <v>150</v>
      </c>
      <c r="C9" s="22" t="n">
        <v>1</v>
      </c>
      <c r="D9" s="10" t="s">
        <v>151</v>
      </c>
    </row>
    <row r="10" customFormat="false" ht="15" hidden="false" customHeight="false" outlineLevel="0" collapsed="false">
      <c r="B10" s="0" t="s">
        <v>152</v>
      </c>
      <c r="C10" s="21" t="n">
        <v>0.1</v>
      </c>
      <c r="D10" s="10" t="s">
        <v>147</v>
      </c>
    </row>
    <row r="11" customFormat="false" ht="15" hidden="false" customHeight="false" outlineLevel="0" collapsed="false">
      <c r="B11" s="0" t="s">
        <v>153</v>
      </c>
      <c r="C11" s="23" t="n">
        <v>1</v>
      </c>
      <c r="D11" s="10" t="s">
        <v>154</v>
      </c>
    </row>
    <row r="14" customFormat="false" ht="15" hidden="false" customHeight="false" outlineLevel="0" collapsed="false">
      <c r="B14" s="0" t="s">
        <v>155</v>
      </c>
      <c r="C14" s="14" t="n">
        <f aca="false">MAX(0,C5-C6)</f>
        <v>0</v>
      </c>
    </row>
    <row r="15" customFormat="false" ht="15" hidden="false" customHeight="false" outlineLevel="0" collapsed="false">
      <c r="B15" s="0" t="s">
        <v>156</v>
      </c>
      <c r="C15" s="14" t="n">
        <f aca="false">C6*C7</f>
        <v>1.625</v>
      </c>
    </row>
    <row r="16" customFormat="false" ht="15" hidden="false" customHeight="false" outlineLevel="0" collapsed="false">
      <c r="B16" s="0" t="s">
        <v>157</v>
      </c>
      <c r="C16" s="14" t="n">
        <f aca="false">C6*C8*C9</f>
        <v>5.85</v>
      </c>
    </row>
    <row r="17" customFormat="false" ht="15" hidden="false" customHeight="false" outlineLevel="0" collapsed="false">
      <c r="B17" s="0" t="s">
        <v>158</v>
      </c>
      <c r="C17" s="14" t="n">
        <f aca="false">C6*C10</f>
        <v>3.25</v>
      </c>
    </row>
    <row r="18" customFormat="false" ht="15" hidden="false" customHeight="false" outlineLevel="0" collapsed="false">
      <c r="B18" s="0" t="s">
        <v>159</v>
      </c>
      <c r="C18" s="14" t="n">
        <f aca="false">C6+C15+C16+C17</f>
        <v>43.225</v>
      </c>
    </row>
    <row r="19" customFormat="false" ht="15" hidden="false" customHeight="false" outlineLevel="0" collapsed="false">
      <c r="B19" s="0" t="s">
        <v>160</v>
      </c>
      <c r="C19" s="20" t="str">
        <f aca="false">IF(C5&gt;=C6,"PASS","BREACH")</f>
        <v>BREACH</v>
      </c>
    </row>
    <row r="21" customFormat="false" ht="15" hidden="false" customHeight="false" outlineLevel="0" collapsed="false">
      <c r="B21" s="1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C4" s="11" t="s">
        <v>163</v>
      </c>
      <c r="D4" s="11" t="s">
        <v>164</v>
      </c>
      <c r="E4" s="11" t="s">
        <v>165</v>
      </c>
    </row>
    <row r="5" customFormat="false" ht="15" hidden="false" customHeight="false" outlineLevel="0" collapsed="false">
      <c r="B5" s="0" t="s">
        <v>166</v>
      </c>
      <c r="C5" s="13" t="n">
        <v>140</v>
      </c>
      <c r="D5" s="13" t="n">
        <v>110</v>
      </c>
    </row>
    <row r="6" customFormat="false" ht="15" hidden="false" customHeight="false" outlineLevel="0" collapsed="false">
      <c r="B6" s="0" t="s">
        <v>167</v>
      </c>
      <c r="C6" s="13" t="n">
        <v>20</v>
      </c>
      <c r="D6" s="20"/>
    </row>
    <row r="7" customFormat="false" ht="15" hidden="false" customHeight="false" outlineLevel="0" collapsed="false">
      <c r="B7" s="0" t="s">
        <v>168</v>
      </c>
      <c r="C7" s="13" t="n">
        <v>10</v>
      </c>
      <c r="D7" s="13" t="n">
        <v>10</v>
      </c>
    </row>
    <row r="8" customFormat="false" ht="15" hidden="false" customHeight="false" outlineLevel="0" collapsed="false">
      <c r="B8" s="0" t="s">
        <v>169</v>
      </c>
      <c r="C8" s="24" t="n">
        <v>6</v>
      </c>
      <c r="D8" s="24" t="n">
        <v>24</v>
      </c>
    </row>
    <row r="9" customFormat="false" ht="15" hidden="false" customHeight="false" outlineLevel="0" collapsed="false">
      <c r="B9" s="0" t="s">
        <v>170</v>
      </c>
      <c r="C9" s="21" t="n">
        <v>0.2</v>
      </c>
      <c r="D9" s="20"/>
    </row>
    <row r="10" customFormat="false" ht="15" hidden="false" customHeight="false" outlineLevel="0" collapsed="false">
      <c r="C10" s="20"/>
      <c r="D10" s="20"/>
    </row>
    <row r="11" customFormat="false" ht="15" hidden="false" customHeight="false" outlineLevel="0" collapsed="false">
      <c r="B11" s="0" t="s">
        <v>171</v>
      </c>
      <c r="C11" s="14" t="n">
        <f aca="false">C5-C6-C7</f>
        <v>110</v>
      </c>
      <c r="D11" s="14" t="n">
        <f aca="false">D5-D7</f>
        <v>100</v>
      </c>
    </row>
    <row r="12" customFormat="false" ht="15" hidden="false" customHeight="false" outlineLevel="0" collapsed="false">
      <c r="B12" s="0" t="s">
        <v>172</v>
      </c>
      <c r="C12" s="25" t="n">
        <f aca="false">C11/(1+$C$9)^(C8/12)</f>
        <v>100.41580220928</v>
      </c>
      <c r="D12" s="25" t="n">
        <f aca="false">D11/(1+$C$9)^(D8/12)</f>
        <v>69.4444444444444</v>
      </c>
      <c r="E12" s="19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174</v>
      </c>
    </row>
    <row r="4" customFormat="false" ht="15" hidden="false" customHeight="false" outlineLevel="0" collapsed="false">
      <c r="B4" s="11" t="s">
        <v>175</v>
      </c>
      <c r="C4" s="11" t="s">
        <v>176</v>
      </c>
      <c r="D4" s="11" t="s">
        <v>29</v>
      </c>
      <c r="E4" s="11" t="s">
        <v>177</v>
      </c>
    </row>
    <row r="5" customFormat="false" ht="15" hidden="false" customHeight="false" outlineLevel="0" collapsed="false">
      <c r="B5" s="0" t="s">
        <v>178</v>
      </c>
      <c r="C5" s="20" t="n">
        <f aca="false">'Recovery Waterfall'!C12-SUM('Recovery Waterfall'!E5:E10)</f>
        <v>0</v>
      </c>
      <c r="D5" s="20" t="str">
        <f aca="false">IF(ABS(C5)&lt;0.01,"PASS","FAIL")</f>
        <v>PASS</v>
      </c>
      <c r="E5" s="10" t="s">
        <v>179</v>
      </c>
    </row>
    <row r="6" customFormat="false" ht="15" hidden="false" customHeight="false" outlineLevel="0" collapsed="false">
      <c r="B6" s="0" t="s">
        <v>180</v>
      </c>
      <c r="C6" s="20" t="n">
        <f aca="false">MIN(IF(AND(ISNUMBER('Recovery Waterfall'!F5),ISNUMBER('Recovery Waterfall'!F6)),'Recovery Waterfall'!F5-'Recovery Waterfall'!F6,0),IF(AND(ISNUMBER('Recovery Waterfall'!F6),ISNUMBER('Recovery Waterfall'!F7)),'Recovery Waterfall'!F6-'Recovery Waterfall'!F7,0),IF(AND(ISNUMBER('Recovery Waterfall'!F7),ISNUMBER('Recovery Waterfall'!F8)),'Recovery Waterfall'!F7-'Recovery Waterfall'!F8,0),IF(AND(ISNUMBER('Recovery Waterfall'!F8),ISNUMBER('Recovery Waterfall'!F9)),'Recovery Waterfall'!F8-'Recovery Waterfall'!F9,0))</f>
        <v>0</v>
      </c>
      <c r="D6" s="20" t="str">
        <f aca="false">IF(C6&gt;=-0.000001,"PASS","FAIL")</f>
        <v>PASS</v>
      </c>
      <c r="E6" s="10" t="s">
        <v>181</v>
      </c>
    </row>
    <row r="7" customFormat="false" ht="15" hidden="false" customHeight="false" outlineLevel="0" collapsed="false">
      <c r="B7" s="0" t="s">
        <v>124</v>
      </c>
      <c r="C7" s="20" t="str">
        <f aca="false">'Recovery Waterfall'!C21</f>
        <v>Second lien secured</v>
      </c>
      <c r="D7" s="20" t="str">
        <f aca="false">IF(C7="-","REVIEW","PASS")</f>
        <v>PASS</v>
      </c>
      <c r="E7" s="10" t="s">
        <v>182</v>
      </c>
    </row>
    <row r="8" customFormat="false" ht="15" hidden="false" customHeight="false" outlineLevel="0" collapsed="false">
      <c r="B8" s="0" t="s">
        <v>183</v>
      </c>
      <c r="C8" s="14" t="n">
        <f aca="false">'13-Week Liquidity'!C22</f>
        <v>-27.5</v>
      </c>
      <c r="D8" s="20" t="str">
        <f aca="false">IF(C8&gt;='13-Week Liquidity'!C4,"PASS","BREACH")</f>
        <v>BREACH</v>
      </c>
      <c r="E8" s="10" t="s">
        <v>184</v>
      </c>
    </row>
    <row r="9" customFormat="false" ht="15" hidden="false" customHeight="false" outlineLevel="0" collapsed="false">
      <c r="B9" s="0" t="s">
        <v>138</v>
      </c>
      <c r="C9" s="14" t="n">
        <f aca="false">'13-Week Liquidity'!C23</f>
        <v>32.5</v>
      </c>
      <c r="D9" s="20" t="str">
        <f aca="false">IF(C9&lt;='New Money'!C5,"PASS","BREACH")</f>
        <v>BREACH</v>
      </c>
      <c r="E9" s="10" t="s">
        <v>185</v>
      </c>
    </row>
    <row r="10" customFormat="false" ht="15" hidden="false" customHeight="false" outlineLevel="0" collapsed="false">
      <c r="B10" s="0" t="s">
        <v>186</v>
      </c>
      <c r="C10" s="20" t="n">
        <f aca="false">'Liquidation vs Reorg'!D12-'Liquidation vs Reorg'!C12</f>
        <v>-30.971357764836</v>
      </c>
      <c r="D10" s="20" t="str">
        <f aca="false">IF(C10&gt;=0,"PASS","REVIEW")</f>
        <v>REVIEW</v>
      </c>
      <c r="E10" s="10" t="s">
        <v>187</v>
      </c>
    </row>
    <row r="11" customFormat="false" ht="15" hidden="false" customHeight="false" outlineLevel="0" collapsed="false">
      <c r="B11" s="0" t="s">
        <v>188</v>
      </c>
      <c r="C11" s="20" t="str">
        <f aca="false">'New Money'!C19</f>
        <v>BREACH</v>
      </c>
      <c r="D11" s="20" t="str">
        <f aca="false">IF(C11="PASS","PASS","BREACH")</f>
        <v>BREACH</v>
      </c>
      <c r="E11" s="10" t="s">
        <v>189</v>
      </c>
    </row>
    <row r="12" customFormat="false" ht="15" hidden="false" customHeight="false" outlineLevel="0" collapsed="false">
      <c r="B12" s="0" t="s">
        <v>190</v>
      </c>
      <c r="C12" s="14" t="n">
        <f aca="false">'Recovery Waterfall'!E10</f>
        <v>0</v>
      </c>
      <c r="D12" s="20" t="str">
        <f aca="false">IF(C12&gt;0,"REVIEW","PASS")</f>
        <v>PASS</v>
      </c>
      <c r="E12" s="10" t="s">
        <v>191</v>
      </c>
    </row>
    <row r="14" customFormat="false" ht="15" hidden="false" customHeight="false" outlineLevel="0" collapsed="false">
      <c r="B14" s="2" t="s">
        <v>192</v>
      </c>
      <c r="C14" s="16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18" t="s">
        <v>193</v>
      </c>
    </row>
    <row r="17" customFormat="false" ht="15" hidden="false" customHeight="false" outlineLevel="0" collapsed="false">
      <c r="B17" s="0" t="s">
        <v>194</v>
      </c>
      <c r="C17" s="14" t="n">
        <f aca="false">'Recovery Waterfall'!C12</f>
        <v>100</v>
      </c>
    </row>
    <row r="18" customFormat="false" ht="15" hidden="false" customHeight="false" outlineLevel="0" collapsed="false">
      <c r="B18" s="0" t="s">
        <v>124</v>
      </c>
      <c r="C18" s="20" t="str">
        <f aca="false">'Recovery Waterfall'!C21</f>
        <v>Second lien secured</v>
      </c>
    </row>
    <row r="19" customFormat="false" ht="15" hidden="false" customHeight="false" outlineLevel="0" collapsed="false">
      <c r="B19" s="0" t="s">
        <v>195</v>
      </c>
      <c r="C19" s="14" t="n">
        <f aca="false">'Liquidation vs Reorg'!C12</f>
        <v>100.41580220928</v>
      </c>
    </row>
    <row r="20" customFormat="false" ht="15" hidden="false" customHeight="false" outlineLevel="0" collapsed="false">
      <c r="B20" s="0" t="s">
        <v>196</v>
      </c>
      <c r="C20" s="14" t="n">
        <f aca="false">'Liquidation vs Reorg'!D12</f>
        <v>69.4444444444444</v>
      </c>
    </row>
    <row r="21" customFormat="false" ht="15" hidden="false" customHeight="false" outlineLevel="0" collapsed="false">
      <c r="B21" s="0" t="s">
        <v>138</v>
      </c>
      <c r="C21" s="14" t="n">
        <f aca="false">'13-Week Liquidity'!C23</f>
        <v>32.5</v>
      </c>
    </row>
    <row r="22" customFormat="false" ht="15" hidden="false" customHeight="false" outlineLevel="0" collapsed="false">
      <c r="B22" s="0" t="s">
        <v>197</v>
      </c>
      <c r="C22" s="14" t="n">
        <f aca="false">'New Money'!C18</f>
        <v>43.225</v>
      </c>
    </row>
    <row r="23" customFormat="false" ht="15" hidden="false" customHeight="false" outlineLevel="0" collapsed="false">
      <c r="B23" s="0" t="s">
        <v>198</v>
      </c>
      <c r="C23" s="26" t="n">
        <f aca="false">'13-Week Liquidity'!C24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80</v>
      </c>
      <c r="C4" s="11" t="s">
        <v>200</v>
      </c>
      <c r="D4" s="11" t="s">
        <v>201</v>
      </c>
      <c r="E4" s="11" t="s">
        <v>202</v>
      </c>
      <c r="F4" s="11" t="s">
        <v>203</v>
      </c>
    </row>
    <row r="5" customFormat="false" ht="15" hidden="false" customHeight="false" outlineLevel="0" collapsed="false">
      <c r="B5" s="20" t="s">
        <v>6</v>
      </c>
      <c r="C5" s="20" t="s">
        <v>204</v>
      </c>
      <c r="D5" s="20" t="s">
        <v>205</v>
      </c>
      <c r="E5" s="20" t="s">
        <v>206</v>
      </c>
      <c r="F5" s="20" t="s">
        <v>207</v>
      </c>
    </row>
    <row r="6" customFormat="false" ht="15" hidden="false" customHeight="false" outlineLevel="0" collapsed="false">
      <c r="B6" s="20"/>
      <c r="C6" s="20"/>
      <c r="D6" s="20"/>
      <c r="E6" s="20"/>
      <c r="F6" s="20"/>
    </row>
    <row r="7" customFormat="false" ht="15" hidden="false" customHeight="false" outlineLevel="0" collapsed="false">
      <c r="B7" s="20"/>
      <c r="C7" s="20"/>
      <c r="D7" s="20"/>
      <c r="E7" s="20"/>
      <c r="F7" s="20"/>
    </row>
    <row r="8" customFormat="false" ht="15" hidden="false" customHeight="false" outlineLevel="0" collapsed="false">
      <c r="B8" s="20"/>
      <c r="C8" s="20"/>
      <c r="D8" s="20"/>
      <c r="E8" s="20"/>
      <c r="F8" s="20"/>
    </row>
    <row r="9" customFormat="false" ht="15" hidden="false" customHeight="false" outlineLevel="0" collapsed="false">
      <c r="B9" s="20"/>
      <c r="C9" s="20"/>
      <c r="D9" s="20"/>
      <c r="E9" s="20"/>
      <c r="F9" s="20"/>
    </row>
    <row r="10" customFormat="false" ht="15" hidden="false" customHeight="false" outlineLevel="0" collapsed="false">
      <c r="B10" s="20"/>
      <c r="C10" s="20"/>
      <c r="D10" s="20"/>
      <c r="E10" s="20"/>
      <c r="F10" s="20"/>
    </row>
    <row r="11" customFormat="false" ht="15" hidden="false" customHeight="false" outlineLevel="0" collapsed="false">
      <c r="B11" s="20"/>
      <c r="C11" s="20"/>
      <c r="D11" s="20"/>
      <c r="E11" s="20"/>
      <c r="F11" s="20"/>
    </row>
    <row r="12" customFormat="false" ht="15" hidden="false" customHeight="false" outlineLevel="0" collapsed="false">
      <c r="B12" s="20"/>
      <c r="C12" s="20"/>
      <c r="D12" s="20"/>
      <c r="E12" s="20"/>
      <c r="F12" s="20"/>
    </row>
    <row r="13" customFormat="false" ht="15" hidden="false" customHeight="false" outlineLevel="0" collapsed="false">
      <c r="B13" s="20"/>
      <c r="C13" s="20"/>
      <c r="D13" s="20"/>
      <c r="E13" s="20"/>
      <c r="F13" s="20"/>
    </row>
    <row r="14" customFormat="false" ht="15" hidden="false" customHeight="false" outlineLevel="0" collapsed="false">
      <c r="B14" s="20"/>
      <c r="C14" s="20"/>
      <c r="D14" s="20"/>
      <c r="E14" s="20"/>
      <c r="F14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2026-08-04T15:32:33Z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