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Recovery Waterfall" sheetId="5" state="visible" r:id="rId7"/>
    <sheet name="13-Week Liquidity" sheetId="6" state="visible" r:id="rId8"/>
    <sheet name="New Money" sheetId="7" state="visible" r:id="rId9"/>
    <sheet name="Liquidation vs Reorg" sheetId="8" state="visible" r:id="rId10"/>
    <sheet name="Decision &amp; Checks" sheetId="9" state="visible" r:id="rId11"/>
    <sheet name="RefreshLog" sheetId="10" state="visible" r:id="rId12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<sst xmlns="http://schemas.openxmlformats.org/spreadsheetml/2006/main" count="288" uniqueCount="209">
  <si>
    <t xml:space="preserve">[COMPANY] — Distressed / Restructuring Model</t>
  </si>
  <si>
    <t xml:space="preserve">Situation type:</t>
  </si>
  <si>
    <t xml:space="preserve">Chapter 11 / Out-of-court / Chapter 7</t>
  </si>
  <si>
    <t xml:space="preserve">Petition/filing date:</t>
  </si>
  <si>
    <t xml:space="preserve">[date]</t>
  </si>
  <si>
    <t xml:space="preserve">Last refreshed:</t>
  </si>
  <si>
    <t xml:space="preserve">2021-06-30</t>
  </si>
  <si>
    <t xml:space="preserve">Refresh cadence:</t>
  </si>
  <si>
    <t xml:space="preserve">Weekly (daily near key dates)</t>
  </si>
  <si>
    <t xml:space="preserve">Distressed &amp; Restructuring — Institutional Decision Surface</t>
  </si>
  <si>
    <t xml:space="preserve">Model ID</t>
  </si>
  <si>
    <t xml:space="preserve">24</t>
  </si>
  <si>
    <t xml:space="preserve">Domain</t>
  </si>
  <si>
    <t xml:space="preserve">Distressed &amp; Restructuring</t>
  </si>
  <si>
    <t xml:space="preserve">Declared maturity</t>
  </si>
  <si>
    <t xml:space="preserve">M2</t>
  </si>
  <si>
    <t xml:space="preserve">Canonical builder</t>
  </si>
  <si>
    <t xml:space="preserve">tools/builders/build_restructuring_release.py</t>
  </si>
  <si>
    <t xml:space="preserve">Decision arena</t>
  </si>
  <si>
    <t xml:space="preserve">debtor, creditor groups, advisors, court and new-money providers</t>
  </si>
  <si>
    <t xml:space="preserve">Committee artifact</t>
  </si>
  <si>
    <t xml:space="preserve">13-week liquidity, recovery and plan-value pack</t>
  </si>
  <si>
    <t xml:space="preserve">Operating cadence</t>
  </si>
  <si>
    <t xml:space="preserve">daily liquidity; weekly stakeholder; court-event driven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</si>
  <si>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</si>
  <si>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</si>
  <si>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</si>
  <si>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</si>
  <si>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</si>
  <si>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</si>
  <si>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13-week liquidity and DIP need</t>
  </si>
  <si>
    <t xml:space="preserve">OPEN</t>
  </si>
  <si>
    <t xml:space="preserve">enterprise / reorganization value</t>
  </si>
  <si>
    <t xml:space="preserve">recovery by class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</si>
  <si>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</si>
  <si>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</si>
  <si>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</si>
  <si>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first day cash goes negative?</t>
  </si>
  <si>
    <t xml:space="preserve">Which creditor is the fulcrum under each value case?</t>
  </si>
  <si>
    <t xml:space="preserve">What collateral and priority actually support each claim?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</si>
  <si>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</si>
  <si>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</si>
  <si>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</si>
  <si>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liquidity miss</t>
  </si>
  <si>
    <t xml:space="preserve">vendor tightening</t>
  </si>
  <si>
    <t xml:space="preserve">priming and adequate protection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</si>
  <si>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</si>
  <si>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</si>
  <si>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</si>
  <si>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13-week cash flow and variance report</t>
  </si>
  <si>
    <t xml:space="preserve">credit agreements and intercreditor documents</t>
  </si>
  <si>
    <t xml:space="preserve">claims register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</si>
  <si>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</si>
  <si>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</si>
  <si>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</si>
  <si>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weekly cash roll-forward balances</t>
  </si>
  <si>
    <t xml:space="preserve">claims map equals capital structure</t>
  </si>
  <si>
    <t xml:space="preserve">recoveries conserve distributable value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</si>
  <si>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</si>
  <si>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</si>
  <si>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</si>
  <si>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EBITDA while cash burns</t>
  </si>
  <si>
    <t xml:space="preserve">ignoring critical-vendor and professional fees</t>
  </si>
  <si>
    <t xml:space="preserve">assuming par claims without disputes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</si>
  <si>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</si>
  <si>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</si>
  <si>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</si>
  <si>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</si>
  <si>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</si>
  <si>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</si>
  <si>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</si>
  <si>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</si>
  <si>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</si>
  <si>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</si>
  <si>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</si>
  <si>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</si>
  <si>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OCC Rating Credit Risk</t>
  </si>
  <si>
    <t xml:space="preserve">repayment capacity and risk rating</t>
  </si>
  <si>
    <t xml:space="preserve">https://www.occ.treas.gov/publications-and-resources/publications/comptrollers-handbook/files/rating-credit-risk/pub-ch-rating-credit-risk.pdf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</si>
  <si>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</si>
  <si>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</si>
  <si>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</si>
  <si>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</si>
  <si>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</si>
  <si>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</si>
  <si>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</si>
  <si>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</si>
  <si>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</si>
  <si>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</si>
  <si>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</si>
  <si>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</si>
  <si>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</si>
  <si>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</si>
  <si>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</si>
  <si>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</si>
  <si>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cash receipts/disbursements</t>
  </si>
  <si>
    <t xml:space="preserve">daily/weekly</t>
  </si>
  <si>
    <t xml:space="preserve">bank and AP/AR reconciliation</t>
  </si>
  <si>
    <t xml:space="preserve">TO MAP</t>
  </si>
  <si>
    <t xml:space="preserve">claims and debt</t>
  </si>
  <si>
    <t xml:space="preserve">event-driven</t>
  </si>
  <si>
    <t xml:space="preserve">legal status and class mapping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</si>
  <si>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</si>
  <si>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</si>
  <si>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</si>
  <si>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</si>
  <si>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</si>
  <si>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</si>
  <si>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Capital Structure &amp; Recovery Waterfall</t>
  </si>
  <si>
    <t xml:space="preserve">Tranche</t>
  </si>
  <si>
    <t xml:space="preserve">Face claim ($)</t>
  </si>
  <si>
    <t xml:space="preserve">Seniority rank</t>
  </si>
  <si>
    <t xml:space="preserve">Recovery ($)</t>
  </si>
  <si>
    <t xml:space="preserve">Recovery %</t>
  </si>
  <si>
    <t xml:space="preserve">Fulcrum?</t>
  </si>
  <si>
    <t xml:space="preserve">DIP / super-priority</t>
  </si>
  <si>
    <t xml:space="preserve">First lien secured</t>
  </si>
  <si>
    <t xml:space="preserve">Second lien secured</t>
  </si>
  <si>
    <t xml:space="preserve">Senior unsecured notes</t>
  </si>
  <si>
    <t xml:space="preserve">Subordinated debt</t>
  </si>
  <si>
    <t xml:space="preserve">Equity</t>
  </si>
  <si>
    <t xml:space="preserve">Total enterprise value available for distribution ($)</t>
  </si>
  <si>
    <t xml:space="preserve">Waterfall (senior to junior, absolute priority)</t>
  </si>
  <si>
    <t xml:space="preserve">Fulcrum security = the tranche where recovery % first drops below 100% — that class controls the reorg (converts to new equity)</t>
  </si>
  <si>
    <t xml:space="preserve">Fulcrum security</t>
  </si>
  <si>
    <t xml:space="preserve">13-Week Cash Flow, Minimum Liquidity, and Funding Need</t>
  </si>
  <si>
    <t xml:space="preserve">Initial unrestricted liquidity</t>
  </si>
  <si>
    <t xml:space="preserve">Minimum operating liquidity</t>
  </si>
  <si>
    <t xml:space="preserve">Week</t>
  </si>
  <si>
    <t xml:space="preserve">Beginning cash</t>
  </si>
  <si>
    <t xml:space="preserve">Receipts</t>
  </si>
  <si>
    <t xml:space="preserve">Operating disbursements</t>
  </si>
  <si>
    <t xml:space="preserve">Interest</t>
  </si>
  <si>
    <t xml:space="preserve">Professional fees</t>
  </si>
  <si>
    <t xml:space="preserve">New money</t>
  </si>
  <si>
    <t xml:space="preserve">Ending cash</t>
  </si>
  <si>
    <t xml:space="preserve">Headroom</t>
  </si>
  <si>
    <t xml:space="preserve">Minimum ending cash</t>
  </si>
  <si>
    <t xml:space="preserve">Peak funding need</t>
  </si>
  <si>
    <t xml:space="preserve">First breach week</t>
  </si>
  <si>
    <t xml:space="preserve">A 13-week schedule is an operating control: replace the illustrative weekly flows with treasury-owned receipts, disbursements, financing availability, and variance explanations.</t>
  </si>
  <si>
    <t xml:space="preserve">DIP / Rescue Financing Economics and Priority</t>
  </si>
  <si>
    <t xml:space="preserve">New-money commitment</t>
  </si>
  <si>
    <t xml:space="preserve">committed financing</t>
  </si>
  <si>
    <t xml:space="preserve">Expected draw</t>
  </si>
  <si>
    <t xml:space="preserve">peak funding need</t>
  </si>
  <si>
    <t xml:space="preserve">Upfront fee</t>
  </si>
  <si>
    <t xml:space="preserve">% of drawn amount</t>
  </si>
  <si>
    <t xml:space="preserve">Annual cash interest rate</t>
  </si>
  <si>
    <t xml:space="preserve">contractual cash coupon</t>
  </si>
  <si>
    <t xml:space="preserve">Tenor</t>
  </si>
  <si>
    <t xml:space="preserve">years</t>
  </si>
  <si>
    <t xml:space="preserve">Exit fee</t>
  </si>
  <si>
    <t xml:space="preserve">Super-priority / administrative claim</t>
  </si>
  <si>
    <t xml:space="preserve">1.0x if fully senior to prepetition claims</t>
  </si>
  <si>
    <t xml:space="preserve">Undrawn commitment</t>
  </si>
  <si>
    <t xml:space="preserve">Upfront fee amount</t>
  </si>
  <si>
    <t xml:space="preserve">Cash interest</t>
  </si>
  <si>
    <t xml:space="preserve">Exit fee amount</t>
  </si>
  <si>
    <t xml:space="preserve">Total new-money claim at exit</t>
  </si>
  <si>
    <t xml:space="preserve">Commitment sufficiency</t>
  </si>
  <si>
    <t xml:space="preserve">Priority, roll-up, milestones, collateral, avoidance risk, and adequate-protection terms require legal review and cannot be inferred from economic seniority alone.</t>
  </si>
  <si>
    <t xml:space="preserve">Liquidation (Ch. 7) vs. Reorganization (Ch. 11) NPV</t>
  </si>
  <si>
    <t xml:space="preserve">Liquidation</t>
  </si>
  <si>
    <t xml:space="preserve">Reorg</t>
  </si>
  <si>
    <t xml:space="preserve">Notes</t>
  </si>
  <si>
    <t xml:space="preserve">Gross asset value / going-concern EV</t>
  </si>
  <si>
    <t xml:space="preserve">Less: liquidation discount / distress costs</t>
  </si>
  <si>
    <t xml:space="preserve">Less: administrative/professional fees</t>
  </si>
  <si>
    <t xml:space="preserve">Time to distribution (months)</t>
  </si>
  <si>
    <t xml:space="preserve">Discount rate (annual, for NPV of delayed recovery)</t>
  </si>
  <si>
    <t xml:space="preserve">Net proceeds</t>
  </si>
  <si>
    <t xml:space="preserve">NPV of proceeds (discounted for time to distribution)</t>
  </si>
  <si>
    <t xml:space="preserve">Compare NPVs — higher wins for creditors as a class, though individual tranche outcomes differ</t>
  </si>
  <si>
    <t xml:space="preserve">Distressed / Restructuring Decision Dashboard and Independent Checks</t>
  </si>
  <si>
    <t xml:space="preserve">Check / decision</t>
  </si>
  <si>
    <t xml:space="preserve">Metric</t>
  </si>
  <si>
    <t xml:space="preserve">Interpretation / action</t>
  </si>
  <si>
    <t xml:space="preserve">Waterfall conservation residual</t>
  </si>
  <si>
    <t xml:space="preserve">Distributed value must equal enterprise value available under the modeled waterfall.</t>
  </si>
  <si>
    <t xml:space="preserve">Priority ordering</t>
  </si>
  <si>
    <t xml:space="preserve">Junior recoveries may not exceed an impaired senior class under the absolute-priority model.</t>
  </si>
  <si>
    <t xml:space="preserve">The impaired class immediately below fully paid senior claims is the modeled fulcrum.</t>
  </si>
  <si>
    <t xml:space="preserve">Minimum 13-week liquidity</t>
  </si>
  <si>
    <t xml:space="preserve">Escalate a minimum-liquidity breach before the modeled cash-out date.</t>
  </si>
  <si>
    <t xml:space="preserve">New-money commitment must cover peak need plus execution contingency.</t>
  </si>
  <si>
    <t xml:space="preserve">Reorganization NPV uplift</t>
  </si>
  <si>
    <t xml:space="preserve">Reorganization should not be preferred without a supportable value advantage and feasible plan.</t>
  </si>
  <si>
    <t xml:space="preserve">New-money commitment status</t>
  </si>
  <si>
    <t xml:space="preserve">Insufficient rescue financing requires a revised operating plan, asset sale, or liquidation path.</t>
  </si>
  <si>
    <t xml:space="preserve">Equity recovery</t>
  </si>
  <si>
    <t xml:space="preserve">Equity value while a creditor class is impaired requires explicit exception analysis.</t>
  </si>
  <si>
    <t xml:space="preserve">Overall model status</t>
  </si>
  <si>
    <t xml:space="preserve">Primary decision outputs</t>
  </si>
  <si>
    <t xml:space="preserve">Enterprise value available</t>
  </si>
  <si>
    <t xml:space="preserve">Liquidation NPV</t>
  </si>
  <si>
    <t xml:space="preserve">Reorganization NPV</t>
  </si>
  <si>
    <t xml:space="preserve">Total new-money claim</t>
  </si>
  <si>
    <t xml:space="preserve">First liquidity breach week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</si>
  <si>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</si>
  <si>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</si>
  <si>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</si>
  <si>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</si>
  <si>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</si>
  <si>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</si>
  <si>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</si>
  <si>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distressed-public-hertz-2021-reorganization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</si>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</sst>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%;\(0.0%\);\-"/>
    <numFmt numFmtId="167" formatCode="0.0"/>
    <numFmt numFmtId="168" formatCode="0.0\x"/>
    <numFmt numFmtId="169" formatCode="#,##0;\(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9</v>
      </c>
      <c r="C2" s="6"/>
      <c r="D2" s="6"/>
      <c r="E2" s="6"/>
      <c r="F2" s="6"/>
    </row>
    <row r="4" customFormat="false" ht="15" hidden="false" customHeight="true" outlineLevel="0" collapsed="false">
      <c r="B4" s="7" t="s">
        <v>10</v>
      </c>
      <c r="C4" s="8" t="s">
        <v>11</v>
      </c>
      <c r="D4" s="8"/>
      <c r="E4" s="8"/>
      <c r="F4" s="8"/>
    </row>
    <row r="5" customFormat="false" ht="15" hidden="false" customHeight="true" outlineLevel="0" collapsed="false">
      <c r="B5" s="7" t="s">
        <v>12</v>
      </c>
      <c r="C5" s="8" t="s">
        <v>13</v>
      </c>
      <c r="D5" s="8"/>
      <c r="E5" s="8"/>
      <c r="F5" s="8"/>
    </row>
    <row r="6" customFormat="false" ht="15" hidden="false" customHeight="true" outlineLevel="0" collapsed="false">
      <c r="B6" s="7" t="s">
        <v>14</v>
      </c>
      <c r="C6" s="8" t="s">
        <v>15</v>
      </c>
      <c r="D6" s="8"/>
      <c r="E6" s="8"/>
      <c r="F6" s="8"/>
    </row>
    <row r="7" customFormat="false" ht="15" hidden="false" customHeight="true" outlineLevel="0" collapsed="false">
      <c r="B7" s="7" t="s">
        <v>16</v>
      </c>
      <c r="C7" s="8" t="s">
        <v>17</v>
      </c>
      <c r="D7" s="8"/>
      <c r="E7" s="8"/>
      <c r="F7" s="8"/>
    </row>
    <row r="8" customFormat="false" ht="15" hidden="false" customHeight="true" outlineLevel="0" collapsed="false">
      <c r="B8" s="7" t="s">
        <v>18</v>
      </c>
      <c r="C8" s="8" t="s">
        <v>19</v>
      </c>
      <c r="D8" s="8"/>
      <c r="E8" s="8"/>
      <c r="F8" s="8"/>
    </row>
    <row r="9" customFormat="false" ht="15" hidden="false" customHeight="true" outlineLevel="0" collapsed="false">
      <c r="B9" s="7" t="s">
        <v>20</v>
      </c>
      <c r="C9" s="8" t="s">
        <v>21</v>
      </c>
      <c r="D9" s="8"/>
      <c r="E9" s="8"/>
      <c r="F9" s="8"/>
    </row>
    <row r="10" customFormat="false" ht="15" hidden="false" customHeight="true" outlineLevel="0" collapsed="false">
      <c r="B10" s="7" t="s">
        <v>22</v>
      </c>
      <c r="C10" s="8" t="s">
        <v>23</v>
      </c>
      <c r="D10" s="8"/>
      <c r="E10" s="8"/>
      <c r="F10" s="8"/>
    </row>
    <row r="12" customFormat="false" ht="15" hidden="false" customHeight="true" outlineLevel="0" collapsed="false">
      <c r="B12" s="9" t="s">
        <v>24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25</v>
      </c>
      <c r="C13" s="10" t="s">
        <v>26</v>
      </c>
      <c r="D13" s="10" t="s">
        <v>27</v>
      </c>
      <c r="E13" s="10" t="s">
        <v>28</v>
      </c>
      <c r="F13" s="10" t="s">
        <v>29</v>
      </c>
    </row>
    <row r="14" customFormat="false" ht="15" hidden="false" customHeight="true" outlineLevel="0" collapsed="false">
      <c r="B14" s="1" t="n">
        <v>1</v>
      </c>
      <c r="C14" s="1" t="s">
        <v>30</v>
      </c>
      <c r="F14" s="11" t="s">
        <v>31</v>
      </c>
    </row>
    <row r="15" customFormat="false" ht="15" hidden="false" customHeight="true" outlineLevel="0" collapsed="false">
      <c r="B15" s="1" t="n">
        <v>2</v>
      </c>
      <c r="C15" s="1" t="s">
        <v>32</v>
      </c>
      <c r="F15" s="11" t="s">
        <v>31</v>
      </c>
    </row>
    <row r="16" customFormat="false" ht="15" hidden="false" customHeight="true" outlineLevel="0" collapsed="false">
      <c r="B16" s="1" t="n">
        <v>3</v>
      </c>
      <c r="C16" s="1" t="s">
        <v>33</v>
      </c>
      <c r="F16" s="11" t="s">
        <v>31</v>
      </c>
    </row>
    <row r="17" customFormat="false" ht="15" hidden="false" customHeight="true" outlineLevel="0" collapsed="false">
      <c r="B17" s="1" t="n">
        <v>4</v>
      </c>
      <c r="C17" s="1" t="s">
        <v>34</v>
      </c>
      <c r="F17" s="11" t="s">
        <v>31</v>
      </c>
    </row>
    <row r="18" customFormat="false" ht="15" hidden="false" customHeight="true" outlineLevel="0" collapsed="false">
      <c r="B18" s="1" t="n">
        <v>5</v>
      </c>
      <c r="C18" s="1" t="s">
        <v>35</v>
      </c>
      <c r="F18" s="11" t="s">
        <v>31</v>
      </c>
    </row>
    <row r="20" customFormat="false" ht="15" hidden="false" customHeight="true" outlineLevel="0" collapsed="false">
      <c r="B20" s="9" t="s">
        <v>36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25</v>
      </c>
      <c r="C21" s="10" t="s">
        <v>26</v>
      </c>
      <c r="D21" s="10" t="s">
        <v>27</v>
      </c>
      <c r="E21" s="10" t="s">
        <v>28</v>
      </c>
      <c r="F21" s="10" t="s">
        <v>29</v>
      </c>
    </row>
    <row r="22" customFormat="false" ht="15" hidden="false" customHeight="true" outlineLevel="0" collapsed="false">
      <c r="B22" s="1" t="n">
        <v>1</v>
      </c>
      <c r="C22" s="1" t="s">
        <v>37</v>
      </c>
      <c r="F22" s="11" t="s">
        <v>31</v>
      </c>
    </row>
    <row r="23" customFormat="false" ht="15" hidden="false" customHeight="true" outlineLevel="0" collapsed="false">
      <c r="B23" s="1" t="n">
        <v>2</v>
      </c>
      <c r="C23" s="1" t="s">
        <v>38</v>
      </c>
      <c r="F23" s="11" t="s">
        <v>31</v>
      </c>
    </row>
    <row r="24" customFormat="false" ht="15" hidden="false" customHeight="true" outlineLevel="0" collapsed="false">
      <c r="B24" s="1" t="n">
        <v>3</v>
      </c>
      <c r="C24" s="1" t="s">
        <v>39</v>
      </c>
      <c r="F24" s="11" t="s">
        <v>31</v>
      </c>
    </row>
    <row r="25" customFormat="false" ht="15" hidden="false" customHeight="true" outlineLevel="0" collapsed="false">
      <c r="B25" s="1" t="n">
        <v>4</v>
      </c>
      <c r="C25" s="1" t="s">
        <v>40</v>
      </c>
      <c r="F25" s="11" t="s">
        <v>31</v>
      </c>
    </row>
    <row r="26" customFormat="false" ht="15" hidden="false" customHeight="true" outlineLevel="0" collapsed="false">
      <c r="B26" s="1" t="n">
        <v>5</v>
      </c>
      <c r="C26" s="1" t="s">
        <v>41</v>
      </c>
      <c r="F26" s="11" t="s">
        <v>31</v>
      </c>
    </row>
    <row r="28" customFormat="false" ht="15" hidden="false" customHeight="true" outlineLevel="0" collapsed="false">
      <c r="B28" s="9" t="s">
        <v>42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25</v>
      </c>
      <c r="C29" s="10" t="s">
        <v>26</v>
      </c>
      <c r="D29" s="10" t="s">
        <v>27</v>
      </c>
      <c r="E29" s="10" t="s">
        <v>28</v>
      </c>
      <c r="F29" s="10" t="s">
        <v>29</v>
      </c>
    </row>
    <row r="30" customFormat="false" ht="15" hidden="false" customHeight="true" outlineLevel="0" collapsed="false">
      <c r="B30" s="1" t="n">
        <v>1</v>
      </c>
      <c r="C30" s="1" t="s">
        <v>43</v>
      </c>
      <c r="F30" s="11" t="s">
        <v>31</v>
      </c>
    </row>
    <row r="31" customFormat="false" ht="15" hidden="false" customHeight="true" outlineLevel="0" collapsed="false">
      <c r="B31" s="1" t="n">
        <v>2</v>
      </c>
      <c r="C31" s="1" t="s">
        <v>44</v>
      </c>
      <c r="F31" s="11" t="s">
        <v>31</v>
      </c>
    </row>
    <row r="32" customFormat="false" ht="15" hidden="false" customHeight="true" outlineLevel="0" collapsed="false">
      <c r="B32" s="1" t="n">
        <v>3</v>
      </c>
      <c r="C32" s="1" t="s">
        <v>45</v>
      </c>
      <c r="F32" s="11" t="s">
        <v>31</v>
      </c>
    </row>
    <row r="33" customFormat="false" ht="15" hidden="false" customHeight="true" outlineLevel="0" collapsed="false">
      <c r="B33" s="1" t="n">
        <v>4</v>
      </c>
      <c r="C33" s="1" t="s">
        <v>46</v>
      </c>
      <c r="F33" s="11" t="s">
        <v>31</v>
      </c>
    </row>
    <row r="34" customFormat="false" ht="15" hidden="false" customHeight="true" outlineLevel="0" collapsed="false">
      <c r="B34" s="1" t="n">
        <v>5</v>
      </c>
      <c r="C34" s="1" t="s">
        <v>47</v>
      </c>
      <c r="F34" s="11" t="s">
        <v>31</v>
      </c>
    </row>
    <row r="36" customFormat="false" ht="15" hidden="false" customHeight="true" outlineLevel="0" collapsed="false">
      <c r="B36" s="9" t="s">
        <v>48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25</v>
      </c>
      <c r="C37" s="10" t="s">
        <v>26</v>
      </c>
      <c r="D37" s="10" t="s">
        <v>27</v>
      </c>
      <c r="E37" s="10" t="s">
        <v>28</v>
      </c>
      <c r="F37" s="10" t="s">
        <v>29</v>
      </c>
    </row>
    <row r="38" customFormat="false" ht="15" hidden="false" customHeight="true" outlineLevel="0" collapsed="false">
      <c r="B38" s="1" t="n">
        <v>1</v>
      </c>
      <c r="C38" s="1" t="s">
        <v>49</v>
      </c>
      <c r="F38" s="11" t="s">
        <v>31</v>
      </c>
    </row>
    <row r="39" customFormat="false" ht="15" hidden="false" customHeight="true" outlineLevel="0" collapsed="false">
      <c r="B39" s="1" t="n">
        <v>2</v>
      </c>
      <c r="C39" s="1" t="s">
        <v>50</v>
      </c>
      <c r="F39" s="11" t="s">
        <v>31</v>
      </c>
    </row>
    <row r="40" customFormat="false" ht="15" hidden="false" customHeight="true" outlineLevel="0" collapsed="false">
      <c r="B40" s="1" t="n">
        <v>3</v>
      </c>
      <c r="C40" s="1" t="s">
        <v>51</v>
      </c>
      <c r="F40" s="11" t="s">
        <v>31</v>
      </c>
    </row>
    <row r="41" customFormat="false" ht="15" hidden="false" customHeight="true" outlineLevel="0" collapsed="false">
      <c r="B41" s="1" t="n">
        <v>4</v>
      </c>
      <c r="C41" s="1" t="s">
        <v>52</v>
      </c>
      <c r="F41" s="11" t="s">
        <v>31</v>
      </c>
    </row>
    <row r="42" customFormat="false" ht="15" hidden="false" customHeight="true" outlineLevel="0" collapsed="false">
      <c r="B42" s="1" t="n">
        <v>5</v>
      </c>
      <c r="C42" s="1" t="s">
        <v>53</v>
      </c>
      <c r="F42" s="11" t="s">
        <v>31</v>
      </c>
    </row>
    <row r="44" customFormat="false" ht="15" hidden="false" customHeight="true" outlineLevel="0" collapsed="false">
      <c r="B44" s="9" t="s">
        <v>54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25</v>
      </c>
      <c r="C45" s="10" t="s">
        <v>26</v>
      </c>
      <c r="D45" s="10" t="s">
        <v>27</v>
      </c>
      <c r="E45" s="10" t="s">
        <v>28</v>
      </c>
      <c r="F45" s="10" t="s">
        <v>29</v>
      </c>
    </row>
    <row r="46" customFormat="false" ht="15" hidden="false" customHeight="true" outlineLevel="0" collapsed="false">
      <c r="B46" s="1" t="n">
        <v>1</v>
      </c>
      <c r="C46" s="1" t="s">
        <v>55</v>
      </c>
      <c r="F46" s="11" t="s">
        <v>31</v>
      </c>
    </row>
    <row r="47" customFormat="false" ht="15" hidden="false" customHeight="true" outlineLevel="0" collapsed="false">
      <c r="B47" s="1" t="n">
        <v>2</v>
      </c>
      <c r="C47" s="1" t="s">
        <v>56</v>
      </c>
      <c r="F47" s="11" t="s">
        <v>31</v>
      </c>
    </row>
    <row r="48" customFormat="false" ht="15" hidden="false" customHeight="true" outlineLevel="0" collapsed="false">
      <c r="B48" s="1" t="n">
        <v>3</v>
      </c>
      <c r="C48" s="1" t="s">
        <v>57</v>
      </c>
      <c r="F48" s="11" t="s">
        <v>31</v>
      </c>
    </row>
    <row r="49" customFormat="false" ht="15" hidden="false" customHeight="true" outlineLevel="0" collapsed="false">
      <c r="B49" s="1" t="n">
        <v>4</v>
      </c>
      <c r="C49" s="1" t="s">
        <v>58</v>
      </c>
      <c r="F49" s="11" t="s">
        <v>31</v>
      </c>
    </row>
    <row r="50" customFormat="false" ht="15" hidden="false" customHeight="true" outlineLevel="0" collapsed="false">
      <c r="B50" s="1" t="n">
        <v>5</v>
      </c>
      <c r="C50" s="1" t="s">
        <v>59</v>
      </c>
      <c r="F50" s="11" t="s">
        <v>31</v>
      </c>
    </row>
    <row r="52" customFormat="false" ht="15" hidden="false" customHeight="true" outlineLevel="0" collapsed="false">
      <c r="B52" s="9" t="s">
        <v>60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25</v>
      </c>
      <c r="C53" s="10" t="s">
        <v>26</v>
      </c>
      <c r="D53" s="10" t="s">
        <v>27</v>
      </c>
      <c r="E53" s="10" t="s">
        <v>28</v>
      </c>
      <c r="F53" s="10" t="s">
        <v>29</v>
      </c>
    </row>
    <row r="54" customFormat="false" ht="15" hidden="false" customHeight="true" outlineLevel="0" collapsed="false">
      <c r="B54" s="1" t="n">
        <v>1</v>
      </c>
      <c r="C54" s="1" t="s">
        <v>61</v>
      </c>
      <c r="F54" s="11" t="s">
        <v>31</v>
      </c>
    </row>
    <row r="55" customFormat="false" ht="15" hidden="false" customHeight="true" outlineLevel="0" collapsed="false">
      <c r="B55" s="1" t="n">
        <v>2</v>
      </c>
      <c r="C55" s="1" t="s">
        <v>62</v>
      </c>
      <c r="F55" s="11" t="s">
        <v>31</v>
      </c>
    </row>
    <row r="56" customFormat="false" ht="15" hidden="false" customHeight="true" outlineLevel="0" collapsed="false">
      <c r="B56" s="1" t="n">
        <v>3</v>
      </c>
      <c r="C56" s="1" t="s">
        <v>63</v>
      </c>
      <c r="F56" s="11" t="s">
        <v>31</v>
      </c>
    </row>
    <row r="57" customFormat="false" ht="15" hidden="false" customHeight="true" outlineLevel="0" collapsed="false">
      <c r="B57" s="1" t="n">
        <v>4</v>
      </c>
      <c r="C57" s="1" t="s">
        <v>64</v>
      </c>
      <c r="F57" s="11" t="s">
        <v>31</v>
      </c>
    </row>
    <row r="58" customFormat="false" ht="15" hidden="false" customHeight="true" outlineLevel="0" collapsed="false">
      <c r="B58" s="1" t="n">
        <v>5</v>
      </c>
      <c r="C58" s="1" t="s">
        <v>65</v>
      </c>
      <c r="F58" s="11" t="s">
        <v>31</v>
      </c>
    </row>
    <row r="60" customFormat="false" ht="15" hidden="false" customHeight="true" outlineLevel="0" collapsed="false">
      <c r="B60" s="9" t="s">
        <v>66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67</v>
      </c>
      <c r="C61" s="10" t="s">
        <v>68</v>
      </c>
      <c r="D61" s="10" t="s">
        <v>69</v>
      </c>
      <c r="E61" s="10" t="s">
        <v>70</v>
      </c>
      <c r="F61" s="10" t="s">
        <v>71</v>
      </c>
    </row>
    <row r="62" customFormat="false" ht="15" hidden="false" customHeight="true" outlineLevel="0" collapsed="false">
      <c r="B62" s="1" t="s">
        <v>72</v>
      </c>
      <c r="C62" s="1" t="s">
        <v>73</v>
      </c>
      <c r="D62" s="1" t="s">
        <v>74</v>
      </c>
      <c r="E62" s="1" t="s">
        <v>75</v>
      </c>
    </row>
    <row r="63" customFormat="false" ht="15" hidden="false" customHeight="true" outlineLevel="0" collapsed="false">
      <c r="B63" s="1" t="s">
        <v>76</v>
      </c>
      <c r="C63" s="1" t="s">
        <v>77</v>
      </c>
      <c r="D63" s="1" t="s">
        <v>78</v>
      </c>
      <c r="E63" s="1" t="s">
        <v>75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79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80</v>
      </c>
      <c r="C4" s="10" t="s">
        <v>81</v>
      </c>
      <c r="D4" s="10" t="s">
        <v>82</v>
      </c>
      <c r="E4" s="10" t="s">
        <v>83</v>
      </c>
      <c r="F4" s="10" t="s">
        <v>84</v>
      </c>
      <c r="G4" s="10" t="s">
        <v>85</v>
      </c>
      <c r="H4" s="10" t="s">
        <v>29</v>
      </c>
      <c r="I4" s="10" t="s">
        <v>86</v>
      </c>
    </row>
    <row r="5" customFormat="false" ht="15" hidden="false" customHeight="true" outlineLevel="0" collapsed="false">
      <c r="D5" s="1" t="s">
        <v>55</v>
      </c>
      <c r="H5" s="11" t="s">
        <v>31</v>
      </c>
    </row>
    <row r="6" customFormat="false" ht="15" hidden="false" customHeight="true" outlineLevel="0" collapsed="false">
      <c r="D6" s="1" t="s">
        <v>56</v>
      </c>
      <c r="H6" s="11" t="s">
        <v>31</v>
      </c>
    </row>
    <row r="7" customFormat="false" ht="15" hidden="false" customHeight="true" outlineLevel="0" collapsed="false">
      <c r="D7" s="1" t="s">
        <v>57</v>
      </c>
      <c r="H7" s="11" t="s">
        <v>31</v>
      </c>
    </row>
    <row r="8" customFormat="false" ht="15" hidden="false" customHeight="true" outlineLevel="0" collapsed="false">
      <c r="D8" s="1" t="s">
        <v>58</v>
      </c>
      <c r="H8" s="11" t="s">
        <v>31</v>
      </c>
    </row>
    <row r="9" customFormat="false" ht="15" hidden="false" customHeight="true" outlineLevel="0" collapsed="false">
      <c r="D9" s="1" t="s">
        <v>59</v>
      </c>
      <c r="H9" s="11" t="s">
        <v>31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87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  <c r="G4" s="10" t="s">
        <v>27</v>
      </c>
      <c r="H4" s="10" t="s">
        <v>93</v>
      </c>
      <c r="I4" s="10" t="s">
        <v>94</v>
      </c>
      <c r="J4" s="10" t="s">
        <v>29</v>
      </c>
    </row>
    <row r="5" customFormat="false" ht="15" hidden="false" customHeight="true" outlineLevel="0" collapsed="false">
      <c r="B5" s="1" t="s">
        <v>95</v>
      </c>
      <c r="C5" s="1" t="s">
        <v>96</v>
      </c>
      <c r="D5" s="1" t="s">
        <v>97</v>
      </c>
      <c r="J5" s="11" t="s">
        <v>98</v>
      </c>
    </row>
    <row r="6" customFormat="false" ht="15" hidden="false" customHeight="true" outlineLevel="0" collapsed="false">
      <c r="B6" s="1" t="s">
        <v>99</v>
      </c>
      <c r="C6" s="1" t="s">
        <v>100</v>
      </c>
      <c r="D6" s="1" t="s">
        <v>101</v>
      </c>
      <c r="J6" s="11" t="s">
        <v>98</v>
      </c>
    </row>
    <row r="7" customFormat="false" ht="15" hidden="false" customHeight="true" outlineLevel="0" collapsed="false">
      <c r="B7" s="1" t="s">
        <v>102</v>
      </c>
      <c r="C7" s="1" t="s">
        <v>103</v>
      </c>
      <c r="D7" s="1" t="s">
        <v>104</v>
      </c>
      <c r="J7" s="11" t="s">
        <v>98</v>
      </c>
    </row>
    <row r="8" customFormat="false" ht="15" hidden="false" customHeight="true" outlineLevel="0" collapsed="false">
      <c r="B8" s="1" t="s">
        <v>105</v>
      </c>
      <c r="C8" s="1" t="s">
        <v>106</v>
      </c>
      <c r="D8" s="1" t="s">
        <v>107</v>
      </c>
      <c r="J8" s="11" t="s">
        <v>98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6" min="3" style="1" width="14"/>
    <col collapsed="false" customWidth="true" hidden="false" outlineLevel="0" max="7" min="7" style="1" width="16"/>
  </cols>
  <sheetData>
    <row r="2" customFormat="false" ht="19.5" hidden="false" customHeight="true" outlineLevel="0" collapsed="false">
      <c r="B2" s="2" t="s">
        <v>108</v>
      </c>
    </row>
    <row r="4" customFormat="false" ht="15" hidden="false" customHeight="true" outlineLevel="0" collapsed="false">
      <c r="A4" s="12"/>
      <c r="B4" s="12" t="s">
        <v>109</v>
      </c>
      <c r="C4" s="12" t="s">
        <v>110</v>
      </c>
      <c r="D4" s="12" t="s">
        <v>111</v>
      </c>
      <c r="E4" s="12" t="s">
        <v>112</v>
      </c>
      <c r="F4" s="12" t="s">
        <v>113</v>
      </c>
      <c r="G4" s="1" t="s">
        <v>114</v>
      </c>
    </row>
    <row r="5" customFormat="false" ht="15" hidden="false" customHeight="true" outlineLevel="0" collapsed="false">
      <c r="B5" s="13" t="s">
        <v>115</v>
      </c>
      <c r="C5" s="14" t="n">
        <v>10</v>
      </c>
      <c r="D5" s="4" t="n">
        <v>1</v>
      </c>
      <c r="E5" s="15" t="n">
        <f aca="false">MIN(C12,C5)</f>
        <v>10</v>
      </c>
      <c r="F5" s="16" t="n">
        <f aca="false">IFERROR(E5/C5,"-")</f>
        <v>1</v>
      </c>
      <c r="G5" s="17" t="str">
        <f aca="false">IF(AND(ISNUMBER(F5),F5&lt;1),"FULCRUM","")</f>
        <v/>
      </c>
    </row>
    <row r="6" customFormat="false" ht="15" hidden="false" customHeight="true" outlineLevel="0" collapsed="false">
      <c r="B6" s="13" t="s">
        <v>116</v>
      </c>
      <c r="C6" s="14" t="n">
        <v>80</v>
      </c>
      <c r="D6" s="4" t="n">
        <v>2</v>
      </c>
      <c r="E6" s="15" t="n">
        <f aca="false">MIN(MAX(C12-SUM(E5:E5),0),C6)</f>
        <v>80</v>
      </c>
      <c r="F6" s="16" t="n">
        <f aca="false">IFERROR(E6/C6,"-")</f>
        <v>1</v>
      </c>
      <c r="G6" s="17" t="str">
        <f aca="false">IF(AND(ISNUMBER(F6),F6&lt;1,ISNUMBER(F5),F5&gt;=1),"FULCRUM","")</f>
        <v/>
      </c>
    </row>
    <row r="7" customFormat="false" ht="15" hidden="false" customHeight="true" outlineLevel="0" collapsed="false">
      <c r="B7" s="13" t="s">
        <v>117</v>
      </c>
      <c r="C7" s="14" t="n">
        <v>20</v>
      </c>
      <c r="D7" s="4" t="n">
        <v>3</v>
      </c>
      <c r="E7" s="15" t="n">
        <f aca="false">MIN(MAX(C12-SUM(E5:E6),0),C7)</f>
        <v>20</v>
      </c>
      <c r="F7" s="16" t="n">
        <f aca="false">IFERROR(E7/C7,"-")</f>
        <v>1</v>
      </c>
      <c r="G7" s="17" t="str">
        <f aca="false">IF(AND(ISNUMBER(F7),F7&lt;1,ISNUMBER(F6),F6&gt;=1),"FULCRUM","")</f>
        <v/>
      </c>
    </row>
    <row r="8" customFormat="false" ht="15" hidden="false" customHeight="true" outlineLevel="0" collapsed="false">
      <c r="B8" s="13" t="s">
        <v>118</v>
      </c>
      <c r="C8" s="14" t="n">
        <v>60</v>
      </c>
      <c r="D8" s="4" t="n">
        <v>4</v>
      </c>
      <c r="E8" s="15" t="n">
        <f aca="false">MIN(MAX(C12-SUM(E5:E7),0),C8)</f>
        <v>60</v>
      </c>
      <c r="F8" s="16" t="n">
        <f aca="false">IFERROR(E8/C8,"-")</f>
        <v>1</v>
      </c>
      <c r="G8" s="17" t="str">
        <f aca="false">IF(AND(ISNUMBER(F8),F8&lt;1,ISNUMBER(F7),F7&gt;=1),"FULCRUM","")</f>
        <v/>
      </c>
    </row>
    <row r="9" customFormat="false" ht="15" hidden="false" customHeight="true" outlineLevel="0" collapsed="false">
      <c r="B9" s="13" t="s">
        <v>119</v>
      </c>
      <c r="C9" s="14" t="n">
        <v>20</v>
      </c>
      <c r="D9" s="4" t="n">
        <v>5</v>
      </c>
      <c r="E9" s="15" t="n">
        <f aca="false">MIN(MAX(C12-SUM(E5:E8),0),C9)</f>
        <v>20</v>
      </c>
      <c r="F9" s="16" t="n">
        <f aca="false">IFERROR(E9/C9,"-")</f>
        <v>1</v>
      </c>
      <c r="G9" s="17" t="str">
        <f aca="false">IF(AND(ISNUMBER(F9),F9&lt;1,ISNUMBER(F8),F8&gt;=1),"FULCRUM","")</f>
        <v/>
      </c>
    </row>
    <row r="10" customFormat="false" ht="15" hidden="false" customHeight="true" outlineLevel="0" collapsed="false">
      <c r="B10" s="13" t="s">
        <v>120</v>
      </c>
      <c r="C10" s="14" t="n">
        <v>0</v>
      </c>
      <c r="D10" s="4" t="n">
        <v>6</v>
      </c>
      <c r="E10" s="15" t="n">
        <f aca="false">MIN(MAX(C12-SUM(E5:E9),0),C10)</f>
        <v>0</v>
      </c>
      <c r="F10" s="16" t="str">
        <f aca="false">IFERROR(E10/C10,"-")</f>
        <v>-</v>
      </c>
      <c r="G10" s="17" t="str">
        <f aca="false">IF(AND(ISNUMBER(F10),F10&lt;1,ISNUMBER(F9),F9&gt;=1),"FULCRUM","")</f>
        <v/>
      </c>
    </row>
    <row r="12" customFormat="false" ht="15" hidden="false" customHeight="true" outlineLevel="0" collapsed="false">
      <c r="B12" s="1" t="s">
        <v>121</v>
      </c>
      <c r="C12" s="18" t="n">
        <v>200</v>
      </c>
    </row>
    <row r="14" customFormat="false" ht="15" hidden="false" customHeight="true" outlineLevel="0" collapsed="false">
      <c r="B14" s="19" t="s">
        <v>122</v>
      </c>
    </row>
    <row r="20" customFormat="false" ht="15" hidden="false" customHeight="true" outlineLevel="0" collapsed="false">
      <c r="B20" s="20" t="s">
        <v>123</v>
      </c>
    </row>
    <row r="21" customFormat="false" ht="15" hidden="false" customHeight="true" outlineLevel="0" collapsed="false">
      <c r="B21" s="1" t="s">
        <v>124</v>
      </c>
      <c r="C21" s="17" t="str">
        <f aca="false">IFERROR(INDEX(B5:B10,MATCH("FULCRUM",G5:G10,0)),"-")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4" min="3" style="1" width="16"/>
    <col collapsed="false" customWidth="true" hidden="false" outlineLevel="0" max="5" min="5" style="1" width="18"/>
    <col collapsed="false" customWidth="true" hidden="false" outlineLevel="0" max="6" min="6" style="1" width="14"/>
    <col collapsed="false" customWidth="true" hidden="false" outlineLevel="0" max="7" min="7" style="1" width="18"/>
    <col collapsed="false" customWidth="true" hidden="false" outlineLevel="0" max="10" min="8" style="1" width="16"/>
    <col collapsed="false" customWidth="true" hidden="false" outlineLevel="0" max="11" min="11" style="1" width="14"/>
  </cols>
  <sheetData>
    <row r="2" customFormat="false" ht="19.5" hidden="false" customHeight="true" outlineLevel="0" collapsed="false">
      <c r="B2" s="2" t="s">
        <v>125</v>
      </c>
    </row>
    <row r="3" customFormat="false" ht="15" hidden="false" customHeight="true" outlineLevel="0" collapsed="false">
      <c r="B3" s="1" t="s">
        <v>126</v>
      </c>
      <c r="C3" s="14" t="n">
        <v>20</v>
      </c>
    </row>
    <row r="4" customFormat="false" ht="15" hidden="false" customHeight="true" outlineLevel="0" collapsed="false">
      <c r="B4" s="1" t="s">
        <v>127</v>
      </c>
      <c r="C4" s="14" t="n">
        <v>5</v>
      </c>
    </row>
    <row r="6" customFormat="false" ht="15" hidden="false" customHeight="true" outlineLevel="0" collapsed="false">
      <c r="B6" s="12" t="s">
        <v>128</v>
      </c>
      <c r="C6" s="12" t="s">
        <v>129</v>
      </c>
      <c r="D6" s="12" t="s">
        <v>130</v>
      </c>
      <c r="E6" s="12" t="s">
        <v>131</v>
      </c>
      <c r="F6" s="12" t="s">
        <v>132</v>
      </c>
      <c r="G6" s="12" t="s">
        <v>133</v>
      </c>
      <c r="H6" s="12" t="s">
        <v>134</v>
      </c>
      <c r="I6" s="12" t="s">
        <v>135</v>
      </c>
      <c r="J6" s="12" t="s">
        <v>136</v>
      </c>
      <c r="K6" s="12" t="s">
        <v>29</v>
      </c>
    </row>
    <row r="7" customFormat="false" ht="15" hidden="false" customHeight="true" outlineLevel="0" collapsed="false">
      <c r="B7" s="1" t="n">
        <v>1</v>
      </c>
      <c r="C7" s="15" t="n">
        <f aca="false">$C$3</f>
        <v>20</v>
      </c>
      <c r="D7" s="14" t="n">
        <v>8</v>
      </c>
      <c r="E7" s="14" t="n">
        <v>7</v>
      </c>
      <c r="F7" s="14" t="n">
        <v>0.75</v>
      </c>
      <c r="G7" s="14" t="n">
        <v>0.5</v>
      </c>
      <c r="H7" s="14" t="n">
        <v>0</v>
      </c>
      <c r="I7" s="15" t="n">
        <f aca="false">C7+D7+H7-E7-F7-G7</f>
        <v>19.75</v>
      </c>
      <c r="J7" s="15" t="n">
        <f aca="false">I7-$C$4</f>
        <v>14.75</v>
      </c>
      <c r="K7" s="21" t="str">
        <f aca="false">IF(J7&gt;=0,"PASS","BREACH")</f>
        <v>PASS</v>
      </c>
    </row>
    <row r="8" customFormat="false" ht="15" hidden="false" customHeight="true" outlineLevel="0" collapsed="false">
      <c r="B8" s="1" t="n">
        <v>2</v>
      </c>
      <c r="C8" s="15" t="n">
        <f aca="false">I7</f>
        <v>19.75</v>
      </c>
      <c r="D8" s="14" t="n">
        <v>8</v>
      </c>
      <c r="E8" s="14" t="n">
        <v>7</v>
      </c>
      <c r="F8" s="14" t="n">
        <v>0.75</v>
      </c>
      <c r="G8" s="14" t="n">
        <v>0.5</v>
      </c>
      <c r="H8" s="14" t="n">
        <v>0</v>
      </c>
      <c r="I8" s="15" t="n">
        <f aca="false">C8+D8+H8-E8-F8-G8</f>
        <v>19.5</v>
      </c>
      <c r="J8" s="15" t="n">
        <f aca="false">I8-$C$4</f>
        <v>14.5</v>
      </c>
      <c r="K8" s="21" t="str">
        <f aca="false">IF(J8&gt;=0,"PASS","BREACH")</f>
        <v>PASS</v>
      </c>
    </row>
    <row r="9" customFormat="false" ht="15" hidden="false" customHeight="true" outlineLevel="0" collapsed="false">
      <c r="B9" s="1" t="n">
        <v>3</v>
      </c>
      <c r="C9" s="15" t="n">
        <f aca="false">I8</f>
        <v>19.5</v>
      </c>
      <c r="D9" s="14" t="n">
        <v>8</v>
      </c>
      <c r="E9" s="14" t="n">
        <v>7</v>
      </c>
      <c r="F9" s="14" t="n">
        <v>0.75</v>
      </c>
      <c r="G9" s="14" t="n">
        <v>0.5</v>
      </c>
      <c r="H9" s="14" t="n">
        <v>0</v>
      </c>
      <c r="I9" s="15" t="n">
        <f aca="false">C9+D9+H9-E9-F9-G9</f>
        <v>19.25</v>
      </c>
      <c r="J9" s="15" t="n">
        <f aca="false">I9-$C$4</f>
        <v>14.25</v>
      </c>
      <c r="K9" s="21" t="str">
        <f aca="false">IF(J9&gt;=0,"PASS","BREACH")</f>
        <v>PASS</v>
      </c>
    </row>
    <row r="10" customFormat="false" ht="15" hidden="false" customHeight="true" outlineLevel="0" collapsed="false">
      <c r="B10" s="1" t="n">
        <v>4</v>
      </c>
      <c r="C10" s="15" t="n">
        <f aca="false">I9</f>
        <v>19.25</v>
      </c>
      <c r="D10" s="14" t="n">
        <v>8</v>
      </c>
      <c r="E10" s="14" t="n">
        <v>7</v>
      </c>
      <c r="F10" s="14" t="n">
        <v>0.75</v>
      </c>
      <c r="G10" s="14" t="n">
        <v>0.5</v>
      </c>
      <c r="H10" s="14" t="n">
        <v>0</v>
      </c>
      <c r="I10" s="15" t="n">
        <f aca="false">C10+D10+H10-E10-F10-G10</f>
        <v>19</v>
      </c>
      <c r="J10" s="15" t="n">
        <f aca="false">I10-$C$4</f>
        <v>14</v>
      </c>
      <c r="K10" s="21" t="str">
        <f aca="false">IF(J10&gt;=0,"PASS","BREACH")</f>
        <v>PASS</v>
      </c>
    </row>
    <row r="11" customFormat="false" ht="15" hidden="false" customHeight="true" outlineLevel="0" collapsed="false">
      <c r="B11" s="1" t="n">
        <v>5</v>
      </c>
      <c r="C11" s="15" t="n">
        <f aca="false">I10</f>
        <v>19</v>
      </c>
      <c r="D11" s="14" t="n">
        <v>8</v>
      </c>
      <c r="E11" s="14" t="n">
        <v>7</v>
      </c>
      <c r="F11" s="14" t="n">
        <v>0.75</v>
      </c>
      <c r="G11" s="14" t="n">
        <v>0.5</v>
      </c>
      <c r="H11" s="14" t="n">
        <v>0</v>
      </c>
      <c r="I11" s="15" t="n">
        <f aca="false">C11+D11+H11-E11-F11-G11</f>
        <v>18.75</v>
      </c>
      <c r="J11" s="15" t="n">
        <f aca="false">I11-$C$4</f>
        <v>13.75</v>
      </c>
      <c r="K11" s="21" t="str">
        <f aca="false">IF(J11&gt;=0,"PASS","BREACH")</f>
        <v>PASS</v>
      </c>
    </row>
    <row r="12" customFormat="false" ht="15" hidden="false" customHeight="true" outlineLevel="0" collapsed="false">
      <c r="B12" s="1" t="n">
        <v>6</v>
      </c>
      <c r="C12" s="15" t="n">
        <f aca="false">I11</f>
        <v>18.75</v>
      </c>
      <c r="D12" s="14" t="n">
        <v>8</v>
      </c>
      <c r="E12" s="14" t="n">
        <v>7</v>
      </c>
      <c r="F12" s="14" t="n">
        <v>0.75</v>
      </c>
      <c r="G12" s="14" t="n">
        <v>0.5</v>
      </c>
      <c r="H12" s="14" t="n">
        <v>0</v>
      </c>
      <c r="I12" s="15" t="n">
        <f aca="false">C12+D12+H12-E12-F12-G12</f>
        <v>18.5</v>
      </c>
      <c r="J12" s="15" t="n">
        <f aca="false">I12-$C$4</f>
        <v>13.5</v>
      </c>
      <c r="K12" s="21" t="str">
        <f aca="false">IF(J12&gt;=0,"PASS","BREACH")</f>
        <v>PASS</v>
      </c>
    </row>
    <row r="13" customFormat="false" ht="15" hidden="false" customHeight="true" outlineLevel="0" collapsed="false">
      <c r="B13" s="1" t="n">
        <v>7</v>
      </c>
      <c r="C13" s="15" t="n">
        <f aca="false">I12</f>
        <v>18.5</v>
      </c>
      <c r="D13" s="14" t="n">
        <v>8</v>
      </c>
      <c r="E13" s="14" t="n">
        <v>7</v>
      </c>
      <c r="F13" s="14" t="n">
        <v>0.75</v>
      </c>
      <c r="G13" s="14" t="n">
        <v>0.5</v>
      </c>
      <c r="H13" s="14" t="n">
        <v>0</v>
      </c>
      <c r="I13" s="15" t="n">
        <f aca="false">C13+D13+H13-E13-F13-G13</f>
        <v>18.25</v>
      </c>
      <c r="J13" s="15" t="n">
        <f aca="false">I13-$C$4</f>
        <v>13.25</v>
      </c>
      <c r="K13" s="21" t="str">
        <f aca="false">IF(J13&gt;=0,"PASS","BREACH")</f>
        <v>PASS</v>
      </c>
    </row>
    <row r="14" customFormat="false" ht="15" hidden="false" customHeight="true" outlineLevel="0" collapsed="false">
      <c r="B14" s="1" t="n">
        <v>8</v>
      </c>
      <c r="C14" s="15" t="n">
        <f aca="false">I13</f>
        <v>18.25</v>
      </c>
      <c r="D14" s="14" t="n">
        <v>8</v>
      </c>
      <c r="E14" s="14" t="n">
        <v>7</v>
      </c>
      <c r="F14" s="14" t="n">
        <v>0.75</v>
      </c>
      <c r="G14" s="14" t="n">
        <v>0.5</v>
      </c>
      <c r="H14" s="14" t="n">
        <v>0</v>
      </c>
      <c r="I14" s="15" t="n">
        <f aca="false">C14+D14+H14-E14-F14-G14</f>
        <v>18</v>
      </c>
      <c r="J14" s="15" t="n">
        <f aca="false">I14-$C$4</f>
        <v>13</v>
      </c>
      <c r="K14" s="21" t="str">
        <f aca="false">IF(J14&gt;=0,"PASS","BREACH")</f>
        <v>PASS</v>
      </c>
    </row>
    <row r="15" customFormat="false" ht="15" hidden="false" customHeight="true" outlineLevel="0" collapsed="false">
      <c r="B15" s="1" t="n">
        <v>9</v>
      </c>
      <c r="C15" s="15" t="n">
        <f aca="false">I14</f>
        <v>18</v>
      </c>
      <c r="D15" s="14" t="n">
        <v>8</v>
      </c>
      <c r="E15" s="14" t="n">
        <v>7</v>
      </c>
      <c r="F15" s="14" t="n">
        <v>0.75</v>
      </c>
      <c r="G15" s="14" t="n">
        <v>0.5</v>
      </c>
      <c r="H15" s="14" t="n">
        <v>0</v>
      </c>
      <c r="I15" s="15" t="n">
        <f aca="false">C15+D15+H15-E15-F15-G15</f>
        <v>17.75</v>
      </c>
      <c r="J15" s="15" t="n">
        <f aca="false">I15-$C$4</f>
        <v>12.75</v>
      </c>
      <c r="K15" s="21" t="str">
        <f aca="false">IF(J15&gt;=0,"PASS","BREACH")</f>
        <v>PASS</v>
      </c>
    </row>
    <row r="16" customFormat="false" ht="15" hidden="false" customHeight="true" outlineLevel="0" collapsed="false">
      <c r="B16" s="1" t="n">
        <v>10</v>
      </c>
      <c r="C16" s="15" t="n">
        <f aca="false">I15</f>
        <v>17.75</v>
      </c>
      <c r="D16" s="14" t="n">
        <v>8</v>
      </c>
      <c r="E16" s="14" t="n">
        <v>7</v>
      </c>
      <c r="F16" s="14" t="n">
        <v>0.75</v>
      </c>
      <c r="G16" s="14" t="n">
        <v>0.5</v>
      </c>
      <c r="H16" s="14" t="n">
        <v>0</v>
      </c>
      <c r="I16" s="15" t="n">
        <f aca="false">C16+D16+H16-E16-F16-G16</f>
        <v>17.5</v>
      </c>
      <c r="J16" s="15" t="n">
        <f aca="false">I16-$C$4</f>
        <v>12.5</v>
      </c>
      <c r="K16" s="21" t="str">
        <f aca="false">IF(J16&gt;=0,"PASS","BREACH")</f>
        <v>PASS</v>
      </c>
    </row>
    <row r="17" customFormat="false" ht="15" hidden="false" customHeight="true" outlineLevel="0" collapsed="false">
      <c r="B17" s="1" t="n">
        <v>11</v>
      </c>
      <c r="C17" s="15" t="n">
        <f aca="false">I16</f>
        <v>17.5</v>
      </c>
      <c r="D17" s="14" t="n">
        <v>8</v>
      </c>
      <c r="E17" s="14" t="n">
        <v>7</v>
      </c>
      <c r="F17" s="14" t="n">
        <v>0.75</v>
      </c>
      <c r="G17" s="14" t="n">
        <v>0.5</v>
      </c>
      <c r="H17" s="14" t="n">
        <v>0</v>
      </c>
      <c r="I17" s="15" t="n">
        <f aca="false">C17+D17+H17-E17-F17-G17</f>
        <v>17.25</v>
      </c>
      <c r="J17" s="15" t="n">
        <f aca="false">I17-$C$4</f>
        <v>12.25</v>
      </c>
      <c r="K17" s="21" t="str">
        <f aca="false">IF(J17&gt;=0,"PASS","BREACH")</f>
        <v>PASS</v>
      </c>
    </row>
    <row r="18" customFormat="false" ht="15" hidden="false" customHeight="true" outlineLevel="0" collapsed="false">
      <c r="B18" s="1" t="n">
        <v>12</v>
      </c>
      <c r="C18" s="15" t="n">
        <f aca="false">I17</f>
        <v>17.25</v>
      </c>
      <c r="D18" s="14" t="n">
        <v>8</v>
      </c>
      <c r="E18" s="14" t="n">
        <v>7</v>
      </c>
      <c r="F18" s="14" t="n">
        <v>0.75</v>
      </c>
      <c r="G18" s="14" t="n">
        <v>0.5</v>
      </c>
      <c r="H18" s="14" t="n">
        <v>0</v>
      </c>
      <c r="I18" s="15" t="n">
        <f aca="false">C18+D18+H18-E18-F18-G18</f>
        <v>17</v>
      </c>
      <c r="J18" s="15" t="n">
        <f aca="false">I18-$C$4</f>
        <v>12</v>
      </c>
      <c r="K18" s="21" t="str">
        <f aca="false">IF(J18&gt;=0,"PASS","BREACH")</f>
        <v>PASS</v>
      </c>
    </row>
    <row r="19" customFormat="false" ht="15" hidden="false" customHeight="true" outlineLevel="0" collapsed="false">
      <c r="B19" s="1" t="n">
        <v>13</v>
      </c>
      <c r="C19" s="15" t="n">
        <f aca="false">I18</f>
        <v>17</v>
      </c>
      <c r="D19" s="14" t="n">
        <v>8</v>
      </c>
      <c r="E19" s="14" t="n">
        <v>7</v>
      </c>
      <c r="F19" s="14" t="n">
        <v>0.75</v>
      </c>
      <c r="G19" s="14" t="n">
        <v>0.5</v>
      </c>
      <c r="H19" s="14" t="n">
        <v>0</v>
      </c>
      <c r="I19" s="15" t="n">
        <f aca="false">C19+D19+H19-E19-F19-G19</f>
        <v>16.75</v>
      </c>
      <c r="J19" s="15" t="n">
        <f aca="false">I19-$C$4</f>
        <v>11.75</v>
      </c>
      <c r="K19" s="21" t="str">
        <f aca="false">IF(J19&gt;=0,"PASS","BREACH")</f>
        <v>PASS</v>
      </c>
    </row>
    <row r="22" customFormat="false" ht="15" hidden="false" customHeight="true" outlineLevel="0" collapsed="false">
      <c r="B22" s="1" t="s">
        <v>137</v>
      </c>
      <c r="C22" s="15" t="n">
        <f aca="false">MIN(I7:I19)</f>
        <v>16.75</v>
      </c>
    </row>
    <row r="23" customFormat="false" ht="15" hidden="false" customHeight="true" outlineLevel="0" collapsed="false">
      <c r="B23" s="1" t="s">
        <v>138</v>
      </c>
      <c r="C23" s="15" t="n">
        <f aca="false">MAX(0,-MIN(J7:J19))</f>
        <v>0</v>
      </c>
    </row>
    <row r="24" customFormat="false" ht="15" hidden="false" customHeight="true" outlineLevel="0" collapsed="false">
      <c r="B24" s="1" t="s">
        <v>139</v>
      </c>
      <c r="C24" s="21" t="str">
        <f aca="false">IFERROR(MATCH("BREACH",K7:K19,0),"-")</f>
        <v>-</v>
      </c>
    </row>
    <row r="26" customFormat="false" ht="15" hidden="false" customHeight="true" outlineLevel="0" collapsed="false">
      <c r="B26" s="20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19.5" hidden="false" customHeight="true" outlineLevel="0" collapsed="false">
      <c r="B2" s="2" t="s">
        <v>141</v>
      </c>
    </row>
    <row r="5" customFormat="false" ht="15" hidden="false" customHeight="true" outlineLevel="0" collapsed="false">
      <c r="B5" s="1" t="s">
        <v>142</v>
      </c>
      <c r="C5" s="14" t="n">
        <v>7500</v>
      </c>
      <c r="D5" s="1" t="s">
        <v>143</v>
      </c>
    </row>
    <row r="6" customFormat="false" ht="15" hidden="false" customHeight="true" outlineLevel="0" collapsed="false">
      <c r="B6" s="1" t="s">
        <v>144</v>
      </c>
      <c r="C6" s="15" t="n">
        <f aca="false">'13-Week Liquidity'!C23</f>
        <v>0</v>
      </c>
      <c r="D6" s="1" t="s">
        <v>145</v>
      </c>
    </row>
    <row r="7" customFormat="false" ht="15" hidden="false" customHeight="true" outlineLevel="0" collapsed="false">
      <c r="B7" s="1" t="s">
        <v>146</v>
      </c>
      <c r="C7" s="22" t="n">
        <v>0.02</v>
      </c>
      <c r="D7" s="1" t="s">
        <v>147</v>
      </c>
    </row>
    <row r="8" customFormat="false" ht="15" hidden="false" customHeight="true" outlineLevel="0" collapsed="false">
      <c r="B8" s="1" t="s">
        <v>148</v>
      </c>
      <c r="C8" s="22" t="n">
        <v>0.12</v>
      </c>
      <c r="D8" s="1" t="s">
        <v>149</v>
      </c>
    </row>
    <row r="9" customFormat="false" ht="15" hidden="false" customHeight="true" outlineLevel="0" collapsed="false">
      <c r="B9" s="1" t="s">
        <v>150</v>
      </c>
      <c r="C9" s="23" t="n">
        <v>1</v>
      </c>
      <c r="D9" s="1" t="s">
        <v>151</v>
      </c>
    </row>
    <row r="10" customFormat="false" ht="15" hidden="false" customHeight="true" outlineLevel="0" collapsed="false">
      <c r="B10" s="1" t="s">
        <v>152</v>
      </c>
      <c r="C10" s="22" t="n">
        <v>0.03</v>
      </c>
      <c r="D10" s="1" t="s">
        <v>147</v>
      </c>
    </row>
    <row r="11" customFormat="false" ht="15" hidden="false" customHeight="true" outlineLevel="0" collapsed="false">
      <c r="B11" s="1" t="s">
        <v>153</v>
      </c>
      <c r="C11" s="24" t="n">
        <v>1</v>
      </c>
      <c r="D11" s="1" t="s">
        <v>154</v>
      </c>
    </row>
    <row r="14" customFormat="false" ht="15" hidden="false" customHeight="true" outlineLevel="0" collapsed="false">
      <c r="B14" s="1" t="s">
        <v>155</v>
      </c>
      <c r="C14" s="15" t="n">
        <f aca="false">MAX(0,C5-C6)</f>
        <v>7500</v>
      </c>
    </row>
    <row r="15" customFormat="false" ht="15" hidden="false" customHeight="true" outlineLevel="0" collapsed="false">
      <c r="B15" s="1" t="s">
        <v>156</v>
      </c>
      <c r="C15" s="15" t="n">
        <f aca="false">C6*C7</f>
        <v>0</v>
      </c>
    </row>
    <row r="16" customFormat="false" ht="15" hidden="false" customHeight="true" outlineLevel="0" collapsed="false">
      <c r="B16" s="1" t="s">
        <v>157</v>
      </c>
      <c r="C16" s="15" t="n">
        <f aca="false">C6*C8*C9</f>
        <v>0</v>
      </c>
    </row>
    <row r="17" customFormat="false" ht="15" hidden="false" customHeight="true" outlineLevel="0" collapsed="false">
      <c r="B17" s="1" t="s">
        <v>158</v>
      </c>
      <c r="C17" s="15" t="n">
        <f aca="false">C6*C10</f>
        <v>0</v>
      </c>
    </row>
    <row r="18" customFormat="false" ht="15" hidden="false" customHeight="true" outlineLevel="0" collapsed="false">
      <c r="B18" s="1" t="s">
        <v>159</v>
      </c>
      <c r="C18" s="15" t="n">
        <f aca="false">C6+C15+C16+C17</f>
        <v>0</v>
      </c>
    </row>
    <row r="19" customFormat="false" ht="15" hidden="false" customHeight="true" outlineLevel="0" collapsed="false">
      <c r="B19" s="1" t="s">
        <v>160</v>
      </c>
      <c r="C19" s="21" t="str">
        <f aca="false">IF(C5&gt;=C6,"PASS","BREACH")</f>
        <v>PASS</v>
      </c>
    </row>
    <row r="21" customFormat="false" ht="15" hidden="false" customHeight="true" outlineLevel="0" collapsed="false">
      <c r="B21" s="20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4" min="3" style="1" width="16"/>
    <col collapsed="false" customWidth="true" hidden="false" outlineLevel="0" max="5" min="5" style="1" width="40"/>
  </cols>
  <sheetData>
    <row r="2" customFormat="false" ht="19.5" hidden="false" customHeight="true" outlineLevel="0" collapsed="false">
      <c r="B2" s="2" t="s">
        <v>162</v>
      </c>
    </row>
    <row r="4" customFormat="false" ht="15" hidden="false" customHeight="true" outlineLevel="0" collapsed="false">
      <c r="C4" s="12" t="s">
        <v>163</v>
      </c>
      <c r="D4" s="12" t="s">
        <v>164</v>
      </c>
      <c r="E4" s="12" t="s">
        <v>165</v>
      </c>
    </row>
    <row r="5" customFormat="false" ht="15" hidden="false" customHeight="true" outlineLevel="0" collapsed="false">
      <c r="B5" s="1" t="s">
        <v>166</v>
      </c>
      <c r="C5" s="14" t="n">
        <v>180</v>
      </c>
      <c r="D5" s="14" t="n">
        <v>220</v>
      </c>
    </row>
    <row r="6" customFormat="false" ht="15" hidden="false" customHeight="true" outlineLevel="0" collapsed="false">
      <c r="B6" s="1" t="s">
        <v>167</v>
      </c>
      <c r="C6" s="14" t="n">
        <v>30</v>
      </c>
      <c r="D6" s="21"/>
    </row>
    <row r="7" customFormat="false" ht="15" hidden="false" customHeight="true" outlineLevel="0" collapsed="false">
      <c r="B7" s="1" t="s">
        <v>168</v>
      </c>
      <c r="C7" s="14" t="n">
        <v>10</v>
      </c>
      <c r="D7" s="14" t="n">
        <v>15</v>
      </c>
    </row>
    <row r="8" customFormat="false" ht="15" hidden="false" customHeight="true" outlineLevel="0" collapsed="false">
      <c r="B8" s="1" t="s">
        <v>169</v>
      </c>
      <c r="C8" s="25" t="n">
        <v>6</v>
      </c>
      <c r="D8" s="25" t="n">
        <v>18</v>
      </c>
    </row>
    <row r="9" customFormat="false" ht="15" hidden="false" customHeight="true" outlineLevel="0" collapsed="false">
      <c r="B9" s="1" t="s">
        <v>170</v>
      </c>
      <c r="C9" s="22" t="n">
        <v>0.15</v>
      </c>
      <c r="D9" s="21"/>
    </row>
    <row r="10" customFormat="false" ht="15" hidden="false" customHeight="true" outlineLevel="0" collapsed="false">
      <c r="C10" s="21"/>
      <c r="D10" s="21"/>
    </row>
    <row r="11" customFormat="false" ht="15" hidden="false" customHeight="true" outlineLevel="0" collapsed="false">
      <c r="B11" s="1" t="s">
        <v>171</v>
      </c>
      <c r="C11" s="15" t="n">
        <f aca="false">C5-C6-C7</f>
        <v>140</v>
      </c>
      <c r="D11" s="15" t="n">
        <f aca="false">D5-D7</f>
        <v>205</v>
      </c>
    </row>
    <row r="12" customFormat="false" ht="15" hidden="false" customHeight="true" outlineLevel="0" collapsed="false">
      <c r="B12" s="1" t="s">
        <v>172</v>
      </c>
      <c r="C12" s="26" t="n">
        <f aca="false">C11/(1+$C$9)^(C8/12)</f>
        <v>130.550673153644</v>
      </c>
      <c r="D12" s="26" t="n">
        <f aca="false">D11/(1+$C$9)^(D8/12)</f>
        <v>166.229117990665</v>
      </c>
      <c r="E12" s="20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50"/>
  </cols>
  <sheetData>
    <row r="2" customFormat="false" ht="19.5" hidden="false" customHeight="true" outlineLevel="0" collapsed="false">
      <c r="B2" s="2" t="s">
        <v>174</v>
      </c>
    </row>
    <row r="4" customFormat="false" ht="15" hidden="false" customHeight="true" outlineLevel="0" collapsed="false">
      <c r="B4" s="12" t="s">
        <v>175</v>
      </c>
      <c r="C4" s="12" t="s">
        <v>176</v>
      </c>
      <c r="D4" s="12" t="s">
        <v>29</v>
      </c>
      <c r="E4" s="12" t="s">
        <v>177</v>
      </c>
    </row>
    <row r="5" customFormat="false" ht="15" hidden="false" customHeight="true" outlineLevel="0" collapsed="false">
      <c r="B5" s="1" t="s">
        <v>178</v>
      </c>
      <c r="C5" s="21" t="n">
        <f aca="false">'Recovery Waterfall'!C12-SUM('Recovery Waterfall'!E5:E10)</f>
        <v>10</v>
      </c>
      <c r="D5" s="21" t="str">
        <f aca="false">IF(ABS(C5)&lt;0.01,"PASS","FAIL")</f>
        <v>FAIL</v>
      </c>
      <c r="E5" s="1" t="s">
        <v>179</v>
      </c>
    </row>
    <row r="6" customFormat="false" ht="15" hidden="false" customHeight="true" outlineLevel="0" collapsed="false">
      <c r="B6" s="1" t="s">
        <v>180</v>
      </c>
      <c r="C6" s="21" t="n">
        <f aca="false">MIN(IF(AND(ISNUMBER('Recovery Waterfall'!F5),ISNUMBER('Recovery Waterfall'!F6)),'Recovery Waterfall'!F5-'Recovery Waterfall'!F6,0),IF(AND(ISNUMBER('Recovery Waterfall'!F6),ISNUMBER('Recovery Waterfall'!F7)),'Recovery Waterfall'!F6-'Recovery Waterfall'!F7,0),IF(AND(ISNUMBER('Recovery Waterfall'!F7),ISNUMBER('Recovery Waterfall'!F8)),'Recovery Waterfall'!F7-'Recovery Waterfall'!F8,0),IF(AND(ISNUMBER('Recovery Waterfall'!F8),ISNUMBER('Recovery Waterfall'!F9)),'Recovery Waterfall'!F8-'Recovery Waterfall'!F9,0))</f>
        <v>0</v>
      </c>
      <c r="D6" s="21" t="str">
        <f aca="false">IF(C6&gt;=-0.000001,"PASS","FAIL")</f>
        <v>PASS</v>
      </c>
      <c r="E6" s="1" t="s">
        <v>181</v>
      </c>
    </row>
    <row r="7" customFormat="false" ht="15" hidden="false" customHeight="true" outlineLevel="0" collapsed="false">
      <c r="B7" s="1" t="s">
        <v>124</v>
      </c>
      <c r="C7" s="21" t="str">
        <f aca="false">'Recovery Waterfall'!C21</f>
        <v>-</v>
      </c>
      <c r="D7" s="21" t="str">
        <f aca="false">IF(C7="-","REVIEW","PASS")</f>
        <v>REVIEW</v>
      </c>
      <c r="E7" s="1" t="s">
        <v>182</v>
      </c>
    </row>
    <row r="8" customFormat="false" ht="15" hidden="false" customHeight="true" outlineLevel="0" collapsed="false">
      <c r="B8" s="1" t="s">
        <v>183</v>
      </c>
      <c r="C8" s="15" t="n">
        <f aca="false">'13-Week Liquidity'!C22</f>
        <v>16.75</v>
      </c>
      <c r="D8" s="21" t="str">
        <f aca="false">IF(C8&gt;='13-Week Liquidity'!C4,"PASS","BREACH")</f>
        <v>PASS</v>
      </c>
      <c r="E8" s="1" t="s">
        <v>184</v>
      </c>
    </row>
    <row r="9" customFormat="false" ht="15" hidden="false" customHeight="true" outlineLevel="0" collapsed="false">
      <c r="B9" s="1" t="s">
        <v>138</v>
      </c>
      <c r="C9" s="15" t="n">
        <f aca="false">'13-Week Liquidity'!C23</f>
        <v>0</v>
      </c>
      <c r="D9" s="21" t="str">
        <f aca="false">IF(C9&lt;='New Money'!C5,"PASS","BREACH")</f>
        <v>PASS</v>
      </c>
      <c r="E9" s="1" t="s">
        <v>185</v>
      </c>
    </row>
    <row r="10" customFormat="false" ht="15" hidden="false" customHeight="true" outlineLevel="0" collapsed="false">
      <c r="B10" s="1" t="s">
        <v>186</v>
      </c>
      <c r="C10" s="21" t="n">
        <f aca="false">'Liquidation vs Reorg'!D12-'Liquidation vs Reorg'!C12</f>
        <v>35.6784448370208</v>
      </c>
      <c r="D10" s="21" t="str">
        <f aca="false">IF(C10&gt;=0,"PASS","REVIEW")</f>
        <v>PASS</v>
      </c>
      <c r="E10" s="1" t="s">
        <v>187</v>
      </c>
    </row>
    <row r="11" customFormat="false" ht="15" hidden="false" customHeight="true" outlineLevel="0" collapsed="false">
      <c r="B11" s="1" t="s">
        <v>188</v>
      </c>
      <c r="C11" s="21" t="str">
        <f aca="false">'New Money'!C19</f>
        <v>PASS</v>
      </c>
      <c r="D11" s="21" t="str">
        <f aca="false">IF(C11="PASS","PASS","BREACH")</f>
        <v>PASS</v>
      </c>
      <c r="E11" s="1" t="s">
        <v>189</v>
      </c>
    </row>
    <row r="12" customFormat="false" ht="15" hidden="false" customHeight="true" outlineLevel="0" collapsed="false">
      <c r="B12" s="1" t="s">
        <v>190</v>
      </c>
      <c r="C12" s="15" t="n">
        <f aca="false">'Recovery Waterfall'!E10</f>
        <v>0</v>
      </c>
      <c r="D12" s="21" t="str">
        <f aca="false">IF(C12&gt;0,"REVIEW","PASS")</f>
        <v>PASS</v>
      </c>
      <c r="E12" s="1" t="s">
        <v>191</v>
      </c>
    </row>
    <row r="14" customFormat="false" ht="15" hidden="false" customHeight="true" outlineLevel="0" collapsed="false">
      <c r="B14" s="3" t="s">
        <v>192</v>
      </c>
      <c r="C14" s="17" t="str">
        <f aca="false">IF(COUNTIF(D5:D12,"FAIL")+COUNTIF(D5:D12,"BREACH")&gt;0,"BREACH",IF(COUNTIF(D5:D12,"REVIEW")&gt;0,"REVIEW","PASS"))</f>
        <v>BREACH</v>
      </c>
    </row>
    <row r="16" customFormat="false" ht="15" hidden="false" customHeight="true" outlineLevel="0" collapsed="false">
      <c r="B16" s="19" t="s">
        <v>193</v>
      </c>
    </row>
    <row r="17" customFormat="false" ht="15" hidden="false" customHeight="true" outlineLevel="0" collapsed="false">
      <c r="B17" s="1" t="s">
        <v>194</v>
      </c>
      <c r="C17" s="15" t="n">
        <f aca="false">'Recovery Waterfall'!C12</f>
        <v>200</v>
      </c>
    </row>
    <row r="18" customFormat="false" ht="15" hidden="false" customHeight="true" outlineLevel="0" collapsed="false">
      <c r="B18" s="1" t="s">
        <v>124</v>
      </c>
      <c r="C18" s="21" t="str">
        <f aca="false">'Recovery Waterfall'!C21</f>
        <v>-</v>
      </c>
    </row>
    <row r="19" customFormat="false" ht="15" hidden="false" customHeight="true" outlineLevel="0" collapsed="false">
      <c r="B19" s="1" t="s">
        <v>195</v>
      </c>
      <c r="C19" s="15" t="n">
        <f aca="false">'Liquidation vs Reorg'!C12</f>
        <v>130.550673153644</v>
      </c>
    </row>
    <row r="20" customFormat="false" ht="15" hidden="false" customHeight="true" outlineLevel="0" collapsed="false">
      <c r="B20" s="1" t="s">
        <v>196</v>
      </c>
      <c r="C20" s="15" t="n">
        <f aca="false">'Liquidation vs Reorg'!D12</f>
        <v>166.229117990665</v>
      </c>
    </row>
    <row r="21" customFormat="false" ht="15" hidden="false" customHeight="true" outlineLevel="0" collapsed="false">
      <c r="B21" s="1" t="s">
        <v>138</v>
      </c>
      <c r="C21" s="15" t="n">
        <f aca="false">'13-Week Liquidity'!C23</f>
        <v>0</v>
      </c>
    </row>
    <row r="22" customFormat="false" ht="15" hidden="false" customHeight="true" outlineLevel="0" collapsed="false">
      <c r="B22" s="1" t="s">
        <v>197</v>
      </c>
      <c r="C22" s="15" t="n">
        <f aca="false">'New Money'!C18</f>
        <v>0</v>
      </c>
    </row>
    <row r="23" customFormat="false" ht="15" hidden="false" customHeight="true" outlineLevel="0" collapsed="false">
      <c r="B23" s="1" t="s">
        <v>198</v>
      </c>
      <c r="C23" s="27" t="str">
        <f aca="false">'13-Week Liquidity'!C24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199</v>
      </c>
    </row>
    <row r="4" customFormat="false" ht="15" hidden="false" customHeight="true" outlineLevel="0" collapsed="false">
      <c r="B4" s="12" t="s">
        <v>80</v>
      </c>
      <c r="C4" s="12" t="s">
        <v>200</v>
      </c>
      <c r="D4" s="12" t="s">
        <v>201</v>
      </c>
      <c r="E4" s="12" t="s">
        <v>202</v>
      </c>
      <c r="F4" s="12" t="s">
        <v>203</v>
      </c>
    </row>
    <row r="5" customFormat="false" ht="15" hidden="false" customHeight="true" outlineLevel="0" collapsed="false">
      <c r="B5" s="21" t="s">
        <v>204</v>
      </c>
      <c r="C5" s="21" t="s">
        <v>205</v>
      </c>
      <c r="D5" s="21" t="s">
        <v>206</v>
      </c>
      <c r="E5" s="21" t="s">
        <v>207</v>
      </c>
      <c r="F5" s="21" t="s">
        <v>208</v>
      </c>
    </row>
    <row r="6" customFormat="false" ht="15" hidden="false" customHeight="true" outlineLevel="0" collapsed="false">
      <c r="B6" s="21"/>
      <c r="C6" s="21"/>
      <c r="D6" s="21"/>
      <c r="E6" s="21"/>
      <c r="F6" s="21"/>
    </row>
    <row r="7" customFormat="false" ht="15" hidden="false" customHeight="true" outlineLevel="0" collapsed="false">
      <c r="B7" s="21"/>
      <c r="C7" s="21"/>
      <c r="D7" s="21"/>
      <c r="E7" s="21"/>
      <c r="F7" s="21"/>
    </row>
    <row r="8" customFormat="false" ht="15" hidden="false" customHeight="true" outlineLevel="0" collapsed="false">
      <c r="B8" s="21"/>
      <c r="C8" s="21"/>
      <c r="D8" s="21"/>
      <c r="E8" s="21"/>
      <c r="F8" s="21"/>
    </row>
    <row r="9" customFormat="false" ht="15" hidden="false" customHeight="true" outlineLevel="0" collapsed="false">
      <c r="B9" s="21"/>
      <c r="C9" s="21"/>
      <c r="D9" s="21"/>
      <c r="E9" s="21"/>
      <c r="F9" s="21"/>
    </row>
    <row r="10" customFormat="false" ht="15" hidden="false" customHeight="true" outlineLevel="0" collapsed="false">
      <c r="B10" s="21"/>
      <c r="C10" s="21"/>
      <c r="D10" s="21"/>
      <c r="E10" s="21"/>
      <c r="F10" s="21"/>
    </row>
    <row r="11" customFormat="false" ht="15" hidden="false" customHeight="true" outlineLevel="0" collapsed="false">
      <c r="B11" s="21"/>
      <c r="C11" s="21"/>
      <c r="D11" s="21"/>
      <c r="E11" s="21"/>
      <c r="F11" s="21"/>
    </row>
    <row r="12" customFormat="false" ht="15" hidden="false" customHeight="true" outlineLevel="0" collapsed="false">
      <c r="B12" s="21"/>
      <c r="C12" s="21"/>
      <c r="D12" s="21"/>
      <c r="E12" s="21"/>
      <c r="F12" s="21"/>
    </row>
    <row r="13" customFormat="false" ht="15" hidden="false" customHeight="true" outlineLevel="0" collapsed="false">
      <c r="B13" s="21"/>
      <c r="C13" s="21"/>
      <c r="D13" s="21"/>
      <c r="E13" s="21"/>
      <c r="F13" s="21"/>
    </row>
    <row r="14" customFormat="false" ht="15" hidden="false" customHeight="true" outlineLevel="0" collapsed="false">
      <c r="B14" s="21"/>
      <c r="C14" s="21"/>
      <c r="D14" s="21"/>
      <c r="E14" s="21"/>
      <c r="F14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2026-08-04T15:32:30Z</dcterms:created>
  <dc:creator>openpyxl</dc:creator>
  <dc:description/>
  <dc:language>en-US</dc:language>
  <cp:lastModifiedBy/>
  <dcterms:modified xsi:type="dcterms:W3CDTF">2026-08-04T16:57:18Z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