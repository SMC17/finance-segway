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Futures Curve" sheetId="5" state="visible" r:id="rId7"/>
    <sheet name="Roll Yield" sheetId="6" state="visible" r:id="rId8"/>
    <sheet name="Hedging" sheetId="7" state="visible" r:id="rId9"/>
    <sheet name="Physical Balance &amp; Carry" sheetId="8" state="visible" r:id="rId10"/>
    <sheet name="Decision &amp; Checks" sheetId="9" state="visible" r:id="rId11"/>
    <sheet name="Sensitivity" sheetId="10" state="visible" r:id="rId12"/>
    <sheet name="RefreshLog" sheetId="11" state="visible" r:id="rId13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<sst xmlns="http://schemas.openxmlformats.org/spreadsheetml/2006/main" count="294" uniqueCount="209">
  <si>
    <t xml:space="preserve">[COMMODITY] — Commodities Model</t>
  </si>
  <si>
    <t xml:space="preserve">Commodity:</t>
  </si>
  <si>
    <t xml:space="preserve">[e.g. WTI Crude, Corn, Copper]</t>
  </si>
  <si>
    <t xml:space="preserve">Exchange:</t>
  </si>
  <si>
    <t xml:space="preserve">[NYMEX / CME / ICE]</t>
  </si>
  <si>
    <t xml:space="preserve">Last refreshed:</t>
  </si>
  <si>
    <t xml:space="preserve">2026-08-04</t>
  </si>
  <si>
    <t xml:space="preserve">Next roll date:</t>
  </si>
  <si>
    <t xml:space="preserve">[date]</t>
  </si>
  <si>
    <t xml:space="preserve">Refresh cadence:</t>
  </si>
  <si>
    <t xml:space="preserve">Weekly (daily near roll/expiry)</t>
  </si>
  <si>
    <t xml:space="preserve">Commodities — Institutional Decision Surface</t>
  </si>
  <si>
    <t xml:space="preserve">Model ID</t>
  </si>
  <si>
    <t xml:space="preserve">15</t>
  </si>
  <si>
    <t xml:space="preserve">Domain</t>
  </si>
  <si>
    <t xml:space="preserve">Commodities</t>
  </si>
  <si>
    <t xml:space="preserve">Declared maturity</t>
  </si>
  <si>
    <t xml:space="preserve">M2</t>
  </si>
  <si>
    <t xml:space="preserve">Canonical builder</t>
  </si>
  <si>
    <t xml:space="preserve">tools/builders/build_commodities_release.py</t>
  </si>
  <si>
    <t xml:space="preserve">Decision arena</t>
  </si>
  <si>
    <t xml:space="preserve">physical trading, scheduling, storage, credit and market risk</t>
  </si>
  <si>
    <t xml:space="preserve">Committee artifact</t>
  </si>
  <si>
    <t xml:space="preserve">physical-plus-paper position and optionality pack</t>
  </si>
  <si>
    <t xml:space="preserve">Operating cadence</t>
  </si>
  <si>
    <t xml:space="preserve">intraday risk; daily scheduling; weekly S&amp;OP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</si>
  <si>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</si>
  <si>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</si>
  <si>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</si>
  <si>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</si>
  <si>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</si>
  <si>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</si>
  <si>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flat price, basis and location exposure</t>
  </si>
  <si>
    <t xml:space="preserve">OPEN</t>
  </si>
  <si>
    <t xml:space="preserve">inventory and storage economics</t>
  </si>
  <si>
    <t xml:space="preserve">transport and quality differentials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</si>
  <si>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</si>
  <si>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</si>
  <si>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</si>
  <si>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Where is title and can the product move?</t>
  </si>
  <si>
    <t xml:space="preserve">Which basis is unhedgeable?</t>
  </si>
  <si>
    <t xml:space="preserve">What is the value of storage optionality?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</si>
  <si>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</si>
  <si>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</si>
  <si>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</si>
  <si>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flat-price shock</t>
  </si>
  <si>
    <t xml:space="preserve">basis blowout</t>
  </si>
  <si>
    <t xml:space="preserve">curve shape / roll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</si>
  <si>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</si>
  <si>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</si>
  <si>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</si>
  <si>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purchase / sale contracts</t>
  </si>
  <si>
    <t xml:space="preserve">storage and transport agreements</t>
  </si>
  <si>
    <t xml:space="preserve">quality certificates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</si>
  <si>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</si>
  <si>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</si>
  <si>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</si>
  <si>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physical and paper positions reconcile by unit</t>
  </si>
  <si>
    <t xml:space="preserve">storage carry identity</t>
  </si>
  <si>
    <t xml:space="preserve">hedge ratio uses matched grade/location/tenor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</si>
  <si>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</si>
  <si>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</si>
  <si>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</si>
  <si>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treating futures as a perfect physical hedge</t>
  </si>
  <si>
    <t xml:space="preserve">ignoring unit conversions and shrink</t>
  </si>
  <si>
    <t xml:space="preserve">missing nomination and capacity constraints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</si>
  <si>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</si>
  <si>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</si>
  <si>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</si>
  <si>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</si>
  <si>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</si>
  <si>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</si>
  <si>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</si>
  <si>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</si>
  <si>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</si>
  <si>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</si>
  <si>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</si>
  <si>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</si>
  <si>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Basel MAR21 Sensitivities-Based Method</t>
  </si>
  <si>
    <t xml:space="preserve">market-risk factors and aggregation</t>
  </si>
  <si>
    <t xml:space="preserve">https://www.bis.org/basel_framework/chapter/MAR/21.htm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</si>
  <si>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</si>
  <si>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</si>
  <si>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</si>
  <si>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</si>
  <si>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</si>
  <si>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</si>
  <si>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</si>
  <si>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</si>
  <si>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</si>
  <si>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</si>
  <si>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</si>
  <si>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</si>
  <si>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</si>
  <si>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</si>
  <si>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</si>
  <si>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</si>
  <si>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physical inventory</t>
  </si>
  <si>
    <t xml:space="preserve">daily</t>
  </si>
  <si>
    <t xml:space="preserve">title, location and quality reconciliation</t>
  </si>
  <si>
    <t xml:space="preserve">TO MAP</t>
  </si>
  <si>
    <t xml:space="preserve">futures / swaps</t>
  </si>
  <si>
    <t xml:space="preserve">intraday/daily</t>
  </si>
  <si>
    <t xml:space="preserve">trade and clearing reconciliation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</si>
  <si>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</si>
  <si>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</si>
  <si>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</si>
  <si>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</si>
  <si>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</si>
  <si>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</si>
  <si>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Futures Curve — Contango / Backwardation</t>
  </si>
  <si>
    <t xml:space="preserve">Contract month</t>
  </si>
  <si>
    <t xml:space="preserve">Price</t>
  </si>
  <si>
    <t xml:space="preserve">Days to expiry</t>
  </si>
  <si>
    <t xml:space="preserve">Annualized basis %</t>
  </si>
  <si>
    <t xml:space="preserve">vs. front month</t>
  </si>
  <si>
    <t xml:space="preserve">Curve shape</t>
  </si>
  <si>
    <t xml:space="preserve">M1 (front)</t>
  </si>
  <si>
    <t xml:space="preserve">M3</t>
  </si>
  <si>
    <t xml:space="preserve">M6</t>
  </si>
  <si>
    <t xml:space="preserve">M12</t>
  </si>
  <si>
    <t xml:space="preserve">Roll Yield</t>
  </si>
  <si>
    <t xml:space="preserve">Expiring contract price</t>
  </si>
  <si>
    <t xml:space="preserve">Next contract price</t>
  </si>
  <si>
    <t xml:space="preserve">Roll yield (%)</t>
  </si>
  <si>
    <t xml:space="preserve">Positive = backwardation roll gain (long-only benefits). Negative = contango roll cost.</t>
  </si>
  <si>
    <t xml:space="preserve">Annual roll cost/gain estimate (12 rolls, illustrative)</t>
  </si>
  <si>
    <t xml:space="preserve">Producer / Consumer Hedge Model</t>
  </si>
  <si>
    <t xml:space="preserve">Inputs</t>
  </si>
  <si>
    <t xml:space="preserve">Physical exposure (units)</t>
  </si>
  <si>
    <t xml:space="preserve">Futures contract size (units)</t>
  </si>
  <si>
    <t xml:space="preserve">Spot price</t>
  </si>
  <si>
    <t xml:space="preserve">Futures price (hedge contract)</t>
  </si>
  <si>
    <t xml:space="preserve">Hedge ratio (beta-adjusted)</t>
  </si>
  <si>
    <t xml:space="preserve">Outputs</t>
  </si>
  <si>
    <t xml:space="preserve">Contracts needed</t>
  </si>
  <si>
    <t xml:space="preserve">Notional hedged</t>
  </si>
  <si>
    <t xml:space="preserve">Unhedged basis exposure</t>
  </si>
  <si>
    <t xml:space="preserve">Physical Balance, Cost of Carry, and Basis</t>
  </si>
  <si>
    <t xml:space="preserve">Metric</t>
  </si>
  <si>
    <t xml:space="preserve">Base</t>
  </si>
  <si>
    <t xml:space="preserve">Downside</t>
  </si>
  <si>
    <t xml:space="preserve">Active</t>
  </si>
  <si>
    <t xml:space="preserve">Units / source</t>
  </si>
  <si>
    <t xml:space="preserve">linked to hedge spot</t>
  </si>
  <si>
    <t xml:space="preserve">Observed futures price</t>
  </si>
  <si>
    <t xml:space="preserve">linked to hedge contract</t>
  </si>
  <si>
    <t xml:space="preserve">Risk-free rate</t>
  </si>
  <si>
    <t xml:space="preserve">annual continuously compounded</t>
  </si>
  <si>
    <t xml:space="preserve">Storage and financing rate</t>
  </si>
  <si>
    <t xml:space="preserve">annual cost of carry</t>
  </si>
  <si>
    <t xml:space="preserve">Convenience yield</t>
  </si>
  <si>
    <t xml:space="preserve">annual non-cash benefit</t>
  </si>
  <si>
    <t xml:space="preserve">Time to delivery</t>
  </si>
  <si>
    <t xml:space="preserve">years</t>
  </si>
  <si>
    <t xml:space="preserve">Beginning inventory</t>
  </si>
  <si>
    <t xml:space="preserve">physical units</t>
  </si>
  <si>
    <t xml:space="preserve">Production</t>
  </si>
  <si>
    <t xml:space="preserve">Purchases</t>
  </si>
  <si>
    <t xml:space="preserve">Sales</t>
  </si>
  <si>
    <t xml:space="preserve">Internal consumption / shrink</t>
  </si>
  <si>
    <t xml:space="preserve">Reported ending inventory</t>
  </si>
  <si>
    <t xml:space="preserve">Basis warning threshold</t>
  </si>
  <si>
    <t xml:space="preserve">absolute spot-futures difference</t>
  </si>
  <si>
    <t xml:space="preserve">Maximum hedge ratio</t>
  </si>
  <si>
    <t xml:space="preserve">absolute futures units / physical units</t>
  </si>
  <si>
    <t xml:space="preserve">Derived outputs</t>
  </si>
  <si>
    <t xml:space="preserve">Net carry rate</t>
  </si>
  <si>
    <t xml:space="preserve">Cost-of-carry fair forward</t>
  </si>
  <si>
    <t xml:space="preserve">Observed less fair forward</t>
  </si>
  <si>
    <t xml:space="preserve">Spot-futures basis</t>
  </si>
  <si>
    <t xml:space="preserve">Front-to-next roll yield</t>
  </si>
  <si>
    <t xml:space="preserve">Calculated ending inventory</t>
  </si>
  <si>
    <t xml:space="preserve">Physical balance residual</t>
  </si>
  <si>
    <t xml:space="preserve">Absolute hedge ratio</t>
  </si>
  <si>
    <t xml:space="preserve">The cost-of-carry result is a reference relationship, not a claim that convenience yield or storage is directly observable.</t>
  </si>
  <si>
    <t xml:space="preserve">Commodities Decision Dashboard and Independent Checks</t>
  </si>
  <si>
    <t xml:space="preserve">Check / decision</t>
  </si>
  <si>
    <t xml:space="preserve">Interpretation / action</t>
  </si>
  <si>
    <t xml:space="preserve">Cost-of-carry residual</t>
  </si>
  <si>
    <t xml:space="preserve">Review storage, funding, convenience yield, delivery option, and contract alignment.</t>
  </si>
  <si>
    <t xml:space="preserve">Inventory must conserve across beginning stock, flows, shrink, and reported ending stock.</t>
  </si>
  <si>
    <t xml:space="preserve">Absolute basis</t>
  </si>
  <si>
    <t xml:space="preserve">Escalate material location, grade, quality, or timing basis risk.</t>
  </si>
  <si>
    <t xml:space="preserve">Hedge ratio</t>
  </si>
  <si>
    <t xml:space="preserve">Review over-hedging, contract multiplier, and beta-adjustment assumptions.</t>
  </si>
  <si>
    <t xml:space="preserve">Roll yield</t>
  </si>
  <si>
    <t xml:space="preserve">Negative roll yield is expected in contango but must be included in return and hedge economics.</t>
  </si>
  <si>
    <t xml:space="preserve">Ending inventory</t>
  </si>
  <si>
    <t xml:space="preserve">Negative physical inventory indicates an impossible operating plan or missing purchase.</t>
  </si>
  <si>
    <t xml:space="preserve">Overall model status</t>
  </si>
  <si>
    <t xml:space="preserve">Primary decision outputs</t>
  </si>
  <si>
    <t xml:space="preserve">Fair forward</t>
  </si>
  <si>
    <t xml:space="preserve">Observed futures</t>
  </si>
  <si>
    <t xml:space="preserve">Basis</t>
  </si>
  <si>
    <t xml:space="preserve">Unhedged exposure</t>
  </si>
  <si>
    <t xml:space="preserve">Sensitivity — P&amp;L by Spot Move</t>
  </si>
  <si>
    <t xml:space="preserve">Spot move %</t>
  </si>
  <si>
    <t xml:space="preserve">Unhedged P&amp;L</t>
  </si>
  <si>
    <t xml:space="preserve">Hedged P&amp;L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</si>
  <si>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</si>
  <si>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</si>
  <si>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</si>
  <si>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</si>
  <si>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</si>
  <si>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</si>
  <si>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commodities-reference-hedge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</si>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</sst>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.00;&quot;($&quot;#,##0.00\);\-"/>
    <numFmt numFmtId="166" formatCode="#,##0;\(#,##0\);\-"/>
    <numFmt numFmtId="167" formatCode="0.0%;\(0.0%\);\-"/>
    <numFmt numFmtId="168" formatCode="0.00"/>
    <numFmt numFmtId="169" formatCode="\$#,##0;&quot;($&quot;#,##0\);\-"/>
    <numFmt numFmtId="170" formatCode="0.00%;\(0.00%\);\-"/>
    <numFmt numFmtId="171" formatCode="0.0\x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  <row r="8" customFormat="false" ht="15" hidden="false" customHeight="false" outlineLevel="0" collapsed="false">
      <c r="B8" s="2" t="s">
        <v>9</v>
      </c>
      <c r="C8" s="3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11</v>
      </c>
      <c r="C2" s="5"/>
      <c r="D2" s="5"/>
      <c r="E2" s="5"/>
      <c r="F2" s="5"/>
    </row>
    <row r="4" customFormat="false" ht="15" hidden="false" customHeight="true" outlineLevel="0" collapsed="false">
      <c r="B4" s="6" t="s">
        <v>12</v>
      </c>
      <c r="C4" s="7" t="s">
        <v>13</v>
      </c>
      <c r="D4" s="7"/>
      <c r="E4" s="7"/>
      <c r="F4" s="7"/>
    </row>
    <row r="5" customFormat="false" ht="15" hidden="false" customHeight="true" outlineLevel="0" collapsed="false">
      <c r="B5" s="6" t="s">
        <v>14</v>
      </c>
      <c r="C5" s="7" t="s">
        <v>15</v>
      </c>
      <c r="D5" s="7"/>
      <c r="E5" s="7"/>
      <c r="F5" s="7"/>
    </row>
    <row r="6" customFormat="false" ht="15" hidden="false" customHeight="true" outlineLevel="0" collapsed="false">
      <c r="B6" s="6" t="s">
        <v>16</v>
      </c>
      <c r="C6" s="7" t="s">
        <v>17</v>
      </c>
      <c r="D6" s="7"/>
      <c r="E6" s="7"/>
      <c r="F6" s="7"/>
    </row>
    <row r="7" customFormat="false" ht="15" hidden="false" customHeight="true" outlineLevel="0" collapsed="false">
      <c r="B7" s="6" t="s">
        <v>18</v>
      </c>
      <c r="C7" s="7" t="s">
        <v>19</v>
      </c>
      <c r="D7" s="7"/>
      <c r="E7" s="7"/>
      <c r="F7" s="7"/>
    </row>
    <row r="8" customFormat="false" ht="15" hidden="false" customHeight="true" outlineLevel="0" collapsed="false">
      <c r="B8" s="6" t="s">
        <v>20</v>
      </c>
      <c r="C8" s="7" t="s">
        <v>21</v>
      </c>
      <c r="D8" s="7"/>
      <c r="E8" s="7"/>
      <c r="F8" s="7"/>
    </row>
    <row r="9" customFormat="false" ht="15" hidden="false" customHeight="true" outlineLevel="0" collapsed="false">
      <c r="B9" s="6" t="s">
        <v>22</v>
      </c>
      <c r="C9" s="7" t="s">
        <v>23</v>
      </c>
      <c r="D9" s="7"/>
      <c r="E9" s="7"/>
      <c r="F9" s="7"/>
    </row>
    <row r="10" customFormat="false" ht="15" hidden="false" customHeight="true" outlineLevel="0" collapsed="false">
      <c r="B10" s="6" t="s">
        <v>24</v>
      </c>
      <c r="C10" s="7" t="s">
        <v>25</v>
      </c>
      <c r="D10" s="7"/>
      <c r="E10" s="7"/>
      <c r="F10" s="7"/>
    </row>
    <row r="12" customFormat="false" ht="15" hidden="false" customHeight="false" outlineLevel="0" collapsed="false">
      <c r="B12" s="8" t="s">
        <v>26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27</v>
      </c>
      <c r="C13" s="9" t="s">
        <v>28</v>
      </c>
      <c r="D13" s="9" t="s">
        <v>29</v>
      </c>
      <c r="E13" s="9" t="s">
        <v>30</v>
      </c>
      <c r="F13" s="9" t="s">
        <v>31</v>
      </c>
    </row>
    <row r="14" customFormat="false" ht="15" hidden="false" customHeight="false" outlineLevel="0" collapsed="false">
      <c r="B14" s="0" t="n">
        <v>1</v>
      </c>
      <c r="C14" s="0" t="s">
        <v>32</v>
      </c>
      <c r="F14" s="10" t="s">
        <v>33</v>
      </c>
    </row>
    <row r="15" customFormat="false" ht="15" hidden="false" customHeight="false" outlineLevel="0" collapsed="false">
      <c r="B15" s="0" t="n">
        <v>2</v>
      </c>
      <c r="C15" s="0" t="s">
        <v>34</v>
      </c>
      <c r="F15" s="10" t="s">
        <v>33</v>
      </c>
    </row>
    <row r="16" customFormat="false" ht="15" hidden="false" customHeight="false" outlineLevel="0" collapsed="false">
      <c r="B16" s="0" t="n">
        <v>3</v>
      </c>
      <c r="C16" s="0" t="s">
        <v>35</v>
      </c>
      <c r="F16" s="10" t="s">
        <v>33</v>
      </c>
    </row>
    <row r="17" customFormat="false" ht="15" hidden="false" customHeight="false" outlineLevel="0" collapsed="false">
      <c r="B17" s="0" t="n">
        <v>4</v>
      </c>
      <c r="C17" s="0" t="s">
        <v>36</v>
      </c>
      <c r="F17" s="10" t="s">
        <v>33</v>
      </c>
    </row>
    <row r="18" customFormat="false" ht="15" hidden="false" customHeight="false" outlineLevel="0" collapsed="false">
      <c r="B18" s="0" t="n">
        <v>5</v>
      </c>
      <c r="C18" s="0" t="s">
        <v>37</v>
      </c>
      <c r="F18" s="10" t="s">
        <v>33</v>
      </c>
    </row>
    <row r="20" customFormat="false" ht="15" hidden="false" customHeight="false" outlineLevel="0" collapsed="false">
      <c r="B20" s="8" t="s">
        <v>38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27</v>
      </c>
      <c r="C21" s="9" t="s">
        <v>28</v>
      </c>
      <c r="D21" s="9" t="s">
        <v>29</v>
      </c>
      <c r="E21" s="9" t="s">
        <v>30</v>
      </c>
      <c r="F21" s="9" t="s">
        <v>31</v>
      </c>
    </row>
    <row r="22" customFormat="false" ht="15" hidden="false" customHeight="false" outlineLevel="0" collapsed="false">
      <c r="B22" s="0" t="n">
        <v>1</v>
      </c>
      <c r="C22" s="0" t="s">
        <v>39</v>
      </c>
      <c r="F22" s="10" t="s">
        <v>33</v>
      </c>
    </row>
    <row r="23" customFormat="false" ht="15" hidden="false" customHeight="false" outlineLevel="0" collapsed="false">
      <c r="B23" s="0" t="n">
        <v>2</v>
      </c>
      <c r="C23" s="0" t="s">
        <v>40</v>
      </c>
      <c r="F23" s="10" t="s">
        <v>33</v>
      </c>
    </row>
    <row r="24" customFormat="false" ht="15" hidden="false" customHeight="false" outlineLevel="0" collapsed="false">
      <c r="B24" s="0" t="n">
        <v>3</v>
      </c>
      <c r="C24" s="0" t="s">
        <v>41</v>
      </c>
      <c r="F24" s="10" t="s">
        <v>33</v>
      </c>
    </row>
    <row r="25" customFormat="false" ht="15" hidden="false" customHeight="false" outlineLevel="0" collapsed="false">
      <c r="B25" s="0" t="n">
        <v>4</v>
      </c>
      <c r="C25" s="0" t="s">
        <v>42</v>
      </c>
      <c r="F25" s="10" t="s">
        <v>33</v>
      </c>
    </row>
    <row r="26" customFormat="false" ht="15" hidden="false" customHeight="false" outlineLevel="0" collapsed="false">
      <c r="B26" s="0" t="n">
        <v>5</v>
      </c>
      <c r="C26" s="0" t="s">
        <v>43</v>
      </c>
      <c r="F26" s="10" t="s">
        <v>33</v>
      </c>
    </row>
    <row r="28" customFormat="false" ht="15" hidden="false" customHeight="false" outlineLevel="0" collapsed="false">
      <c r="B28" s="8" t="s">
        <v>44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27</v>
      </c>
      <c r="C29" s="9" t="s">
        <v>28</v>
      </c>
      <c r="D29" s="9" t="s">
        <v>29</v>
      </c>
      <c r="E29" s="9" t="s">
        <v>30</v>
      </c>
      <c r="F29" s="9" t="s">
        <v>31</v>
      </c>
    </row>
    <row r="30" customFormat="false" ht="15" hidden="false" customHeight="false" outlineLevel="0" collapsed="false">
      <c r="B30" s="0" t="n">
        <v>1</v>
      </c>
      <c r="C30" s="0" t="s">
        <v>45</v>
      </c>
      <c r="F30" s="10" t="s">
        <v>33</v>
      </c>
    </row>
    <row r="31" customFormat="false" ht="15" hidden="false" customHeight="false" outlineLevel="0" collapsed="false">
      <c r="B31" s="0" t="n">
        <v>2</v>
      </c>
      <c r="C31" s="0" t="s">
        <v>46</v>
      </c>
      <c r="F31" s="10" t="s">
        <v>33</v>
      </c>
    </row>
    <row r="32" customFormat="false" ht="15" hidden="false" customHeight="false" outlineLevel="0" collapsed="false">
      <c r="B32" s="0" t="n">
        <v>3</v>
      </c>
      <c r="C32" s="0" t="s">
        <v>47</v>
      </c>
      <c r="F32" s="10" t="s">
        <v>33</v>
      </c>
    </row>
    <row r="33" customFormat="false" ht="15" hidden="false" customHeight="false" outlineLevel="0" collapsed="false">
      <c r="B33" s="0" t="n">
        <v>4</v>
      </c>
      <c r="C33" s="0" t="s">
        <v>48</v>
      </c>
      <c r="F33" s="10" t="s">
        <v>33</v>
      </c>
    </row>
    <row r="34" customFormat="false" ht="15" hidden="false" customHeight="false" outlineLevel="0" collapsed="false">
      <c r="B34" s="0" t="n">
        <v>5</v>
      </c>
      <c r="C34" s="0" t="s">
        <v>49</v>
      </c>
      <c r="F34" s="10" t="s">
        <v>33</v>
      </c>
    </row>
    <row r="36" customFormat="false" ht="15" hidden="false" customHeight="false" outlineLevel="0" collapsed="false">
      <c r="B36" s="8" t="s">
        <v>50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27</v>
      </c>
      <c r="C37" s="9" t="s">
        <v>28</v>
      </c>
      <c r="D37" s="9" t="s">
        <v>29</v>
      </c>
      <c r="E37" s="9" t="s">
        <v>30</v>
      </c>
      <c r="F37" s="9" t="s">
        <v>31</v>
      </c>
    </row>
    <row r="38" customFormat="false" ht="15" hidden="false" customHeight="false" outlineLevel="0" collapsed="false">
      <c r="B38" s="0" t="n">
        <v>1</v>
      </c>
      <c r="C38" s="0" t="s">
        <v>51</v>
      </c>
      <c r="F38" s="10" t="s">
        <v>33</v>
      </c>
    </row>
    <row r="39" customFormat="false" ht="15" hidden="false" customHeight="false" outlineLevel="0" collapsed="false">
      <c r="B39" s="0" t="n">
        <v>2</v>
      </c>
      <c r="C39" s="0" t="s">
        <v>52</v>
      </c>
      <c r="F39" s="10" t="s">
        <v>33</v>
      </c>
    </row>
    <row r="40" customFormat="false" ht="15" hidden="false" customHeight="false" outlineLevel="0" collapsed="false">
      <c r="B40" s="0" t="n">
        <v>3</v>
      </c>
      <c r="C40" s="0" t="s">
        <v>53</v>
      </c>
      <c r="F40" s="10" t="s">
        <v>33</v>
      </c>
    </row>
    <row r="41" customFormat="false" ht="15" hidden="false" customHeight="false" outlineLevel="0" collapsed="false">
      <c r="B41" s="0" t="n">
        <v>4</v>
      </c>
      <c r="C41" s="0" t="s">
        <v>54</v>
      </c>
      <c r="F41" s="10" t="s">
        <v>33</v>
      </c>
    </row>
    <row r="42" customFormat="false" ht="15" hidden="false" customHeight="false" outlineLevel="0" collapsed="false">
      <c r="B42" s="0" t="n">
        <v>5</v>
      </c>
      <c r="C42" s="0" t="s">
        <v>55</v>
      </c>
      <c r="F42" s="10" t="s">
        <v>33</v>
      </c>
    </row>
    <row r="44" customFormat="false" ht="15" hidden="false" customHeight="false" outlineLevel="0" collapsed="false">
      <c r="B44" s="8" t="s">
        <v>56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27</v>
      </c>
      <c r="C45" s="9" t="s">
        <v>28</v>
      </c>
      <c r="D45" s="9" t="s">
        <v>29</v>
      </c>
      <c r="E45" s="9" t="s">
        <v>30</v>
      </c>
      <c r="F45" s="9" t="s">
        <v>31</v>
      </c>
    </row>
    <row r="46" customFormat="false" ht="15" hidden="false" customHeight="false" outlineLevel="0" collapsed="false">
      <c r="B46" s="0" t="n">
        <v>1</v>
      </c>
      <c r="C46" s="0" t="s">
        <v>57</v>
      </c>
      <c r="F46" s="10" t="s">
        <v>33</v>
      </c>
    </row>
    <row r="47" customFormat="false" ht="15" hidden="false" customHeight="false" outlineLevel="0" collapsed="false">
      <c r="B47" s="0" t="n">
        <v>2</v>
      </c>
      <c r="C47" s="0" t="s">
        <v>58</v>
      </c>
      <c r="F47" s="10" t="s">
        <v>33</v>
      </c>
    </row>
    <row r="48" customFormat="false" ht="15" hidden="false" customHeight="false" outlineLevel="0" collapsed="false">
      <c r="B48" s="0" t="n">
        <v>3</v>
      </c>
      <c r="C48" s="0" t="s">
        <v>59</v>
      </c>
      <c r="F48" s="10" t="s">
        <v>33</v>
      </c>
    </row>
    <row r="49" customFormat="false" ht="15" hidden="false" customHeight="false" outlineLevel="0" collapsed="false">
      <c r="B49" s="0" t="n">
        <v>4</v>
      </c>
      <c r="C49" s="0" t="s">
        <v>60</v>
      </c>
      <c r="F49" s="10" t="s">
        <v>33</v>
      </c>
    </row>
    <row r="50" customFormat="false" ht="15" hidden="false" customHeight="false" outlineLevel="0" collapsed="false">
      <c r="B50" s="0" t="n">
        <v>5</v>
      </c>
      <c r="C50" s="0" t="s">
        <v>61</v>
      </c>
      <c r="F50" s="10" t="s">
        <v>33</v>
      </c>
    </row>
    <row r="52" customFormat="false" ht="15" hidden="false" customHeight="false" outlineLevel="0" collapsed="false">
      <c r="B52" s="8" t="s">
        <v>62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27</v>
      </c>
      <c r="C53" s="9" t="s">
        <v>28</v>
      </c>
      <c r="D53" s="9" t="s">
        <v>29</v>
      </c>
      <c r="E53" s="9" t="s">
        <v>30</v>
      </c>
      <c r="F53" s="9" t="s">
        <v>31</v>
      </c>
    </row>
    <row r="54" customFormat="false" ht="15" hidden="false" customHeight="false" outlineLevel="0" collapsed="false">
      <c r="B54" s="0" t="n">
        <v>1</v>
      </c>
      <c r="C54" s="0" t="s">
        <v>63</v>
      </c>
      <c r="F54" s="10" t="s">
        <v>33</v>
      </c>
    </row>
    <row r="55" customFormat="false" ht="15" hidden="false" customHeight="false" outlineLevel="0" collapsed="false">
      <c r="B55" s="0" t="n">
        <v>2</v>
      </c>
      <c r="C55" s="0" t="s">
        <v>64</v>
      </c>
      <c r="F55" s="10" t="s">
        <v>33</v>
      </c>
    </row>
    <row r="56" customFormat="false" ht="15" hidden="false" customHeight="false" outlineLevel="0" collapsed="false">
      <c r="B56" s="0" t="n">
        <v>3</v>
      </c>
      <c r="C56" s="0" t="s">
        <v>65</v>
      </c>
      <c r="F56" s="10" t="s">
        <v>33</v>
      </c>
    </row>
    <row r="57" customFormat="false" ht="15" hidden="false" customHeight="false" outlineLevel="0" collapsed="false">
      <c r="B57" s="0" t="n">
        <v>4</v>
      </c>
      <c r="C57" s="0" t="s">
        <v>66</v>
      </c>
      <c r="F57" s="10" t="s">
        <v>33</v>
      </c>
    </row>
    <row r="58" customFormat="false" ht="15" hidden="false" customHeight="false" outlineLevel="0" collapsed="false">
      <c r="B58" s="0" t="n">
        <v>5</v>
      </c>
      <c r="C58" s="0" t="s">
        <v>67</v>
      </c>
      <c r="F58" s="10" t="s">
        <v>33</v>
      </c>
    </row>
    <row r="60" customFormat="false" ht="15" hidden="false" customHeight="false" outlineLevel="0" collapsed="false">
      <c r="B60" s="8" t="s">
        <v>68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69</v>
      </c>
      <c r="C61" s="9" t="s">
        <v>70</v>
      </c>
      <c r="D61" s="9" t="s">
        <v>71</v>
      </c>
      <c r="E61" s="9" t="s">
        <v>72</v>
      </c>
      <c r="F61" s="9" t="s">
        <v>73</v>
      </c>
    </row>
    <row r="62" customFormat="false" ht="15" hidden="false" customHeight="false" outlineLevel="0" collapsed="false">
      <c r="B62" s="0" t="s">
        <v>74</v>
      </c>
      <c r="C62" s="0" t="s">
        <v>75</v>
      </c>
      <c r="D62" s="0" t="s">
        <v>76</v>
      </c>
      <c r="E62" s="0" t="s">
        <v>77</v>
      </c>
    </row>
    <row r="63" customFormat="false" ht="15" hidden="false" customHeight="false" outlineLevel="0" collapsed="false">
      <c r="B63" s="0" t="s">
        <v>78</v>
      </c>
      <c r="C63" s="0" t="s">
        <v>79</v>
      </c>
      <c r="D63" s="0" t="s">
        <v>80</v>
      </c>
      <c r="E63" s="0" t="s">
        <v>77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81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82</v>
      </c>
      <c r="C4" s="9" t="s">
        <v>83</v>
      </c>
      <c r="D4" s="9" t="s">
        <v>84</v>
      </c>
      <c r="E4" s="9" t="s">
        <v>85</v>
      </c>
      <c r="F4" s="9" t="s">
        <v>86</v>
      </c>
      <c r="G4" s="9" t="s">
        <v>87</v>
      </c>
      <c r="H4" s="9" t="s">
        <v>31</v>
      </c>
      <c r="I4" s="9" t="s">
        <v>88</v>
      </c>
    </row>
    <row r="5" customFormat="false" ht="15" hidden="false" customHeight="false" outlineLevel="0" collapsed="false">
      <c r="D5" s="0" t="s">
        <v>57</v>
      </c>
      <c r="H5" s="10" t="s">
        <v>33</v>
      </c>
    </row>
    <row r="6" customFormat="false" ht="15" hidden="false" customHeight="false" outlineLevel="0" collapsed="false">
      <c r="D6" s="0" t="s">
        <v>58</v>
      </c>
      <c r="H6" s="10" t="s">
        <v>33</v>
      </c>
    </row>
    <row r="7" customFormat="false" ht="15" hidden="false" customHeight="false" outlineLevel="0" collapsed="false">
      <c r="D7" s="0" t="s">
        <v>59</v>
      </c>
      <c r="H7" s="10" t="s">
        <v>33</v>
      </c>
    </row>
    <row r="8" customFormat="false" ht="15" hidden="false" customHeight="false" outlineLevel="0" collapsed="false">
      <c r="D8" s="0" t="s">
        <v>60</v>
      </c>
      <c r="H8" s="10" t="s">
        <v>33</v>
      </c>
    </row>
    <row r="9" customFormat="false" ht="15" hidden="false" customHeight="false" outlineLevel="0" collapsed="false">
      <c r="D9" s="0" t="s">
        <v>61</v>
      </c>
      <c r="H9" s="10" t="s">
        <v>33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89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90</v>
      </c>
      <c r="C4" s="9" t="s">
        <v>91</v>
      </c>
      <c r="D4" s="9" t="s">
        <v>92</v>
      </c>
      <c r="E4" s="9" t="s">
        <v>93</v>
      </c>
      <c r="F4" s="9" t="s">
        <v>94</v>
      </c>
      <c r="G4" s="9" t="s">
        <v>29</v>
      </c>
      <c r="H4" s="9" t="s">
        <v>95</v>
      </c>
      <c r="I4" s="9" t="s">
        <v>96</v>
      </c>
      <c r="J4" s="9" t="s">
        <v>31</v>
      </c>
    </row>
    <row r="5" customFormat="false" ht="15" hidden="false" customHeight="false" outlineLevel="0" collapsed="false">
      <c r="B5" s="0" t="s">
        <v>97</v>
      </c>
      <c r="C5" s="0" t="s">
        <v>98</v>
      </c>
      <c r="D5" s="0" t="s">
        <v>99</v>
      </c>
      <c r="J5" s="10" t="s">
        <v>100</v>
      </c>
    </row>
    <row r="6" customFormat="false" ht="15" hidden="false" customHeight="false" outlineLevel="0" collapsed="false">
      <c r="B6" s="0" t="s">
        <v>101</v>
      </c>
      <c r="C6" s="0" t="s">
        <v>102</v>
      </c>
      <c r="D6" s="0" t="s">
        <v>103</v>
      </c>
      <c r="J6" s="10" t="s">
        <v>100</v>
      </c>
    </row>
    <row r="7" customFormat="false" ht="15" hidden="false" customHeight="false" outlineLevel="0" collapsed="false">
      <c r="B7" s="0" t="s">
        <v>104</v>
      </c>
      <c r="C7" s="0" t="s">
        <v>105</v>
      </c>
      <c r="D7" s="0" t="s">
        <v>106</v>
      </c>
      <c r="J7" s="10" t="s">
        <v>100</v>
      </c>
    </row>
    <row r="8" customFormat="false" ht="15" hidden="false" customHeight="false" outlineLevel="0" collapsed="false">
      <c r="B8" s="0" t="s">
        <v>107</v>
      </c>
      <c r="C8" s="0" t="s">
        <v>108</v>
      </c>
      <c r="D8" s="0" t="s">
        <v>109</v>
      </c>
      <c r="J8" s="10" t="s">
        <v>100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6" min="3" style="0" width="14"/>
    <col collapsed="false" customWidth="true" hidden="false" outlineLevel="0" max="7" min="7" style="0" width="20"/>
  </cols>
  <sheetData>
    <row r="2" customFormat="false" ht="19.7" hidden="false" customHeight="false" outlineLevel="0" collapsed="false">
      <c r="B2" s="1" t="s">
        <v>110</v>
      </c>
    </row>
    <row r="4" customFormat="false" ht="15" hidden="false" customHeight="false" outlineLevel="0" collapsed="false">
      <c r="A4" s="11"/>
      <c r="B4" s="11" t="s">
        <v>111</v>
      </c>
      <c r="C4" s="11" t="s">
        <v>112</v>
      </c>
      <c r="D4" s="11" t="s">
        <v>113</v>
      </c>
      <c r="E4" s="11" t="s">
        <v>114</v>
      </c>
      <c r="F4" s="11" t="s">
        <v>115</v>
      </c>
      <c r="G4" s="10" t="s">
        <v>116</v>
      </c>
    </row>
    <row r="5" customFormat="false" ht="15" hidden="false" customHeight="false" outlineLevel="0" collapsed="false">
      <c r="B5" s="12" t="s">
        <v>117</v>
      </c>
      <c r="C5" s="13" t="n">
        <v>0</v>
      </c>
      <c r="D5" s="14" t="n">
        <v>0</v>
      </c>
      <c r="E5" s="15" t="str">
        <f aca="false">IFERROR((C5/$C$5-1)*(365/(D5-$D$5)),"-")</f>
        <v>-</v>
      </c>
      <c r="F5" s="15" t="str">
        <f aca="false">IFERROR(C5/$C$5-1,"-")</f>
        <v>-</v>
      </c>
      <c r="G5" s="16" t="str">
        <f aca="false">IF(C5&gt;$C$5,"Contango",IF(C5&lt;$C$5,"Backwardation","Flat"))</f>
        <v>Flat</v>
      </c>
    </row>
    <row r="6" customFormat="false" ht="15" hidden="false" customHeight="false" outlineLevel="0" collapsed="false">
      <c r="B6" s="12" t="s">
        <v>17</v>
      </c>
      <c r="C6" s="13" t="n">
        <v>0</v>
      </c>
      <c r="D6" s="14" t="n">
        <v>0</v>
      </c>
      <c r="E6" s="15" t="str">
        <f aca="false">IFERROR((C6/$C$5-1)*(365/(D6-$D$5)),"-")</f>
        <v>-</v>
      </c>
      <c r="F6" s="15" t="str">
        <f aca="false">IFERROR(C6/$C$5-1,"-")</f>
        <v>-</v>
      </c>
      <c r="G6" s="16" t="str">
        <f aca="false">IF(C6&gt;$C$5,"Contango",IF(C6&lt;$C$5,"Backwardation","Flat"))</f>
        <v>Flat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n">
        <v>0</v>
      </c>
      <c r="E7" s="15" t="str">
        <f aca="false">IFERROR((C7/$C$5-1)*(365/(D7-$D$5)),"-")</f>
        <v>-</v>
      </c>
      <c r="F7" s="15" t="str">
        <f aca="false">IFERROR(C7/$C$5-1,"-")</f>
        <v>-</v>
      </c>
      <c r="G7" s="16" t="str">
        <f aca="false">IF(C7&gt;$C$5,"Contango",IF(C7&lt;$C$5,"Backwardation","Flat"))</f>
        <v>Flat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n">
        <v>0</v>
      </c>
      <c r="E8" s="15" t="str">
        <f aca="false">IFERROR((C8/$C$5-1)*(365/(D8-$D$5)),"-")</f>
        <v>-</v>
      </c>
      <c r="F8" s="15" t="str">
        <f aca="false">IFERROR(C8/$C$5-1,"-")</f>
        <v>-</v>
      </c>
      <c r="G8" s="16" t="str">
        <f aca="false">IF(C8&gt;$C$5,"Contango",IF(C8&lt;$C$5,"Backwardation","Flat"))</f>
        <v>Flat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n">
        <v>0</v>
      </c>
      <c r="E9" s="15" t="str">
        <f aca="false">IFERROR((C9/$C$5-1)*(365/(D9-$D$5)),"-")</f>
        <v>-</v>
      </c>
      <c r="F9" s="15" t="str">
        <f aca="false">IFERROR(C9/$C$5-1,"-")</f>
        <v>-</v>
      </c>
      <c r="G9" s="16" t="str">
        <f aca="false">IF(C9&gt;$C$5,"Contango",IF(C9&lt;$C$5,"Backwardation","Flat"))</f>
        <v>Flat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121</v>
      </c>
    </row>
    <row r="4" customFormat="false" ht="15" hidden="false" customHeight="false" outlineLevel="0" collapsed="false">
      <c r="B4" s="0" t="s">
        <v>122</v>
      </c>
      <c r="C4" s="17" t="n">
        <f aca="false">'Futures Curve'!C5</f>
        <v>0</v>
      </c>
    </row>
    <row r="5" customFormat="false" ht="15" hidden="false" customHeight="false" outlineLevel="0" collapsed="false">
      <c r="B5" s="0" t="s">
        <v>123</v>
      </c>
      <c r="C5" s="17" t="n">
        <f aca="false">'Futures Curve'!C6</f>
        <v>0</v>
      </c>
    </row>
    <row r="6" customFormat="false" ht="15" hidden="false" customHeight="false" outlineLevel="0" collapsed="false">
      <c r="B6" s="0" t="s">
        <v>124</v>
      </c>
      <c r="C6" s="18" t="str">
        <f aca="false">IFERROR(C4/C5-1,"-")</f>
        <v>-</v>
      </c>
      <c r="D6" s="19" t="s">
        <v>125</v>
      </c>
    </row>
    <row r="8" customFormat="false" ht="15" hidden="false" customHeight="false" outlineLevel="0" collapsed="false">
      <c r="B8" s="0" t="s">
        <v>126</v>
      </c>
      <c r="C8" s="20" t="str">
        <f aca="false">IFERROR(C6*12,"-")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16"/>
    <col collapsed="false" customWidth="true" hidden="false" outlineLevel="0" max="5" min="5" style="0" width="40"/>
  </cols>
  <sheetData>
    <row r="2" customFormat="false" ht="19.7" hidden="false" customHeight="false" outlineLevel="0" collapsed="false">
      <c r="B2" s="1" t="s">
        <v>127</v>
      </c>
    </row>
    <row r="4" customFormat="false" ht="15" hidden="false" customHeight="false" outlineLevel="0" collapsed="false">
      <c r="B4" s="21" t="s">
        <v>128</v>
      </c>
    </row>
    <row r="5" customFormat="false" ht="15" hidden="false" customHeight="false" outlineLevel="0" collapsed="false">
      <c r="B5" s="12" t="s">
        <v>129</v>
      </c>
      <c r="C5" s="22" t="n">
        <v>1000</v>
      </c>
    </row>
    <row r="6" customFormat="false" ht="15" hidden="false" customHeight="false" outlineLevel="0" collapsed="false">
      <c r="B6" s="12" t="s">
        <v>130</v>
      </c>
      <c r="C6" s="22" t="n">
        <v>100</v>
      </c>
    </row>
    <row r="7" customFormat="false" ht="15" hidden="false" customHeight="false" outlineLevel="0" collapsed="false">
      <c r="B7" s="12" t="s">
        <v>131</v>
      </c>
      <c r="C7" s="23" t="n">
        <v>80</v>
      </c>
    </row>
    <row r="8" customFormat="false" ht="15" hidden="false" customHeight="false" outlineLevel="0" collapsed="false">
      <c r="B8" s="12" t="s">
        <v>132</v>
      </c>
      <c r="C8" s="23" t="n">
        <v>82</v>
      </c>
    </row>
    <row r="9" customFormat="false" ht="15" hidden="false" customHeight="false" outlineLevel="0" collapsed="false">
      <c r="B9" s="12" t="s">
        <v>133</v>
      </c>
      <c r="C9" s="24" t="n">
        <v>0</v>
      </c>
    </row>
    <row r="10" customFormat="false" ht="15" hidden="false" customHeight="false" outlineLevel="0" collapsed="false">
      <c r="C10" s="4" t="n">
        <v>1</v>
      </c>
    </row>
    <row r="11" customFormat="false" ht="15" hidden="false" customHeight="false" outlineLevel="0" collapsed="false">
      <c r="B11" s="21" t="s">
        <v>134</v>
      </c>
    </row>
    <row r="12" customFormat="false" ht="15" hidden="false" customHeight="false" outlineLevel="0" collapsed="false">
      <c r="B12" s="0" t="s">
        <v>135</v>
      </c>
      <c r="C12" s="25" t="n">
        <f aca="false">IFERROR(ROUND(C5*C9/C6,0),"-")</f>
        <v>0</v>
      </c>
    </row>
    <row r="13" customFormat="false" ht="15" hidden="false" customHeight="false" outlineLevel="0" collapsed="false">
      <c r="B13" s="0" t="s">
        <v>136</v>
      </c>
      <c r="C13" s="26" t="n">
        <f aca="false">C12*C6*C8</f>
        <v>0</v>
      </c>
    </row>
    <row r="14" customFormat="false" ht="15" hidden="false" customHeight="false" outlineLevel="0" collapsed="false">
      <c r="B14" s="0" t="s">
        <v>137</v>
      </c>
      <c r="C14" s="26" t="n">
        <f aca="false">C5*C7-C13</f>
        <v>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5" min="3" style="0" width="18"/>
    <col collapsed="false" customWidth="true" hidden="false" outlineLevel="0" max="6" min="6" style="0" width="34"/>
  </cols>
  <sheetData>
    <row r="2" customFormat="false" ht="19.7" hidden="false" customHeight="false" outlineLevel="0" collapsed="false">
      <c r="B2" s="1" t="s">
        <v>138</v>
      </c>
    </row>
    <row r="4" customFormat="false" ht="15" hidden="false" customHeight="false" outlineLevel="0" collapsed="false">
      <c r="B4" s="11" t="s">
        <v>139</v>
      </c>
      <c r="C4" s="11" t="s">
        <v>140</v>
      </c>
      <c r="D4" s="11" t="s">
        <v>141</v>
      </c>
      <c r="E4" s="11" t="s">
        <v>142</v>
      </c>
      <c r="F4" s="11" t="s">
        <v>143</v>
      </c>
    </row>
    <row r="5" customFormat="false" ht="15" hidden="false" customHeight="false" outlineLevel="0" collapsed="false">
      <c r="B5" s="12" t="s">
        <v>131</v>
      </c>
      <c r="C5" s="23" t="n">
        <f aca="false">Hedging!C7</f>
        <v>80</v>
      </c>
      <c r="D5" s="23" t="n">
        <f aca="false">Hedging!C7*0.7</f>
        <v>56</v>
      </c>
      <c r="E5" s="27" t="n">
        <f aca="false">IF(Cover!$C$9="Downside",D5,C5)</f>
        <v>80</v>
      </c>
      <c r="F5" s="10" t="s">
        <v>144</v>
      </c>
    </row>
    <row r="6" customFormat="false" ht="15" hidden="false" customHeight="false" outlineLevel="0" collapsed="false">
      <c r="B6" s="12" t="s">
        <v>145</v>
      </c>
      <c r="C6" s="23" t="n">
        <f aca="false">Hedging!C8</f>
        <v>82</v>
      </c>
      <c r="D6" s="23" t="n">
        <f aca="false">Hedging!C8*1.1</f>
        <v>90.2</v>
      </c>
      <c r="E6" s="27" t="n">
        <f aca="false">IF(Cover!$C$9="Downside",D6,C6)</f>
        <v>82</v>
      </c>
      <c r="F6" s="10" t="s">
        <v>146</v>
      </c>
    </row>
    <row r="7" customFormat="false" ht="15" hidden="false" customHeight="false" outlineLevel="0" collapsed="false">
      <c r="B7" s="12" t="s">
        <v>147</v>
      </c>
      <c r="C7" s="28" t="n">
        <v>0.04</v>
      </c>
      <c r="D7" s="28" t="n">
        <v>0.07</v>
      </c>
      <c r="E7" s="29" t="n">
        <f aca="false">IF(Cover!$C$9="Downside",D7,C7)</f>
        <v>0.04</v>
      </c>
      <c r="F7" s="10" t="s">
        <v>148</v>
      </c>
    </row>
    <row r="8" customFormat="false" ht="15" hidden="false" customHeight="false" outlineLevel="0" collapsed="false">
      <c r="B8" s="12" t="s">
        <v>149</v>
      </c>
      <c r="C8" s="28" t="n">
        <v>0.02</v>
      </c>
      <c r="D8" s="28" t="n">
        <v>0.2</v>
      </c>
      <c r="E8" s="29" t="n">
        <f aca="false">IF(Cover!$C$9="Downside",D8,C8)</f>
        <v>0.02</v>
      </c>
      <c r="F8" s="10" t="s">
        <v>150</v>
      </c>
    </row>
    <row r="9" customFormat="false" ht="15" hidden="false" customHeight="false" outlineLevel="0" collapsed="false">
      <c r="B9" s="12" t="s">
        <v>151</v>
      </c>
      <c r="C9" s="28" t="n">
        <v>0.03</v>
      </c>
      <c r="D9" s="28" t="n">
        <v>0</v>
      </c>
      <c r="E9" s="29" t="n">
        <f aca="false">IF(Cover!$C$9="Downside",D9,C9)</f>
        <v>0.03</v>
      </c>
      <c r="F9" s="10" t="s">
        <v>152</v>
      </c>
    </row>
    <row r="10" customFormat="false" ht="15" hidden="false" customHeight="false" outlineLevel="0" collapsed="false">
      <c r="B10" s="12" t="s">
        <v>153</v>
      </c>
      <c r="C10" s="24" t="n">
        <v>0.5</v>
      </c>
      <c r="D10" s="24" t="n">
        <v>0.25</v>
      </c>
      <c r="E10" s="30" t="n">
        <f aca="false">IF(Cover!$C$9="Downside",D10,C10)</f>
        <v>0.5</v>
      </c>
      <c r="F10" s="10" t="s">
        <v>154</v>
      </c>
    </row>
    <row r="11" customFormat="false" ht="15" hidden="false" customHeight="false" outlineLevel="0" collapsed="false">
      <c r="B11" s="12" t="s">
        <v>155</v>
      </c>
      <c r="C11" s="22" t="n">
        <v>100</v>
      </c>
      <c r="D11" s="22" t="n">
        <v>20</v>
      </c>
      <c r="E11" s="31" t="n">
        <f aca="false">IF(Cover!$C$9="Downside",D11,C11)</f>
        <v>100</v>
      </c>
      <c r="F11" s="10" t="s">
        <v>156</v>
      </c>
    </row>
    <row r="12" customFormat="false" ht="15" hidden="false" customHeight="false" outlineLevel="0" collapsed="false">
      <c r="B12" s="12" t="s">
        <v>157</v>
      </c>
      <c r="C12" s="22" t="n">
        <v>50</v>
      </c>
      <c r="D12" s="22" t="n">
        <v>0</v>
      </c>
      <c r="E12" s="31" t="n">
        <f aca="false">IF(Cover!$C$9="Downside",D12,C12)</f>
        <v>50</v>
      </c>
      <c r="F12" s="10" t="s">
        <v>156</v>
      </c>
    </row>
    <row r="13" customFormat="false" ht="15" hidden="false" customHeight="false" outlineLevel="0" collapsed="false">
      <c r="B13" s="12" t="s">
        <v>158</v>
      </c>
      <c r="C13" s="22" t="n">
        <v>20</v>
      </c>
      <c r="D13" s="22" t="n">
        <v>10</v>
      </c>
      <c r="E13" s="31" t="n">
        <f aca="false">IF(Cover!$C$9="Downside",D13,C13)</f>
        <v>20</v>
      </c>
      <c r="F13" s="10" t="s">
        <v>156</v>
      </c>
    </row>
    <row r="14" customFormat="false" ht="15" hidden="false" customHeight="false" outlineLevel="0" collapsed="false">
      <c r="B14" s="12" t="s">
        <v>159</v>
      </c>
      <c r="C14" s="22" t="n">
        <v>80</v>
      </c>
      <c r="D14" s="22" t="n">
        <v>25</v>
      </c>
      <c r="E14" s="31" t="n">
        <f aca="false">IF(Cover!$C$9="Downside",D14,C14)</f>
        <v>80</v>
      </c>
      <c r="F14" s="10" t="s">
        <v>156</v>
      </c>
    </row>
    <row r="15" customFormat="false" ht="15" hidden="false" customHeight="false" outlineLevel="0" collapsed="false">
      <c r="B15" s="12" t="s">
        <v>160</v>
      </c>
      <c r="C15" s="22" t="n">
        <v>30</v>
      </c>
      <c r="D15" s="22" t="n">
        <v>5</v>
      </c>
      <c r="E15" s="31" t="n">
        <f aca="false">IF(Cover!$C$9="Downside",D15,C15)</f>
        <v>30</v>
      </c>
      <c r="F15" s="10" t="s">
        <v>156</v>
      </c>
    </row>
    <row r="16" customFormat="false" ht="15" hidden="false" customHeight="false" outlineLevel="0" collapsed="false">
      <c r="B16" s="12" t="s">
        <v>161</v>
      </c>
      <c r="C16" s="22" t="n">
        <v>60</v>
      </c>
      <c r="D16" s="22" t="n">
        <v>0</v>
      </c>
      <c r="E16" s="31" t="n">
        <f aca="false">IF(Cover!$C$9="Downside",D16,C16)</f>
        <v>60</v>
      </c>
      <c r="F16" s="10" t="s">
        <v>156</v>
      </c>
    </row>
    <row r="17" customFormat="false" ht="15" hidden="false" customHeight="false" outlineLevel="0" collapsed="false">
      <c r="B17" s="12" t="s">
        <v>162</v>
      </c>
      <c r="C17" s="23" t="n">
        <v>10</v>
      </c>
      <c r="D17" s="23" t="n">
        <v>5</v>
      </c>
      <c r="E17" s="27" t="n">
        <f aca="false">IF(Cover!$C$9="Downside",D17,C17)</f>
        <v>10</v>
      </c>
      <c r="F17" s="10" t="s">
        <v>163</v>
      </c>
    </row>
    <row r="18" customFormat="false" ht="15" hidden="false" customHeight="false" outlineLevel="0" collapsed="false">
      <c r="B18" s="12" t="s">
        <v>164</v>
      </c>
      <c r="C18" s="32" t="n">
        <v>1.25</v>
      </c>
      <c r="D18" s="32" t="n">
        <v>1.1</v>
      </c>
      <c r="E18" s="33" t="n">
        <f aca="false">IF(Cover!$C$9="Downside",D18,C18)</f>
        <v>1.25</v>
      </c>
      <c r="F18" s="10" t="s">
        <v>165</v>
      </c>
    </row>
    <row r="21" customFormat="false" ht="15" hidden="false" customHeight="false" outlineLevel="0" collapsed="false">
      <c r="B21" s="21" t="s">
        <v>166</v>
      </c>
    </row>
    <row r="22" customFormat="false" ht="15" hidden="false" customHeight="false" outlineLevel="0" collapsed="false">
      <c r="B22" s="0" t="s">
        <v>167</v>
      </c>
      <c r="E22" s="29" t="n">
        <f aca="false">E7+E8-E9</f>
        <v>0.03</v>
      </c>
    </row>
    <row r="23" customFormat="false" ht="15" hidden="false" customHeight="false" outlineLevel="0" collapsed="false">
      <c r="B23" s="0" t="s">
        <v>168</v>
      </c>
      <c r="E23" s="27" t="n">
        <f aca="false">E5*EXP(E22*E10)</f>
        <v>81.2090451692575</v>
      </c>
    </row>
    <row r="24" customFormat="false" ht="15" hidden="false" customHeight="false" outlineLevel="0" collapsed="false">
      <c r="B24" s="0" t="s">
        <v>169</v>
      </c>
      <c r="E24" s="27" t="n">
        <f aca="false">E6-E23</f>
        <v>0.790954830742493</v>
      </c>
    </row>
    <row r="25" customFormat="false" ht="15" hidden="false" customHeight="false" outlineLevel="0" collapsed="false">
      <c r="B25" s="0" t="s">
        <v>170</v>
      </c>
      <c r="E25" s="27" t="n">
        <f aca="false">E5-E6</f>
        <v>-2</v>
      </c>
    </row>
    <row r="26" customFormat="false" ht="15" hidden="false" customHeight="false" outlineLevel="0" collapsed="false">
      <c r="B26" s="0" t="s">
        <v>171</v>
      </c>
      <c r="E26" s="29" t="str">
        <f aca="false">'Roll Yield'!C6</f>
        <v>-</v>
      </c>
    </row>
    <row r="27" customFormat="false" ht="15" hidden="false" customHeight="false" outlineLevel="0" collapsed="false">
      <c r="B27" s="0" t="s">
        <v>172</v>
      </c>
      <c r="E27" s="31" t="n">
        <f aca="false">E11+E12+E13-E14-E15</f>
        <v>60</v>
      </c>
    </row>
    <row r="28" customFormat="false" ht="15" hidden="false" customHeight="false" outlineLevel="0" collapsed="false">
      <c r="B28" s="0" t="s">
        <v>173</v>
      </c>
      <c r="E28" s="31" t="n">
        <f aca="false">E27-E16</f>
        <v>0</v>
      </c>
    </row>
    <row r="29" customFormat="false" ht="15" hidden="false" customHeight="false" outlineLevel="0" collapsed="false">
      <c r="B29" s="0" t="s">
        <v>174</v>
      </c>
      <c r="E29" s="33" t="n">
        <f aca="false">IFERROR(ABS(Hedging!C12*Hedging!C6/Hedging!C5),0)</f>
        <v>0</v>
      </c>
    </row>
    <row r="30" customFormat="false" ht="15" hidden="false" customHeight="false" outlineLevel="0" collapsed="false">
      <c r="B30" s="0" t="s">
        <v>137</v>
      </c>
      <c r="E30" s="26" t="n">
        <f aca="false">Hedging!C14</f>
        <v>80000</v>
      </c>
    </row>
    <row r="32" customFormat="false" ht="15" hidden="false" customHeight="false" outlineLevel="0" collapsed="false">
      <c r="B32" s="19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176</v>
      </c>
    </row>
    <row r="4" customFormat="false" ht="15" hidden="false" customHeight="false" outlineLevel="0" collapsed="false">
      <c r="B4" s="11" t="s">
        <v>177</v>
      </c>
      <c r="C4" s="11" t="s">
        <v>139</v>
      </c>
      <c r="D4" s="11" t="s">
        <v>31</v>
      </c>
      <c r="E4" s="11" t="s">
        <v>178</v>
      </c>
    </row>
    <row r="5" customFormat="false" ht="15" hidden="false" customHeight="false" outlineLevel="0" collapsed="false">
      <c r="B5" s="0" t="s">
        <v>179</v>
      </c>
      <c r="C5" s="27" t="n">
        <f aca="false">'Physical Balance &amp; Carry'!E24</f>
        <v>0.790954830742493</v>
      </c>
      <c r="D5" s="16" t="str">
        <f aca="false">IF(ABS(C5)&lt;=MAX(0.01,ABS('Physical Balance &amp; Carry'!E23)*0.05),"PASS","REVIEW")</f>
        <v>PASS</v>
      </c>
      <c r="E5" s="10" t="s">
        <v>180</v>
      </c>
    </row>
    <row r="6" customFormat="false" ht="15" hidden="false" customHeight="false" outlineLevel="0" collapsed="false">
      <c r="B6" s="0" t="s">
        <v>173</v>
      </c>
      <c r="C6" s="31" t="n">
        <f aca="false">'Physical Balance &amp; Carry'!E28</f>
        <v>0</v>
      </c>
      <c r="D6" s="16" t="str">
        <f aca="false">IF(ABS(C6)&lt;0.000001,"PASS","FAIL")</f>
        <v>PASS</v>
      </c>
      <c r="E6" s="10" t="s">
        <v>181</v>
      </c>
    </row>
    <row r="7" customFormat="false" ht="15" hidden="false" customHeight="false" outlineLevel="0" collapsed="false">
      <c r="B7" s="0" t="s">
        <v>182</v>
      </c>
      <c r="C7" s="16" t="n">
        <f aca="false">ABS('Physical Balance &amp; Carry'!E25)</f>
        <v>2</v>
      </c>
      <c r="D7" s="16" t="str">
        <f aca="false">IF(C7&lt;='Physical Balance &amp; Carry'!E17,"PASS","BREACH")</f>
        <v>PASS</v>
      </c>
      <c r="E7" s="10" t="s">
        <v>183</v>
      </c>
    </row>
    <row r="8" customFormat="false" ht="15" hidden="false" customHeight="false" outlineLevel="0" collapsed="false">
      <c r="B8" s="0" t="s">
        <v>184</v>
      </c>
      <c r="C8" s="33" t="n">
        <f aca="false">'Physical Balance &amp; Carry'!E29</f>
        <v>0</v>
      </c>
      <c r="D8" s="16" t="str">
        <f aca="false">IF(C8&lt;='Physical Balance &amp; Carry'!E18,"PASS","BREACH")</f>
        <v>PASS</v>
      </c>
      <c r="E8" s="10" t="s">
        <v>185</v>
      </c>
    </row>
    <row r="9" customFormat="false" ht="15" hidden="false" customHeight="false" outlineLevel="0" collapsed="false">
      <c r="B9" s="0" t="s">
        <v>186</v>
      </c>
      <c r="C9" s="16" t="str">
        <f aca="false">'Physical Balance &amp; Carry'!E26</f>
        <v>-</v>
      </c>
      <c r="D9" s="16" t="str">
        <f aca="false">IF(C9&lt;0,"REVIEW","PASS")</f>
        <v>PASS</v>
      </c>
      <c r="E9" s="10" t="s">
        <v>187</v>
      </c>
    </row>
    <row r="10" customFormat="false" ht="15" hidden="false" customHeight="false" outlineLevel="0" collapsed="false">
      <c r="B10" s="0" t="s">
        <v>188</v>
      </c>
      <c r="C10" s="31" t="n">
        <f aca="false">'Physical Balance &amp; Carry'!E27</f>
        <v>60</v>
      </c>
      <c r="D10" s="16" t="str">
        <f aca="false">IF(C10&gt;=0,"PASS","BREACH")</f>
        <v>PASS</v>
      </c>
      <c r="E10" s="10" t="s">
        <v>189</v>
      </c>
    </row>
    <row r="12" customFormat="false" ht="15" hidden="false" customHeight="false" outlineLevel="0" collapsed="false">
      <c r="B12" s="2" t="s">
        <v>190</v>
      </c>
      <c r="C12" s="34" t="str">
        <f aca="false">IF(COUNTIF(D5:D10,"FAIL")+COUNTIF(D5:D10,"BREACH")&gt;0,"BREACH",IF(COUNTIF(D5:D10,"REVIEW")&gt;0,"REVIEW","PASS"))</f>
        <v>PASS</v>
      </c>
    </row>
    <row r="14" customFormat="false" ht="15" hidden="false" customHeight="false" outlineLevel="0" collapsed="false">
      <c r="B14" s="21" t="s">
        <v>191</v>
      </c>
    </row>
    <row r="15" customFormat="false" ht="15" hidden="false" customHeight="false" outlineLevel="0" collapsed="false">
      <c r="B15" s="0" t="s">
        <v>192</v>
      </c>
      <c r="C15" s="27" t="n">
        <f aca="false">'Physical Balance &amp; Carry'!E23</f>
        <v>81.2090451692575</v>
      </c>
    </row>
    <row r="16" customFormat="false" ht="15" hidden="false" customHeight="false" outlineLevel="0" collapsed="false">
      <c r="B16" s="0" t="s">
        <v>193</v>
      </c>
      <c r="C16" s="27" t="n">
        <f aca="false">'Physical Balance &amp; Carry'!E6</f>
        <v>82</v>
      </c>
    </row>
    <row r="17" customFormat="false" ht="15" hidden="false" customHeight="false" outlineLevel="0" collapsed="false">
      <c r="B17" s="0" t="s">
        <v>194</v>
      </c>
      <c r="C17" s="27" t="n">
        <f aca="false">'Physical Balance &amp; Carry'!E25</f>
        <v>-2</v>
      </c>
    </row>
    <row r="18" customFormat="false" ht="15" hidden="false" customHeight="false" outlineLevel="0" collapsed="false">
      <c r="B18" s="0" t="s">
        <v>135</v>
      </c>
      <c r="C18" s="31" t="n">
        <f aca="false">Hedging!C12</f>
        <v>0</v>
      </c>
    </row>
    <row r="19" customFormat="false" ht="15" hidden="false" customHeight="false" outlineLevel="0" collapsed="false">
      <c r="B19" s="0" t="s">
        <v>195</v>
      </c>
      <c r="C19" s="26" t="n">
        <f aca="false">Hedging!C14</f>
        <v>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0"/>
    <col collapsed="false" customWidth="true" hidden="false" outlineLevel="0" max="7" min="3" style="0" width="12"/>
  </cols>
  <sheetData>
    <row r="2" customFormat="false" ht="19.7" hidden="false" customHeight="false" outlineLevel="0" collapsed="false">
      <c r="B2" s="1" t="s">
        <v>196</v>
      </c>
    </row>
    <row r="4" customFormat="false" ht="15" hidden="false" customHeight="false" outlineLevel="0" collapsed="false">
      <c r="B4" s="21" t="s">
        <v>197</v>
      </c>
      <c r="C4" s="35" t="n">
        <v>-0.2</v>
      </c>
      <c r="D4" s="35" t="n">
        <v>-0.1</v>
      </c>
      <c r="E4" s="35" t="n">
        <v>0</v>
      </c>
      <c r="F4" s="35" t="n">
        <v>0.1</v>
      </c>
      <c r="G4" s="35" t="n">
        <v>0.2</v>
      </c>
    </row>
    <row r="5" customFormat="false" ht="15" hidden="false" customHeight="false" outlineLevel="0" collapsed="false">
      <c r="B5" s="0" t="s">
        <v>198</v>
      </c>
      <c r="C5" s="26" t="n">
        <f aca="false">Hedging!$C$5*Hedging!$C$7*C4</f>
        <v>-16000</v>
      </c>
      <c r="D5" s="26" t="n">
        <f aca="false">Hedging!$C$5*Hedging!$C$7*D4</f>
        <v>-8000</v>
      </c>
      <c r="E5" s="26" t="n">
        <f aca="false">Hedging!$C$5*Hedging!$C$7*E4</f>
        <v>0</v>
      </c>
      <c r="F5" s="26" t="n">
        <f aca="false">Hedging!$C$5*Hedging!$C$7*F4</f>
        <v>8000</v>
      </c>
      <c r="G5" s="26" t="n">
        <f aca="false">Hedging!$C$5*Hedging!$C$7*G4</f>
        <v>16000</v>
      </c>
    </row>
    <row r="6" customFormat="false" ht="15" hidden="false" customHeight="false" outlineLevel="0" collapsed="false">
      <c r="B6" s="0" t="s">
        <v>199</v>
      </c>
      <c r="C6" s="26" t="n">
        <f aca="false">(C4*Hedging!$C$5*Hedging!$C$7)-(C4*Hedging!$C$13)</f>
        <v>-16000</v>
      </c>
      <c r="D6" s="26" t="n">
        <f aca="false">(D4*Hedging!$C$5*Hedging!$C$7)-(D4*Hedging!$C$13)</f>
        <v>-8000</v>
      </c>
      <c r="E6" s="26" t="n">
        <f aca="false">(E4*Hedging!$C$5*Hedging!$C$7)-(E4*Hedging!$C$13)</f>
        <v>0</v>
      </c>
      <c r="F6" s="26" t="n">
        <f aca="false">(F4*Hedging!$C$5*Hedging!$C$7)-(F4*Hedging!$C$13)</f>
        <v>8000</v>
      </c>
      <c r="G6" s="26" t="n">
        <f aca="false">(G4*Hedging!$C$5*Hedging!$C$7)-(G4*Hedging!$C$13)</f>
        <v>16000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200</v>
      </c>
    </row>
    <row r="4" customFormat="false" ht="15" hidden="false" customHeight="false" outlineLevel="0" collapsed="false">
      <c r="B4" s="11" t="s">
        <v>82</v>
      </c>
      <c r="C4" s="11" t="s">
        <v>201</v>
      </c>
      <c r="D4" s="11" t="s">
        <v>202</v>
      </c>
      <c r="E4" s="11" t="s">
        <v>203</v>
      </c>
      <c r="F4" s="11" t="s">
        <v>204</v>
      </c>
    </row>
    <row r="5" customFormat="false" ht="15" hidden="false" customHeight="false" outlineLevel="0" collapsed="false">
      <c r="B5" s="16" t="s">
        <v>6</v>
      </c>
      <c r="C5" s="16" t="s">
        <v>205</v>
      </c>
      <c r="D5" s="16" t="s">
        <v>206</v>
      </c>
      <c r="E5" s="16" t="s">
        <v>207</v>
      </c>
      <c r="F5" s="16" t="s">
        <v>208</v>
      </c>
    </row>
    <row r="6" customFormat="false" ht="15" hidden="false" customHeight="false" outlineLevel="0" collapsed="false">
      <c r="B6" s="16"/>
      <c r="C6" s="16"/>
      <c r="D6" s="16"/>
      <c r="E6" s="16"/>
      <c r="F6" s="16"/>
    </row>
    <row r="7" customFormat="false" ht="15" hidden="false" customHeight="false" outlineLevel="0" collapsed="false">
      <c r="B7" s="16"/>
      <c r="C7" s="16"/>
      <c r="D7" s="16"/>
      <c r="E7" s="16"/>
      <c r="F7" s="16"/>
    </row>
    <row r="8" customFormat="false" ht="15" hidden="false" customHeight="false" outlineLevel="0" collapsed="false">
      <c r="B8" s="16"/>
      <c r="C8" s="16"/>
      <c r="D8" s="16"/>
      <c r="E8" s="16"/>
      <c r="F8" s="16"/>
    </row>
    <row r="9" customFormat="false" ht="15" hidden="false" customHeight="false" outlineLevel="0" collapsed="false">
      <c r="B9" s="16"/>
      <c r="C9" s="16"/>
      <c r="D9" s="16"/>
      <c r="E9" s="16"/>
      <c r="F9" s="16"/>
    </row>
    <row r="10" customFormat="false" ht="15" hidden="false" customHeight="false" outlineLevel="0" collapsed="false">
      <c r="B10" s="16"/>
      <c r="C10" s="16"/>
      <c r="D10" s="16"/>
      <c r="E10" s="16"/>
      <c r="F10" s="16"/>
    </row>
    <row r="11" customFormat="false" ht="15" hidden="false" customHeight="false" outlineLevel="0" collapsed="false">
      <c r="B11" s="16"/>
      <c r="C11" s="16"/>
      <c r="D11" s="16"/>
      <c r="E11" s="16"/>
      <c r="F11" s="16"/>
    </row>
    <row r="12" customFormat="false" ht="15" hidden="false" customHeight="false" outlineLevel="0" collapsed="false">
      <c r="B12" s="16"/>
      <c r="C12" s="16"/>
      <c r="D12" s="16"/>
      <c r="E12" s="16"/>
      <c r="F12" s="16"/>
    </row>
    <row r="13" customFormat="false" ht="15" hidden="false" customHeight="false" outlineLevel="0" collapsed="false">
      <c r="B13" s="16"/>
      <c r="C13" s="16"/>
      <c r="D13" s="16"/>
      <c r="E13" s="16"/>
      <c r="F13" s="16"/>
    </row>
    <row r="14" customFormat="false" ht="15" hidden="false" customHeight="false" outlineLevel="0" collapsed="false">
      <c r="B14" s="16"/>
      <c r="C14" s="16"/>
      <c r="D14" s="16"/>
      <c r="E14" s="16"/>
      <c r="F14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