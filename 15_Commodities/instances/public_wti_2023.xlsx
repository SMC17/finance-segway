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Futures Curve" sheetId="5" state="visible" r:id="rId5"/>
    <sheet xmlns:r="http://schemas.openxmlformats.org/officeDocument/2006/relationships" name="Roll Yield" sheetId="6" state="visible" r:id="rId6"/>
    <sheet xmlns:r="http://schemas.openxmlformats.org/officeDocument/2006/relationships" name="Hedging" sheetId="7" state="visible" r:id="rId7"/>
    <sheet xmlns:r="http://schemas.openxmlformats.org/officeDocument/2006/relationships" name="Physical Balance &amp; Carry" sheetId="8" state="visible" r:id="rId8"/>
    <sheet xmlns:r="http://schemas.openxmlformats.org/officeDocument/2006/relationships" name="Decision &amp; Checks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RefreshLog" sheetId="11" state="visible" r:id="rId11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$#,##0.00;&quot;($&quot;#,##0.00\);\-"/>
    <numFmt numFmtId="165" formatCode="#,##0;\(#,##0\);\-"/>
    <numFmt numFmtId="166" formatCode="0.0%;\(0.0%\);\-"/>
    <numFmt numFmtId="167" formatCode="\$#,##0;&quot;($&quot;#,##0\);\-"/>
    <numFmt numFmtId="168" formatCode="0.00%;\(0.00%\);\-"/>
    <numFmt numFmtId="169" formatCode="0.0\x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808080"/>
      <sz val="8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  <fill>
      <patternFill patternType="solid">
        <fgColor rgb="FFFFFF00"/>
        <bgColor rgb="FFFFFF00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165" fontId="6" fillId="6" borderId="2" applyAlignment="1" pivotButton="0" quotePrefix="0" xfId="0">
      <alignment horizontal="general" vertical="bottom"/>
    </xf>
    <xf numFmtId="164" fontId="6" fillId="6" borderId="2" applyAlignment="1" pivotButton="0" quotePrefix="0" xfId="0">
      <alignment horizontal="general" vertical="bottom"/>
    </xf>
    <xf numFmtId="2" fontId="6" fillId="6" borderId="2" applyAlignment="1" pivotButton="0" quotePrefix="0" xfId="0">
      <alignment horizontal="general" vertical="bottom"/>
    </xf>
    <xf numFmtId="165" fontId="5" fillId="0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8" fontId="6" fillId="6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  <xf numFmtId="2" fontId="0" fillId="0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9" fontId="6" fillId="6" borderId="2" applyAlignment="1" pivotButton="0" quotePrefix="0" xfId="0">
      <alignment horizontal="general" vertical="bottom"/>
    </xf>
    <xf numFmtId="169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5" fillId="5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7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10" fillId="4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5" fontId="6" fillId="0" borderId="2" applyAlignment="1" pivotButton="0" quotePrefix="0" xfId="0">
      <alignment horizontal="general" vertical="bottom"/>
    </xf>
    <xf numFmtId="166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165" fontId="6" fillId="6" borderId="2" applyAlignment="1" pivotButton="0" quotePrefix="0" xfId="0">
      <alignment horizontal="general" vertical="bottom"/>
    </xf>
    <xf numFmtId="164" fontId="14" fillId="7" borderId="2" applyAlignment="1" pivotButton="0" quotePrefix="0" xfId="0">
      <alignment horizontal="general" vertical="bottom"/>
    </xf>
    <xf numFmtId="164" fontId="6" fillId="6" borderId="2" applyAlignment="1" pivotButton="0" quotePrefix="0" xfId="0">
      <alignment horizontal="general" vertical="bottom"/>
    </xf>
    <xf numFmtId="2" fontId="6" fillId="6" borderId="2" applyAlignment="1" pivotButton="0" quotePrefix="0" xfId="0">
      <alignment horizontal="general" vertical="bottom"/>
    </xf>
    <xf numFmtId="165" fontId="5" fillId="0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8" fontId="6" fillId="6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  <xf numFmtId="2" fontId="0" fillId="0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165" fontId="14" fillId="7" borderId="2" applyAlignment="1" pivotButton="0" quotePrefix="0" xfId="0">
      <alignment horizontal="general" vertical="bottom"/>
    </xf>
    <xf numFmtId="169" fontId="6" fillId="6" borderId="2" applyAlignment="1" pivotButton="0" quotePrefix="0" xfId="0">
      <alignment horizontal="general" vertical="bottom"/>
    </xf>
    <xf numFmtId="169" fontId="0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5" fillId="5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30" customWidth="1" style="35" min="2" max="2"/>
    <col width="40" customWidth="1" style="35" min="3" max="3"/>
    <col width="4" customWidth="1" style="35" min="4" max="4"/>
  </cols>
  <sheetData>
    <row r="2" ht="19.7" customHeight="1" s="36">
      <c r="B2" s="37" t="inlineStr">
        <is>
          <t>[COMMODITY] — Commodities Model</t>
        </is>
      </c>
    </row>
    <row r="4" ht="15" customHeight="1" s="36">
      <c r="B4" s="38" t="inlineStr">
        <is>
          <t>Commodity:</t>
        </is>
      </c>
      <c r="C4" s="39" t="inlineStr">
        <is>
          <t>[e.g. WTI Crude, Corn, Copper]</t>
        </is>
      </c>
    </row>
    <row r="5" ht="15" customHeight="1" s="36">
      <c r="B5" s="38" t="inlineStr">
        <is>
          <t>Exchange:</t>
        </is>
      </c>
      <c r="C5" s="39" t="inlineStr">
        <is>
          <t>[NYMEX / CME / ICE]</t>
        </is>
      </c>
    </row>
    <row r="6" ht="15" customHeight="1" s="36">
      <c r="B6" s="38" t="inlineStr">
        <is>
          <t>Last refreshed:</t>
        </is>
      </c>
      <c r="C6" s="40" t="inlineStr">
        <is>
          <t>2023-12-31</t>
        </is>
      </c>
    </row>
    <row r="7" ht="15" customHeight="1" s="36">
      <c r="B7" s="38" t="inlineStr">
        <is>
          <t>Next roll date:</t>
        </is>
      </c>
      <c r="C7" s="39" t="inlineStr">
        <is>
          <t>[date]</t>
        </is>
      </c>
    </row>
    <row r="8" ht="15" customHeight="1" s="36">
      <c r="B8" s="38" t="inlineStr">
        <is>
          <t>Refresh cadence:</t>
        </is>
      </c>
      <c r="C8" s="39" t="inlineStr">
        <is>
          <t>Weekly (daily near roll/expiry)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5" min="2" max="2"/>
    <col width="48" customWidth="1" style="35" min="3" max="3"/>
    <col width="24" customWidth="1" style="35" min="4" max="4"/>
    <col width="34" customWidth="1" style="35" min="5" max="5"/>
    <col width="20" customWidth="1" style="35" min="6" max="6"/>
  </cols>
  <sheetData>
    <row r="2" ht="18.55" customHeight="1" s="36">
      <c r="B2" s="41" t="inlineStr">
        <is>
          <t>Commodities — Institutional Decision Surface</t>
        </is>
      </c>
    </row>
    <row r="4" ht="15" customHeight="1" s="36">
      <c r="B4" s="42" t="inlineStr">
        <is>
          <t>Model ID</t>
        </is>
      </c>
      <c r="C4" s="43" t="inlineStr">
        <is>
          <t>15</t>
        </is>
      </c>
    </row>
    <row r="5" ht="15" customHeight="1" s="36">
      <c r="B5" s="42" t="inlineStr">
        <is>
          <t>Domain</t>
        </is>
      </c>
      <c r="C5" s="43" t="inlineStr">
        <is>
          <t>Commodities</t>
        </is>
      </c>
    </row>
    <row r="6" ht="15" customHeight="1" s="36">
      <c r="B6" s="42" t="inlineStr">
        <is>
          <t>Declared maturity</t>
        </is>
      </c>
      <c r="C6" s="43" t="inlineStr">
        <is>
          <t>M2</t>
        </is>
      </c>
    </row>
    <row r="7" ht="15" customHeight="1" s="36">
      <c r="B7" s="42" t="inlineStr">
        <is>
          <t>Canonical builder</t>
        </is>
      </c>
      <c r="C7" s="43" t="inlineStr">
        <is>
          <t>tools/builders/build_commodities_release.py</t>
        </is>
      </c>
    </row>
    <row r="8" ht="15" customHeight="1" s="36">
      <c r="B8" s="42" t="inlineStr">
        <is>
          <t>Decision arena</t>
        </is>
      </c>
      <c r="C8" s="43" t="inlineStr">
        <is>
          <t>physical trading, scheduling, storage, credit and market risk</t>
        </is>
      </c>
    </row>
    <row r="9" ht="15" customHeight="1" s="36">
      <c r="B9" s="42" t="inlineStr">
        <is>
          <t>Committee artifact</t>
        </is>
      </c>
      <c r="C9" s="43" t="inlineStr">
        <is>
          <t>physical-plus-paper position and optionality pack</t>
        </is>
      </c>
    </row>
    <row r="10" ht="15" customHeight="1" s="36">
      <c r="B10" s="42" t="inlineStr">
        <is>
          <t>Operating cadence</t>
        </is>
      </c>
      <c r="C10" s="43" t="inlineStr">
        <is>
          <t>intraday risk; daily scheduling; weekly S&amp;OP</t>
        </is>
      </c>
    </row>
    <row r="12" ht="15" customHeight="1" s="36">
      <c r="B12" s="44" t="inlineStr">
        <is>
          <t>Key decision outputs</t>
        </is>
      </c>
    </row>
    <row r="13" ht="15" customHeight="1" s="36">
      <c r="B13" s="45" t="inlineStr">
        <is>
          <t>#</t>
        </is>
      </c>
      <c r="C13" s="45" t="inlineStr">
        <is>
          <t>Requirement</t>
        </is>
      </c>
      <c r="D13" s="45" t="inlineStr">
        <is>
          <t>Owner</t>
        </is>
      </c>
      <c r="E13" s="45" t="inlineStr">
        <is>
          <t>Evidence / location</t>
        </is>
      </c>
      <c r="F13" s="45" t="inlineStr">
        <is>
          <t>Status</t>
        </is>
      </c>
    </row>
    <row r="14" ht="15" customHeight="1" s="36">
      <c r="B14" s="35" t="n">
        <v>1</v>
      </c>
      <c r="C14" s="35" t="inlineStr">
        <is>
          <t>flat price, basis and location exposure</t>
        </is>
      </c>
      <c r="F14" s="35" t="inlineStr">
        <is>
          <t>OPEN</t>
        </is>
      </c>
    </row>
    <row r="15" ht="15" customHeight="1" s="36">
      <c r="B15" s="35" t="n">
        <v>2</v>
      </c>
      <c r="C15" s="35" t="inlineStr">
        <is>
          <t>inventory and storage economics</t>
        </is>
      </c>
      <c r="F15" s="35" t="inlineStr">
        <is>
          <t>OPEN</t>
        </is>
      </c>
    </row>
    <row r="16" ht="15" customHeight="1" s="36">
      <c r="B16" s="35" t="n">
        <v>3</v>
      </c>
      <c r="C16" s="35" t="inlineStr">
        <is>
          <t>transport and quality differentials</t>
        </is>
      </c>
      <c r="F16" s="35" t="inlineStr">
        <is>
          <t>OPEN</t>
        </is>
      </c>
    </row>
    <row r="17" ht="15" customHeight="1" s="36">
      <c r="B17" s="35" t="n">
        <v>4</v>
      </c>
      <c r="C17" s="35" t="inlineStr">
        <is>
          <t>base, downside and break-even outputs</t>
        </is>
      </c>
      <c r="F17" s="35" t="inlineStr">
        <is>
          <t>OPEN</t>
        </is>
      </c>
    </row>
    <row r="18" ht="15" customHeight="1" s="36">
      <c r="B18" s="35" t="n">
        <v>5</v>
      </c>
      <c r="C18" s="35" t="inlineStr">
        <is>
          <t>liquidity / funding requirement and binding constraint</t>
        </is>
      </c>
      <c r="F18" s="35" t="inlineStr">
        <is>
          <t>OPEN</t>
        </is>
      </c>
    </row>
    <row r="20" ht="15" customHeight="1" s="36">
      <c r="B20" s="44" t="inlineStr">
        <is>
          <t>Insider questions</t>
        </is>
      </c>
    </row>
    <row r="21" ht="15" customHeight="1" s="36">
      <c r="B21" s="45" t="inlineStr">
        <is>
          <t>#</t>
        </is>
      </c>
      <c r="C21" s="45" t="inlineStr">
        <is>
          <t>Requirement</t>
        </is>
      </c>
      <c r="D21" s="45" t="inlineStr">
        <is>
          <t>Owner</t>
        </is>
      </c>
      <c r="E21" s="45" t="inlineStr">
        <is>
          <t>Evidence / location</t>
        </is>
      </c>
      <c r="F21" s="45" t="inlineStr">
        <is>
          <t>Status</t>
        </is>
      </c>
    </row>
    <row r="22" ht="15" customHeight="1" s="36">
      <c r="B22" s="35" t="n">
        <v>1</v>
      </c>
      <c r="C22" s="35" t="inlineStr">
        <is>
          <t>Where is title and can the product move?</t>
        </is>
      </c>
      <c r="F22" s="35" t="inlineStr">
        <is>
          <t>OPEN</t>
        </is>
      </c>
    </row>
    <row r="23" ht="15" customHeight="1" s="36">
      <c r="B23" s="35" t="n">
        <v>2</v>
      </c>
      <c r="C23" s="35" t="inlineStr">
        <is>
          <t>Which basis is unhedgeable?</t>
        </is>
      </c>
      <c r="F23" s="35" t="inlineStr">
        <is>
          <t>OPEN</t>
        </is>
      </c>
    </row>
    <row r="24" ht="15" customHeight="1" s="36">
      <c r="B24" s="35" t="n">
        <v>3</v>
      </c>
      <c r="C24" s="35" t="inlineStr">
        <is>
          <t>What is the value of storage optionality?</t>
        </is>
      </c>
      <c r="F24" s="35" t="inlineStr">
        <is>
          <t>OPEN</t>
        </is>
      </c>
    </row>
    <row r="25" ht="15" customHeight="1" s="36">
      <c r="B25" s="35" t="n">
        <v>4</v>
      </c>
      <c r="C25" s="35" t="inlineStr">
        <is>
          <t>Which assumption is owner-approved versus modeler judgement?</t>
        </is>
      </c>
      <c r="F25" s="35" t="inlineStr">
        <is>
          <t>OPEN</t>
        </is>
      </c>
    </row>
    <row r="26" ht="15" customHeight="1" s="36">
      <c r="B26" s="35" t="n">
        <v>5</v>
      </c>
      <c r="C26" s="35" t="inlineStr">
        <is>
          <t>What fails first and who must act?</t>
        </is>
      </c>
      <c r="F26" s="35" t="inlineStr">
        <is>
          <t>OPEN</t>
        </is>
      </c>
    </row>
    <row r="28" ht="15" customHeight="1" s="36">
      <c r="B28" s="44" t="inlineStr">
        <is>
          <t>Scenario families</t>
        </is>
      </c>
    </row>
    <row r="29" ht="15" customHeight="1" s="36">
      <c r="B29" s="45" t="inlineStr">
        <is>
          <t>#</t>
        </is>
      </c>
      <c r="C29" s="45" t="inlineStr">
        <is>
          <t>Requirement</t>
        </is>
      </c>
      <c r="D29" s="45" t="inlineStr">
        <is>
          <t>Owner</t>
        </is>
      </c>
      <c r="E29" s="45" t="inlineStr">
        <is>
          <t>Evidence / location</t>
        </is>
      </c>
      <c r="F29" s="45" t="inlineStr">
        <is>
          <t>Status</t>
        </is>
      </c>
    </row>
    <row r="30" ht="15" customHeight="1" s="36">
      <c r="B30" s="35" t="n">
        <v>1</v>
      </c>
      <c r="C30" s="35" t="inlineStr">
        <is>
          <t>flat-price shock</t>
        </is>
      </c>
      <c r="F30" s="35" t="inlineStr">
        <is>
          <t>OPEN</t>
        </is>
      </c>
    </row>
    <row r="31" ht="15" customHeight="1" s="36">
      <c r="B31" s="35" t="n">
        <v>2</v>
      </c>
      <c r="C31" s="35" t="inlineStr">
        <is>
          <t>basis blowout</t>
        </is>
      </c>
      <c r="F31" s="35" t="inlineStr">
        <is>
          <t>OPEN</t>
        </is>
      </c>
    </row>
    <row r="32" ht="15" customHeight="1" s="36">
      <c r="B32" s="35" t="n">
        <v>3</v>
      </c>
      <c r="C32" s="35" t="inlineStr">
        <is>
          <t>curve shape / roll</t>
        </is>
      </c>
      <c r="F32" s="35" t="inlineStr">
        <is>
          <t>OPEN</t>
        </is>
      </c>
    </row>
    <row r="33" ht="15" customHeight="1" s="36">
      <c r="B33" s="35" t="n">
        <v>4</v>
      </c>
      <c r="C33" s="35" t="inlineStr">
        <is>
          <t>data freshness / source failure</t>
        </is>
      </c>
      <c r="F33" s="35" t="inlineStr">
        <is>
          <t>OPEN</t>
        </is>
      </c>
    </row>
    <row r="34" ht="15" customHeight="1" s="36">
      <c r="B34" s="35" t="n">
        <v>5</v>
      </c>
      <c r="C34" s="35" t="inlineStr">
        <is>
          <t>combined severe-but-plausible downside</t>
        </is>
      </c>
      <c r="F34" s="35" t="inlineStr">
        <is>
          <t>OPEN</t>
        </is>
      </c>
    </row>
    <row r="36" ht="15" customHeight="1" s="36">
      <c r="B36" s="44" t="inlineStr">
        <is>
          <t>Primary diligence documents</t>
        </is>
      </c>
    </row>
    <row r="37" ht="15" customHeight="1" s="36">
      <c r="B37" s="45" t="inlineStr">
        <is>
          <t>#</t>
        </is>
      </c>
      <c r="C37" s="45" t="inlineStr">
        <is>
          <t>Requirement</t>
        </is>
      </c>
      <c r="D37" s="45" t="inlineStr">
        <is>
          <t>Owner</t>
        </is>
      </c>
      <c r="E37" s="45" t="inlineStr">
        <is>
          <t>Evidence / location</t>
        </is>
      </c>
      <c r="F37" s="45" t="inlineStr">
        <is>
          <t>Status</t>
        </is>
      </c>
    </row>
    <row r="38" ht="15" customHeight="1" s="36">
      <c r="B38" s="35" t="n">
        <v>1</v>
      </c>
      <c r="C38" s="35" t="inlineStr">
        <is>
          <t>purchase / sale contracts</t>
        </is>
      </c>
      <c r="F38" s="35" t="inlineStr">
        <is>
          <t>OPEN</t>
        </is>
      </c>
    </row>
    <row r="39" ht="15" customHeight="1" s="36">
      <c r="B39" s="35" t="n">
        <v>2</v>
      </c>
      <c r="C39" s="35" t="inlineStr">
        <is>
          <t>storage and transport agreements</t>
        </is>
      </c>
      <c r="F39" s="35" t="inlineStr">
        <is>
          <t>OPEN</t>
        </is>
      </c>
    </row>
    <row r="40" ht="15" customHeight="1" s="36">
      <c r="B40" s="35" t="n">
        <v>3</v>
      </c>
      <c r="C40" s="35" t="inlineStr">
        <is>
          <t>quality certificates</t>
        </is>
      </c>
      <c r="F40" s="35" t="inlineStr">
        <is>
          <t>OPEN</t>
        </is>
      </c>
    </row>
    <row r="41" ht="15" customHeight="1" s="36">
      <c r="B41" s="35" t="n">
        <v>4</v>
      </c>
      <c r="C41" s="35" t="inlineStr">
        <is>
          <t>approved model card and assumption register</t>
        </is>
      </c>
      <c r="F41" s="35" t="inlineStr">
        <is>
          <t>OPEN</t>
        </is>
      </c>
    </row>
    <row r="42" ht="15" customHeight="1" s="36">
      <c r="B42" s="35" t="n">
        <v>5</v>
      </c>
      <c r="C42" s="35" t="inlineStr">
        <is>
          <t>independent validation and challenge record</t>
        </is>
      </c>
      <c r="F42" s="35" t="inlineStr">
        <is>
          <t>OPEN</t>
        </is>
      </c>
    </row>
    <row r="44" ht="15" customHeight="1" s="36">
      <c r="B44" s="44" t="inlineStr">
        <is>
          <t>Challenge tests</t>
        </is>
      </c>
    </row>
    <row r="45" ht="15" customHeight="1" s="36">
      <c r="B45" s="45" t="inlineStr">
        <is>
          <t>#</t>
        </is>
      </c>
      <c r="C45" s="45" t="inlineStr">
        <is>
          <t>Requirement</t>
        </is>
      </c>
      <c r="D45" s="45" t="inlineStr">
        <is>
          <t>Owner</t>
        </is>
      </c>
      <c r="E45" s="45" t="inlineStr">
        <is>
          <t>Evidence / location</t>
        </is>
      </c>
      <c r="F45" s="45" t="inlineStr">
        <is>
          <t>Status</t>
        </is>
      </c>
    </row>
    <row r="46" ht="15" customHeight="1" s="36">
      <c r="B46" s="35" t="n">
        <v>1</v>
      </c>
      <c r="C46" s="35" t="inlineStr">
        <is>
          <t>physical and paper positions reconcile by unit</t>
        </is>
      </c>
      <c r="F46" s="35" t="inlineStr">
        <is>
          <t>OPEN</t>
        </is>
      </c>
    </row>
    <row r="47" ht="15" customHeight="1" s="36">
      <c r="B47" s="35" t="n">
        <v>2</v>
      </c>
      <c r="C47" s="35" t="inlineStr">
        <is>
          <t>storage carry identity</t>
        </is>
      </c>
      <c r="F47" s="35" t="inlineStr">
        <is>
          <t>OPEN</t>
        </is>
      </c>
    </row>
    <row r="48" ht="15" customHeight="1" s="36">
      <c r="B48" s="35" t="n">
        <v>3</v>
      </c>
      <c r="C48" s="35" t="inlineStr">
        <is>
          <t>hedge ratio uses matched grade/location/tenor</t>
        </is>
      </c>
      <c r="F48" s="35" t="inlineStr">
        <is>
          <t>OPEN</t>
        </is>
      </c>
    </row>
    <row r="49" ht="15" customHeight="1" s="36">
      <c r="B49" s="35" t="n">
        <v>4</v>
      </c>
      <c r="C49" s="35" t="inlineStr">
        <is>
          <t>source-to-model lineage is reproducible</t>
        </is>
      </c>
      <c r="F49" s="35" t="inlineStr">
        <is>
          <t>OPEN</t>
        </is>
      </c>
    </row>
    <row r="50" ht="15" customHeight="1" s="36">
      <c r="B50" s="35" t="n">
        <v>5</v>
      </c>
      <c r="C50" s="35" t="inlineStr">
        <is>
          <t>units, signs, dates and legal definitions reconcile</t>
        </is>
      </c>
      <c r="F50" s="35" t="inlineStr">
        <is>
          <t>OPEN</t>
        </is>
      </c>
    </row>
    <row r="52" ht="15" customHeight="1" s="36">
      <c r="B52" s="44" t="inlineStr">
        <is>
          <t>Known failure modes</t>
        </is>
      </c>
    </row>
    <row r="53" ht="15" customHeight="1" s="36">
      <c r="B53" s="45" t="inlineStr">
        <is>
          <t>#</t>
        </is>
      </c>
      <c r="C53" s="45" t="inlineStr">
        <is>
          <t>Requirement</t>
        </is>
      </c>
      <c r="D53" s="45" t="inlineStr">
        <is>
          <t>Owner</t>
        </is>
      </c>
      <c r="E53" s="45" t="inlineStr">
        <is>
          <t>Evidence / location</t>
        </is>
      </c>
      <c r="F53" s="45" t="inlineStr">
        <is>
          <t>Status</t>
        </is>
      </c>
    </row>
    <row r="54" ht="15" customHeight="1" s="36">
      <c r="B54" s="35" t="n">
        <v>1</v>
      </c>
      <c r="C54" s="35" t="inlineStr">
        <is>
          <t>treating futures as a perfect physical hedge</t>
        </is>
      </c>
      <c r="F54" s="35" t="inlineStr">
        <is>
          <t>OPEN</t>
        </is>
      </c>
    </row>
    <row r="55" ht="15" customHeight="1" s="36">
      <c r="B55" s="35" t="n">
        <v>2</v>
      </c>
      <c r="C55" s="35" t="inlineStr">
        <is>
          <t>ignoring unit conversions and shrink</t>
        </is>
      </c>
      <c r="F55" s="35" t="inlineStr">
        <is>
          <t>OPEN</t>
        </is>
      </c>
    </row>
    <row r="56" ht="15" customHeight="1" s="36">
      <c r="B56" s="35" t="n">
        <v>3</v>
      </c>
      <c r="C56" s="35" t="inlineStr">
        <is>
          <t>missing nomination and capacity constraints</t>
        </is>
      </c>
      <c r="F56" s="35" t="inlineStr">
        <is>
          <t>OPEN</t>
        </is>
      </c>
    </row>
    <row r="57" ht="15" customHeight="1" s="36">
      <c r="B57" s="35" t="n">
        <v>4</v>
      </c>
      <c r="C57" s="35" t="inlineStr">
        <is>
          <t>stale vintage presented as current</t>
        </is>
      </c>
      <c r="F57" s="35" t="inlineStr">
        <is>
          <t>OPEN</t>
        </is>
      </c>
    </row>
    <row r="58" ht="15" customHeight="1" s="36">
      <c r="B58" s="35" t="n">
        <v>5</v>
      </c>
      <c r="C58" s="35" t="inlineStr">
        <is>
          <t>decision output disconnected from a binding constraint</t>
        </is>
      </c>
      <c r="F58" s="35" t="inlineStr">
        <is>
          <t>OPEN</t>
        </is>
      </c>
    </row>
    <row r="60" ht="15" customHeight="1" s="36">
      <c r="B60" s="44" t="inlineStr">
        <is>
          <t>Regulatory / methodological anchors</t>
        </is>
      </c>
    </row>
    <row r="61" ht="15" customHeight="1" s="36">
      <c r="B61" s="45" t="inlineStr">
        <is>
          <t>Standard</t>
        </is>
      </c>
      <c r="C61" s="45" t="inlineStr">
        <is>
          <t>Scope</t>
        </is>
      </c>
      <c r="D61" s="45" t="inlineStr">
        <is>
          <t>Source URL</t>
        </is>
      </c>
      <c r="E61" s="45" t="inlineStr">
        <is>
          <t>Applicability</t>
        </is>
      </c>
      <c r="F61" s="45" t="inlineStr">
        <is>
          <t>Review note</t>
        </is>
      </c>
    </row>
    <row r="62" ht="15" customHeight="1" s="36">
      <c r="B62" s="35" t="inlineStr">
        <is>
          <t>Federal Reserve SR 26-2 Model Risk Management</t>
        </is>
      </c>
      <c r="C62" s="35" t="inlineStr">
        <is>
          <t>governance, validation, change control, monitoring</t>
        </is>
      </c>
      <c r="D62" s="35" t="inlineStr">
        <is>
          <t>https://www.federalreserve.gov/supervisionreg/srletters/SR2602.htm</t>
        </is>
      </c>
      <c r="E62" s="35" t="inlineStr">
        <is>
          <t>Map explicitly</t>
        </is>
      </c>
    </row>
    <row r="63" ht="15" customHeight="1" s="36">
      <c r="B63" s="35" t="inlineStr">
        <is>
          <t>Basel MAR21 Sensitivities-Based Method</t>
        </is>
      </c>
      <c r="C63" s="35" t="inlineStr">
        <is>
          <t>market-risk factors and aggregation</t>
        </is>
      </c>
      <c r="D63" s="35" t="inlineStr">
        <is>
          <t>https://www.bis.org/basel_framework/chapter/MAR/21.htm</t>
        </is>
      </c>
      <c r="E63" s="35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35" min="2" max="2"/>
    <col width="22" customWidth="1" style="35" min="3" max="3"/>
    <col width="52" customWidth="1" style="35" min="4" max="4"/>
    <col width="46" customWidth="1" style="35" min="5" max="5"/>
    <col width="36" customWidth="1" style="35" min="6" max="6"/>
    <col width="14" customWidth="1" style="35" min="7" max="7"/>
    <col width="18" customWidth="1" style="35" min="8" max="8"/>
    <col width="14" customWidth="1" style="35" min="9" max="9"/>
  </cols>
  <sheetData>
    <row r="2" ht="18.55" customHeight="1" s="36">
      <c r="B2" s="41" t="inlineStr">
        <is>
          <t>Independent Challenge, Override and Closure Log</t>
        </is>
      </c>
    </row>
    <row r="4" ht="15" customHeight="1" s="36">
      <c r="B4" s="45" t="inlineStr">
        <is>
          <t>Date</t>
        </is>
      </c>
      <c r="C4" s="45" t="inlineStr">
        <is>
          <t>Reviewer</t>
        </is>
      </c>
      <c r="D4" s="45" t="inlineStr">
        <is>
          <t>Challenge</t>
        </is>
      </c>
      <c r="E4" s="45" t="inlineStr">
        <is>
          <t>Owner response</t>
        </is>
      </c>
      <c r="F4" s="45" t="inlineStr">
        <is>
          <t>Evidence</t>
        </is>
      </c>
      <c r="G4" s="45" t="inlineStr">
        <is>
          <t>Impact</t>
        </is>
      </c>
      <c r="H4" s="45" t="inlineStr">
        <is>
          <t>Status</t>
        </is>
      </c>
      <c r="I4" s="45" t="inlineStr">
        <is>
          <t>Closure</t>
        </is>
      </c>
    </row>
    <row r="5" ht="15" customHeight="1" s="36">
      <c r="D5" s="35" t="inlineStr">
        <is>
          <t>physical and paper positions reconcile by unit</t>
        </is>
      </c>
      <c r="H5" s="35" t="inlineStr">
        <is>
          <t>OPEN</t>
        </is>
      </c>
    </row>
    <row r="6" ht="15" customHeight="1" s="36">
      <c r="D6" s="35" t="inlineStr">
        <is>
          <t>storage carry identity</t>
        </is>
      </c>
      <c r="H6" s="35" t="inlineStr">
        <is>
          <t>OPEN</t>
        </is>
      </c>
    </row>
    <row r="7" ht="15" customHeight="1" s="36">
      <c r="D7" s="35" t="inlineStr">
        <is>
          <t>hedge ratio uses matched grade/location/tenor</t>
        </is>
      </c>
      <c r="H7" s="35" t="inlineStr">
        <is>
          <t>OPEN</t>
        </is>
      </c>
    </row>
    <row r="8" ht="15" customHeight="1" s="36">
      <c r="D8" s="35" t="inlineStr">
        <is>
          <t>source-to-model lineage is reproducible</t>
        </is>
      </c>
      <c r="H8" s="35" t="inlineStr">
        <is>
          <t>OPEN</t>
        </is>
      </c>
    </row>
    <row r="9" ht="15" customHeight="1" s="36">
      <c r="D9" s="35" t="inlineStr">
        <is>
          <t>units, signs, dates and legal definitions reconcile</t>
        </is>
      </c>
      <c r="H9" s="35" t="inlineStr">
        <is>
          <t>OPEN</t>
        </is>
      </c>
    </row>
    <row r="10" ht="15" customHeight="1" s="36">
      <c r="H10" s="35" t="n"/>
    </row>
    <row r="11" ht="15" customHeight="1" s="36">
      <c r="H11" s="35" t="n"/>
    </row>
    <row r="12" ht="15" customHeight="1" s="36">
      <c r="H12" s="35" t="n"/>
    </row>
    <row r="13" ht="15" customHeight="1" s="36">
      <c r="H13" s="35" t="n"/>
    </row>
    <row r="14" ht="15" customHeight="1" s="36">
      <c r="H14" s="35" t="n"/>
    </row>
    <row r="15" ht="15" customHeight="1" s="36">
      <c r="H15" s="35" t="n"/>
    </row>
    <row r="16" ht="15" customHeight="1" s="36">
      <c r="H16" s="35" t="n"/>
    </row>
    <row r="17" ht="15" customHeight="1" s="36">
      <c r="H17" s="35" t="n"/>
    </row>
    <row r="18" ht="15" customHeight="1" s="36">
      <c r="H18" s="35" t="n"/>
    </row>
    <row r="19" ht="15" customHeight="1" s="36">
      <c r="H19" s="35" t="n"/>
    </row>
    <row r="20" ht="15" customHeight="1" s="36">
      <c r="H20" s="35" t="n"/>
    </row>
    <row r="21" ht="15" customHeight="1" s="36">
      <c r="H21" s="35" t="n"/>
    </row>
    <row r="22" ht="15" customHeight="1" s="36">
      <c r="H22" s="35" t="n"/>
    </row>
    <row r="23" ht="15" customHeight="1" s="36">
      <c r="H23" s="35" t="n"/>
    </row>
    <row r="24" ht="15" customHeight="1" s="36">
      <c r="H24" s="35" t="n"/>
    </row>
    <row r="25" ht="15" customHeight="1" s="36">
      <c r="H25" s="35" t="n"/>
    </row>
    <row r="26" ht="15" customHeight="1" s="36">
      <c r="H26" s="35" t="n"/>
    </row>
    <row r="27" ht="15" customHeight="1" s="36">
      <c r="H27" s="35" t="n"/>
    </row>
    <row r="28" ht="15" customHeight="1" s="36">
      <c r="H28" s="35" t="n"/>
    </row>
    <row r="29" ht="15" customHeight="1" s="36">
      <c r="H29" s="35" t="n"/>
    </row>
    <row r="30" ht="15" customHeight="1" s="36">
      <c r="H30" s="35" t="n"/>
    </row>
    <row r="31" ht="15" customHeight="1" s="36">
      <c r="H31" s="35" t="n"/>
    </row>
    <row r="32" ht="15" customHeight="1" s="36">
      <c r="H32" s="35" t="n"/>
    </row>
    <row r="33" ht="15" customHeight="1" s="36">
      <c r="H33" s="35" t="n"/>
    </row>
    <row r="34" ht="15" customHeight="1" s="36">
      <c r="H34" s="35" t="n"/>
    </row>
    <row r="35" ht="15" customHeight="1" s="36">
      <c r="H35" s="35" t="n"/>
    </row>
    <row r="36" ht="15" customHeight="1" s="36">
      <c r="H36" s="35" t="n"/>
    </row>
    <row r="37" ht="15" customHeight="1" s="36">
      <c r="H37" s="35" t="n"/>
    </row>
    <row r="38" ht="15" customHeight="1" s="36">
      <c r="H38" s="35" t="n"/>
    </row>
    <row r="39" ht="15" customHeight="1" s="36">
      <c r="H39" s="35" t="n"/>
    </row>
    <row r="40" ht="15" customHeight="1" s="36">
      <c r="H40" s="35" t="n"/>
    </row>
    <row r="41" ht="15" customHeight="1" s="36">
      <c r="H41" s="35" t="n"/>
    </row>
    <row r="42" ht="15" customHeight="1" s="36">
      <c r="H42" s="35" t="n"/>
    </row>
    <row r="43" ht="15" customHeight="1" s="36">
      <c r="H43" s="35" t="n"/>
    </row>
    <row r="44" ht="15" customHeight="1" s="36">
      <c r="H44" s="35" t="n"/>
    </row>
    <row r="45" ht="15" customHeight="1" s="36">
      <c r="H45" s="35" t="n"/>
    </row>
    <row r="46" ht="15" customHeight="1" s="36">
      <c r="H46" s="35" t="n"/>
    </row>
    <row r="47" ht="15" customHeight="1" s="36">
      <c r="H47" s="35" t="n"/>
    </row>
    <row r="48" ht="15" customHeight="1" s="36">
      <c r="H48" s="35" t="n"/>
    </row>
    <row r="49" ht="15" customHeight="1" s="36">
      <c r="H49" s="35" t="n"/>
    </row>
    <row r="50" ht="15" customHeight="1" s="36">
      <c r="H50" s="35" t="n"/>
    </row>
    <row r="51" ht="15" customHeight="1" s="36">
      <c r="H51" s="35" t="n"/>
    </row>
    <row r="52" ht="15" customHeight="1" s="36">
      <c r="H52" s="35" t="n"/>
    </row>
    <row r="53" ht="15" customHeight="1" s="36">
      <c r="H53" s="35" t="n"/>
    </row>
    <row r="54" ht="15" customHeight="1" s="36">
      <c r="H54" s="35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35" min="2" max="2"/>
    <col width="18" customWidth="1" style="35" min="3" max="3"/>
    <col width="42" customWidth="1" style="35" min="4" max="4"/>
    <col width="24" customWidth="1" style="35" min="5" max="5"/>
    <col width="18" customWidth="1" style="35" min="6" max="6"/>
    <col width="22" customWidth="1" style="35" min="7" max="7"/>
    <col width="42" customWidth="1" style="35" min="8" max="8"/>
    <col width="30" customWidth="1" style="35" min="9" max="9"/>
    <col width="15" customWidth="1" style="35" min="10" max="10"/>
  </cols>
  <sheetData>
    <row r="2" ht="18.55" customHeight="1" s="36">
      <c r="B2" s="41" t="inlineStr">
        <is>
          <t>Source, Transformation, Ownership and Refresh Map</t>
        </is>
      </c>
    </row>
    <row r="4" ht="15" customHeight="1" s="36">
      <c r="B4" s="45" t="inlineStr">
        <is>
          <t>Source class</t>
        </is>
      </c>
      <c r="C4" s="45" t="inlineStr">
        <is>
          <t>Cadence</t>
        </is>
      </c>
      <c r="D4" s="45" t="inlineStr">
        <is>
          <t>Control</t>
        </is>
      </c>
      <c r="E4" s="45" t="inlineStr">
        <is>
          <t>System / provider</t>
        </is>
      </c>
      <c r="F4" s="45" t="inlineStr">
        <is>
          <t>As-of</t>
        </is>
      </c>
      <c r="G4" s="45" t="inlineStr">
        <is>
          <t>Owner</t>
        </is>
      </c>
      <c r="H4" s="45" t="inlineStr">
        <is>
          <t>Transform</t>
        </is>
      </c>
      <c r="I4" s="45" t="inlineStr">
        <is>
          <t>Downstream</t>
        </is>
      </c>
      <c r="J4" s="45" t="inlineStr">
        <is>
          <t>Status</t>
        </is>
      </c>
    </row>
    <row r="5" ht="15" customHeight="1" s="36">
      <c r="B5" s="35" t="inlineStr">
        <is>
          <t>physical inventory</t>
        </is>
      </c>
      <c r="C5" s="35" t="inlineStr">
        <is>
          <t>daily</t>
        </is>
      </c>
      <c r="D5" s="35" t="inlineStr">
        <is>
          <t>title, location and quality reconciliation</t>
        </is>
      </c>
      <c r="J5" s="35" t="inlineStr">
        <is>
          <t>TO MAP</t>
        </is>
      </c>
    </row>
    <row r="6" ht="15" customHeight="1" s="36">
      <c r="B6" s="35" t="inlineStr">
        <is>
          <t>futures / swaps</t>
        </is>
      </c>
      <c r="C6" s="35" t="inlineStr">
        <is>
          <t>intraday/daily</t>
        </is>
      </c>
      <c r="D6" s="35" t="inlineStr">
        <is>
          <t>trade and clearing reconciliation</t>
        </is>
      </c>
      <c r="J6" s="35" t="inlineStr">
        <is>
          <t>TO MAP</t>
        </is>
      </c>
    </row>
    <row r="7" ht="15" customHeight="1" s="36">
      <c r="B7" s="35" t="inlineStr">
        <is>
          <t>model governance evidence</t>
        </is>
      </c>
      <c r="C7" s="35" t="inlineStr">
        <is>
          <t>per release</t>
        </is>
      </c>
      <c r="D7" s="35" t="inlineStr">
        <is>
          <t>version, reviewer, sign-off and change log</t>
        </is>
      </c>
      <c r="J7" s="35" t="inlineStr">
        <is>
          <t>TO MAP</t>
        </is>
      </c>
    </row>
    <row r="8" ht="15" customHeight="1" s="36">
      <c r="B8" s="35" t="inlineStr">
        <is>
          <t>decision-use snapshot</t>
        </is>
      </c>
      <c r="C8" s="35" t="inlineStr">
        <is>
          <t>per decision</t>
        </is>
      </c>
      <c r="D8" s="35" t="inlineStr">
        <is>
          <t>immutable as-of date and source receipt</t>
        </is>
      </c>
      <c r="J8" s="35" t="inlineStr">
        <is>
          <t>TO MAP</t>
        </is>
      </c>
    </row>
    <row r="9" ht="15" customHeight="1" s="36">
      <c r="J9" s="35" t="n"/>
    </row>
    <row r="10" ht="15" customHeight="1" s="36">
      <c r="J10" s="35" t="n"/>
    </row>
    <row r="11" ht="15" customHeight="1" s="36">
      <c r="J11" s="35" t="n"/>
    </row>
    <row r="12" ht="15" customHeight="1" s="36">
      <c r="J12" s="35" t="n"/>
    </row>
    <row r="13" ht="15" customHeight="1" s="36">
      <c r="J13" s="35" t="n"/>
    </row>
    <row r="14" ht="15" customHeight="1" s="36">
      <c r="J14" s="35" t="n"/>
    </row>
    <row r="15" ht="15" customHeight="1" s="36">
      <c r="J15" s="35" t="n"/>
    </row>
    <row r="16" ht="15" customHeight="1" s="36">
      <c r="J16" s="35" t="n"/>
    </row>
    <row r="17" ht="15" customHeight="1" s="36">
      <c r="J17" s="35" t="n"/>
    </row>
    <row r="18" ht="15" customHeight="1" s="36">
      <c r="J18" s="35" t="n"/>
    </row>
    <row r="19" ht="15" customHeight="1" s="36">
      <c r="J19" s="35" t="n"/>
    </row>
    <row r="20" ht="15" customHeight="1" s="36">
      <c r="J20" s="35" t="n"/>
    </row>
    <row r="21" ht="15" customHeight="1" s="36">
      <c r="J21" s="35" t="n"/>
    </row>
    <row r="22" ht="15" customHeight="1" s="36">
      <c r="J22" s="35" t="n"/>
    </row>
    <row r="23" ht="15" customHeight="1" s="36">
      <c r="J23" s="35" t="n"/>
    </row>
    <row r="24" ht="15" customHeight="1" s="36">
      <c r="J24" s="35" t="n"/>
    </row>
    <row r="25" ht="15" customHeight="1" s="36">
      <c r="J25" s="35" t="n"/>
    </row>
    <row r="26" ht="15" customHeight="1" s="36">
      <c r="J26" s="35" t="n"/>
    </row>
    <row r="27" ht="15" customHeight="1" s="36">
      <c r="J27" s="35" t="n"/>
    </row>
    <row r="28" ht="15" customHeight="1" s="36">
      <c r="J28" s="35" t="n"/>
    </row>
    <row r="29" ht="15" customHeight="1" s="36">
      <c r="J29" s="35" t="n"/>
    </row>
    <row r="30" ht="15" customHeight="1" s="36">
      <c r="J30" s="35" t="n"/>
    </row>
    <row r="31" ht="15" customHeight="1" s="36">
      <c r="J31" s="35" t="n"/>
    </row>
    <row r="32" ht="15" customHeight="1" s="36">
      <c r="J32" s="35" t="n"/>
    </row>
    <row r="33" ht="15" customHeight="1" s="36">
      <c r="J33" s="35" t="n"/>
    </row>
    <row r="34" ht="15" customHeight="1" s="36">
      <c r="J34" s="35" t="n"/>
    </row>
    <row r="35" ht="15" customHeight="1" s="36">
      <c r="J35" s="35" t="n"/>
    </row>
    <row r="36" ht="15" customHeight="1" s="36">
      <c r="J36" s="35" t="n"/>
    </row>
    <row r="37" ht="15" customHeight="1" s="36">
      <c r="J37" s="35" t="n"/>
    </row>
    <row r="38" ht="15" customHeight="1" s="36">
      <c r="J38" s="35" t="n"/>
    </row>
    <row r="39" ht="15" customHeight="1" s="36">
      <c r="J39" s="35" t="n"/>
    </row>
    <row r="40" ht="15" customHeight="1" s="36">
      <c r="J40" s="35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16" customWidth="1" style="35" min="2" max="2"/>
    <col width="14" customWidth="1" style="35" min="3" max="6"/>
    <col width="20" customWidth="1" style="35" min="7" max="7"/>
  </cols>
  <sheetData>
    <row r="2" ht="19.7" customHeight="1" s="36">
      <c r="B2" s="37" t="inlineStr">
        <is>
          <t>Futures Curve — Contango / Backwardation</t>
        </is>
      </c>
    </row>
    <row r="4" ht="15" customHeight="1" s="36">
      <c r="A4" s="46" t="n"/>
      <c r="B4" s="46" t="inlineStr">
        <is>
          <t>Contract month</t>
        </is>
      </c>
      <c r="C4" s="46" t="inlineStr">
        <is>
          <t>Price</t>
        </is>
      </c>
      <c r="D4" s="46" t="inlineStr">
        <is>
          <t>Days to expiry</t>
        </is>
      </c>
      <c r="E4" s="46" t="inlineStr">
        <is>
          <t>Annualized basis %</t>
        </is>
      </c>
      <c r="F4" s="46" t="inlineStr">
        <is>
          <t>vs. front month</t>
        </is>
      </c>
      <c r="G4" s="35" t="inlineStr">
        <is>
          <t>Curve shape</t>
        </is>
      </c>
    </row>
    <row r="5" ht="15" customHeight="1" s="36">
      <c r="B5" s="47" t="inlineStr">
        <is>
          <t>M1 (front)</t>
        </is>
      </c>
      <c r="C5" s="48" t="n">
        <v>0</v>
      </c>
      <c r="D5" s="49" t="n">
        <v>0</v>
      </c>
      <c r="E5" s="50">
        <f>IFERROR((C5/$C$5-1)*(365/(D5-$D$5)),"-")</f>
        <v/>
      </c>
      <c r="F5" s="50">
        <f>IFERROR(C5/$C$5-1,"-")</f>
        <v/>
      </c>
      <c r="G5" s="51">
        <f>IF(C5&gt;$C$5,"Contango",IF(C5&lt;$C$5,"Backwardation","Flat"))</f>
        <v/>
      </c>
    </row>
    <row r="6" ht="15" customHeight="1" s="36">
      <c r="B6" s="47" t="inlineStr">
        <is>
          <t>M2</t>
        </is>
      </c>
      <c r="C6" s="48" t="n">
        <v>0</v>
      </c>
      <c r="D6" s="49" t="n">
        <v>0</v>
      </c>
      <c r="E6" s="50">
        <f>IFERROR((C6/$C$5-1)*(365/(D6-$D$5)),"-")</f>
        <v/>
      </c>
      <c r="F6" s="50">
        <f>IFERROR(C6/$C$5-1,"-")</f>
        <v/>
      </c>
      <c r="G6" s="51">
        <f>IF(C6&gt;$C$5,"Contango",IF(C6&lt;$C$5,"Backwardation","Flat"))</f>
        <v/>
      </c>
    </row>
    <row r="7" ht="15" customHeight="1" s="36">
      <c r="B7" s="47" t="inlineStr">
        <is>
          <t>M3</t>
        </is>
      </c>
      <c r="C7" s="48" t="n">
        <v>0</v>
      </c>
      <c r="D7" s="49" t="n">
        <v>0</v>
      </c>
      <c r="E7" s="50">
        <f>IFERROR((C7/$C$5-1)*(365/(D7-$D$5)),"-")</f>
        <v/>
      </c>
      <c r="F7" s="50">
        <f>IFERROR(C7/$C$5-1,"-")</f>
        <v/>
      </c>
      <c r="G7" s="51">
        <f>IF(C7&gt;$C$5,"Contango",IF(C7&lt;$C$5,"Backwardation","Flat"))</f>
        <v/>
      </c>
    </row>
    <row r="8" ht="15" customHeight="1" s="36">
      <c r="B8" s="47" t="inlineStr">
        <is>
          <t>M6</t>
        </is>
      </c>
      <c r="C8" s="48" t="n">
        <v>0</v>
      </c>
      <c r="D8" s="49" t="n">
        <v>0</v>
      </c>
      <c r="E8" s="50">
        <f>IFERROR((C8/$C$5-1)*(365/(D8-$D$5)),"-")</f>
        <v/>
      </c>
      <c r="F8" s="50">
        <f>IFERROR(C8/$C$5-1,"-")</f>
        <v/>
      </c>
      <c r="G8" s="51">
        <f>IF(C8&gt;$C$5,"Contango",IF(C8&lt;$C$5,"Backwardation","Flat"))</f>
        <v/>
      </c>
    </row>
    <row r="9" ht="15" customHeight="1" s="36">
      <c r="B9" s="47" t="inlineStr">
        <is>
          <t>M12</t>
        </is>
      </c>
      <c r="C9" s="48" t="n">
        <v>0</v>
      </c>
      <c r="D9" s="49" t="n">
        <v>0</v>
      </c>
      <c r="E9" s="50">
        <f>IFERROR((C9/$C$5-1)*(365/(D9-$D$5)),"-")</f>
        <v/>
      </c>
      <c r="F9" s="50">
        <f>IFERROR(C9/$C$5-1,"-")</f>
        <v/>
      </c>
      <c r="G9" s="51">
        <f>IF(C9&gt;$C$5,"Contango",IF(C9&lt;$C$5,"Backwardation","Flat"))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D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26" customWidth="1" style="35" min="2" max="2"/>
    <col width="16" customWidth="1" style="35" min="3" max="4"/>
    <col width="40" customWidth="1" style="35" min="5" max="5"/>
  </cols>
  <sheetData>
    <row r="2" ht="19.7" customHeight="1" s="36">
      <c r="B2" s="37" t="inlineStr">
        <is>
          <t>Roll Yield</t>
        </is>
      </c>
    </row>
    <row r="4" ht="15" customHeight="1" s="36">
      <c r="B4" s="35" t="inlineStr">
        <is>
          <t>Expiring contract price</t>
        </is>
      </c>
      <c r="C4" s="52">
        <f>'Futures Curve'!C5</f>
        <v/>
      </c>
    </row>
    <row r="5" ht="15" customHeight="1" s="36">
      <c r="B5" s="35" t="inlineStr">
        <is>
          <t>Next contract price</t>
        </is>
      </c>
      <c r="C5" s="52">
        <f>'Futures Curve'!C6</f>
        <v/>
      </c>
    </row>
    <row r="6" ht="15" customHeight="1" s="36">
      <c r="B6" s="35" t="inlineStr">
        <is>
          <t>Roll yield (%)</t>
        </is>
      </c>
      <c r="C6" s="53">
        <f>IFERROR(C4/C5-1,"-")</f>
        <v/>
      </c>
      <c r="D6" s="54" t="inlineStr">
        <is>
          <t>Positive = backwardation roll gain (long-only benefits). Negative = contango roll cost.</t>
        </is>
      </c>
    </row>
    <row r="8" ht="15" customHeight="1" s="36">
      <c r="B8" s="35" t="inlineStr">
        <is>
          <t>Annual roll cost/gain estimate (12 rolls, illustrative)</t>
        </is>
      </c>
      <c r="C8" s="55">
        <f>IFERROR(C6*12,"-")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C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28" customWidth="1" style="35" min="2" max="2"/>
    <col width="16" customWidth="1" style="35" min="3" max="4"/>
    <col width="40" customWidth="1" style="35" min="5" max="5"/>
  </cols>
  <sheetData>
    <row r="2" ht="19.7" customHeight="1" s="36">
      <c r="B2" s="37" t="inlineStr">
        <is>
          <t>Producer / Consumer Hedge Model</t>
        </is>
      </c>
    </row>
    <row r="4" ht="15" customHeight="1" s="36">
      <c r="B4" s="56" t="inlineStr">
        <is>
          <t>Inputs</t>
        </is>
      </c>
    </row>
    <row r="5" ht="15" customHeight="1" s="36">
      <c r="B5" s="47" t="inlineStr">
        <is>
          <t>Physical exposure (units)</t>
        </is>
      </c>
      <c r="C5" s="57" t="n">
        <v>0</v>
      </c>
    </row>
    <row r="6" ht="15" customHeight="1" s="36">
      <c r="B6" s="47" t="inlineStr">
        <is>
          <t>Futures contract size (units)</t>
        </is>
      </c>
      <c r="C6" s="57" t="n">
        <v>1000</v>
      </c>
    </row>
    <row r="7" ht="15" customHeight="1" s="36">
      <c r="B7" s="47" t="inlineStr">
        <is>
          <t>Spot price</t>
        </is>
      </c>
      <c r="C7" s="58" t="n">
        <v>77.58</v>
      </c>
    </row>
    <row r="8" ht="15" customHeight="1" s="36">
      <c r="B8" s="47" t="inlineStr">
        <is>
          <t>Futures price (hedge contract)</t>
        </is>
      </c>
      <c r="C8" s="59" t="n">
        <v>0</v>
      </c>
    </row>
    <row r="9" ht="15" customHeight="1" s="36">
      <c r="B9" s="47" t="inlineStr">
        <is>
          <t>Hedge ratio (beta-adjusted)</t>
        </is>
      </c>
      <c r="C9" s="60" t="n">
        <v>1</v>
      </c>
    </row>
    <row r="11" ht="15" customHeight="1" s="36">
      <c r="B11" s="56" t="inlineStr">
        <is>
          <t>Outputs</t>
        </is>
      </c>
    </row>
    <row r="12" ht="15" customHeight="1" s="36">
      <c r="B12" s="35" t="inlineStr">
        <is>
          <t>Contracts needed</t>
        </is>
      </c>
      <c r="C12" s="61">
        <f>IFERROR(ROUND(C5*C9/C6,0),"-")</f>
        <v/>
      </c>
    </row>
    <row r="13" ht="15" customHeight="1" s="36">
      <c r="B13" s="35" t="inlineStr">
        <is>
          <t>Notional hedged</t>
        </is>
      </c>
      <c r="C13" s="62">
        <f>C12*C6*C8</f>
        <v/>
      </c>
    </row>
    <row r="14" ht="15" customHeight="1" s="36">
      <c r="B14" s="35" t="inlineStr">
        <is>
          <t>Unhedged basis exposure</t>
        </is>
      </c>
      <c r="C14" s="62">
        <f>C5*C7-C13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F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38" customWidth="1" style="35" min="2" max="2"/>
    <col width="18" customWidth="1" style="35" min="3" max="5"/>
    <col width="34" customWidth="1" style="35" min="6" max="6"/>
  </cols>
  <sheetData>
    <row r="2" ht="19.7" customHeight="1" s="36">
      <c r="B2" s="37" t="inlineStr">
        <is>
          <t>Physical Balance, Cost of Carry, and Basis</t>
        </is>
      </c>
    </row>
    <row r="4" ht="15" customHeight="1" s="36">
      <c r="B4" s="46" t="inlineStr">
        <is>
          <t>Metric</t>
        </is>
      </c>
      <c r="C4" s="46" t="inlineStr">
        <is>
          <t>Base</t>
        </is>
      </c>
      <c r="D4" s="46" t="inlineStr">
        <is>
          <t>Downside</t>
        </is>
      </c>
      <c r="E4" s="46" t="inlineStr">
        <is>
          <t>Active</t>
        </is>
      </c>
      <c r="F4" s="46" t="inlineStr">
        <is>
          <t>Units / source</t>
        </is>
      </c>
    </row>
    <row r="5" ht="15" customHeight="1" s="36">
      <c r="B5" s="47" t="inlineStr">
        <is>
          <t>Spot price</t>
        </is>
      </c>
      <c r="C5" s="59">
        <f>Hedging!C7</f>
        <v/>
      </c>
      <c r="D5" s="59">
        <f>Hedging!C7*0.7</f>
        <v/>
      </c>
      <c r="E5" s="63">
        <f>IF(Cover!$C$9="Downside",D5,C5)</f>
        <v/>
      </c>
      <c r="F5" s="35" t="inlineStr">
        <is>
          <t>linked to hedge spot</t>
        </is>
      </c>
    </row>
    <row r="6" ht="15" customHeight="1" s="36">
      <c r="B6" s="47" t="inlineStr">
        <is>
          <t>Observed futures price</t>
        </is>
      </c>
      <c r="C6" s="59">
        <f>Hedging!C8</f>
        <v/>
      </c>
      <c r="D6" s="59">
        <f>Hedging!C8*1.1</f>
        <v/>
      </c>
      <c r="E6" s="63">
        <f>IF(Cover!$C$9="Downside",D6,C6)</f>
        <v/>
      </c>
      <c r="F6" s="35" t="inlineStr">
        <is>
          <t>linked to hedge contract</t>
        </is>
      </c>
    </row>
    <row r="7" ht="15" customHeight="1" s="36">
      <c r="B7" s="47" t="inlineStr">
        <is>
          <t>Risk-free rate</t>
        </is>
      </c>
      <c r="C7" s="64" t="n">
        <v>0.04</v>
      </c>
      <c r="D7" s="64" t="n">
        <v>0.07000000000000001</v>
      </c>
      <c r="E7" s="65">
        <f>IF(Cover!$C$9="Downside",D7,C7)</f>
        <v/>
      </c>
      <c r="F7" s="35" t="inlineStr">
        <is>
          <t>annual continuously compounded</t>
        </is>
      </c>
    </row>
    <row r="8" ht="15" customHeight="1" s="36">
      <c r="B8" s="47" t="inlineStr">
        <is>
          <t>Storage and financing rate</t>
        </is>
      </c>
      <c r="C8" s="64" t="n">
        <v>0.02</v>
      </c>
      <c r="D8" s="64" t="n">
        <v>0.2</v>
      </c>
      <c r="E8" s="65">
        <f>IF(Cover!$C$9="Downside",D8,C8)</f>
        <v/>
      </c>
      <c r="F8" s="35" t="inlineStr">
        <is>
          <t>annual cost of carry</t>
        </is>
      </c>
    </row>
    <row r="9" ht="15" customHeight="1" s="36">
      <c r="B9" s="47" t="inlineStr">
        <is>
          <t>Convenience yield</t>
        </is>
      </c>
      <c r="C9" s="64" t="n">
        <v>0.03</v>
      </c>
      <c r="D9" s="64" t="n">
        <v>0</v>
      </c>
      <c r="E9" s="65">
        <f>IF(Cover!$C$9="Downside",D9,C9)</f>
        <v/>
      </c>
      <c r="F9" s="35" t="inlineStr">
        <is>
          <t>annual non-cash benefit</t>
        </is>
      </c>
    </row>
    <row r="10" ht="15" customHeight="1" s="36">
      <c r="B10" s="47" t="inlineStr">
        <is>
          <t>Time to delivery</t>
        </is>
      </c>
      <c r="C10" s="60" t="n">
        <v>0.5</v>
      </c>
      <c r="D10" s="60" t="n">
        <v>0.25</v>
      </c>
      <c r="E10" s="66">
        <f>IF(Cover!$C$9="Downside",D10,C10)</f>
        <v/>
      </c>
      <c r="F10" s="35" t="inlineStr">
        <is>
          <t>years</t>
        </is>
      </c>
    </row>
    <row r="11" ht="15" customHeight="1" s="36">
      <c r="B11" s="47" t="inlineStr">
        <is>
          <t>Beginning inventory</t>
        </is>
      </c>
      <c r="C11" s="57" t="n">
        <v>100</v>
      </c>
      <c r="D11" s="57" t="n">
        <v>20</v>
      </c>
      <c r="E11" s="67">
        <f>IF(Cover!$C$9="Downside",D11,C11)</f>
        <v/>
      </c>
      <c r="F11" s="35" t="inlineStr">
        <is>
          <t>physical units</t>
        </is>
      </c>
    </row>
    <row r="12" ht="15" customHeight="1" s="36">
      <c r="B12" s="47" t="inlineStr">
        <is>
          <t>Production</t>
        </is>
      </c>
      <c r="C12" s="57" t="n">
        <v>50</v>
      </c>
      <c r="D12" s="57" t="n">
        <v>0</v>
      </c>
      <c r="E12" s="67">
        <f>IF(Cover!$C$9="Downside",D12,C12)</f>
        <v/>
      </c>
      <c r="F12" s="35" t="inlineStr">
        <is>
          <t>physical units</t>
        </is>
      </c>
    </row>
    <row r="13" ht="15" customHeight="1" s="36">
      <c r="B13" s="47" t="inlineStr">
        <is>
          <t>Purchases</t>
        </is>
      </c>
      <c r="C13" s="57" t="n">
        <v>20</v>
      </c>
      <c r="D13" s="57" t="n">
        <v>10</v>
      </c>
      <c r="E13" s="67">
        <f>IF(Cover!$C$9="Downside",D13,C13)</f>
        <v/>
      </c>
      <c r="F13" s="35" t="inlineStr">
        <is>
          <t>physical units</t>
        </is>
      </c>
    </row>
    <row r="14" ht="15" customHeight="1" s="36">
      <c r="B14" s="47" t="inlineStr">
        <is>
          <t>Sales</t>
        </is>
      </c>
      <c r="C14" s="68" t="n">
        <v>34.454</v>
      </c>
      <c r="D14" s="57" t="n">
        <v>25</v>
      </c>
      <c r="E14" s="67">
        <f>IF(Cover!$C$9="Downside",D14,C14)</f>
        <v/>
      </c>
      <c r="F14" s="35" t="inlineStr">
        <is>
          <t>physical units</t>
        </is>
      </c>
    </row>
    <row r="15" ht="15" customHeight="1" s="36">
      <c r="B15" s="47" t="inlineStr">
        <is>
          <t>Internal consumption / shrink</t>
        </is>
      </c>
      <c r="C15" s="57" t="n">
        <v>30</v>
      </c>
      <c r="D15" s="57" t="n">
        <v>5</v>
      </c>
      <c r="E15" s="67">
        <f>IF(Cover!$C$9="Downside",D15,C15)</f>
        <v/>
      </c>
      <c r="F15" s="35" t="inlineStr">
        <is>
          <t>physical units</t>
        </is>
      </c>
    </row>
    <row r="16" ht="15" customHeight="1" s="36">
      <c r="B16" s="47" t="inlineStr">
        <is>
          <t>Reported ending inventory</t>
        </is>
      </c>
      <c r="C16" s="57" t="n">
        <v>60</v>
      </c>
      <c r="D16" s="57" t="n">
        <v>0</v>
      </c>
      <c r="E16" s="67">
        <f>IF(Cover!$C$9="Downside",D16,C16)</f>
        <v/>
      </c>
      <c r="F16" s="35" t="inlineStr">
        <is>
          <t>physical units</t>
        </is>
      </c>
    </row>
    <row r="17" ht="15" customHeight="1" s="36">
      <c r="B17" s="47" t="inlineStr">
        <is>
          <t>Basis warning threshold</t>
        </is>
      </c>
      <c r="C17" s="59" t="n">
        <v>10</v>
      </c>
      <c r="D17" s="59" t="n">
        <v>5</v>
      </c>
      <c r="E17" s="63">
        <f>IF(Cover!$C$9="Downside",D17,C17)</f>
        <v/>
      </c>
      <c r="F17" s="35" t="inlineStr">
        <is>
          <t>absolute spot-futures difference</t>
        </is>
      </c>
    </row>
    <row r="18" ht="15" customHeight="1" s="36">
      <c r="B18" s="47" t="inlineStr">
        <is>
          <t>Maximum hedge ratio</t>
        </is>
      </c>
      <c r="C18" s="69" t="n">
        <v>1.25</v>
      </c>
      <c r="D18" s="69" t="n">
        <v>1.1</v>
      </c>
      <c r="E18" s="70">
        <f>IF(Cover!$C$9="Downside",D18,C18)</f>
        <v/>
      </c>
      <c r="F18" s="35" t="inlineStr">
        <is>
          <t>absolute futures units / physical units</t>
        </is>
      </c>
    </row>
    <row r="21" ht="15" customHeight="1" s="36">
      <c r="B21" s="56" t="inlineStr">
        <is>
          <t>Derived outputs</t>
        </is>
      </c>
    </row>
    <row r="22" ht="15" customHeight="1" s="36">
      <c r="B22" s="35" t="inlineStr">
        <is>
          <t>Net carry rate</t>
        </is>
      </c>
      <c r="E22" s="65">
        <f>E7+E8-E9</f>
        <v/>
      </c>
    </row>
    <row r="23" ht="15" customHeight="1" s="36">
      <c r="B23" s="35" t="inlineStr">
        <is>
          <t>Cost-of-carry fair forward</t>
        </is>
      </c>
      <c r="E23" s="63">
        <f>E5*EXP(E22*E10)</f>
        <v/>
      </c>
    </row>
    <row r="24" ht="15" customHeight="1" s="36">
      <c r="B24" s="35" t="inlineStr">
        <is>
          <t>Observed less fair forward</t>
        </is>
      </c>
      <c r="E24" s="63">
        <f>E6-E23</f>
        <v/>
      </c>
    </row>
    <row r="25" ht="15" customHeight="1" s="36">
      <c r="B25" s="35" t="inlineStr">
        <is>
          <t>Spot-futures basis</t>
        </is>
      </c>
      <c r="E25" s="63">
        <f>E5-E6</f>
        <v/>
      </c>
    </row>
    <row r="26" ht="15" customHeight="1" s="36">
      <c r="B26" s="35" t="inlineStr">
        <is>
          <t>Front-to-next roll yield</t>
        </is>
      </c>
      <c r="E26" s="65">
        <f>'Roll Yield'!C6</f>
        <v/>
      </c>
    </row>
    <row r="27" ht="15" customHeight="1" s="36">
      <c r="B27" s="35" t="inlineStr">
        <is>
          <t>Calculated ending inventory</t>
        </is>
      </c>
      <c r="E27" s="67">
        <f>E11+E12+E13-E14-E15</f>
        <v/>
      </c>
    </row>
    <row r="28" ht="15" customHeight="1" s="36">
      <c r="B28" s="35" t="inlineStr">
        <is>
          <t>Physical balance residual</t>
        </is>
      </c>
      <c r="E28" s="67">
        <f>E27-E16</f>
        <v/>
      </c>
    </row>
    <row r="29" ht="15" customHeight="1" s="36">
      <c r="B29" s="35" t="inlineStr">
        <is>
          <t>Absolute hedge ratio</t>
        </is>
      </c>
      <c r="E29" s="70">
        <f>IFERROR(ABS(Hedging!C12*Hedging!C6/Hedging!C5),0)</f>
        <v/>
      </c>
    </row>
    <row r="30" ht="15" customHeight="1" s="36">
      <c r="B30" s="35" t="inlineStr">
        <is>
          <t>Unhedged basis exposure</t>
        </is>
      </c>
      <c r="E30" s="62">
        <f>Hedging!C14</f>
        <v/>
      </c>
    </row>
    <row r="32" ht="15" customHeight="1" s="36">
      <c r="B32" s="54" t="inlineStr">
        <is>
          <t>The cost-of-carry result is a reference relationship, not a claim that convenience yield or storage is directly observable.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E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36" customWidth="1" style="35" min="2" max="2"/>
    <col width="18" customWidth="1" style="35" min="3" max="4"/>
    <col width="46" customWidth="1" style="35" min="5" max="5"/>
  </cols>
  <sheetData>
    <row r="2" ht="19.7" customHeight="1" s="36">
      <c r="B2" s="37" t="inlineStr">
        <is>
          <t>Commodities Decision Dashboard and Independent Checks</t>
        </is>
      </c>
    </row>
    <row r="4" ht="15" customHeight="1" s="36">
      <c r="B4" s="46" t="inlineStr">
        <is>
          <t>Check / decision</t>
        </is>
      </c>
      <c r="C4" s="46" t="inlineStr">
        <is>
          <t>Metric</t>
        </is>
      </c>
      <c r="D4" s="46" t="inlineStr">
        <is>
          <t>Status</t>
        </is>
      </c>
      <c r="E4" s="46" t="inlineStr">
        <is>
          <t>Interpretation / action</t>
        </is>
      </c>
    </row>
    <row r="5" ht="15" customHeight="1" s="36">
      <c r="B5" s="35" t="inlineStr">
        <is>
          <t>Cost-of-carry residual</t>
        </is>
      </c>
      <c r="C5" s="63">
        <f>'Physical Balance &amp; Carry'!E24</f>
        <v/>
      </c>
      <c r="D5" s="51">
        <f>IF(ABS(C5)&lt;=MAX(0.01,ABS('Physical Balance &amp; Carry'!E23)*0.05),"PASS","REVIEW")</f>
        <v/>
      </c>
      <c r="E5" s="35" t="inlineStr">
        <is>
          <t>Review storage, funding, convenience yield, delivery option, and contract alignment.</t>
        </is>
      </c>
    </row>
    <row r="6" ht="15" customHeight="1" s="36">
      <c r="B6" s="35" t="inlineStr">
        <is>
          <t>Physical balance residual</t>
        </is>
      </c>
      <c r="C6" s="67">
        <f>'Physical Balance &amp; Carry'!E28</f>
        <v/>
      </c>
      <c r="D6" s="51">
        <f>IF(ABS(C6)&lt;0.000001,"PASS","FAIL")</f>
        <v/>
      </c>
      <c r="E6" s="35" t="inlineStr">
        <is>
          <t>Inventory must conserve across beginning stock, flows, shrink, and reported ending stock.</t>
        </is>
      </c>
    </row>
    <row r="7" ht="15" customHeight="1" s="36">
      <c r="B7" s="35" t="inlineStr">
        <is>
          <t>Absolute basis</t>
        </is>
      </c>
      <c r="C7" s="51">
        <f>ABS('Physical Balance &amp; Carry'!E25)</f>
        <v/>
      </c>
      <c r="D7" s="51">
        <f>IF(C7&lt;='Physical Balance &amp; Carry'!E17,"PASS","BREACH")</f>
        <v/>
      </c>
      <c r="E7" s="35" t="inlineStr">
        <is>
          <t>Escalate material location, grade, quality, or timing basis risk.</t>
        </is>
      </c>
    </row>
    <row r="8" ht="15" customHeight="1" s="36">
      <c r="B8" s="35" t="inlineStr">
        <is>
          <t>Hedge ratio</t>
        </is>
      </c>
      <c r="C8" s="70">
        <f>'Physical Balance &amp; Carry'!E29</f>
        <v/>
      </c>
      <c r="D8" s="51">
        <f>IF(C8&lt;='Physical Balance &amp; Carry'!E18,"PASS","BREACH")</f>
        <v/>
      </c>
      <c r="E8" s="35" t="inlineStr">
        <is>
          <t>Review over-hedging, contract multiplier, and beta-adjustment assumptions.</t>
        </is>
      </c>
    </row>
    <row r="9" ht="15" customHeight="1" s="36">
      <c r="B9" s="35" t="inlineStr">
        <is>
          <t>Roll yield</t>
        </is>
      </c>
      <c r="C9" s="51">
        <f>'Physical Balance &amp; Carry'!E26</f>
        <v/>
      </c>
      <c r="D9" s="51">
        <f>IF(C9&lt;0,"REVIEW","PASS")</f>
        <v/>
      </c>
      <c r="E9" s="35" t="inlineStr">
        <is>
          <t>Negative roll yield is expected in contango but must be included in return and hedge economics.</t>
        </is>
      </c>
    </row>
    <row r="10" ht="15" customHeight="1" s="36">
      <c r="B10" s="35" t="inlineStr">
        <is>
          <t>Ending inventory</t>
        </is>
      </c>
      <c r="C10" s="67">
        <f>'Physical Balance &amp; Carry'!E27</f>
        <v/>
      </c>
      <c r="D10" s="51">
        <f>IF(C10&gt;=0,"PASS","BREACH")</f>
        <v/>
      </c>
      <c r="E10" s="35" t="inlineStr">
        <is>
          <t>Negative physical inventory indicates an impossible operating plan or missing purchase.</t>
        </is>
      </c>
    </row>
    <row r="12" ht="15" customHeight="1" s="36">
      <c r="B12" s="38" t="inlineStr">
        <is>
          <t>Overall model status</t>
        </is>
      </c>
      <c r="C12" s="71">
        <f>IF(COUNTIF(D5:D10,"FAIL")+COUNTIF(D5:D10,"BREACH")&gt;0,"BREACH",IF(COUNTIF(D5:D10,"REVIEW")&gt;0,"REVIEW","PASS"))</f>
        <v/>
      </c>
    </row>
    <row r="14" ht="15" customHeight="1" s="36">
      <c r="B14" s="56" t="inlineStr">
        <is>
          <t>Primary decision outputs</t>
        </is>
      </c>
    </row>
    <row r="15" ht="15" customHeight="1" s="36">
      <c r="B15" s="35" t="inlineStr">
        <is>
          <t>Fair forward</t>
        </is>
      </c>
      <c r="C15" s="63">
        <f>'Physical Balance &amp; Carry'!E23</f>
        <v/>
      </c>
    </row>
    <row r="16" ht="15" customHeight="1" s="36">
      <c r="B16" s="35" t="inlineStr">
        <is>
          <t>Observed futures</t>
        </is>
      </c>
      <c r="C16" s="63">
        <f>'Physical Balance &amp; Carry'!E6</f>
        <v/>
      </c>
    </row>
    <row r="17" ht="15" customHeight="1" s="36">
      <c r="B17" s="35" t="inlineStr">
        <is>
          <t>Basis</t>
        </is>
      </c>
      <c r="C17" s="63">
        <f>'Physical Balance &amp; Carry'!E25</f>
        <v/>
      </c>
    </row>
    <row r="18" ht="15" customHeight="1" s="36">
      <c r="B18" s="35" t="inlineStr">
        <is>
          <t>Contracts needed</t>
        </is>
      </c>
      <c r="C18" s="67">
        <f>Hedging!C12</f>
        <v/>
      </c>
    </row>
    <row r="19" ht="15" customHeight="1" s="36">
      <c r="B19" s="35" t="inlineStr">
        <is>
          <t>Unhedged exposure</t>
        </is>
      </c>
      <c r="C19" s="62">
        <f>Hedging!C14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G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20" customWidth="1" style="35" min="2" max="2"/>
    <col width="12" customWidth="1" style="35" min="3" max="7"/>
  </cols>
  <sheetData>
    <row r="2" ht="19.7" customHeight="1" s="36">
      <c r="B2" s="37" t="inlineStr">
        <is>
          <t>Sensitivity — P&amp;L by Spot Move</t>
        </is>
      </c>
    </row>
    <row r="4" ht="15" customHeight="1" s="36">
      <c r="B4" s="56" t="inlineStr">
        <is>
          <t>Spot move %</t>
        </is>
      </c>
      <c r="C4" s="72" t="n">
        <v>-0.2</v>
      </c>
      <c r="D4" s="72" t="n">
        <v>-0.1</v>
      </c>
      <c r="E4" s="72" t="n">
        <v>0</v>
      </c>
      <c r="F4" s="72" t="n">
        <v>0.1</v>
      </c>
      <c r="G4" s="72" t="n">
        <v>0.2</v>
      </c>
    </row>
    <row r="5" ht="15" customHeight="1" s="36">
      <c r="B5" s="35" t="inlineStr">
        <is>
          <t>Unhedged P&amp;L</t>
        </is>
      </c>
      <c r="C5" s="62">
        <f>Hedging!$C$5*Hedging!$C$7*C4</f>
        <v/>
      </c>
      <c r="D5" s="62">
        <f>Hedging!$C$5*Hedging!$C$7*D4</f>
        <v/>
      </c>
      <c r="E5" s="62">
        <f>Hedging!$C$5*Hedging!$C$7*E4</f>
        <v/>
      </c>
      <c r="F5" s="62">
        <f>Hedging!$C$5*Hedging!$C$7*F4</f>
        <v/>
      </c>
      <c r="G5" s="62">
        <f>Hedging!$C$5*Hedging!$C$7*G4</f>
        <v/>
      </c>
    </row>
    <row r="6" ht="15" customHeight="1" s="36">
      <c r="B6" s="35" t="inlineStr">
        <is>
          <t>Hedged P&amp;L</t>
        </is>
      </c>
      <c r="C6" s="62">
        <f>(C4*Hedging!$C$5*Hedging!$C$7)-(C4*Hedging!$C$13)</f>
        <v/>
      </c>
      <c r="D6" s="62">
        <f>(D4*Hedging!$C$5*Hedging!$C$7)-(D4*Hedging!$C$13)</f>
        <v/>
      </c>
      <c r="E6" s="62">
        <f>(E4*Hedging!$C$5*Hedging!$C$7)-(E4*Hedging!$C$13)</f>
        <v/>
      </c>
      <c r="F6" s="62">
        <f>(F4*Hedging!$C$5*Hedging!$C$7)-(F4*Hedging!$C$13)</f>
        <v/>
      </c>
      <c r="G6" s="62">
        <f>(G4*Hedging!$C$5*Hedging!$C$7)-(G4*Hedging!$C$13)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5" min="1" max="1"/>
    <col width="14" customWidth="1" style="35" min="2" max="2"/>
    <col width="16" customWidth="1" style="35" min="3" max="3"/>
    <col width="30" customWidth="1" style="35" min="4" max="5"/>
    <col width="16" customWidth="1" style="35" min="6" max="6"/>
  </cols>
  <sheetData>
    <row r="2" ht="19.7" customHeight="1" s="36">
      <c r="B2" s="37" t="inlineStr">
        <is>
          <t>Refresh Log</t>
        </is>
      </c>
    </row>
    <row r="4" ht="15" customHeight="1" s="36">
      <c r="B4" s="46" t="inlineStr">
        <is>
          <t>Date</t>
        </is>
      </c>
      <c r="C4" s="46" t="inlineStr">
        <is>
          <t>Trigger</t>
        </is>
      </c>
      <c r="D4" s="46" t="inlineStr">
        <is>
          <t>What changed</t>
        </is>
      </c>
      <c r="E4" s="46" t="inlineStr">
        <is>
          <t>Reviewer notes</t>
        </is>
      </c>
      <c r="F4" s="46" t="inlineStr">
        <is>
          <t>Next check</t>
        </is>
      </c>
    </row>
    <row r="5" ht="15" customHeight="1" s="36">
      <c r="B5" s="51" t="inlineStr">
        <is>
          <t>2026-08-04</t>
        </is>
      </c>
      <c r="C5" s="51" t="inlineStr">
        <is>
          <t>External historical evidence materialization</t>
        </is>
      </c>
      <c r="D5" s="51" t="inlineStr">
        <is>
          <t>Generated public case commodities-public-wti-2023 from canonical release template</t>
        </is>
      </c>
      <c r="E5" s="51" t="inlineStr">
        <is>
          <t>External historical case; human stakeholder approval remains pending</t>
        </is>
      </c>
      <c r="F5" s="51" t="inlineStr">
        <is>
          <t>On source revision, builder change, monitoring breach, or annual review</t>
        </is>
      </c>
    </row>
    <row r="6" ht="15" customHeight="1" s="36">
      <c r="B6" s="51" t="n"/>
      <c r="C6" s="51" t="n"/>
      <c r="D6" s="51" t="n"/>
      <c r="E6" s="51" t="n"/>
      <c r="F6" s="51" t="n"/>
    </row>
    <row r="7" ht="15" customHeight="1" s="36">
      <c r="B7" s="51" t="n"/>
      <c r="C7" s="51" t="n"/>
      <c r="D7" s="51" t="n"/>
      <c r="E7" s="51" t="n"/>
      <c r="F7" s="51" t="n"/>
    </row>
    <row r="8" ht="15" customHeight="1" s="36">
      <c r="B8" s="51" t="n"/>
      <c r="C8" s="51" t="n"/>
      <c r="D8" s="51" t="n"/>
      <c r="E8" s="51" t="n"/>
      <c r="F8" s="51" t="n"/>
    </row>
    <row r="9" ht="15" customHeight="1" s="36">
      <c r="B9" s="51" t="n"/>
      <c r="C9" s="51" t="n"/>
      <c r="D9" s="51" t="n"/>
      <c r="E9" s="51" t="n"/>
      <c r="F9" s="51" t="n"/>
    </row>
    <row r="10" ht="15" customHeight="1" s="36">
      <c r="B10" s="51" t="n"/>
      <c r="C10" s="51" t="n"/>
      <c r="D10" s="51" t="n"/>
      <c r="E10" s="51" t="n"/>
      <c r="F10" s="51" t="n"/>
    </row>
    <row r="11" ht="15" customHeight="1" s="36">
      <c r="B11" s="51" t="n"/>
      <c r="C11" s="51" t="n"/>
      <c r="D11" s="51" t="n"/>
      <c r="E11" s="51" t="n"/>
      <c r="F11" s="51" t="n"/>
    </row>
    <row r="12" ht="15" customHeight="1" s="36">
      <c r="B12" s="51" t="n"/>
      <c r="C12" s="51" t="n"/>
      <c r="D12" s="51" t="n"/>
      <c r="E12" s="51" t="n"/>
      <c r="F12" s="51" t="n"/>
    </row>
    <row r="13" ht="15" customHeight="1" s="36">
      <c r="B13" s="51" t="n"/>
      <c r="C13" s="51" t="n"/>
      <c r="D13" s="51" t="n"/>
      <c r="E13" s="51" t="n"/>
      <c r="F13" s="51" t="n"/>
    </row>
    <row r="14" ht="15" customHeight="1" s="36">
      <c r="B14" s="51" t="n"/>
      <c r="C14" s="51" t="n"/>
      <c r="D14" s="51" t="n"/>
      <c r="E14" s="51" t="n"/>
      <c r="F14" s="5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2026-08-04T15:32:29Z</dcterms:created>
  <dcterms:modified xmlns:dcterms="http://purl.org/dc/terms/" xmlns:xsi="http://www.w3.org/2001/XMLSchema-instance" xsi:type="dcterms:W3CDTF">2026-08-04T18:30:39Z</dcterms:modified>
  <cp:revision>0</cp:revision>
</cp:coreProperties>
</file>