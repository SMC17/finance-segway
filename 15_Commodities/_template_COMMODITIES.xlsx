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stitutional Surface" sheetId="2" state="visible" r:id="rId2"/>
    <sheet xmlns:r="http://schemas.openxmlformats.org/officeDocument/2006/relationships" name="Challenge Log" sheetId="3" state="visible" r:id="rId3"/>
    <sheet xmlns:r="http://schemas.openxmlformats.org/officeDocument/2006/relationships" name="Lineage Map" sheetId="4" state="visible" r:id="rId4"/>
    <sheet xmlns:r="http://schemas.openxmlformats.org/officeDocument/2006/relationships" name="Futures Curve" sheetId="5" state="visible" r:id="rId5"/>
    <sheet xmlns:r="http://schemas.openxmlformats.org/officeDocument/2006/relationships" name="Roll Yield" sheetId="6" state="visible" r:id="rId6"/>
    <sheet xmlns:r="http://schemas.openxmlformats.org/officeDocument/2006/relationships" name="Hedging" sheetId="7" state="visible" r:id="rId7"/>
    <sheet xmlns:r="http://schemas.openxmlformats.org/officeDocument/2006/relationships" name="Physical Balance &amp; Carry" sheetId="8" state="visible" r:id="rId8"/>
    <sheet xmlns:r="http://schemas.openxmlformats.org/officeDocument/2006/relationships" name="Decision &amp; Checks" sheetId="9" state="visible" r:id="rId9"/>
    <sheet xmlns:r="http://schemas.openxmlformats.org/officeDocument/2006/relationships" name="Sensitivity" sheetId="10" state="visible" r:id="rId10"/>
    <sheet xmlns:r="http://schemas.openxmlformats.org/officeDocument/2006/relationships" name="RefreshLog" sheetId="11" state="visible" r:id="rId11"/>
  </sheets>
  <definedNames>
    <definedName name="FS_MODEL_ID">'Institutional Surface'!$C$4</definedName>
    <definedName name="FS_DOMAIN">'Institutional Surface'!$C$5</definedName>
    <definedName name="FS_MATURITY">'Institutional Surface'!$C$6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$#,##0.00;($#,##0.00);&quot;-&quot;"/>
    <numFmt numFmtId="165" formatCode="#,##0;(#,##0);&quot;-&quot;"/>
    <numFmt numFmtId="166" formatCode="0.0%;(0.0%);&quot;-&quot;"/>
    <numFmt numFmtId="167" formatCode="$#,##0;($#,##0);&quot;-&quot;"/>
    <numFmt numFmtId="168" formatCode="0.00%;(0.00%);&quot;-&quot;"/>
    <numFmt numFmtId="169" formatCode="0.0x"/>
  </numFmts>
  <fonts count="11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sz val="10"/>
    </font>
    <font>
      <name val="Arial"/>
      <color rgb="000000FF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008000"/>
      <sz val="10"/>
    </font>
    <font>
      <name val="Arial"/>
      <i val="1"/>
      <color rgb="00808080"/>
      <sz val="8"/>
    </font>
    <font>
      <b val="1"/>
      <color rgb="00FFFFFF"/>
      <sz val="15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D9D9"/>
        <bgColor rgb="00D9D9D9"/>
      </patternFill>
    </fill>
    <fill>
      <patternFill patternType="solid">
        <fgColor rgb="00FFFF00"/>
        <bgColor rgb="00FFFF00"/>
      </patternFill>
    </fill>
    <fill>
      <patternFill patternType="solid">
        <fgColor rgb="0017365D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thin">
        <color rgb="00B7B7B7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0" pivotButton="0" quotePrefix="0" xfId="0"/>
    <xf numFmtId="164" fontId="3" fillId="0" borderId="1" pivotButton="0" quotePrefix="0" xfId="0"/>
    <xf numFmtId="165" fontId="3" fillId="0" borderId="1" pivotButton="0" quotePrefix="0" xfId="0"/>
    <xf numFmtId="166" fontId="0" fillId="0" borderId="1" pivotButton="0" quotePrefix="0" xfId="0"/>
    <xf numFmtId="0" fontId="0" fillId="0" borderId="1" pivotButton="0" quotePrefix="0" xfId="0"/>
    <xf numFmtId="164" fontId="6" fillId="0" borderId="0" pivotButton="0" quotePrefix="0" xfId="0"/>
    <xf numFmtId="166" fontId="2" fillId="0" borderId="0" pivotButton="0" quotePrefix="0" xfId="0"/>
    <xf numFmtId="0" fontId="7" fillId="0" borderId="0" pivotButton="0" quotePrefix="0" xfId="0"/>
    <xf numFmtId="166" fontId="0" fillId="0" borderId="0" pivotButton="0" quotePrefix="0" xfId="0"/>
    <xf numFmtId="0" fontId="2" fillId="3" borderId="0" pivotButton="0" quotePrefix="0" xfId="0"/>
    <xf numFmtId="165" fontId="3" fillId="4" borderId="1" pivotButton="0" quotePrefix="0" xfId="0"/>
    <xf numFmtId="164" fontId="3" fillId="4" borderId="1" pivotButton="0" quotePrefix="0" xfId="0"/>
    <xf numFmtId="2" fontId="3" fillId="4" borderId="1" pivotButton="0" quotePrefix="0" xfId="0"/>
    <xf numFmtId="165" fontId="2" fillId="0" borderId="1" pivotButton="0" quotePrefix="0" xfId="0"/>
    <xf numFmtId="167" fontId="0" fillId="0" borderId="1" pivotButton="0" quotePrefix="0" xfId="0"/>
    <xf numFmtId="166" fontId="2" fillId="3" borderId="0" pivotButton="0" quotePrefix="0" xfId="0"/>
    <xf numFmtId="164" fontId="6" fillId="0" borderId="1" pivotButton="0" quotePrefix="0" xfId="0"/>
    <xf numFmtId="164" fontId="0" fillId="0" borderId="1" pivotButton="0" quotePrefix="0" xfId="0"/>
    <xf numFmtId="168" fontId="3" fillId="4" borderId="1" pivotButton="0" quotePrefix="0" xfId="0"/>
    <xf numFmtId="168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  <xf numFmtId="169" fontId="3" fillId="4" borderId="1" pivotButton="0" quotePrefix="0" xfId="0"/>
    <xf numFmtId="169" fontId="0" fillId="0" borderId="1" pivotButton="0" quotePrefix="0" xfId="0"/>
    <xf numFmtId="0" fontId="2" fillId="0" borderId="1" pivotButton="0" quotePrefix="0" xfId="0"/>
    <xf numFmtId="0" fontId="8" fillId="5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10" fillId="5" borderId="0" pivotButton="0" quotePrefix="0" xfId="0"/>
    <xf numFmtId="0" fontId="9" fillId="6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40" customWidth="1" min="3" max="3"/>
    <col width="4" customWidth="1" min="4" max="4"/>
  </cols>
  <sheetData>
    <row r="2">
      <c r="B2" s="1" t="inlineStr">
        <is>
          <t>[COMMODITY] — Commodities Model</t>
        </is>
      </c>
    </row>
    <row r="4">
      <c r="B4" s="2" t="inlineStr">
        <is>
          <t>Commodity:</t>
        </is>
      </c>
      <c r="C4" s="3" t="inlineStr">
        <is>
          <t>[e.g. WTI Crude, Corn, Copper]</t>
        </is>
      </c>
    </row>
    <row r="5">
      <c r="B5" s="2" t="inlineStr">
        <is>
          <t>Exchange:</t>
        </is>
      </c>
      <c r="C5" s="3" t="inlineStr">
        <is>
          <t>[NYMEX / CME / ICE]</t>
        </is>
      </c>
    </row>
    <row r="6">
      <c r="B6" s="2" t="inlineStr">
        <is>
          <t>Last refreshed:</t>
        </is>
      </c>
      <c r="C6" s="3" t="inlineStr">
        <is>
          <t>[date]</t>
        </is>
      </c>
    </row>
    <row r="7">
      <c r="B7" s="2" t="inlineStr">
        <is>
          <t>Next roll date:</t>
        </is>
      </c>
      <c r="C7" s="3" t="inlineStr">
        <is>
          <t>[date]</t>
        </is>
      </c>
    </row>
    <row r="8">
      <c r="B8" s="2" t="inlineStr">
        <is>
          <t>Refresh cadence:</t>
        </is>
      </c>
      <c r="C8" s="3" t="inlineStr">
        <is>
          <t>Weekly (daily near roll/expiry)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6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2" max="2"/>
    <col width="48" customWidth="1" min="3" max="3"/>
    <col width="24" customWidth="1" min="4" max="4"/>
    <col width="34" customWidth="1" min="5" max="5"/>
    <col width="20" customWidth="1" min="6" max="6"/>
  </cols>
  <sheetData>
    <row r="2">
      <c r="B2" s="30" t="inlineStr">
        <is>
          <t>Commodities — Institutional Decision Surface</t>
        </is>
      </c>
    </row>
    <row r="4">
      <c r="B4" s="31" t="inlineStr">
        <is>
          <t>Model ID</t>
        </is>
      </c>
      <c r="C4" s="32" t="inlineStr">
        <is>
          <t>15</t>
        </is>
      </c>
    </row>
    <row r="5">
      <c r="B5" s="31" t="inlineStr">
        <is>
          <t>Domain</t>
        </is>
      </c>
      <c r="C5" s="32" t="inlineStr">
        <is>
          <t>Commodities</t>
        </is>
      </c>
    </row>
    <row r="6">
      <c r="B6" s="31" t="inlineStr">
        <is>
          <t>Declared maturity</t>
        </is>
      </c>
      <c r="C6" s="32" t="inlineStr">
        <is>
          <t>M2</t>
        </is>
      </c>
    </row>
    <row r="7">
      <c r="B7" s="31" t="inlineStr">
        <is>
          <t>Canonical builder</t>
        </is>
      </c>
      <c r="C7" s="32" t="inlineStr">
        <is>
          <t>tools/builders/build_commodities_release.py</t>
        </is>
      </c>
    </row>
    <row r="8">
      <c r="B8" s="31" t="inlineStr">
        <is>
          <t>Decision arena</t>
        </is>
      </c>
      <c r="C8" s="32" t="inlineStr">
        <is>
          <t>physical trading, scheduling, storage, credit and market risk</t>
        </is>
      </c>
    </row>
    <row r="9">
      <c r="B9" s="31" t="inlineStr">
        <is>
          <t>Committee artifact</t>
        </is>
      </c>
      <c r="C9" s="32" t="inlineStr">
        <is>
          <t>physical-plus-paper position and optionality pack</t>
        </is>
      </c>
    </row>
    <row r="10">
      <c r="B10" s="31" t="inlineStr">
        <is>
          <t>Operating cadence</t>
        </is>
      </c>
      <c r="C10" s="32" t="inlineStr">
        <is>
          <t>intraday risk; daily scheduling; weekly S&amp;OP</t>
        </is>
      </c>
    </row>
    <row r="12">
      <c r="B12" s="33" t="inlineStr">
        <is>
          <t>Key decision outputs</t>
        </is>
      </c>
    </row>
    <row r="13">
      <c r="B13" s="34" t="inlineStr">
        <is>
          <t>#</t>
        </is>
      </c>
      <c r="C13" s="34" t="inlineStr">
        <is>
          <t>Requirement</t>
        </is>
      </c>
      <c r="D13" s="34" t="inlineStr">
        <is>
          <t>Owner</t>
        </is>
      </c>
      <c r="E13" s="34" t="inlineStr">
        <is>
          <t>Evidence / location</t>
        </is>
      </c>
      <c r="F13" s="34" t="inlineStr">
        <is>
          <t>Status</t>
        </is>
      </c>
    </row>
    <row r="14">
      <c r="B14" t="n">
        <v>1</v>
      </c>
      <c r="C14" t="inlineStr">
        <is>
          <t>flat price, basis and location exposure</t>
        </is>
      </c>
      <c r="D14" t="inlineStr"/>
      <c r="E14" t="inlineStr"/>
      <c r="F14" t="inlineStr">
        <is>
          <t>OPEN</t>
        </is>
      </c>
    </row>
    <row r="15">
      <c r="B15" t="n">
        <v>2</v>
      </c>
      <c r="C15" t="inlineStr">
        <is>
          <t>inventory and storage economics</t>
        </is>
      </c>
      <c r="D15" t="inlineStr"/>
      <c r="E15" t="inlineStr"/>
      <c r="F15" t="inlineStr">
        <is>
          <t>OPEN</t>
        </is>
      </c>
    </row>
    <row r="16">
      <c r="B16" t="n">
        <v>3</v>
      </c>
      <c r="C16" t="inlineStr">
        <is>
          <t>transport and quality differentials</t>
        </is>
      </c>
      <c r="D16" t="inlineStr"/>
      <c r="E16" t="inlineStr"/>
      <c r="F16" t="inlineStr">
        <is>
          <t>OPEN</t>
        </is>
      </c>
    </row>
    <row r="17">
      <c r="B17" t="n">
        <v>4</v>
      </c>
      <c r="C17" t="inlineStr">
        <is>
          <t>base, downside and break-even outputs</t>
        </is>
      </c>
      <c r="D17" t="inlineStr"/>
      <c r="E17" t="inlineStr"/>
      <c r="F17" t="inlineStr">
        <is>
          <t>OPEN</t>
        </is>
      </c>
    </row>
    <row r="18">
      <c r="B18" t="n">
        <v>5</v>
      </c>
      <c r="C18" t="inlineStr">
        <is>
          <t>liquidity / funding requirement and binding constraint</t>
        </is>
      </c>
      <c r="D18" t="inlineStr"/>
      <c r="E18" t="inlineStr"/>
      <c r="F18" t="inlineStr">
        <is>
          <t>OPEN</t>
        </is>
      </c>
    </row>
    <row r="20">
      <c r="B20" s="33" t="inlineStr">
        <is>
          <t>Insider questions</t>
        </is>
      </c>
    </row>
    <row r="21">
      <c r="B21" s="34" t="inlineStr">
        <is>
          <t>#</t>
        </is>
      </c>
      <c r="C21" s="34" t="inlineStr">
        <is>
          <t>Requirement</t>
        </is>
      </c>
      <c r="D21" s="34" t="inlineStr">
        <is>
          <t>Owner</t>
        </is>
      </c>
      <c r="E21" s="34" t="inlineStr">
        <is>
          <t>Evidence / location</t>
        </is>
      </c>
      <c r="F21" s="34" t="inlineStr">
        <is>
          <t>Status</t>
        </is>
      </c>
    </row>
    <row r="22">
      <c r="B22" t="n">
        <v>1</v>
      </c>
      <c r="C22" t="inlineStr">
        <is>
          <t>Where is title and can the product move?</t>
        </is>
      </c>
      <c r="D22" t="inlineStr"/>
      <c r="E22" t="inlineStr"/>
      <c r="F22" t="inlineStr">
        <is>
          <t>OPEN</t>
        </is>
      </c>
    </row>
    <row r="23">
      <c r="B23" t="n">
        <v>2</v>
      </c>
      <c r="C23" t="inlineStr">
        <is>
          <t>Which basis is unhedgeable?</t>
        </is>
      </c>
      <c r="D23" t="inlineStr"/>
      <c r="E23" t="inlineStr"/>
      <c r="F23" t="inlineStr">
        <is>
          <t>OPEN</t>
        </is>
      </c>
    </row>
    <row r="24">
      <c r="B24" t="n">
        <v>3</v>
      </c>
      <c r="C24" t="inlineStr">
        <is>
          <t>What is the value of storage optionality?</t>
        </is>
      </c>
      <c r="D24" t="inlineStr"/>
      <c r="E24" t="inlineStr"/>
      <c r="F24" t="inlineStr">
        <is>
          <t>OPEN</t>
        </is>
      </c>
    </row>
    <row r="25">
      <c r="B25" t="n">
        <v>4</v>
      </c>
      <c r="C25" t="inlineStr">
        <is>
          <t>Which assumption is owner-approved versus modeler judgement?</t>
        </is>
      </c>
      <c r="D25" t="inlineStr"/>
      <c r="E25" t="inlineStr"/>
      <c r="F25" t="inlineStr">
        <is>
          <t>OPEN</t>
        </is>
      </c>
    </row>
    <row r="26">
      <c r="B26" t="n">
        <v>5</v>
      </c>
      <c r="C26" t="inlineStr">
        <is>
          <t>What fails first and who must act?</t>
        </is>
      </c>
      <c r="D26" t="inlineStr"/>
      <c r="E26" t="inlineStr"/>
      <c r="F26" t="inlineStr">
        <is>
          <t>OPEN</t>
        </is>
      </c>
    </row>
    <row r="28">
      <c r="B28" s="33" t="inlineStr">
        <is>
          <t>Scenario families</t>
        </is>
      </c>
    </row>
    <row r="29">
      <c r="B29" s="34" t="inlineStr">
        <is>
          <t>#</t>
        </is>
      </c>
      <c r="C29" s="34" t="inlineStr">
        <is>
          <t>Requirement</t>
        </is>
      </c>
      <c r="D29" s="34" t="inlineStr">
        <is>
          <t>Owner</t>
        </is>
      </c>
      <c r="E29" s="34" t="inlineStr">
        <is>
          <t>Evidence / location</t>
        </is>
      </c>
      <c r="F29" s="34" t="inlineStr">
        <is>
          <t>Status</t>
        </is>
      </c>
    </row>
    <row r="30">
      <c r="B30" t="n">
        <v>1</v>
      </c>
      <c r="C30" t="inlineStr">
        <is>
          <t>flat-price shock</t>
        </is>
      </c>
      <c r="D30" t="inlineStr"/>
      <c r="E30" t="inlineStr"/>
      <c r="F30" t="inlineStr">
        <is>
          <t>OPEN</t>
        </is>
      </c>
    </row>
    <row r="31">
      <c r="B31" t="n">
        <v>2</v>
      </c>
      <c r="C31" t="inlineStr">
        <is>
          <t>basis blowout</t>
        </is>
      </c>
      <c r="D31" t="inlineStr"/>
      <c r="E31" t="inlineStr"/>
      <c r="F31" t="inlineStr">
        <is>
          <t>OPEN</t>
        </is>
      </c>
    </row>
    <row r="32">
      <c r="B32" t="n">
        <v>3</v>
      </c>
      <c r="C32" t="inlineStr">
        <is>
          <t>curve shape / roll</t>
        </is>
      </c>
      <c r="D32" t="inlineStr"/>
      <c r="E32" t="inlineStr"/>
      <c r="F32" t="inlineStr">
        <is>
          <t>OPEN</t>
        </is>
      </c>
    </row>
    <row r="33">
      <c r="B33" t="n">
        <v>4</v>
      </c>
      <c r="C33" t="inlineStr">
        <is>
          <t>data freshness / source failure</t>
        </is>
      </c>
      <c r="D33" t="inlineStr"/>
      <c r="E33" t="inlineStr"/>
      <c r="F33" t="inlineStr">
        <is>
          <t>OPEN</t>
        </is>
      </c>
    </row>
    <row r="34">
      <c r="B34" t="n">
        <v>5</v>
      </c>
      <c r="C34" t="inlineStr">
        <is>
          <t>combined severe-but-plausible downside</t>
        </is>
      </c>
      <c r="D34" t="inlineStr"/>
      <c r="E34" t="inlineStr"/>
      <c r="F34" t="inlineStr">
        <is>
          <t>OPEN</t>
        </is>
      </c>
    </row>
    <row r="36">
      <c r="B36" s="33" t="inlineStr">
        <is>
          <t>Primary diligence documents</t>
        </is>
      </c>
    </row>
    <row r="37">
      <c r="B37" s="34" t="inlineStr">
        <is>
          <t>#</t>
        </is>
      </c>
      <c r="C37" s="34" t="inlineStr">
        <is>
          <t>Requirement</t>
        </is>
      </c>
      <c r="D37" s="34" t="inlineStr">
        <is>
          <t>Owner</t>
        </is>
      </c>
      <c r="E37" s="34" t="inlineStr">
        <is>
          <t>Evidence / location</t>
        </is>
      </c>
      <c r="F37" s="34" t="inlineStr">
        <is>
          <t>Status</t>
        </is>
      </c>
    </row>
    <row r="38">
      <c r="B38" t="n">
        <v>1</v>
      </c>
      <c r="C38" t="inlineStr">
        <is>
          <t>purchase / sale contracts</t>
        </is>
      </c>
      <c r="D38" t="inlineStr"/>
      <c r="E38" t="inlineStr"/>
      <c r="F38" t="inlineStr">
        <is>
          <t>OPEN</t>
        </is>
      </c>
    </row>
    <row r="39">
      <c r="B39" t="n">
        <v>2</v>
      </c>
      <c r="C39" t="inlineStr">
        <is>
          <t>storage and transport agreements</t>
        </is>
      </c>
      <c r="D39" t="inlineStr"/>
      <c r="E39" t="inlineStr"/>
      <c r="F39" t="inlineStr">
        <is>
          <t>OPEN</t>
        </is>
      </c>
    </row>
    <row r="40">
      <c r="B40" t="n">
        <v>3</v>
      </c>
      <c r="C40" t="inlineStr">
        <is>
          <t>quality certificates</t>
        </is>
      </c>
      <c r="D40" t="inlineStr"/>
      <c r="E40" t="inlineStr"/>
      <c r="F40" t="inlineStr">
        <is>
          <t>OPEN</t>
        </is>
      </c>
    </row>
    <row r="41">
      <c r="B41" t="n">
        <v>4</v>
      </c>
      <c r="C41" t="inlineStr">
        <is>
          <t>approved model card and assumption register</t>
        </is>
      </c>
      <c r="D41" t="inlineStr"/>
      <c r="E41" t="inlineStr"/>
      <c r="F41" t="inlineStr">
        <is>
          <t>OPEN</t>
        </is>
      </c>
    </row>
    <row r="42">
      <c r="B42" t="n">
        <v>5</v>
      </c>
      <c r="C42" t="inlineStr">
        <is>
          <t>independent validation and challenge record</t>
        </is>
      </c>
      <c r="D42" t="inlineStr"/>
      <c r="E42" t="inlineStr"/>
      <c r="F42" t="inlineStr">
        <is>
          <t>OPEN</t>
        </is>
      </c>
    </row>
    <row r="44">
      <c r="B44" s="33" t="inlineStr">
        <is>
          <t>Challenge tests</t>
        </is>
      </c>
    </row>
    <row r="45">
      <c r="B45" s="34" t="inlineStr">
        <is>
          <t>#</t>
        </is>
      </c>
      <c r="C45" s="34" t="inlineStr">
        <is>
          <t>Requirement</t>
        </is>
      </c>
      <c r="D45" s="34" t="inlineStr">
        <is>
          <t>Owner</t>
        </is>
      </c>
      <c r="E45" s="34" t="inlineStr">
        <is>
          <t>Evidence / location</t>
        </is>
      </c>
      <c r="F45" s="34" t="inlineStr">
        <is>
          <t>Status</t>
        </is>
      </c>
    </row>
    <row r="46">
      <c r="B46" t="n">
        <v>1</v>
      </c>
      <c r="C46" t="inlineStr">
        <is>
          <t>physical and paper positions reconcile by unit</t>
        </is>
      </c>
      <c r="D46" t="inlineStr"/>
      <c r="E46" t="inlineStr"/>
      <c r="F46" t="inlineStr">
        <is>
          <t>OPEN</t>
        </is>
      </c>
    </row>
    <row r="47">
      <c r="B47" t="n">
        <v>2</v>
      </c>
      <c r="C47" t="inlineStr">
        <is>
          <t>storage carry identity</t>
        </is>
      </c>
      <c r="D47" t="inlineStr"/>
      <c r="E47" t="inlineStr"/>
      <c r="F47" t="inlineStr">
        <is>
          <t>OPEN</t>
        </is>
      </c>
    </row>
    <row r="48">
      <c r="B48" t="n">
        <v>3</v>
      </c>
      <c r="C48" t="inlineStr">
        <is>
          <t>hedge ratio uses matched grade/location/tenor</t>
        </is>
      </c>
      <c r="D48" t="inlineStr"/>
      <c r="E48" t="inlineStr"/>
      <c r="F48" t="inlineStr">
        <is>
          <t>OPEN</t>
        </is>
      </c>
    </row>
    <row r="49">
      <c r="B49" t="n">
        <v>4</v>
      </c>
      <c r="C49" t="inlineStr">
        <is>
          <t>source-to-model lineage is reproducible</t>
        </is>
      </c>
      <c r="D49" t="inlineStr"/>
      <c r="E49" t="inlineStr"/>
      <c r="F49" t="inlineStr">
        <is>
          <t>OPEN</t>
        </is>
      </c>
    </row>
    <row r="50">
      <c r="B50" t="n">
        <v>5</v>
      </c>
      <c r="C50" t="inlineStr">
        <is>
          <t>units, signs, dates and legal definitions reconcile</t>
        </is>
      </c>
      <c r="D50" t="inlineStr"/>
      <c r="E50" t="inlineStr"/>
      <c r="F50" t="inlineStr">
        <is>
          <t>OPEN</t>
        </is>
      </c>
    </row>
    <row r="52">
      <c r="B52" s="33" t="inlineStr">
        <is>
          <t>Known failure modes</t>
        </is>
      </c>
    </row>
    <row r="53">
      <c r="B53" s="34" t="inlineStr">
        <is>
          <t>#</t>
        </is>
      </c>
      <c r="C53" s="34" t="inlineStr">
        <is>
          <t>Requirement</t>
        </is>
      </c>
      <c r="D53" s="34" t="inlineStr">
        <is>
          <t>Owner</t>
        </is>
      </c>
      <c r="E53" s="34" t="inlineStr">
        <is>
          <t>Evidence / location</t>
        </is>
      </c>
      <c r="F53" s="34" t="inlineStr">
        <is>
          <t>Status</t>
        </is>
      </c>
    </row>
    <row r="54">
      <c r="B54" t="n">
        <v>1</v>
      </c>
      <c r="C54" t="inlineStr">
        <is>
          <t>treating futures as a perfect physical hedge</t>
        </is>
      </c>
      <c r="D54" t="inlineStr"/>
      <c r="E54" t="inlineStr"/>
      <c r="F54" t="inlineStr">
        <is>
          <t>OPEN</t>
        </is>
      </c>
    </row>
    <row r="55">
      <c r="B55" t="n">
        <v>2</v>
      </c>
      <c r="C55" t="inlineStr">
        <is>
          <t>ignoring unit conversions and shrink</t>
        </is>
      </c>
      <c r="D55" t="inlineStr"/>
      <c r="E55" t="inlineStr"/>
      <c r="F55" t="inlineStr">
        <is>
          <t>OPEN</t>
        </is>
      </c>
    </row>
    <row r="56">
      <c r="B56" t="n">
        <v>3</v>
      </c>
      <c r="C56" t="inlineStr">
        <is>
          <t>missing nomination and capacity constraints</t>
        </is>
      </c>
      <c r="D56" t="inlineStr"/>
      <c r="E56" t="inlineStr"/>
      <c r="F56" t="inlineStr">
        <is>
          <t>OPEN</t>
        </is>
      </c>
    </row>
    <row r="57">
      <c r="B57" t="n">
        <v>4</v>
      </c>
      <c r="C57" t="inlineStr">
        <is>
          <t>stale vintage presented as current</t>
        </is>
      </c>
      <c r="D57" t="inlineStr"/>
      <c r="E57" t="inlineStr"/>
      <c r="F57" t="inlineStr">
        <is>
          <t>OPEN</t>
        </is>
      </c>
    </row>
    <row r="58">
      <c r="B58" t="n">
        <v>5</v>
      </c>
      <c r="C58" t="inlineStr">
        <is>
          <t>decision output disconnected from a binding constraint</t>
        </is>
      </c>
      <c r="D58" t="inlineStr"/>
      <c r="E58" t="inlineStr"/>
      <c r="F58" t="inlineStr">
        <is>
          <t>OPEN</t>
        </is>
      </c>
    </row>
    <row r="60">
      <c r="B60" s="33" t="inlineStr">
        <is>
          <t>Regulatory / methodological anchors</t>
        </is>
      </c>
    </row>
    <row r="61">
      <c r="B61" s="34" t="inlineStr">
        <is>
          <t>Standard</t>
        </is>
      </c>
      <c r="C61" s="34" t="inlineStr">
        <is>
          <t>Scope</t>
        </is>
      </c>
      <c r="D61" s="34" t="inlineStr">
        <is>
          <t>Source URL</t>
        </is>
      </c>
      <c r="E61" s="34" t="inlineStr">
        <is>
          <t>Applicability</t>
        </is>
      </c>
      <c r="F61" s="34" t="inlineStr">
        <is>
          <t>Review note</t>
        </is>
      </c>
    </row>
    <row r="62">
      <c r="B62" t="inlineStr">
        <is>
          <t>Federal Reserve SR 26-2 Model Risk Management</t>
        </is>
      </c>
      <c r="C62" t="inlineStr">
        <is>
          <t>governance, validation, change control, monitoring</t>
        </is>
      </c>
      <c r="D62" t="inlineStr">
        <is>
          <t>https://www.federalreserve.gov/supervisionreg/srletters/SR2602.htm</t>
        </is>
      </c>
      <c r="E62" t="inlineStr">
        <is>
          <t>Map explicitly</t>
        </is>
      </c>
      <c r="F62" t="inlineStr"/>
    </row>
    <row r="63">
      <c r="B63" t="inlineStr">
        <is>
          <t>Basel MAR21 Sensitivities-Based Method</t>
        </is>
      </c>
      <c r="C63" t="inlineStr">
        <is>
          <t>market-risk factors and aggregation</t>
        </is>
      </c>
      <c r="D63" t="inlineStr">
        <is>
          <t>https://www.bis.org/basel_framework/chapter/MAR/21.htm</t>
        </is>
      </c>
      <c r="E63" t="inlineStr">
        <is>
          <t>Map explicitly</t>
        </is>
      </c>
      <c r="F63" t="inlineStr"/>
    </row>
  </sheetData>
  <mergeCells count="15">
    <mergeCell ref="B44:F44"/>
    <mergeCell ref="C9:F9"/>
    <mergeCell ref="B12:F12"/>
    <mergeCell ref="B2:F2"/>
    <mergeCell ref="C8:F8"/>
    <mergeCell ref="C4:F4"/>
    <mergeCell ref="B20:F20"/>
    <mergeCell ref="B28:F28"/>
    <mergeCell ref="C6:F6"/>
    <mergeCell ref="C7:F7"/>
    <mergeCell ref="B60:F60"/>
    <mergeCell ref="B36:F36"/>
    <mergeCell ref="C10:F10"/>
    <mergeCell ref="C5:F5"/>
    <mergeCell ref="B52:F52"/>
  </mergeCells>
  <dataValidations count="6">
    <dataValidation sqref="F14:F18" showDropDown="0" showInputMessage="0" showErrorMessage="0" allowBlank="0" type="list">
      <formula1>"OPEN,IN REVIEW,CLOSED,NOT APPLICABLE"</formula1>
    </dataValidation>
    <dataValidation sqref="F22:F26" showDropDown="0" showInputMessage="0" showErrorMessage="0" allowBlank="0" type="list">
      <formula1>"OPEN,IN REVIEW,CLOSED,NOT APPLICABLE"</formula1>
    </dataValidation>
    <dataValidation sqref="F30:F34" showDropDown="0" showInputMessage="0" showErrorMessage="0" allowBlank="0" type="list">
      <formula1>"OPEN,IN REVIEW,CLOSED,NOT APPLICABLE"</formula1>
    </dataValidation>
    <dataValidation sqref="F38:F42" showDropDown="0" showInputMessage="0" showErrorMessage="0" allowBlank="0" type="list">
      <formula1>"OPEN,IN REVIEW,CLOSED,NOT APPLICABLE"</formula1>
    </dataValidation>
    <dataValidation sqref="F46:F50" showDropDown="0" showInputMessage="0" showErrorMessage="0" allowBlank="0" type="list">
      <formula1>"OPEN,IN REVIEW,CLOSED,NOT APPLICABLE"</formula1>
    </dataValidation>
    <dataValidation sqref="F54:F58" showDropDown="0" showInputMessage="0" showErrorMessage="0" allowBlank="0" type="list">
      <formula1>"OPEN,IN REVIEW,CLOSED,NOT APPLICABLE"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2" max="2"/>
    <col width="22" customWidth="1" min="3" max="3"/>
    <col width="52" customWidth="1" min="4" max="4"/>
    <col width="46" customWidth="1" min="5" max="5"/>
    <col width="36" customWidth="1" min="6" max="6"/>
    <col width="14" customWidth="1" min="7" max="7"/>
    <col width="18" customWidth="1" min="8" max="8"/>
    <col width="14" customWidth="1" min="9" max="9"/>
  </cols>
  <sheetData>
    <row r="2">
      <c r="B2" s="30" t="inlineStr">
        <is>
          <t>Independent Challenge, Override and Closure Log</t>
        </is>
      </c>
    </row>
    <row r="4">
      <c r="B4" s="34" t="inlineStr">
        <is>
          <t>Date</t>
        </is>
      </c>
      <c r="C4" s="34" t="inlineStr">
        <is>
          <t>Reviewer</t>
        </is>
      </c>
      <c r="D4" s="34" t="inlineStr">
        <is>
          <t>Challenge</t>
        </is>
      </c>
      <c r="E4" s="34" t="inlineStr">
        <is>
          <t>Owner response</t>
        </is>
      </c>
      <c r="F4" s="34" t="inlineStr">
        <is>
          <t>Evidence</t>
        </is>
      </c>
      <c r="G4" s="34" t="inlineStr">
        <is>
          <t>Impact</t>
        </is>
      </c>
      <c r="H4" s="34" t="inlineStr">
        <is>
          <t>Status</t>
        </is>
      </c>
      <c r="I4" s="34" t="inlineStr">
        <is>
          <t>Closure</t>
        </is>
      </c>
    </row>
    <row r="5">
      <c r="B5" t="inlineStr"/>
      <c r="C5" t="inlineStr"/>
      <c r="D5" t="inlineStr">
        <is>
          <t>physical and paper positions reconcile by unit</t>
        </is>
      </c>
      <c r="E5" t="inlineStr"/>
      <c r="F5" t="inlineStr"/>
      <c r="G5" t="inlineStr"/>
      <c r="H5" t="inlineStr">
        <is>
          <t>OPEN</t>
        </is>
      </c>
      <c r="I5" t="inlineStr"/>
    </row>
    <row r="6">
      <c r="B6" t="inlineStr"/>
      <c r="C6" t="inlineStr"/>
      <c r="D6" t="inlineStr">
        <is>
          <t>storage carry identity</t>
        </is>
      </c>
      <c r="E6" t="inlineStr"/>
      <c r="F6" t="inlineStr"/>
      <c r="G6" t="inlineStr"/>
      <c r="H6" t="inlineStr">
        <is>
          <t>OPEN</t>
        </is>
      </c>
      <c r="I6" t="inlineStr"/>
    </row>
    <row r="7">
      <c r="B7" t="inlineStr"/>
      <c r="C7" t="inlineStr"/>
      <c r="D7" t="inlineStr">
        <is>
          <t>hedge ratio uses matched grade/location/tenor</t>
        </is>
      </c>
      <c r="E7" t="inlineStr"/>
      <c r="F7" t="inlineStr"/>
      <c r="G7" t="inlineStr"/>
      <c r="H7" t="inlineStr">
        <is>
          <t>OPEN</t>
        </is>
      </c>
      <c r="I7" t="inlineStr"/>
    </row>
    <row r="8">
      <c r="B8" t="inlineStr"/>
      <c r="C8" t="inlineStr"/>
      <c r="D8" t="inlineStr">
        <is>
          <t>source-to-model lineage is reproducible</t>
        </is>
      </c>
      <c r="E8" t="inlineStr"/>
      <c r="F8" t="inlineStr"/>
      <c r="G8" t="inlineStr"/>
      <c r="H8" t="inlineStr">
        <is>
          <t>OPEN</t>
        </is>
      </c>
      <c r="I8" t="inlineStr"/>
    </row>
    <row r="9">
      <c r="B9" t="inlineStr"/>
      <c r="C9" t="inlineStr"/>
      <c r="D9" t="inlineStr">
        <is>
          <t>units, signs, dates and legal definitions reconcile</t>
        </is>
      </c>
      <c r="E9" t="inlineStr"/>
      <c r="F9" t="inlineStr"/>
      <c r="G9" t="inlineStr"/>
      <c r="H9" t="inlineStr">
        <is>
          <t>OPEN</t>
        </is>
      </c>
      <c r="I9" t="inlineStr"/>
    </row>
  </sheetData>
  <mergeCells count="1">
    <mergeCell ref="B2:I2"/>
  </mergeCells>
  <dataValidations count="2">
    <dataValidation sqref="H5:H54" showDropDown="0" showInputMessage="0" showErrorMessage="0" allowBlank="0" type="list">
      <formula1>"OPEN,IN REVIEW,REMEDIATED,ACCEPTED RISK,CLOSED"</formula1>
    </dataValidation>
    <dataValidation sqref="G5:G54" showDropDown="0" showInputMessage="0" showErrorMessage="0" allowBlank="0" type="list">
      <formula1>"LOW,MEDIUM,HIGH,CRITICAL"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8" customWidth="1" min="3" max="3"/>
    <col width="42" customWidth="1" min="4" max="4"/>
    <col width="24" customWidth="1" min="5" max="5"/>
    <col width="18" customWidth="1" min="6" max="6"/>
    <col width="22" customWidth="1" min="7" max="7"/>
    <col width="42" customWidth="1" min="8" max="8"/>
    <col width="30" customWidth="1" min="9" max="9"/>
    <col width="15" customWidth="1" min="10" max="10"/>
  </cols>
  <sheetData>
    <row r="2">
      <c r="B2" s="30" t="inlineStr">
        <is>
          <t>Source, Transformation, Ownership and Refresh Map</t>
        </is>
      </c>
    </row>
    <row r="4">
      <c r="B4" s="34" t="inlineStr">
        <is>
          <t>Source class</t>
        </is>
      </c>
      <c r="C4" s="34" t="inlineStr">
        <is>
          <t>Cadence</t>
        </is>
      </c>
      <c r="D4" s="34" t="inlineStr">
        <is>
          <t>Control</t>
        </is>
      </c>
      <c r="E4" s="34" t="inlineStr">
        <is>
          <t>System / provider</t>
        </is>
      </c>
      <c r="F4" s="34" t="inlineStr">
        <is>
          <t>As-of</t>
        </is>
      </c>
      <c r="G4" s="34" t="inlineStr">
        <is>
          <t>Owner</t>
        </is>
      </c>
      <c r="H4" s="34" t="inlineStr">
        <is>
          <t>Transform</t>
        </is>
      </c>
      <c r="I4" s="34" t="inlineStr">
        <is>
          <t>Downstream</t>
        </is>
      </c>
      <c r="J4" s="34" t="inlineStr">
        <is>
          <t>Status</t>
        </is>
      </c>
    </row>
    <row r="5">
      <c r="B5" t="inlineStr">
        <is>
          <t>physical inventory</t>
        </is>
      </c>
      <c r="C5" t="inlineStr">
        <is>
          <t>daily</t>
        </is>
      </c>
      <c r="D5" t="inlineStr">
        <is>
          <t>title, location and quality reconciliation</t>
        </is>
      </c>
      <c r="E5" t="inlineStr"/>
      <c r="F5" t="inlineStr"/>
      <c r="G5" t="inlineStr"/>
      <c r="H5" t="inlineStr"/>
      <c r="I5" t="inlineStr"/>
      <c r="J5" t="inlineStr">
        <is>
          <t>TO MAP</t>
        </is>
      </c>
    </row>
    <row r="6">
      <c r="B6" t="inlineStr">
        <is>
          <t>futures / swaps</t>
        </is>
      </c>
      <c r="C6" t="inlineStr">
        <is>
          <t>intraday/daily</t>
        </is>
      </c>
      <c r="D6" t="inlineStr">
        <is>
          <t>trade and clearing reconciliation</t>
        </is>
      </c>
      <c r="E6" t="inlineStr"/>
      <c r="F6" t="inlineStr"/>
      <c r="G6" t="inlineStr"/>
      <c r="H6" t="inlineStr"/>
      <c r="I6" t="inlineStr"/>
      <c r="J6" t="inlineStr">
        <is>
          <t>TO MAP</t>
        </is>
      </c>
    </row>
    <row r="7">
      <c r="B7" t="inlineStr">
        <is>
          <t>model governance evidence</t>
        </is>
      </c>
      <c r="C7" t="inlineStr">
        <is>
          <t>per release</t>
        </is>
      </c>
      <c r="D7" t="inlineStr">
        <is>
          <t>version, reviewer, sign-off and change log</t>
        </is>
      </c>
      <c r="E7" t="inlineStr"/>
      <c r="F7" t="inlineStr"/>
      <c r="G7" t="inlineStr"/>
      <c r="H7" t="inlineStr"/>
      <c r="I7" t="inlineStr"/>
      <c r="J7" t="inlineStr">
        <is>
          <t>TO MAP</t>
        </is>
      </c>
    </row>
    <row r="8">
      <c r="B8" t="inlineStr">
        <is>
          <t>decision-use snapshot</t>
        </is>
      </c>
      <c r="C8" t="inlineStr">
        <is>
          <t>per decision</t>
        </is>
      </c>
      <c r="D8" t="inlineStr">
        <is>
          <t>immutable as-of date and source receipt</t>
        </is>
      </c>
      <c r="E8" t="inlineStr"/>
      <c r="F8" t="inlineStr"/>
      <c r="G8" t="inlineStr"/>
      <c r="H8" t="inlineStr"/>
      <c r="I8" t="inlineStr"/>
      <c r="J8" t="inlineStr">
        <is>
          <t>TO MAP</t>
        </is>
      </c>
    </row>
  </sheetData>
  <mergeCells count="1">
    <mergeCell ref="B2:J2"/>
  </mergeCells>
  <dataValidations count="1">
    <dataValidation sqref="J5:J40" showDropDown="0" showInputMessage="0" showErrorMessage="0" allowBlank="0" type="list">
      <formula1>"TO MAP,ACTIVE,STALE,EXCEPTION,RETIRED"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G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20" customWidth="1" min="7" max="7"/>
  </cols>
  <sheetData>
    <row r="2">
      <c r="B2" s="1" t="inlineStr">
        <is>
          <t>Futures Curve — Contango / Backwardation</t>
        </is>
      </c>
    </row>
    <row r="4">
      <c r="A4" s="4" t="inlineStr"/>
      <c r="B4" s="4" t="inlineStr">
        <is>
          <t>Contract month</t>
        </is>
      </c>
      <c r="C4" s="4" t="inlineStr">
        <is>
          <t>Price</t>
        </is>
      </c>
      <c r="D4" s="4" t="inlineStr">
        <is>
          <t>Days to expiry</t>
        </is>
      </c>
      <c r="E4" s="4" t="inlineStr">
        <is>
          <t>Annualized basis %</t>
        </is>
      </c>
      <c r="F4" s="4" t="inlineStr">
        <is>
          <t>vs. front month</t>
        </is>
      </c>
      <c r="G4" t="inlineStr">
        <is>
          <t>Curve shape</t>
        </is>
      </c>
    </row>
    <row r="5">
      <c r="B5" s="5" t="inlineStr">
        <is>
          <t>M1 (front)</t>
        </is>
      </c>
      <c r="C5" s="6" t="n">
        <v>0</v>
      </c>
      <c r="D5" s="7" t="n">
        <v>0</v>
      </c>
      <c r="E5" s="8">
        <f>IFERROR((C5/$C$5-1)*(365/(D5-$D$5)),"-")</f>
        <v/>
      </c>
      <c r="F5" s="8">
        <f>IFERROR(C5/$C$5-1,"-")</f>
        <v/>
      </c>
      <c r="G5" s="9">
        <f>IF(C5&gt;$C$5,"Contango",IF(C5&lt;$C$5,"Backwardation","Flat"))</f>
        <v/>
      </c>
    </row>
    <row r="6">
      <c r="B6" s="5" t="inlineStr">
        <is>
          <t>M2</t>
        </is>
      </c>
      <c r="C6" s="6" t="n">
        <v>0</v>
      </c>
      <c r="D6" s="7" t="n">
        <v>0</v>
      </c>
      <c r="E6" s="8">
        <f>IFERROR((C6/$C$5-1)*(365/(D6-$D$5)),"-")</f>
        <v/>
      </c>
      <c r="F6" s="8">
        <f>IFERROR(C6/$C$5-1,"-")</f>
        <v/>
      </c>
      <c r="G6" s="9">
        <f>IF(C6&gt;$C$5,"Contango",IF(C6&lt;$C$5,"Backwardation","Flat"))</f>
        <v/>
      </c>
    </row>
    <row r="7">
      <c r="B7" s="5" t="inlineStr">
        <is>
          <t>M3</t>
        </is>
      </c>
      <c r="C7" s="6" t="n">
        <v>0</v>
      </c>
      <c r="D7" s="7" t="n">
        <v>0</v>
      </c>
      <c r="E7" s="8">
        <f>IFERROR((C7/$C$5-1)*(365/(D7-$D$5)),"-")</f>
        <v/>
      </c>
      <c r="F7" s="8">
        <f>IFERROR(C7/$C$5-1,"-")</f>
        <v/>
      </c>
      <c r="G7" s="9">
        <f>IF(C7&gt;$C$5,"Contango",IF(C7&lt;$C$5,"Backwardation","Flat"))</f>
        <v/>
      </c>
    </row>
    <row r="8">
      <c r="B8" s="5" t="inlineStr">
        <is>
          <t>M6</t>
        </is>
      </c>
      <c r="C8" s="6" t="n">
        <v>0</v>
      </c>
      <c r="D8" s="7" t="n">
        <v>0</v>
      </c>
      <c r="E8" s="8">
        <f>IFERROR((C8/$C$5-1)*(365/(D8-$D$5)),"-")</f>
        <v/>
      </c>
      <c r="F8" s="8">
        <f>IFERROR(C8/$C$5-1,"-")</f>
        <v/>
      </c>
      <c r="G8" s="9">
        <f>IF(C8&gt;$C$5,"Contango",IF(C8&lt;$C$5,"Backwardation","Flat"))</f>
        <v/>
      </c>
    </row>
    <row r="9">
      <c r="B9" s="5" t="inlineStr">
        <is>
          <t>M12</t>
        </is>
      </c>
      <c r="C9" s="6" t="n">
        <v>0</v>
      </c>
      <c r="D9" s="7" t="n">
        <v>0</v>
      </c>
      <c r="E9" s="8">
        <f>IFERROR((C9/$C$5-1)*(365/(D9-$D$5)),"-")</f>
        <v/>
      </c>
      <c r="F9" s="8">
        <f>IFERROR(C9/$C$5-1,"-")</f>
        <v/>
      </c>
      <c r="G9" s="9">
        <f>IF(C9&gt;$C$5,"Contango",IF(C9&lt;$C$5,"Backwardation","Flat"))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D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6" customWidth="1" min="3" max="3"/>
    <col width="16" customWidth="1" min="4" max="4"/>
    <col width="40" customWidth="1" min="5" max="5"/>
  </cols>
  <sheetData>
    <row r="2">
      <c r="B2" s="1" t="inlineStr">
        <is>
          <t>Roll Yield</t>
        </is>
      </c>
    </row>
    <row r="4">
      <c r="B4" t="inlineStr">
        <is>
          <t>Expiring contract price</t>
        </is>
      </c>
      <c r="C4" s="10">
        <f>'Futures Curve'!C5</f>
        <v/>
      </c>
    </row>
    <row r="5">
      <c r="B5" t="inlineStr">
        <is>
          <t>Next contract price</t>
        </is>
      </c>
      <c r="C5" s="10">
        <f>'Futures Curve'!C6</f>
        <v/>
      </c>
    </row>
    <row r="6">
      <c r="B6" t="inlineStr">
        <is>
          <t>Roll yield (%)</t>
        </is>
      </c>
      <c r="C6" s="11">
        <f>IFERROR(C4/C5-1,"-")</f>
        <v/>
      </c>
      <c r="D6" s="12" t="inlineStr">
        <is>
          <t>Positive = backwardation roll gain (long-only benefits). Negative = contango roll cost.</t>
        </is>
      </c>
    </row>
    <row r="8">
      <c r="B8" t="inlineStr">
        <is>
          <t>Annual roll cost/gain estimate (12 rolls, illustrative)</t>
        </is>
      </c>
      <c r="C8" s="13">
        <f>IFERROR(C6*12,"-")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C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6" customWidth="1" min="3" max="3"/>
    <col width="16" customWidth="1" min="4" max="4"/>
    <col width="40" customWidth="1" min="5" max="5"/>
  </cols>
  <sheetData>
    <row r="2">
      <c r="B2" s="1" t="inlineStr">
        <is>
          <t>Producer / Consumer Hedge Model</t>
        </is>
      </c>
    </row>
    <row r="4">
      <c r="B4" s="14" t="inlineStr">
        <is>
          <t>Inputs</t>
        </is>
      </c>
    </row>
    <row r="5">
      <c r="B5" s="5" t="inlineStr">
        <is>
          <t>Physical exposure (units)</t>
        </is>
      </c>
      <c r="C5" s="15" t="n">
        <v>0</v>
      </c>
    </row>
    <row r="6">
      <c r="B6" s="5" t="inlineStr">
        <is>
          <t>Futures contract size (units)</t>
        </is>
      </c>
      <c r="C6" s="15" t="n">
        <v>1000</v>
      </c>
    </row>
    <row r="7">
      <c r="B7" s="5" t="inlineStr">
        <is>
          <t>Spot price</t>
        </is>
      </c>
      <c r="C7" s="16" t="n">
        <v>0</v>
      </c>
    </row>
    <row r="8">
      <c r="B8" s="5" t="inlineStr">
        <is>
          <t>Futures price (hedge contract)</t>
        </is>
      </c>
      <c r="C8" s="16" t="n">
        <v>0</v>
      </c>
    </row>
    <row r="9">
      <c r="B9" s="5" t="inlineStr">
        <is>
          <t>Hedge ratio (beta-adjusted)</t>
        </is>
      </c>
      <c r="C9" s="17" t="n">
        <v>1</v>
      </c>
    </row>
    <row r="11">
      <c r="B11" s="14" t="inlineStr">
        <is>
          <t>Outputs</t>
        </is>
      </c>
    </row>
    <row r="12">
      <c r="B12" t="inlineStr">
        <is>
          <t>Contracts needed</t>
        </is>
      </c>
      <c r="C12" s="18">
        <f>IFERROR(ROUND(C5*C9/C6,0),"-")</f>
        <v/>
      </c>
    </row>
    <row r="13">
      <c r="B13" t="inlineStr">
        <is>
          <t>Notional hedged</t>
        </is>
      </c>
      <c r="C13" s="19">
        <f>C12*C6*C8</f>
        <v/>
      </c>
    </row>
    <row r="14">
      <c r="B14" t="inlineStr">
        <is>
          <t>Unhedged basis exposure</t>
        </is>
      </c>
      <c r="C14" s="19">
        <f>C5*C7-C13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32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18" customWidth="1" min="4" max="4"/>
    <col width="18" customWidth="1" min="5" max="5"/>
    <col width="34" customWidth="1" min="6" max="6"/>
  </cols>
  <sheetData>
    <row r="2">
      <c r="B2" s="1" t="inlineStr">
        <is>
          <t>Physical Balance, Cost of Carry, and Basis</t>
        </is>
      </c>
    </row>
    <row r="4">
      <c r="B4" s="4" t="inlineStr">
        <is>
          <t>Metric</t>
        </is>
      </c>
      <c r="C4" s="4" t="inlineStr">
        <is>
          <t>Base</t>
        </is>
      </c>
      <c r="D4" s="4" t="inlineStr">
        <is>
          <t>Downside</t>
        </is>
      </c>
      <c r="E4" s="4" t="inlineStr">
        <is>
          <t>Active</t>
        </is>
      </c>
      <c r="F4" s="4" t="inlineStr">
        <is>
          <t>Units / source</t>
        </is>
      </c>
    </row>
    <row r="5">
      <c r="B5" s="5" t="inlineStr">
        <is>
          <t>Spot price</t>
        </is>
      </c>
      <c r="C5" s="21">
        <f>'Hedging'!C7</f>
        <v/>
      </c>
      <c r="D5" s="21">
        <f>'Hedging'!C7*0.70</f>
        <v/>
      </c>
      <c r="E5" s="22">
        <f>IF(Cover!$C$9="Downside",D5,C5)</f>
        <v/>
      </c>
      <c r="F5" t="inlineStr">
        <is>
          <t>linked to hedge spot</t>
        </is>
      </c>
    </row>
    <row r="6">
      <c r="B6" s="5" t="inlineStr">
        <is>
          <t>Observed futures price</t>
        </is>
      </c>
      <c r="C6" s="21">
        <f>'Hedging'!C8</f>
        <v/>
      </c>
      <c r="D6" s="21">
        <f>'Hedging'!C8*1.10</f>
        <v/>
      </c>
      <c r="E6" s="22">
        <f>IF(Cover!$C$9="Downside",D6,C6)</f>
        <v/>
      </c>
      <c r="F6" t="inlineStr">
        <is>
          <t>linked to hedge contract</t>
        </is>
      </c>
    </row>
    <row r="7">
      <c r="B7" s="5" t="inlineStr">
        <is>
          <t>Risk-free rate</t>
        </is>
      </c>
      <c r="C7" s="23" t="n">
        <v>0.04</v>
      </c>
      <c r="D7" s="23" t="n">
        <v>0.07000000000000001</v>
      </c>
      <c r="E7" s="24">
        <f>IF(Cover!$C$9="Downside",D7,C7)</f>
        <v/>
      </c>
      <c r="F7" t="inlineStr">
        <is>
          <t>annual continuously compounded</t>
        </is>
      </c>
    </row>
    <row r="8">
      <c r="B8" s="5" t="inlineStr">
        <is>
          <t>Storage and financing rate</t>
        </is>
      </c>
      <c r="C8" s="23" t="n">
        <v>0.02</v>
      </c>
      <c r="D8" s="23" t="n">
        <v>0.2</v>
      </c>
      <c r="E8" s="24">
        <f>IF(Cover!$C$9="Downside",D8,C8)</f>
        <v/>
      </c>
      <c r="F8" t="inlineStr">
        <is>
          <t>annual cost of carry</t>
        </is>
      </c>
    </row>
    <row r="9">
      <c r="B9" s="5" t="inlineStr">
        <is>
          <t>Convenience yield</t>
        </is>
      </c>
      <c r="C9" s="23" t="n">
        <v>0.03</v>
      </c>
      <c r="D9" s="23" t="n">
        <v>0</v>
      </c>
      <c r="E9" s="24">
        <f>IF(Cover!$C$9="Downside",D9,C9)</f>
        <v/>
      </c>
      <c r="F9" t="inlineStr">
        <is>
          <t>annual non-cash benefit</t>
        </is>
      </c>
    </row>
    <row r="10">
      <c r="B10" s="5" t="inlineStr">
        <is>
          <t>Time to delivery</t>
        </is>
      </c>
      <c r="C10" s="17" t="n">
        <v>0.5</v>
      </c>
      <c r="D10" s="17" t="n">
        <v>0.25</v>
      </c>
      <c r="E10" s="25">
        <f>IF(Cover!$C$9="Downside",D10,C10)</f>
        <v/>
      </c>
      <c r="F10" t="inlineStr">
        <is>
          <t>years</t>
        </is>
      </c>
    </row>
    <row r="11">
      <c r="B11" s="5" t="inlineStr">
        <is>
          <t>Beginning inventory</t>
        </is>
      </c>
      <c r="C11" s="15" t="n">
        <v>100</v>
      </c>
      <c r="D11" s="15" t="n">
        <v>20</v>
      </c>
      <c r="E11" s="26">
        <f>IF(Cover!$C$9="Downside",D11,C11)</f>
        <v/>
      </c>
      <c r="F11" t="inlineStr">
        <is>
          <t>physical units</t>
        </is>
      </c>
    </row>
    <row r="12">
      <c r="B12" s="5" t="inlineStr">
        <is>
          <t>Production</t>
        </is>
      </c>
      <c r="C12" s="15" t="n">
        <v>50</v>
      </c>
      <c r="D12" s="15" t="n">
        <v>0</v>
      </c>
      <c r="E12" s="26">
        <f>IF(Cover!$C$9="Downside",D12,C12)</f>
        <v/>
      </c>
      <c r="F12" t="inlineStr">
        <is>
          <t>physical units</t>
        </is>
      </c>
    </row>
    <row r="13">
      <c r="B13" s="5" t="inlineStr">
        <is>
          <t>Purchases</t>
        </is>
      </c>
      <c r="C13" s="15" t="n">
        <v>20</v>
      </c>
      <c r="D13" s="15" t="n">
        <v>10</v>
      </c>
      <c r="E13" s="26">
        <f>IF(Cover!$C$9="Downside",D13,C13)</f>
        <v/>
      </c>
      <c r="F13" t="inlineStr">
        <is>
          <t>physical units</t>
        </is>
      </c>
    </row>
    <row r="14">
      <c r="B14" s="5" t="inlineStr">
        <is>
          <t>Sales</t>
        </is>
      </c>
      <c r="C14" s="15" t="n">
        <v>80</v>
      </c>
      <c r="D14" s="15" t="n">
        <v>25</v>
      </c>
      <c r="E14" s="26">
        <f>IF(Cover!$C$9="Downside",D14,C14)</f>
        <v/>
      </c>
      <c r="F14" t="inlineStr">
        <is>
          <t>physical units</t>
        </is>
      </c>
    </row>
    <row r="15">
      <c r="B15" s="5" t="inlineStr">
        <is>
          <t>Internal consumption / shrink</t>
        </is>
      </c>
      <c r="C15" s="15" t="n">
        <v>30</v>
      </c>
      <c r="D15" s="15" t="n">
        <v>5</v>
      </c>
      <c r="E15" s="26">
        <f>IF(Cover!$C$9="Downside",D15,C15)</f>
        <v/>
      </c>
      <c r="F15" t="inlineStr">
        <is>
          <t>physical units</t>
        </is>
      </c>
    </row>
    <row r="16">
      <c r="B16" s="5" t="inlineStr">
        <is>
          <t>Reported ending inventory</t>
        </is>
      </c>
      <c r="C16" s="15" t="n">
        <v>60</v>
      </c>
      <c r="D16" s="15" t="n">
        <v>0</v>
      </c>
      <c r="E16" s="26">
        <f>IF(Cover!$C$9="Downside",D16,C16)</f>
        <v/>
      </c>
      <c r="F16" t="inlineStr">
        <is>
          <t>physical units</t>
        </is>
      </c>
    </row>
    <row r="17">
      <c r="B17" s="5" t="inlineStr">
        <is>
          <t>Basis warning threshold</t>
        </is>
      </c>
      <c r="C17" s="16" t="n">
        <v>10</v>
      </c>
      <c r="D17" s="16" t="n">
        <v>5</v>
      </c>
      <c r="E17" s="22">
        <f>IF(Cover!$C$9="Downside",D17,C17)</f>
        <v/>
      </c>
      <c r="F17" t="inlineStr">
        <is>
          <t>absolute spot-futures difference</t>
        </is>
      </c>
    </row>
    <row r="18">
      <c r="B18" s="5" t="inlineStr">
        <is>
          <t>Maximum hedge ratio</t>
        </is>
      </c>
      <c r="C18" s="27" t="n">
        <v>1.25</v>
      </c>
      <c r="D18" s="27" t="n">
        <v>1.1</v>
      </c>
      <c r="E18" s="28">
        <f>IF(Cover!$C$9="Downside",D18,C18)</f>
        <v/>
      </c>
      <c r="F18" t="inlineStr">
        <is>
          <t>absolute futures units / physical units</t>
        </is>
      </c>
    </row>
    <row r="21">
      <c r="B21" s="14" t="inlineStr">
        <is>
          <t>Derived outputs</t>
        </is>
      </c>
    </row>
    <row r="22">
      <c r="B22" t="inlineStr">
        <is>
          <t>Net carry rate</t>
        </is>
      </c>
      <c r="E22" s="24">
        <f>E7+E8-E9</f>
        <v/>
      </c>
    </row>
    <row r="23">
      <c r="B23" t="inlineStr">
        <is>
          <t>Cost-of-carry fair forward</t>
        </is>
      </c>
      <c r="E23" s="22">
        <f>E5*EXP(E22*E10)</f>
        <v/>
      </c>
    </row>
    <row r="24">
      <c r="B24" t="inlineStr">
        <is>
          <t>Observed less fair forward</t>
        </is>
      </c>
      <c r="E24" s="22">
        <f>E6-E23</f>
        <v/>
      </c>
    </row>
    <row r="25">
      <c r="B25" t="inlineStr">
        <is>
          <t>Spot-futures basis</t>
        </is>
      </c>
      <c r="E25" s="22">
        <f>E5-E6</f>
        <v/>
      </c>
    </row>
    <row r="26">
      <c r="B26" t="inlineStr">
        <is>
          <t>Front-to-next roll yield</t>
        </is>
      </c>
      <c r="E26" s="24">
        <f>'Roll Yield'!C6</f>
        <v/>
      </c>
    </row>
    <row r="27">
      <c r="B27" t="inlineStr">
        <is>
          <t>Calculated ending inventory</t>
        </is>
      </c>
      <c r="E27" s="26">
        <f>E11+E12+E13-E14-E15</f>
        <v/>
      </c>
    </row>
    <row r="28">
      <c r="B28" t="inlineStr">
        <is>
          <t>Physical balance residual</t>
        </is>
      </c>
      <c r="E28" s="26">
        <f>E27-E16</f>
        <v/>
      </c>
    </row>
    <row r="29">
      <c r="B29" t="inlineStr">
        <is>
          <t>Absolute hedge ratio</t>
        </is>
      </c>
      <c r="E29" s="28">
        <f>IFERROR(ABS('Hedging'!C12*'Hedging'!C6/'Hedging'!C5),0)</f>
        <v/>
      </c>
    </row>
    <row r="30">
      <c r="B30" t="inlineStr">
        <is>
          <t>Unhedged basis exposure</t>
        </is>
      </c>
      <c r="E30" s="19">
        <f>'Hedging'!C14</f>
        <v/>
      </c>
    </row>
    <row r="32">
      <c r="B32" s="12" t="inlineStr">
        <is>
          <t>The cost-of-carry result is a reference relationship, not a claim that convenience yield or storage is directly observable.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E19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36" customWidth="1" min="2" max="2"/>
    <col width="18" customWidth="1" min="3" max="3"/>
    <col width="18" customWidth="1" min="4" max="4"/>
    <col width="46" customWidth="1" min="5" max="5"/>
  </cols>
  <sheetData>
    <row r="2">
      <c r="B2" s="1" t="inlineStr">
        <is>
          <t>Commodities Decision Dashboard and Independent Checks</t>
        </is>
      </c>
    </row>
    <row r="4">
      <c r="B4" s="4" t="inlineStr">
        <is>
          <t>Check / decision</t>
        </is>
      </c>
      <c r="C4" s="4" t="inlineStr">
        <is>
          <t>Metric</t>
        </is>
      </c>
      <c r="D4" s="4" t="inlineStr">
        <is>
          <t>Status</t>
        </is>
      </c>
      <c r="E4" s="4" t="inlineStr">
        <is>
          <t>Interpretation / action</t>
        </is>
      </c>
    </row>
    <row r="5">
      <c r="B5" t="inlineStr">
        <is>
          <t>Cost-of-carry residual</t>
        </is>
      </c>
      <c r="C5" s="9">
        <f>'Physical Balance &amp; Carry'!E24</f>
        <v/>
      </c>
      <c r="D5" s="9">
        <f>IF(ABS(C5)&lt;=MAX(0.01,ABS('Physical Balance &amp; Carry'!E23)*0.05),"PASS","REVIEW")</f>
        <v/>
      </c>
      <c r="E5" t="inlineStr">
        <is>
          <t>Review storage, funding, convenience yield, delivery option, and contract alignment.</t>
        </is>
      </c>
    </row>
    <row r="6">
      <c r="B6" t="inlineStr">
        <is>
          <t>Physical balance residual</t>
        </is>
      </c>
      <c r="C6" s="9">
        <f>'Physical Balance &amp; Carry'!E28</f>
        <v/>
      </c>
      <c r="D6" s="9">
        <f>IF(ABS(C6)&lt;0.000001,"PASS","FAIL")</f>
        <v/>
      </c>
      <c r="E6" t="inlineStr">
        <is>
          <t>Inventory must conserve across beginning stock, flows, shrink, and reported ending stock.</t>
        </is>
      </c>
    </row>
    <row r="7">
      <c r="B7" t="inlineStr">
        <is>
          <t>Absolute basis</t>
        </is>
      </c>
      <c r="C7" s="9">
        <f>ABS('Physical Balance &amp; Carry'!E25)</f>
        <v/>
      </c>
      <c r="D7" s="9">
        <f>IF(C7&lt;='Physical Balance &amp; Carry'!E17,"PASS","BREACH")</f>
        <v/>
      </c>
      <c r="E7" t="inlineStr">
        <is>
          <t>Escalate material location, grade, quality, or timing basis risk.</t>
        </is>
      </c>
    </row>
    <row r="8">
      <c r="B8" t="inlineStr">
        <is>
          <t>Hedge ratio</t>
        </is>
      </c>
      <c r="C8" s="9">
        <f>'Physical Balance &amp; Carry'!E29</f>
        <v/>
      </c>
      <c r="D8" s="9">
        <f>IF(C8&lt;='Physical Balance &amp; Carry'!E18,"PASS","BREACH")</f>
        <v/>
      </c>
      <c r="E8" t="inlineStr">
        <is>
          <t>Review over-hedging, contract multiplier, and beta-adjustment assumptions.</t>
        </is>
      </c>
    </row>
    <row r="9">
      <c r="B9" t="inlineStr">
        <is>
          <t>Roll yield</t>
        </is>
      </c>
      <c r="C9" s="9">
        <f>'Physical Balance &amp; Carry'!E26</f>
        <v/>
      </c>
      <c r="D9" s="9">
        <f>IF(ISNUMBER(C9),IF(C9&lt;0,"REVIEW","PASS"),"REVIEW")</f>
        <v/>
      </c>
      <c r="E9" t="inlineStr">
        <is>
          <t>Negative roll yield is expected in contango but must be included in return and hedge economics.</t>
        </is>
      </c>
    </row>
    <row r="10">
      <c r="B10" t="inlineStr">
        <is>
          <t>Ending inventory</t>
        </is>
      </c>
      <c r="C10" s="9">
        <f>'Physical Balance &amp; Carry'!E27</f>
        <v/>
      </c>
      <c r="D10" s="9">
        <f>IF(C10&gt;=0,"PASS","BREACH")</f>
        <v/>
      </c>
      <c r="E10" t="inlineStr">
        <is>
          <t>Negative physical inventory indicates an impossible operating plan or missing purchase.</t>
        </is>
      </c>
    </row>
    <row r="12">
      <c r="B12" s="2" t="inlineStr">
        <is>
          <t>Overall model status</t>
        </is>
      </c>
      <c r="C12" s="29">
        <f>IF(COUNTIF(D5:D10,"FAIL")+COUNTIF(D5:D10,"BREACH")&gt;0,"BREACH",IF(COUNTIF(D5:D10,"REVIEW")&gt;0,"REVIEW","PASS"))</f>
        <v/>
      </c>
    </row>
    <row r="14">
      <c r="B14" s="14" t="inlineStr">
        <is>
          <t>Primary decision outputs</t>
        </is>
      </c>
    </row>
    <row r="15">
      <c r="B15" t="inlineStr">
        <is>
          <t>Fair forward</t>
        </is>
      </c>
      <c r="C15" s="22">
        <f>'Physical Balance &amp; Carry'!E23</f>
        <v/>
      </c>
    </row>
    <row r="16">
      <c r="B16" t="inlineStr">
        <is>
          <t>Observed futures</t>
        </is>
      </c>
      <c r="C16" s="22">
        <f>'Physical Balance &amp; Carry'!E6</f>
        <v/>
      </c>
    </row>
    <row r="17">
      <c r="B17" t="inlineStr">
        <is>
          <t>Basis</t>
        </is>
      </c>
      <c r="C17" s="22">
        <f>'Physical Balance &amp; Carry'!E25</f>
        <v/>
      </c>
    </row>
    <row r="18">
      <c r="B18" t="inlineStr">
        <is>
          <t>Contracts needed</t>
        </is>
      </c>
      <c r="C18" s="26">
        <f>'Hedging'!C12</f>
        <v/>
      </c>
    </row>
    <row r="19">
      <c r="B19" t="inlineStr">
        <is>
          <t>Unhedged exposure</t>
        </is>
      </c>
      <c r="C19" s="19">
        <f>'Hedging'!C14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G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2">
      <c r="B2" s="1" t="inlineStr">
        <is>
          <t>Sensitivity — P&amp;L by Spot Move</t>
        </is>
      </c>
    </row>
    <row r="4">
      <c r="B4" s="14" t="inlineStr">
        <is>
          <t>Spot move %</t>
        </is>
      </c>
      <c r="C4" s="20" t="n">
        <v>-0.2</v>
      </c>
      <c r="D4" s="20" t="n">
        <v>-0.1</v>
      </c>
      <c r="E4" s="20" t="n">
        <v>0</v>
      </c>
      <c r="F4" s="20" t="n">
        <v>0.1</v>
      </c>
      <c r="G4" s="20" t="n">
        <v>0.2</v>
      </c>
    </row>
    <row r="5">
      <c r="B5" t="inlineStr">
        <is>
          <t>Unhedged P&amp;L</t>
        </is>
      </c>
      <c r="C5" s="19">
        <f>'Hedging'!$C$5*'Hedging'!$C$7*C4</f>
        <v/>
      </c>
      <c r="D5" s="19">
        <f>'Hedging'!$C$5*'Hedging'!$C$7*D4</f>
        <v/>
      </c>
      <c r="E5" s="19">
        <f>'Hedging'!$C$5*'Hedging'!$C$7*E4</f>
        <v/>
      </c>
      <c r="F5" s="19">
        <f>'Hedging'!$C$5*'Hedging'!$C$7*F4</f>
        <v/>
      </c>
      <c r="G5" s="19">
        <f>'Hedging'!$C$5*'Hedging'!$C$7*G4</f>
        <v/>
      </c>
    </row>
    <row r="6">
      <c r="B6" t="inlineStr">
        <is>
          <t>Hedged P&amp;L</t>
        </is>
      </c>
      <c r="C6" s="19">
        <f>(C4*'Hedging'!$C$5*'Hedging'!$C$7)-(C4*'Hedging'!$C$13)</f>
        <v/>
      </c>
      <c r="D6" s="19">
        <f>(D4*'Hedging'!$C$5*'Hedging'!$C$7)-(D4*'Hedging'!$C$13)</f>
        <v/>
      </c>
      <c r="E6" s="19">
        <f>(E4*'Hedging'!$C$5*'Hedging'!$C$7)-(E4*'Hedging'!$C$13)</f>
        <v/>
      </c>
      <c r="F6" s="19">
        <f>(F4*'Hedging'!$C$5*'Hedging'!$C$7)-(F4*'Hedging'!$C$13)</f>
        <v/>
      </c>
      <c r="G6" s="19">
        <f>(G4*'Hedging'!$C$5*'Hedging'!$C$7)-(G4*'Hedging'!$C$13)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F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6" customWidth="1" min="3" max="3"/>
    <col width="30" customWidth="1" min="4" max="4"/>
    <col width="30" customWidth="1" min="5" max="5"/>
    <col width="16" customWidth="1" min="6" max="6"/>
  </cols>
  <sheetData>
    <row r="2">
      <c r="B2" s="1" t="inlineStr">
        <is>
          <t>Refresh Log</t>
        </is>
      </c>
    </row>
    <row r="4">
      <c r="B4" s="4" t="inlineStr">
        <is>
          <t>Date</t>
        </is>
      </c>
      <c r="C4" s="4" t="inlineStr">
        <is>
          <t>Trigger</t>
        </is>
      </c>
      <c r="D4" s="4" t="inlineStr">
        <is>
          <t>What changed</t>
        </is>
      </c>
      <c r="E4" s="4" t="inlineStr">
        <is>
          <t>Reviewer notes</t>
        </is>
      </c>
      <c r="F4" s="4" t="inlineStr">
        <is>
          <t>Next check</t>
        </is>
      </c>
    </row>
    <row r="5">
      <c r="B5" s="9" t="n"/>
      <c r="C5" s="9" t="n"/>
      <c r="D5" s="9" t="n"/>
      <c r="E5" s="9" t="n"/>
      <c r="F5" s="9" t="n"/>
    </row>
    <row r="6">
      <c r="B6" s="9" t="n"/>
      <c r="C6" s="9" t="n"/>
      <c r="D6" s="9" t="n"/>
      <c r="E6" s="9" t="n"/>
      <c r="F6" s="9" t="n"/>
    </row>
    <row r="7">
      <c r="B7" s="9" t="n"/>
      <c r="C7" s="9" t="n"/>
      <c r="D7" s="9" t="n"/>
      <c r="E7" s="9" t="n"/>
      <c r="F7" s="9" t="n"/>
    </row>
    <row r="8">
      <c r="B8" s="9" t="n"/>
      <c r="C8" s="9" t="n"/>
      <c r="D8" s="9" t="n"/>
      <c r="E8" s="9" t="n"/>
      <c r="F8" s="9" t="n"/>
    </row>
    <row r="9">
      <c r="B9" s="9" t="n"/>
      <c r="C9" s="9" t="n"/>
      <c r="D9" s="9" t="n"/>
      <c r="E9" s="9" t="n"/>
      <c r="F9" s="9" t="n"/>
    </row>
    <row r="10">
      <c r="B10" s="9" t="n"/>
      <c r="C10" s="9" t="n"/>
      <c r="D10" s="9" t="n"/>
      <c r="E10" s="9" t="n"/>
      <c r="F10" s="9" t="n"/>
    </row>
    <row r="11">
      <c r="B11" s="9" t="n"/>
      <c r="C11" s="9" t="n"/>
      <c r="D11" s="9" t="n"/>
      <c r="E11" s="9" t="n"/>
      <c r="F11" s="9" t="n"/>
    </row>
    <row r="12">
      <c r="B12" s="9" t="n"/>
      <c r="C12" s="9" t="n"/>
      <c r="D12" s="9" t="n"/>
      <c r="E12" s="9" t="n"/>
      <c r="F12" s="9" t="n"/>
    </row>
    <row r="13">
      <c r="B13" s="9" t="n"/>
      <c r="C13" s="9" t="n"/>
      <c r="D13" s="9" t="n"/>
      <c r="E13" s="9" t="n"/>
      <c r="F13" s="9" t="n"/>
    </row>
    <row r="14">
      <c r="B14" s="9" t="n"/>
      <c r="C14" s="9" t="n"/>
      <c r="D14" s="9" t="n"/>
      <c r="E14" s="9" t="n"/>
      <c r="F14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2026-09-07T21:00:27Z</dcterms:created>
  <dcterms:modified xmlns:dcterms="http://purl.org/dc/terms/" xmlns:xsi="http://www.w3.org/2001/XMLSchema-instance" xsi:type="dcterms:W3CDTF">2026-09-07T21:00:27Z</dcterms:modified>
</cp:coreProperties>
</file>