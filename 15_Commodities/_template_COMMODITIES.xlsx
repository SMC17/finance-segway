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Futures Curve" sheetId="2" state="visible" r:id="rId4"/>
    <sheet name="Roll Yield" sheetId="3" state="visible" r:id="rId5"/>
    <sheet name="Hedging" sheetId="4" state="visible" r:id="rId6"/>
    <sheet name="Sensitivity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<sst xmlns="http://schemas.openxmlformats.org/spreadsheetml/2006/main" count="50" uniqueCount="49">
  <si>
    <t xml:space="preserve">[COMMODITY] — Commodities Model</t>
  </si>
  <si>
    <t xml:space="preserve">Commodity:</t>
  </si>
  <si>
    <t xml:space="preserve">[e.g. WTI Crude, Corn, Copper]</t>
  </si>
  <si>
    <t xml:space="preserve">Exchange:</t>
  </si>
  <si>
    <t xml:space="preserve">[NYMEX / CME / ICE]</t>
  </si>
  <si>
    <t xml:space="preserve">Last refreshed:</t>
  </si>
  <si>
    <t xml:space="preserve">[date]</t>
  </si>
  <si>
    <t xml:space="preserve">Next roll date:</t>
  </si>
  <si>
    <t xml:space="preserve">Refresh cadence:</t>
  </si>
  <si>
    <t xml:space="preserve">Weekly (daily near roll/expiry)</t>
  </si>
  <si>
    <t xml:space="preserve">Futures Curve — Contango / Backwardation</t>
  </si>
  <si>
    <t xml:space="preserve">Contract month</t>
  </si>
  <si>
    <t xml:space="preserve">Price</t>
  </si>
  <si>
    <t xml:space="preserve">Days to expiry</t>
  </si>
  <si>
    <t xml:space="preserve">Annualized basis %</t>
  </si>
  <si>
    <t xml:space="preserve">vs. front month</t>
  </si>
  <si>
    <t xml:space="preserve">Curve shape</t>
  </si>
  <si>
    <t xml:space="preserve">M1 (front)</t>
  </si>
  <si>
    <t xml:space="preserve">M2</t>
  </si>
  <si>
    <t xml:space="preserve">M3</t>
  </si>
  <si>
    <t xml:space="preserve">M6</t>
  </si>
  <si>
    <t xml:space="preserve">M12</t>
  </si>
  <si>
    <t xml:space="preserve">Roll Yield</t>
  </si>
  <si>
    <t xml:space="preserve">Expiring contract price</t>
  </si>
  <si>
    <t xml:space="preserve">Next contract price</t>
  </si>
  <si>
    <t xml:space="preserve">Roll yield (%)</t>
  </si>
  <si>
    <t xml:space="preserve">Positive = backwardation roll gain (long-only benefits). Negative = contango roll cost.</t>
  </si>
  <si>
    <t xml:space="preserve">Annual roll cost/gain estimate (12 rolls, illustrative)</t>
  </si>
  <si>
    <t xml:space="preserve">Producer / Consumer Hedge Model</t>
  </si>
  <si>
    <t xml:space="preserve">Inputs</t>
  </si>
  <si>
    <t xml:space="preserve">Physical exposure (units)</t>
  </si>
  <si>
    <t xml:space="preserve">Futures contract size (units)</t>
  </si>
  <si>
    <t xml:space="preserve">Spot price</t>
  </si>
  <si>
    <t xml:space="preserve">Futures price (hedge contract)</t>
  </si>
  <si>
    <t xml:space="preserve">Hedge ratio (beta-adjusted)</t>
  </si>
  <si>
    <t xml:space="preserve">Outputs</t>
  </si>
  <si>
    <t xml:space="preserve">Contracts needed</t>
  </si>
  <si>
    <t xml:space="preserve">Notional hedged</t>
  </si>
  <si>
    <t xml:space="preserve">Unhedged basis exposure</t>
  </si>
  <si>
    <t xml:space="preserve">Sensitivity — P&amp;L by Spot Move</t>
  </si>
  <si>
    <t xml:space="preserve">Spot move %</t>
  </si>
  <si>
    <t xml:space="preserve">Unhedged P&amp;L</t>
  </si>
  <si>
    <t xml:space="preserve">Hedged P&amp;L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</si>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</sst>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;&quot;($&quot;#,##0.00\);\-"/>
    <numFmt numFmtId="166" formatCode="#,##0;\(#,##0\);\-"/>
    <numFmt numFmtId="167" formatCode="0.0%;\(0.0%\);\-"/>
    <numFmt numFmtId="168" formatCode="0.00"/>
    <numFmt numFmtId="169" formatCode="\$#,##0;&quot;($&quot;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6" min="3" style="0" width="14"/>
    <col collapsed="false" customWidth="true" hidden="false" outlineLevel="0" max="7" min="7" style="0" width="20"/>
  </cols>
  <sheetData>
    <row r="2" customFormat="false" ht="19.7" hidden="false" customHeight="false" outlineLevel="0" collapsed="false">
      <c r="B2" s="1" t="s">
        <v>10</v>
      </c>
    </row>
    <row r="4" customFormat="false" ht="15" hidden="false" customHeight="false" outlineLevel="0" collapsed="false">
      <c r="A4" s="4"/>
      <c r="B4" s="4" t="s">
        <v>11</v>
      </c>
      <c r="C4" s="4" t="s">
        <v>12</v>
      </c>
      <c r="D4" s="4" t="s">
        <v>13</v>
      </c>
      <c r="E4" s="4" t="s">
        <v>14</v>
      </c>
      <c r="F4" s="4" t="s">
        <v>15</v>
      </c>
      <c r="G4" s="5" t="s">
        <v>16</v>
      </c>
    </row>
    <row r="5" customFormat="false" ht="15" hidden="false" customHeight="false" outlineLevel="0" collapsed="false">
      <c r="B5" s="6" t="s">
        <v>17</v>
      </c>
      <c r="C5" s="7" t="n">
        <v>0</v>
      </c>
      <c r="D5" s="8" t="n">
        <v>0</v>
      </c>
      <c r="E5" s="9" t="str">
        <f aca="false">IFERROR((C5/$C$5-1)*(365/(D5-$D$5)),"-")</f>
        <v>-</v>
      </c>
      <c r="F5" s="9" t="str">
        <f aca="false">IFERROR(C5/$C$5-1,"-")</f>
        <v>-</v>
      </c>
      <c r="G5" s="10" t="str">
        <f aca="false">IF(C5&gt;$C$5,"Contango",IF(C5&lt;$C$5,"Backwardation","Flat"))</f>
        <v>Flat</v>
      </c>
    </row>
    <row r="6" customFormat="false" ht="15" hidden="false" customHeight="false" outlineLevel="0" collapsed="false">
      <c r="B6" s="6" t="s">
        <v>18</v>
      </c>
      <c r="C6" s="7" t="n">
        <v>0</v>
      </c>
      <c r="D6" s="8" t="n">
        <v>0</v>
      </c>
      <c r="E6" s="9" t="str">
        <f aca="false">IFERROR((C6/$C$5-1)*(365/(D6-$D$5)),"-")</f>
        <v>-</v>
      </c>
      <c r="F6" s="9" t="str">
        <f aca="false">IFERROR(C6/$C$5-1,"-")</f>
        <v>-</v>
      </c>
      <c r="G6" s="10" t="str">
        <f aca="false">IF(C6&gt;$C$5,"Contango",IF(C6&lt;$C$5,"Backwardation","Flat"))</f>
        <v>Flat</v>
      </c>
    </row>
    <row r="7" customFormat="false" ht="15" hidden="false" customHeight="false" outlineLevel="0" collapsed="false">
      <c r="B7" s="6" t="s">
        <v>19</v>
      </c>
      <c r="C7" s="7" t="n">
        <v>0</v>
      </c>
      <c r="D7" s="8" t="n">
        <v>0</v>
      </c>
      <c r="E7" s="9" t="str">
        <f aca="false">IFERROR((C7/$C$5-1)*(365/(D7-$D$5)),"-")</f>
        <v>-</v>
      </c>
      <c r="F7" s="9" t="str">
        <f aca="false">IFERROR(C7/$C$5-1,"-")</f>
        <v>-</v>
      </c>
      <c r="G7" s="10" t="str">
        <f aca="false">IF(C7&gt;$C$5,"Contango",IF(C7&lt;$C$5,"Backwardation","Flat"))</f>
        <v>Flat</v>
      </c>
    </row>
    <row r="8" customFormat="false" ht="15" hidden="false" customHeight="false" outlineLevel="0" collapsed="false">
      <c r="B8" s="6" t="s">
        <v>20</v>
      </c>
      <c r="C8" s="7" t="n">
        <v>0</v>
      </c>
      <c r="D8" s="8" t="n">
        <v>0</v>
      </c>
      <c r="E8" s="9" t="str">
        <f aca="false">IFERROR((C8/$C$5-1)*(365/(D8-$D$5)),"-")</f>
        <v>-</v>
      </c>
      <c r="F8" s="9" t="str">
        <f aca="false">IFERROR(C8/$C$5-1,"-")</f>
        <v>-</v>
      </c>
      <c r="G8" s="10" t="str">
        <f aca="false">IF(C8&gt;$C$5,"Contango",IF(C8&lt;$C$5,"Backwardation","Flat"))</f>
        <v>Flat</v>
      </c>
    </row>
    <row r="9" customFormat="false" ht="15" hidden="false" customHeight="false" outlineLevel="0" collapsed="false">
      <c r="B9" s="6" t="s">
        <v>21</v>
      </c>
      <c r="C9" s="7" t="n">
        <v>0</v>
      </c>
      <c r="D9" s="8" t="n">
        <v>0</v>
      </c>
      <c r="E9" s="9" t="str">
        <f aca="false">IFERROR((C9/$C$5-1)*(365/(D9-$D$5)),"-")</f>
        <v>-</v>
      </c>
      <c r="F9" s="9" t="str">
        <f aca="false">IFERROR(C9/$C$5-1,"-")</f>
        <v>-</v>
      </c>
      <c r="G9" s="10" t="str">
        <f aca="false">IF(C9&gt;$C$5,"Contango",IF(C9&lt;$C$5,"Backwardation","Flat"))</f>
        <v>Flat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4" min="3" style="0" width="16"/>
    <col collapsed="false" customWidth="true" hidden="false" outlineLevel="0" max="5" min="5" style="0" width="40"/>
  </cols>
  <sheetData>
    <row r="2" customFormat="false" ht="19.7" hidden="false" customHeight="false" outlineLevel="0" collapsed="false">
      <c r="B2" s="1" t="s">
        <v>22</v>
      </c>
    </row>
    <row r="4" customFormat="false" ht="15" hidden="false" customHeight="false" outlineLevel="0" collapsed="false">
      <c r="B4" s="0" t="s">
        <v>23</v>
      </c>
      <c r="C4" s="11" t="n">
        <f aca="false">'Futures Curve'!C5</f>
        <v>0</v>
      </c>
    </row>
    <row r="5" customFormat="false" ht="15" hidden="false" customHeight="false" outlineLevel="0" collapsed="false">
      <c r="B5" s="0" t="s">
        <v>24</v>
      </c>
      <c r="C5" s="11" t="n">
        <f aca="false">'Futures Curve'!C6</f>
        <v>0</v>
      </c>
    </row>
    <row r="6" customFormat="false" ht="15" hidden="false" customHeight="false" outlineLevel="0" collapsed="false">
      <c r="B6" s="0" t="s">
        <v>25</v>
      </c>
      <c r="C6" s="12" t="str">
        <f aca="false">IFERROR(C4/C5-1,"-")</f>
        <v>-</v>
      </c>
      <c r="D6" s="13" t="s">
        <v>26</v>
      </c>
    </row>
    <row r="8" customFormat="false" ht="15" hidden="false" customHeight="false" outlineLevel="0" collapsed="false">
      <c r="B8" s="0" t="s">
        <v>27</v>
      </c>
      <c r="C8" s="14" t="str">
        <f aca="false">IFERROR(C6*12,"-")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4" min="3" style="0" width="16"/>
    <col collapsed="false" customWidth="true" hidden="false" outlineLevel="0" max="5" min="5" style="0" width="40"/>
  </cols>
  <sheetData>
    <row r="2" customFormat="false" ht="19.7" hidden="false" customHeight="false" outlineLevel="0" collapsed="false">
      <c r="B2" s="1" t="s">
        <v>28</v>
      </c>
    </row>
    <row r="4" customFormat="false" ht="15" hidden="false" customHeight="false" outlineLevel="0" collapsed="false">
      <c r="B4" s="15" t="s">
        <v>29</v>
      </c>
    </row>
    <row r="5" customFormat="false" ht="15" hidden="false" customHeight="false" outlineLevel="0" collapsed="false">
      <c r="B5" s="6" t="s">
        <v>30</v>
      </c>
      <c r="C5" s="16" t="n">
        <v>0</v>
      </c>
    </row>
    <row r="6" customFormat="false" ht="15" hidden="false" customHeight="false" outlineLevel="0" collapsed="false">
      <c r="B6" s="6" t="s">
        <v>31</v>
      </c>
      <c r="C6" s="16" t="n">
        <v>1000</v>
      </c>
    </row>
    <row r="7" customFormat="false" ht="15" hidden="false" customHeight="false" outlineLevel="0" collapsed="false">
      <c r="B7" s="6" t="s">
        <v>32</v>
      </c>
      <c r="C7" s="17" t="n">
        <v>0</v>
      </c>
    </row>
    <row r="8" customFormat="false" ht="15" hidden="false" customHeight="false" outlineLevel="0" collapsed="false">
      <c r="B8" s="6" t="s">
        <v>33</v>
      </c>
      <c r="C8" s="17" t="n">
        <v>0</v>
      </c>
    </row>
    <row r="9" customFormat="false" ht="15" hidden="false" customHeight="false" outlineLevel="0" collapsed="false">
      <c r="B9" s="6" t="s">
        <v>34</v>
      </c>
      <c r="C9" s="18" t="n">
        <v>1</v>
      </c>
    </row>
    <row r="11" customFormat="false" ht="15" hidden="false" customHeight="false" outlineLevel="0" collapsed="false">
      <c r="B11" s="15" t="s">
        <v>35</v>
      </c>
    </row>
    <row r="12" customFormat="false" ht="15" hidden="false" customHeight="false" outlineLevel="0" collapsed="false">
      <c r="B12" s="0" t="s">
        <v>36</v>
      </c>
      <c r="C12" s="19" t="n">
        <f aca="false">IFERROR(ROUND(C5*C9/C6,0),"-")</f>
        <v>0</v>
      </c>
    </row>
    <row r="13" customFormat="false" ht="15" hidden="false" customHeight="false" outlineLevel="0" collapsed="false">
      <c r="B13" s="0" t="s">
        <v>37</v>
      </c>
      <c r="C13" s="20" t="n">
        <f aca="false">C12*C6*C8</f>
        <v>0</v>
      </c>
    </row>
    <row r="14" customFormat="false" ht="15" hidden="false" customHeight="false" outlineLevel="0" collapsed="false">
      <c r="B14" s="0" t="s">
        <v>38</v>
      </c>
      <c r="C14" s="20" t="n">
        <f aca="false">C5*C7-C13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7" min="3" style="0" width="12"/>
  </cols>
  <sheetData>
    <row r="2" customFormat="false" ht="19.7" hidden="false" customHeight="false" outlineLevel="0" collapsed="false">
      <c r="B2" s="1" t="s">
        <v>39</v>
      </c>
    </row>
    <row r="4" customFormat="false" ht="15" hidden="false" customHeight="false" outlineLevel="0" collapsed="false">
      <c r="B4" s="15" t="s">
        <v>40</v>
      </c>
      <c r="C4" s="21" t="n">
        <v>-0.2</v>
      </c>
      <c r="D4" s="21" t="n">
        <v>-0.1</v>
      </c>
      <c r="E4" s="21" t="n">
        <v>0</v>
      </c>
      <c r="F4" s="21" t="n">
        <v>0.1</v>
      </c>
      <c r="G4" s="21" t="n">
        <v>0.2</v>
      </c>
    </row>
    <row r="5" customFormat="false" ht="15" hidden="false" customHeight="false" outlineLevel="0" collapsed="false">
      <c r="B5" s="0" t="s">
        <v>41</v>
      </c>
      <c r="C5" s="20" t="n">
        <f aca="false">Hedging!$C$5*Hedging!$C$7*C4</f>
        <v>-0</v>
      </c>
      <c r="D5" s="20" t="n">
        <f aca="false">Hedging!$C$5*Hedging!$C$7*D4</f>
        <v>-0</v>
      </c>
      <c r="E5" s="20" t="n">
        <f aca="false">Hedging!$C$5*Hedging!$C$7*E4</f>
        <v>0</v>
      </c>
      <c r="F5" s="20" t="n">
        <f aca="false">Hedging!$C$5*Hedging!$C$7*F4</f>
        <v>0</v>
      </c>
      <c r="G5" s="20" t="n">
        <f aca="false">Hedging!$C$5*Hedging!$C$7*G4</f>
        <v>0</v>
      </c>
    </row>
    <row r="6" customFormat="false" ht="15" hidden="false" customHeight="false" outlineLevel="0" collapsed="false">
      <c r="B6" s="0" t="s">
        <v>42</v>
      </c>
      <c r="C6" s="20" t="n">
        <f aca="false">(C4*Hedging!$C$5*Hedging!$C$7)-(C4*Hedging!$C$13)</f>
        <v>0</v>
      </c>
      <c r="D6" s="20" t="n">
        <f aca="false">(D4*Hedging!$C$5*Hedging!$C$7)-(D4*Hedging!$C$13)</f>
        <v>0</v>
      </c>
      <c r="E6" s="20" t="n">
        <f aca="false">(E4*Hedging!$C$5*Hedging!$C$7)-(E4*Hedging!$C$13)</f>
        <v>0</v>
      </c>
      <c r="F6" s="20" t="n">
        <f aca="false">(F4*Hedging!$C$5*Hedging!$C$7)-(F4*Hedging!$C$13)</f>
        <v>0</v>
      </c>
      <c r="G6" s="20" t="n">
        <f aca="false">(G4*Hedging!$C$5*Hedging!$C$7)-(G4*Hedging!$C$13)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43</v>
      </c>
    </row>
    <row r="4" customFormat="false" ht="15" hidden="false" customHeight="false" outlineLevel="0" collapsed="false">
      <c r="B4" s="4" t="s">
        <v>44</v>
      </c>
      <c r="C4" s="4" t="s">
        <v>45</v>
      </c>
      <c r="D4" s="4" t="s">
        <v>46</v>
      </c>
      <c r="E4" s="4" t="s">
        <v>47</v>
      </c>
      <c r="F4" s="4" t="s">
        <v>48</v>
      </c>
    </row>
    <row r="5" customFormat="false" ht="15" hidden="false" customHeight="false" outlineLevel="0" collapsed="false">
      <c r="B5" s="10"/>
      <c r="C5" s="10"/>
      <c r="D5" s="10"/>
      <c r="E5" s="10"/>
      <c r="F5" s="10"/>
    </row>
    <row r="6" customFormat="false" ht="15" hidden="false" customHeight="false" outlineLevel="0" collapsed="false">
      <c r="B6" s="10"/>
      <c r="C6" s="10"/>
      <c r="D6" s="10"/>
      <c r="E6" s="10"/>
      <c r="F6" s="10"/>
    </row>
    <row r="7" customFormat="false" ht="15" hidden="false" customHeight="false" outlineLevel="0" collapsed="false">
      <c r="B7" s="10"/>
      <c r="C7" s="10"/>
      <c r="D7" s="10"/>
      <c r="E7" s="10"/>
      <c r="F7" s="10"/>
    </row>
    <row r="8" customFormat="false" ht="15" hidden="false" customHeight="false" outlineLevel="0" collapsed="false">
      <c r="B8" s="10"/>
      <c r="C8" s="10"/>
      <c r="D8" s="10"/>
      <c r="E8" s="10"/>
      <c r="F8" s="10"/>
    </row>
    <row r="9" customFormat="false" ht="15" hidden="false" customHeight="false" outlineLevel="0" collapsed="false">
      <c r="B9" s="10"/>
      <c r="C9" s="10"/>
      <c r="D9" s="10"/>
      <c r="E9" s="10"/>
      <c r="F9" s="10"/>
    </row>
    <row r="10" customFormat="false" ht="15" hidden="false" customHeight="false" outlineLevel="0" collapsed="false">
      <c r="B10" s="10"/>
      <c r="C10" s="10"/>
      <c r="D10" s="10"/>
      <c r="E10" s="10"/>
      <c r="F10" s="10"/>
    </row>
    <row r="11" customFormat="false" ht="15" hidden="false" customHeight="false" outlineLevel="0" collapsed="false">
      <c r="B11" s="10"/>
      <c r="C11" s="10"/>
      <c r="D11" s="10"/>
      <c r="E11" s="10"/>
      <c r="F11" s="10"/>
    </row>
    <row r="12" customFormat="false" ht="15" hidden="false" customHeight="false" outlineLevel="0" collapsed="false">
      <c r="B12" s="10"/>
      <c r="C12" s="10"/>
      <c r="D12" s="10"/>
      <c r="E12" s="10"/>
      <c r="F12" s="10"/>
    </row>
    <row r="13" customFormat="false" ht="15" hidden="false" customHeight="false" outlineLevel="0" collapsed="false">
      <c r="B13" s="10"/>
      <c r="C13" s="10"/>
      <c r="D13" s="10"/>
      <c r="E13" s="10"/>
      <c r="F13" s="10"/>
    </row>
    <row r="14" customFormat="false" ht="15" hidden="false" customHeight="false" outlineLevel="0" collapsed="false">
      <c r="B14" s="10"/>
      <c r="C14" s="10"/>
      <c r="D14" s="10"/>
      <c r="E14" s="10"/>
      <c r="F1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2026-08-03T23:10:27Z</dcterms:created>
  <dc:creator>openpyxl</dc:creator>
  <dc:description/>
  <dc:language>en-US</dc:language>
  <cp:lastModifiedBy/>
  <dcterms:modified xsi:type="dcterms:W3CDTF">2026-08-03T23:10:27Z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