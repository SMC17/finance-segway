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Futures Curve" sheetId="5" state="visible" r:id="rId5"/>
    <sheet name="Roll Yield" sheetId="6" state="visible" r:id="rId6"/>
    <sheet name="Hedging" sheetId="7" state="visible" r:id="rId7"/>
    <sheet name="Sensitivity" sheetId="8" state="visible" r:id="rId8"/>
    <sheet name="RefreshLog" sheetId="9" state="visible" r:id="rId9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0;&quot;($&quot;#,##0.00\);\-"/>
    <numFmt numFmtId="165" formatCode="#,##0;\(#,##0\);\-"/>
    <numFmt numFmtId="166" formatCode="0.0%;\(0.0%\);\-"/>
    <numFmt numFmtId="167" formatCode="\$#,##0;&quot;($&quot;#,##0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6" fontId="5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5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5" borderId="0" pivotButton="0" quotePrefix="0" xfId="0"/>
    <xf numFmtId="0" fontId="12" fillId="6" borderId="2" applyAlignment="1" pivotButton="0" quotePrefix="0" xfId="0">
      <alignment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6" fontId="5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30" customWidth="1" style="22" min="2" max="2"/>
    <col width="40" customWidth="1" style="22" min="3" max="3"/>
    <col width="4" customWidth="1" style="22" min="4" max="4"/>
  </cols>
  <sheetData>
    <row r="2" ht="19.7" customHeight="1" s="23">
      <c r="B2" s="24" t="inlineStr">
        <is>
          <t>[COMMODITY] — Commodities Model</t>
        </is>
      </c>
    </row>
    <row r="4" ht="15" customHeight="1" s="23">
      <c r="B4" s="25" t="inlineStr">
        <is>
          <t>Commodity:</t>
        </is>
      </c>
      <c r="C4" s="26" t="inlineStr">
        <is>
          <t>[e.g. WTI Crude, Corn, Copper]</t>
        </is>
      </c>
    </row>
    <row r="5" ht="15" customHeight="1" s="23">
      <c r="B5" s="25" t="inlineStr">
        <is>
          <t>Exchange:</t>
        </is>
      </c>
      <c r="C5" s="26" t="inlineStr">
        <is>
          <t>[NYMEX / CME / ICE]</t>
        </is>
      </c>
    </row>
    <row r="6" ht="15" customHeight="1" s="23">
      <c r="B6" s="25" t="inlineStr">
        <is>
          <t>Last refreshed:</t>
        </is>
      </c>
      <c r="C6" s="26" t="inlineStr">
        <is>
          <t>[date]</t>
        </is>
      </c>
    </row>
    <row r="7" ht="15" customHeight="1" s="23">
      <c r="B7" s="25" t="inlineStr">
        <is>
          <t>Next roll date:</t>
        </is>
      </c>
      <c r="C7" s="26" t="inlineStr">
        <is>
          <t>[date]</t>
        </is>
      </c>
    </row>
    <row r="8" ht="15" customHeight="1" s="23">
      <c r="B8" s="25" t="inlineStr">
        <is>
          <t>Refresh cadence:</t>
        </is>
      </c>
      <c r="C8" s="26" t="inlineStr">
        <is>
          <t>Weekly (daily near roll/expiry)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3" min="2" max="2"/>
    <col width="48" customWidth="1" style="23" min="3" max="3"/>
    <col width="24" customWidth="1" style="23" min="4" max="4"/>
    <col width="34" customWidth="1" style="23" min="5" max="5"/>
    <col width="20" customWidth="1" style="23" min="6" max="6"/>
  </cols>
  <sheetData>
    <row r="2">
      <c r="B2" s="27" t="inlineStr">
        <is>
          <t>Commodities — Institutional Decision Surface</t>
        </is>
      </c>
    </row>
    <row r="4">
      <c r="B4" s="28" t="inlineStr">
        <is>
          <t>Model ID</t>
        </is>
      </c>
      <c r="C4" s="29" t="inlineStr">
        <is>
          <t>15</t>
        </is>
      </c>
    </row>
    <row r="5">
      <c r="B5" s="28" t="inlineStr">
        <is>
          <t>Domain</t>
        </is>
      </c>
      <c r="C5" s="29" t="inlineStr">
        <is>
          <t>Commodities</t>
        </is>
      </c>
    </row>
    <row r="6">
      <c r="B6" s="28" t="inlineStr">
        <is>
          <t>Declared maturity</t>
        </is>
      </c>
      <c r="C6" s="29" t="inlineStr">
        <is>
          <t>M1</t>
        </is>
      </c>
    </row>
    <row r="7">
      <c r="B7" s="28" t="inlineStr">
        <is>
          <t>Canonical builder</t>
        </is>
      </c>
      <c r="C7" s="29" t="inlineStr">
        <is>
          <t>tools/builders/build_commodities_template.py</t>
        </is>
      </c>
    </row>
    <row r="8">
      <c r="B8" s="28" t="inlineStr">
        <is>
          <t>Decision arena</t>
        </is>
      </c>
      <c r="C8" s="29" t="inlineStr">
        <is>
          <t>physical trading, scheduling, storage, credit and market risk</t>
        </is>
      </c>
    </row>
    <row r="9">
      <c r="B9" s="28" t="inlineStr">
        <is>
          <t>Committee artifact</t>
        </is>
      </c>
      <c r="C9" s="29" t="inlineStr">
        <is>
          <t>physical-plus-paper position and optionality pack</t>
        </is>
      </c>
    </row>
    <row r="10">
      <c r="B10" s="28" t="inlineStr">
        <is>
          <t>Operating cadence</t>
        </is>
      </c>
      <c r="C10" s="29" t="inlineStr">
        <is>
          <t>intraday risk; daily scheduling; weekly S&amp;OP</t>
        </is>
      </c>
    </row>
    <row r="12">
      <c r="B12" s="30" t="inlineStr">
        <is>
          <t>Key decision outputs</t>
        </is>
      </c>
    </row>
    <row r="13">
      <c r="B13" s="31" t="inlineStr">
        <is>
          <t>#</t>
        </is>
      </c>
      <c r="C13" s="31" t="inlineStr">
        <is>
          <t>Requirement</t>
        </is>
      </c>
      <c r="D13" s="31" t="inlineStr">
        <is>
          <t>Owner</t>
        </is>
      </c>
      <c r="E13" s="31" t="inlineStr">
        <is>
          <t>Evidence / location</t>
        </is>
      </c>
      <c r="F13" s="31" t="inlineStr">
        <is>
          <t>Status</t>
        </is>
      </c>
    </row>
    <row r="14">
      <c r="B14" t="n">
        <v>1</v>
      </c>
      <c r="C14" t="inlineStr">
        <is>
          <t>flat price, basis and location exposure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inventory and storage economics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transport and quality differentials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0" t="inlineStr">
        <is>
          <t>Insider questions</t>
        </is>
      </c>
    </row>
    <row r="21">
      <c r="B21" s="31" t="inlineStr">
        <is>
          <t>#</t>
        </is>
      </c>
      <c r="C21" s="31" t="inlineStr">
        <is>
          <t>Requirement</t>
        </is>
      </c>
      <c r="D21" s="31" t="inlineStr">
        <is>
          <t>Owner</t>
        </is>
      </c>
      <c r="E21" s="31" t="inlineStr">
        <is>
          <t>Evidence / location</t>
        </is>
      </c>
      <c r="F21" s="31" t="inlineStr">
        <is>
          <t>Status</t>
        </is>
      </c>
    </row>
    <row r="22">
      <c r="B22" t="n">
        <v>1</v>
      </c>
      <c r="C22" t="inlineStr">
        <is>
          <t>Where is title and can the product move?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basis is unhedgeable?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value of storage optionality?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0" t="inlineStr">
        <is>
          <t>Scenario families</t>
        </is>
      </c>
    </row>
    <row r="29">
      <c r="B29" s="31" t="inlineStr">
        <is>
          <t>#</t>
        </is>
      </c>
      <c r="C29" s="31" t="inlineStr">
        <is>
          <t>Requirement</t>
        </is>
      </c>
      <c r="D29" s="31" t="inlineStr">
        <is>
          <t>Owner</t>
        </is>
      </c>
      <c r="E29" s="31" t="inlineStr">
        <is>
          <t>Evidence / location</t>
        </is>
      </c>
      <c r="F29" s="31" t="inlineStr">
        <is>
          <t>Status</t>
        </is>
      </c>
    </row>
    <row r="30">
      <c r="B30" t="n">
        <v>1</v>
      </c>
      <c r="C30" t="inlineStr">
        <is>
          <t>flat-price shock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basis blowout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curve shape / roll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0" t="inlineStr">
        <is>
          <t>Primary diligence documents</t>
        </is>
      </c>
    </row>
    <row r="37">
      <c r="B37" s="31" t="inlineStr">
        <is>
          <t>#</t>
        </is>
      </c>
      <c r="C37" s="31" t="inlineStr">
        <is>
          <t>Requirement</t>
        </is>
      </c>
      <c r="D37" s="31" t="inlineStr">
        <is>
          <t>Owner</t>
        </is>
      </c>
      <c r="E37" s="31" t="inlineStr">
        <is>
          <t>Evidence / location</t>
        </is>
      </c>
      <c r="F37" s="31" t="inlineStr">
        <is>
          <t>Status</t>
        </is>
      </c>
    </row>
    <row r="38">
      <c r="B38" t="n">
        <v>1</v>
      </c>
      <c r="C38" t="inlineStr">
        <is>
          <t>purchase / sale contracts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storage and transport agreements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quality certificates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0" t="inlineStr">
        <is>
          <t>Challenge tests</t>
        </is>
      </c>
    </row>
    <row r="45">
      <c r="B45" s="31" t="inlineStr">
        <is>
          <t>#</t>
        </is>
      </c>
      <c r="C45" s="31" t="inlineStr">
        <is>
          <t>Requirement</t>
        </is>
      </c>
      <c r="D45" s="31" t="inlineStr">
        <is>
          <t>Owner</t>
        </is>
      </c>
      <c r="E45" s="31" t="inlineStr">
        <is>
          <t>Evidence / location</t>
        </is>
      </c>
      <c r="F45" s="31" t="inlineStr">
        <is>
          <t>Status</t>
        </is>
      </c>
    </row>
    <row r="46">
      <c r="B46" t="n">
        <v>1</v>
      </c>
      <c r="C46" t="inlineStr">
        <is>
          <t>physical and paper positions reconcile by unit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storage carry identity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hedge ratio uses matched grade/location/tenor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0" t="inlineStr">
        <is>
          <t>Known failure modes</t>
        </is>
      </c>
    </row>
    <row r="53">
      <c r="B53" s="31" t="inlineStr">
        <is>
          <t>#</t>
        </is>
      </c>
      <c r="C53" s="31" t="inlineStr">
        <is>
          <t>Requirement</t>
        </is>
      </c>
      <c r="D53" s="31" t="inlineStr">
        <is>
          <t>Owner</t>
        </is>
      </c>
      <c r="E53" s="31" t="inlineStr">
        <is>
          <t>Evidence / location</t>
        </is>
      </c>
      <c r="F53" s="31" t="inlineStr">
        <is>
          <t>Status</t>
        </is>
      </c>
    </row>
    <row r="54">
      <c r="B54" t="n">
        <v>1</v>
      </c>
      <c r="C54" t="inlineStr">
        <is>
          <t>treating futures as a perfect physical hedge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unit conversions and shrink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missing nomination and capacity constraints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0" t="inlineStr">
        <is>
          <t>Regulatory / methodological anchors</t>
        </is>
      </c>
    </row>
    <row r="61">
      <c r="B61" s="31" t="inlineStr">
        <is>
          <t>Standard</t>
        </is>
      </c>
      <c r="C61" s="31" t="inlineStr">
        <is>
          <t>Scope</t>
        </is>
      </c>
      <c r="D61" s="31" t="inlineStr">
        <is>
          <t>Source URL</t>
        </is>
      </c>
      <c r="E61" s="31" t="inlineStr">
        <is>
          <t>Applicability</t>
        </is>
      </c>
      <c r="F61" s="31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MAR21 Sensitivities-Based Method</t>
        </is>
      </c>
      <c r="C63" t="inlineStr">
        <is>
          <t>market-risk factors and aggregation</t>
        </is>
      </c>
      <c r="D63" t="inlineStr">
        <is>
          <t>https://www.bis.org/basel_framework/chapter/MAR/21.htm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3" min="2" max="2"/>
    <col width="22" customWidth="1" style="23" min="3" max="3"/>
    <col width="52" customWidth="1" style="23" min="4" max="4"/>
    <col width="46" customWidth="1" style="23" min="5" max="5"/>
    <col width="36" customWidth="1" style="23" min="6" max="6"/>
    <col width="14" customWidth="1" style="23" min="7" max="7"/>
    <col width="18" customWidth="1" style="23" min="8" max="8"/>
    <col width="14" customWidth="1" style="23" min="9" max="9"/>
  </cols>
  <sheetData>
    <row r="2">
      <c r="B2" s="27" t="inlineStr">
        <is>
          <t>Independent Challenge, Override and Closure Log</t>
        </is>
      </c>
    </row>
    <row r="4">
      <c r="B4" s="31" t="inlineStr">
        <is>
          <t>Date</t>
        </is>
      </c>
      <c r="C4" s="31" t="inlineStr">
        <is>
          <t>Reviewer</t>
        </is>
      </c>
      <c r="D4" s="31" t="inlineStr">
        <is>
          <t>Challenge</t>
        </is>
      </c>
      <c r="E4" s="31" t="inlineStr">
        <is>
          <t>Owner response</t>
        </is>
      </c>
      <c r="F4" s="31" t="inlineStr">
        <is>
          <t>Evidence</t>
        </is>
      </c>
      <c r="G4" s="31" t="inlineStr">
        <is>
          <t>Impact</t>
        </is>
      </c>
      <c r="H4" s="31" t="inlineStr">
        <is>
          <t>Status</t>
        </is>
      </c>
      <c r="I4" s="31" t="inlineStr">
        <is>
          <t>Closure</t>
        </is>
      </c>
    </row>
    <row r="5">
      <c r="B5" t="inlineStr"/>
      <c r="C5" t="inlineStr"/>
      <c r="D5" t="inlineStr">
        <is>
          <t>physical and paper positions reconcile by unit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storage carry identity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hedge ratio uses matched grade/location/tenor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3" min="2" max="2"/>
    <col width="18" customWidth="1" style="23" min="3" max="3"/>
    <col width="42" customWidth="1" style="23" min="4" max="4"/>
    <col width="24" customWidth="1" style="23" min="5" max="5"/>
    <col width="18" customWidth="1" style="23" min="6" max="6"/>
    <col width="22" customWidth="1" style="23" min="7" max="7"/>
    <col width="42" customWidth="1" style="23" min="8" max="8"/>
    <col width="30" customWidth="1" style="23" min="9" max="9"/>
    <col width="15" customWidth="1" style="23" min="10" max="10"/>
  </cols>
  <sheetData>
    <row r="2">
      <c r="B2" s="27" t="inlineStr">
        <is>
          <t>Source, Transformation, Ownership and Refresh Map</t>
        </is>
      </c>
    </row>
    <row r="4">
      <c r="B4" s="31" t="inlineStr">
        <is>
          <t>Source class</t>
        </is>
      </c>
      <c r="C4" s="31" t="inlineStr">
        <is>
          <t>Cadence</t>
        </is>
      </c>
      <c r="D4" s="31" t="inlineStr">
        <is>
          <t>Control</t>
        </is>
      </c>
      <c r="E4" s="31" t="inlineStr">
        <is>
          <t>System / provider</t>
        </is>
      </c>
      <c r="F4" s="31" t="inlineStr">
        <is>
          <t>As-of</t>
        </is>
      </c>
      <c r="G4" s="31" t="inlineStr">
        <is>
          <t>Owner</t>
        </is>
      </c>
      <c r="H4" s="31" t="inlineStr">
        <is>
          <t>Transform</t>
        </is>
      </c>
      <c r="I4" s="31" t="inlineStr">
        <is>
          <t>Downstream</t>
        </is>
      </c>
      <c r="J4" s="31" t="inlineStr">
        <is>
          <t>Status</t>
        </is>
      </c>
    </row>
    <row r="5">
      <c r="B5" t="inlineStr">
        <is>
          <t>physical inventory</t>
        </is>
      </c>
      <c r="C5" t="inlineStr">
        <is>
          <t>daily</t>
        </is>
      </c>
      <c r="D5" t="inlineStr">
        <is>
          <t>title, location and quality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futures / swaps</t>
        </is>
      </c>
      <c r="C6" t="inlineStr">
        <is>
          <t>intraday/daily</t>
        </is>
      </c>
      <c r="D6" t="inlineStr">
        <is>
          <t>trade and clearing reconciliation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16" customWidth="1" style="22" min="2" max="2"/>
    <col width="14" customWidth="1" style="22" min="3" max="6"/>
    <col width="20" customWidth="1" style="22" min="7" max="7"/>
  </cols>
  <sheetData>
    <row r="2" ht="19.7" customHeight="1" s="23">
      <c r="B2" s="24" t="inlineStr">
        <is>
          <t>Futures Curve — Contango / Backwardation</t>
        </is>
      </c>
    </row>
    <row r="4" ht="15" customHeight="1" s="23">
      <c r="A4" s="32" t="n"/>
      <c r="B4" s="32" t="inlineStr">
        <is>
          <t>Contract month</t>
        </is>
      </c>
      <c r="C4" s="32" t="inlineStr">
        <is>
          <t>Price</t>
        </is>
      </c>
      <c r="D4" s="32" t="inlineStr">
        <is>
          <t>Days to expiry</t>
        </is>
      </c>
      <c r="E4" s="32" t="inlineStr">
        <is>
          <t>Annualized basis %</t>
        </is>
      </c>
      <c r="F4" s="32" t="inlineStr">
        <is>
          <t>vs. front month</t>
        </is>
      </c>
      <c r="G4" s="22" t="inlineStr">
        <is>
          <t>Curve shape</t>
        </is>
      </c>
    </row>
    <row r="5" ht="15" customHeight="1" s="23">
      <c r="B5" s="33" t="inlineStr">
        <is>
          <t>M1 (front)</t>
        </is>
      </c>
      <c r="C5" s="34" t="n">
        <v>0</v>
      </c>
      <c r="D5" s="35" t="n">
        <v>0</v>
      </c>
      <c r="E5" s="36">
        <f>IFERROR((C5/$C$5-1)*(365/(D5-$D$5)),"-")</f>
        <v/>
      </c>
      <c r="F5" s="36">
        <f>IFERROR(C5/$C$5-1,"-")</f>
        <v/>
      </c>
      <c r="G5" s="37">
        <f>IF(C5&gt;$C$5,"Contango",IF(C5&lt;$C$5,"Backwardation","Flat"))</f>
        <v/>
      </c>
    </row>
    <row r="6" ht="15" customHeight="1" s="23">
      <c r="B6" s="33" t="inlineStr">
        <is>
          <t>M2</t>
        </is>
      </c>
      <c r="C6" s="34" t="n">
        <v>0</v>
      </c>
      <c r="D6" s="35" t="n">
        <v>0</v>
      </c>
      <c r="E6" s="36">
        <f>IFERROR((C6/$C$5-1)*(365/(D6-$D$5)),"-")</f>
        <v/>
      </c>
      <c r="F6" s="36">
        <f>IFERROR(C6/$C$5-1,"-")</f>
        <v/>
      </c>
      <c r="G6" s="37">
        <f>IF(C6&gt;$C$5,"Contango",IF(C6&lt;$C$5,"Backwardation","Flat"))</f>
        <v/>
      </c>
    </row>
    <row r="7" ht="15" customHeight="1" s="23">
      <c r="B7" s="33" t="inlineStr">
        <is>
          <t>M3</t>
        </is>
      </c>
      <c r="C7" s="34" t="n">
        <v>0</v>
      </c>
      <c r="D7" s="35" t="n">
        <v>0</v>
      </c>
      <c r="E7" s="36">
        <f>IFERROR((C7/$C$5-1)*(365/(D7-$D$5)),"-")</f>
        <v/>
      </c>
      <c r="F7" s="36">
        <f>IFERROR(C7/$C$5-1,"-")</f>
        <v/>
      </c>
      <c r="G7" s="37">
        <f>IF(C7&gt;$C$5,"Contango",IF(C7&lt;$C$5,"Backwardation","Flat"))</f>
        <v/>
      </c>
    </row>
    <row r="8" ht="15" customHeight="1" s="23">
      <c r="B8" s="33" t="inlineStr">
        <is>
          <t>M6</t>
        </is>
      </c>
      <c r="C8" s="34" t="n">
        <v>0</v>
      </c>
      <c r="D8" s="35" t="n">
        <v>0</v>
      </c>
      <c r="E8" s="36">
        <f>IFERROR((C8/$C$5-1)*(365/(D8-$D$5)),"-")</f>
        <v/>
      </c>
      <c r="F8" s="36">
        <f>IFERROR(C8/$C$5-1,"-")</f>
        <v/>
      </c>
      <c r="G8" s="37">
        <f>IF(C8&gt;$C$5,"Contango",IF(C8&lt;$C$5,"Backwardation","Flat"))</f>
        <v/>
      </c>
    </row>
    <row r="9" ht="15" customHeight="1" s="23">
      <c r="B9" s="33" t="inlineStr">
        <is>
          <t>M12</t>
        </is>
      </c>
      <c r="C9" s="34" t="n">
        <v>0</v>
      </c>
      <c r="D9" s="35" t="n">
        <v>0</v>
      </c>
      <c r="E9" s="36">
        <f>IFERROR((C9/$C$5-1)*(365/(D9-$D$5)),"-")</f>
        <v/>
      </c>
      <c r="F9" s="36">
        <f>IFERROR(C9/$C$5-1,"-")</f>
        <v/>
      </c>
      <c r="G9" s="37">
        <f>IF(C9&gt;$C$5,"Contango",IF(C9&lt;$C$5,"Backwardation","Flat"))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26" customWidth="1" style="22" min="2" max="2"/>
    <col width="16" customWidth="1" style="22" min="3" max="4"/>
    <col width="40" customWidth="1" style="22" min="5" max="5"/>
  </cols>
  <sheetData>
    <row r="2" ht="19.7" customHeight="1" s="23">
      <c r="B2" s="24" t="inlineStr">
        <is>
          <t>Roll Yield</t>
        </is>
      </c>
    </row>
    <row r="4" ht="15" customHeight="1" s="23">
      <c r="B4" s="22" t="inlineStr">
        <is>
          <t>Expiring contract price</t>
        </is>
      </c>
      <c r="C4" s="38">
        <f>'Futures Curve'!C5</f>
        <v/>
      </c>
    </row>
    <row r="5" ht="15" customHeight="1" s="23">
      <c r="B5" s="22" t="inlineStr">
        <is>
          <t>Next contract price</t>
        </is>
      </c>
      <c r="C5" s="38">
        <f>'Futures Curve'!C6</f>
        <v/>
      </c>
    </row>
    <row r="6" ht="15" customHeight="1" s="23">
      <c r="B6" s="22" t="inlineStr">
        <is>
          <t>Roll yield (%)</t>
        </is>
      </c>
      <c r="C6" s="39">
        <f>IFERROR(C4/C5-1,"-")</f>
        <v/>
      </c>
      <c r="D6" s="40" t="inlineStr">
        <is>
          <t>Positive = backwardation roll gain (long-only benefits). Negative = contango roll cost.</t>
        </is>
      </c>
    </row>
    <row r="8" ht="15" customHeight="1" s="23">
      <c r="B8" s="22" t="inlineStr">
        <is>
          <t>Annual roll cost/gain estimate (12 rolls, illustrative)</t>
        </is>
      </c>
      <c r="C8" s="41">
        <f>IFERROR(C6*12,"-")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C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28" customWidth="1" style="22" min="2" max="2"/>
    <col width="16" customWidth="1" style="22" min="3" max="4"/>
    <col width="40" customWidth="1" style="22" min="5" max="5"/>
  </cols>
  <sheetData>
    <row r="2" ht="19.7" customHeight="1" s="23">
      <c r="B2" s="24" t="inlineStr">
        <is>
          <t>Producer / Consumer Hedge Model</t>
        </is>
      </c>
    </row>
    <row r="4" ht="15" customHeight="1" s="23">
      <c r="B4" s="42" t="inlineStr">
        <is>
          <t>Inputs</t>
        </is>
      </c>
    </row>
    <row r="5" ht="15" customHeight="1" s="23">
      <c r="B5" s="33" t="inlineStr">
        <is>
          <t>Physical exposure (units)</t>
        </is>
      </c>
      <c r="C5" s="43" t="n">
        <v>0</v>
      </c>
    </row>
    <row r="6" ht="15" customHeight="1" s="23">
      <c r="B6" s="33" t="inlineStr">
        <is>
          <t>Futures contract size (units)</t>
        </is>
      </c>
      <c r="C6" s="43" t="n">
        <v>1000</v>
      </c>
    </row>
    <row r="7" ht="15" customHeight="1" s="23">
      <c r="B7" s="33" t="inlineStr">
        <is>
          <t>Spot price</t>
        </is>
      </c>
      <c r="C7" s="44" t="n">
        <v>0</v>
      </c>
    </row>
    <row r="8" ht="15" customHeight="1" s="23">
      <c r="B8" s="33" t="inlineStr">
        <is>
          <t>Futures price (hedge contract)</t>
        </is>
      </c>
      <c r="C8" s="44" t="n">
        <v>0</v>
      </c>
    </row>
    <row r="9" ht="15" customHeight="1" s="23">
      <c r="B9" s="33" t="inlineStr">
        <is>
          <t>Hedge ratio (beta-adjusted)</t>
        </is>
      </c>
      <c r="C9" s="45" t="n">
        <v>1</v>
      </c>
    </row>
    <row r="11" ht="15" customHeight="1" s="23">
      <c r="B11" s="42" t="inlineStr">
        <is>
          <t>Outputs</t>
        </is>
      </c>
    </row>
    <row r="12" ht="15" customHeight="1" s="23">
      <c r="B12" s="22" t="inlineStr">
        <is>
          <t>Contracts needed</t>
        </is>
      </c>
      <c r="C12" s="46">
        <f>IFERROR(ROUND(C5*C9/C6,0),"-")</f>
        <v/>
      </c>
    </row>
    <row r="13" ht="15" customHeight="1" s="23">
      <c r="B13" s="22" t="inlineStr">
        <is>
          <t>Notional hedged</t>
        </is>
      </c>
      <c r="C13" s="47">
        <f>C12*C6*C8</f>
        <v/>
      </c>
    </row>
    <row r="14" ht="15" customHeight="1" s="23">
      <c r="B14" s="22" t="inlineStr">
        <is>
          <t>Unhedged basis exposure</t>
        </is>
      </c>
      <c r="C14" s="47">
        <f>C5*C7-C13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20" customWidth="1" style="22" min="2" max="2"/>
    <col width="12" customWidth="1" style="22" min="3" max="7"/>
  </cols>
  <sheetData>
    <row r="2" ht="19.7" customHeight="1" s="23">
      <c r="B2" s="24" t="inlineStr">
        <is>
          <t>Sensitivity — P&amp;L by Spot Move</t>
        </is>
      </c>
    </row>
    <row r="4" ht="15" customHeight="1" s="23">
      <c r="B4" s="42" t="inlineStr">
        <is>
          <t>Spot move %</t>
        </is>
      </c>
      <c r="C4" s="48" t="n">
        <v>-0.2</v>
      </c>
      <c r="D4" s="48" t="n">
        <v>-0.1</v>
      </c>
      <c r="E4" s="48" t="n">
        <v>0</v>
      </c>
      <c r="F4" s="48" t="n">
        <v>0.1</v>
      </c>
      <c r="G4" s="48" t="n">
        <v>0.2</v>
      </c>
    </row>
    <row r="5" ht="15" customHeight="1" s="23">
      <c r="B5" s="22" t="inlineStr">
        <is>
          <t>Unhedged P&amp;L</t>
        </is>
      </c>
      <c r="C5" s="47">
        <f>Hedging!$C$5*Hedging!$C$7*C4</f>
        <v/>
      </c>
      <c r="D5" s="47">
        <f>Hedging!$C$5*Hedging!$C$7*D4</f>
        <v/>
      </c>
      <c r="E5" s="47">
        <f>Hedging!$C$5*Hedging!$C$7*E4</f>
        <v/>
      </c>
      <c r="F5" s="47">
        <f>Hedging!$C$5*Hedging!$C$7*F4</f>
        <v/>
      </c>
      <c r="G5" s="47">
        <f>Hedging!$C$5*Hedging!$C$7*G4</f>
        <v/>
      </c>
    </row>
    <row r="6" ht="15" customHeight="1" s="23">
      <c r="B6" s="22" t="inlineStr">
        <is>
          <t>Hedged P&amp;L</t>
        </is>
      </c>
      <c r="C6" s="47">
        <f>(C4*Hedging!$C$5*Hedging!$C$7)-(C4*Hedging!$C$13)</f>
        <v/>
      </c>
      <c r="D6" s="47">
        <f>(D4*Hedging!$C$5*Hedging!$C$7)-(D4*Hedging!$C$13)</f>
        <v/>
      </c>
      <c r="E6" s="47">
        <f>(E4*Hedging!$C$5*Hedging!$C$7)-(E4*Hedging!$C$13)</f>
        <v/>
      </c>
      <c r="F6" s="47">
        <f>(F4*Hedging!$C$5*Hedging!$C$7)-(F4*Hedging!$C$13)</f>
        <v/>
      </c>
      <c r="G6" s="47">
        <f>(G4*Hedging!$C$5*Hedging!$C$7)-(G4*Hedging!$C$13)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14" customWidth="1" style="22" min="2" max="2"/>
    <col width="16" customWidth="1" style="22" min="3" max="3"/>
    <col width="30" customWidth="1" style="22" min="4" max="5"/>
    <col width="16" customWidth="1" style="22" min="6" max="6"/>
  </cols>
  <sheetData>
    <row r="2" ht="19.7" customHeight="1" s="23">
      <c r="B2" s="24" t="inlineStr">
        <is>
          <t>Refresh Log</t>
        </is>
      </c>
    </row>
    <row r="4" ht="15" customHeight="1" s="23">
      <c r="B4" s="32" t="inlineStr">
        <is>
          <t>Date</t>
        </is>
      </c>
      <c r="C4" s="32" t="inlineStr">
        <is>
          <t>Trigger</t>
        </is>
      </c>
      <c r="D4" s="32" t="inlineStr">
        <is>
          <t>What changed</t>
        </is>
      </c>
      <c r="E4" s="32" t="inlineStr">
        <is>
          <t>Reviewer notes</t>
        </is>
      </c>
      <c r="F4" s="32" t="inlineStr">
        <is>
          <t>Next check</t>
        </is>
      </c>
    </row>
    <row r="5" ht="15" customHeight="1" s="23">
      <c r="B5" s="37" t="n"/>
      <c r="C5" s="37" t="n"/>
      <c r="D5" s="37" t="n"/>
      <c r="E5" s="37" t="n"/>
      <c r="F5" s="37" t="n"/>
    </row>
    <row r="6" ht="15" customHeight="1" s="23">
      <c r="B6" s="37" t="n"/>
      <c r="C6" s="37" t="n"/>
      <c r="D6" s="37" t="n"/>
      <c r="E6" s="37" t="n"/>
      <c r="F6" s="37" t="n"/>
    </row>
    <row r="7" ht="15" customHeight="1" s="23">
      <c r="B7" s="37" t="n"/>
      <c r="C7" s="37" t="n"/>
      <c r="D7" s="37" t="n"/>
      <c r="E7" s="37" t="n"/>
      <c r="F7" s="37" t="n"/>
    </row>
    <row r="8" ht="15" customHeight="1" s="23">
      <c r="B8" s="37" t="n"/>
      <c r="C8" s="37" t="n"/>
      <c r="D8" s="37" t="n"/>
      <c r="E8" s="37" t="n"/>
      <c r="F8" s="37" t="n"/>
    </row>
    <row r="9" ht="15" customHeight="1" s="23">
      <c r="B9" s="37" t="n"/>
      <c r="C9" s="37" t="n"/>
      <c r="D9" s="37" t="n"/>
      <c r="E9" s="37" t="n"/>
      <c r="F9" s="37" t="n"/>
    </row>
    <row r="10" ht="15" customHeight="1" s="23">
      <c r="B10" s="37" t="n"/>
      <c r="C10" s="37" t="n"/>
      <c r="D10" s="37" t="n"/>
      <c r="E10" s="37" t="n"/>
      <c r="F10" s="37" t="n"/>
    </row>
    <row r="11" ht="15" customHeight="1" s="23">
      <c r="B11" s="37" t="n"/>
      <c r="C11" s="37" t="n"/>
      <c r="D11" s="37" t="n"/>
      <c r="E11" s="37" t="n"/>
      <c r="F11" s="37" t="n"/>
    </row>
    <row r="12" ht="15" customHeight="1" s="23">
      <c r="B12" s="37" t="n"/>
      <c r="C12" s="37" t="n"/>
      <c r="D12" s="37" t="n"/>
      <c r="E12" s="37" t="n"/>
      <c r="F12" s="37" t="n"/>
    </row>
    <row r="13" ht="15" customHeight="1" s="23">
      <c r="B13" s="37" t="n"/>
      <c r="C13" s="37" t="n"/>
      <c r="D13" s="37" t="n"/>
      <c r="E13" s="37" t="n"/>
      <c r="F13" s="37" t="n"/>
    </row>
    <row r="14" ht="15" customHeight="1" s="23">
      <c r="B14" s="37" t="n"/>
      <c r="C14" s="37" t="n"/>
      <c r="D14" s="37" t="n"/>
      <c r="E14" s="37" t="n"/>
      <c r="F14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2026-08-03T23:10:27Z</dcterms:created>
  <dcterms:modified xsi:type="dcterms:W3CDTF">2026-08-04T03:48:34Z</dcterms:modified>
  <cp:revision>0</cp:revision>
</cp:coreProperties>
</file>