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IS" sheetId="6" state="visible" r:id="rId6"/>
    <sheet name="BS" sheetId="7" state="visible" r:id="rId7"/>
    <sheet name="CF" sheetId="8" state="visible" r:id="rId8"/>
    <sheet name="DCF" sheetId="9" state="visible" r:id="rId9"/>
    <sheet name="Comps" sheetId="10" state="visible" r:id="rId10"/>
    <sheet name="Sensitivity" sheetId="11" state="visible" r:id="rId11"/>
    <sheet name="RefreshLog" sheetId="12" state="visible" r:id="rId12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0.0%;\(0.0%\);\-"/>
    <numFmt numFmtId="165" formatCode="\$#,##0;&quot;($&quot;#,##0\);\-"/>
    <numFmt numFmtId="166" formatCode="0.000"/>
    <numFmt numFmtId="167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164" fontId="6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2" fillId="5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5" borderId="0" pivotButton="0" quotePrefix="0" xfId="0"/>
    <xf numFmtId="0" fontId="13" fillId="6" borderId="2" applyAlignment="1" pivotButton="0" quotePrefix="0" xfId="0">
      <alignment wrapText="1"/>
    </xf>
    <xf numFmtId="0" fontId="9" fillId="3" borderId="0" applyAlignment="1" pivotButton="0" quotePrefix="0" xfId="0">
      <alignment horizontal="center" vertical="bottom"/>
    </xf>
    <xf numFmtId="164" fontId="6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0" customWidth="1" style="31" min="2" max="2"/>
    <col width="40" customWidth="1" style="31" min="3" max="3"/>
    <col width="4" customWidth="1" style="31" min="4" max="4"/>
  </cols>
  <sheetData>
    <row r="2" ht="19.7" customHeight="1" s="32">
      <c r="B2" s="33" t="inlineStr">
        <is>
          <t>[TICKER] — Company Name</t>
        </is>
      </c>
    </row>
    <row r="4" ht="15" customHeight="1" s="32">
      <c r="B4" s="34" t="inlineStr">
        <is>
          <t>Sector:</t>
        </is>
      </c>
      <c r="C4" s="35" t="inlineStr">
        <is>
          <t>[fill in]</t>
        </is>
      </c>
    </row>
    <row r="5" ht="15" customHeight="1" s="32">
      <c r="B5" s="34" t="inlineStr">
        <is>
          <t>Coverage started:</t>
        </is>
      </c>
      <c r="C5" s="35" t="inlineStr">
        <is>
          <t>[date]</t>
        </is>
      </c>
    </row>
    <row r="6" ht="15" customHeight="1" s="32">
      <c r="B6" s="34" t="inlineStr">
        <is>
          <t>Last refreshed:</t>
        </is>
      </c>
      <c r="C6" s="35" t="inlineStr">
        <is>
          <t>[date]</t>
        </is>
      </c>
    </row>
    <row r="7" ht="15" customHeight="1" s="32">
      <c r="B7" s="34" t="inlineStr">
        <is>
          <t>Next earnings date: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6" t="inlineStr">
        <is>
          <t>Weekly</t>
        </is>
      </c>
    </row>
    <row r="10" ht="15" customHeight="1" s="32">
      <c r="B10" s="34" t="inlineStr">
        <is>
          <t>Thesis (2-3 sentences):</t>
        </is>
      </c>
    </row>
    <row r="11" ht="15" customHeight="1" s="32">
      <c r="B11" s="35" t="inlineStr">
        <is>
          <t>[fill in]</t>
        </is>
      </c>
    </row>
    <row r="12" ht="15" customHeight="1" s="32"/>
    <row r="13" ht="15" customHeight="1" s="32"/>
    <row r="14" ht="15" customHeight="1" s="32"/>
    <row r="16" ht="15" customHeight="1" s="32">
      <c r="B16" s="34" t="inlineStr">
        <is>
          <t>COLOR LEGEND</t>
        </is>
      </c>
    </row>
    <row r="17" ht="15" customHeight="1" s="32">
      <c r="B17" s="35" t="inlineStr">
        <is>
          <t>Blue text</t>
        </is>
      </c>
      <c r="C17" s="36" t="inlineStr">
        <is>
          <t>Hardcoded input / scenario lever — edit freely</t>
        </is>
      </c>
    </row>
    <row r="18" ht="15" customHeight="1" s="32">
      <c r="B18" s="36" t="inlineStr">
        <is>
          <t>Black text</t>
        </is>
      </c>
      <c r="C18" s="36" t="inlineStr">
        <is>
          <t>Formula — do not overwrite</t>
        </is>
      </c>
    </row>
    <row r="19" ht="15" customHeight="1" s="32">
      <c r="B19" s="37" t="inlineStr">
        <is>
          <t>Green text</t>
        </is>
      </c>
      <c r="C19" s="36" t="inlineStr">
        <is>
          <t>Link to another sheet in this workbook</t>
        </is>
      </c>
    </row>
    <row r="20" ht="15" customHeight="1" s="32">
      <c r="B20" s="38" t="inlineStr">
        <is>
          <t>Yellow fill</t>
        </is>
      </c>
      <c r="C20" s="36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39" t="inlineStr">
        <is>
          <t>Corporate Finance — Institutional Decision Surface</t>
        </is>
      </c>
    </row>
    <row r="4">
      <c r="B4" s="40" t="inlineStr">
        <is>
          <t>Model ID</t>
        </is>
      </c>
      <c r="C4" s="41" t="inlineStr">
        <is>
          <t>02</t>
        </is>
      </c>
    </row>
    <row r="5">
      <c r="B5" s="40" t="inlineStr">
        <is>
          <t>Domain</t>
        </is>
      </c>
      <c r="C5" s="41" t="inlineStr">
        <is>
          <t>Corporate Finance</t>
        </is>
      </c>
    </row>
    <row r="6">
      <c r="B6" s="40" t="inlineStr">
        <is>
          <t>Declared maturity</t>
        </is>
      </c>
      <c r="C6" s="41" t="inlineStr">
        <is>
          <t>M2</t>
        </is>
      </c>
    </row>
    <row r="7">
      <c r="B7" s="40" t="inlineStr">
        <is>
          <t>Canonical builder</t>
        </is>
      </c>
      <c r="C7" s="41" t="inlineStr">
        <is>
          <t>tools/builders/build_template.py</t>
        </is>
      </c>
    </row>
    <row r="8">
      <c r="B8" s="40" t="inlineStr">
        <is>
          <t>Decision arena</t>
        </is>
      </c>
      <c r="C8" s="41" t="inlineStr">
        <is>
          <t>treasury, CFO staff, ALCO and board finance committee</t>
        </is>
      </c>
    </row>
    <row r="9">
      <c r="B9" s="40" t="inlineStr">
        <is>
          <t>Committee artifact</t>
        </is>
      </c>
      <c r="C9" s="41" t="inlineStr">
        <is>
          <t>liquidity and capital-allocation pack</t>
        </is>
      </c>
    </row>
    <row r="10">
      <c r="B10" s="40" t="inlineStr">
        <is>
          <t>Operating cadence</t>
        </is>
      </c>
      <c r="C10" s="41" t="inlineStr">
        <is>
          <t>weekly treasury; monthly ALCO; quarterly board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cash runway and minimum liquidity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debt maturity wall and refinancing need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WACC and hurdle rates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cash is actually fungible?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covenant becomes binding before headline leverage?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How much capacity survives a closed market?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rate shocks and basis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revenue/margin downturn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working-capital draw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treasury policy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credit agreements and indentures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rating-agency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cash roll-forward balances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maturity ladder equals debt ledger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interest expense ties to debt schedule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netting restricted cash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assuming revolver availability without covenant test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trapped cash and tax leakage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B5" t="inlineStr"/>
      <c r="C5" t="inlineStr"/>
      <c r="D5" t="inlineStr">
        <is>
          <t>cash roll-forward balances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maturity ladder equals debt ledger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interest expense ties to debt schedule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cash and debt positions</t>
        </is>
      </c>
      <c r="C5" t="inlineStr">
        <is>
          <t>daily/weekly</t>
        </is>
      </c>
      <c r="D5" t="inlineStr">
        <is>
          <t>bank and trustee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forecast</t>
        </is>
      </c>
      <c r="C6" t="inlineStr">
        <is>
          <t>monthly</t>
        </is>
      </c>
      <c r="D6" t="inlineStr">
        <is>
          <t>actual-to-forecast bridge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0" customWidth="1" style="31" min="2" max="2"/>
    <col width="14" customWidth="1" style="31" min="3" max="7"/>
    <col width="40" customWidth="1" style="31" min="8" max="8"/>
  </cols>
  <sheetData>
    <row r="2" ht="19.7" customHeight="1" s="32">
      <c r="B2" s="33" t="inlineStr">
        <is>
          <t>Assumptions</t>
        </is>
      </c>
    </row>
    <row r="4" ht="15" customHeight="1" s="32">
      <c r="A4" s="44" t="n"/>
      <c r="B4" s="44" t="inlineStr">
        <is>
          <t>Driver</t>
        </is>
      </c>
      <c r="C4" s="44" t="inlineStr">
        <is>
          <t>FY1</t>
        </is>
      </c>
      <c r="D4" s="44" t="inlineStr">
        <is>
          <t>FY2</t>
        </is>
      </c>
      <c r="E4" s="44" t="inlineStr">
        <is>
          <t>FY3</t>
        </is>
      </c>
      <c r="F4" s="44" t="inlineStr">
        <is>
          <t>FY4</t>
        </is>
      </c>
      <c r="G4" s="44" t="inlineStr">
        <is>
          <t>FY5</t>
        </is>
      </c>
      <c r="H4" s="44" t="inlineStr">
        <is>
          <t>Source / notes</t>
        </is>
      </c>
    </row>
    <row r="5" ht="15" customHeight="1" s="32">
      <c r="B5" s="36" t="inlineStr">
        <is>
          <t>Revenue growth %</t>
        </is>
      </c>
      <c r="C5" s="45" t="n">
        <v>0</v>
      </c>
      <c r="D5" s="45" t="n">
        <v>0</v>
      </c>
      <c r="E5" s="45" t="n">
        <v>0</v>
      </c>
      <c r="F5" s="45" t="n">
        <v>0</v>
      </c>
      <c r="G5" s="45" t="n">
        <v>0</v>
      </c>
      <c r="H5" s="46" t="inlineStr">
        <is>
          <t>Source: [10-K/10-Q cite or user estimate]</t>
        </is>
      </c>
    </row>
    <row r="6" ht="15" customHeight="1" s="32">
      <c r="B6" s="36" t="inlineStr">
        <is>
          <t>Gross margin %</t>
        </is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6" t="inlineStr">
        <is>
          <t>Source: [10-K/10-Q cite or user estimate]</t>
        </is>
      </c>
    </row>
    <row r="7" ht="15" customHeight="1" s="32">
      <c r="B7" s="36" t="inlineStr">
        <is>
          <t>Opex % of revenue</t>
        </is>
      </c>
      <c r="C7" s="45" t="n">
        <v>0</v>
      </c>
      <c r="D7" s="45" t="n">
        <v>0</v>
      </c>
      <c r="E7" s="45" t="n">
        <v>0</v>
      </c>
      <c r="F7" s="45" t="n">
        <v>0</v>
      </c>
      <c r="G7" s="45" t="n">
        <v>0</v>
      </c>
      <c r="H7" s="46" t="inlineStr">
        <is>
          <t>Source: [10-K/10-Q cite or user estimate]</t>
        </is>
      </c>
    </row>
    <row r="8" ht="15" customHeight="1" s="32">
      <c r="B8" s="36" t="inlineStr">
        <is>
          <t>Tax rate %</t>
        </is>
      </c>
      <c r="C8" s="45" t="n">
        <v>0</v>
      </c>
      <c r="D8" s="45" t="n">
        <v>0</v>
      </c>
      <c r="E8" s="45" t="n">
        <v>0</v>
      </c>
      <c r="F8" s="45" t="n">
        <v>0</v>
      </c>
      <c r="G8" s="45" t="n">
        <v>0</v>
      </c>
      <c r="H8" s="46" t="inlineStr">
        <is>
          <t>Source: [10-K/10-Q cite or user estimate]</t>
        </is>
      </c>
    </row>
    <row r="9" ht="15" customHeight="1" s="32">
      <c r="B9" s="36" t="inlineStr">
        <is>
          <t>D&amp;A % of capex</t>
        </is>
      </c>
      <c r="C9" s="47" t="n">
        <v>0</v>
      </c>
      <c r="D9" s="47" t="n">
        <v>0</v>
      </c>
      <c r="E9" s="47" t="n">
        <v>0</v>
      </c>
      <c r="F9" s="47" t="n">
        <v>0</v>
      </c>
      <c r="G9" s="47" t="n">
        <v>0</v>
      </c>
      <c r="H9" s="46" t="inlineStr">
        <is>
          <t>Source: [10-K/10-Q cite or user estimate]</t>
        </is>
      </c>
    </row>
    <row r="10" ht="15" customHeight="1" s="32">
      <c r="B10" s="36" t="inlineStr">
        <is>
          <t>Capex % of revenue</t>
        </is>
      </c>
      <c r="C10" s="47" t="n">
        <v>0</v>
      </c>
      <c r="D10" s="47" t="n">
        <v>0</v>
      </c>
      <c r="E10" s="47" t="n">
        <v>0</v>
      </c>
      <c r="F10" s="47" t="n">
        <v>0</v>
      </c>
      <c r="G10" s="47" t="n">
        <v>0</v>
      </c>
      <c r="H10" s="46" t="inlineStr">
        <is>
          <t>Source: [10-K/10-Q cite or user estimate]</t>
        </is>
      </c>
    </row>
    <row r="11" ht="15" customHeight="1" s="32">
      <c r="B11" s="36" t="inlineStr">
        <is>
          <t>NWC % of revenue chg</t>
        </is>
      </c>
      <c r="C11" s="47" t="n">
        <v>0</v>
      </c>
      <c r="D11" s="47" t="n">
        <v>0</v>
      </c>
      <c r="E11" s="47" t="n">
        <v>0</v>
      </c>
      <c r="F11" s="47" t="n">
        <v>0</v>
      </c>
      <c r="G11" s="47" t="n">
        <v>0</v>
      </c>
      <c r="H11" s="46" t="inlineStr">
        <is>
          <t>Source: [10-K/10-Q cite or user estimate]</t>
        </is>
      </c>
    </row>
    <row r="12" ht="15" customHeight="1" s="32">
      <c r="B12" s="36" t="inlineStr">
        <is>
          <t>Shares outstanding (mm)</t>
        </is>
      </c>
      <c r="C12" s="48" t="n">
        <v>0</v>
      </c>
      <c r="D12" s="48" t="n">
        <v>0</v>
      </c>
      <c r="E12" s="48" t="n">
        <v>0</v>
      </c>
      <c r="F12" s="48" t="n">
        <v>0</v>
      </c>
      <c r="G12" s="48" t="n">
        <v>0</v>
      </c>
      <c r="H12" s="46" t="inlineStr">
        <is>
          <t>Source: [10-K/10-Q cite or user estimate]</t>
        </is>
      </c>
    </row>
    <row r="13" ht="15" customHeight="1" s="32">
      <c r="B13" s="36" t="inlineStr">
        <is>
          <t>WACC %</t>
        </is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6" t="inlineStr">
        <is>
          <t>Source: [10-K/10-Q cite or user estimate]</t>
        </is>
      </c>
    </row>
    <row r="14" ht="15" customHeight="1" s="32">
      <c r="B14" s="36" t="inlineStr">
        <is>
          <t>Terminal growth %</t>
        </is>
      </c>
      <c r="C14" s="45" t="n">
        <v>0</v>
      </c>
      <c r="D14" s="45" t="n">
        <v>0</v>
      </c>
      <c r="E14" s="45" t="n">
        <v>0</v>
      </c>
      <c r="F14" s="45" t="n">
        <v>0</v>
      </c>
      <c r="G14" s="45" t="n">
        <v>0</v>
      </c>
      <c r="H14" s="46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9"/>
  </cols>
  <sheetData>
    <row r="2" ht="19.7" customHeight="1" s="32">
      <c r="B2" s="33" t="inlineStr">
        <is>
          <t>Income Statement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FY-2A</t>
        </is>
      </c>
      <c r="D4" s="44" t="inlineStr">
        <is>
          <t>FY-1A</t>
        </is>
      </c>
      <c r="E4" s="44" t="inlineStr">
        <is>
          <t>FY0A</t>
        </is>
      </c>
      <c r="F4" s="44" t="inlineStr">
        <is>
          <t>FY1E</t>
        </is>
      </c>
      <c r="G4" s="44" t="inlineStr">
        <is>
          <t>FY2E</t>
        </is>
      </c>
      <c r="H4" s="44" t="inlineStr">
        <is>
          <t>FY3E</t>
        </is>
      </c>
      <c r="I4" s="44" t="inlineStr">
        <is>
          <t>FY4E</t>
        </is>
      </c>
    </row>
    <row r="5" ht="15" customHeight="1" s="32">
      <c r="B5" s="34" t="inlineStr">
        <is>
          <t>Revenue</t>
        </is>
      </c>
      <c r="C5" s="49" t="n"/>
      <c r="D5" s="49" t="n"/>
      <c r="E5" s="49" t="n"/>
      <c r="F5" s="49">
        <f>E5*(1+Assumptions!C5)</f>
        <v/>
      </c>
      <c r="G5" s="49">
        <f>F5*(1+Assumptions!D5)</f>
        <v/>
      </c>
      <c r="H5" s="49">
        <f>G5*(1+Assumptions!E5)</f>
        <v/>
      </c>
      <c r="I5" s="49">
        <f>H5*(1+Assumptions!F5)</f>
        <v/>
      </c>
    </row>
    <row r="6" ht="15" customHeight="1" s="32">
      <c r="B6" s="36" t="inlineStr">
        <is>
          <t>Revenue growth %</t>
        </is>
      </c>
      <c r="C6" s="50" t="n"/>
      <c r="D6" s="50">
        <f>IFERROR(D5/C5-1,"-")</f>
        <v/>
      </c>
      <c r="E6" s="50">
        <f>IFERROR(E5/D5-1,"-")</f>
        <v/>
      </c>
      <c r="F6" s="50">
        <f>IFERROR(F5/E5-1,"-")</f>
        <v/>
      </c>
      <c r="G6" s="50">
        <f>IFERROR(G5/F5-1,"-")</f>
        <v/>
      </c>
      <c r="H6" s="50">
        <f>IFERROR(H5/G5-1,"-")</f>
        <v/>
      </c>
      <c r="I6" s="50">
        <f>IFERROR(I5/H5-1,"-")</f>
        <v/>
      </c>
    </row>
    <row r="7" ht="15" customHeight="1" s="32">
      <c r="B7" s="36" t="inlineStr">
        <is>
          <t>COGS</t>
        </is>
      </c>
      <c r="C7" s="49" t="n"/>
      <c r="D7" s="49" t="n"/>
      <c r="E7" s="49" t="n"/>
      <c r="F7" s="49">
        <f>F5*(1-Assumptions!C6)</f>
        <v/>
      </c>
      <c r="G7" s="49">
        <f>G5*(1-Assumptions!D6)</f>
        <v/>
      </c>
      <c r="H7" s="49">
        <f>H5*(1-Assumptions!E6)</f>
        <v/>
      </c>
      <c r="I7" s="49">
        <f>I5*(1-Assumptions!F6)</f>
        <v/>
      </c>
    </row>
    <row r="8" ht="15" customHeight="1" s="32">
      <c r="B8" s="34" t="inlineStr">
        <is>
          <t>Gross profit</t>
        </is>
      </c>
      <c r="C8" s="49" t="n"/>
      <c r="D8" s="49">
        <f>D5-D7</f>
        <v/>
      </c>
      <c r="E8" s="49">
        <f>E5-E7</f>
        <v/>
      </c>
      <c r="F8" s="49">
        <f>F5-F7</f>
        <v/>
      </c>
      <c r="G8" s="49">
        <f>G5-G7</f>
        <v/>
      </c>
      <c r="H8" s="49">
        <f>H5-H7</f>
        <v/>
      </c>
      <c r="I8" s="49">
        <f>I5-I7</f>
        <v/>
      </c>
    </row>
    <row r="9" ht="15" customHeight="1" s="32">
      <c r="B9" s="36" t="inlineStr">
        <is>
          <t>Gross margin %</t>
        </is>
      </c>
      <c r="C9" s="50" t="n"/>
      <c r="D9" s="50">
        <f>IFERROR(D8/D5,"-")</f>
        <v/>
      </c>
      <c r="E9" s="50">
        <f>IFERROR(E8/E5,"-")</f>
        <v/>
      </c>
      <c r="F9" s="50">
        <f>IFERROR(F8/F5,"-")</f>
        <v/>
      </c>
      <c r="G9" s="50">
        <f>IFERROR(G8/G5,"-")</f>
        <v/>
      </c>
      <c r="H9" s="50">
        <f>IFERROR(H8/H5,"-")</f>
        <v/>
      </c>
      <c r="I9" s="50">
        <f>IFERROR(I8/I5,"-")</f>
        <v/>
      </c>
    </row>
    <row r="10" ht="15" customHeight="1" s="32">
      <c r="B10" s="36" t="inlineStr">
        <is>
          <t>Opex</t>
        </is>
      </c>
      <c r="C10" s="49" t="n"/>
      <c r="D10" s="49" t="n"/>
      <c r="E10" s="49" t="n"/>
      <c r="F10" s="49">
        <f>F5*Assumptions!C7</f>
        <v/>
      </c>
      <c r="G10" s="49">
        <f>G5*Assumptions!D7</f>
        <v/>
      </c>
      <c r="H10" s="49">
        <f>H5*Assumptions!E7</f>
        <v/>
      </c>
      <c r="I10" s="49">
        <f>I5*Assumptions!F7</f>
        <v/>
      </c>
    </row>
    <row r="11" ht="15" customHeight="1" s="32">
      <c r="B11" s="34" t="inlineStr">
        <is>
          <t>EBITDA</t>
        </is>
      </c>
      <c r="C11" s="49" t="n"/>
      <c r="D11" s="49" t="n"/>
      <c r="E11" s="49" t="n"/>
      <c r="F11" s="49">
        <f>F8-F10</f>
        <v/>
      </c>
      <c r="G11" s="49">
        <f>G8-G10</f>
        <v/>
      </c>
      <c r="H11" s="49">
        <f>H8-H10</f>
        <v/>
      </c>
      <c r="I11" s="49">
        <f>I8-I10</f>
        <v/>
      </c>
    </row>
    <row r="12" ht="15" customHeight="1" s="32">
      <c r="B12" s="36" t="inlineStr">
        <is>
          <t>EBITDA margin %</t>
        </is>
      </c>
      <c r="C12" s="50" t="n"/>
      <c r="D12" s="50" t="n"/>
      <c r="E12" s="50" t="n"/>
      <c r="F12" s="50">
        <f>IFERROR(F11/F5,"-")</f>
        <v/>
      </c>
      <c r="G12" s="50">
        <f>IFERROR(G11/G5,"-")</f>
        <v/>
      </c>
      <c r="H12" s="50">
        <f>IFERROR(H11/H5,"-")</f>
        <v/>
      </c>
      <c r="I12" s="50">
        <f>IFERROR(I11/I5,"-")</f>
        <v/>
      </c>
    </row>
    <row r="13" ht="15" customHeight="1" s="32">
      <c r="B13" s="36" t="inlineStr">
        <is>
          <t>D&amp;A</t>
        </is>
      </c>
      <c r="C13" s="49" t="n"/>
      <c r="D13" s="49" t="n"/>
      <c r="E13" s="49" t="n"/>
      <c r="F13" s="49">
        <f>F5*Assumptions!C10*Assumptions!C9</f>
        <v/>
      </c>
      <c r="G13" s="49">
        <f>G5*Assumptions!D10*Assumptions!D9</f>
        <v/>
      </c>
      <c r="H13" s="49">
        <f>H5*Assumptions!E10*Assumptions!E9</f>
        <v/>
      </c>
      <c r="I13" s="49">
        <f>I5*Assumptions!F10*Assumptions!F9</f>
        <v/>
      </c>
    </row>
    <row r="14" ht="15" customHeight="1" s="32">
      <c r="B14" s="34" t="inlineStr">
        <is>
          <t>EBIT</t>
        </is>
      </c>
      <c r="C14" s="49" t="n"/>
      <c r="D14" s="49" t="n"/>
      <c r="E14" s="49" t="n"/>
      <c r="F14" s="49">
        <f>F11-F13</f>
        <v/>
      </c>
      <c r="G14" s="49">
        <f>G11-G13</f>
        <v/>
      </c>
      <c r="H14" s="49">
        <f>H11-H13</f>
        <v/>
      </c>
      <c r="I14" s="49">
        <f>I11-I13</f>
        <v/>
      </c>
    </row>
    <row r="15" ht="15" customHeight="1" s="32">
      <c r="B15" s="36" t="inlineStr">
        <is>
          <t>Interest expense</t>
        </is>
      </c>
      <c r="C15" s="49" t="n"/>
      <c r="D15" s="49" t="n"/>
      <c r="E15" s="49" t="n"/>
      <c r="F15" s="49">
        <f>$E$15</f>
        <v/>
      </c>
      <c r="G15" s="49">
        <f>$E$15</f>
        <v/>
      </c>
      <c r="H15" s="49">
        <f>$E$15</f>
        <v/>
      </c>
      <c r="I15" s="49">
        <f>$E$15</f>
        <v/>
      </c>
    </row>
    <row r="16" ht="15" customHeight="1" s="32">
      <c r="B16" s="36" t="inlineStr">
        <is>
          <t>Pre-tax income</t>
        </is>
      </c>
      <c r="C16" s="49" t="n"/>
      <c r="D16" s="49" t="n"/>
      <c r="E16" s="49" t="n"/>
      <c r="F16" s="49">
        <f>F14-F15</f>
        <v/>
      </c>
      <c r="G16" s="49">
        <f>G14-G15</f>
        <v/>
      </c>
      <c r="H16" s="49">
        <f>H14-H15</f>
        <v/>
      </c>
      <c r="I16" s="49">
        <f>I14-I15</f>
        <v/>
      </c>
    </row>
    <row r="17" ht="15" customHeight="1" s="32">
      <c r="B17" s="36" t="inlineStr">
        <is>
          <t>Tax</t>
        </is>
      </c>
      <c r="C17" s="49" t="n"/>
      <c r="D17" s="49" t="n"/>
      <c r="E17" s="49" t="n"/>
      <c r="F17" s="49">
        <f>F16*Assumptions!C8</f>
        <v/>
      </c>
      <c r="G17" s="49">
        <f>G16*Assumptions!D8</f>
        <v/>
      </c>
      <c r="H17" s="49">
        <f>H16*Assumptions!E8</f>
        <v/>
      </c>
      <c r="I17" s="49">
        <f>I16*Assumptions!F8</f>
        <v/>
      </c>
    </row>
    <row r="18" ht="15" customHeight="1" s="32">
      <c r="B18" s="34" t="inlineStr">
        <is>
          <t>Net income</t>
        </is>
      </c>
      <c r="C18" s="49" t="n"/>
      <c r="D18" s="49" t="n"/>
      <c r="E18" s="49" t="n"/>
      <c r="F18" s="49">
        <f>F16-F17</f>
        <v/>
      </c>
      <c r="G18" s="49">
        <f>G16-G17</f>
        <v/>
      </c>
      <c r="H18" s="49">
        <f>H16-H17</f>
        <v/>
      </c>
      <c r="I18" s="49">
        <f>I16-I17</f>
        <v/>
      </c>
    </row>
    <row r="19" ht="15" customHeight="1" s="32">
      <c r="B19" s="36" t="inlineStr">
        <is>
          <t>Diluted shares</t>
        </is>
      </c>
      <c r="C19" s="49" t="n"/>
      <c r="D19" s="49" t="n"/>
      <c r="E19" s="49" t="n"/>
      <c r="F19" s="49">
        <f>Assumptions!C12</f>
        <v/>
      </c>
      <c r="G19" s="49">
        <f>Assumptions!D12</f>
        <v/>
      </c>
      <c r="H19" s="49">
        <f>Assumptions!E12</f>
        <v/>
      </c>
      <c r="I19" s="49">
        <f>Assumptions!F12</f>
        <v/>
      </c>
    </row>
    <row r="20" ht="15" customHeight="1" s="32">
      <c r="B20" s="36" t="inlineStr">
        <is>
          <t>Diluted EPS</t>
        </is>
      </c>
      <c r="C20" s="49" t="n"/>
      <c r="D20" s="49" t="n"/>
      <c r="E20" s="49" t="n"/>
      <c r="F20" s="49">
        <f>IFERROR(F18/F19,"-")</f>
        <v/>
      </c>
      <c r="G20" s="49">
        <f>IFERROR(G18/G19,"-")</f>
        <v/>
      </c>
      <c r="H20" s="49">
        <f>IFERROR(H18/H19,"-")</f>
        <v/>
      </c>
      <c r="I20" s="49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</cols>
  <sheetData>
    <row r="2" ht="19.7" customHeight="1" s="32">
      <c r="B2" s="33" t="inlineStr">
        <is>
          <t>Balance Sheet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FY-1A</t>
        </is>
      </c>
      <c r="D4" s="44" t="inlineStr">
        <is>
          <t>FY0A</t>
        </is>
      </c>
      <c r="E4" s="44" t="inlineStr">
        <is>
          <t>FY1E</t>
        </is>
      </c>
      <c r="F4" s="44" t="inlineStr">
        <is>
          <t>FY2E</t>
        </is>
      </c>
      <c r="G4" s="31" t="inlineStr">
        <is>
          <t>FY3E</t>
        </is>
      </c>
    </row>
    <row r="5" ht="15" customHeight="1" s="32">
      <c r="B5" s="36" t="inlineStr">
        <is>
          <t>Cash &amp; equivalents</t>
        </is>
      </c>
      <c r="C5" s="49" t="n"/>
      <c r="D5" s="49" t="n"/>
      <c r="E5" s="49" t="n"/>
      <c r="F5" s="49" t="n"/>
      <c r="G5" s="49" t="n"/>
    </row>
    <row r="6" ht="15" customHeight="1" s="32">
      <c r="B6" s="36" t="inlineStr">
        <is>
          <t>Accounts receivable</t>
        </is>
      </c>
      <c r="C6" s="49" t="n"/>
      <c r="D6" s="49" t="n"/>
      <c r="E6" s="49" t="n"/>
      <c r="F6" s="49" t="n"/>
      <c r="G6" s="49" t="n"/>
    </row>
    <row r="7" ht="15" customHeight="1" s="32">
      <c r="B7" s="36" t="inlineStr">
        <is>
          <t>Inventory</t>
        </is>
      </c>
      <c r="C7" s="49" t="n"/>
      <c r="D7" s="49" t="n"/>
      <c r="E7" s="49" t="n"/>
      <c r="F7" s="49" t="n"/>
      <c r="G7" s="49" t="n"/>
    </row>
    <row r="8" ht="15" customHeight="1" s="32">
      <c r="B8" s="34" t="inlineStr">
        <is>
          <t>Total current assets</t>
        </is>
      </c>
      <c r="C8" s="49">
        <f>C5+C6+C7</f>
        <v/>
      </c>
      <c r="D8" s="49">
        <f>D5+D6+D7</f>
        <v/>
      </c>
      <c r="E8" s="49">
        <f>E5+E6+E7</f>
        <v/>
      </c>
      <c r="F8" s="49">
        <f>F5+F6+F7</f>
        <v/>
      </c>
      <c r="G8" s="49">
        <f>G5+G6+G7</f>
        <v/>
      </c>
    </row>
    <row r="9" ht="15" customHeight="1" s="32">
      <c r="B9" s="36" t="inlineStr">
        <is>
          <t>PP&amp;E net</t>
        </is>
      </c>
      <c r="C9" s="49" t="n"/>
      <c r="D9" s="49" t="n"/>
      <c r="E9" s="49" t="n"/>
      <c r="F9" s="49" t="n"/>
      <c r="G9" s="49" t="n"/>
    </row>
    <row r="10" ht="15" customHeight="1" s="32">
      <c r="B10" s="36" t="inlineStr">
        <is>
          <t>Goodwill &amp; intangibles</t>
        </is>
      </c>
      <c r="C10" s="49" t="n"/>
      <c r="D10" s="49" t="n"/>
      <c r="E10" s="49" t="n"/>
      <c r="F10" s="49" t="n"/>
      <c r="G10" s="49" t="n"/>
    </row>
    <row r="11" ht="15" customHeight="1" s="32">
      <c r="B11" s="34" t="inlineStr">
        <is>
          <t>Total assets</t>
        </is>
      </c>
      <c r="C11" s="49">
        <f>C8+C9+C10</f>
        <v/>
      </c>
      <c r="D11" s="49">
        <f>D8+D9+D10</f>
        <v/>
      </c>
      <c r="E11" s="49">
        <f>E8+E9+E10</f>
        <v/>
      </c>
      <c r="F11" s="49">
        <f>F8+F9+F10</f>
        <v/>
      </c>
      <c r="G11" s="49">
        <f>G8+G9+G10</f>
        <v/>
      </c>
    </row>
    <row r="12" ht="15" customHeight="1" s="32">
      <c r="B12" s="36" t="inlineStr">
        <is>
          <t>Accounts payable</t>
        </is>
      </c>
      <c r="C12" s="49" t="n"/>
      <c r="D12" s="49" t="n"/>
      <c r="E12" s="49" t="n"/>
      <c r="F12" s="49" t="n"/>
      <c r="G12" s="49" t="n"/>
    </row>
    <row r="13" ht="15" customHeight="1" s="32">
      <c r="B13" s="36" t="inlineStr">
        <is>
          <t>Debt (current)</t>
        </is>
      </c>
      <c r="C13" s="49" t="n"/>
      <c r="D13" s="49" t="n"/>
      <c r="E13" s="49" t="n"/>
      <c r="F13" s="49" t="n"/>
      <c r="G13" s="49" t="n"/>
    </row>
    <row r="14" ht="15" customHeight="1" s="32">
      <c r="B14" s="34" t="inlineStr">
        <is>
          <t>Total current liabilities</t>
        </is>
      </c>
      <c r="C14" s="49">
        <f>C12+C13</f>
        <v/>
      </c>
      <c r="D14" s="49">
        <f>D12+D13</f>
        <v/>
      </c>
      <c r="E14" s="49">
        <f>E12+E13</f>
        <v/>
      </c>
      <c r="F14" s="49">
        <f>F12+F13</f>
        <v/>
      </c>
      <c r="G14" s="49">
        <f>G12+G13</f>
        <v/>
      </c>
    </row>
    <row r="15" ht="15" customHeight="1" s="32">
      <c r="B15" s="36" t="inlineStr">
        <is>
          <t>Long-term debt</t>
        </is>
      </c>
      <c r="C15" s="49" t="n"/>
      <c r="D15" s="49" t="n"/>
      <c r="E15" s="49" t="n"/>
      <c r="F15" s="49" t="n"/>
      <c r="G15" s="49" t="n"/>
    </row>
    <row r="16" ht="15" customHeight="1" s="32">
      <c r="B16" s="34" t="inlineStr">
        <is>
          <t>Total liabilities</t>
        </is>
      </c>
      <c r="C16" s="49">
        <f>C14+C15</f>
        <v/>
      </c>
      <c r="D16" s="49">
        <f>D14+D15</f>
        <v/>
      </c>
      <c r="E16" s="49">
        <f>E14+E15</f>
        <v/>
      </c>
      <c r="F16" s="49">
        <f>F14+F15</f>
        <v/>
      </c>
      <c r="G16" s="49">
        <f>G14+G15</f>
        <v/>
      </c>
    </row>
    <row r="17" ht="15" customHeight="1" s="32">
      <c r="B17" s="34" t="inlineStr">
        <is>
          <t>Total equity</t>
        </is>
      </c>
      <c r="C17" s="49" t="n"/>
      <c r="D17" s="49" t="n"/>
      <c r="E17" s="49" t="n"/>
      <c r="F17" s="49" t="n"/>
      <c r="G17" s="49" t="n"/>
    </row>
    <row r="19" ht="15" customHeight="1" s="32">
      <c r="B19" s="51" t="inlineStr">
        <is>
          <t>Balance check (Total assets - Total liabilities - Total equity, should = 0)</t>
        </is>
      </c>
      <c r="C19" s="52">
        <f>C11-C16-C17</f>
        <v/>
      </c>
      <c r="D19" s="52">
        <f>D11-D16-D17</f>
        <v/>
      </c>
      <c r="E19" s="52">
        <f>E11-E16-E17</f>
        <v/>
      </c>
      <c r="F19" s="52">
        <f>F11-F16-F17</f>
        <v/>
      </c>
      <c r="G19" s="52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</cols>
  <sheetData>
    <row r="2" ht="19.7" customHeight="1" s="32">
      <c r="B2" s="33" t="inlineStr">
        <is>
          <t>Cash Flow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FY-1A</t>
        </is>
      </c>
      <c r="D4" s="44" t="inlineStr">
        <is>
          <t>FY0A</t>
        </is>
      </c>
      <c r="E4" s="44" t="inlineStr">
        <is>
          <t>FY1E</t>
        </is>
      </c>
      <c r="F4" s="44" t="inlineStr">
        <is>
          <t>FY2E</t>
        </is>
      </c>
      <c r="G4" s="31" t="inlineStr">
        <is>
          <t>FY3E</t>
        </is>
      </c>
    </row>
    <row r="5" ht="15" customHeight="1" s="32">
      <c r="B5" s="36" t="inlineStr">
        <is>
          <t>Net income</t>
        </is>
      </c>
      <c r="C5" s="49" t="n"/>
      <c r="D5" s="49" t="n"/>
      <c r="E5" s="53">
        <f>IS!F18</f>
        <v/>
      </c>
      <c r="F5" s="53">
        <f>IS!G18</f>
        <v/>
      </c>
      <c r="G5" s="53">
        <f>IS!H18</f>
        <v/>
      </c>
    </row>
    <row r="6" ht="15" customHeight="1" s="32">
      <c r="B6" s="36" t="inlineStr">
        <is>
          <t>+ D&amp;A</t>
        </is>
      </c>
      <c r="C6" s="49" t="n"/>
      <c r="D6" s="49" t="n"/>
      <c r="E6" s="53">
        <f>IS!F13</f>
        <v/>
      </c>
      <c r="F6" s="53">
        <f>IS!G13</f>
        <v/>
      </c>
      <c r="G6" s="53">
        <f>IS!H13</f>
        <v/>
      </c>
    </row>
    <row r="7" ht="15" customHeight="1" s="32">
      <c r="B7" s="36" t="inlineStr">
        <is>
          <t>+/- Change in NWC</t>
        </is>
      </c>
      <c r="C7" s="49" t="n"/>
      <c r="D7" s="49" t="n"/>
      <c r="E7" s="49" t="n"/>
      <c r="F7" s="49" t="n"/>
      <c r="G7" s="49" t="n"/>
    </row>
    <row r="8" ht="15" customHeight="1" s="32">
      <c r="B8" s="34" t="inlineStr">
        <is>
          <t>Cash flow from operations</t>
        </is>
      </c>
      <c r="C8" s="49">
        <f>C5+C6+C7</f>
        <v/>
      </c>
      <c r="D8" s="49">
        <f>D5+D6+D7</f>
        <v/>
      </c>
      <c r="E8" s="49">
        <f>E5+E6+E7</f>
        <v/>
      </c>
      <c r="F8" s="49">
        <f>F5+F6+F7</f>
        <v/>
      </c>
      <c r="G8" s="49">
        <f>G5+G6+G7</f>
        <v/>
      </c>
    </row>
    <row r="9" ht="15" customHeight="1" s="32">
      <c r="B9" s="36" t="inlineStr">
        <is>
          <t>Capex</t>
        </is>
      </c>
      <c r="C9" s="49" t="n"/>
      <c r="D9" s="49" t="n"/>
      <c r="E9" s="49" t="n"/>
      <c r="F9" s="49" t="n"/>
      <c r="G9" s="49" t="n"/>
    </row>
    <row r="10" ht="15" customHeight="1" s="32">
      <c r="B10" s="34" t="inlineStr">
        <is>
          <t>Free cash flow</t>
        </is>
      </c>
      <c r="C10" s="49">
        <f>C8+C9</f>
        <v/>
      </c>
      <c r="D10" s="49">
        <f>D8+D9</f>
        <v/>
      </c>
      <c r="E10" s="49">
        <f>E8+E9</f>
        <v/>
      </c>
      <c r="F10" s="49">
        <f>F8+F9</f>
        <v/>
      </c>
      <c r="G10" s="49">
        <f>G8+G9</f>
        <v/>
      </c>
    </row>
    <row r="11" ht="15" customHeight="1" s="32">
      <c r="B11" s="36" t="inlineStr">
        <is>
          <t>Debt issuance/(repayment)</t>
        </is>
      </c>
      <c r="C11" s="49" t="n"/>
      <c r="D11" s="49" t="n"/>
      <c r="E11" s="49" t="n"/>
      <c r="F11" s="49" t="n"/>
      <c r="G11" s="49" t="n"/>
    </row>
    <row r="12" ht="15" customHeight="1" s="32">
      <c r="B12" s="36" t="inlineStr">
        <is>
          <t>Dividends/buybacks</t>
        </is>
      </c>
      <c r="C12" s="49" t="n"/>
      <c r="D12" s="49" t="n"/>
      <c r="E12" s="49" t="n"/>
      <c r="F12" s="49" t="n"/>
      <c r="G12" s="49" t="n"/>
    </row>
    <row r="13" ht="15" customHeight="1" s="32">
      <c r="B13" s="36" t="inlineStr">
        <is>
          <t>Net change in cash</t>
        </is>
      </c>
      <c r="C13" s="49">
        <f>C10+C11+C12</f>
        <v/>
      </c>
      <c r="D13" s="49">
        <f>D10+D11+D12</f>
        <v/>
      </c>
      <c r="E13" s="49">
        <f>E10+E11+E12</f>
        <v/>
      </c>
      <c r="F13" s="49">
        <f>F10+F11+F12</f>
        <v/>
      </c>
      <c r="G13" s="49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  <col width="4" customWidth="1" style="31" min="8" max="8"/>
    <col width="22" customWidth="1" style="31" min="9" max="9"/>
    <col width="14" customWidth="1" style="31" min="10" max="10"/>
  </cols>
  <sheetData>
    <row r="2" ht="19.7" customHeight="1" s="32">
      <c r="B2" s="33" t="inlineStr">
        <is>
          <t>DCF Valuation</t>
        </is>
      </c>
    </row>
    <row r="4" ht="15" customHeight="1" s="32">
      <c r="C4" s="44" t="inlineStr">
        <is>
          <t>FY1E</t>
        </is>
      </c>
      <c r="D4" s="44" t="inlineStr">
        <is>
          <t>FY2E</t>
        </is>
      </c>
      <c r="E4" s="44" t="inlineStr">
        <is>
          <t>FY3E</t>
        </is>
      </c>
      <c r="F4" s="44" t="inlineStr">
        <is>
          <t>FY4E</t>
        </is>
      </c>
      <c r="G4" s="44" t="inlineStr">
        <is>
          <t>FY5E</t>
        </is>
      </c>
      <c r="H4" s="34" t="inlineStr">
        <is>
          <t>Key outputs</t>
        </is>
      </c>
    </row>
    <row r="5" ht="15" customHeight="1" s="32">
      <c r="B5" s="31" t="inlineStr">
        <is>
          <t>Unlevered FCF</t>
        </is>
      </c>
      <c r="C5" s="54">
        <f>IS!F14*(1-Assumptions!C8)+IS!F13-IS!F5*Assumptions!C10</f>
        <v/>
      </c>
      <c r="D5" s="54">
        <f>IS!G14*(1-Assumptions!D8)+IS!G13-IS!G5*Assumptions!D10</f>
        <v/>
      </c>
      <c r="E5" s="54">
        <f>IS!H14*(1-Assumptions!E8)+IS!H13-IS!H5*Assumptions!E10</f>
        <v/>
      </c>
      <c r="F5" s="54">
        <f>IS!I14*(1-Assumptions!F8)+IS!I13-IS!I5*Assumptions!F10</f>
        <v/>
      </c>
      <c r="G5" s="54">
        <f>F5*(1+Assumptions!G5)</f>
        <v/>
      </c>
      <c r="H5" s="31" t="inlineStr">
        <is>
          <t>WACC</t>
        </is>
      </c>
      <c r="I5" s="55" t="n">
        <v>0.1</v>
      </c>
    </row>
    <row r="6" ht="15" customHeight="1" s="32">
      <c r="B6" s="31" t="inlineStr">
        <is>
          <t>Discount factor</t>
        </is>
      </c>
      <c r="C6" s="56">
        <f>1/(1+$I$5)^(1)</f>
        <v/>
      </c>
      <c r="D6" s="56">
        <f>1/(1+$I$5)^(2)</f>
        <v/>
      </c>
      <c r="E6" s="56">
        <f>1/(1+$I$5)^(3)</f>
        <v/>
      </c>
      <c r="F6" s="56">
        <f>1/(1+$I$5)^(4)</f>
        <v/>
      </c>
      <c r="G6" s="56">
        <f>1/(1+$I$5)^(5)</f>
        <v/>
      </c>
      <c r="H6" s="31" t="inlineStr">
        <is>
          <t>Terminal growth</t>
        </is>
      </c>
      <c r="I6" s="55" t="n">
        <v>0.025</v>
      </c>
    </row>
    <row r="7" ht="15" customHeight="1" s="32">
      <c r="B7" s="31" t="inlineStr">
        <is>
          <t>PV of FCF</t>
        </is>
      </c>
      <c r="C7" s="57">
        <f>C5*C6</f>
        <v/>
      </c>
      <c r="D7" s="57">
        <f>D5*D6</f>
        <v/>
      </c>
      <c r="E7" s="57">
        <f>E5*E6</f>
        <v/>
      </c>
      <c r="F7" s="57">
        <f>F5*F6</f>
        <v/>
      </c>
      <c r="G7" s="57">
        <f>G5*G6</f>
        <v/>
      </c>
      <c r="H7" s="31" t="inlineStr">
        <is>
          <t>Terminal value</t>
        </is>
      </c>
      <c r="I7" s="57">
        <f>G5*(1+I6)/(I5-I6)</f>
        <v/>
      </c>
    </row>
    <row r="8" ht="15" customHeight="1" s="32">
      <c r="H8" s="31" t="inlineStr">
        <is>
          <t>PV of terminal value</t>
        </is>
      </c>
      <c r="I8" s="57">
        <f>I7*G6</f>
        <v/>
      </c>
    </row>
    <row r="9" ht="15" customHeight="1" s="32">
      <c r="H9" s="31" t="inlineStr">
        <is>
          <t>Sum PV of FCF</t>
        </is>
      </c>
      <c r="I9" s="57">
        <f>SUM(C7:G7)</f>
        <v/>
      </c>
    </row>
    <row r="10" ht="15" customHeight="1" s="32">
      <c r="H10" s="31" t="inlineStr">
        <is>
          <t>Enterprise value</t>
        </is>
      </c>
      <c r="I10" s="58">
        <f>I8+I9</f>
        <v/>
      </c>
    </row>
    <row r="11" ht="15" customHeight="1" s="32">
      <c r="H11" s="31" t="inlineStr">
        <is>
          <t>Less: net debt</t>
        </is>
      </c>
      <c r="I11" s="59" t="n">
        <v>0</v>
      </c>
    </row>
    <row r="12" ht="15" customHeight="1" s="32">
      <c r="H12" s="31" t="inlineStr">
        <is>
          <t>Equity value</t>
        </is>
      </c>
      <c r="I12" s="58">
        <f>I10-I11</f>
        <v/>
      </c>
    </row>
    <row r="13" ht="15" customHeight="1" s="32">
      <c r="H13" s="31" t="inlineStr">
        <is>
          <t>Diluted shares (mm)</t>
        </is>
      </c>
      <c r="I13" s="59" t="n">
        <v>1</v>
      </c>
    </row>
    <row r="14" ht="15" customHeight="1" s="32">
      <c r="H14" s="31" t="inlineStr">
        <is>
          <t>Implied value/share</t>
        </is>
      </c>
      <c r="I14" s="5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2" customWidth="1" style="31" min="2" max="2"/>
    <col width="12" customWidth="1" style="31" min="3" max="8"/>
  </cols>
  <sheetData>
    <row r="2" ht="19.7" customHeight="1" s="32">
      <c r="B2" s="33" t="inlineStr">
        <is>
          <t>Comparable Companies</t>
        </is>
      </c>
    </row>
    <row r="4" ht="15" customHeight="1" s="32">
      <c r="A4" s="44" t="n"/>
      <c r="B4" s="44" t="inlineStr">
        <is>
          <t>Ticker</t>
        </is>
      </c>
      <c r="C4" s="44" t="inlineStr">
        <is>
          <t>Price</t>
        </is>
      </c>
      <c r="D4" s="44" t="inlineStr">
        <is>
          <t>Mkt Cap</t>
        </is>
      </c>
      <c r="E4" s="44" t="inlineStr">
        <is>
          <t>EV</t>
        </is>
      </c>
      <c r="F4" s="44" t="inlineStr">
        <is>
          <t>EV/Rev</t>
        </is>
      </c>
      <c r="G4" s="44" t="inlineStr">
        <is>
          <t>EV/EBITDA</t>
        </is>
      </c>
      <c r="H4" s="44" t="inlineStr">
        <is>
          <t>P/E</t>
        </is>
      </c>
    </row>
    <row r="5" ht="15" customHeight="1" s="32">
      <c r="B5" s="35" t="inlineStr">
        <is>
          <t>[TICKER]</t>
        </is>
      </c>
      <c r="C5" s="48" t="n">
        <v>0</v>
      </c>
      <c r="D5" s="48" t="n">
        <v>0</v>
      </c>
      <c r="E5" s="48" t="n">
        <v>0</v>
      </c>
      <c r="F5" s="60" t="n">
        <v>0</v>
      </c>
      <c r="G5" s="60" t="n">
        <v>0</v>
      </c>
      <c r="H5" s="60" t="n">
        <v>0</v>
      </c>
    </row>
    <row r="6" ht="15" customHeight="1" s="32">
      <c r="B6" s="35" t="inlineStr">
        <is>
          <t>[TICKER]</t>
        </is>
      </c>
      <c r="C6" s="48" t="n">
        <v>0</v>
      </c>
      <c r="D6" s="48" t="n">
        <v>0</v>
      </c>
      <c r="E6" s="48" t="n">
        <v>0</v>
      </c>
      <c r="F6" s="60" t="n">
        <v>0</v>
      </c>
      <c r="G6" s="60" t="n">
        <v>0</v>
      </c>
      <c r="H6" s="60" t="n">
        <v>0</v>
      </c>
    </row>
    <row r="7" ht="15" customHeight="1" s="32">
      <c r="B7" s="35" t="inlineStr">
        <is>
          <t>[TICKER]</t>
        </is>
      </c>
      <c r="C7" s="48" t="n">
        <v>0</v>
      </c>
      <c r="D7" s="48" t="n">
        <v>0</v>
      </c>
      <c r="E7" s="48" t="n">
        <v>0</v>
      </c>
      <c r="F7" s="60" t="n">
        <v>0</v>
      </c>
      <c r="G7" s="60" t="n">
        <v>0</v>
      </c>
      <c r="H7" s="60" t="n">
        <v>0</v>
      </c>
    </row>
    <row r="8" ht="15" customHeight="1" s="32">
      <c r="B8" s="35" t="inlineStr">
        <is>
          <t>[TICKER]</t>
        </is>
      </c>
      <c r="C8" s="48" t="n">
        <v>0</v>
      </c>
      <c r="D8" s="48" t="n">
        <v>0</v>
      </c>
      <c r="E8" s="48" t="n">
        <v>0</v>
      </c>
      <c r="F8" s="60" t="n">
        <v>0</v>
      </c>
      <c r="G8" s="60" t="n">
        <v>0</v>
      </c>
      <c r="H8" s="60" t="n">
        <v>0</v>
      </c>
    </row>
    <row r="9" ht="15" customHeight="1" s="32">
      <c r="B9" s="35" t="inlineStr">
        <is>
          <t>[TICKER]</t>
        </is>
      </c>
      <c r="C9" s="48" t="n">
        <v>0</v>
      </c>
      <c r="D9" s="48" t="n">
        <v>0</v>
      </c>
      <c r="E9" s="48" t="n">
        <v>0</v>
      </c>
      <c r="F9" s="60" t="n">
        <v>0</v>
      </c>
      <c r="G9" s="60" t="n">
        <v>0</v>
      </c>
      <c r="H9" s="60" t="n">
        <v>0</v>
      </c>
    </row>
    <row r="10" ht="15" customHeight="1" s="32">
      <c r="B10" s="35" t="inlineStr">
        <is>
          <t>[TICKER]</t>
        </is>
      </c>
      <c r="C10" s="48" t="n">
        <v>0</v>
      </c>
      <c r="D10" s="48" t="n">
        <v>0</v>
      </c>
      <c r="E10" s="48" t="n">
        <v>0</v>
      </c>
      <c r="F10" s="60" t="n">
        <v>0</v>
      </c>
      <c r="G10" s="60" t="n">
        <v>0</v>
      </c>
      <c r="H10" s="60" t="n">
        <v>0</v>
      </c>
    </row>
    <row r="11" ht="15" customHeight="1" s="32">
      <c r="B11" s="35" t="inlineStr">
        <is>
          <t>[TICKER]</t>
        </is>
      </c>
      <c r="C11" s="48" t="n">
        <v>0</v>
      </c>
      <c r="D11" s="48" t="n">
        <v>0</v>
      </c>
      <c r="E11" s="48" t="n">
        <v>0</v>
      </c>
      <c r="F11" s="60" t="n">
        <v>0</v>
      </c>
      <c r="G11" s="60" t="n">
        <v>0</v>
      </c>
      <c r="H11" s="60" t="n">
        <v>0</v>
      </c>
    </row>
    <row r="13" ht="15" customHeight="1" s="32">
      <c r="B13" s="34" t="inlineStr">
        <is>
          <t>Median</t>
        </is>
      </c>
      <c r="C13" s="58">
        <f>MEDIAN(C5:C12)</f>
        <v/>
      </c>
      <c r="D13" s="58">
        <f>MEDIAN(D5:D12)</f>
        <v/>
      </c>
      <c r="E13" s="58">
        <f>MEDIAN(E5:E12)</f>
        <v/>
      </c>
      <c r="F13" s="61">
        <f>MEDIAN(F5:F12)</f>
        <v/>
      </c>
      <c r="G13" s="61">
        <f>MEDIAN(G5:G12)</f>
        <v/>
      </c>
      <c r="H13" s="6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0" customWidth="1" style="31" min="2" max="2"/>
    <col width="12" customWidth="1" style="31" min="3" max="8"/>
  </cols>
  <sheetData>
    <row r="2" ht="19.7" customHeight="1" s="32">
      <c r="B2" s="33" t="inlineStr">
        <is>
          <t>Sensitivity — Implied Value/Share</t>
        </is>
      </c>
    </row>
    <row r="4" ht="15" customHeight="1" s="32">
      <c r="B4" s="62" t="inlineStr">
        <is>
          <t>WACC \ Term. growth</t>
        </is>
      </c>
      <c r="C4" s="63" t="n">
        <v>0.015</v>
      </c>
      <c r="D4" s="63" t="n">
        <v>0.02</v>
      </c>
      <c r="E4" s="63" t="n">
        <v>0.025</v>
      </c>
      <c r="F4" s="63" t="n">
        <v>0.03</v>
      </c>
      <c r="G4" s="63" t="n">
        <v>0.035</v>
      </c>
    </row>
    <row r="5" ht="15" customHeight="1" s="32">
      <c r="B5" s="63" t="n">
        <v>0.08</v>
      </c>
      <c r="C5" s="51" t="inlineStr">
        <is>
          <t>[data table — Excel What-If Analysis]</t>
        </is>
      </c>
      <c r="D5" s="51" t="inlineStr">
        <is>
          <t>[data table — Excel What-If Analysis]</t>
        </is>
      </c>
      <c r="E5" s="51" t="inlineStr">
        <is>
          <t>[data table — Excel What-If Analysis]</t>
        </is>
      </c>
      <c r="F5" s="51" t="inlineStr">
        <is>
          <t>[data table — Excel What-If Analysis]</t>
        </is>
      </c>
      <c r="G5" s="51" t="inlineStr">
        <is>
          <t>[data table — Excel What-If Analysis]</t>
        </is>
      </c>
    </row>
    <row r="6" ht="15" customHeight="1" s="32">
      <c r="B6" s="63" t="n">
        <v>0.09</v>
      </c>
      <c r="C6" s="51" t="inlineStr">
        <is>
          <t>[data table — Excel What-If Analysis]</t>
        </is>
      </c>
      <c r="D6" s="51" t="inlineStr">
        <is>
          <t>[data table — Excel What-If Analysis]</t>
        </is>
      </c>
      <c r="E6" s="51" t="inlineStr">
        <is>
          <t>[data table — Excel What-If Analysis]</t>
        </is>
      </c>
      <c r="F6" s="51" t="inlineStr">
        <is>
          <t>[data table — Excel What-If Analysis]</t>
        </is>
      </c>
      <c r="G6" s="51" t="inlineStr">
        <is>
          <t>[data table — Excel What-If Analysis]</t>
        </is>
      </c>
    </row>
    <row r="7" ht="15" customHeight="1" s="32">
      <c r="B7" s="63" t="n">
        <v>0.1</v>
      </c>
      <c r="C7" s="51" t="inlineStr">
        <is>
          <t>[data table — Excel What-If Analysis]</t>
        </is>
      </c>
      <c r="D7" s="51" t="inlineStr">
        <is>
          <t>[data table — Excel What-If Analysis]</t>
        </is>
      </c>
      <c r="E7" s="51" t="inlineStr">
        <is>
          <t>[data table — Excel What-If Analysis]</t>
        </is>
      </c>
      <c r="F7" s="51" t="inlineStr">
        <is>
          <t>[data table — Excel What-If Analysis]</t>
        </is>
      </c>
      <c r="G7" s="51" t="inlineStr">
        <is>
          <t>[data table — Excel What-If Analysis]</t>
        </is>
      </c>
    </row>
    <row r="8" ht="15" customHeight="1" s="32">
      <c r="B8" s="63" t="n">
        <v>0.11</v>
      </c>
      <c r="C8" s="51" t="inlineStr">
        <is>
          <t>[data table — Excel What-If Analysis]</t>
        </is>
      </c>
      <c r="D8" s="51" t="inlineStr">
        <is>
          <t>[data table — Excel What-If Analysis]</t>
        </is>
      </c>
      <c r="E8" s="51" t="inlineStr">
        <is>
          <t>[data table — Excel What-If Analysis]</t>
        </is>
      </c>
      <c r="F8" s="51" t="inlineStr">
        <is>
          <t>[data table — Excel What-If Analysis]</t>
        </is>
      </c>
      <c r="G8" s="51" t="inlineStr">
        <is>
          <t>[data table — Excel What-If Analysis]</t>
        </is>
      </c>
    </row>
    <row r="9" ht="15" customHeight="1" s="32">
      <c r="B9" s="63" t="n">
        <v>0.12</v>
      </c>
      <c r="C9" s="51" t="inlineStr">
        <is>
          <t>[data table — Excel What-If Analysis]</t>
        </is>
      </c>
      <c r="D9" s="51" t="inlineStr">
        <is>
          <t>[data table — Excel What-If Analysis]</t>
        </is>
      </c>
      <c r="E9" s="51" t="inlineStr">
        <is>
          <t>[data table — Excel What-If Analysis]</t>
        </is>
      </c>
      <c r="F9" s="51" t="inlineStr">
        <is>
          <t>[data table — Excel What-If Analysis]</t>
        </is>
      </c>
      <c r="G9" s="51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16" customWidth="1" style="31" min="3" max="3"/>
    <col width="30" customWidth="1" style="31" min="4" max="5"/>
    <col width="16" customWidth="1" style="31" min="6" max="6"/>
  </cols>
  <sheetData>
    <row r="2" ht="19.7" customHeight="1" s="32">
      <c r="B2" s="33" t="inlineStr">
        <is>
          <t>Refresh Log</t>
        </is>
      </c>
    </row>
    <row r="4" ht="15" customHeight="1" s="32">
      <c r="A4" s="44" t="n"/>
      <c r="B4" s="44" t="inlineStr">
        <is>
          <t>Date</t>
        </is>
      </c>
      <c r="C4" s="44" t="inlineStr">
        <is>
          <t>Trigger</t>
        </is>
      </c>
      <c r="D4" s="44" t="inlineStr">
        <is>
          <t>What changed</t>
        </is>
      </c>
      <c r="E4" s="44" t="inlineStr">
        <is>
          <t>Reviewer notes</t>
        </is>
      </c>
      <c r="F4" s="44" t="inlineStr">
        <is>
          <t>Next check</t>
        </is>
      </c>
    </row>
    <row r="5" ht="15" customHeight="1" s="32">
      <c r="B5" s="64" t="n"/>
      <c r="C5" s="64" t="n"/>
      <c r="D5" s="64" t="n"/>
      <c r="E5" s="64" t="n"/>
      <c r="F5" s="64" t="n"/>
    </row>
    <row r="6" ht="15" customHeight="1" s="32">
      <c r="B6" s="64" t="n"/>
      <c r="C6" s="64" t="n"/>
      <c r="D6" s="64" t="n"/>
      <c r="E6" s="64" t="n"/>
      <c r="F6" s="64" t="n"/>
    </row>
    <row r="7" ht="15" customHeight="1" s="32">
      <c r="B7" s="64" t="n"/>
      <c r="C7" s="64" t="n"/>
      <c r="D7" s="64" t="n"/>
      <c r="E7" s="64" t="n"/>
      <c r="F7" s="64" t="n"/>
    </row>
    <row r="8" ht="15" customHeight="1" s="32">
      <c r="B8" s="64" t="n"/>
      <c r="C8" s="64" t="n"/>
      <c r="D8" s="64" t="n"/>
      <c r="E8" s="64" t="n"/>
      <c r="F8" s="64" t="n"/>
    </row>
    <row r="9" ht="15" customHeight="1" s="32">
      <c r="B9" s="64" t="n"/>
      <c r="C9" s="64" t="n"/>
      <c r="D9" s="64" t="n"/>
      <c r="E9" s="64" t="n"/>
      <c r="F9" s="64" t="n"/>
    </row>
    <row r="10" ht="15" customHeight="1" s="32">
      <c r="B10" s="64" t="n"/>
      <c r="C10" s="64" t="n"/>
      <c r="D10" s="64" t="n"/>
      <c r="E10" s="64" t="n"/>
      <c r="F10" s="64" t="n"/>
    </row>
    <row r="11" ht="15" customHeight="1" s="32">
      <c r="B11" s="64" t="n"/>
      <c r="C11" s="64" t="n"/>
      <c r="D11" s="64" t="n"/>
      <c r="E11" s="64" t="n"/>
      <c r="F11" s="64" t="n"/>
    </row>
    <row r="12" ht="15" customHeight="1" s="32">
      <c r="B12" s="64" t="n"/>
      <c r="C12" s="64" t="n"/>
      <c r="D12" s="64" t="n"/>
      <c r="E12" s="64" t="n"/>
      <c r="F12" s="64" t="n"/>
    </row>
    <row r="13" ht="15" customHeight="1" s="32">
      <c r="B13" s="64" t="n"/>
      <c r="C13" s="64" t="n"/>
      <c r="D13" s="64" t="n"/>
      <c r="E13" s="64" t="n"/>
      <c r="F13" s="64" t="n"/>
    </row>
    <row r="14" ht="15" customHeight="1" s="32">
      <c r="B14" s="64" t="n"/>
      <c r="C14" s="64" t="n"/>
      <c r="D14" s="64" t="n"/>
      <c r="E14" s="64" t="n"/>
      <c r="F14" s="6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2026-08-03T23:16:04Z</dcterms:created>
  <dcterms:modified xsi:type="dcterms:W3CDTF">2026-08-04T03:48:33Z</dcterms:modified>
  <cp:revision>0</cp:revision>
</cp:coreProperties>
</file>