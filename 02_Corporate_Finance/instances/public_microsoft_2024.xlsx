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<sst xmlns="http://schemas.openxmlformats.org/spreadsheetml/2006/main" count="434" uniqueCount="284">
  <si>
    <t xml:space="preserve">Microsoft FY2024 treasury and capital allocation</t>
  </si>
  <si>
    <t xml:space="preserve">Sector:</t>
  </si>
  <si>
    <t xml:space="preserve">Software -- SEC SIC 7372 (Services-Prepackaged Software), as filed by the registrant</t>
  </si>
  <si>
    <t xml:space="preserve">Coverage started:</t>
  </si>
  <si>
    <t xml:space="preserve">[date]</t>
  </si>
  <si>
    <t xml:space="preserve">Last refreshed:</t>
  </si>
  <si>
    <t xml:space="preserve">2024-06-30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</si>
  <si>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</si>
  <si>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</si>
  <si>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</si>
  <si>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</si>
  <si>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Microsoft closed FY2024 with 245,122mm of revenue, a 69.8% gross margin and net cash of 8,416mm. The live question is capital intensity: capex rose from 10.8% of revenue in FY2020 to 18.1% in FY2024, so free cash flow now turns on whether that build sustains the growth rate that justifies it.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</si>
  <si>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</si>
  <si>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</si>
  <si>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</si>
  <si>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</si>
  <si>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</si>
  <si>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</si>
  <si>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</si>
  <si>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</si>
  <si>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</si>
  <si>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</si>
  <si>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</si>
  <si>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</si>
  <si>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</si>
  <si>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</si>
  <si>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</si>
  <si>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</si>
  <si>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</si>
  <si>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</si>
  <si>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</si>
  <si>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</si>
  <si>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</si>
  <si>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</si>
  <si>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</si>
  <si>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</si>
  <si>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</si>
  <si>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</si>
  <si>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</si>
  <si>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</si>
  <si>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</si>
  <si>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</si>
  <si>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</si>
  <si>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</si>
  <si>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</si>
  <si>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</si>
  <si>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</si>
  <si>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</si>
  <si>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</si>
  <si>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</si>
  <si>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</si>
  <si>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</si>
  <si>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</si>
  <si>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</si>
  <si>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</si>
  <si>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</si>
  <si>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</si>
  <si>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</si>
  <si>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</si>
  <si>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</si>
  <si>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</si>
  <si>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</si>
  <si>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</si>
  <si>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</si>
  <si>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</si>
  <si>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</si>
  <si>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</si>
  <si>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</si>
  <si>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</si>
  <si>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</si>
  <si>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</si>
  <si>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</si>
  <si>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</si>
  <si>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</si>
  <si>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</si>
  <si>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</si>
  <si>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</si>
  <si>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</si>
  <si>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</si>
  <si>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</si>
  <si>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</si>
  <si>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</si>
  <si>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</si>
  <si>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</si>
  <si>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</si>
  <si>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</si>
  <si>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</si>
  <si>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</si>
  <si>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</si>
  <si>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</si>
  <si>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</si>
  <si>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</si>
  <si>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</si>
  <si>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</si>
  <si>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</si>
  <si>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</si>
  <si>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</si>
  <si>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</si>
  <si>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</si>
  <si>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</si>
  <si>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</si>
  <si>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</si>
  <si>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</si>
  <si>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</si>
  <si>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</si>
  <si>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</si>
  <si>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</si>
  <si>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</si>
  <si>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</si>
  <si>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</si>
  <si>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</si>
  <si>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</si>
  <si>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</si>
  <si>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</si>
  <si>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</si>
  <si>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</si>
  <si>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</si>
  <si>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</si>
  <si>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</si>
  <si>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</si>
  <si>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</si>
  <si>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</si>
  <si>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</si>
  <si>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</si>
  <si>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</si>
  <si>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</si>
  <si>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</si>
  <si>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</si>
  <si>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</si>
  <si>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</si>
  <si>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</si>
  <si>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</si>
  <si>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</si>
  <si>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</si>
  <si>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</si>
  <si>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</si>
  <si>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</si>
  <si>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</si>
  <si>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</si>
  <si>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</si>
  <si>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</si>
  <si>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</si>
  <si>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</si>
  <si>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</si>
  <si>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</si>
  <si>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</si>
  <si>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</si>
  <si>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</si>
  <si>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</si>
  <si>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</si>
  <si>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</si>
  <si>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</si>
  <si>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</si>
  <si>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</si>
  <si>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</si>
  <si>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</si>
  <si>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</si>
  <si>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</si>
  <si>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</si>
  <si>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</si>
  <si>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</si>
  <si>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</si>
  <si>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</si>
  <si>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</si>
  <si>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</si>
  <si>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</si>
  <si>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</si>
  <si>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</si>
  <si>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</si>
  <si>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</si>
  <si>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</si>
  <si>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</si>
  <si>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</si>
  <si>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</si>
  <si>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</si>
  <si>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</si>
  <si>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</si>
  <si>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</si>
  <si>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</si>
  <si>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</si>
  <si>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</si>
  <si>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</si>
  <si>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</si>
  <si>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</si>
  <si>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</si>
  <si>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</si>
  <si>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</si>
  <si>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</si>
  <si>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</si>
  <si>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</si>
  <si>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</si>
  <si>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</si>
  <si>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</si>
  <si>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</si>
  <si>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</si>
  <si>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</si>
  <si>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</si>
  <si>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</si>
  <si>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</si>
  <si>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</si>
  <si>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</si>
  <si>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</si>
  <si>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</si>
  <si>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</si>
  <si>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</si>
  <si>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</si>
  <si>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</si>
  <si>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</si>
  <si>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</si>
  <si>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</si>
  <si>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ADBE</t>
  </si>
  <si>
    <t xml:space="preserve">ADSK</t>
  </si>
  <si>
    <t xml:space="preserve">CDNS</t>
  </si>
  <si>
    <t xml:space="preserve">CRWD</t>
  </si>
  <si>
    <t xml:space="preserve">CRWV</t>
  </si>
  <si>
    <t xml:space="preserve">DDOG</t>
  </si>
  <si>
    <t xml:space="preserve">EA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</si>
  <si>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</si>
  <si>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</si>
  <si>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</si>
  <si>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</si>
  <si>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</si>
  <si>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</si>
  <si>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</si>
  <si>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</si>
  <si>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</si>
  <si>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2026-09-01</t>
  </si>
  <si>
    <t xml:space="preserve">Depth pass: full input accounting against recorded XBRL facts</t>
  </si>
  <si>
    <t xml:space="preserve">Filled the forward driver grid, the DCF bridge, the treasury policy screens, and the comparable-company peer set from Microsoft's recorded XBRL facts for FY2020-FY2024. The grid previously held literal zeros -- a zero revenue growth rate and a zero WACC read as data rather than as blanks. Every forward driver is derived only from fiscal years ending on or before the case's as-of date; FY2025 and FY2026 actuals are present in the fact set and excluded by an explicit assertion in the generator. The eighteen values already sourced from the 10-K are untouched, and two places where the 10-K and the XBRL tag disagree are recorded as open questions rather than silently reconciled.</t>
  </si>
  <si>
    <t xml:space="preserve">External historical case; human stakeholder approval remains pending. Comps multiples remain empty because no market-data source is reachable; the peer set itself is sourced by SIC code. The sheet's ending-cash identity omits non-capex investing flows and FX, so it is not comparable to the 10-K's cash and short-term investments.</t>
  </si>
  <si>
    <t xml:space="preserve">On Microsoft's next Form 10-K, builder change, or annual review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</si>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</sst>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4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11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4" t="s">
        <v>13</v>
      </c>
      <c r="C17" s="5" t="s">
        <v>14</v>
      </c>
    </row>
    <row r="18" customFormat="false" ht="15" hidden="false" customHeight="false" outlineLevel="0" collapsed="false">
      <c r="B18" s="5" t="s">
        <v>15</v>
      </c>
      <c r="C18" s="5" t="s">
        <v>16</v>
      </c>
    </row>
    <row r="19" customFormat="false" ht="15" hidden="false" customHeight="false" outlineLevel="0" collapsed="false">
      <c r="B19" s="7" t="s">
        <v>17</v>
      </c>
      <c r="C19" s="5" t="s">
        <v>18</v>
      </c>
    </row>
    <row r="20" customFormat="false" ht="15" hidden="false" customHeight="false" outlineLevel="0" collapsed="false">
      <c r="B20" s="8" t="s">
        <v>19</v>
      </c>
      <c r="C20" s="5" t="s">
        <v>20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21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22</v>
      </c>
      <c r="C4" s="11" t="s">
        <v>23</v>
      </c>
      <c r="D4" s="11"/>
      <c r="E4" s="11"/>
      <c r="F4" s="11"/>
    </row>
    <row r="5" customFormat="false" ht="15" hidden="false" customHeight="true" outlineLevel="0" collapsed="false">
      <c r="B5" s="10" t="s">
        <v>24</v>
      </c>
      <c r="C5" s="11" t="s">
        <v>25</v>
      </c>
      <c r="D5" s="11"/>
      <c r="E5" s="11"/>
      <c r="F5" s="11"/>
    </row>
    <row r="6" customFormat="false" ht="15" hidden="false" customHeight="true" outlineLevel="0" collapsed="false">
      <c r="B6" s="10" t="s">
        <v>26</v>
      </c>
      <c r="C6" s="11" t="s">
        <v>27</v>
      </c>
      <c r="D6" s="11"/>
      <c r="E6" s="11"/>
      <c r="F6" s="11"/>
    </row>
    <row r="7" customFormat="false" ht="15" hidden="false" customHeight="true" outlineLevel="0" collapsed="false">
      <c r="B7" s="10" t="s">
        <v>28</v>
      </c>
      <c r="C7" s="11" t="s">
        <v>29</v>
      </c>
      <c r="D7" s="11"/>
      <c r="E7" s="11"/>
      <c r="F7" s="11"/>
    </row>
    <row r="8" customFormat="false" ht="15" hidden="false" customHeight="true" outlineLevel="0" collapsed="false">
      <c r="B8" s="10" t="s">
        <v>30</v>
      </c>
      <c r="C8" s="11" t="s">
        <v>31</v>
      </c>
      <c r="D8" s="11"/>
      <c r="E8" s="11"/>
      <c r="F8" s="11"/>
    </row>
    <row r="9" customFormat="false" ht="15" hidden="false" customHeight="true" outlineLevel="0" collapsed="false">
      <c r="B9" s="10" t="s">
        <v>32</v>
      </c>
      <c r="C9" s="11" t="s">
        <v>33</v>
      </c>
      <c r="D9" s="11"/>
      <c r="E9" s="11"/>
      <c r="F9" s="11"/>
    </row>
    <row r="10" customFormat="false" ht="15" hidden="false" customHeight="true" outlineLevel="0" collapsed="false">
      <c r="B10" s="10" t="s">
        <v>34</v>
      </c>
      <c r="C10" s="11" t="s">
        <v>35</v>
      </c>
      <c r="D10" s="11"/>
      <c r="E10" s="11"/>
      <c r="F10" s="11"/>
    </row>
    <row r="12" customFormat="false" ht="15" hidden="false" customHeight="false" outlineLevel="0" collapsed="false">
      <c r="B12" s="12" t="s">
        <v>36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37</v>
      </c>
      <c r="C13" s="13" t="s">
        <v>38</v>
      </c>
      <c r="D13" s="13" t="s">
        <v>39</v>
      </c>
      <c r="E13" s="13" t="s">
        <v>40</v>
      </c>
      <c r="F13" s="13" t="s">
        <v>41</v>
      </c>
    </row>
    <row r="14" customFormat="false" ht="15" hidden="false" customHeight="false" outlineLevel="0" collapsed="false">
      <c r="B14" s="0" t="n">
        <v>1</v>
      </c>
      <c r="C14" s="0" t="s">
        <v>42</v>
      </c>
      <c r="F14" s="14" t="s">
        <v>43</v>
      </c>
    </row>
    <row r="15" customFormat="false" ht="15" hidden="false" customHeight="false" outlineLevel="0" collapsed="false">
      <c r="B15" s="0" t="n">
        <v>2</v>
      </c>
      <c r="C15" s="0" t="s">
        <v>44</v>
      </c>
      <c r="F15" s="14" t="s">
        <v>43</v>
      </c>
    </row>
    <row r="16" customFormat="false" ht="15" hidden="false" customHeight="false" outlineLevel="0" collapsed="false">
      <c r="B16" s="0" t="n">
        <v>3</v>
      </c>
      <c r="C16" s="0" t="s">
        <v>45</v>
      </c>
      <c r="F16" s="14" t="s">
        <v>43</v>
      </c>
    </row>
    <row r="17" customFormat="false" ht="15" hidden="false" customHeight="false" outlineLevel="0" collapsed="false">
      <c r="B17" s="0" t="n">
        <v>4</v>
      </c>
      <c r="C17" s="0" t="s">
        <v>46</v>
      </c>
      <c r="F17" s="14" t="s">
        <v>43</v>
      </c>
    </row>
    <row r="18" customFormat="false" ht="15" hidden="false" customHeight="false" outlineLevel="0" collapsed="false">
      <c r="B18" s="0" t="n">
        <v>5</v>
      </c>
      <c r="C18" s="0" t="s">
        <v>47</v>
      </c>
      <c r="F18" s="14" t="s">
        <v>43</v>
      </c>
    </row>
    <row r="20" customFormat="false" ht="15" hidden="false" customHeight="false" outlineLevel="0" collapsed="false">
      <c r="B20" s="12" t="s">
        <v>48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37</v>
      </c>
      <c r="C21" s="13" t="s">
        <v>38</v>
      </c>
      <c r="D21" s="13" t="s">
        <v>39</v>
      </c>
      <c r="E21" s="13" t="s">
        <v>40</v>
      </c>
      <c r="F21" s="13" t="s">
        <v>41</v>
      </c>
    </row>
    <row r="22" customFormat="false" ht="15" hidden="false" customHeight="false" outlineLevel="0" collapsed="false">
      <c r="B22" s="0" t="n">
        <v>1</v>
      </c>
      <c r="C22" s="0" t="s">
        <v>49</v>
      </c>
      <c r="F22" s="14" t="s">
        <v>43</v>
      </c>
    </row>
    <row r="23" customFormat="false" ht="15" hidden="false" customHeight="false" outlineLevel="0" collapsed="false">
      <c r="B23" s="0" t="n">
        <v>2</v>
      </c>
      <c r="C23" s="0" t="s">
        <v>50</v>
      </c>
      <c r="F23" s="14" t="s">
        <v>43</v>
      </c>
    </row>
    <row r="24" customFormat="false" ht="15" hidden="false" customHeight="false" outlineLevel="0" collapsed="false">
      <c r="B24" s="0" t="n">
        <v>3</v>
      </c>
      <c r="C24" s="0" t="s">
        <v>51</v>
      </c>
      <c r="F24" s="14" t="s">
        <v>43</v>
      </c>
    </row>
    <row r="25" customFormat="false" ht="15" hidden="false" customHeight="false" outlineLevel="0" collapsed="false">
      <c r="B25" s="0" t="n">
        <v>4</v>
      </c>
      <c r="C25" s="0" t="s">
        <v>52</v>
      </c>
      <c r="F25" s="14" t="s">
        <v>43</v>
      </c>
    </row>
    <row r="26" customFormat="false" ht="15" hidden="false" customHeight="false" outlineLevel="0" collapsed="false">
      <c r="B26" s="0" t="n">
        <v>5</v>
      </c>
      <c r="C26" s="0" t="s">
        <v>53</v>
      </c>
      <c r="F26" s="14" t="s">
        <v>43</v>
      </c>
    </row>
    <row r="28" customFormat="false" ht="15" hidden="false" customHeight="false" outlineLevel="0" collapsed="false">
      <c r="B28" s="12" t="s">
        <v>54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37</v>
      </c>
      <c r="C29" s="13" t="s">
        <v>38</v>
      </c>
      <c r="D29" s="13" t="s">
        <v>39</v>
      </c>
      <c r="E29" s="13" t="s">
        <v>40</v>
      </c>
      <c r="F29" s="13" t="s">
        <v>41</v>
      </c>
    </row>
    <row r="30" customFormat="false" ht="15" hidden="false" customHeight="false" outlineLevel="0" collapsed="false">
      <c r="B30" s="0" t="n">
        <v>1</v>
      </c>
      <c r="C30" s="0" t="s">
        <v>55</v>
      </c>
      <c r="F30" s="14" t="s">
        <v>43</v>
      </c>
    </row>
    <row r="31" customFormat="false" ht="15" hidden="false" customHeight="false" outlineLevel="0" collapsed="false">
      <c r="B31" s="0" t="n">
        <v>2</v>
      </c>
      <c r="C31" s="0" t="s">
        <v>56</v>
      </c>
      <c r="F31" s="14" t="s">
        <v>43</v>
      </c>
    </row>
    <row r="32" customFormat="false" ht="15" hidden="false" customHeight="false" outlineLevel="0" collapsed="false">
      <c r="B32" s="0" t="n">
        <v>3</v>
      </c>
      <c r="C32" s="0" t="s">
        <v>57</v>
      </c>
      <c r="F32" s="14" t="s">
        <v>43</v>
      </c>
    </row>
    <row r="33" customFormat="false" ht="15" hidden="false" customHeight="false" outlineLevel="0" collapsed="false">
      <c r="B33" s="0" t="n">
        <v>4</v>
      </c>
      <c r="C33" s="0" t="s">
        <v>58</v>
      </c>
      <c r="F33" s="14" t="s">
        <v>43</v>
      </c>
    </row>
    <row r="34" customFormat="false" ht="15" hidden="false" customHeight="false" outlineLevel="0" collapsed="false">
      <c r="B34" s="0" t="n">
        <v>5</v>
      </c>
      <c r="C34" s="0" t="s">
        <v>59</v>
      </c>
      <c r="F34" s="14" t="s">
        <v>43</v>
      </c>
    </row>
    <row r="36" customFormat="false" ht="15" hidden="false" customHeight="false" outlineLevel="0" collapsed="false">
      <c r="B36" s="12" t="s">
        <v>60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37</v>
      </c>
      <c r="C37" s="13" t="s">
        <v>38</v>
      </c>
      <c r="D37" s="13" t="s">
        <v>39</v>
      </c>
      <c r="E37" s="13" t="s">
        <v>40</v>
      </c>
      <c r="F37" s="13" t="s">
        <v>41</v>
      </c>
    </row>
    <row r="38" customFormat="false" ht="15" hidden="false" customHeight="false" outlineLevel="0" collapsed="false">
      <c r="B38" s="0" t="n">
        <v>1</v>
      </c>
      <c r="C38" s="0" t="s">
        <v>61</v>
      </c>
      <c r="F38" s="14" t="s">
        <v>43</v>
      </c>
    </row>
    <row r="39" customFormat="false" ht="15" hidden="false" customHeight="false" outlineLevel="0" collapsed="false">
      <c r="B39" s="0" t="n">
        <v>2</v>
      </c>
      <c r="C39" s="0" t="s">
        <v>62</v>
      </c>
      <c r="F39" s="14" t="s">
        <v>43</v>
      </c>
    </row>
    <row r="40" customFormat="false" ht="15" hidden="false" customHeight="false" outlineLevel="0" collapsed="false">
      <c r="B40" s="0" t="n">
        <v>3</v>
      </c>
      <c r="C40" s="0" t="s">
        <v>63</v>
      </c>
      <c r="F40" s="14" t="s">
        <v>43</v>
      </c>
    </row>
    <row r="41" customFormat="false" ht="15" hidden="false" customHeight="false" outlineLevel="0" collapsed="false">
      <c r="B41" s="0" t="n">
        <v>4</v>
      </c>
      <c r="C41" s="0" t="s">
        <v>64</v>
      </c>
      <c r="F41" s="14" t="s">
        <v>43</v>
      </c>
    </row>
    <row r="42" customFormat="false" ht="15" hidden="false" customHeight="false" outlineLevel="0" collapsed="false">
      <c r="B42" s="0" t="n">
        <v>5</v>
      </c>
      <c r="C42" s="0" t="s">
        <v>65</v>
      </c>
      <c r="F42" s="14" t="s">
        <v>43</v>
      </c>
    </row>
    <row r="44" customFormat="false" ht="15" hidden="false" customHeight="false" outlineLevel="0" collapsed="false">
      <c r="B44" s="12" t="s">
        <v>66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37</v>
      </c>
      <c r="C45" s="13" t="s">
        <v>38</v>
      </c>
      <c r="D45" s="13" t="s">
        <v>39</v>
      </c>
      <c r="E45" s="13" t="s">
        <v>40</v>
      </c>
      <c r="F45" s="13" t="s">
        <v>41</v>
      </c>
    </row>
    <row r="46" customFormat="false" ht="15" hidden="false" customHeight="false" outlineLevel="0" collapsed="false">
      <c r="B46" s="0" t="n">
        <v>1</v>
      </c>
      <c r="C46" s="0" t="s">
        <v>67</v>
      </c>
      <c r="F46" s="14" t="s">
        <v>43</v>
      </c>
    </row>
    <row r="47" customFormat="false" ht="15" hidden="false" customHeight="false" outlineLevel="0" collapsed="false">
      <c r="B47" s="0" t="n">
        <v>2</v>
      </c>
      <c r="C47" s="0" t="s">
        <v>68</v>
      </c>
      <c r="F47" s="14" t="s">
        <v>43</v>
      </c>
    </row>
    <row r="48" customFormat="false" ht="15" hidden="false" customHeight="false" outlineLevel="0" collapsed="false">
      <c r="B48" s="0" t="n">
        <v>3</v>
      </c>
      <c r="C48" s="0" t="s">
        <v>69</v>
      </c>
      <c r="F48" s="14" t="s">
        <v>43</v>
      </c>
    </row>
    <row r="49" customFormat="false" ht="15" hidden="false" customHeight="false" outlineLevel="0" collapsed="false">
      <c r="B49" s="0" t="n">
        <v>4</v>
      </c>
      <c r="C49" s="0" t="s">
        <v>70</v>
      </c>
      <c r="F49" s="14" t="s">
        <v>43</v>
      </c>
    </row>
    <row r="50" customFormat="false" ht="15" hidden="false" customHeight="false" outlineLevel="0" collapsed="false">
      <c r="B50" s="0" t="n">
        <v>5</v>
      </c>
      <c r="C50" s="0" t="s">
        <v>71</v>
      </c>
      <c r="F50" s="14" t="s">
        <v>43</v>
      </c>
    </row>
    <row r="52" customFormat="false" ht="15" hidden="false" customHeight="false" outlineLevel="0" collapsed="false">
      <c r="B52" s="12" t="s">
        <v>72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37</v>
      </c>
      <c r="C53" s="13" t="s">
        <v>38</v>
      </c>
      <c r="D53" s="13" t="s">
        <v>39</v>
      </c>
      <c r="E53" s="13" t="s">
        <v>40</v>
      </c>
      <c r="F53" s="13" t="s">
        <v>41</v>
      </c>
    </row>
    <row r="54" customFormat="false" ht="15" hidden="false" customHeight="false" outlineLevel="0" collapsed="false">
      <c r="B54" s="0" t="n">
        <v>1</v>
      </c>
      <c r="C54" s="0" t="s">
        <v>73</v>
      </c>
      <c r="F54" s="14" t="s">
        <v>43</v>
      </c>
    </row>
    <row r="55" customFormat="false" ht="15" hidden="false" customHeight="false" outlineLevel="0" collapsed="false">
      <c r="B55" s="0" t="n">
        <v>2</v>
      </c>
      <c r="C55" s="0" t="s">
        <v>74</v>
      </c>
      <c r="F55" s="14" t="s">
        <v>43</v>
      </c>
    </row>
    <row r="56" customFormat="false" ht="15" hidden="false" customHeight="false" outlineLevel="0" collapsed="false">
      <c r="B56" s="0" t="n">
        <v>3</v>
      </c>
      <c r="C56" s="0" t="s">
        <v>75</v>
      </c>
      <c r="F56" s="14" t="s">
        <v>43</v>
      </c>
    </row>
    <row r="57" customFormat="false" ht="15" hidden="false" customHeight="false" outlineLevel="0" collapsed="false">
      <c r="B57" s="0" t="n">
        <v>4</v>
      </c>
      <c r="C57" s="0" t="s">
        <v>76</v>
      </c>
      <c r="F57" s="14" t="s">
        <v>43</v>
      </c>
    </row>
    <row r="58" customFormat="false" ht="15" hidden="false" customHeight="false" outlineLevel="0" collapsed="false">
      <c r="B58" s="0" t="n">
        <v>5</v>
      </c>
      <c r="C58" s="0" t="s">
        <v>77</v>
      </c>
      <c r="F58" s="14" t="s">
        <v>43</v>
      </c>
    </row>
    <row r="60" customFormat="false" ht="15" hidden="false" customHeight="false" outlineLevel="0" collapsed="false">
      <c r="B60" s="12" t="s">
        <v>78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79</v>
      </c>
      <c r="C61" s="13" t="s">
        <v>80</v>
      </c>
      <c r="D61" s="13" t="s">
        <v>81</v>
      </c>
      <c r="E61" s="13" t="s">
        <v>82</v>
      </c>
      <c r="F61" s="13" t="s">
        <v>83</v>
      </c>
    </row>
    <row r="62" customFormat="false" ht="15" hidden="false" customHeight="false" outlineLevel="0" collapsed="false">
      <c r="B62" s="0" t="s">
        <v>84</v>
      </c>
      <c r="C62" s="0" t="s">
        <v>85</v>
      </c>
      <c r="D62" s="0" t="s">
        <v>86</v>
      </c>
      <c r="E62" s="0" t="s">
        <v>87</v>
      </c>
    </row>
    <row r="63" customFormat="false" ht="15" hidden="false" customHeight="false" outlineLevel="0" collapsed="false">
      <c r="B63" s="0" t="s">
        <v>88</v>
      </c>
      <c r="C63" s="0" t="s">
        <v>89</v>
      </c>
      <c r="D63" s="0" t="s">
        <v>90</v>
      </c>
      <c r="E63" s="0" t="s">
        <v>87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91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92</v>
      </c>
      <c r="C4" s="13" t="s">
        <v>93</v>
      </c>
      <c r="D4" s="13" t="s">
        <v>94</v>
      </c>
      <c r="E4" s="13" t="s">
        <v>95</v>
      </c>
      <c r="F4" s="13" t="s">
        <v>96</v>
      </c>
      <c r="G4" s="13" t="s">
        <v>97</v>
      </c>
      <c r="H4" s="13" t="s">
        <v>41</v>
      </c>
      <c r="I4" s="13" t="s">
        <v>98</v>
      </c>
    </row>
    <row r="5" customFormat="false" ht="15" hidden="false" customHeight="false" outlineLevel="0" collapsed="false">
      <c r="D5" s="0" t="s">
        <v>67</v>
      </c>
      <c r="H5" s="14" t="s">
        <v>43</v>
      </c>
    </row>
    <row r="6" customFormat="false" ht="15" hidden="false" customHeight="false" outlineLevel="0" collapsed="false">
      <c r="D6" s="0" t="s">
        <v>68</v>
      </c>
      <c r="H6" s="14" t="s">
        <v>43</v>
      </c>
    </row>
    <row r="7" customFormat="false" ht="15" hidden="false" customHeight="false" outlineLevel="0" collapsed="false">
      <c r="D7" s="0" t="s">
        <v>69</v>
      </c>
      <c r="H7" s="14" t="s">
        <v>43</v>
      </c>
    </row>
    <row r="8" customFormat="false" ht="15" hidden="false" customHeight="false" outlineLevel="0" collapsed="false">
      <c r="D8" s="0" t="s">
        <v>70</v>
      </c>
      <c r="H8" s="14" t="s">
        <v>43</v>
      </c>
    </row>
    <row r="9" customFormat="false" ht="15" hidden="false" customHeight="false" outlineLevel="0" collapsed="false">
      <c r="D9" s="0" t="s">
        <v>71</v>
      </c>
      <c r="H9" s="14" t="s">
        <v>43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99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100</v>
      </c>
      <c r="C4" s="13" t="s">
        <v>101</v>
      </c>
      <c r="D4" s="13" t="s">
        <v>102</v>
      </c>
      <c r="E4" s="13" t="s">
        <v>103</v>
      </c>
      <c r="F4" s="13" t="s">
        <v>104</v>
      </c>
      <c r="G4" s="13" t="s">
        <v>39</v>
      </c>
      <c r="H4" s="13" t="s">
        <v>105</v>
      </c>
      <c r="I4" s="13" t="s">
        <v>106</v>
      </c>
      <c r="J4" s="13" t="s">
        <v>41</v>
      </c>
    </row>
    <row r="5" customFormat="false" ht="15" hidden="false" customHeight="false" outlineLevel="0" collapsed="false">
      <c r="B5" s="0" t="s">
        <v>107</v>
      </c>
      <c r="C5" s="0" t="s">
        <v>108</v>
      </c>
      <c r="D5" s="0" t="s">
        <v>109</v>
      </c>
      <c r="J5" s="14" t="s">
        <v>110</v>
      </c>
    </row>
    <row r="6" customFormat="false" ht="15" hidden="false" customHeight="false" outlineLevel="0" collapsed="false">
      <c r="B6" s="0" t="s">
        <v>111</v>
      </c>
      <c r="C6" s="0" t="s">
        <v>112</v>
      </c>
      <c r="D6" s="0" t="s">
        <v>113</v>
      </c>
      <c r="J6" s="14" t="s">
        <v>110</v>
      </c>
    </row>
    <row r="7" customFormat="false" ht="15" hidden="false" customHeight="false" outlineLevel="0" collapsed="false">
      <c r="B7" s="0" t="s">
        <v>114</v>
      </c>
      <c r="C7" s="0" t="s">
        <v>115</v>
      </c>
      <c r="D7" s="0" t="s">
        <v>116</v>
      </c>
      <c r="J7" s="14" t="s">
        <v>110</v>
      </c>
    </row>
    <row r="8" customFormat="false" ht="15" hidden="false" customHeight="false" outlineLevel="0" collapsed="false">
      <c r="B8" s="0" t="s">
        <v>117</v>
      </c>
      <c r="C8" s="0" t="s">
        <v>118</v>
      </c>
      <c r="D8" s="0" t="s">
        <v>119</v>
      </c>
      <c r="J8" s="14" t="s">
        <v>110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120</v>
      </c>
    </row>
    <row r="4" customFormat="false" ht="15" hidden="false" customHeight="false" outlineLevel="0" collapsed="false">
      <c r="A4" s="15"/>
      <c r="B4" s="15" t="s">
        <v>121</v>
      </c>
      <c r="C4" s="15" t="s">
        <v>122</v>
      </c>
      <c r="D4" s="15" t="s">
        <v>123</v>
      </c>
      <c r="E4" s="15" t="s">
        <v>124</v>
      </c>
      <c r="F4" s="15" t="s">
        <v>125</v>
      </c>
      <c r="G4" s="15" t="s">
        <v>126</v>
      </c>
      <c r="H4" s="15" t="s">
        <v>127</v>
      </c>
    </row>
    <row r="5" customFormat="false" ht="15" hidden="false" customHeight="false" outlineLevel="0" collapsed="false">
      <c r="B5" s="5" t="s">
        <v>128</v>
      </c>
      <c r="C5" s="16" t="n">
        <v>0.145099</v>
      </c>
      <c r="D5" s="16" t="n">
        <v>0.12603</v>
      </c>
      <c r="E5" s="16" t="n">
        <v>0.10696</v>
      </c>
      <c r="F5" s="16" t="n">
        <v>0.08789</v>
      </c>
      <c r="G5" s="16" t="n">
        <v>0.06882</v>
      </c>
      <c r="H5" s="17" t="s">
        <v>129</v>
      </c>
    </row>
    <row r="6" customFormat="false" ht="15" hidden="false" customHeight="false" outlineLevel="0" collapsed="false">
      <c r="B6" s="5" t="s">
        <v>130</v>
      </c>
      <c r="C6" s="16" t="n">
        <v>0.697644</v>
      </c>
      <c r="D6" s="16" t="n">
        <v>0.697644</v>
      </c>
      <c r="E6" s="16" t="n">
        <v>0.697644</v>
      </c>
      <c r="F6" s="16" t="n">
        <v>0.697644</v>
      </c>
      <c r="G6" s="16" t="n">
        <v>0.697644</v>
      </c>
      <c r="H6" s="17" t="s">
        <v>129</v>
      </c>
    </row>
    <row r="7" customFormat="false" ht="15" hidden="false" customHeight="false" outlineLevel="0" collapsed="false">
      <c r="B7" s="5" t="s">
        <v>131</v>
      </c>
      <c r="C7" s="16" t="n">
        <v>0.251201</v>
      </c>
      <c r="D7" s="16" t="n">
        <v>0.251201</v>
      </c>
      <c r="E7" s="16" t="n">
        <v>0.251201</v>
      </c>
      <c r="F7" s="16" t="n">
        <v>0.251201</v>
      </c>
      <c r="G7" s="16" t="n">
        <v>0.251201</v>
      </c>
      <c r="H7" s="17" t="s">
        <v>129</v>
      </c>
    </row>
    <row r="8" customFormat="false" ht="15" hidden="false" customHeight="false" outlineLevel="0" collapsed="false">
      <c r="B8" s="5" t="s">
        <v>132</v>
      </c>
      <c r="C8" s="16" t="n">
        <v>0.182313</v>
      </c>
      <c r="D8" s="16" t="n">
        <v>0.182313</v>
      </c>
      <c r="E8" s="16" t="n">
        <v>0.182313</v>
      </c>
      <c r="F8" s="16" t="n">
        <v>0.182313</v>
      </c>
      <c r="G8" s="16" t="n">
        <v>0.182313</v>
      </c>
      <c r="H8" s="17" t="s">
        <v>129</v>
      </c>
    </row>
    <row r="9" customFormat="false" ht="15" hidden="false" customHeight="false" outlineLevel="0" collapsed="false">
      <c r="B9" s="5" t="s">
        <v>133</v>
      </c>
      <c r="C9" s="16" t="n">
        <v>0.55</v>
      </c>
      <c r="D9" s="16" t="n">
        <v>0.55</v>
      </c>
      <c r="E9" s="16" t="n">
        <v>0.55</v>
      </c>
      <c r="F9" s="16" t="n">
        <v>0.55</v>
      </c>
      <c r="G9" s="16" t="n">
        <v>0.55</v>
      </c>
      <c r="H9" s="17" t="s">
        <v>129</v>
      </c>
    </row>
    <row r="10" customFormat="false" ht="15" hidden="false" customHeight="false" outlineLevel="0" collapsed="false">
      <c r="B10" s="5" t="s">
        <v>134</v>
      </c>
      <c r="C10" s="16" t="n">
        <v>0.181448</v>
      </c>
      <c r="D10" s="16" t="n">
        <v>0.181448</v>
      </c>
      <c r="E10" s="16" t="n">
        <v>0.181448</v>
      </c>
      <c r="F10" s="16" t="n">
        <v>0.181448</v>
      </c>
      <c r="G10" s="16" t="n">
        <v>0.181448</v>
      </c>
      <c r="H10" s="17" t="s">
        <v>129</v>
      </c>
    </row>
    <row r="11" customFormat="false" ht="15" hidden="false" customHeight="false" outlineLevel="0" collapsed="false">
      <c r="B11" s="5" t="s">
        <v>135</v>
      </c>
      <c r="C11" s="16" t="n">
        <v>-0.556192</v>
      </c>
      <c r="D11" s="16" t="n">
        <v>-0.556192</v>
      </c>
      <c r="E11" s="16" t="n">
        <v>-0.556192</v>
      </c>
      <c r="F11" s="16" t="n">
        <v>-0.556192</v>
      </c>
      <c r="G11" s="16" t="n">
        <v>-0.556192</v>
      </c>
      <c r="H11" s="17" t="s">
        <v>129</v>
      </c>
    </row>
    <row r="12" customFormat="false" ht="15" hidden="false" customHeight="false" outlineLevel="0" collapsed="false">
      <c r="B12" s="5" t="s">
        <v>136</v>
      </c>
      <c r="C12" s="18" t="n">
        <v>7400.1</v>
      </c>
      <c r="D12" s="18" t="n">
        <v>7366.4</v>
      </c>
      <c r="E12" s="18" t="n">
        <v>7332.9</v>
      </c>
      <c r="F12" s="18" t="n">
        <v>7299.5</v>
      </c>
      <c r="G12" s="18" t="n">
        <v>7266.2</v>
      </c>
      <c r="H12" s="17" t="s">
        <v>129</v>
      </c>
    </row>
    <row r="13" customFormat="false" ht="15" hidden="false" customHeight="false" outlineLevel="0" collapsed="false">
      <c r="B13" s="5" t="s">
        <v>137</v>
      </c>
      <c r="C13" s="16" t="n">
        <v>0.085</v>
      </c>
      <c r="D13" s="16" t="n">
        <v>0.085</v>
      </c>
      <c r="E13" s="16" t="n">
        <v>0.085</v>
      </c>
      <c r="F13" s="16" t="n">
        <v>0.085</v>
      </c>
      <c r="G13" s="16" t="n">
        <v>0.085</v>
      </c>
      <c r="H13" s="17" t="s">
        <v>129</v>
      </c>
    </row>
    <row r="14" customFormat="false" ht="15" hidden="false" customHeight="false" outlineLevel="0" collapsed="false">
      <c r="B14" s="5" t="s">
        <v>138</v>
      </c>
      <c r="C14" s="16" t="n">
        <v>0.025</v>
      </c>
      <c r="D14" s="16" t="n">
        <v>0.025</v>
      </c>
      <c r="E14" s="16" t="n">
        <v>0.025</v>
      </c>
      <c r="F14" s="16" t="n">
        <v>0.025</v>
      </c>
      <c r="G14" s="16" t="n">
        <v>0.025</v>
      </c>
      <c r="H14" s="1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139</v>
      </c>
    </row>
    <row r="4" customFormat="false" ht="15" hidden="false" customHeight="false" outlineLevel="0" collapsed="false">
      <c r="A4" s="15"/>
      <c r="B4" s="15" t="s">
        <v>140</v>
      </c>
      <c r="C4" s="15" t="s">
        <v>141</v>
      </c>
      <c r="D4" s="15" t="s">
        <v>142</v>
      </c>
      <c r="E4" s="15" t="s">
        <v>143</v>
      </c>
      <c r="F4" s="15" t="s">
        <v>144</v>
      </c>
      <c r="G4" s="15" t="s">
        <v>145</v>
      </c>
      <c r="H4" s="15" t="s">
        <v>146</v>
      </c>
      <c r="I4" s="15" t="s">
        <v>147</v>
      </c>
    </row>
    <row r="5" customFormat="false" ht="15" hidden="false" customHeight="false" outlineLevel="0" collapsed="false">
      <c r="B5" s="2" t="s">
        <v>148</v>
      </c>
      <c r="C5" s="19"/>
      <c r="D5" s="19"/>
      <c r="E5" s="19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5" t="s">
        <v>128</v>
      </c>
      <c r="C6" s="20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5" t="s">
        <v>149</v>
      </c>
      <c r="C7" s="19"/>
      <c r="D7" s="19"/>
      <c r="E7" s="19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150</v>
      </c>
      <c r="C8" s="19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5" t="s">
        <v>130</v>
      </c>
      <c r="C9" s="20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5" t="s">
        <v>151</v>
      </c>
      <c r="C10" s="19"/>
      <c r="D10" s="19"/>
      <c r="E10" s="19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152</v>
      </c>
      <c r="C11" s="19"/>
      <c r="D11" s="19"/>
      <c r="E11" s="19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5" t="s">
        <v>153</v>
      </c>
      <c r="C12" s="20"/>
      <c r="D12" s="20"/>
      <c r="E12" s="20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5" t="s">
        <v>154</v>
      </c>
      <c r="C13" s="19"/>
      <c r="D13" s="19"/>
      <c r="E13" s="19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155</v>
      </c>
      <c r="C14" s="19"/>
      <c r="D14" s="19"/>
      <c r="E14" s="19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5" t="s">
        <v>156</v>
      </c>
      <c r="C15" s="19"/>
      <c r="D15" s="19"/>
      <c r="E15" s="19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5" t="s">
        <v>157</v>
      </c>
      <c r="C16" s="19"/>
      <c r="D16" s="19"/>
      <c r="E16" s="19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5" t="s">
        <v>158</v>
      </c>
      <c r="C17" s="19"/>
      <c r="D17" s="19"/>
      <c r="E17" s="19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159</v>
      </c>
      <c r="C18" s="19"/>
      <c r="D18" s="19"/>
      <c r="E18" s="19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5" t="s">
        <v>160</v>
      </c>
      <c r="C19" s="19"/>
      <c r="D19" s="19"/>
      <c r="E19" s="19"/>
      <c r="F19" s="19" t="n">
        <f aca="false">Assumptions!C12</f>
        <v>7400.1</v>
      </c>
      <c r="G19" s="19" t="n">
        <f aca="false">Assumptions!D12</f>
        <v>7366.4</v>
      </c>
      <c r="H19" s="19" t="n">
        <f aca="false">Assumptions!E12</f>
        <v>7332.9</v>
      </c>
      <c r="I19" s="19" t="n">
        <f aca="false">Assumptions!F12</f>
        <v>7299.5</v>
      </c>
    </row>
    <row r="20" customFormat="false" ht="15" hidden="false" customHeight="false" outlineLevel="0" collapsed="false">
      <c r="B20" s="5" t="s">
        <v>161</v>
      </c>
      <c r="C20" s="19"/>
      <c r="D20" s="19"/>
      <c r="E20" s="19"/>
      <c r="F20" s="19" t="n">
        <f aca="false">IFERROR(F18/F19,"-")</f>
        <v>0</v>
      </c>
      <c r="G20" s="19" t="n">
        <f aca="false">IFERROR(G18/G19,"-")</f>
        <v>0</v>
      </c>
      <c r="H20" s="19" t="n">
        <f aca="false">IFERROR(H18/H19,"-")</f>
        <v>0</v>
      </c>
      <c r="I20" s="19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162</v>
      </c>
    </row>
    <row r="4" customFormat="false" ht="15" hidden="false" customHeight="false" outlineLevel="0" collapsed="false">
      <c r="A4" s="15"/>
      <c r="B4" s="15" t="s">
        <v>140</v>
      </c>
      <c r="C4" s="15" t="s">
        <v>142</v>
      </c>
      <c r="D4" s="15" t="s">
        <v>143</v>
      </c>
      <c r="E4" s="15" t="s">
        <v>144</v>
      </c>
      <c r="F4" s="15" t="s">
        <v>145</v>
      </c>
      <c r="G4" s="0" t="s">
        <v>146</v>
      </c>
    </row>
    <row r="5" customFormat="false" ht="15" hidden="false" customHeight="false" outlineLevel="0" collapsed="false">
      <c r="B5" s="5" t="s">
        <v>163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5" t="s">
        <v>164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5" t="s">
        <v>165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166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5" t="s">
        <v>167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5" t="s">
        <v>168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169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5" t="s">
        <v>170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5" t="s">
        <v>171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172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5" t="s">
        <v>173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174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175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176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177</v>
      </c>
    </row>
    <row r="4" customFormat="false" ht="15" hidden="false" customHeight="false" outlineLevel="0" collapsed="false">
      <c r="A4" s="15"/>
      <c r="B4" s="15" t="s">
        <v>140</v>
      </c>
      <c r="C4" s="15" t="s">
        <v>142</v>
      </c>
      <c r="D4" s="15" t="s">
        <v>143</v>
      </c>
      <c r="E4" s="15" t="s">
        <v>144</v>
      </c>
      <c r="F4" s="15" t="s">
        <v>145</v>
      </c>
      <c r="G4" s="0" t="s">
        <v>146</v>
      </c>
    </row>
    <row r="5" customFormat="false" ht="15" hidden="false" customHeight="false" outlineLevel="0" collapsed="false">
      <c r="B5" s="5" t="s">
        <v>159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5" t="s">
        <v>178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5" t="s">
        <v>179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180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5" t="s">
        <v>181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182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5" t="s">
        <v>183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5" t="s">
        <v>184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5" t="s">
        <v>185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186</v>
      </c>
    </row>
    <row r="4" customFormat="false" ht="15" hidden="false" customHeight="false" outlineLevel="0" collapsed="false"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187</v>
      </c>
      <c r="H4" s="2" t="s">
        <v>188</v>
      </c>
    </row>
    <row r="5" customFormat="false" ht="15" hidden="false" customHeight="false" outlineLevel="0" collapsed="false">
      <c r="B5" s="0" t="s">
        <v>189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0" t="s">
        <v>190</v>
      </c>
      <c r="I5" s="25" t="n">
        <v>0.085</v>
      </c>
    </row>
    <row r="6" customFormat="false" ht="15" hidden="false" customHeight="false" outlineLevel="0" collapsed="false">
      <c r="B6" s="0" t="s">
        <v>191</v>
      </c>
      <c r="C6" s="26" t="n">
        <f aca="false">1/(1+$I$5)^(1)</f>
        <v>0.921658986175115</v>
      </c>
      <c r="D6" s="26" t="n">
        <f aca="false">1/(1+$I$5)^(2)</f>
        <v>0.849455286797341</v>
      </c>
      <c r="E6" s="26" t="n">
        <f aca="false">1/(1+$I$5)^(3)</f>
        <v>0.782908098430729</v>
      </c>
      <c r="F6" s="26" t="n">
        <f aca="false">1/(1+$I$5)^(4)</f>
        <v>0.721574284267953</v>
      </c>
      <c r="G6" s="26" t="n">
        <f aca="false">1/(1+$I$5)^(5)</f>
        <v>0.665045423288436</v>
      </c>
      <c r="H6" s="0" t="s">
        <v>192</v>
      </c>
      <c r="I6" s="25" t="n">
        <v>0.025</v>
      </c>
    </row>
    <row r="7" customFormat="false" ht="15" hidden="false" customHeight="false" outlineLevel="0" collapsed="false">
      <c r="B7" s="0" t="s">
        <v>193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0" t="s">
        <v>194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195</v>
      </c>
      <c r="I8" s="27" t="n">
        <f aca="false">I7*G6</f>
        <v>0</v>
      </c>
    </row>
    <row r="9" customFormat="false" ht="15" hidden="false" customHeight="false" outlineLevel="0" collapsed="false">
      <c r="H9" s="0" t="s">
        <v>196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197</v>
      </c>
      <c r="I10" s="28" t="n">
        <f aca="false">I8+I9</f>
        <v>0</v>
      </c>
    </row>
    <row r="11" customFormat="false" ht="15" hidden="false" customHeight="false" outlineLevel="0" collapsed="false">
      <c r="H11" s="0" t="s">
        <v>198</v>
      </c>
      <c r="I11" s="29" t="n">
        <v>-8416</v>
      </c>
    </row>
    <row r="12" customFormat="false" ht="15" hidden="false" customHeight="false" outlineLevel="0" collapsed="false">
      <c r="H12" s="0" t="s">
        <v>199</v>
      </c>
      <c r="I12" s="28" t="n">
        <f aca="false">I10-I11</f>
        <v>8416</v>
      </c>
    </row>
    <row r="13" customFormat="false" ht="15" hidden="false" customHeight="false" outlineLevel="0" collapsed="false">
      <c r="H13" s="0" t="s">
        <v>200</v>
      </c>
      <c r="I13" s="29" t="n">
        <v>7434</v>
      </c>
    </row>
    <row r="14" customFormat="false" ht="15" hidden="false" customHeight="false" outlineLevel="0" collapsed="false">
      <c r="H14" s="0" t="s">
        <v>201</v>
      </c>
      <c r="I14" s="28" t="n">
        <f aca="false">I12/I13</f>
        <v>1.13209577616357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202</v>
      </c>
    </row>
    <row r="4" customFormat="false" ht="15" hidden="false" customHeight="false" outlineLevel="0" collapsed="false">
      <c r="A4" s="15"/>
      <c r="B4" s="15" t="s">
        <v>203</v>
      </c>
      <c r="C4" s="15" t="s">
        <v>204</v>
      </c>
      <c r="D4" s="15" t="s">
        <v>205</v>
      </c>
      <c r="E4" s="15" t="s">
        <v>206</v>
      </c>
      <c r="F4" s="15" t="s">
        <v>207</v>
      </c>
      <c r="G4" s="15" t="s">
        <v>208</v>
      </c>
      <c r="H4" s="15" t="s">
        <v>209</v>
      </c>
    </row>
    <row r="5" customFormat="false" ht="15" hidden="false" customHeight="false" outlineLevel="0" collapsed="false">
      <c r="B5" s="3" t="s">
        <v>210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211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212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213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214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215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216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217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32" t="s">
        <v>219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220</v>
      </c>
      <c r="D5" s="21" t="s">
        <v>220</v>
      </c>
      <c r="E5" s="21" t="s">
        <v>220</v>
      </c>
      <c r="F5" s="21" t="s">
        <v>220</v>
      </c>
      <c r="G5" s="21" t="s">
        <v>220</v>
      </c>
    </row>
    <row r="6" customFormat="false" ht="15" hidden="false" customHeight="false" outlineLevel="0" collapsed="false">
      <c r="B6" s="33" t="n">
        <v>0.09</v>
      </c>
      <c r="C6" s="21" t="s">
        <v>220</v>
      </c>
      <c r="D6" s="21" t="s">
        <v>220</v>
      </c>
      <c r="E6" s="21" t="s">
        <v>220</v>
      </c>
      <c r="F6" s="21" t="s">
        <v>220</v>
      </c>
      <c r="G6" s="21" t="s">
        <v>220</v>
      </c>
    </row>
    <row r="7" customFormat="false" ht="15" hidden="false" customHeight="false" outlineLevel="0" collapsed="false">
      <c r="B7" s="33" t="n">
        <v>0.1</v>
      </c>
      <c r="C7" s="21" t="s">
        <v>220</v>
      </c>
      <c r="D7" s="21" t="s">
        <v>220</v>
      </c>
      <c r="E7" s="21" t="s">
        <v>220</v>
      </c>
      <c r="F7" s="21" t="s">
        <v>220</v>
      </c>
      <c r="G7" s="21" t="s">
        <v>220</v>
      </c>
    </row>
    <row r="8" customFormat="false" ht="15" hidden="false" customHeight="false" outlineLevel="0" collapsed="false">
      <c r="B8" s="33" t="n">
        <v>0.11</v>
      </c>
      <c r="C8" s="21" t="s">
        <v>220</v>
      </c>
      <c r="D8" s="21" t="s">
        <v>220</v>
      </c>
      <c r="E8" s="21" t="s">
        <v>220</v>
      </c>
      <c r="F8" s="21" t="s">
        <v>220</v>
      </c>
      <c r="G8" s="21" t="s">
        <v>220</v>
      </c>
    </row>
    <row r="9" customFormat="false" ht="15" hidden="false" customHeight="false" outlineLevel="0" collapsed="false">
      <c r="B9" s="33" t="n">
        <v>0.12</v>
      </c>
      <c r="C9" s="21" t="s">
        <v>220</v>
      </c>
      <c r="D9" s="21" t="s">
        <v>220</v>
      </c>
      <c r="E9" s="21" t="s">
        <v>220</v>
      </c>
      <c r="F9" s="21" t="s">
        <v>220</v>
      </c>
      <c r="G9" s="21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221</v>
      </c>
    </row>
    <row r="4" customFormat="false" ht="15" hidden="false" customHeight="false" outlineLevel="0" collapsed="false">
      <c r="A4" s="15"/>
      <c r="B4" s="15" t="s">
        <v>92</v>
      </c>
      <c r="C4" s="15" t="s">
        <v>222</v>
      </c>
      <c r="D4" s="15" t="s">
        <v>223</v>
      </c>
      <c r="E4" s="15" t="s">
        <v>224</v>
      </c>
      <c r="F4" s="15" t="s">
        <v>225</v>
      </c>
    </row>
    <row r="5" customFormat="false" ht="15" hidden="false" customHeight="false" outlineLevel="0" collapsed="false">
      <c r="B5" s="34" t="s">
        <v>226</v>
      </c>
      <c r="C5" s="34" t="s">
        <v>227</v>
      </c>
      <c r="D5" s="34" t="s">
        <v>228</v>
      </c>
      <c r="E5" s="34" t="s">
        <v>229</v>
      </c>
      <c r="F5" s="34" t="s">
        <v>230</v>
      </c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231</v>
      </c>
    </row>
    <row r="4" customFormat="false" ht="15" hidden="false" customHeight="false" outlineLevel="0" collapsed="false">
      <c r="B4" s="15" t="s">
        <v>232</v>
      </c>
      <c r="C4" s="15" t="s">
        <v>233</v>
      </c>
      <c r="D4" s="15" t="s">
        <v>234</v>
      </c>
      <c r="E4" s="15" t="s">
        <v>235</v>
      </c>
    </row>
    <row r="5" customFormat="false" ht="15" hidden="false" customHeight="false" outlineLevel="0" collapsed="false">
      <c r="B5" s="0" t="s">
        <v>236</v>
      </c>
      <c r="C5" s="18" t="n">
        <v>34704</v>
      </c>
      <c r="D5" s="18" t="n">
        <v>13576</v>
      </c>
    </row>
    <row r="6" customFormat="false" ht="15" hidden="false" customHeight="false" outlineLevel="0" collapsed="false">
      <c r="B6" s="0" t="s">
        <v>237</v>
      </c>
      <c r="C6" s="18" t="n">
        <v>118548</v>
      </c>
      <c r="D6" s="18" t="n">
        <v>118548</v>
      </c>
    </row>
    <row r="7" customFormat="false" ht="15" hidden="false" customHeight="false" outlineLevel="0" collapsed="false">
      <c r="B7" s="0" t="s">
        <v>238</v>
      </c>
      <c r="C7" s="18" t="n">
        <v>44477</v>
      </c>
      <c r="D7" s="18" t="n">
        <v>44477</v>
      </c>
    </row>
    <row r="8" customFormat="false" ht="15" hidden="false" customHeight="false" outlineLevel="0" collapsed="false">
      <c r="B8" s="0" t="s">
        <v>239</v>
      </c>
      <c r="C8" s="18" t="n">
        <v>21771</v>
      </c>
      <c r="D8" s="18" t="n">
        <v>21771</v>
      </c>
    </row>
    <row r="9" customFormat="false" ht="15" hidden="false" customHeight="false" outlineLevel="0" collapsed="false">
      <c r="B9" s="0" t="s">
        <v>240</v>
      </c>
      <c r="C9" s="18" t="n">
        <v>17254</v>
      </c>
      <c r="D9" s="18" t="n">
        <v>17254</v>
      </c>
    </row>
    <row r="10" customFormat="false" ht="15" hidden="false" customHeight="false" outlineLevel="0" collapsed="false">
      <c r="B10" s="0" t="s">
        <v>241</v>
      </c>
      <c r="C10" s="18" t="n">
        <v>24395</v>
      </c>
      <c r="D10" s="18" t="n">
        <v>24395</v>
      </c>
    </row>
    <row r="11" customFormat="false" ht="15" hidden="false" customHeight="false" outlineLevel="0" collapsed="false">
      <c r="B11" s="0" t="s">
        <v>242</v>
      </c>
      <c r="C11" s="18" t="n">
        <v>29070</v>
      </c>
      <c r="D11" s="18" t="n">
        <v>29070</v>
      </c>
    </row>
    <row r="12" customFormat="false" ht="15" hidden="false" customHeight="false" outlineLevel="0" collapsed="false">
      <c r="B12" s="0" t="s">
        <v>243</v>
      </c>
      <c r="C12" s="18" t="n">
        <v>71802</v>
      </c>
      <c r="D12" s="18" t="n">
        <v>71802</v>
      </c>
    </row>
    <row r="13" customFormat="false" ht="15" hidden="false" customHeight="false" outlineLevel="0" collapsed="false">
      <c r="B13" s="0" t="s">
        <v>152</v>
      </c>
      <c r="C13" s="18" t="n">
        <v>109400</v>
      </c>
      <c r="D13" s="18" t="n">
        <v>109400</v>
      </c>
    </row>
    <row r="14" customFormat="false" ht="15" hidden="false" customHeight="false" outlineLevel="0" collapsed="false">
      <c r="B14" s="0" t="s">
        <v>244</v>
      </c>
      <c r="C14" s="18" t="n">
        <v>1700</v>
      </c>
      <c r="D14" s="18" t="n">
        <v>1700</v>
      </c>
    </row>
    <row r="15" customFormat="false" ht="15" hidden="false" customHeight="false" outlineLevel="0" collapsed="false">
      <c r="B15" s="0" t="s">
        <v>245</v>
      </c>
      <c r="C15" s="18" t="n">
        <v>20000</v>
      </c>
      <c r="D15" s="18" t="n">
        <v>20000</v>
      </c>
    </row>
    <row r="16" customFormat="false" ht="15" hidden="false" customHeight="false" outlineLevel="0" collapsed="false">
      <c r="B16" s="0" t="s">
        <v>246</v>
      </c>
      <c r="C16" s="30" t="n">
        <v>2</v>
      </c>
      <c r="D16" s="30" t="n">
        <v>2</v>
      </c>
    </row>
    <row r="17" customFormat="false" ht="15" hidden="false" customHeight="false" outlineLevel="0" collapsed="false">
      <c r="B17" s="0" t="s">
        <v>247</v>
      </c>
      <c r="C17" s="30" t="n">
        <v>10</v>
      </c>
      <c r="D17" s="30" t="n">
        <v>10</v>
      </c>
    </row>
    <row r="21" customFormat="false" ht="15" hidden="false" customHeight="false" outlineLevel="0" collapsed="false">
      <c r="B21" s="0" t="s">
        <v>248</v>
      </c>
      <c r="C21" s="22" t="n">
        <f aca="false">C5+C6-C7-C8-C9+C10-C11</f>
        <v>65075</v>
      </c>
      <c r="D21" s="22" t="n">
        <f aca="false">D5+D6-D7-D8-D9+D10-D11</f>
        <v>43947</v>
      </c>
    </row>
    <row r="22" customFormat="false" ht="15" hidden="false" customHeight="false" outlineLevel="0" collapsed="false">
      <c r="B22" s="0" t="s">
        <v>249</v>
      </c>
      <c r="C22" s="22" t="n">
        <f aca="false">C12+C10-C11</f>
        <v>67127</v>
      </c>
      <c r="D22" s="22" t="n">
        <f aca="false">D12+D10-D11</f>
        <v>67127</v>
      </c>
    </row>
    <row r="23" customFormat="false" ht="15" hidden="false" customHeight="false" outlineLevel="0" collapsed="false">
      <c r="B23" s="0" t="s">
        <v>250</v>
      </c>
      <c r="C23" s="22" t="n">
        <f aca="false">C22-C21</f>
        <v>2052</v>
      </c>
      <c r="D23" s="22" t="n">
        <f aca="false">D22-D21</f>
        <v>23180</v>
      </c>
    </row>
    <row r="24" customFormat="false" ht="15" hidden="false" customHeight="false" outlineLevel="0" collapsed="false">
      <c r="B24" s="0" t="s">
        <v>251</v>
      </c>
      <c r="C24" s="35" t="n">
        <f aca="false">IFERROR(C23/C13,0)</f>
        <v>0.0187568555758684</v>
      </c>
      <c r="D24" s="35" t="n">
        <f aca="false">IFERROR(D23/D13,0)</f>
        <v>0.211882998171846</v>
      </c>
    </row>
    <row r="25" customFormat="false" ht="15" hidden="false" customHeight="false" outlineLevel="0" collapsed="false">
      <c r="B25" s="0" t="s">
        <v>252</v>
      </c>
      <c r="C25" s="35" t="n">
        <f aca="false">IFERROR(C13/C14,0)</f>
        <v>64.3529411764706</v>
      </c>
      <c r="D25" s="35" t="n">
        <f aca="false">IFERROR(D13/D14,0)</f>
        <v>64.3529411764706</v>
      </c>
    </row>
    <row r="26" customFormat="false" ht="15" hidden="false" customHeight="false" outlineLevel="0" collapsed="false">
      <c r="B26" s="0" t="s">
        <v>253</v>
      </c>
      <c r="C26" s="22" t="n">
        <f aca="false">MAX(0,C15-C21)</f>
        <v>0</v>
      </c>
      <c r="D26" s="22" t="n">
        <f aca="false">MAX(0,D15-D21)</f>
        <v>0</v>
      </c>
    </row>
    <row r="27" customFormat="false" ht="15" hidden="false" customHeight="false" outlineLevel="0" collapsed="false">
      <c r="B27" s="0" t="s">
        <v>254</v>
      </c>
      <c r="C27" s="22" t="n">
        <f aca="false">C6-C7</f>
        <v>74071</v>
      </c>
      <c r="D27" s="22" t="n">
        <f aca="false">D6-D7</f>
        <v>74071</v>
      </c>
    </row>
    <row r="28" customFormat="false" ht="15" hidden="false" customHeight="false" outlineLevel="0" collapsed="false">
      <c r="B28" s="0" t="s">
        <v>255</v>
      </c>
      <c r="C28" s="22" t="n">
        <f aca="false">C8+C9</f>
        <v>39025</v>
      </c>
      <c r="D28" s="22" t="n">
        <f aca="false">D8+D9</f>
        <v>39025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256</v>
      </c>
    </row>
    <row r="4" customFormat="false" ht="15" hidden="false" customHeight="false" outlineLevel="0" collapsed="false">
      <c r="B4" s="15" t="s">
        <v>257</v>
      </c>
      <c r="C4" s="15" t="s">
        <v>233</v>
      </c>
      <c r="D4" s="15" t="s">
        <v>234</v>
      </c>
      <c r="E4" s="15" t="s">
        <v>258</v>
      </c>
    </row>
    <row r="5" customFormat="false" ht="15" hidden="false" customHeight="false" outlineLevel="0" collapsed="false">
      <c r="B5" s="0" t="s">
        <v>237</v>
      </c>
      <c r="C5" s="22" t="n">
        <f aca="false">'Treasury &amp; Liquidity'!C6</f>
        <v>118548</v>
      </c>
      <c r="D5" s="22" t="n">
        <f aca="false">'Treasury &amp; Liquidity'!D6</f>
        <v>118548</v>
      </c>
      <c r="E5" s="0" t="s">
        <v>259</v>
      </c>
    </row>
    <row r="6" customFormat="false" ht="15" hidden="false" customHeight="false" outlineLevel="0" collapsed="false">
      <c r="B6" s="0" t="s">
        <v>238</v>
      </c>
      <c r="C6" s="22" t="n">
        <f aca="false">'Treasury &amp; Liquidity'!C7</f>
        <v>44477</v>
      </c>
      <c r="D6" s="22" t="n">
        <f aca="false">'Treasury &amp; Liquidity'!D7</f>
        <v>44477</v>
      </c>
      <c r="E6" s="0" t="s">
        <v>260</v>
      </c>
    </row>
    <row r="7" customFormat="false" ht="15" hidden="false" customHeight="false" outlineLevel="0" collapsed="false">
      <c r="B7" s="0" t="s">
        <v>239</v>
      </c>
      <c r="C7" s="22" t="n">
        <f aca="false">'Treasury &amp; Liquidity'!C8</f>
        <v>21771</v>
      </c>
      <c r="D7" s="22" t="n">
        <f aca="false">'Treasury &amp; Liquidity'!D8</f>
        <v>21771</v>
      </c>
      <c r="E7" s="0" t="s">
        <v>261</v>
      </c>
    </row>
    <row r="8" customFormat="false" ht="15" hidden="false" customHeight="false" outlineLevel="0" collapsed="false">
      <c r="B8" s="0" t="s">
        <v>240</v>
      </c>
      <c r="C8" s="22" t="n">
        <f aca="false">'Treasury &amp; Liquidity'!C9</f>
        <v>17254</v>
      </c>
      <c r="D8" s="22" t="n">
        <f aca="false">'Treasury &amp; Liquidity'!D9</f>
        <v>17254</v>
      </c>
      <c r="E8" s="0" t="s">
        <v>261</v>
      </c>
    </row>
    <row r="9" customFormat="false" ht="15" hidden="false" customHeight="false" outlineLevel="0" collapsed="false">
      <c r="B9" s="0" t="s">
        <v>242</v>
      </c>
      <c r="C9" s="22" t="n">
        <f aca="false">'Treasury &amp; Liquidity'!C11</f>
        <v>29070</v>
      </c>
      <c r="D9" s="22" t="n">
        <f aca="false">'Treasury &amp; Liquidity'!D11</f>
        <v>29070</v>
      </c>
      <c r="E9" s="0" t="s">
        <v>262</v>
      </c>
    </row>
    <row r="10" customFormat="false" ht="15" hidden="false" customHeight="false" outlineLevel="0" collapsed="false">
      <c r="B10" s="0" t="s">
        <v>241</v>
      </c>
      <c r="C10" s="22" t="n">
        <f aca="false">'Treasury &amp; Liquidity'!C10</f>
        <v>24395</v>
      </c>
      <c r="D10" s="22" t="n">
        <f aca="false">'Treasury &amp; Liquidity'!D10</f>
        <v>24395</v>
      </c>
      <c r="E10" s="0" t="s">
        <v>263</v>
      </c>
    </row>
    <row r="13" customFormat="false" ht="15" hidden="false" customHeight="false" outlineLevel="0" collapsed="false">
      <c r="B13" s="0" t="s">
        <v>264</v>
      </c>
      <c r="C13" s="22" t="n">
        <f aca="false">MAX(0,C7+C8-C5+C6)</f>
        <v>0</v>
      </c>
      <c r="D13" s="22" t="n">
        <f aca="false">MAX(0,D7+D8-D5+D6)</f>
        <v>0</v>
      </c>
    </row>
    <row r="14" customFormat="false" ht="15" hidden="false" customHeight="false" outlineLevel="0" collapsed="false">
      <c r="B14" s="0" t="s">
        <v>265</v>
      </c>
      <c r="C14" s="22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2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266</v>
      </c>
    </row>
    <row r="4" customFormat="false" ht="15" hidden="false" customHeight="false" outlineLevel="0" collapsed="false">
      <c r="B4" s="15" t="s">
        <v>232</v>
      </c>
      <c r="C4" s="15" t="s">
        <v>233</v>
      </c>
      <c r="D4" s="15" t="s">
        <v>234</v>
      </c>
      <c r="E4" s="15" t="s">
        <v>267</v>
      </c>
    </row>
    <row r="5" customFormat="false" ht="15" hidden="false" customHeight="false" outlineLevel="0" collapsed="false">
      <c r="B5" s="0" t="s">
        <v>248</v>
      </c>
      <c r="C5" s="22" t="n">
        <f aca="false">'Treasury &amp; Liquidity'!C21</f>
        <v>65075</v>
      </c>
      <c r="D5" s="22" t="n">
        <f aca="false">'Treasury &amp; Liquidity'!D21</f>
        <v>43947</v>
      </c>
      <c r="E5" s="0" t="s">
        <v>268</v>
      </c>
    </row>
    <row r="6" customFormat="false" ht="15" hidden="false" customHeight="false" outlineLevel="0" collapsed="false">
      <c r="B6" s="0" t="s">
        <v>251</v>
      </c>
      <c r="C6" s="35" t="n">
        <f aca="false">'Treasury &amp; Liquidity'!C24</f>
        <v>0.0187568555758684</v>
      </c>
      <c r="D6" s="35" t="n">
        <f aca="false">'Treasury &amp; Liquidity'!D24</f>
        <v>0.211882998171846</v>
      </c>
      <c r="E6" s="0" t="s">
        <v>269</v>
      </c>
    </row>
    <row r="7" customFormat="false" ht="15" hidden="false" customHeight="false" outlineLevel="0" collapsed="false">
      <c r="B7" s="0" t="s">
        <v>252</v>
      </c>
      <c r="C7" s="35" t="n">
        <f aca="false">'Treasury &amp; Liquidity'!C25</f>
        <v>64.3529411764706</v>
      </c>
      <c r="D7" s="35" t="n">
        <f aca="false">'Treasury &amp; Liquidity'!D25</f>
        <v>64.3529411764706</v>
      </c>
      <c r="E7" s="0" t="s">
        <v>270</v>
      </c>
    </row>
    <row r="8" customFormat="false" ht="15" hidden="false" customHeight="false" outlineLevel="0" collapsed="false">
      <c r="B8" s="0" t="s">
        <v>253</v>
      </c>
      <c r="C8" s="22" t="n">
        <f aca="false">'Treasury &amp; Liquidity'!C26</f>
        <v>0</v>
      </c>
      <c r="D8" s="22" t="n">
        <f aca="false">'Treasury &amp; Liquidity'!D26</f>
        <v>0</v>
      </c>
      <c r="E8" s="0" t="s">
        <v>271</v>
      </c>
    </row>
    <row r="9" customFormat="false" ht="15" hidden="false" customHeight="false" outlineLevel="0" collapsed="false">
      <c r="B9" s="0" t="s">
        <v>264</v>
      </c>
      <c r="C9" s="22" t="n">
        <f aca="false">'Capital Allocation'!C13</f>
        <v>0</v>
      </c>
      <c r="D9" s="22" t="n">
        <f aca="false">'Capital Allocation'!D13</f>
        <v>0</v>
      </c>
      <c r="E9" s="0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272</v>
      </c>
    </row>
    <row r="4" customFormat="false" ht="15" hidden="false" customHeight="false" outlineLevel="0" collapsed="false">
      <c r="B4" s="15" t="s">
        <v>273</v>
      </c>
      <c r="C4" s="15" t="s">
        <v>232</v>
      </c>
      <c r="D4" s="15" t="s">
        <v>41</v>
      </c>
      <c r="E4" s="15" t="s">
        <v>274</v>
      </c>
    </row>
    <row r="5" customFormat="false" ht="15" hidden="false" customHeight="false" outlineLevel="0" collapsed="false">
      <c r="B5" s="0" t="s">
        <v>265</v>
      </c>
      <c r="C5" s="36" t="n">
        <f aca="false">'Capital Allocation'!D14</f>
        <v>0</v>
      </c>
      <c r="D5" s="34" t="str">
        <f aca="false">IF(ABS(C5)&lt;0.01,"PASS","FAIL")</f>
        <v>PASS</v>
      </c>
      <c r="E5" s="0" t="s">
        <v>275</v>
      </c>
    </row>
    <row r="6" customFormat="false" ht="15" hidden="false" customHeight="false" outlineLevel="0" collapsed="false">
      <c r="B6" s="0" t="s">
        <v>276</v>
      </c>
      <c r="C6" s="36" t="n">
        <f aca="false">'Treasury &amp; Liquidity'!D22-('Treasury &amp; Liquidity'!D12+'Treasury &amp; Liquidity'!D10-'Treasury &amp; Liquidity'!D11)</f>
        <v>0</v>
      </c>
      <c r="D6" s="34" t="str">
        <f aca="false">IF(ABS(C6)&lt;0.01,"PASS","FAIL")</f>
        <v>PASS</v>
      </c>
      <c r="E6" s="0" t="s">
        <v>277</v>
      </c>
    </row>
    <row r="7" customFormat="false" ht="15" hidden="false" customHeight="false" outlineLevel="0" collapsed="false">
      <c r="B7" s="0" t="s">
        <v>245</v>
      </c>
      <c r="C7" s="36" t="n">
        <f aca="false">'Treasury &amp; Liquidity'!D21-'Treasury &amp; Liquidity'!D15</f>
        <v>23947</v>
      </c>
      <c r="D7" s="34" t="str">
        <f aca="false">IF(C7&gt;=0,"PASS","BREACH")</f>
        <v>PASS</v>
      </c>
      <c r="E7" s="0" t="s">
        <v>278</v>
      </c>
    </row>
    <row r="8" customFormat="false" ht="15" hidden="false" customHeight="false" outlineLevel="0" collapsed="false">
      <c r="B8" s="0" t="s">
        <v>251</v>
      </c>
      <c r="C8" s="36" t="n">
        <f aca="false">'Treasury &amp; Liquidity'!D24</f>
        <v>0.211882998171846</v>
      </c>
      <c r="D8" s="34" t="str">
        <f aca="false">IF(C8&lt;='Treasury &amp; Liquidity'!D16,"PASS","BREACH")</f>
        <v>PASS</v>
      </c>
      <c r="E8" s="0" t="s">
        <v>279</v>
      </c>
    </row>
    <row r="9" customFormat="false" ht="15" hidden="false" customHeight="false" outlineLevel="0" collapsed="false">
      <c r="B9" s="0" t="s">
        <v>252</v>
      </c>
      <c r="C9" s="36" t="n">
        <f aca="false">'Treasury &amp; Liquidity'!D25</f>
        <v>64.3529411764706</v>
      </c>
      <c r="D9" s="34" t="str">
        <f aca="false">IF(C9&gt;='Treasury &amp; Liquidity'!D17,"PASS","BREACH")</f>
        <v>PASS</v>
      </c>
      <c r="E9" s="0" t="s">
        <v>280</v>
      </c>
    </row>
    <row r="10" customFormat="false" ht="15" hidden="false" customHeight="false" outlineLevel="0" collapsed="false">
      <c r="B10" s="0" t="s">
        <v>281</v>
      </c>
      <c r="C10" s="36" t="n">
        <f aca="false">'Capital Allocation'!D13</f>
        <v>0</v>
      </c>
      <c r="D10" s="34" t="str">
        <f aca="false">IF(C10&lt;0.01,"PASS","BREACH")</f>
        <v>PASS</v>
      </c>
      <c r="E10" s="0" t="s">
        <v>282</v>
      </c>
    </row>
    <row r="12" customFormat="false" ht="15" hidden="false" customHeight="false" outlineLevel="0" collapsed="false">
      <c r="B12" s="2" t="s">
        <v>283</v>
      </c>
      <c r="C12" s="37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2026-08-05T22:47:19Z</dcterms:created>
  <dc:creator>openpyxl</dc:creator>
  <dc:description/>
  <dc:language>en-US</dc:language>
  <cp:lastModifiedBy/>
  <dcterms:modified xsi:type="dcterms:W3CDTF">2026-09-01T14:39:04Z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