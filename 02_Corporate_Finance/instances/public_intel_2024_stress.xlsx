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easury &amp; Liquidity" sheetId="13" state="visible" r:id="rId13"/>
    <sheet xmlns:r="http://schemas.openxmlformats.org/officeDocument/2006/relationships" name="Capital Allocation" sheetId="14" state="visible" r:id="rId14"/>
    <sheet xmlns:r="http://schemas.openxmlformats.org/officeDocument/2006/relationships" name="Credit Metric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;\(0.0%\);\-"/>
    <numFmt numFmtId="165" formatCode="\$#,##0;&quot;($&quot;#,##0\);\-"/>
    <numFmt numFmtId="166" formatCode="0.000"/>
    <numFmt numFmtId="167" formatCode="0.0\x"/>
    <numFmt numFmtId="168" formatCode="#,##0;\(#,##0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15" fillId="7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40" customWidth="1" style="40" min="3" max="3"/>
    <col width="4" customWidth="1" style="40" min="4" max="4"/>
  </cols>
  <sheetData>
    <row r="2" ht="19.7" customHeight="1" s="41">
      <c r="B2" s="42" t="inlineStr">
        <is>
          <t>[TICKER] — Company Name</t>
        </is>
      </c>
    </row>
    <row r="4" ht="15" customHeight="1" s="41">
      <c r="B4" s="43" t="inlineStr">
        <is>
          <t>Sector:</t>
        </is>
      </c>
      <c r="C4" s="44" t="inlineStr">
        <is>
          <t>[fill in]</t>
        </is>
      </c>
    </row>
    <row r="5" ht="15" customHeight="1" s="41">
      <c r="B5" s="43" t="inlineStr">
        <is>
          <t>Coverage started:</t>
        </is>
      </c>
      <c r="C5" s="44" t="inlineStr">
        <is>
          <t>[date]</t>
        </is>
      </c>
    </row>
    <row r="6" ht="15" customHeight="1" s="41">
      <c r="B6" s="43" t="inlineStr">
        <is>
          <t>Last refreshed:</t>
        </is>
      </c>
      <c r="C6" s="45" t="inlineStr">
        <is>
          <t>2024-06-29</t>
        </is>
      </c>
    </row>
    <row r="7" ht="15" customHeight="1" s="41">
      <c r="B7" s="43" t="inlineStr">
        <is>
          <t>Next earnings date:</t>
        </is>
      </c>
      <c r="C7" s="44" t="inlineStr">
        <is>
          <t>[date]</t>
        </is>
      </c>
    </row>
    <row r="8" ht="15" customHeight="1" s="41">
      <c r="B8" s="43" t="inlineStr">
        <is>
          <t>Refresh cadence:</t>
        </is>
      </c>
      <c r="C8" s="46" t="inlineStr">
        <is>
          <t>Weekly</t>
        </is>
      </c>
    </row>
    <row r="10" ht="15" customHeight="1" s="41">
      <c r="B10" s="43" t="inlineStr">
        <is>
          <t>Thesis (2-3 sentences):</t>
        </is>
      </c>
    </row>
    <row r="11" ht="15" customHeight="1" s="41">
      <c r="B11" s="44" t="inlineStr">
        <is>
          <t>[fill in]</t>
        </is>
      </c>
    </row>
    <row r="12" ht="15" customHeight="1" s="41"/>
    <row r="13" ht="15" customHeight="1" s="41"/>
    <row r="14" ht="15" customHeight="1" s="41"/>
    <row r="16" ht="15" customHeight="1" s="41">
      <c r="B16" s="43" t="inlineStr">
        <is>
          <t>COLOR LEGEND</t>
        </is>
      </c>
    </row>
    <row r="17" ht="15" customHeight="1" s="41">
      <c r="B17" s="44" t="inlineStr">
        <is>
          <t>Blue text</t>
        </is>
      </c>
      <c r="C17" s="46" t="inlineStr">
        <is>
          <t>Hardcoded input / scenario lever — edit freely</t>
        </is>
      </c>
    </row>
    <row r="18" ht="15" customHeight="1" s="41">
      <c r="B18" s="46" t="inlineStr">
        <is>
          <t>Black text</t>
        </is>
      </c>
      <c r="C18" s="46" t="inlineStr">
        <is>
          <t>Formula — do not overwrite</t>
        </is>
      </c>
    </row>
    <row r="19" ht="15" customHeight="1" s="41">
      <c r="B19" s="47" t="inlineStr">
        <is>
          <t>Green text</t>
        </is>
      </c>
      <c r="C19" s="46" t="inlineStr">
        <is>
          <t>Link to another sheet in this workbook</t>
        </is>
      </c>
    </row>
    <row r="20" ht="15" customHeight="1" s="41">
      <c r="B20" s="48" t="inlineStr">
        <is>
          <t>Yellow fill</t>
        </is>
      </c>
      <c r="C20" s="4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0" min="2" max="2"/>
    <col width="48" customWidth="1" style="40" min="3" max="3"/>
    <col width="24" customWidth="1" style="40" min="4" max="4"/>
    <col width="34" customWidth="1" style="40" min="5" max="5"/>
    <col width="20" customWidth="1" style="40" min="6" max="6"/>
  </cols>
  <sheetData>
    <row r="2" ht="18.55" customHeight="1" s="41">
      <c r="B2" s="49" t="inlineStr">
        <is>
          <t>Corporate Finance — Institutional Decision Surface</t>
        </is>
      </c>
    </row>
    <row r="4" ht="15" customHeight="1" s="41">
      <c r="B4" s="50" t="inlineStr">
        <is>
          <t>Model ID</t>
        </is>
      </c>
      <c r="C4" s="51" t="inlineStr">
        <is>
          <t>02</t>
        </is>
      </c>
    </row>
    <row r="5" ht="15" customHeight="1" s="41">
      <c r="B5" s="50" t="inlineStr">
        <is>
          <t>Domain</t>
        </is>
      </c>
      <c r="C5" s="51" t="inlineStr">
        <is>
          <t>Corporate Finance</t>
        </is>
      </c>
    </row>
    <row r="6" ht="15" customHeight="1" s="41">
      <c r="B6" s="50" t="inlineStr">
        <is>
          <t>Declared maturity</t>
        </is>
      </c>
      <c r="C6" s="51" t="inlineStr">
        <is>
          <t>M2</t>
        </is>
      </c>
    </row>
    <row r="7" ht="15" customHeight="1" s="41">
      <c r="B7" s="50" t="inlineStr">
        <is>
          <t>Canonical builder</t>
        </is>
      </c>
      <c r="C7" s="51" t="inlineStr">
        <is>
          <t>tools/builders/build_corporate_finance_release.py</t>
        </is>
      </c>
    </row>
    <row r="8" ht="15" customHeight="1" s="41">
      <c r="B8" s="50" t="inlineStr">
        <is>
          <t>Decision arena</t>
        </is>
      </c>
      <c r="C8" s="51" t="inlineStr">
        <is>
          <t>treasury, CFO staff, ALCO and board finance committee</t>
        </is>
      </c>
    </row>
    <row r="9" ht="15" customHeight="1" s="41">
      <c r="B9" s="50" t="inlineStr">
        <is>
          <t>Committee artifact</t>
        </is>
      </c>
      <c r="C9" s="51" t="inlineStr">
        <is>
          <t>liquidity and capital-allocation pack</t>
        </is>
      </c>
    </row>
    <row r="10" ht="15" customHeight="1" s="41">
      <c r="B10" s="50" t="inlineStr">
        <is>
          <t>Operating cadence</t>
        </is>
      </c>
      <c r="C10" s="51" t="inlineStr">
        <is>
          <t>weekly treasury; monthly ALCO; quarterly board</t>
        </is>
      </c>
    </row>
    <row r="12" ht="15" customHeight="1" s="41">
      <c r="B12" s="52" t="inlineStr">
        <is>
          <t>Key decision outputs</t>
        </is>
      </c>
    </row>
    <row r="13" ht="15" customHeight="1" s="41">
      <c r="B13" s="53" t="inlineStr">
        <is>
          <t>#</t>
        </is>
      </c>
      <c r="C13" s="53" t="inlineStr">
        <is>
          <t>Requirement</t>
        </is>
      </c>
      <c r="D13" s="53" t="inlineStr">
        <is>
          <t>Owner</t>
        </is>
      </c>
      <c r="E13" s="53" t="inlineStr">
        <is>
          <t>Evidence / location</t>
        </is>
      </c>
      <c r="F13" s="53" t="inlineStr">
        <is>
          <t>Status</t>
        </is>
      </c>
    </row>
    <row r="14" ht="15" customHeight="1" s="41">
      <c r="B14" s="40" t="n">
        <v>1</v>
      </c>
      <c r="C14" s="40" t="inlineStr">
        <is>
          <t>cash runway and minimum liquidity</t>
        </is>
      </c>
      <c r="F14" s="40" t="inlineStr">
        <is>
          <t>OPEN</t>
        </is>
      </c>
    </row>
    <row r="15" ht="15" customHeight="1" s="41">
      <c r="B15" s="40" t="n">
        <v>2</v>
      </c>
      <c r="C15" s="40" t="inlineStr">
        <is>
          <t>debt maturity wall and refinancing need</t>
        </is>
      </c>
      <c r="F15" s="40" t="inlineStr">
        <is>
          <t>OPEN</t>
        </is>
      </c>
    </row>
    <row r="16" ht="15" customHeight="1" s="41">
      <c r="B16" s="40" t="n">
        <v>3</v>
      </c>
      <c r="C16" s="40" t="inlineStr">
        <is>
          <t>WACC and hurdle rates</t>
        </is>
      </c>
      <c r="F16" s="40" t="inlineStr">
        <is>
          <t>OPEN</t>
        </is>
      </c>
    </row>
    <row r="17" ht="15" customHeight="1" s="41">
      <c r="B17" s="40" t="n">
        <v>4</v>
      </c>
      <c r="C17" s="40" t="inlineStr">
        <is>
          <t>base, downside and break-even outputs</t>
        </is>
      </c>
      <c r="F17" s="40" t="inlineStr">
        <is>
          <t>OPEN</t>
        </is>
      </c>
    </row>
    <row r="18" ht="15" customHeight="1" s="41">
      <c r="B18" s="40" t="n">
        <v>5</v>
      </c>
      <c r="C18" s="40" t="inlineStr">
        <is>
          <t>liquidity / funding requirement and binding constraint</t>
        </is>
      </c>
      <c r="F18" s="40" t="inlineStr">
        <is>
          <t>OPEN</t>
        </is>
      </c>
    </row>
    <row r="20" ht="15" customHeight="1" s="41">
      <c r="B20" s="52" t="inlineStr">
        <is>
          <t>Insider questions</t>
        </is>
      </c>
    </row>
    <row r="21" ht="15" customHeight="1" s="41">
      <c r="B21" s="53" t="inlineStr">
        <is>
          <t>#</t>
        </is>
      </c>
      <c r="C21" s="53" t="inlineStr">
        <is>
          <t>Requirement</t>
        </is>
      </c>
      <c r="D21" s="53" t="inlineStr">
        <is>
          <t>Owner</t>
        </is>
      </c>
      <c r="E21" s="53" t="inlineStr">
        <is>
          <t>Evidence / location</t>
        </is>
      </c>
      <c r="F21" s="53" t="inlineStr">
        <is>
          <t>Status</t>
        </is>
      </c>
    </row>
    <row r="22" ht="15" customHeight="1" s="41">
      <c r="B22" s="40" t="n">
        <v>1</v>
      </c>
      <c r="C22" s="40" t="inlineStr">
        <is>
          <t>What cash is actually fungible?</t>
        </is>
      </c>
      <c r="F22" s="40" t="inlineStr">
        <is>
          <t>OPEN</t>
        </is>
      </c>
    </row>
    <row r="23" ht="15" customHeight="1" s="41">
      <c r="B23" s="40" t="n">
        <v>2</v>
      </c>
      <c r="C23" s="40" t="inlineStr">
        <is>
          <t>Which covenant becomes binding before headline leverage?</t>
        </is>
      </c>
      <c r="F23" s="40" t="inlineStr">
        <is>
          <t>OPEN</t>
        </is>
      </c>
    </row>
    <row r="24" ht="15" customHeight="1" s="41">
      <c r="B24" s="40" t="n">
        <v>3</v>
      </c>
      <c r="C24" s="40" t="inlineStr">
        <is>
          <t>How much capacity survives a closed market?</t>
        </is>
      </c>
      <c r="F24" s="40" t="inlineStr">
        <is>
          <t>OPEN</t>
        </is>
      </c>
    </row>
    <row r="25" ht="15" customHeight="1" s="41">
      <c r="B25" s="40" t="n">
        <v>4</v>
      </c>
      <c r="C25" s="40" t="inlineStr">
        <is>
          <t>Which assumption is owner-approved versus modeler judgement?</t>
        </is>
      </c>
      <c r="F25" s="40" t="inlineStr">
        <is>
          <t>OPEN</t>
        </is>
      </c>
    </row>
    <row r="26" ht="15" customHeight="1" s="41">
      <c r="B26" s="40" t="n">
        <v>5</v>
      </c>
      <c r="C26" s="40" t="inlineStr">
        <is>
          <t>What fails first and who must act?</t>
        </is>
      </c>
      <c r="F26" s="40" t="inlineStr">
        <is>
          <t>OPEN</t>
        </is>
      </c>
    </row>
    <row r="28" ht="15" customHeight="1" s="41">
      <c r="B28" s="52" t="inlineStr">
        <is>
          <t>Scenario families</t>
        </is>
      </c>
    </row>
    <row r="29" ht="15" customHeight="1" s="41">
      <c r="B29" s="53" t="inlineStr">
        <is>
          <t>#</t>
        </is>
      </c>
      <c r="C29" s="53" t="inlineStr">
        <is>
          <t>Requirement</t>
        </is>
      </c>
      <c r="D29" s="53" t="inlineStr">
        <is>
          <t>Owner</t>
        </is>
      </c>
      <c r="E29" s="53" t="inlineStr">
        <is>
          <t>Evidence / location</t>
        </is>
      </c>
      <c r="F29" s="53" t="inlineStr">
        <is>
          <t>Status</t>
        </is>
      </c>
    </row>
    <row r="30" ht="15" customHeight="1" s="41">
      <c r="B30" s="40" t="n">
        <v>1</v>
      </c>
      <c r="C30" s="40" t="inlineStr">
        <is>
          <t>rate shocks and basis</t>
        </is>
      </c>
      <c r="F30" s="40" t="inlineStr">
        <is>
          <t>OPEN</t>
        </is>
      </c>
    </row>
    <row r="31" ht="15" customHeight="1" s="41">
      <c r="B31" s="40" t="n">
        <v>2</v>
      </c>
      <c r="C31" s="40" t="inlineStr">
        <is>
          <t>revenue/margin downturn</t>
        </is>
      </c>
      <c r="F31" s="40" t="inlineStr">
        <is>
          <t>OPEN</t>
        </is>
      </c>
    </row>
    <row r="32" ht="15" customHeight="1" s="41">
      <c r="B32" s="40" t="n">
        <v>3</v>
      </c>
      <c r="C32" s="40" t="inlineStr">
        <is>
          <t>working-capital draw</t>
        </is>
      </c>
      <c r="F32" s="40" t="inlineStr">
        <is>
          <t>OPEN</t>
        </is>
      </c>
    </row>
    <row r="33" ht="15" customHeight="1" s="41">
      <c r="B33" s="40" t="n">
        <v>4</v>
      </c>
      <c r="C33" s="40" t="inlineStr">
        <is>
          <t>data freshness / source failure</t>
        </is>
      </c>
      <c r="F33" s="40" t="inlineStr">
        <is>
          <t>OPEN</t>
        </is>
      </c>
    </row>
    <row r="34" ht="15" customHeight="1" s="41">
      <c r="B34" s="40" t="n">
        <v>5</v>
      </c>
      <c r="C34" s="40" t="inlineStr">
        <is>
          <t>combined severe-but-plausible downside</t>
        </is>
      </c>
      <c r="F34" s="40" t="inlineStr">
        <is>
          <t>OPEN</t>
        </is>
      </c>
    </row>
    <row r="36" ht="15" customHeight="1" s="41">
      <c r="B36" s="52" t="inlineStr">
        <is>
          <t>Primary diligence documents</t>
        </is>
      </c>
    </row>
    <row r="37" ht="15" customHeight="1" s="41">
      <c r="B37" s="53" t="inlineStr">
        <is>
          <t>#</t>
        </is>
      </c>
      <c r="C37" s="53" t="inlineStr">
        <is>
          <t>Requirement</t>
        </is>
      </c>
      <c r="D37" s="53" t="inlineStr">
        <is>
          <t>Owner</t>
        </is>
      </c>
      <c r="E37" s="53" t="inlineStr">
        <is>
          <t>Evidence / location</t>
        </is>
      </c>
      <c r="F37" s="53" t="inlineStr">
        <is>
          <t>Status</t>
        </is>
      </c>
    </row>
    <row r="38" ht="15" customHeight="1" s="41">
      <c r="B38" s="40" t="n">
        <v>1</v>
      </c>
      <c r="C38" s="40" t="inlineStr">
        <is>
          <t>treasury policy</t>
        </is>
      </c>
      <c r="F38" s="40" t="inlineStr">
        <is>
          <t>OPEN</t>
        </is>
      </c>
    </row>
    <row r="39" ht="15" customHeight="1" s="41">
      <c r="B39" s="40" t="n">
        <v>2</v>
      </c>
      <c r="C39" s="40" t="inlineStr">
        <is>
          <t>credit agreements and indentures</t>
        </is>
      </c>
      <c r="F39" s="40" t="inlineStr">
        <is>
          <t>OPEN</t>
        </is>
      </c>
    </row>
    <row r="40" ht="15" customHeight="1" s="41">
      <c r="B40" s="40" t="n">
        <v>3</v>
      </c>
      <c r="C40" s="40" t="inlineStr">
        <is>
          <t>rating-agency reports</t>
        </is>
      </c>
      <c r="F40" s="40" t="inlineStr">
        <is>
          <t>OPEN</t>
        </is>
      </c>
    </row>
    <row r="41" ht="15" customHeight="1" s="41">
      <c r="B41" s="40" t="n">
        <v>4</v>
      </c>
      <c r="C41" s="40" t="inlineStr">
        <is>
          <t>approved model card and assumption register</t>
        </is>
      </c>
      <c r="F41" s="40" t="inlineStr">
        <is>
          <t>OPEN</t>
        </is>
      </c>
    </row>
    <row r="42" ht="15" customHeight="1" s="41">
      <c r="B42" s="40" t="n">
        <v>5</v>
      </c>
      <c r="C42" s="40" t="inlineStr">
        <is>
          <t>independent validation and challenge record</t>
        </is>
      </c>
      <c r="F42" s="40" t="inlineStr">
        <is>
          <t>OPEN</t>
        </is>
      </c>
    </row>
    <row r="44" ht="15" customHeight="1" s="41">
      <c r="B44" s="52" t="inlineStr">
        <is>
          <t>Challenge tests</t>
        </is>
      </c>
    </row>
    <row r="45" ht="15" customHeight="1" s="41">
      <c r="B45" s="53" t="inlineStr">
        <is>
          <t>#</t>
        </is>
      </c>
      <c r="C45" s="53" t="inlineStr">
        <is>
          <t>Requirement</t>
        </is>
      </c>
      <c r="D45" s="53" t="inlineStr">
        <is>
          <t>Owner</t>
        </is>
      </c>
      <c r="E45" s="53" t="inlineStr">
        <is>
          <t>Evidence / location</t>
        </is>
      </c>
      <c r="F45" s="53" t="inlineStr">
        <is>
          <t>Status</t>
        </is>
      </c>
    </row>
    <row r="46" ht="15" customHeight="1" s="41">
      <c r="B46" s="40" t="n">
        <v>1</v>
      </c>
      <c r="C46" s="40" t="inlineStr">
        <is>
          <t>cash roll-forward balances</t>
        </is>
      </c>
      <c r="F46" s="40" t="inlineStr">
        <is>
          <t>OPEN</t>
        </is>
      </c>
    </row>
    <row r="47" ht="15" customHeight="1" s="41">
      <c r="B47" s="40" t="n">
        <v>2</v>
      </c>
      <c r="C47" s="40" t="inlineStr">
        <is>
          <t>maturity ladder equals debt ledger</t>
        </is>
      </c>
      <c r="F47" s="40" t="inlineStr">
        <is>
          <t>OPEN</t>
        </is>
      </c>
    </row>
    <row r="48" ht="15" customHeight="1" s="41">
      <c r="B48" s="40" t="n">
        <v>3</v>
      </c>
      <c r="C48" s="40" t="inlineStr">
        <is>
          <t>interest expense ties to debt schedule</t>
        </is>
      </c>
      <c r="F48" s="40" t="inlineStr">
        <is>
          <t>OPEN</t>
        </is>
      </c>
    </row>
    <row r="49" ht="15" customHeight="1" s="41">
      <c r="B49" s="40" t="n">
        <v>4</v>
      </c>
      <c r="C49" s="40" t="inlineStr">
        <is>
          <t>source-to-model lineage is reproducible</t>
        </is>
      </c>
      <c r="F49" s="40" t="inlineStr">
        <is>
          <t>OPEN</t>
        </is>
      </c>
    </row>
    <row r="50" ht="15" customHeight="1" s="41">
      <c r="B50" s="40" t="n">
        <v>5</v>
      </c>
      <c r="C50" s="40" t="inlineStr">
        <is>
          <t>units, signs, dates and legal definitions reconcile</t>
        </is>
      </c>
      <c r="F50" s="40" t="inlineStr">
        <is>
          <t>OPEN</t>
        </is>
      </c>
    </row>
    <row r="52" ht="15" customHeight="1" s="41">
      <c r="B52" s="52" t="inlineStr">
        <is>
          <t>Known failure modes</t>
        </is>
      </c>
    </row>
    <row r="53" ht="15" customHeight="1" s="41">
      <c r="B53" s="53" t="inlineStr">
        <is>
          <t>#</t>
        </is>
      </c>
      <c r="C53" s="53" t="inlineStr">
        <is>
          <t>Requirement</t>
        </is>
      </c>
      <c r="D53" s="53" t="inlineStr">
        <is>
          <t>Owner</t>
        </is>
      </c>
      <c r="E53" s="53" t="inlineStr">
        <is>
          <t>Evidence / location</t>
        </is>
      </c>
      <c r="F53" s="53" t="inlineStr">
        <is>
          <t>Status</t>
        </is>
      </c>
    </row>
    <row r="54" ht="15" customHeight="1" s="41">
      <c r="B54" s="40" t="n">
        <v>1</v>
      </c>
      <c r="C54" s="40" t="inlineStr">
        <is>
          <t>netting restricted cash</t>
        </is>
      </c>
      <c r="F54" s="40" t="inlineStr">
        <is>
          <t>OPEN</t>
        </is>
      </c>
    </row>
    <row r="55" ht="15" customHeight="1" s="41">
      <c r="B55" s="40" t="n">
        <v>2</v>
      </c>
      <c r="C55" s="40" t="inlineStr">
        <is>
          <t>assuming revolver availability without covenant test</t>
        </is>
      </c>
      <c r="F55" s="40" t="inlineStr">
        <is>
          <t>OPEN</t>
        </is>
      </c>
    </row>
    <row r="56" ht="15" customHeight="1" s="41">
      <c r="B56" s="40" t="n">
        <v>3</v>
      </c>
      <c r="C56" s="40" t="inlineStr">
        <is>
          <t>ignoring trapped cash and tax leakage</t>
        </is>
      </c>
      <c r="F56" s="40" t="inlineStr">
        <is>
          <t>OPEN</t>
        </is>
      </c>
    </row>
    <row r="57" ht="15" customHeight="1" s="41">
      <c r="B57" s="40" t="n">
        <v>4</v>
      </c>
      <c r="C57" s="40" t="inlineStr">
        <is>
          <t>stale vintage presented as current</t>
        </is>
      </c>
      <c r="F57" s="40" t="inlineStr">
        <is>
          <t>OPEN</t>
        </is>
      </c>
    </row>
    <row r="58" ht="15" customHeight="1" s="41">
      <c r="B58" s="40" t="n">
        <v>5</v>
      </c>
      <c r="C58" s="40" t="inlineStr">
        <is>
          <t>decision output disconnected from a binding constraint</t>
        </is>
      </c>
      <c r="F58" s="40" t="inlineStr">
        <is>
          <t>OPEN</t>
        </is>
      </c>
    </row>
    <row r="60" ht="15" customHeight="1" s="41">
      <c r="B60" s="52" t="inlineStr">
        <is>
          <t>Regulatory / methodological anchors</t>
        </is>
      </c>
    </row>
    <row r="61" ht="15" customHeight="1" s="41">
      <c r="B61" s="53" t="inlineStr">
        <is>
          <t>Standard</t>
        </is>
      </c>
      <c r="C61" s="53" t="inlineStr">
        <is>
          <t>Scope</t>
        </is>
      </c>
      <c r="D61" s="53" t="inlineStr">
        <is>
          <t>Source URL</t>
        </is>
      </c>
      <c r="E61" s="53" t="inlineStr">
        <is>
          <t>Applicability</t>
        </is>
      </c>
      <c r="F61" s="53" t="inlineStr">
        <is>
          <t>Review note</t>
        </is>
      </c>
    </row>
    <row r="62" ht="15" customHeight="1" s="41">
      <c r="B62" s="40" t="inlineStr">
        <is>
          <t>Federal Reserve SR 26-2 Model Risk Management</t>
        </is>
      </c>
      <c r="C62" s="40" t="inlineStr">
        <is>
          <t>governance, validation, change control, monitoring</t>
        </is>
      </c>
      <c r="D62" s="40" t="inlineStr">
        <is>
          <t>https://www.federalreserve.gov/supervisionreg/srletters/SR2602.htm</t>
        </is>
      </c>
      <c r="E62" s="40" t="inlineStr">
        <is>
          <t>Map explicitly</t>
        </is>
      </c>
    </row>
    <row r="63" ht="15" customHeight="1" s="41">
      <c r="B63" s="40" t="inlineStr">
        <is>
          <t>Basel SRP31 IRRBB</t>
        </is>
      </c>
      <c r="C63" s="40" t="inlineStr">
        <is>
          <t>EVE/NII, basis and option risk</t>
        </is>
      </c>
      <c r="D63" s="40" t="inlineStr">
        <is>
          <t>https://www.bis.org/basel_framework/chapter/SRP/31.htm</t>
        </is>
      </c>
      <c r="E63" s="4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0" min="2" max="2"/>
    <col width="22" customWidth="1" style="40" min="3" max="3"/>
    <col width="52" customWidth="1" style="40" min="4" max="4"/>
    <col width="46" customWidth="1" style="40" min="5" max="5"/>
    <col width="36" customWidth="1" style="40" min="6" max="6"/>
    <col width="14" customWidth="1" style="40" min="7" max="7"/>
    <col width="18" customWidth="1" style="40" min="8" max="8"/>
    <col width="14" customWidth="1" style="40" min="9" max="9"/>
  </cols>
  <sheetData>
    <row r="2" ht="18.55" customHeight="1" s="41">
      <c r="B2" s="49" t="inlineStr">
        <is>
          <t>Independent Challenge, Override and Closure Log</t>
        </is>
      </c>
    </row>
    <row r="4" ht="15" customHeight="1" s="41">
      <c r="B4" s="53" t="inlineStr">
        <is>
          <t>Date</t>
        </is>
      </c>
      <c r="C4" s="53" t="inlineStr">
        <is>
          <t>Reviewer</t>
        </is>
      </c>
      <c r="D4" s="53" t="inlineStr">
        <is>
          <t>Challenge</t>
        </is>
      </c>
      <c r="E4" s="53" t="inlineStr">
        <is>
          <t>Owner response</t>
        </is>
      </c>
      <c r="F4" s="53" t="inlineStr">
        <is>
          <t>Evidence</t>
        </is>
      </c>
      <c r="G4" s="53" t="inlineStr">
        <is>
          <t>Impact</t>
        </is>
      </c>
      <c r="H4" s="53" t="inlineStr">
        <is>
          <t>Status</t>
        </is>
      </c>
      <c r="I4" s="53" t="inlineStr">
        <is>
          <t>Closure</t>
        </is>
      </c>
    </row>
    <row r="5" ht="15" customHeight="1" s="41">
      <c r="D5" s="40" t="inlineStr">
        <is>
          <t>cash roll-forward balances</t>
        </is>
      </c>
      <c r="H5" s="40" t="inlineStr">
        <is>
          <t>OPEN</t>
        </is>
      </c>
    </row>
    <row r="6" ht="15" customHeight="1" s="41">
      <c r="D6" s="40" t="inlineStr">
        <is>
          <t>maturity ladder equals debt ledger</t>
        </is>
      </c>
      <c r="H6" s="40" t="inlineStr">
        <is>
          <t>OPEN</t>
        </is>
      </c>
    </row>
    <row r="7" ht="15" customHeight="1" s="41">
      <c r="D7" s="40" t="inlineStr">
        <is>
          <t>interest expense ties to debt schedule</t>
        </is>
      </c>
      <c r="H7" s="40" t="inlineStr">
        <is>
          <t>OPEN</t>
        </is>
      </c>
    </row>
    <row r="8" ht="15" customHeight="1" s="41">
      <c r="D8" s="40" t="inlineStr">
        <is>
          <t>source-to-model lineage is reproducible</t>
        </is>
      </c>
      <c r="H8" s="40" t="inlineStr">
        <is>
          <t>OPEN</t>
        </is>
      </c>
    </row>
    <row r="9" ht="15" customHeight="1" s="41">
      <c r="D9" s="40" t="inlineStr">
        <is>
          <t>units, signs, dates and legal definitions reconcile</t>
        </is>
      </c>
      <c r="H9" s="40" t="inlineStr">
        <is>
          <t>OPEN</t>
        </is>
      </c>
    </row>
    <row r="10" ht="15" customHeight="1" s="41">
      <c r="H10" s="40" t="n"/>
    </row>
    <row r="11" ht="15" customHeight="1" s="41">
      <c r="H11" s="40" t="n"/>
    </row>
    <row r="12" ht="15" customHeight="1" s="41">
      <c r="H12" s="40" t="n"/>
    </row>
    <row r="13" ht="15" customHeight="1" s="41">
      <c r="H13" s="40" t="n"/>
    </row>
    <row r="14" ht="15" customHeight="1" s="41">
      <c r="H14" s="40" t="n"/>
    </row>
    <row r="15" ht="15" customHeight="1" s="41">
      <c r="H15" s="40" t="n"/>
    </row>
    <row r="16" ht="15" customHeight="1" s="41">
      <c r="H16" s="40" t="n"/>
    </row>
    <row r="17" ht="15" customHeight="1" s="41">
      <c r="H17" s="40" t="n"/>
    </row>
    <row r="18" ht="15" customHeight="1" s="41">
      <c r="H18" s="40" t="n"/>
    </row>
    <row r="19" ht="15" customHeight="1" s="41">
      <c r="H19" s="40" t="n"/>
    </row>
    <row r="20" ht="15" customHeight="1" s="41">
      <c r="H20" s="40" t="n"/>
    </row>
    <row r="21" ht="15" customHeight="1" s="41">
      <c r="H21" s="40" t="n"/>
    </row>
    <row r="22" ht="15" customHeight="1" s="41">
      <c r="H22" s="40" t="n"/>
    </row>
    <row r="23" ht="15" customHeight="1" s="41">
      <c r="H23" s="40" t="n"/>
    </row>
    <row r="24" ht="15" customHeight="1" s="41">
      <c r="H24" s="40" t="n"/>
    </row>
    <row r="25" ht="15" customHeight="1" s="41">
      <c r="H25" s="40" t="n"/>
    </row>
    <row r="26" ht="15" customHeight="1" s="41">
      <c r="H26" s="40" t="n"/>
    </row>
    <row r="27" ht="15" customHeight="1" s="41">
      <c r="H27" s="40" t="n"/>
    </row>
    <row r="28" ht="15" customHeight="1" s="41">
      <c r="H28" s="40" t="n"/>
    </row>
    <row r="29" ht="15" customHeight="1" s="41">
      <c r="H29" s="40" t="n"/>
    </row>
    <row r="30" ht="15" customHeight="1" s="41">
      <c r="H30" s="40" t="n"/>
    </row>
    <row r="31" ht="15" customHeight="1" s="41">
      <c r="H31" s="40" t="n"/>
    </row>
    <row r="32" ht="15" customHeight="1" s="41">
      <c r="H32" s="40" t="n"/>
    </row>
    <row r="33" ht="15" customHeight="1" s="41">
      <c r="H33" s="40" t="n"/>
    </row>
    <row r="34" ht="15" customHeight="1" s="41">
      <c r="H34" s="40" t="n"/>
    </row>
    <row r="35" ht="15" customHeight="1" s="41">
      <c r="H35" s="40" t="n"/>
    </row>
    <row r="36" ht="15" customHeight="1" s="41">
      <c r="H36" s="40" t="n"/>
    </row>
    <row r="37" ht="15" customHeight="1" s="41">
      <c r="H37" s="40" t="n"/>
    </row>
    <row r="38" ht="15" customHeight="1" s="41">
      <c r="H38" s="40" t="n"/>
    </row>
    <row r="39" ht="15" customHeight="1" s="41">
      <c r="H39" s="40" t="n"/>
    </row>
    <row r="40" ht="15" customHeight="1" s="41">
      <c r="H40" s="40" t="n"/>
    </row>
    <row r="41" ht="15" customHeight="1" s="41">
      <c r="H41" s="40" t="n"/>
    </row>
    <row r="42" ht="15" customHeight="1" s="41">
      <c r="H42" s="40" t="n"/>
    </row>
    <row r="43" ht="15" customHeight="1" s="41">
      <c r="H43" s="40" t="n"/>
    </row>
    <row r="44" ht="15" customHeight="1" s="41">
      <c r="H44" s="40" t="n"/>
    </row>
    <row r="45" ht="15" customHeight="1" s="41">
      <c r="H45" s="40" t="n"/>
    </row>
    <row r="46" ht="15" customHeight="1" s="41">
      <c r="H46" s="40" t="n"/>
    </row>
    <row r="47" ht="15" customHeight="1" s="41">
      <c r="H47" s="40" t="n"/>
    </row>
    <row r="48" ht="15" customHeight="1" s="41">
      <c r="H48" s="40" t="n"/>
    </row>
    <row r="49" ht="15" customHeight="1" s="41">
      <c r="H49" s="40" t="n"/>
    </row>
    <row r="50" ht="15" customHeight="1" s="41">
      <c r="H50" s="40" t="n"/>
    </row>
    <row r="51" ht="15" customHeight="1" s="41">
      <c r="H51" s="40" t="n"/>
    </row>
    <row r="52" ht="15" customHeight="1" s="41">
      <c r="H52" s="40" t="n"/>
    </row>
    <row r="53" ht="15" customHeight="1" s="41">
      <c r="H53" s="40" t="n"/>
    </row>
    <row r="54" ht="15" customHeight="1" s="41">
      <c r="H54" s="4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0" min="2" max="2"/>
    <col width="18" customWidth="1" style="40" min="3" max="3"/>
    <col width="42" customWidth="1" style="40" min="4" max="4"/>
    <col width="24" customWidth="1" style="40" min="5" max="5"/>
    <col width="18" customWidth="1" style="40" min="6" max="6"/>
    <col width="22" customWidth="1" style="40" min="7" max="7"/>
    <col width="42" customWidth="1" style="40" min="8" max="8"/>
    <col width="30" customWidth="1" style="40" min="9" max="9"/>
    <col width="15" customWidth="1" style="40" min="10" max="10"/>
  </cols>
  <sheetData>
    <row r="2" ht="18.55" customHeight="1" s="41">
      <c r="B2" s="49" t="inlineStr">
        <is>
          <t>Source, Transformation, Ownership and Refresh Map</t>
        </is>
      </c>
    </row>
    <row r="4" ht="15" customHeight="1" s="41">
      <c r="B4" s="53" t="inlineStr">
        <is>
          <t>Source class</t>
        </is>
      </c>
      <c r="C4" s="53" t="inlineStr">
        <is>
          <t>Cadence</t>
        </is>
      </c>
      <c r="D4" s="53" t="inlineStr">
        <is>
          <t>Control</t>
        </is>
      </c>
      <c r="E4" s="53" t="inlineStr">
        <is>
          <t>System / provider</t>
        </is>
      </c>
      <c r="F4" s="53" t="inlineStr">
        <is>
          <t>As-of</t>
        </is>
      </c>
      <c r="G4" s="53" t="inlineStr">
        <is>
          <t>Owner</t>
        </is>
      </c>
      <c r="H4" s="53" t="inlineStr">
        <is>
          <t>Transform</t>
        </is>
      </c>
      <c r="I4" s="53" t="inlineStr">
        <is>
          <t>Downstream</t>
        </is>
      </c>
      <c r="J4" s="53" t="inlineStr">
        <is>
          <t>Status</t>
        </is>
      </c>
    </row>
    <row r="5" ht="15" customHeight="1" s="41">
      <c r="B5" s="40" t="inlineStr">
        <is>
          <t>cash and debt positions</t>
        </is>
      </c>
      <c r="C5" s="40" t="inlineStr">
        <is>
          <t>daily/weekly</t>
        </is>
      </c>
      <c r="D5" s="40" t="inlineStr">
        <is>
          <t>bank and trustee reconciliation</t>
        </is>
      </c>
      <c r="J5" s="40" t="inlineStr">
        <is>
          <t>TO MAP</t>
        </is>
      </c>
    </row>
    <row r="6" ht="15" customHeight="1" s="41">
      <c r="B6" s="40" t="inlineStr">
        <is>
          <t>forecast</t>
        </is>
      </c>
      <c r="C6" s="40" t="inlineStr">
        <is>
          <t>monthly</t>
        </is>
      </c>
      <c r="D6" s="40" t="inlineStr">
        <is>
          <t>actual-to-forecast bridge</t>
        </is>
      </c>
      <c r="J6" s="40" t="inlineStr">
        <is>
          <t>TO MAP</t>
        </is>
      </c>
    </row>
    <row r="7" ht="15" customHeight="1" s="41">
      <c r="B7" s="40" t="inlineStr">
        <is>
          <t>model governance evidence</t>
        </is>
      </c>
      <c r="C7" s="40" t="inlineStr">
        <is>
          <t>per release</t>
        </is>
      </c>
      <c r="D7" s="40" t="inlineStr">
        <is>
          <t>version, reviewer, sign-off and change log</t>
        </is>
      </c>
      <c r="J7" s="40" t="inlineStr">
        <is>
          <t>TO MAP</t>
        </is>
      </c>
    </row>
    <row r="8" ht="15" customHeight="1" s="41">
      <c r="B8" s="40" t="inlineStr">
        <is>
          <t>decision-use snapshot</t>
        </is>
      </c>
      <c r="C8" s="40" t="inlineStr">
        <is>
          <t>per decision</t>
        </is>
      </c>
      <c r="D8" s="40" t="inlineStr">
        <is>
          <t>immutable as-of date and source receipt</t>
        </is>
      </c>
      <c r="J8" s="40" t="inlineStr">
        <is>
          <t>TO MAP</t>
        </is>
      </c>
    </row>
    <row r="9" ht="15" customHeight="1" s="41">
      <c r="J9" s="40" t="n"/>
    </row>
    <row r="10" ht="15" customHeight="1" s="41">
      <c r="J10" s="40" t="n"/>
    </row>
    <row r="11" ht="15" customHeight="1" s="41">
      <c r="J11" s="40" t="n"/>
    </row>
    <row r="12" ht="15" customHeight="1" s="41">
      <c r="J12" s="40" t="n"/>
    </row>
    <row r="13" ht="15" customHeight="1" s="41">
      <c r="J13" s="40" t="n"/>
    </row>
    <row r="14" ht="15" customHeight="1" s="41">
      <c r="J14" s="40" t="n"/>
    </row>
    <row r="15" ht="15" customHeight="1" s="41">
      <c r="J15" s="40" t="n"/>
    </row>
    <row r="16" ht="15" customHeight="1" s="41">
      <c r="J16" s="40" t="n"/>
    </row>
    <row r="17" ht="15" customHeight="1" s="41">
      <c r="J17" s="40" t="n"/>
    </row>
    <row r="18" ht="15" customHeight="1" s="41">
      <c r="J18" s="40" t="n"/>
    </row>
    <row r="19" ht="15" customHeight="1" s="41">
      <c r="J19" s="40" t="n"/>
    </row>
    <row r="20" ht="15" customHeight="1" s="41">
      <c r="J20" s="40" t="n"/>
    </row>
    <row r="21" ht="15" customHeight="1" s="41">
      <c r="J21" s="40" t="n"/>
    </row>
    <row r="22" ht="15" customHeight="1" s="41">
      <c r="J22" s="40" t="n"/>
    </row>
    <row r="23" ht="15" customHeight="1" s="41">
      <c r="J23" s="40" t="n"/>
    </row>
    <row r="24" ht="15" customHeight="1" s="41">
      <c r="J24" s="40" t="n"/>
    </row>
    <row r="25" ht="15" customHeight="1" s="41">
      <c r="J25" s="40" t="n"/>
    </row>
    <row r="26" ht="15" customHeight="1" s="41">
      <c r="J26" s="40" t="n"/>
    </row>
    <row r="27" ht="15" customHeight="1" s="41">
      <c r="J27" s="40" t="n"/>
    </row>
    <row r="28" ht="15" customHeight="1" s="41">
      <c r="J28" s="40" t="n"/>
    </row>
    <row r="29" ht="15" customHeight="1" s="41">
      <c r="J29" s="40" t="n"/>
    </row>
    <row r="30" ht="15" customHeight="1" s="41">
      <c r="J30" s="40" t="n"/>
    </row>
    <row r="31" ht="15" customHeight="1" s="41">
      <c r="J31" s="40" t="n"/>
    </row>
    <row r="32" ht="15" customHeight="1" s="41">
      <c r="J32" s="40" t="n"/>
    </row>
    <row r="33" ht="15" customHeight="1" s="41">
      <c r="J33" s="40" t="n"/>
    </row>
    <row r="34" ht="15" customHeight="1" s="41">
      <c r="J34" s="40" t="n"/>
    </row>
    <row r="35" ht="15" customHeight="1" s="41">
      <c r="J35" s="40" t="n"/>
    </row>
    <row r="36" ht="15" customHeight="1" s="41">
      <c r="J36" s="40" t="n"/>
    </row>
    <row r="37" ht="15" customHeight="1" s="41">
      <c r="J37" s="40" t="n"/>
    </row>
    <row r="38" ht="15" customHeight="1" s="41">
      <c r="J38" s="40" t="n"/>
    </row>
    <row r="39" ht="15" customHeight="1" s="41">
      <c r="J39" s="40" t="n"/>
    </row>
    <row r="40" ht="15" customHeight="1" s="41">
      <c r="J40" s="4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14" customWidth="1" style="40" min="3" max="7"/>
    <col width="40" customWidth="1" style="40" min="8" max="8"/>
  </cols>
  <sheetData>
    <row r="2" ht="19.7" customHeight="1" s="41">
      <c r="B2" s="42" t="inlineStr">
        <is>
          <t>Assumptions</t>
        </is>
      </c>
    </row>
    <row r="4" ht="15" customHeight="1" s="41">
      <c r="A4" s="54" t="n"/>
      <c r="B4" s="54" t="inlineStr">
        <is>
          <t>Driver</t>
        </is>
      </c>
      <c r="C4" s="54" t="inlineStr">
        <is>
          <t>FY1</t>
        </is>
      </c>
      <c r="D4" s="54" t="inlineStr">
        <is>
          <t>FY2</t>
        </is>
      </c>
      <c r="E4" s="54" t="inlineStr">
        <is>
          <t>FY3</t>
        </is>
      </c>
      <c r="F4" s="54" t="inlineStr">
        <is>
          <t>FY4</t>
        </is>
      </c>
      <c r="G4" s="54" t="inlineStr">
        <is>
          <t>FY5</t>
        </is>
      </c>
      <c r="H4" s="54" t="inlineStr">
        <is>
          <t>Source / notes</t>
        </is>
      </c>
    </row>
    <row r="5" ht="15" customHeight="1" s="41">
      <c r="B5" s="46" t="inlineStr">
        <is>
          <t>Revenue growth %</t>
        </is>
      </c>
      <c r="C5" s="55" t="n">
        <v>0</v>
      </c>
      <c r="D5" s="55" t="n">
        <v>0</v>
      </c>
      <c r="E5" s="55" t="n">
        <v>0</v>
      </c>
      <c r="F5" s="55" t="n">
        <v>0</v>
      </c>
      <c r="G5" s="55" t="n">
        <v>0</v>
      </c>
      <c r="H5" s="56" t="inlineStr">
        <is>
          <t>Source: [10-K/10-Q cite or user estimate]</t>
        </is>
      </c>
    </row>
    <row r="6" ht="15" customHeight="1" s="41">
      <c r="B6" s="46" t="inlineStr">
        <is>
          <t>Gross margin %</t>
        </is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6" t="inlineStr">
        <is>
          <t>Source: [10-K/10-Q cite or user estimate]</t>
        </is>
      </c>
    </row>
    <row r="7" ht="15" customHeight="1" s="41">
      <c r="B7" s="46" t="inlineStr">
        <is>
          <t>Opex % of revenue</t>
        </is>
      </c>
      <c r="C7" s="55" t="n">
        <v>0</v>
      </c>
      <c r="D7" s="55" t="n">
        <v>0</v>
      </c>
      <c r="E7" s="55" t="n">
        <v>0</v>
      </c>
      <c r="F7" s="55" t="n">
        <v>0</v>
      </c>
      <c r="G7" s="55" t="n">
        <v>0</v>
      </c>
      <c r="H7" s="56" t="inlineStr">
        <is>
          <t>Source: [10-K/10-Q cite or user estimate]</t>
        </is>
      </c>
    </row>
    <row r="8" ht="15" customHeight="1" s="41">
      <c r="B8" s="46" t="inlineStr">
        <is>
          <t>Tax rate %</t>
        </is>
      </c>
      <c r="C8" s="55" t="n">
        <v>0</v>
      </c>
      <c r="D8" s="55" t="n">
        <v>0</v>
      </c>
      <c r="E8" s="55" t="n">
        <v>0</v>
      </c>
      <c r="F8" s="55" t="n">
        <v>0</v>
      </c>
      <c r="G8" s="55" t="n">
        <v>0</v>
      </c>
      <c r="H8" s="56" t="inlineStr">
        <is>
          <t>Source: [10-K/10-Q cite or user estimate]</t>
        </is>
      </c>
    </row>
    <row r="9" ht="15" customHeight="1" s="41">
      <c r="B9" s="46" t="inlineStr">
        <is>
          <t>D&amp;A % of capex</t>
        </is>
      </c>
      <c r="C9" s="57" t="n">
        <v>0</v>
      </c>
      <c r="D9" s="57" t="n">
        <v>0</v>
      </c>
      <c r="E9" s="57" t="n">
        <v>0</v>
      </c>
      <c r="F9" s="57" t="n">
        <v>0</v>
      </c>
      <c r="G9" s="57" t="n">
        <v>0</v>
      </c>
      <c r="H9" s="56" t="inlineStr">
        <is>
          <t>Source: [10-K/10-Q cite or user estimate]</t>
        </is>
      </c>
    </row>
    <row r="10" ht="15" customHeight="1" s="41">
      <c r="B10" s="46" t="inlineStr">
        <is>
          <t>Capex % of revenue</t>
        </is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56" t="inlineStr">
        <is>
          <t>Source: [10-K/10-Q cite or user estimate]</t>
        </is>
      </c>
    </row>
    <row r="11" ht="15" customHeight="1" s="41">
      <c r="B11" s="46" t="inlineStr">
        <is>
          <t>NWC % of revenue chg</t>
        </is>
      </c>
      <c r="C11" s="57" t="n">
        <v>0</v>
      </c>
      <c r="D11" s="57" t="n">
        <v>0</v>
      </c>
      <c r="E11" s="57" t="n">
        <v>0</v>
      </c>
      <c r="F11" s="57" t="n">
        <v>0</v>
      </c>
      <c r="G11" s="57" t="n">
        <v>0</v>
      </c>
      <c r="H11" s="56" t="inlineStr">
        <is>
          <t>Source: [10-K/10-Q cite or user estimate]</t>
        </is>
      </c>
    </row>
    <row r="12" ht="15" customHeight="1" s="41">
      <c r="B12" s="46" t="inlineStr">
        <is>
          <t>Shares outstanding (mm)</t>
        </is>
      </c>
      <c r="C12" s="58" t="n">
        <v>0</v>
      </c>
      <c r="D12" s="58" t="n">
        <v>0</v>
      </c>
      <c r="E12" s="58" t="n">
        <v>0</v>
      </c>
      <c r="F12" s="58" t="n">
        <v>0</v>
      </c>
      <c r="G12" s="58" t="n">
        <v>0</v>
      </c>
      <c r="H12" s="56" t="inlineStr">
        <is>
          <t>Source: [10-K/10-Q cite or user estimate]</t>
        </is>
      </c>
    </row>
    <row r="13" ht="15" customHeight="1" s="41">
      <c r="B13" s="46" t="inlineStr">
        <is>
          <t>WACC %</t>
        </is>
      </c>
      <c r="C13" s="55" t="n">
        <v>0</v>
      </c>
      <c r="D13" s="55" t="n">
        <v>0</v>
      </c>
      <c r="E13" s="55" t="n">
        <v>0</v>
      </c>
      <c r="F13" s="55" t="n">
        <v>0</v>
      </c>
      <c r="G13" s="55" t="n">
        <v>0</v>
      </c>
      <c r="H13" s="56" t="inlineStr">
        <is>
          <t>Source: [10-K/10-Q cite or user estimate]</t>
        </is>
      </c>
    </row>
    <row r="14" ht="15" customHeight="1" s="41">
      <c r="B14" s="46" t="inlineStr">
        <is>
          <t>Terminal growth %</t>
        </is>
      </c>
      <c r="C14" s="55" t="n">
        <v>0</v>
      </c>
      <c r="D14" s="55" t="n">
        <v>0</v>
      </c>
      <c r="E14" s="55" t="n">
        <v>0</v>
      </c>
      <c r="F14" s="55" t="n">
        <v>0</v>
      </c>
      <c r="G14" s="55" t="n">
        <v>0</v>
      </c>
      <c r="H14" s="5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9"/>
  </cols>
  <sheetData>
    <row r="2" ht="19.7" customHeight="1" s="41">
      <c r="B2" s="42" t="inlineStr">
        <is>
          <t>Income Statement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FY-2A</t>
        </is>
      </c>
      <c r="D4" s="54" t="inlineStr">
        <is>
          <t>FY-1A</t>
        </is>
      </c>
      <c r="E4" s="54" t="inlineStr">
        <is>
          <t>FY0A</t>
        </is>
      </c>
      <c r="F4" s="54" t="inlineStr">
        <is>
          <t>FY1E</t>
        </is>
      </c>
      <c r="G4" s="54" t="inlineStr">
        <is>
          <t>FY2E</t>
        </is>
      </c>
      <c r="H4" s="54" t="inlineStr">
        <is>
          <t>FY3E</t>
        </is>
      </c>
      <c r="I4" s="54" t="inlineStr">
        <is>
          <t>FY4E</t>
        </is>
      </c>
    </row>
    <row r="5" ht="15" customHeight="1" s="41">
      <c r="B5" s="43" t="inlineStr">
        <is>
          <t>Revenue</t>
        </is>
      </c>
      <c r="C5" s="59" t="n"/>
      <c r="D5" s="59" t="n"/>
      <c r="E5" s="59" t="n"/>
      <c r="F5" s="59">
        <f>E5*(1+Assumptions!C5)</f>
        <v/>
      </c>
      <c r="G5" s="59">
        <f>F5*(1+Assumptions!D5)</f>
        <v/>
      </c>
      <c r="H5" s="59">
        <f>G5*(1+Assumptions!E5)</f>
        <v/>
      </c>
      <c r="I5" s="59">
        <f>H5*(1+Assumptions!F5)</f>
        <v/>
      </c>
    </row>
    <row r="6" ht="15" customHeight="1" s="41">
      <c r="B6" s="46" t="inlineStr">
        <is>
          <t>Revenue growth %</t>
        </is>
      </c>
      <c r="C6" s="60" t="n"/>
      <c r="D6" s="60">
        <f>IFERROR(D5/C5-1,"-")</f>
        <v/>
      </c>
      <c r="E6" s="60">
        <f>IFERROR(E5/D5-1,"-")</f>
        <v/>
      </c>
      <c r="F6" s="60">
        <f>IFERROR(F5/E5-1,"-")</f>
        <v/>
      </c>
      <c r="G6" s="60">
        <f>IFERROR(G5/F5-1,"-")</f>
        <v/>
      </c>
      <c r="H6" s="60">
        <f>IFERROR(H5/G5-1,"-")</f>
        <v/>
      </c>
      <c r="I6" s="60">
        <f>IFERROR(I5/H5-1,"-")</f>
        <v/>
      </c>
    </row>
    <row r="7" ht="15" customHeight="1" s="41">
      <c r="B7" s="46" t="inlineStr">
        <is>
          <t>COGS</t>
        </is>
      </c>
      <c r="C7" s="59" t="n"/>
      <c r="D7" s="59" t="n"/>
      <c r="E7" s="59" t="n"/>
      <c r="F7" s="59">
        <f>F5*(1-Assumptions!C6)</f>
        <v/>
      </c>
      <c r="G7" s="59">
        <f>G5*(1-Assumptions!D6)</f>
        <v/>
      </c>
      <c r="H7" s="59">
        <f>H5*(1-Assumptions!E6)</f>
        <v/>
      </c>
      <c r="I7" s="59">
        <f>I5*(1-Assumptions!F6)</f>
        <v/>
      </c>
    </row>
    <row r="8" ht="15" customHeight="1" s="41">
      <c r="B8" s="43" t="inlineStr">
        <is>
          <t>Gross profit</t>
        </is>
      </c>
      <c r="C8" s="59" t="n"/>
      <c r="D8" s="59">
        <f>D5-D7</f>
        <v/>
      </c>
      <c r="E8" s="59">
        <f>E5-E7</f>
        <v/>
      </c>
      <c r="F8" s="59">
        <f>F5-F7</f>
        <v/>
      </c>
      <c r="G8" s="59">
        <f>G5-G7</f>
        <v/>
      </c>
      <c r="H8" s="59">
        <f>H5-H7</f>
        <v/>
      </c>
      <c r="I8" s="59">
        <f>I5-I7</f>
        <v/>
      </c>
    </row>
    <row r="9" ht="15" customHeight="1" s="41">
      <c r="B9" s="46" t="inlineStr">
        <is>
          <t>Gross margin %</t>
        </is>
      </c>
      <c r="C9" s="60" t="n"/>
      <c r="D9" s="60">
        <f>IFERROR(D8/D5,"-")</f>
        <v/>
      </c>
      <c r="E9" s="60">
        <f>IFERROR(E8/E5,"-")</f>
        <v/>
      </c>
      <c r="F9" s="60">
        <f>IFERROR(F8/F5,"-")</f>
        <v/>
      </c>
      <c r="G9" s="60">
        <f>IFERROR(G8/G5,"-")</f>
        <v/>
      </c>
      <c r="H9" s="60">
        <f>IFERROR(H8/H5,"-")</f>
        <v/>
      </c>
      <c r="I9" s="60">
        <f>IFERROR(I8/I5,"-")</f>
        <v/>
      </c>
    </row>
    <row r="10" ht="15" customHeight="1" s="41">
      <c r="B10" s="46" t="inlineStr">
        <is>
          <t>Opex</t>
        </is>
      </c>
      <c r="C10" s="59" t="n"/>
      <c r="D10" s="59" t="n"/>
      <c r="E10" s="59" t="n"/>
      <c r="F10" s="59">
        <f>F5*Assumptions!C7</f>
        <v/>
      </c>
      <c r="G10" s="59">
        <f>G5*Assumptions!D7</f>
        <v/>
      </c>
      <c r="H10" s="59">
        <f>H5*Assumptions!E7</f>
        <v/>
      </c>
      <c r="I10" s="59">
        <f>I5*Assumptions!F7</f>
        <v/>
      </c>
    </row>
    <row r="11" ht="15" customHeight="1" s="41">
      <c r="B11" s="43" t="inlineStr">
        <is>
          <t>EBITDA</t>
        </is>
      </c>
      <c r="C11" s="59" t="n"/>
      <c r="D11" s="59" t="n"/>
      <c r="E11" s="59" t="n"/>
      <c r="F11" s="59">
        <f>F8-F10</f>
        <v/>
      </c>
      <c r="G11" s="59">
        <f>G8-G10</f>
        <v/>
      </c>
      <c r="H11" s="59">
        <f>H8-H10</f>
        <v/>
      </c>
      <c r="I11" s="59">
        <f>I8-I10</f>
        <v/>
      </c>
    </row>
    <row r="12" ht="15" customHeight="1" s="41">
      <c r="B12" s="46" t="inlineStr">
        <is>
          <t>EBITDA margin %</t>
        </is>
      </c>
      <c r="C12" s="60" t="n"/>
      <c r="D12" s="60" t="n"/>
      <c r="E12" s="60" t="n"/>
      <c r="F12" s="60">
        <f>IFERROR(F11/F5,"-")</f>
        <v/>
      </c>
      <c r="G12" s="60">
        <f>IFERROR(G11/G5,"-")</f>
        <v/>
      </c>
      <c r="H12" s="60">
        <f>IFERROR(H11/H5,"-")</f>
        <v/>
      </c>
      <c r="I12" s="60">
        <f>IFERROR(I11/I5,"-")</f>
        <v/>
      </c>
    </row>
    <row r="13" ht="15" customHeight="1" s="41">
      <c r="B13" s="46" t="inlineStr">
        <is>
          <t>D&amp;A</t>
        </is>
      </c>
      <c r="C13" s="59" t="n"/>
      <c r="D13" s="59" t="n"/>
      <c r="E13" s="59" t="n"/>
      <c r="F13" s="59">
        <f>F5*Assumptions!C10*Assumptions!C9</f>
        <v/>
      </c>
      <c r="G13" s="59">
        <f>G5*Assumptions!D10*Assumptions!D9</f>
        <v/>
      </c>
      <c r="H13" s="59">
        <f>H5*Assumptions!E10*Assumptions!E9</f>
        <v/>
      </c>
      <c r="I13" s="59">
        <f>I5*Assumptions!F10*Assumptions!F9</f>
        <v/>
      </c>
    </row>
    <row r="14" ht="15" customHeight="1" s="41">
      <c r="B14" s="43" t="inlineStr">
        <is>
          <t>EBIT</t>
        </is>
      </c>
      <c r="C14" s="59" t="n"/>
      <c r="D14" s="59" t="n"/>
      <c r="E14" s="59" t="n"/>
      <c r="F14" s="59">
        <f>F11-F13</f>
        <v/>
      </c>
      <c r="G14" s="59">
        <f>G11-G13</f>
        <v/>
      </c>
      <c r="H14" s="59">
        <f>H11-H13</f>
        <v/>
      </c>
      <c r="I14" s="59">
        <f>I11-I13</f>
        <v/>
      </c>
    </row>
    <row r="15" ht="15" customHeight="1" s="41">
      <c r="B15" s="46" t="inlineStr">
        <is>
          <t>Interest expense</t>
        </is>
      </c>
      <c r="C15" s="59" t="n"/>
      <c r="D15" s="59" t="n"/>
      <c r="E15" s="59" t="n"/>
      <c r="F15" s="59">
        <f>$E$15</f>
        <v/>
      </c>
      <c r="G15" s="59">
        <f>$E$15</f>
        <v/>
      </c>
      <c r="H15" s="59">
        <f>$E$15</f>
        <v/>
      </c>
      <c r="I15" s="59">
        <f>$E$15</f>
        <v/>
      </c>
    </row>
    <row r="16" ht="15" customHeight="1" s="41">
      <c r="B16" s="46" t="inlineStr">
        <is>
          <t>Pre-tax income</t>
        </is>
      </c>
      <c r="C16" s="59" t="n"/>
      <c r="D16" s="59" t="n"/>
      <c r="E16" s="59" t="n"/>
      <c r="F16" s="59">
        <f>F14-F15</f>
        <v/>
      </c>
      <c r="G16" s="59">
        <f>G14-G15</f>
        <v/>
      </c>
      <c r="H16" s="59">
        <f>H14-H15</f>
        <v/>
      </c>
      <c r="I16" s="59">
        <f>I14-I15</f>
        <v/>
      </c>
    </row>
    <row r="17" ht="15" customHeight="1" s="41">
      <c r="B17" s="46" t="inlineStr">
        <is>
          <t>Tax</t>
        </is>
      </c>
      <c r="C17" s="59" t="n"/>
      <c r="D17" s="59" t="n"/>
      <c r="E17" s="59" t="n"/>
      <c r="F17" s="59">
        <f>F16*Assumptions!C8</f>
        <v/>
      </c>
      <c r="G17" s="59">
        <f>G16*Assumptions!D8</f>
        <v/>
      </c>
      <c r="H17" s="59">
        <f>H16*Assumptions!E8</f>
        <v/>
      </c>
      <c r="I17" s="59">
        <f>I16*Assumptions!F8</f>
        <v/>
      </c>
    </row>
    <row r="18" ht="15" customHeight="1" s="41">
      <c r="B18" s="43" t="inlineStr">
        <is>
          <t>Net income</t>
        </is>
      </c>
      <c r="C18" s="59" t="n"/>
      <c r="D18" s="59" t="n"/>
      <c r="E18" s="59" t="n"/>
      <c r="F18" s="59">
        <f>F16-F17</f>
        <v/>
      </c>
      <c r="G18" s="59">
        <f>G16-G17</f>
        <v/>
      </c>
      <c r="H18" s="59">
        <f>H16-H17</f>
        <v/>
      </c>
      <c r="I18" s="59">
        <f>I16-I17</f>
        <v/>
      </c>
    </row>
    <row r="19" ht="15" customHeight="1" s="41">
      <c r="B19" s="46" t="inlineStr">
        <is>
          <t>Diluted shares</t>
        </is>
      </c>
      <c r="C19" s="59" t="n"/>
      <c r="D19" s="59" t="n"/>
      <c r="E19" s="59" t="n"/>
      <c r="F19" s="59">
        <f>Assumptions!C12</f>
        <v/>
      </c>
      <c r="G19" s="59">
        <f>Assumptions!D12</f>
        <v/>
      </c>
      <c r="H19" s="59">
        <f>Assumptions!E12</f>
        <v/>
      </c>
      <c r="I19" s="59">
        <f>Assumptions!F12</f>
        <v/>
      </c>
    </row>
    <row r="20" ht="15" customHeight="1" s="41">
      <c r="B20" s="46" t="inlineStr">
        <is>
          <t>Diluted EPS</t>
        </is>
      </c>
      <c r="C20" s="59" t="n"/>
      <c r="D20" s="59" t="n"/>
      <c r="E20" s="59" t="n"/>
      <c r="F20" s="59">
        <f>IFERROR(F18/F19,"-")</f>
        <v/>
      </c>
      <c r="G20" s="59">
        <f>IFERROR(G18/G19,"-")</f>
        <v/>
      </c>
      <c r="H20" s="59">
        <f>IFERROR(H18/H19,"-")</f>
        <v/>
      </c>
      <c r="I20" s="5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Balance Sheet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Cash &amp; equivalents</t>
        </is>
      </c>
      <c r="C5" s="59" t="n"/>
      <c r="D5" s="59" t="n"/>
      <c r="E5" s="59" t="n"/>
      <c r="F5" s="59" t="n"/>
      <c r="G5" s="59" t="n"/>
    </row>
    <row r="6" ht="15" customHeight="1" s="41">
      <c r="B6" s="46" t="inlineStr">
        <is>
          <t>Accounts receivable</t>
        </is>
      </c>
      <c r="C6" s="59" t="n"/>
      <c r="D6" s="59" t="n"/>
      <c r="E6" s="59" t="n"/>
      <c r="F6" s="59" t="n"/>
      <c r="G6" s="59" t="n"/>
    </row>
    <row r="7" ht="15" customHeight="1" s="41">
      <c r="B7" s="46" t="inlineStr">
        <is>
          <t>Inventory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Total current assets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PP&amp;E net</t>
        </is>
      </c>
      <c r="C9" s="59" t="n"/>
      <c r="D9" s="59" t="n"/>
      <c r="E9" s="59" t="n"/>
      <c r="F9" s="59" t="n"/>
      <c r="G9" s="59" t="n"/>
    </row>
    <row r="10" ht="15" customHeight="1" s="41">
      <c r="B10" s="46" t="inlineStr">
        <is>
          <t>Goodwill &amp; intangibles</t>
        </is>
      </c>
      <c r="C10" s="59" t="n"/>
      <c r="D10" s="59" t="n"/>
      <c r="E10" s="59" t="n"/>
      <c r="F10" s="59" t="n"/>
      <c r="G10" s="59" t="n"/>
    </row>
    <row r="11" ht="15" customHeight="1" s="41">
      <c r="B11" s="43" t="inlineStr">
        <is>
          <t>Total assets</t>
        </is>
      </c>
      <c r="C11" s="59">
        <f>C8+C9+C10</f>
        <v/>
      </c>
      <c r="D11" s="59">
        <f>D8+D9+D10</f>
        <v/>
      </c>
      <c r="E11" s="59">
        <f>E8+E9+E10</f>
        <v/>
      </c>
      <c r="F11" s="59">
        <f>F8+F9+F10</f>
        <v/>
      </c>
      <c r="G11" s="59">
        <f>G8+G9+G10</f>
        <v/>
      </c>
    </row>
    <row r="12" ht="15" customHeight="1" s="41">
      <c r="B12" s="46" t="inlineStr">
        <is>
          <t>Accounts payable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Debt (current)</t>
        </is>
      </c>
      <c r="C13" s="59" t="n"/>
      <c r="D13" s="59" t="n"/>
      <c r="E13" s="59" t="n"/>
      <c r="F13" s="59" t="n"/>
      <c r="G13" s="59" t="n"/>
    </row>
    <row r="14" ht="15" customHeight="1" s="41">
      <c r="B14" s="43" t="inlineStr">
        <is>
          <t>Total current liabilities</t>
        </is>
      </c>
      <c r="C14" s="59">
        <f>C12+C13</f>
        <v/>
      </c>
      <c r="D14" s="59">
        <f>D12+D13</f>
        <v/>
      </c>
      <c r="E14" s="59">
        <f>E12+E13</f>
        <v/>
      </c>
      <c r="F14" s="59">
        <f>F12+F13</f>
        <v/>
      </c>
      <c r="G14" s="59">
        <f>G12+G13</f>
        <v/>
      </c>
    </row>
    <row r="15" ht="15" customHeight="1" s="41">
      <c r="B15" s="46" t="inlineStr">
        <is>
          <t>Long-term debt</t>
        </is>
      </c>
      <c r="C15" s="59" t="n"/>
      <c r="D15" s="59" t="n"/>
      <c r="E15" s="59" t="n"/>
      <c r="F15" s="59" t="n"/>
      <c r="G15" s="59" t="n"/>
    </row>
    <row r="16" ht="15" customHeight="1" s="41">
      <c r="B16" s="43" t="inlineStr">
        <is>
          <t>Total liabilities</t>
        </is>
      </c>
      <c r="C16" s="59">
        <f>C14+C15</f>
        <v/>
      </c>
      <c r="D16" s="59">
        <f>D14+D15</f>
        <v/>
      </c>
      <c r="E16" s="59">
        <f>E14+E15</f>
        <v/>
      </c>
      <c r="F16" s="59">
        <f>F14+F15</f>
        <v/>
      </c>
      <c r="G16" s="59">
        <f>G14+G15</f>
        <v/>
      </c>
    </row>
    <row r="17" ht="15" customHeight="1" s="41">
      <c r="B17" s="43" t="inlineStr">
        <is>
          <t>Total equity</t>
        </is>
      </c>
      <c r="C17" s="59" t="n"/>
      <c r="D17" s="59" t="n"/>
      <c r="E17" s="59" t="n"/>
      <c r="F17" s="59" t="n"/>
      <c r="G17" s="59" t="n"/>
    </row>
    <row r="19" ht="15" customHeight="1" s="41">
      <c r="B19" s="61" t="inlineStr">
        <is>
          <t>Balance check (Total assets - Total liabilities - Total equity, should = 0)</t>
        </is>
      </c>
      <c r="C19" s="62">
        <f>C11-C16-C17</f>
        <v/>
      </c>
      <c r="D19" s="62">
        <f>D11-D16-D17</f>
        <v/>
      </c>
      <c r="E19" s="62">
        <f>E11-E16-E17</f>
        <v/>
      </c>
      <c r="F19" s="62">
        <f>F11-F16-F17</f>
        <v/>
      </c>
      <c r="G19" s="6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Cash Flow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Net income</t>
        </is>
      </c>
      <c r="C5" s="59" t="n"/>
      <c r="D5" s="59" t="n"/>
      <c r="E5" s="63">
        <f>IS!F18</f>
        <v/>
      </c>
      <c r="F5" s="63">
        <f>IS!G18</f>
        <v/>
      </c>
      <c r="G5" s="63">
        <f>IS!H18</f>
        <v/>
      </c>
    </row>
    <row r="6" ht="15" customHeight="1" s="41">
      <c r="B6" s="46" t="inlineStr">
        <is>
          <t>+ D&amp;A</t>
        </is>
      </c>
      <c r="C6" s="59" t="n"/>
      <c r="D6" s="59" t="n"/>
      <c r="E6" s="63">
        <f>IS!F13</f>
        <v/>
      </c>
      <c r="F6" s="63">
        <f>IS!G13</f>
        <v/>
      </c>
      <c r="G6" s="63">
        <f>IS!H13</f>
        <v/>
      </c>
    </row>
    <row r="7" ht="15" customHeight="1" s="41">
      <c r="B7" s="46" t="inlineStr">
        <is>
          <t>+/- Change in NWC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Cash flow from operations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Capex</t>
        </is>
      </c>
      <c r="C9" s="59" t="n"/>
      <c r="D9" s="59" t="n"/>
      <c r="E9" s="59" t="n"/>
      <c r="F9" s="59" t="n"/>
      <c r="G9" s="59" t="n"/>
    </row>
    <row r="10" ht="15" customHeight="1" s="41">
      <c r="B10" s="43" t="inlineStr">
        <is>
          <t>Free cash flow</t>
        </is>
      </c>
      <c r="C10" s="59">
        <f>C8+C9</f>
        <v/>
      </c>
      <c r="D10" s="59">
        <f>D8+D9</f>
        <v/>
      </c>
      <c r="E10" s="59">
        <f>E8+E9</f>
        <v/>
      </c>
      <c r="F10" s="59">
        <f>F8+F9</f>
        <v/>
      </c>
      <c r="G10" s="59">
        <f>G8+G9</f>
        <v/>
      </c>
    </row>
    <row r="11" ht="15" customHeight="1" s="41">
      <c r="B11" s="46" t="inlineStr">
        <is>
          <t>Debt issuance/(repayment)</t>
        </is>
      </c>
      <c r="C11" s="59" t="n"/>
      <c r="D11" s="59" t="n"/>
      <c r="E11" s="59" t="n"/>
      <c r="F11" s="59" t="n"/>
      <c r="G11" s="59" t="n"/>
    </row>
    <row r="12" ht="15" customHeight="1" s="41">
      <c r="B12" s="46" t="inlineStr">
        <is>
          <t>Dividends/buybacks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Net change in cash</t>
        </is>
      </c>
      <c r="C13" s="59">
        <f>C10+C11+C12</f>
        <v/>
      </c>
      <c r="D13" s="59">
        <f>D10+D11+D12</f>
        <v/>
      </c>
      <c r="E13" s="59">
        <f>E10+E11+E12</f>
        <v/>
      </c>
      <c r="F13" s="59">
        <f>F10+F11+F12</f>
        <v/>
      </c>
      <c r="G13" s="5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  <col width="4" customWidth="1" style="40" min="8" max="8"/>
    <col width="22" customWidth="1" style="40" min="9" max="9"/>
    <col width="14" customWidth="1" style="40" min="10" max="10"/>
  </cols>
  <sheetData>
    <row r="2" ht="19.7" customHeight="1" s="41">
      <c r="B2" s="42" t="inlineStr">
        <is>
          <t>DCF Valuation</t>
        </is>
      </c>
    </row>
    <row r="4" ht="15" customHeight="1" s="41">
      <c r="C4" s="54" t="inlineStr">
        <is>
          <t>FY1E</t>
        </is>
      </c>
      <c r="D4" s="54" t="inlineStr">
        <is>
          <t>FY2E</t>
        </is>
      </c>
      <c r="E4" s="54" t="inlineStr">
        <is>
          <t>FY3E</t>
        </is>
      </c>
      <c r="F4" s="54" t="inlineStr">
        <is>
          <t>FY4E</t>
        </is>
      </c>
      <c r="G4" s="54" t="inlineStr">
        <is>
          <t>FY5E</t>
        </is>
      </c>
      <c r="H4" s="43" t="inlineStr">
        <is>
          <t>Key outputs</t>
        </is>
      </c>
    </row>
    <row r="5" ht="15" customHeight="1" s="41">
      <c r="B5" s="40" t="inlineStr">
        <is>
          <t>Unlevered FCF</t>
        </is>
      </c>
      <c r="C5" s="64">
        <f>IS!F14*(1-Assumptions!C8)+IS!F13-IS!F5*Assumptions!C10</f>
        <v/>
      </c>
      <c r="D5" s="64">
        <f>IS!G14*(1-Assumptions!D8)+IS!G13-IS!G5*Assumptions!D10</f>
        <v/>
      </c>
      <c r="E5" s="64">
        <f>IS!H14*(1-Assumptions!E8)+IS!H13-IS!H5*Assumptions!E10</f>
        <v/>
      </c>
      <c r="F5" s="64">
        <f>IS!I14*(1-Assumptions!F8)+IS!I13-IS!I5*Assumptions!F10</f>
        <v/>
      </c>
      <c r="G5" s="64">
        <f>F5*(1+Assumptions!G5)</f>
        <v/>
      </c>
      <c r="H5" s="40" t="inlineStr">
        <is>
          <t>WACC</t>
        </is>
      </c>
      <c r="I5" s="65" t="n">
        <v>0.1</v>
      </c>
    </row>
    <row r="6" ht="15" customHeight="1" s="41">
      <c r="B6" s="40" t="inlineStr">
        <is>
          <t>Discount factor</t>
        </is>
      </c>
      <c r="C6" s="66">
        <f>1/(1+$I$5)^(1)</f>
        <v/>
      </c>
      <c r="D6" s="66">
        <f>1/(1+$I$5)^(2)</f>
        <v/>
      </c>
      <c r="E6" s="66">
        <f>1/(1+$I$5)^(3)</f>
        <v/>
      </c>
      <c r="F6" s="66">
        <f>1/(1+$I$5)^(4)</f>
        <v/>
      </c>
      <c r="G6" s="66">
        <f>1/(1+$I$5)^(5)</f>
        <v/>
      </c>
      <c r="H6" s="40" t="inlineStr">
        <is>
          <t>Terminal growth</t>
        </is>
      </c>
      <c r="I6" s="65" t="n">
        <v>0.025</v>
      </c>
    </row>
    <row r="7" ht="15" customHeight="1" s="41">
      <c r="B7" s="40" t="inlineStr">
        <is>
          <t>PV of FCF</t>
        </is>
      </c>
      <c r="C7" s="67">
        <f>C5*C6</f>
        <v/>
      </c>
      <c r="D7" s="67">
        <f>D5*D6</f>
        <v/>
      </c>
      <c r="E7" s="67">
        <f>E5*E6</f>
        <v/>
      </c>
      <c r="F7" s="67">
        <f>F5*F6</f>
        <v/>
      </c>
      <c r="G7" s="67">
        <f>G5*G6</f>
        <v/>
      </c>
      <c r="H7" s="40" t="inlineStr">
        <is>
          <t>Terminal value</t>
        </is>
      </c>
      <c r="I7" s="67">
        <f>G5*(1+I6)/(I5-I6)</f>
        <v/>
      </c>
    </row>
    <row r="8" ht="15" customHeight="1" s="41">
      <c r="H8" s="40" t="inlineStr">
        <is>
          <t>PV of terminal value</t>
        </is>
      </c>
      <c r="I8" s="67">
        <f>I7*G6</f>
        <v/>
      </c>
    </row>
    <row r="9" ht="15" customHeight="1" s="41">
      <c r="H9" s="40" t="inlineStr">
        <is>
          <t>Sum PV of FCF</t>
        </is>
      </c>
      <c r="I9" s="67">
        <f>SUM(C7:G7)</f>
        <v/>
      </c>
    </row>
    <row r="10" ht="15" customHeight="1" s="41">
      <c r="H10" s="40" t="inlineStr">
        <is>
          <t>Enterprise value</t>
        </is>
      </c>
      <c r="I10" s="68">
        <f>I8+I9</f>
        <v/>
      </c>
    </row>
    <row r="11" ht="15" customHeight="1" s="41">
      <c r="H11" s="40" t="inlineStr">
        <is>
          <t>Less: net debt</t>
        </is>
      </c>
      <c r="I11" s="69" t="n">
        <v>0</v>
      </c>
    </row>
    <row r="12" ht="15" customHeight="1" s="41">
      <c r="H12" s="40" t="inlineStr">
        <is>
          <t>Equity value</t>
        </is>
      </c>
      <c r="I12" s="68">
        <f>I10-I11</f>
        <v/>
      </c>
    </row>
    <row r="13" ht="15" customHeight="1" s="41">
      <c r="H13" s="40" t="inlineStr">
        <is>
          <t>Diluted shares (mm)</t>
        </is>
      </c>
      <c r="I13" s="69" t="n">
        <v>1</v>
      </c>
    </row>
    <row r="14" ht="15" customHeight="1" s="41">
      <c r="H14" s="40" t="inlineStr">
        <is>
          <t>Implied value/share</t>
        </is>
      </c>
      <c r="I14" s="6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2" customWidth="1" style="40" min="2" max="2"/>
    <col width="12" customWidth="1" style="40" min="3" max="8"/>
  </cols>
  <sheetData>
    <row r="2" ht="19.7" customHeight="1" s="41">
      <c r="B2" s="42" t="inlineStr">
        <is>
          <t>Comparable Companies</t>
        </is>
      </c>
    </row>
    <row r="4" ht="15" customHeight="1" s="41">
      <c r="A4" s="54" t="n"/>
      <c r="B4" s="54" t="inlineStr">
        <is>
          <t>Ticker</t>
        </is>
      </c>
      <c r="C4" s="54" t="inlineStr">
        <is>
          <t>Price</t>
        </is>
      </c>
      <c r="D4" s="54" t="inlineStr">
        <is>
          <t>Mkt Cap</t>
        </is>
      </c>
      <c r="E4" s="54" t="inlineStr">
        <is>
          <t>EV</t>
        </is>
      </c>
      <c r="F4" s="54" t="inlineStr">
        <is>
          <t>EV/Rev</t>
        </is>
      </c>
      <c r="G4" s="54" t="inlineStr">
        <is>
          <t>EV/EBITDA</t>
        </is>
      </c>
      <c r="H4" s="54" t="inlineStr">
        <is>
          <t>P/E</t>
        </is>
      </c>
    </row>
    <row r="5" ht="15" customHeight="1" s="41">
      <c r="B5" s="44" t="inlineStr">
        <is>
          <t>[TICKER]</t>
        </is>
      </c>
      <c r="C5" s="58" t="n">
        <v>0</v>
      </c>
      <c r="D5" s="58" t="n">
        <v>0</v>
      </c>
      <c r="E5" s="58" t="n">
        <v>0</v>
      </c>
      <c r="F5" s="70" t="n">
        <v>0</v>
      </c>
      <c r="G5" s="70" t="n">
        <v>0</v>
      </c>
      <c r="H5" s="70" t="n">
        <v>0</v>
      </c>
    </row>
    <row r="6" ht="15" customHeight="1" s="41">
      <c r="B6" s="44" t="inlineStr">
        <is>
          <t>[TICKER]</t>
        </is>
      </c>
      <c r="C6" s="58" t="n">
        <v>0</v>
      </c>
      <c r="D6" s="58" t="n">
        <v>0</v>
      </c>
      <c r="E6" s="58" t="n">
        <v>0</v>
      </c>
      <c r="F6" s="70" t="n">
        <v>0</v>
      </c>
      <c r="G6" s="70" t="n">
        <v>0</v>
      </c>
      <c r="H6" s="70" t="n">
        <v>0</v>
      </c>
    </row>
    <row r="7" ht="15" customHeight="1" s="41">
      <c r="B7" s="44" t="inlineStr">
        <is>
          <t>[TICKER]</t>
        </is>
      </c>
      <c r="C7" s="58" t="n">
        <v>0</v>
      </c>
      <c r="D7" s="58" t="n">
        <v>0</v>
      </c>
      <c r="E7" s="58" t="n">
        <v>0</v>
      </c>
      <c r="F7" s="70" t="n">
        <v>0</v>
      </c>
      <c r="G7" s="70" t="n">
        <v>0</v>
      </c>
      <c r="H7" s="70" t="n">
        <v>0</v>
      </c>
    </row>
    <row r="8" ht="15" customHeight="1" s="41">
      <c r="B8" s="44" t="inlineStr">
        <is>
          <t>[TICKER]</t>
        </is>
      </c>
      <c r="C8" s="58" t="n">
        <v>0</v>
      </c>
      <c r="D8" s="58" t="n">
        <v>0</v>
      </c>
      <c r="E8" s="58" t="n">
        <v>0</v>
      </c>
      <c r="F8" s="70" t="n">
        <v>0</v>
      </c>
      <c r="G8" s="70" t="n">
        <v>0</v>
      </c>
      <c r="H8" s="70" t="n">
        <v>0</v>
      </c>
    </row>
    <row r="9" ht="15" customHeight="1" s="41">
      <c r="B9" s="44" t="inlineStr">
        <is>
          <t>[TICKER]</t>
        </is>
      </c>
      <c r="C9" s="58" t="n">
        <v>0</v>
      </c>
      <c r="D9" s="58" t="n">
        <v>0</v>
      </c>
      <c r="E9" s="58" t="n">
        <v>0</v>
      </c>
      <c r="F9" s="70" t="n">
        <v>0</v>
      </c>
      <c r="G9" s="70" t="n">
        <v>0</v>
      </c>
      <c r="H9" s="70" t="n">
        <v>0</v>
      </c>
    </row>
    <row r="10" ht="15" customHeight="1" s="41">
      <c r="B10" s="44" t="inlineStr">
        <is>
          <t>[TICKER]</t>
        </is>
      </c>
      <c r="C10" s="58" t="n">
        <v>0</v>
      </c>
      <c r="D10" s="58" t="n">
        <v>0</v>
      </c>
      <c r="E10" s="58" t="n">
        <v>0</v>
      </c>
      <c r="F10" s="70" t="n">
        <v>0</v>
      </c>
      <c r="G10" s="70" t="n">
        <v>0</v>
      </c>
      <c r="H10" s="70" t="n">
        <v>0</v>
      </c>
    </row>
    <row r="11" ht="15" customHeight="1" s="41">
      <c r="B11" s="44" t="inlineStr">
        <is>
          <t>[TICKER]</t>
        </is>
      </c>
      <c r="C11" s="58" t="n">
        <v>0</v>
      </c>
      <c r="D11" s="58" t="n">
        <v>0</v>
      </c>
      <c r="E11" s="58" t="n">
        <v>0</v>
      </c>
      <c r="F11" s="70" t="n">
        <v>0</v>
      </c>
      <c r="G11" s="70" t="n">
        <v>0</v>
      </c>
      <c r="H11" s="70" t="n">
        <v>0</v>
      </c>
    </row>
    <row r="13" ht="15" customHeight="1" s="41">
      <c r="B13" s="43" t="inlineStr">
        <is>
          <t>Median</t>
        </is>
      </c>
      <c r="C13" s="68">
        <f>MEDIAN(C5:C12)</f>
        <v/>
      </c>
      <c r="D13" s="68">
        <f>MEDIAN(D5:D12)</f>
        <v/>
      </c>
      <c r="E13" s="68">
        <f>MEDIAN(E5:E12)</f>
        <v/>
      </c>
      <c r="F13" s="71">
        <f>MEDIAN(F5:F12)</f>
        <v/>
      </c>
      <c r="G13" s="71">
        <f>MEDIAN(G5:G12)</f>
        <v/>
      </c>
      <c r="H13" s="7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0" customWidth="1" style="40" min="2" max="2"/>
    <col width="12" customWidth="1" style="40" min="3" max="8"/>
  </cols>
  <sheetData>
    <row r="2" ht="19.7" customHeight="1" s="41">
      <c r="B2" s="42" t="inlineStr">
        <is>
          <t>Sensitivity — Implied Value/Share</t>
        </is>
      </c>
    </row>
    <row r="4" ht="15" customHeight="1" s="41">
      <c r="B4" s="72" t="inlineStr">
        <is>
          <t>WACC \ Term. growth</t>
        </is>
      </c>
      <c r="C4" s="73" t="n">
        <v>0.015</v>
      </c>
      <c r="D4" s="73" t="n">
        <v>0.02</v>
      </c>
      <c r="E4" s="73" t="n">
        <v>0.025</v>
      </c>
      <c r="F4" s="73" t="n">
        <v>0.03</v>
      </c>
      <c r="G4" s="73" t="n">
        <v>0.035</v>
      </c>
    </row>
    <row r="5" ht="15" customHeight="1" s="41">
      <c r="B5" s="73" t="n">
        <v>0.08</v>
      </c>
      <c r="C5" s="61" t="inlineStr">
        <is>
          <t>[data table — Excel What-If Analysis]</t>
        </is>
      </c>
      <c r="D5" s="61" t="inlineStr">
        <is>
          <t>[data table — Excel What-If Analysis]</t>
        </is>
      </c>
      <c r="E5" s="61" t="inlineStr">
        <is>
          <t>[data table — Excel What-If Analysis]</t>
        </is>
      </c>
      <c r="F5" s="61" t="inlineStr">
        <is>
          <t>[data table — Excel What-If Analysis]</t>
        </is>
      </c>
      <c r="G5" s="61" t="inlineStr">
        <is>
          <t>[data table — Excel What-If Analysis]</t>
        </is>
      </c>
    </row>
    <row r="6" ht="15" customHeight="1" s="41">
      <c r="B6" s="73" t="n">
        <v>0.09</v>
      </c>
      <c r="C6" s="61" t="inlineStr">
        <is>
          <t>[data table — Excel What-If Analysis]</t>
        </is>
      </c>
      <c r="D6" s="61" t="inlineStr">
        <is>
          <t>[data table — Excel What-If Analysis]</t>
        </is>
      </c>
      <c r="E6" s="61" t="inlineStr">
        <is>
          <t>[data table — Excel What-If Analysis]</t>
        </is>
      </c>
      <c r="F6" s="61" t="inlineStr">
        <is>
          <t>[data table — Excel What-If Analysis]</t>
        </is>
      </c>
      <c r="G6" s="61" t="inlineStr">
        <is>
          <t>[data table — Excel What-If Analysis]</t>
        </is>
      </c>
    </row>
    <row r="7" ht="15" customHeight="1" s="41">
      <c r="B7" s="73" t="n">
        <v>0.1</v>
      </c>
      <c r="C7" s="61" t="inlineStr">
        <is>
          <t>[data table — Excel What-If Analysis]</t>
        </is>
      </c>
      <c r="D7" s="61" t="inlineStr">
        <is>
          <t>[data table — Excel What-If Analysis]</t>
        </is>
      </c>
      <c r="E7" s="61" t="inlineStr">
        <is>
          <t>[data table — Excel What-If Analysis]</t>
        </is>
      </c>
      <c r="F7" s="61" t="inlineStr">
        <is>
          <t>[data table — Excel What-If Analysis]</t>
        </is>
      </c>
      <c r="G7" s="61" t="inlineStr">
        <is>
          <t>[data table — Excel What-If Analysis]</t>
        </is>
      </c>
    </row>
    <row r="8" ht="15" customHeight="1" s="41">
      <c r="B8" s="73" t="n">
        <v>0.11</v>
      </c>
      <c r="C8" s="61" t="inlineStr">
        <is>
          <t>[data table — Excel What-If Analysis]</t>
        </is>
      </c>
      <c r="D8" s="61" t="inlineStr">
        <is>
          <t>[data table — Excel What-If Analysis]</t>
        </is>
      </c>
      <c r="E8" s="61" t="inlineStr">
        <is>
          <t>[data table — Excel What-If Analysis]</t>
        </is>
      </c>
      <c r="F8" s="61" t="inlineStr">
        <is>
          <t>[data table — Excel What-If Analysis]</t>
        </is>
      </c>
      <c r="G8" s="61" t="inlineStr">
        <is>
          <t>[data table — Excel What-If Analysis]</t>
        </is>
      </c>
    </row>
    <row r="9" ht="15" customHeight="1" s="41">
      <c r="B9" s="73" t="n">
        <v>0.12</v>
      </c>
      <c r="C9" s="61" t="inlineStr">
        <is>
          <t>[data table — Excel What-If Analysis]</t>
        </is>
      </c>
      <c r="D9" s="61" t="inlineStr">
        <is>
          <t>[data table — Excel What-If Analysis]</t>
        </is>
      </c>
      <c r="E9" s="61" t="inlineStr">
        <is>
          <t>[data table — Excel What-If Analysis]</t>
        </is>
      </c>
      <c r="F9" s="61" t="inlineStr">
        <is>
          <t>[data table — Excel What-If Analysis]</t>
        </is>
      </c>
      <c r="G9" s="6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14" customWidth="1" style="40" min="2" max="2"/>
    <col width="16" customWidth="1" style="40" min="3" max="3"/>
    <col width="30" customWidth="1" style="40" min="4" max="5"/>
    <col width="16" customWidth="1" style="40" min="6" max="6"/>
  </cols>
  <sheetData>
    <row r="2" ht="19.7" customHeight="1" s="41">
      <c r="B2" s="42" t="inlineStr">
        <is>
          <t>Refresh Log</t>
        </is>
      </c>
    </row>
    <row r="4" ht="15" customHeight="1" s="41">
      <c r="A4" s="54" t="n"/>
      <c r="B4" s="54" t="inlineStr">
        <is>
          <t>Date</t>
        </is>
      </c>
      <c r="C4" s="54" t="inlineStr">
        <is>
          <t>Trigger</t>
        </is>
      </c>
      <c r="D4" s="54" t="inlineStr">
        <is>
          <t>What changed</t>
        </is>
      </c>
      <c r="E4" s="54" t="inlineStr">
        <is>
          <t>Reviewer notes</t>
        </is>
      </c>
      <c r="F4" s="54" t="inlineStr">
        <is>
          <t>Next check</t>
        </is>
      </c>
    </row>
    <row r="5" ht="15" customHeight="1" s="41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Generated public case corporate-public-intel-2024-stress from canonical release template</t>
        </is>
      </c>
      <c r="E5" s="74" t="inlineStr">
        <is>
          <t>External historical case; human stakeholder approval remains pending</t>
        </is>
      </c>
      <c r="F5" s="74" t="inlineStr">
        <is>
          <t>On source revision, builder change, monitoring breach, or annual review</t>
        </is>
      </c>
    </row>
    <row r="6" ht="15" customHeight="1" s="41">
      <c r="B6" s="74" t="n"/>
      <c r="C6" s="74" t="n"/>
      <c r="D6" s="74" t="n"/>
      <c r="E6" s="74" t="n"/>
      <c r="F6" s="74" t="n"/>
    </row>
    <row r="7" ht="15" customHeight="1" s="41">
      <c r="B7" s="74" t="n"/>
      <c r="C7" s="74" t="n"/>
      <c r="D7" s="74" t="n"/>
      <c r="E7" s="74" t="n"/>
      <c r="F7" s="74" t="n"/>
    </row>
    <row r="8" ht="15" customHeight="1" s="41">
      <c r="B8" s="74" t="n"/>
      <c r="C8" s="74" t="n"/>
      <c r="D8" s="74" t="n"/>
      <c r="E8" s="74" t="n"/>
      <c r="F8" s="74" t="n"/>
    </row>
    <row r="9" ht="15" customHeight="1" s="41">
      <c r="B9" s="74" t="n"/>
      <c r="C9" s="74" t="n"/>
      <c r="D9" s="74" t="n"/>
      <c r="E9" s="74" t="n"/>
      <c r="F9" s="74" t="n"/>
    </row>
    <row r="10" ht="15" customHeight="1" s="41">
      <c r="B10" s="74" t="n"/>
      <c r="C10" s="74" t="n"/>
      <c r="D10" s="74" t="n"/>
      <c r="E10" s="74" t="n"/>
      <c r="F10" s="74" t="n"/>
    </row>
    <row r="11" ht="15" customHeight="1" s="41">
      <c r="B11" s="74" t="n"/>
      <c r="C11" s="74" t="n"/>
      <c r="D11" s="74" t="n"/>
      <c r="E11" s="74" t="n"/>
      <c r="F11" s="74" t="n"/>
    </row>
    <row r="12" ht="15" customHeight="1" s="41">
      <c r="B12" s="74" t="n"/>
      <c r="C12" s="74" t="n"/>
      <c r="D12" s="74" t="n"/>
      <c r="E12" s="74" t="n"/>
      <c r="F12" s="74" t="n"/>
    </row>
    <row r="13" ht="15" customHeight="1" s="41">
      <c r="B13" s="74" t="n"/>
      <c r="C13" s="74" t="n"/>
      <c r="D13" s="74" t="n"/>
      <c r="E13" s="74" t="n"/>
      <c r="F13" s="74" t="n"/>
    </row>
    <row r="14" ht="15" customHeight="1" s="41">
      <c r="B14" s="74" t="n"/>
      <c r="C14" s="74" t="n"/>
      <c r="D14" s="74" t="n"/>
      <c r="E14" s="74" t="n"/>
      <c r="F14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6" customWidth="1" style="40" min="5" max="5"/>
  </cols>
  <sheetData>
    <row r="2" ht="19.7" customHeight="1" s="41">
      <c r="B2" s="42" t="inlineStr">
        <is>
          <t>Cash, Debt, Minimum Liquidity, and Financing Capacity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Opening cash</t>
        </is>
      </c>
      <c r="C5" s="75" t="n">
        <v>100</v>
      </c>
      <c r="D5" s="75" t="n">
        <v>50</v>
      </c>
    </row>
    <row r="6" ht="15" customHeight="1" s="41">
      <c r="B6" s="40" t="inlineStr">
        <is>
          <t>Operating cash flow</t>
        </is>
      </c>
      <c r="C6" s="75" t="n">
        <v>150</v>
      </c>
      <c r="D6" s="75" t="n">
        <v>30</v>
      </c>
    </row>
    <row r="7" ht="15" customHeight="1" s="41">
      <c r="B7" s="40" t="inlineStr">
        <is>
          <t>Capital expenditure</t>
        </is>
      </c>
      <c r="C7" s="75" t="n">
        <v>50</v>
      </c>
      <c r="D7" s="75" t="n">
        <v>60</v>
      </c>
    </row>
    <row r="8" ht="15" customHeight="1" s="41">
      <c r="B8" s="40" t="inlineStr">
        <is>
          <t>Dividends</t>
        </is>
      </c>
      <c r="C8" s="75" t="n">
        <v>20</v>
      </c>
      <c r="D8" s="76" t="n">
        <v>0</v>
      </c>
    </row>
    <row r="9" ht="15" customHeight="1" s="41">
      <c r="B9" s="40" t="inlineStr">
        <is>
          <t>Buybacks</t>
        </is>
      </c>
      <c r="C9" s="75" t="n">
        <v>10</v>
      </c>
      <c r="D9" s="75" t="n">
        <v>30</v>
      </c>
    </row>
    <row r="10" ht="15" customHeight="1" s="41">
      <c r="B10" s="40" t="inlineStr">
        <is>
          <t>Debt issuance</t>
        </is>
      </c>
      <c r="C10" s="75" t="n">
        <v>0</v>
      </c>
      <c r="D10" s="76" t="n">
        <v>3038</v>
      </c>
    </row>
    <row r="11" ht="15" customHeight="1" s="41">
      <c r="B11" s="40" t="inlineStr">
        <is>
          <t>Debt repayment</t>
        </is>
      </c>
      <c r="C11" s="75" t="n">
        <v>30</v>
      </c>
      <c r="D11" s="75" t="n">
        <v>0</v>
      </c>
    </row>
    <row r="12" ht="15" customHeight="1" s="41">
      <c r="B12" s="40" t="inlineStr">
        <is>
          <t>Opening debt</t>
        </is>
      </c>
      <c r="C12" s="75" t="n">
        <v>200</v>
      </c>
      <c r="D12" s="75" t="n">
        <v>300</v>
      </c>
    </row>
    <row r="13" ht="15" customHeight="1" s="41">
      <c r="B13" s="40" t="inlineStr">
        <is>
          <t>EBITDA</t>
        </is>
      </c>
      <c r="C13" s="75" t="n">
        <v>120</v>
      </c>
      <c r="D13" s="75" t="n">
        <v>60</v>
      </c>
    </row>
    <row r="14" ht="15" customHeight="1" s="41">
      <c r="B14" s="40" t="inlineStr">
        <is>
          <t>Cash interest</t>
        </is>
      </c>
      <c r="C14" s="75" t="n">
        <v>10</v>
      </c>
      <c r="D14" s="75" t="n">
        <v>40</v>
      </c>
    </row>
    <row r="15" ht="15" customHeight="1" s="41">
      <c r="B15" s="40" t="inlineStr">
        <is>
          <t>Minimum cash</t>
        </is>
      </c>
      <c r="C15" s="75" t="n">
        <v>50</v>
      </c>
      <c r="D15" s="75" t="n">
        <v>80</v>
      </c>
    </row>
    <row r="16" ht="15" customHeight="1" s="41">
      <c r="B16" s="40" t="inlineStr">
        <is>
          <t>Maximum net leverage</t>
        </is>
      </c>
      <c r="C16" s="77" t="n">
        <v>3.5</v>
      </c>
      <c r="D16" s="77" t="n">
        <v>3.5</v>
      </c>
    </row>
    <row r="17" ht="15" customHeight="1" s="41">
      <c r="B17" s="40" t="inlineStr">
        <is>
          <t>Minimum interest coverage</t>
        </is>
      </c>
      <c r="C17" s="77" t="n">
        <v>2</v>
      </c>
      <c r="D17" s="77" t="n">
        <v>2</v>
      </c>
    </row>
    <row r="21" ht="15" customHeight="1" s="41">
      <c r="B21" s="40" t="inlineStr">
        <is>
          <t>Ending cash</t>
        </is>
      </c>
      <c r="C21" s="62">
        <f>C5+C6-C7-C8-C9+C10-C11</f>
        <v/>
      </c>
      <c r="D21" s="62">
        <f>D5+D6-D7-D8-D9+D10-D11</f>
        <v/>
      </c>
    </row>
    <row r="22" ht="15" customHeight="1" s="41">
      <c r="B22" s="40" t="inlineStr">
        <is>
          <t>Ending debt</t>
        </is>
      </c>
      <c r="C22" s="62">
        <f>C12+C10-C11</f>
        <v/>
      </c>
      <c r="D22" s="62">
        <f>D12+D10-D11</f>
        <v/>
      </c>
    </row>
    <row r="23" ht="15" customHeight="1" s="41">
      <c r="B23" s="40" t="inlineStr">
        <is>
          <t>Net debt</t>
        </is>
      </c>
      <c r="C23" s="62">
        <f>C22-C21</f>
        <v/>
      </c>
      <c r="D23" s="62">
        <f>D22-D21</f>
        <v/>
      </c>
    </row>
    <row r="24" ht="15" customHeight="1" s="41">
      <c r="B24" s="40" t="inlineStr">
        <is>
          <t>Net leverage</t>
        </is>
      </c>
      <c r="C24" s="78">
        <f>IFERROR(C23/C13,0)</f>
        <v/>
      </c>
      <c r="D24" s="78">
        <f>IFERROR(D23/D13,0)</f>
        <v/>
      </c>
    </row>
    <row r="25" ht="15" customHeight="1" s="41">
      <c r="B25" s="40" t="inlineStr">
        <is>
          <t>Interest coverage</t>
        </is>
      </c>
      <c r="C25" s="78">
        <f>IFERROR(C13/C14,0)</f>
        <v/>
      </c>
      <c r="D25" s="78">
        <f>IFERROR(D13/D14,0)</f>
        <v/>
      </c>
    </row>
    <row r="26" ht="15" customHeight="1" s="41">
      <c r="B26" s="40" t="inlineStr">
        <is>
          <t>Financing gap</t>
        </is>
      </c>
      <c r="C26" s="62">
        <f>MAX(0,C15-C21)</f>
        <v/>
      </c>
      <c r="D26" s="62">
        <f>MAX(0,D15-D21)</f>
        <v/>
      </c>
    </row>
    <row r="27" ht="15" customHeight="1" s="41">
      <c r="B27" s="40" t="inlineStr">
        <is>
          <t>Post-capex free cash flow</t>
        </is>
      </c>
      <c r="C27" s="62">
        <f>C6-C7</f>
        <v/>
      </c>
      <c r="D27" s="62">
        <f>D6-D7</f>
        <v/>
      </c>
    </row>
    <row r="28" ht="15" customHeight="1" s="41">
      <c r="B28" s="40" t="inlineStr">
        <is>
          <t>Shareholder distributions</t>
        </is>
      </c>
      <c r="C28" s="62">
        <f>C8+C9</f>
        <v/>
      </c>
      <c r="D28" s="62">
        <f>D8+D9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0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Capital Allocation Sources, Uses, and Distribution Funding</t>
        </is>
      </c>
    </row>
    <row r="4" ht="15" customHeight="1" s="41">
      <c r="B4" s="54" t="inlineStr">
        <is>
          <t>Capital use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Decision rule</t>
        </is>
      </c>
    </row>
    <row r="5" ht="15" customHeight="1" s="41">
      <c r="B5" s="40" t="inlineStr">
        <is>
          <t>Operating cash flow</t>
        </is>
      </c>
      <c r="C5" s="62">
        <f>'Treasury &amp; Liquidity'!C6</f>
        <v/>
      </c>
      <c r="D5" s="62">
        <f>'Treasury &amp; Liquidity'!D6</f>
        <v/>
      </c>
      <c r="E5" s="40" t="inlineStr">
        <is>
          <t>internal funding source</t>
        </is>
      </c>
    </row>
    <row r="6" ht="15" customHeight="1" s="41">
      <c r="B6" s="40" t="inlineStr">
        <is>
          <t>Capital expenditure</t>
        </is>
      </c>
      <c r="C6" s="62">
        <f>'Treasury &amp; Liquidity'!C7</f>
        <v/>
      </c>
      <c r="D6" s="62">
        <f>'Treasury &amp; Liquidity'!D7</f>
        <v/>
      </c>
      <c r="E6" s="40" t="inlineStr">
        <is>
          <t>maintenance and growth investment</t>
        </is>
      </c>
    </row>
    <row r="7" ht="15" customHeight="1" s="41">
      <c r="B7" s="40" t="inlineStr">
        <is>
          <t>Dividends</t>
        </is>
      </c>
      <c r="C7" s="62">
        <f>'Treasury &amp; Liquidity'!C8</f>
        <v/>
      </c>
      <c r="D7" s="62">
        <f>'Treasury &amp; Liquidity'!D8</f>
        <v/>
      </c>
      <c r="E7" s="40" t="inlineStr">
        <is>
          <t>fund only after minimum liquidity</t>
        </is>
      </c>
    </row>
    <row r="8" ht="15" customHeight="1" s="41">
      <c r="B8" s="40" t="inlineStr">
        <is>
          <t>Buybacks</t>
        </is>
      </c>
      <c r="C8" s="62">
        <f>'Treasury &amp; Liquidity'!C9</f>
        <v/>
      </c>
      <c r="D8" s="62">
        <f>'Treasury &amp; Liquidity'!D9</f>
        <v/>
      </c>
      <c r="E8" s="40" t="inlineStr">
        <is>
          <t>fund only after minimum liquidity</t>
        </is>
      </c>
    </row>
    <row r="9" ht="15" customHeight="1" s="41">
      <c r="B9" s="40" t="inlineStr">
        <is>
          <t>Debt repayment</t>
        </is>
      </c>
      <c r="C9" s="62">
        <f>'Treasury &amp; Liquidity'!C11</f>
        <v/>
      </c>
      <c r="D9" s="62">
        <f>'Treasury &amp; Liquidity'!D11</f>
        <v/>
      </c>
      <c r="E9" s="40" t="inlineStr">
        <is>
          <t>deleveraging use</t>
        </is>
      </c>
    </row>
    <row r="10" ht="15" customHeight="1" s="41">
      <c r="B10" s="40" t="inlineStr">
        <is>
          <t>Debt issuance</t>
        </is>
      </c>
      <c r="C10" s="62">
        <f>'Treasury &amp; Liquidity'!C10</f>
        <v/>
      </c>
      <c r="D10" s="62">
        <f>'Treasury &amp; Liquidity'!D10</f>
        <v/>
      </c>
      <c r="E10" s="40" t="inlineStr">
        <is>
          <t>external funding source</t>
        </is>
      </c>
    </row>
    <row r="13" ht="15" customHeight="1" s="41">
      <c r="B13" s="40" t="inlineStr">
        <is>
          <t>Distribution funding residual</t>
        </is>
      </c>
      <c r="C13" s="62">
        <f>MAX(0,C7+C8-C5+C6)</f>
        <v/>
      </c>
      <c r="D13" s="62">
        <f>MAX(0,D7+D8-D5+D6)</f>
        <v/>
      </c>
    </row>
    <row r="14" ht="15" customHeight="1" s="41">
      <c r="B14" s="40" t="inlineStr">
        <is>
          <t>Cash rollforward residual</t>
        </is>
      </c>
      <c r="C14" s="62">
        <f>'Treasury &amp; Liquidity'!C21-('Treasury &amp; Liquidity'!C5+'Treasury &amp; Liquidity'!C6-'Treasury &amp; Liquidity'!C7-'Treasury &amp; Liquidity'!C8-'Treasury &amp; Liquidity'!C9+'Treasury &amp; Liquidity'!C10-'Treasury &amp; Liquidity'!C11)</f>
        <v/>
      </c>
      <c r="D14" s="62">
        <f>'Treasury &amp; Liquidity'!D21-('Treasury &amp; Liquidity'!D5+'Treasury &amp; Liquidity'!D6-'Treasury &amp; Liquidity'!D7-'Treasury &amp; Liquidity'!D8-'Treasury &amp; Liquidity'!D9+'Treasury &amp; Liquidity'!D10-'Treasury &amp; Liquidity'!D11)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0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Leverage, Coverage, Liquidity, and Distribution Capacity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Threshold / interpretation</t>
        </is>
      </c>
    </row>
    <row r="5" ht="15" customHeight="1" s="41">
      <c r="B5" s="40" t="inlineStr">
        <is>
          <t>Ending cash</t>
        </is>
      </c>
      <c r="C5" s="62">
        <f>'Treasury &amp; Liquidity'!C21</f>
        <v/>
      </c>
      <c r="D5" s="62">
        <f>'Treasury &amp; Liquidity'!D21</f>
        <v/>
      </c>
      <c r="E5" s="40" t="inlineStr">
        <is>
          <t>must exceed minimum cash</t>
        </is>
      </c>
    </row>
    <row r="6" ht="15" customHeight="1" s="41">
      <c r="B6" s="40" t="inlineStr">
        <is>
          <t>Net leverage</t>
        </is>
      </c>
      <c r="C6" s="78">
        <f>'Treasury &amp; Liquidity'!C24</f>
        <v/>
      </c>
      <c r="D6" s="78">
        <f>'Treasury &amp; Liquidity'!D24</f>
        <v/>
      </c>
      <c r="E6" s="40" t="inlineStr">
        <is>
          <t>must remain below maximum</t>
        </is>
      </c>
    </row>
    <row r="7" ht="15" customHeight="1" s="41">
      <c r="B7" s="40" t="inlineStr">
        <is>
          <t>Interest coverage</t>
        </is>
      </c>
      <c r="C7" s="78">
        <f>'Treasury &amp; Liquidity'!C25</f>
        <v/>
      </c>
      <c r="D7" s="78">
        <f>'Treasury &amp; Liquidity'!D25</f>
        <v/>
      </c>
      <c r="E7" s="40" t="inlineStr">
        <is>
          <t>must remain above minimum</t>
        </is>
      </c>
    </row>
    <row r="8" ht="15" customHeight="1" s="41">
      <c r="B8" s="40" t="inlineStr">
        <is>
          <t>Financing gap</t>
        </is>
      </c>
      <c r="C8" s="62">
        <f>'Treasury &amp; Liquidity'!C26</f>
        <v/>
      </c>
      <c r="D8" s="62">
        <f>'Treasury &amp; Liquidity'!D26</f>
        <v/>
      </c>
      <c r="E8" s="40" t="inlineStr">
        <is>
          <t>must equal zero</t>
        </is>
      </c>
    </row>
    <row r="9" ht="15" customHeight="1" s="41">
      <c r="B9" s="40" t="inlineStr">
        <is>
          <t>Distribution funding residual</t>
        </is>
      </c>
      <c r="C9" s="62">
        <f>'Capital Allocation'!C13</f>
        <v/>
      </c>
      <c r="D9" s="62">
        <f>'Capital Allocation'!D13</f>
        <v/>
      </c>
      <c r="E9" s="40" t="inlineStr">
        <is>
          <t>must equal zero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54" customWidth="1" style="40" min="5" max="5"/>
  </cols>
  <sheetData>
    <row r="2" ht="19.7" customHeight="1" s="41">
      <c r="B2" s="42" t="inlineStr">
        <is>
          <t>Corporate Finance Decision Dashboard and Independent Checks</t>
        </is>
      </c>
    </row>
    <row r="4" ht="15" customHeight="1" s="41">
      <c r="B4" s="54" t="inlineStr">
        <is>
          <t>Check / decision</t>
        </is>
      </c>
      <c r="C4" s="54" t="inlineStr">
        <is>
          <t>Metric</t>
        </is>
      </c>
      <c r="D4" s="54" t="inlineStr">
        <is>
          <t>Status</t>
        </is>
      </c>
      <c r="E4" s="54" t="inlineStr">
        <is>
          <t>Interpretation / action</t>
        </is>
      </c>
    </row>
    <row r="5" ht="15" customHeight="1" s="41">
      <c r="B5" s="40" t="inlineStr">
        <is>
          <t>Cash rollforward residual</t>
        </is>
      </c>
      <c r="C5" s="79">
        <f>'Capital Allocation'!D14</f>
        <v/>
      </c>
      <c r="D5" s="74">
        <f>IF(ABS(C5)&lt;0.01,"PASS","FAIL")</f>
        <v/>
      </c>
      <c r="E5" s="40" t="inlineStr">
        <is>
          <t>Cash sources and uses must conserve.</t>
        </is>
      </c>
    </row>
    <row r="6" ht="15" customHeight="1" s="41">
      <c r="B6" s="40" t="inlineStr">
        <is>
          <t>Debt rollforward residual</t>
        </is>
      </c>
      <c r="C6" s="79">
        <f>'Treasury &amp; Liquidity'!D22-('Treasury &amp; Liquidity'!D12+'Treasury &amp; Liquidity'!D10-'Treasury &amp; Liquidity'!D11)</f>
        <v/>
      </c>
      <c r="D6" s="74">
        <f>IF(ABS(C6)&lt;0.01,"PASS","FAIL")</f>
        <v/>
      </c>
      <c r="E6" s="40" t="inlineStr">
        <is>
          <t>Ending debt must reconcile to issuance and repayment.</t>
        </is>
      </c>
    </row>
    <row r="7" ht="15" customHeight="1" s="41">
      <c r="B7" s="40" t="inlineStr">
        <is>
          <t>Minimum cash</t>
        </is>
      </c>
      <c r="C7" s="79">
        <f>'Treasury &amp; Liquidity'!D21-'Treasury &amp; Liquidity'!D15</f>
        <v/>
      </c>
      <c r="D7" s="74">
        <f>IF(C7&gt;=0,"PASS","BREACH")</f>
        <v/>
      </c>
      <c r="E7" s="40" t="inlineStr">
        <is>
          <t>Escalate funding if ending cash falls below the minimum buffer.</t>
        </is>
      </c>
    </row>
    <row r="8" ht="15" customHeight="1" s="41">
      <c r="B8" s="40" t="inlineStr">
        <is>
          <t>Net leverage</t>
        </is>
      </c>
      <c r="C8" s="79">
        <f>'Treasury &amp; Liquidity'!D24</f>
        <v/>
      </c>
      <c r="D8" s="74">
        <f>IF(C8&lt;='Treasury &amp; Liquidity'!D16,"PASS","BREACH")</f>
        <v/>
      </c>
      <c r="E8" s="40" t="inlineStr">
        <is>
          <t>Leverage must remain within the approved capital-structure limit.</t>
        </is>
      </c>
    </row>
    <row r="9" ht="15" customHeight="1" s="41">
      <c r="B9" s="40" t="inlineStr">
        <is>
          <t>Interest coverage</t>
        </is>
      </c>
      <c r="C9" s="79">
        <f>'Treasury &amp; Liquidity'!D25</f>
        <v/>
      </c>
      <c r="D9" s="74">
        <f>IF(C9&gt;='Treasury &amp; Liquidity'!D17,"PASS","BREACH")</f>
        <v/>
      </c>
      <c r="E9" s="40" t="inlineStr">
        <is>
          <t>Cash interest must remain covered by operating earnings.</t>
        </is>
      </c>
    </row>
    <row r="10" ht="15" customHeight="1" s="41">
      <c r="B10" s="40" t="inlineStr">
        <is>
          <t>Distribution funding</t>
        </is>
      </c>
      <c r="C10" s="79">
        <f>'Capital Allocation'!D13</f>
        <v/>
      </c>
      <c r="D10" s="74">
        <f>IF(C10&lt;0.01,"PASS","BREACH")</f>
        <v/>
      </c>
      <c r="E10" s="40" t="inlineStr">
        <is>
          <t>Dividends and buybacks cannot rely on uncovered liquidity.</t>
        </is>
      </c>
    </row>
    <row r="12" ht="15" customHeight="1" s="41">
      <c r="B12" s="43" t="inlineStr">
        <is>
          <t>Overall model status</t>
        </is>
      </c>
      <c r="C12" s="80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2026-08-04T17:34:22Z</dcterms:created>
  <dcterms:modified xmlns:dcterms="http://purl.org/dc/terms/" xmlns:xsi="http://www.w3.org/2001/XMLSchema-instance" xsi:type="dcterms:W3CDTF">2026-08-04T18:30:42Z</dcterms:modified>
  <cp:revision>0</cp:revision>
</cp:coreProperties>
</file>