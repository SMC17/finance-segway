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easury &amp; Liquidity" sheetId="13" state="visible" r:id="rId15"/>
    <sheet name="Capital Allocation" sheetId="14" state="visible" r:id="rId16"/>
    <sheet name="Credit Metric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<sst xmlns="http://schemas.openxmlformats.org/spreadsheetml/2006/main" count="435" uniqueCount="278">
  <si>
    <t xml:space="preserve">Intel 2024 debt issuance and capital-allocation reset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</si>
  <si>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</si>
  <si>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</si>
  <si>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</si>
  <si>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</si>
  <si>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</si>
  <si>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2024-06-29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</si>
  <si>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</si>
  <si>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</si>
  <si>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</si>
  <si>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</si>
  <si>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</si>
  <si>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</si>
  <si>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</si>
  <si>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</si>
  <si>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</si>
  <si>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</si>
  <si>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</si>
  <si>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</si>
  <si>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</si>
  <si>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Corporate Finance — Institutional Decision Surface</t>
  </si>
  <si>
    <t xml:space="preserve">Model ID</t>
  </si>
  <si>
    <t xml:space="preserve">02</t>
  </si>
  <si>
    <t xml:space="preserve">Domain</t>
  </si>
  <si>
    <t xml:space="preserve">Corporate Finance</t>
  </si>
  <si>
    <t xml:space="preserve">Declared maturity</t>
  </si>
  <si>
    <t xml:space="preserve">M2</t>
  </si>
  <si>
    <t xml:space="preserve">Canonical builder</t>
  </si>
  <si>
    <t xml:space="preserve">tools/builders/build_corporate_finance_release.py</t>
  </si>
  <si>
    <t xml:space="preserve">Decision arena</t>
  </si>
  <si>
    <t xml:space="preserve">treasury, CFO staff, ALCO and board finance committee</t>
  </si>
  <si>
    <t xml:space="preserve">Committee artifact</t>
  </si>
  <si>
    <t xml:space="preserve">liquidity and capital-allocation pack</t>
  </si>
  <si>
    <t xml:space="preserve">Operating cadence</t>
  </si>
  <si>
    <t xml:space="preserve">weekly treasury; monthly ALCO;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</si>
  <si>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</si>
  <si>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</si>
  <si>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</si>
  <si>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</si>
  <si>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</si>
  <si>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</si>
  <si>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runway and minimum liquidity</t>
  </si>
  <si>
    <t xml:space="preserve">OPEN</t>
  </si>
  <si>
    <t xml:space="preserve">debt maturity wall and refinancing need</t>
  </si>
  <si>
    <t xml:space="preserve">WACC and hurdle rates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</si>
  <si>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</si>
  <si>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</si>
  <si>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</si>
  <si>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cash is actually fungible?</t>
  </si>
  <si>
    <t xml:space="preserve">Which covenant becomes binding before headline leverage?</t>
  </si>
  <si>
    <t xml:space="preserve">How much capacity survives a closed market?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</si>
  <si>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</si>
  <si>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</si>
  <si>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</si>
  <si>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rate shocks and basis</t>
  </si>
  <si>
    <t xml:space="preserve">revenue/margin downturn</t>
  </si>
  <si>
    <t xml:space="preserve">working-capital draw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</si>
  <si>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</si>
  <si>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</si>
  <si>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</si>
  <si>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treasury policy</t>
  </si>
  <si>
    <t xml:space="preserve">credit agreements and indentures</t>
  </si>
  <si>
    <t xml:space="preserve">rating-agency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</si>
  <si>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</si>
  <si>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</si>
  <si>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</si>
  <si>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roll-forward balances</t>
  </si>
  <si>
    <t xml:space="preserve">maturity ladder equals debt ledger</t>
  </si>
  <si>
    <t xml:space="preserve">interest expense ties to debt schedule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</si>
  <si>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</si>
  <si>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</si>
  <si>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</si>
  <si>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netting restricted cash</t>
  </si>
  <si>
    <t xml:space="preserve">assuming revolver availability without covenant test</t>
  </si>
  <si>
    <t xml:space="preserve">ignoring trapped cash and tax leakage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</si>
  <si>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</si>
  <si>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</si>
  <si>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</si>
  <si>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</si>
  <si>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</si>
  <si>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</si>
  <si>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</si>
  <si>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</si>
  <si>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</si>
  <si>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</si>
  <si>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</si>
  <si>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</si>
  <si>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</si>
  <si>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</si>
  <si>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</si>
  <si>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</si>
  <si>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</si>
  <si>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</si>
  <si>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</si>
  <si>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</si>
  <si>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</si>
  <si>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</si>
  <si>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</si>
  <si>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</si>
  <si>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</si>
  <si>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</si>
  <si>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</si>
  <si>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</si>
  <si>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</si>
  <si>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</si>
  <si>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</si>
  <si>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and debt positions</t>
  </si>
  <si>
    <t xml:space="preserve">daily/weekly</t>
  </si>
  <si>
    <t xml:space="preserve">bank and trustee reconciliation</t>
  </si>
  <si>
    <t xml:space="preserve">TO MAP</t>
  </si>
  <si>
    <t xml:space="preserve">forecast</t>
  </si>
  <si>
    <t xml:space="preserve">monthly</t>
  </si>
  <si>
    <t xml:space="preserve">actual-to-forecast bridge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</si>
  <si>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</si>
  <si>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</si>
  <si>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</si>
  <si>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</si>
  <si>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</si>
  <si>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</si>
  <si>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</si>
  <si>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</si>
  <si>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</si>
  <si>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</si>
  <si>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</si>
  <si>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</si>
  <si>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</si>
  <si>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</si>
  <si>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</si>
  <si>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</si>
  <si>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</si>
  <si>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</si>
  <si>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</si>
  <si>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</si>
  <si>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</si>
  <si>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</si>
  <si>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</si>
  <si>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</si>
  <si>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</si>
  <si>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</si>
  <si>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</si>
  <si>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</si>
  <si>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</si>
  <si>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</si>
  <si>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</si>
  <si>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</si>
  <si>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</si>
  <si>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</si>
  <si>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</si>
  <si>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</si>
  <si>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</si>
  <si>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</si>
  <si>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</si>
  <si>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</si>
  <si>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</si>
  <si>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</si>
  <si>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</si>
  <si>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</si>
  <si>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</si>
  <si>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</si>
  <si>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</si>
  <si>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</si>
  <si>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</si>
  <si>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</si>
  <si>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</si>
  <si>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</si>
  <si>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</si>
  <si>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</si>
  <si>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</si>
  <si>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</si>
  <si>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</si>
  <si>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</si>
  <si>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</si>
  <si>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</si>
  <si>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</si>
  <si>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</si>
  <si>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</si>
  <si>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</si>
  <si>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</si>
  <si>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</si>
  <si>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</si>
  <si>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</si>
  <si>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</si>
  <si>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</si>
  <si>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</si>
  <si>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</si>
  <si>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</si>
  <si>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</si>
  <si>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</si>
  <si>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</si>
  <si>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</si>
  <si>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</si>
  <si>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</si>
  <si>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</si>
  <si>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</si>
  <si>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</si>
  <si>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</si>
  <si>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</si>
  <si>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</si>
  <si>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</si>
  <si>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</si>
  <si>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</si>
  <si>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Forecast base (IS!E5)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</si>
  <si>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</si>
  <si>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</si>
  <si>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</si>
  <si>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</si>
  <si>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</si>
  <si>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</si>
  <si>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</si>
  <si>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</si>
  <si>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</si>
  <si>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</si>
  <si>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</si>
  <si>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</si>
  <si>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</si>
  <si>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</si>
  <si>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</si>
  <si>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</si>
  <si>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</si>
  <si>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</si>
  <si>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</si>
  <si>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</si>
  <si>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corporate-public-intel-2024-stress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</si>
  <si>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</si>
  <si>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</si>
  <si>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Cash, Debt, Minimum Liquidity, and Financing Capacity</t>
  </si>
  <si>
    <t xml:space="preserve">Metric</t>
  </si>
  <si>
    <t xml:space="preserve">Base</t>
  </si>
  <si>
    <t xml:space="preserve">Adversarial</t>
  </si>
  <si>
    <t xml:space="preserve">Units / control</t>
  </si>
  <si>
    <t xml:space="preserve">Opening cash</t>
  </si>
  <si>
    <t xml:space="preserve">Operating cash flow</t>
  </si>
  <si>
    <t xml:space="preserve">Capital expenditure</t>
  </si>
  <si>
    <t xml:space="preserve">Dividends</t>
  </si>
  <si>
    <t xml:space="preserve">Buybacks</t>
  </si>
  <si>
    <t xml:space="preserve">Debt issuance</t>
  </si>
  <si>
    <t xml:space="preserve">Debt repayment</t>
  </si>
  <si>
    <t xml:space="preserve">Opening debt</t>
  </si>
  <si>
    <t xml:space="preserve">Cash interest</t>
  </si>
  <si>
    <t xml:space="preserve">Minimum cash</t>
  </si>
  <si>
    <t xml:space="preserve">Maximum net leverage</t>
  </si>
  <si>
    <t xml:space="preserve">Minimum interest coverage</t>
  </si>
  <si>
    <t xml:space="preserve">Ending cash</t>
  </si>
  <si>
    <t xml:space="preserve">Ending debt</t>
  </si>
  <si>
    <t xml:space="preserve">Net debt</t>
  </si>
  <si>
    <t xml:space="preserve">Net leverage</t>
  </si>
  <si>
    <t xml:space="preserve">Interest coverage</t>
  </si>
  <si>
    <t xml:space="preserve">Financing gap</t>
  </si>
  <si>
    <t xml:space="preserve">Post-capex free cash flow</t>
  </si>
  <si>
    <t xml:space="preserve">Shareholder distributions</t>
  </si>
  <si>
    <t xml:space="preserve">Capital Allocation Sources, Uses, and Distribution Funding</t>
  </si>
  <si>
    <t xml:space="preserve">Capital use</t>
  </si>
  <si>
    <t xml:space="preserve">Decision rule</t>
  </si>
  <si>
    <t xml:space="preserve">internal funding source</t>
  </si>
  <si>
    <t xml:space="preserve">maintenance and growth investment</t>
  </si>
  <si>
    <t xml:space="preserve">fund only after minimum liquidity</t>
  </si>
  <si>
    <t xml:space="preserve">deleveraging use</t>
  </si>
  <si>
    <t xml:space="preserve">external funding source</t>
  </si>
  <si>
    <t xml:space="preserve">Distribution funding residual</t>
  </si>
  <si>
    <t xml:space="preserve">Cash rollforward residual</t>
  </si>
  <si>
    <t xml:space="preserve">Leverage, Coverage, Liquidity, and Distribution Capacity</t>
  </si>
  <si>
    <t xml:space="preserve">Threshold / interpretation</t>
  </si>
  <si>
    <t xml:space="preserve">must exceed minimum cash</t>
  </si>
  <si>
    <t xml:space="preserve">must remain below maximum</t>
  </si>
  <si>
    <t xml:space="preserve">must remain above minimum</t>
  </si>
  <si>
    <t xml:space="preserve">must equal zero</t>
  </si>
  <si>
    <t xml:space="preserve">Corporate Finance Decision Dashboard and Independent Checks</t>
  </si>
  <si>
    <t xml:space="preserve">Check / decision</t>
  </si>
  <si>
    <t xml:space="preserve">Interpretation / action</t>
  </si>
  <si>
    <t xml:space="preserve">Cash sources and uses must conserve.</t>
  </si>
  <si>
    <t xml:space="preserve">Debt rollforward residual</t>
  </si>
  <si>
    <t xml:space="preserve">Ending debt must reconcile to issuance and repayment.</t>
  </si>
  <si>
    <t xml:space="preserve">Escalate funding if ending cash falls below the minimum buffer.</t>
  </si>
  <si>
    <t xml:space="preserve">Leverage must remain within the approved capital-structure limit.</t>
  </si>
  <si>
    <t xml:space="preserve">Cash interest must remain covered by operating earnings.</t>
  </si>
  <si>
    <t xml:space="preserve">Distribution funding</t>
  </si>
  <si>
    <t xml:space="preserve">Dividends and buybacks cannot rely on uncovered liquidity.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</si>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</sst>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0"/>
      <c r="D5" s="20"/>
      <c r="E5" s="20"/>
      <c r="F5" s="21" t="n">
        <f aca="false">E5*(1+Assumptions!C5)</f>
        <v>0</v>
      </c>
      <c r="G5" s="21" t="n">
        <f aca="false">F5*(1+Assumptions!D5)</f>
        <v>0</v>
      </c>
      <c r="H5" s="21" t="n">
        <f aca="false">G5*(1+Assumptions!E5)</f>
        <v>0</v>
      </c>
      <c r="I5" s="21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16"/>
      <c r="D6" s="22" t="str">
        <f aca="false">IFERROR(D5/C5-1,"-")</f>
        <v>-</v>
      </c>
      <c r="E6" s="22" t="str">
        <f aca="false">IFERROR(E5/D5-1,"-")</f>
        <v>-</v>
      </c>
      <c r="F6" s="22" t="str">
        <f aca="false">IFERROR(F5/E5-1,"-")</f>
        <v>-</v>
      </c>
      <c r="G6" s="22" t="str">
        <f aca="false">IFERROR(G5/F5-1,"-")</f>
        <v>-</v>
      </c>
      <c r="H6" s="22" t="str">
        <f aca="false">IFERROR(H5/G5-1,"-")</f>
        <v>-</v>
      </c>
      <c r="I6" s="22" t="str">
        <f aca="false">IFERROR(I5/H5-1,"-")</f>
        <v>-</v>
      </c>
    </row>
    <row r="7" customFormat="false" ht="15" hidden="false" customHeight="false" outlineLevel="0" collapsed="false">
      <c r="B7" s="5" t="s">
        <v>148</v>
      </c>
      <c r="C7" s="20"/>
      <c r="D7" s="20"/>
      <c r="E7" s="20"/>
      <c r="F7" s="21" t="n">
        <f aca="false">F5*(1-Assumptions!C6)</f>
        <v>0</v>
      </c>
      <c r="G7" s="21" t="n">
        <f aca="false">G5*(1-Assumptions!D6)</f>
        <v>0</v>
      </c>
      <c r="H7" s="21" t="n">
        <f aca="false">H5*(1-Assumptions!E6)</f>
        <v>0</v>
      </c>
      <c r="I7" s="21" t="n">
        <f aca="false">I5*(1-Assumptions!F6)</f>
        <v>0</v>
      </c>
    </row>
    <row r="8" customFormat="false" ht="15" hidden="false" customHeight="false" outlineLevel="0" collapsed="false">
      <c r="B8" s="2" t="s">
        <v>149</v>
      </c>
      <c r="C8" s="20"/>
      <c r="D8" s="21" t="n">
        <f aca="false">D5-D7</f>
        <v>0</v>
      </c>
      <c r="E8" s="21" t="n">
        <f aca="false">E5-E7</f>
        <v>0</v>
      </c>
      <c r="F8" s="21" t="n">
        <f aca="false">F5-F7</f>
        <v>0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false" outlineLevel="0" collapsed="false">
      <c r="B9" s="5" t="s">
        <v>129</v>
      </c>
      <c r="C9" s="16"/>
      <c r="D9" s="22" t="str">
        <f aca="false">IFERROR(D8/D5,"-")</f>
        <v>-</v>
      </c>
      <c r="E9" s="22" t="str">
        <f aca="false">IFERROR(E8/E5,"-")</f>
        <v>-</v>
      </c>
      <c r="F9" s="22" t="str">
        <f aca="false">IFERROR(F8/F5,"-")</f>
        <v>-</v>
      </c>
      <c r="G9" s="22" t="str">
        <f aca="false">IFERROR(G8/G5,"-")</f>
        <v>-</v>
      </c>
      <c r="H9" s="22" t="str">
        <f aca="false">IFERROR(H8/H5,"-")</f>
        <v>-</v>
      </c>
      <c r="I9" s="22" t="str">
        <f aca="false">IFERROR(I8/I5,"-")</f>
        <v>-</v>
      </c>
    </row>
    <row r="10" customFormat="false" ht="15" hidden="false" customHeight="false" outlineLevel="0" collapsed="false">
      <c r="B10" s="5" t="s">
        <v>150</v>
      </c>
      <c r="C10" s="20"/>
      <c r="D10" s="20"/>
      <c r="E10" s="20"/>
      <c r="F10" s="21" t="n">
        <f aca="false">F5*Assumptions!C7</f>
        <v>0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0"/>
      <c r="D11" s="20"/>
      <c r="E11" s="20"/>
      <c r="F11" s="21" t="n">
        <f aca="false">F8-F10</f>
        <v>0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false" outlineLevel="0" collapsed="false">
      <c r="B12" s="5" t="s">
        <v>152</v>
      </c>
      <c r="C12" s="16"/>
      <c r="D12" s="16"/>
      <c r="E12" s="16"/>
      <c r="F12" s="22" t="str">
        <f aca="false">IFERROR(F11/F5,"-")</f>
        <v>-</v>
      </c>
      <c r="G12" s="22" t="str">
        <f aca="false">IFERROR(G11/G5,"-")</f>
        <v>-</v>
      </c>
      <c r="H12" s="22" t="str">
        <f aca="false">IFERROR(H11/H5,"-")</f>
        <v>-</v>
      </c>
      <c r="I12" s="22" t="str">
        <f aca="false">IFERROR(I11/I5,"-")</f>
        <v>-</v>
      </c>
    </row>
    <row r="13" customFormat="false" ht="15" hidden="false" customHeight="false" outlineLevel="0" collapsed="false">
      <c r="B13" s="5" t="s">
        <v>153</v>
      </c>
      <c r="C13" s="20"/>
      <c r="D13" s="20"/>
      <c r="E13" s="20"/>
      <c r="F13" s="21" t="n">
        <f aca="false">F5*Assumptions!C10*Assumptions!C9</f>
        <v>0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0"/>
      <c r="D14" s="20"/>
      <c r="E14" s="20"/>
      <c r="F14" s="21" t="n">
        <f aca="false">F11-F13</f>
        <v>0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0"/>
      <c r="D15" s="20"/>
      <c r="E15" s="20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false" outlineLevel="0" collapsed="false">
      <c r="B16" s="5" t="s">
        <v>156</v>
      </c>
      <c r="C16" s="20"/>
      <c r="D16" s="20"/>
      <c r="E16" s="20"/>
      <c r="F16" s="21" t="n">
        <f aca="false">F14-F15</f>
        <v>0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0"/>
      <c r="D17" s="20"/>
      <c r="E17" s="20"/>
      <c r="F17" s="21" t="n">
        <f aca="false">F16*Assumptions!C8</f>
        <v>0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0"/>
      <c r="D18" s="20"/>
      <c r="E18" s="20"/>
      <c r="F18" s="21" t="n">
        <f aca="false">F16-F17</f>
        <v>0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0"/>
      <c r="D19" s="20"/>
      <c r="E19" s="20"/>
      <c r="F19" s="21" t="n">
        <f aca="false">Assumptions!C12</f>
        <v>0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0"/>
      <c r="D20" s="20"/>
      <c r="E20" s="20"/>
      <c r="F20" s="21" t="str">
        <f aca="false">IFERROR(F18/F19,"-")</f>
        <v>-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162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B6" s="5" t="s">
        <v>163</v>
      </c>
      <c r="C6" s="21"/>
      <c r="D6" s="21"/>
      <c r="E6" s="21"/>
      <c r="F6" s="21"/>
      <c r="G6" s="21"/>
    </row>
    <row r="7" customFormat="false" ht="15" hidden="false" customHeight="false" outlineLevel="0" collapsed="false">
      <c r="B7" s="5" t="s">
        <v>164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166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5" t="s">
        <v>167</v>
      </c>
      <c r="C10" s="21"/>
      <c r="D10" s="21"/>
      <c r="E10" s="21"/>
      <c r="F10" s="21"/>
      <c r="G10" s="21"/>
    </row>
    <row r="11" customFormat="false" ht="15" hidden="false" customHeight="false" outlineLevel="0" collapsed="false">
      <c r="B11" s="2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170</v>
      </c>
      <c r="C13" s="21"/>
      <c r="D13" s="21"/>
      <c r="E13" s="21"/>
      <c r="F13" s="21"/>
      <c r="G13" s="21"/>
    </row>
    <row r="14" customFormat="false" ht="15" hidden="false" customHeight="false" outlineLevel="0" collapsed="false">
      <c r="B14" s="2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1"/>
      <c r="D15" s="21"/>
      <c r="E15" s="21"/>
      <c r="F15" s="21"/>
      <c r="G15" s="21"/>
    </row>
    <row r="16" customFormat="false" ht="15" hidden="false" customHeight="false" outlineLevel="0" collapsed="false">
      <c r="B16" s="2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1"/>
      <c r="D17" s="21"/>
      <c r="E17" s="21"/>
      <c r="F17" s="21"/>
      <c r="G17" s="21"/>
    </row>
    <row r="19" customFormat="false" ht="15" hidden="false" customHeight="fals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158</v>
      </c>
      <c r="C5" s="21"/>
      <c r="D5" s="21"/>
      <c r="E5" s="25" t="n">
        <f aca="false">IS!F18</f>
        <v>0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false" outlineLevel="0" collapsed="false">
      <c r="B6" s="5" t="s">
        <v>177</v>
      </c>
      <c r="C6" s="21"/>
      <c r="D6" s="21"/>
      <c r="E6" s="25" t="n">
        <f aca="false">IS!F13</f>
        <v>0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false" outlineLevel="0" collapsed="false">
      <c r="B7" s="5" t="s">
        <v>178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180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2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0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false" outlineLevel="0" collapsed="false">
      <c r="B11" s="5" t="s">
        <v>182</v>
      </c>
      <c r="C11" s="21"/>
      <c r="D11" s="21"/>
      <c r="E11" s="21"/>
      <c r="F11" s="21"/>
      <c r="G11" s="21"/>
    </row>
    <row r="12" customFormat="false" ht="15" hidden="false" customHeight="false" outlineLevel="0" collapsed="false">
      <c r="B12" s="5" t="s">
        <v>183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0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6" t="n">
        <f aca="false">IS!F14*(1-Assumptions!C8)+IS!F13-IS!F5*Assumptions!C10</f>
        <v>0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0" t="s">
        <v>189</v>
      </c>
      <c r="I5" s="27" t="n">
        <v>0.1</v>
      </c>
    </row>
    <row r="6" customFormat="false" ht="15" hidden="false" customHeight="false" outlineLevel="0" collapsed="false">
      <c r="B6" s="0" t="s">
        <v>190</v>
      </c>
      <c r="C6" s="28" t="n">
        <f aca="false">1/(1+$I$5)^(1)</f>
        <v>0.909090909090909</v>
      </c>
      <c r="D6" s="28" t="n">
        <f aca="false">1/(1+$I$5)^(2)</f>
        <v>0.826446280991735</v>
      </c>
      <c r="E6" s="28" t="n">
        <f aca="false">1/(1+$I$5)^(3)</f>
        <v>0.751314800901578</v>
      </c>
      <c r="F6" s="28" t="n">
        <f aca="false">1/(1+$I$5)^(4)</f>
        <v>0.683013455365071</v>
      </c>
      <c r="G6" s="28" t="n">
        <f aca="false">1/(1+$I$5)^(5)</f>
        <v>0.620921323059155</v>
      </c>
      <c r="H6" s="0" t="s">
        <v>191</v>
      </c>
      <c r="I6" s="27" t="n">
        <v>0.025</v>
      </c>
    </row>
    <row r="7" customFormat="false" ht="15" hidden="false" customHeight="false" outlineLevel="0" collapsed="false">
      <c r="B7" s="0" t="s">
        <v>192</v>
      </c>
      <c r="C7" s="29" t="n">
        <f aca="false">C5*C6</f>
        <v>0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0" t="s">
        <v>193</v>
      </c>
      <c r="I7" s="29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9" t="n">
        <f aca="false">I7*G6</f>
        <v>0</v>
      </c>
    </row>
    <row r="9" customFormat="false" ht="15" hidden="false" customHeight="false" outlineLevel="0" collapsed="false">
      <c r="H9" s="0" t="s">
        <v>195</v>
      </c>
      <c r="I9" s="29" t="n">
        <f aca="false">SUM(C7:G7)</f>
        <v>0</v>
      </c>
    </row>
    <row r="10" customFormat="false" ht="15" hidden="false" customHeight="false" outlineLevel="0" collapsed="false">
      <c r="H10" s="0" t="s">
        <v>196</v>
      </c>
      <c r="I10" s="30" t="n">
        <f aca="false">I8+I9</f>
        <v>0</v>
      </c>
    </row>
    <row r="11" customFormat="false" ht="15" hidden="false" customHeight="false" outlineLevel="0" collapsed="false">
      <c r="H11" s="0" t="s">
        <v>197</v>
      </c>
      <c r="I11" s="31" t="n">
        <v>0</v>
      </c>
    </row>
    <row r="12" customFormat="false" ht="15" hidden="false" customHeight="false" outlineLevel="0" collapsed="false">
      <c r="H12" s="0" t="s">
        <v>198</v>
      </c>
      <c r="I12" s="30" t="n">
        <f aca="false">I10-I11</f>
        <v>0</v>
      </c>
    </row>
    <row r="13" customFormat="false" ht="15" hidden="false" customHeight="false" outlineLevel="0" collapsed="false">
      <c r="H13" s="0" t="s">
        <v>199</v>
      </c>
      <c r="I13" s="31" t="n">
        <v>1</v>
      </c>
    </row>
    <row r="14" customFormat="false" ht="15" hidden="false" customHeight="false" outlineLevel="0" collapsed="false">
      <c r="H14" s="0" t="s">
        <v>200</v>
      </c>
      <c r="I14" s="30" t="str">
        <f aca="false">IF(OR(IS!E5="",IS!E5=0),"n/a - no forecast base",I12/I13)</f>
        <v>n/a - no forecast base</v>
      </c>
    </row>
    <row r="15" customFormat="false" ht="15" hidden="false" customHeight="false" outlineLevel="0" collapsed="false">
      <c r="H15" s="0" t="s">
        <v>201</v>
      </c>
      <c r="I15" s="2" t="str">
        <f aca="false">IF(OR(IS!E5="",IS!E5=0),"MISSING - the DCF cannot value anything","present")</f>
        <v>MISSING - the DCF cannot value anything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202</v>
      </c>
    </row>
    <row r="4" customFormat="false" ht="15" hidden="false" customHeight="false" outlineLevel="0" collapsed="false">
      <c r="A4" s="15"/>
      <c r="B4" s="15" t="s">
        <v>203</v>
      </c>
      <c r="C4" s="15" t="s">
        <v>204</v>
      </c>
      <c r="D4" s="15" t="s">
        <v>205</v>
      </c>
      <c r="E4" s="15" t="s">
        <v>206</v>
      </c>
      <c r="F4" s="15" t="s">
        <v>207</v>
      </c>
      <c r="G4" s="15" t="s">
        <v>208</v>
      </c>
      <c r="H4" s="15" t="s">
        <v>209</v>
      </c>
    </row>
    <row r="5" customFormat="false" ht="15" hidden="false" customHeight="false" outlineLevel="0" collapsed="false">
      <c r="B5" s="3" t="s">
        <v>210</v>
      </c>
      <c r="C5" s="19" t="n">
        <v>0</v>
      </c>
      <c r="D5" s="19" t="n">
        <v>0</v>
      </c>
      <c r="E5" s="19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false" outlineLevel="0" collapsed="false">
      <c r="B6" s="3" t="s">
        <v>210</v>
      </c>
      <c r="C6" s="19" t="n">
        <v>0</v>
      </c>
      <c r="D6" s="19" t="n">
        <v>0</v>
      </c>
      <c r="E6" s="19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false" outlineLevel="0" collapsed="false">
      <c r="B7" s="3" t="s">
        <v>210</v>
      </c>
      <c r="C7" s="19" t="n">
        <v>0</v>
      </c>
      <c r="D7" s="19" t="n">
        <v>0</v>
      </c>
      <c r="E7" s="19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false" outlineLevel="0" collapsed="false">
      <c r="B8" s="3" t="s">
        <v>210</v>
      </c>
      <c r="C8" s="19" t="n">
        <v>0</v>
      </c>
      <c r="D8" s="19" t="n">
        <v>0</v>
      </c>
      <c r="E8" s="19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false" outlineLevel="0" collapsed="false">
      <c r="B9" s="3" t="s">
        <v>210</v>
      </c>
      <c r="C9" s="19" t="n">
        <v>0</v>
      </c>
      <c r="D9" s="19" t="n">
        <v>0</v>
      </c>
      <c r="E9" s="19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false" outlineLevel="0" collapsed="false">
      <c r="B10" s="3" t="s">
        <v>210</v>
      </c>
      <c r="C10" s="19" t="n">
        <v>0</v>
      </c>
      <c r="D10" s="19" t="n">
        <v>0</v>
      </c>
      <c r="E10" s="19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false" outlineLevel="0" collapsed="false">
      <c r="B11" s="3" t="s">
        <v>210</v>
      </c>
      <c r="C11" s="19" t="n">
        <v>0</v>
      </c>
      <c r="D11" s="19" t="n">
        <v>0</v>
      </c>
      <c r="E11" s="19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false" outlineLevel="0" collapsed="false">
      <c r="B13" s="2" t="s">
        <v>211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34" t="s">
        <v>213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false" outlineLevel="0" collapsed="false">
      <c r="B5" s="35" t="n">
        <v>0.08</v>
      </c>
      <c r="C5" s="23" t="s">
        <v>214</v>
      </c>
      <c r="D5" s="23" t="s">
        <v>214</v>
      </c>
      <c r="E5" s="23" t="s">
        <v>214</v>
      </c>
      <c r="F5" s="23" t="s">
        <v>214</v>
      </c>
      <c r="G5" s="23" t="s">
        <v>214</v>
      </c>
    </row>
    <row r="6" customFormat="false" ht="15" hidden="false" customHeight="false" outlineLevel="0" collapsed="false">
      <c r="B6" s="35" t="n">
        <v>0.09</v>
      </c>
      <c r="C6" s="23" t="s">
        <v>214</v>
      </c>
      <c r="D6" s="23" t="s">
        <v>214</v>
      </c>
      <c r="E6" s="23" t="s">
        <v>214</v>
      </c>
      <c r="F6" s="23" t="s">
        <v>214</v>
      </c>
      <c r="G6" s="23" t="s">
        <v>214</v>
      </c>
    </row>
    <row r="7" customFormat="false" ht="15" hidden="false" customHeight="false" outlineLevel="0" collapsed="false">
      <c r="B7" s="35" t="n">
        <v>0.1</v>
      </c>
      <c r="C7" s="23" t="s">
        <v>214</v>
      </c>
      <c r="D7" s="23" t="s">
        <v>214</v>
      </c>
      <c r="E7" s="23" t="s">
        <v>214</v>
      </c>
      <c r="F7" s="23" t="s">
        <v>214</v>
      </c>
      <c r="G7" s="23" t="s">
        <v>214</v>
      </c>
    </row>
    <row r="8" customFormat="false" ht="15" hidden="false" customHeight="false" outlineLevel="0" collapsed="false">
      <c r="B8" s="35" t="n">
        <v>0.11</v>
      </c>
      <c r="C8" s="23" t="s">
        <v>214</v>
      </c>
      <c r="D8" s="23" t="s">
        <v>214</v>
      </c>
      <c r="E8" s="23" t="s">
        <v>214</v>
      </c>
      <c r="F8" s="23" t="s">
        <v>214</v>
      </c>
      <c r="G8" s="23" t="s">
        <v>214</v>
      </c>
    </row>
    <row r="9" customFormat="false" ht="15" hidden="false" customHeight="false" outlineLevel="0" collapsed="false">
      <c r="B9" s="35" t="n">
        <v>0.12</v>
      </c>
      <c r="C9" s="23" t="s">
        <v>214</v>
      </c>
      <c r="D9" s="23" t="s">
        <v>214</v>
      </c>
      <c r="E9" s="23" t="s">
        <v>214</v>
      </c>
      <c r="F9" s="23" t="s">
        <v>214</v>
      </c>
      <c r="G9" s="2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215</v>
      </c>
    </row>
    <row r="4" customFormat="false" ht="15" hidden="false" customHeight="false" outlineLevel="0" collapsed="false">
      <c r="A4" s="15"/>
      <c r="B4" s="15" t="s">
        <v>91</v>
      </c>
      <c r="C4" s="15" t="s">
        <v>216</v>
      </c>
      <c r="D4" s="15" t="s">
        <v>217</v>
      </c>
      <c r="E4" s="15" t="s">
        <v>218</v>
      </c>
      <c r="F4" s="15" t="s">
        <v>219</v>
      </c>
    </row>
    <row r="5" customFormat="false" ht="15" hidden="false" customHeight="false" outlineLevel="0" collapsed="false">
      <c r="B5" s="36" t="s">
        <v>220</v>
      </c>
      <c r="C5" s="36" t="s">
        <v>221</v>
      </c>
      <c r="D5" s="36" t="s">
        <v>222</v>
      </c>
      <c r="E5" s="36" t="s">
        <v>223</v>
      </c>
      <c r="F5" s="36" t="s">
        <v>224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225</v>
      </c>
    </row>
    <row r="4" customFormat="false" ht="15" hidden="false" customHeight="false" outlineLevel="0" collapsed="false">
      <c r="B4" s="15" t="s">
        <v>226</v>
      </c>
      <c r="C4" s="15" t="s">
        <v>227</v>
      </c>
      <c r="D4" s="15" t="s">
        <v>228</v>
      </c>
      <c r="E4" s="15" t="s">
        <v>229</v>
      </c>
    </row>
    <row r="5" customFormat="false" ht="15" hidden="false" customHeight="false" outlineLevel="0" collapsed="false">
      <c r="B5" s="0" t="s">
        <v>230</v>
      </c>
      <c r="C5" s="20" t="n">
        <v>100</v>
      </c>
      <c r="D5" s="20" t="n">
        <v>14710</v>
      </c>
    </row>
    <row r="6" customFormat="false" ht="15" hidden="false" customHeight="false" outlineLevel="0" collapsed="false">
      <c r="B6" s="0" t="s">
        <v>231</v>
      </c>
      <c r="C6" s="20" t="n">
        <v>150</v>
      </c>
      <c r="D6" s="20" t="n">
        <v>8300</v>
      </c>
    </row>
    <row r="7" customFormat="false" ht="15" hidden="false" customHeight="false" outlineLevel="0" collapsed="false">
      <c r="B7" s="0" t="s">
        <v>232</v>
      </c>
      <c r="C7" s="20" t="n">
        <v>50</v>
      </c>
      <c r="D7" s="20" t="n">
        <v>14650</v>
      </c>
    </row>
    <row r="8" customFormat="false" ht="15" hidden="false" customHeight="false" outlineLevel="0" collapsed="false">
      <c r="B8" s="0" t="s">
        <v>233</v>
      </c>
      <c r="C8" s="20" t="n">
        <v>20</v>
      </c>
      <c r="D8" s="20" t="n">
        <v>0</v>
      </c>
    </row>
    <row r="9" customFormat="false" ht="15" hidden="false" customHeight="false" outlineLevel="0" collapsed="false">
      <c r="B9" s="0" t="s">
        <v>234</v>
      </c>
      <c r="C9" s="20" t="n">
        <v>10</v>
      </c>
      <c r="D9" s="20" t="n">
        <v>30</v>
      </c>
    </row>
    <row r="10" customFormat="false" ht="15" hidden="false" customHeight="false" outlineLevel="0" collapsed="false">
      <c r="B10" s="0" t="s">
        <v>235</v>
      </c>
      <c r="C10" s="20" t="n">
        <v>0</v>
      </c>
      <c r="D10" s="20" t="n">
        <v>3038</v>
      </c>
    </row>
    <row r="11" customFormat="false" ht="15" hidden="false" customHeight="false" outlineLevel="0" collapsed="false">
      <c r="B11" s="0" t="s">
        <v>236</v>
      </c>
      <c r="C11" s="20" t="n">
        <v>30</v>
      </c>
      <c r="D11" s="20" t="n">
        <v>0</v>
      </c>
    </row>
    <row r="12" customFormat="false" ht="15" hidden="false" customHeight="false" outlineLevel="0" collapsed="false">
      <c r="B12" s="0" t="s">
        <v>237</v>
      </c>
      <c r="C12" s="20" t="n">
        <v>200</v>
      </c>
      <c r="D12" s="20" t="n">
        <v>44100</v>
      </c>
    </row>
    <row r="13" customFormat="false" ht="15" hidden="false" customHeight="false" outlineLevel="0" collapsed="false">
      <c r="B13" s="0" t="s">
        <v>151</v>
      </c>
      <c r="C13" s="20" t="n">
        <v>120</v>
      </c>
      <c r="D13" s="20" t="n">
        <v>8300</v>
      </c>
    </row>
    <row r="14" customFormat="false" ht="15" hidden="false" customHeight="false" outlineLevel="0" collapsed="false">
      <c r="B14" s="0" t="s">
        <v>238</v>
      </c>
      <c r="C14" s="20" t="n">
        <v>10</v>
      </c>
      <c r="D14" s="20" t="n">
        <v>1764</v>
      </c>
    </row>
    <row r="15" customFormat="false" ht="15" hidden="false" customHeight="false" outlineLevel="0" collapsed="false">
      <c r="B15" s="0" t="s">
        <v>239</v>
      </c>
      <c r="C15" s="20" t="n">
        <v>50</v>
      </c>
      <c r="D15" s="20" t="n">
        <v>80</v>
      </c>
    </row>
    <row r="16" customFormat="false" ht="15" hidden="false" customHeight="false" outlineLevel="0" collapsed="false">
      <c r="B16" s="0" t="s">
        <v>240</v>
      </c>
      <c r="C16" s="37" t="n">
        <v>3.5</v>
      </c>
      <c r="D16" s="37" t="n">
        <v>3.5</v>
      </c>
    </row>
    <row r="17" customFormat="false" ht="15" hidden="false" customHeight="false" outlineLevel="0" collapsed="false">
      <c r="B17" s="0" t="s">
        <v>241</v>
      </c>
      <c r="C17" s="37" t="n">
        <v>2</v>
      </c>
      <c r="D17" s="37" t="n">
        <v>2</v>
      </c>
    </row>
    <row r="21" customFormat="false" ht="15" hidden="false" customHeight="false" outlineLevel="0" collapsed="false">
      <c r="B21" s="0" t="s">
        <v>242</v>
      </c>
      <c r="C21" s="24" t="n">
        <f aca="false">C5+C6-C7-C8-C9+C10-C11</f>
        <v>140</v>
      </c>
      <c r="D21" s="24" t="n">
        <f aca="false">D5+D6-D7-D8-D9+D10-D11</f>
        <v>11368</v>
      </c>
    </row>
    <row r="22" customFormat="false" ht="15" hidden="false" customHeight="false" outlineLevel="0" collapsed="false">
      <c r="B22" s="0" t="s">
        <v>243</v>
      </c>
      <c r="C22" s="24" t="n">
        <f aca="false">C12+C10-C11</f>
        <v>170</v>
      </c>
      <c r="D22" s="24" t="n">
        <f aca="false">D12+D10-D11</f>
        <v>47138</v>
      </c>
    </row>
    <row r="23" customFormat="false" ht="15" hidden="false" customHeight="false" outlineLevel="0" collapsed="false">
      <c r="B23" s="0" t="s">
        <v>244</v>
      </c>
      <c r="C23" s="24" t="n">
        <f aca="false">C22-C21</f>
        <v>30</v>
      </c>
      <c r="D23" s="24" t="n">
        <f aca="false">D22-D21</f>
        <v>35770</v>
      </c>
    </row>
    <row r="24" customFormat="false" ht="15" hidden="false" customHeight="false" outlineLevel="0" collapsed="false">
      <c r="B24" s="0" t="s">
        <v>245</v>
      </c>
      <c r="C24" s="38" t="n">
        <f aca="false">IFERROR(C23/C13,0)</f>
        <v>0.25</v>
      </c>
      <c r="D24" s="38" t="n">
        <f aca="false">IFERROR(D23/D13,0)</f>
        <v>4.30963855421687</v>
      </c>
    </row>
    <row r="25" customFormat="false" ht="15" hidden="false" customHeight="false" outlineLevel="0" collapsed="false">
      <c r="B25" s="0" t="s">
        <v>246</v>
      </c>
      <c r="C25" s="38" t="n">
        <f aca="false">IFERROR(C13/C14,0)</f>
        <v>12</v>
      </c>
      <c r="D25" s="38" t="n">
        <f aca="false">IFERROR(D13/D14,0)</f>
        <v>4.70521541950113</v>
      </c>
    </row>
    <row r="26" customFormat="false" ht="15" hidden="false" customHeight="false" outlineLevel="0" collapsed="false">
      <c r="B26" s="0" t="s">
        <v>247</v>
      </c>
      <c r="C26" s="24" t="n">
        <f aca="false">MAX(0,C15-C21)</f>
        <v>0</v>
      </c>
      <c r="D26" s="24" t="n">
        <f aca="false">MAX(0,D15-D21)</f>
        <v>0</v>
      </c>
    </row>
    <row r="27" customFormat="false" ht="15" hidden="false" customHeight="false" outlineLevel="0" collapsed="false">
      <c r="B27" s="0" t="s">
        <v>248</v>
      </c>
      <c r="C27" s="24" t="n">
        <f aca="false">C6-C7</f>
        <v>100</v>
      </c>
      <c r="D27" s="24" t="n">
        <f aca="false">D6-D7</f>
        <v>-6350</v>
      </c>
    </row>
    <row r="28" customFormat="false" ht="15" hidden="false" customHeight="false" outlineLevel="0" collapsed="false">
      <c r="B28" s="0" t="s">
        <v>249</v>
      </c>
      <c r="C28" s="24" t="n">
        <f aca="false">C8+C9</f>
        <v>30</v>
      </c>
      <c r="D28" s="24" t="n">
        <f aca="false">D8+D9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250</v>
      </c>
    </row>
    <row r="4" customFormat="false" ht="15" hidden="false" customHeight="false" outlineLevel="0" collapsed="false">
      <c r="B4" s="15" t="s">
        <v>251</v>
      </c>
      <c r="C4" s="15" t="s">
        <v>227</v>
      </c>
      <c r="D4" s="15" t="s">
        <v>228</v>
      </c>
      <c r="E4" s="15" t="s">
        <v>252</v>
      </c>
    </row>
    <row r="5" customFormat="false" ht="15" hidden="false" customHeight="false" outlineLevel="0" collapsed="false">
      <c r="B5" s="0" t="s">
        <v>231</v>
      </c>
      <c r="C5" s="24" t="n">
        <f aca="false">'Treasury &amp; Liquidity'!C6</f>
        <v>150</v>
      </c>
      <c r="D5" s="24" t="n">
        <f aca="false">'Treasury &amp; Liquidity'!D6</f>
        <v>8300</v>
      </c>
      <c r="E5" s="0" t="s">
        <v>253</v>
      </c>
    </row>
    <row r="6" customFormat="false" ht="15" hidden="false" customHeight="false" outlineLevel="0" collapsed="false">
      <c r="B6" s="0" t="s">
        <v>232</v>
      </c>
      <c r="C6" s="24" t="n">
        <f aca="false">'Treasury &amp; Liquidity'!C7</f>
        <v>50</v>
      </c>
      <c r="D6" s="24" t="n">
        <f aca="false">'Treasury &amp; Liquidity'!D7</f>
        <v>14650</v>
      </c>
      <c r="E6" s="0" t="s">
        <v>254</v>
      </c>
    </row>
    <row r="7" customFormat="false" ht="15" hidden="false" customHeight="false" outlineLevel="0" collapsed="false">
      <c r="B7" s="0" t="s">
        <v>233</v>
      </c>
      <c r="C7" s="24" t="n">
        <f aca="false">'Treasury &amp; Liquidity'!C8</f>
        <v>20</v>
      </c>
      <c r="D7" s="24" t="n">
        <f aca="false">'Treasury &amp; Liquidity'!D8</f>
        <v>0</v>
      </c>
      <c r="E7" s="0" t="s">
        <v>255</v>
      </c>
    </row>
    <row r="8" customFormat="false" ht="15" hidden="false" customHeight="false" outlineLevel="0" collapsed="false">
      <c r="B8" s="0" t="s">
        <v>234</v>
      </c>
      <c r="C8" s="24" t="n">
        <f aca="false">'Treasury &amp; Liquidity'!C9</f>
        <v>10</v>
      </c>
      <c r="D8" s="24" t="n">
        <f aca="false">'Treasury &amp; Liquidity'!D9</f>
        <v>30</v>
      </c>
      <c r="E8" s="0" t="s">
        <v>255</v>
      </c>
    </row>
    <row r="9" customFormat="false" ht="15" hidden="false" customHeight="false" outlineLevel="0" collapsed="false">
      <c r="B9" s="0" t="s">
        <v>236</v>
      </c>
      <c r="C9" s="24" t="n">
        <f aca="false">'Treasury &amp; Liquidity'!C11</f>
        <v>30</v>
      </c>
      <c r="D9" s="24" t="n">
        <f aca="false">'Treasury &amp; Liquidity'!D11</f>
        <v>0</v>
      </c>
      <c r="E9" s="0" t="s">
        <v>256</v>
      </c>
    </row>
    <row r="10" customFormat="false" ht="15" hidden="false" customHeight="false" outlineLevel="0" collapsed="false">
      <c r="B10" s="0" t="s">
        <v>235</v>
      </c>
      <c r="C10" s="24" t="n">
        <f aca="false">'Treasury &amp; Liquidity'!C10</f>
        <v>0</v>
      </c>
      <c r="D10" s="24" t="n">
        <f aca="false">'Treasury &amp; Liquidity'!D10</f>
        <v>3038</v>
      </c>
      <c r="E10" s="0" t="s">
        <v>257</v>
      </c>
    </row>
    <row r="13" customFormat="false" ht="15" hidden="false" customHeight="false" outlineLevel="0" collapsed="false">
      <c r="B13" s="0" t="s">
        <v>258</v>
      </c>
      <c r="C13" s="24" t="n">
        <f aca="false">MAX(0,C7+C8-C5+C6)</f>
        <v>0</v>
      </c>
      <c r="D13" s="24" t="n">
        <f aca="false">MAX(0,D7+D8-D5+D6)</f>
        <v>6380</v>
      </c>
    </row>
    <row r="14" customFormat="false" ht="15" hidden="false" customHeight="false" outlineLevel="0" collapsed="false">
      <c r="B14" s="0" t="s">
        <v>259</v>
      </c>
      <c r="C14" s="24" t="n">
        <f aca="false">'Treasury &amp; Liquidity'!C21-('Treasury &amp; Liquidity'!C5+'Treasury &amp; Liquidity'!C6-'Treasury &amp; Liquidity'!C7-'Treasury &amp; Liquidity'!C8-'Treasury &amp; Liquidity'!C9+'Treasury &amp; Liquidity'!C10-'Treasury &amp; Liquidity'!C11)</f>
        <v>0</v>
      </c>
      <c r="D14" s="24" t="n">
        <f aca="false">'Treasury &amp; Liquidity'!D21-('Treasury &amp; Liquidity'!D5+'Treasury &amp; Liquidity'!D6-'Treasury &amp; Liquidity'!D7-'Treasury &amp; Liquidity'!D8-'Treasury &amp; Liquidity'!D9+'Treasury &amp; Liquidity'!D10-'Treasury &amp; Liquidity'!D11)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260</v>
      </c>
    </row>
    <row r="4" customFormat="false" ht="15" hidden="false" customHeight="false" outlineLevel="0" collapsed="false">
      <c r="B4" s="15" t="s">
        <v>226</v>
      </c>
      <c r="C4" s="15" t="s">
        <v>227</v>
      </c>
      <c r="D4" s="15" t="s">
        <v>228</v>
      </c>
      <c r="E4" s="15" t="s">
        <v>261</v>
      </c>
    </row>
    <row r="5" customFormat="false" ht="15" hidden="false" customHeight="false" outlineLevel="0" collapsed="false">
      <c r="B5" s="0" t="s">
        <v>242</v>
      </c>
      <c r="C5" s="24" t="n">
        <f aca="false">'Treasury &amp; Liquidity'!C21</f>
        <v>140</v>
      </c>
      <c r="D5" s="24" t="n">
        <f aca="false">'Treasury &amp; Liquidity'!D21</f>
        <v>11368</v>
      </c>
      <c r="E5" s="0" t="s">
        <v>262</v>
      </c>
    </row>
    <row r="6" customFormat="false" ht="15" hidden="false" customHeight="false" outlineLevel="0" collapsed="false">
      <c r="B6" s="0" t="s">
        <v>245</v>
      </c>
      <c r="C6" s="38" t="n">
        <f aca="false">'Treasury &amp; Liquidity'!C24</f>
        <v>0.25</v>
      </c>
      <c r="D6" s="38" t="n">
        <f aca="false">'Treasury &amp; Liquidity'!D24</f>
        <v>4.30963855421687</v>
      </c>
      <c r="E6" s="0" t="s">
        <v>263</v>
      </c>
    </row>
    <row r="7" customFormat="false" ht="15" hidden="false" customHeight="false" outlineLevel="0" collapsed="false">
      <c r="B7" s="0" t="s">
        <v>246</v>
      </c>
      <c r="C7" s="38" t="n">
        <f aca="false">'Treasury &amp; Liquidity'!C25</f>
        <v>12</v>
      </c>
      <c r="D7" s="38" t="n">
        <f aca="false">'Treasury &amp; Liquidity'!D25</f>
        <v>4.70521541950113</v>
      </c>
      <c r="E7" s="0" t="s">
        <v>264</v>
      </c>
    </row>
    <row r="8" customFormat="false" ht="15" hidden="false" customHeight="false" outlineLevel="0" collapsed="false">
      <c r="B8" s="0" t="s">
        <v>247</v>
      </c>
      <c r="C8" s="24" t="n">
        <f aca="false">'Treasury &amp; Liquidity'!C26</f>
        <v>0</v>
      </c>
      <c r="D8" s="24" t="n">
        <f aca="false">'Treasury &amp; Liquidity'!D26</f>
        <v>0</v>
      </c>
      <c r="E8" s="0" t="s">
        <v>265</v>
      </c>
    </row>
    <row r="9" customFormat="false" ht="15" hidden="false" customHeight="false" outlineLevel="0" collapsed="false">
      <c r="B9" s="0" t="s">
        <v>258</v>
      </c>
      <c r="C9" s="24" t="n">
        <f aca="false">'Capital Allocation'!C13</f>
        <v>0</v>
      </c>
      <c r="D9" s="24" t="n">
        <f aca="false">'Capital Allocation'!D13</f>
        <v>6380</v>
      </c>
      <c r="E9" s="0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266</v>
      </c>
    </row>
    <row r="4" customFormat="false" ht="15" hidden="false" customHeight="false" outlineLevel="0" collapsed="false">
      <c r="B4" s="15" t="s">
        <v>267</v>
      </c>
      <c r="C4" s="15" t="s">
        <v>226</v>
      </c>
      <c r="D4" s="15" t="s">
        <v>40</v>
      </c>
      <c r="E4" s="15" t="s">
        <v>268</v>
      </c>
    </row>
    <row r="5" customFormat="false" ht="15" hidden="false" customHeight="false" outlineLevel="0" collapsed="false">
      <c r="B5" s="0" t="s">
        <v>259</v>
      </c>
      <c r="C5" s="39" t="n">
        <f aca="false">'Capital Allocation'!D14</f>
        <v>0</v>
      </c>
      <c r="D5" s="36" t="str">
        <f aca="false">IF(ABS(C5)&lt;0.01,"PASS","FAIL")</f>
        <v>PASS</v>
      </c>
      <c r="E5" s="0" t="s">
        <v>269</v>
      </c>
    </row>
    <row r="6" customFormat="false" ht="15" hidden="false" customHeight="false" outlineLevel="0" collapsed="false">
      <c r="B6" s="0" t="s">
        <v>270</v>
      </c>
      <c r="C6" s="39" t="n">
        <f aca="false">'Treasury &amp; Liquidity'!D22-('Treasury &amp; Liquidity'!D12+'Treasury &amp; Liquidity'!D10-'Treasury &amp; Liquidity'!D11)</f>
        <v>0</v>
      </c>
      <c r="D6" s="36" t="str">
        <f aca="false">IF(ABS(C6)&lt;0.01,"PASS","FAIL")</f>
        <v>PASS</v>
      </c>
      <c r="E6" s="0" t="s">
        <v>271</v>
      </c>
    </row>
    <row r="7" customFormat="false" ht="15" hidden="false" customHeight="false" outlineLevel="0" collapsed="false">
      <c r="B7" s="0" t="s">
        <v>239</v>
      </c>
      <c r="C7" s="39" t="n">
        <f aca="false">'Treasury &amp; Liquidity'!D21-'Treasury &amp; Liquidity'!D15</f>
        <v>11288</v>
      </c>
      <c r="D7" s="36" t="str">
        <f aca="false">IF(C7&gt;=0,"PASS","BREACH")</f>
        <v>PASS</v>
      </c>
      <c r="E7" s="0" t="s">
        <v>272</v>
      </c>
    </row>
    <row r="8" customFormat="false" ht="15" hidden="false" customHeight="false" outlineLevel="0" collapsed="false">
      <c r="B8" s="0" t="s">
        <v>245</v>
      </c>
      <c r="C8" s="39" t="n">
        <f aca="false">'Treasury &amp; Liquidity'!D24</f>
        <v>4.30963855421687</v>
      </c>
      <c r="D8" s="36" t="str">
        <f aca="false">IF(C8&lt;='Treasury &amp; Liquidity'!D16,"PASS","BREACH")</f>
        <v>BREACH</v>
      </c>
      <c r="E8" s="0" t="s">
        <v>273</v>
      </c>
    </row>
    <row r="9" customFormat="false" ht="15" hidden="false" customHeight="false" outlineLevel="0" collapsed="false">
      <c r="B9" s="0" t="s">
        <v>246</v>
      </c>
      <c r="C9" s="39" t="n">
        <f aca="false">'Treasury &amp; Liquidity'!D25</f>
        <v>4.70521541950113</v>
      </c>
      <c r="D9" s="36" t="str">
        <f aca="false">IF(C9&gt;='Treasury &amp; Liquidity'!D17,"PASS","BREACH")</f>
        <v>PASS</v>
      </c>
      <c r="E9" s="0" t="s">
        <v>274</v>
      </c>
    </row>
    <row r="10" customFormat="false" ht="15" hidden="false" customHeight="false" outlineLevel="0" collapsed="false">
      <c r="B10" s="0" t="s">
        <v>275</v>
      </c>
      <c r="C10" s="39" t="n">
        <f aca="false">'Capital Allocation'!D13</f>
        <v>6380</v>
      </c>
      <c r="D10" s="36" t="str">
        <f aca="false">IF(C10&lt;0.01,"PASS","BREACH")</f>
        <v>BREACH</v>
      </c>
      <c r="E10" s="0" t="s">
        <v>276</v>
      </c>
    </row>
    <row r="12" customFormat="false" ht="15" hidden="false" customHeight="false" outlineLevel="0" collapsed="false">
      <c r="B12" s="2" t="s">
        <v>277</v>
      </c>
      <c r="C12" s="40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2026-09-07T20:10:08Z</dcterms:created>
  <dc:creator>openpyxl</dc:creator>
  <dc:description/>
  <dc:language>en-US</dc:language>
  <cp:lastModifiedBy/>
  <dcterms:modified xsi:type="dcterms:W3CDTF">2026-09-07T20:11:08Z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