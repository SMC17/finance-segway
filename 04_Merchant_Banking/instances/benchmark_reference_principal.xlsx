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 &amp; Uses" sheetId="3" state="visible" r:id="rId5"/>
    <sheet name="Operating Model" sheetId="4" state="visible" r:id="rId6"/>
    <sheet name="Debt Schedule" sheetId="5" state="visible" r:id="rId7"/>
    <sheet name="Covenants" sheetId="6" state="visible" r:id="rId8"/>
    <sheet name="Management Equity" sheetId="7" state="visible" r:id="rId9"/>
    <sheet name="Returns Waterfall" sheetId="8" state="visible" r:id="rId10"/>
    <sheet name="Sensitivity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<sst xmlns="http://schemas.openxmlformats.org/spreadsheetml/2006/main" count="276" uniqueCount="213">
  <si>
    <t xml:space="preserve">[TARGET] — LBO Underwriting Model</t>
  </si>
  <si>
    <t xml:space="preserve">Target / transaction:</t>
  </si>
  <si>
    <t xml:space="preserve">Reference Principal Investment</t>
  </si>
  <si>
    <t xml:space="preserve">Sponsor / principal:</t>
  </si>
  <si>
    <t xml:space="preserve">Benchmark Merchant Bank</t>
  </si>
  <si>
    <t xml:space="preserve">Entry / close date:</t>
  </si>
  <si>
    <t xml:space="preserve">[date]</t>
  </si>
  <si>
    <t xml:space="preserve">Last refreshed:</t>
  </si>
  <si>
    <t xml:space="preserve">2026-08-03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</si>
  <si>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</si>
  <si>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</si>
  <si>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</si>
  <si>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</si>
  <si>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</si>
  <si>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</si>
  <si>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</si>
  <si>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</si>
  <si>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</si>
  <si>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</si>
  <si>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</si>
  <si>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</si>
  <si>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</si>
  <si>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</si>
  <si>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</si>
  <si>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</si>
  <si>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</si>
  <si>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</si>
  <si>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</si>
  <si>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</si>
  <si>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</si>
  <si>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</si>
  <si>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</si>
  <si>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</si>
  <si>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</si>
  <si>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</si>
  <si>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</si>
  <si>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</si>
  <si>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</si>
  <si>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</si>
  <si>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</si>
  <si>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</si>
  <si>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</si>
  <si>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</si>
  <si>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</si>
  <si>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</si>
  <si>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</si>
  <si>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</si>
  <si>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</si>
  <si>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</si>
  <si>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</si>
  <si>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</si>
  <si>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</si>
  <si>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</si>
  <si>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</si>
  <si>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</si>
  <si>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</si>
  <si>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</si>
  <si>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</si>
  <si>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</si>
  <si>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</si>
  <si>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</si>
  <si>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</si>
  <si>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</si>
  <si>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</si>
  <si>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</si>
  <si>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</si>
  <si>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</si>
  <si>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</si>
  <si>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</si>
  <si>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</si>
  <si>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</si>
  <si>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</si>
  <si>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</si>
  <si>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</si>
  <si>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</si>
  <si>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</si>
  <si>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</si>
  <si>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</si>
  <si>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</si>
  <si>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</si>
  <si>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</si>
  <si>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</si>
  <si>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</si>
  <si>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</si>
  <si>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</si>
  <si>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</si>
  <si>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</si>
  <si>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</si>
  <si>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</si>
  <si>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</si>
  <si>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</si>
  <si>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</si>
  <si>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</si>
  <si>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</si>
  <si>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</si>
  <si>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</si>
  <si>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</si>
  <si>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</si>
  <si>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</si>
  <si>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</si>
  <si>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</si>
  <si>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</si>
  <si>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</si>
  <si>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</si>
  <si>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</si>
  <si>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</si>
  <si>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</si>
  <si>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</si>
  <si>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</si>
  <si>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</si>
  <si>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</si>
  <si>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</si>
  <si>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</si>
  <si>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</si>
  <si>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</si>
  <si>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</si>
  <si>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</si>
  <si>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</si>
  <si>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</si>
  <si>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</si>
  <si>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</si>
  <si>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</si>
  <si>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</si>
  <si>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</si>
  <si>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</si>
  <si>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</si>
  <si>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</si>
  <si>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</si>
  <si>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</si>
  <si>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</si>
  <si>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</si>
  <si>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</si>
  <si>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</si>
  <si>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</si>
  <si>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</si>
  <si>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</si>
  <si>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</si>
  <si>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</si>
  <si>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</si>
  <si>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Status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</si>
  <si>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</si>
  <si>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</si>
  <si>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</si>
  <si>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</si>
  <si>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</si>
  <si>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</si>
  <si>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</si>
  <si>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</si>
  <si>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</si>
  <si>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</si>
  <si>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</si>
  <si>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</si>
  <si>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</si>
  <si>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</si>
  <si>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</si>
  <si>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</si>
  <si>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</si>
  <si>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</si>
  <si>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</si>
  <si>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</si>
  <si>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</si>
  <si>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</si>
  <si>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</si>
  <si>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</si>
  <si>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</si>
  <si>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</si>
  <si>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</si>
  <si>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</si>
  <si>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</si>
  <si>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</si>
  <si>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</si>
  <si>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</si>
  <si>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</si>
  <si>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</si>
  <si>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</si>
  <si>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</si>
  <si>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</si>
  <si>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</si>
  <si>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</si>
  <si>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</si>
  <si>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</si>
  <si>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</si>
  <si>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</si>
  <si>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</si>
  <si>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</si>
  <si>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</si>
  <si>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</si>
  <si>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</si>
  <si>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</si>
  <si>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</si>
  <si>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</si>
  <si>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</si>
  <si>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</si>
  <si>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</si>
  <si>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</si>
  <si>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</si>
  <si>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</si>
  <si>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</si>
  <si>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</si>
  <si>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Finance-Segway benchmark fixture merchant-reference-principal</t>
  </si>
  <si>
    <t xml:space="preserve">repo://standards/benchmark_cases/merchant-reference-principal.json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</si>
  <si>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</si>
  <si>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</si>
  <si>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</si>
  <si>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</si>
  <si>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</si>
  <si>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</si>
  <si>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</si>
  <si>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</si>
  <si>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</si>
  <si>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merchant-reference-principal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</si>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</sst>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23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24</v>
      </c>
      <c r="C4" s="10" t="s">
        <v>11</v>
      </c>
      <c r="D4" s="10" t="s">
        <v>25</v>
      </c>
      <c r="E4" s="10" t="s">
        <v>26</v>
      </c>
      <c r="F4" s="10" t="s">
        <v>27</v>
      </c>
    </row>
    <row r="5" customFormat="false" ht="15" hidden="false" customHeight="true" outlineLevel="0" collapsed="false">
      <c r="B5" s="1" t="s">
        <v>28</v>
      </c>
      <c r="C5" s="11" t="n">
        <v>900</v>
      </c>
      <c r="D5" s="12" t="n">
        <v>600</v>
      </c>
      <c r="E5" s="13" t="n">
        <f aca="false">IF(Cover!$C$9="Downside",D5,C5)</f>
        <v>900</v>
      </c>
      <c r="F5" s="1" t="s">
        <v>29</v>
      </c>
    </row>
    <row r="6" customFormat="false" ht="15" hidden="false" customHeight="true" outlineLevel="0" collapsed="false">
      <c r="B6" s="1" t="s">
        <v>30</v>
      </c>
      <c r="C6" s="14" t="n">
        <v>0.18</v>
      </c>
      <c r="D6" s="15" t="n">
        <v>0.17</v>
      </c>
      <c r="E6" s="16" t="n">
        <f aca="false">IF(Cover!$C$9="Downside",D6,C6)</f>
        <v>0.18</v>
      </c>
      <c r="F6" s="1" t="s">
        <v>31</v>
      </c>
    </row>
    <row r="7" customFormat="false" ht="15" hidden="false" customHeight="true" outlineLevel="0" collapsed="false">
      <c r="B7" s="1" t="s">
        <v>32</v>
      </c>
      <c r="C7" s="14" t="n">
        <v>0.045</v>
      </c>
      <c r="D7" s="15" t="n">
        <v>-0.02</v>
      </c>
      <c r="E7" s="16" t="n">
        <f aca="false">IF(Cover!$C$9="Downside",D7,C7)</f>
        <v>0.045</v>
      </c>
      <c r="F7" s="1" t="s">
        <v>31</v>
      </c>
    </row>
    <row r="8" customFormat="false" ht="15" hidden="false" customHeight="true" outlineLevel="0" collapsed="false">
      <c r="B8" s="1" t="s">
        <v>33</v>
      </c>
      <c r="C8" s="17" t="n">
        <v>0.005</v>
      </c>
      <c r="D8" s="17" t="n">
        <v>-0.003</v>
      </c>
      <c r="E8" s="18" t="n">
        <f aca="false">IF(Cover!$C$9="Downside",D8,C8)</f>
        <v>0.005</v>
      </c>
      <c r="F8" s="1" t="s">
        <v>34</v>
      </c>
    </row>
    <row r="9" customFormat="false" ht="15" hidden="false" customHeight="true" outlineLevel="0" collapsed="false">
      <c r="B9" s="1" t="s">
        <v>35</v>
      </c>
      <c r="C9" s="15" t="n">
        <v>0.025</v>
      </c>
      <c r="D9" s="15" t="n">
        <v>0.025</v>
      </c>
      <c r="E9" s="16" t="n">
        <f aca="false">IF(Cover!$C$9="Downside",D9,C9)</f>
        <v>0.025</v>
      </c>
      <c r="F9" s="1" t="s">
        <v>31</v>
      </c>
    </row>
    <row r="10" customFormat="false" ht="15" hidden="false" customHeight="true" outlineLevel="0" collapsed="false">
      <c r="B10" s="1" t="s">
        <v>36</v>
      </c>
      <c r="C10" s="15" t="n">
        <v>0.035</v>
      </c>
      <c r="D10" s="15" t="n">
        <v>0.045</v>
      </c>
      <c r="E10" s="16" t="n">
        <f aca="false">IF(Cover!$C$9="Downside",D10,C10)</f>
        <v>0.035</v>
      </c>
      <c r="F10" s="1" t="s">
        <v>31</v>
      </c>
    </row>
    <row r="11" customFormat="false" ht="15" hidden="false" customHeight="true" outlineLevel="0" collapsed="false">
      <c r="B11" s="1" t="s">
        <v>37</v>
      </c>
      <c r="C11" s="15" t="n">
        <v>0.08</v>
      </c>
      <c r="D11" s="15" t="n">
        <v>0.1</v>
      </c>
      <c r="E11" s="16" t="n">
        <f aca="false">IF(Cover!$C$9="Downside",D11,C11)</f>
        <v>0.08</v>
      </c>
      <c r="F11" s="1" t="s">
        <v>31</v>
      </c>
    </row>
    <row r="12" customFormat="false" ht="15" hidden="false" customHeight="true" outlineLevel="0" collapsed="false">
      <c r="B12" s="1" t="s">
        <v>38</v>
      </c>
      <c r="C12" s="15" t="n">
        <v>0.25</v>
      </c>
      <c r="D12" s="15" t="n">
        <v>0.2</v>
      </c>
      <c r="E12" s="16" t="n">
        <f aca="false">IF(Cover!$C$9="Downside",D12,C12)</f>
        <v>0.25</v>
      </c>
      <c r="F12" s="1" t="s">
        <v>31</v>
      </c>
    </row>
    <row r="13" customFormat="false" ht="15" hidden="false" customHeight="true" outlineLevel="0" collapsed="false">
      <c r="B13" s="1" t="s">
        <v>39</v>
      </c>
      <c r="C13" s="19" t="n">
        <v>10</v>
      </c>
      <c r="D13" s="19" t="n">
        <v>9</v>
      </c>
      <c r="E13" s="20" t="n">
        <f aca="false">IF(Cover!$C$9="Downside",D13,C13)</f>
        <v>10</v>
      </c>
      <c r="F13" s="1" t="s">
        <v>40</v>
      </c>
    </row>
    <row r="14" customFormat="false" ht="15" hidden="false" customHeight="true" outlineLevel="0" collapsed="false">
      <c r="B14" s="1" t="s">
        <v>41</v>
      </c>
      <c r="C14" s="15" t="n">
        <v>0.02</v>
      </c>
      <c r="D14" s="15" t="n">
        <v>0.025</v>
      </c>
      <c r="E14" s="16" t="n">
        <f aca="false">IF(Cover!$C$9="Downside",D14,C14)</f>
        <v>0.02</v>
      </c>
      <c r="F14" s="1" t="s">
        <v>31</v>
      </c>
    </row>
    <row r="15" customFormat="false" ht="15" hidden="false" customHeight="true" outlineLevel="0" collapsed="false">
      <c r="B15" s="1" t="s">
        <v>42</v>
      </c>
      <c r="C15" s="12" t="n">
        <v>100</v>
      </c>
      <c r="D15" s="12" t="n">
        <v>100</v>
      </c>
      <c r="E15" s="13" t="n">
        <f aca="false">IF(Cover!$C$9="Downside",D15,C15)</f>
        <v>100</v>
      </c>
      <c r="F15" s="1" t="s">
        <v>29</v>
      </c>
    </row>
    <row r="16" customFormat="false" ht="15" hidden="false" customHeight="true" outlineLevel="0" collapsed="false">
      <c r="B16" s="1" t="s">
        <v>43</v>
      </c>
      <c r="C16" s="12" t="n">
        <v>20</v>
      </c>
      <c r="D16" s="12" t="n">
        <v>25</v>
      </c>
      <c r="E16" s="13" t="n">
        <f aca="false">IF(Cover!$C$9="Downside",D16,C16)</f>
        <v>20</v>
      </c>
      <c r="F16" s="1" t="s">
        <v>29</v>
      </c>
    </row>
    <row r="17" customFormat="false" ht="15" hidden="false" customHeight="true" outlineLevel="0" collapsed="false">
      <c r="B17" s="1" t="s">
        <v>44</v>
      </c>
      <c r="C17" s="12" t="n">
        <v>75</v>
      </c>
      <c r="D17" s="12" t="n">
        <v>75</v>
      </c>
      <c r="E17" s="13" t="n">
        <f aca="false">IF(Cover!$C$9="Downside",D17,C17)</f>
        <v>75</v>
      </c>
      <c r="F17" s="1" t="s">
        <v>29</v>
      </c>
    </row>
    <row r="18" customFormat="false" ht="15" hidden="false" customHeight="true" outlineLevel="0" collapsed="false">
      <c r="B18" s="1" t="s">
        <v>45</v>
      </c>
      <c r="C18" s="17" t="n">
        <v>0.09</v>
      </c>
      <c r="D18" s="17" t="n">
        <v>0.115</v>
      </c>
      <c r="E18" s="18" t="n">
        <f aca="false">IF(Cover!$C$9="Downside",D18,C18)</f>
        <v>0.09</v>
      </c>
      <c r="F18" s="1" t="s">
        <v>31</v>
      </c>
    </row>
    <row r="19" customFormat="false" ht="15" hidden="false" customHeight="true" outlineLevel="0" collapsed="false">
      <c r="B19" s="1" t="s">
        <v>46</v>
      </c>
      <c r="C19" s="21" t="n">
        <v>3.5</v>
      </c>
      <c r="D19" s="19" t="n">
        <v>3.5</v>
      </c>
      <c r="E19" s="20" t="n">
        <f aca="false">IF(Cover!$C$9="Downside",D19,C19)</f>
        <v>3.5</v>
      </c>
      <c r="F19" s="1" t="s">
        <v>47</v>
      </c>
    </row>
    <row r="20" customFormat="false" ht="15" hidden="false" customHeight="true" outlineLevel="0" collapsed="false">
      <c r="B20" s="1" t="s">
        <v>48</v>
      </c>
      <c r="C20" s="17" t="n">
        <v>0.085</v>
      </c>
      <c r="D20" s="17" t="n">
        <v>0.105</v>
      </c>
      <c r="E20" s="18" t="n">
        <f aca="false">IF(Cover!$C$9="Downside",D20,C20)</f>
        <v>0.085</v>
      </c>
      <c r="F20" s="1" t="s">
        <v>31</v>
      </c>
    </row>
    <row r="21" customFormat="false" ht="15" hidden="false" customHeight="true" outlineLevel="0" collapsed="false">
      <c r="B21" s="1" t="s">
        <v>49</v>
      </c>
      <c r="C21" s="15" t="n">
        <v>0.01</v>
      </c>
      <c r="D21" s="15" t="n">
        <v>0.01</v>
      </c>
      <c r="E21" s="16" t="n">
        <f aca="false">IF(Cover!$C$9="Downside",D21,C21)</f>
        <v>0.01</v>
      </c>
      <c r="F21" s="1" t="s">
        <v>50</v>
      </c>
    </row>
    <row r="22" customFormat="false" ht="15" hidden="false" customHeight="true" outlineLevel="0" collapsed="false">
      <c r="B22" s="1" t="s">
        <v>51</v>
      </c>
      <c r="C22" s="21" t="n">
        <v>0.75</v>
      </c>
      <c r="D22" s="19" t="n">
        <v>1</v>
      </c>
      <c r="E22" s="20" t="n">
        <f aca="false">IF(Cover!$C$9="Downside",D22,C22)</f>
        <v>0.75</v>
      </c>
      <c r="F22" s="1" t="s">
        <v>47</v>
      </c>
    </row>
    <row r="23" customFormat="false" ht="15" hidden="false" customHeight="true" outlineLevel="0" collapsed="false">
      <c r="B23" s="1" t="s">
        <v>52</v>
      </c>
      <c r="C23" s="17" t="n">
        <v>0.11</v>
      </c>
      <c r="D23" s="17" t="n">
        <v>0.13</v>
      </c>
      <c r="E23" s="18" t="n">
        <f aca="false">IF(Cover!$C$9="Downside",D23,C23)</f>
        <v>0.11</v>
      </c>
      <c r="F23" s="1" t="s">
        <v>31</v>
      </c>
    </row>
    <row r="24" customFormat="false" ht="15" hidden="false" customHeight="true" outlineLevel="0" collapsed="false">
      <c r="B24" s="1" t="s">
        <v>53</v>
      </c>
      <c r="C24" s="17" t="n">
        <v>0.03</v>
      </c>
      <c r="D24" s="17" t="n">
        <v>0.05</v>
      </c>
      <c r="E24" s="18" t="n">
        <f aca="false">IF(Cover!$C$9="Downside",D24,C24)</f>
        <v>0.03</v>
      </c>
      <c r="F24" s="1" t="s">
        <v>31</v>
      </c>
    </row>
    <row r="25" customFormat="false" ht="15" hidden="false" customHeight="true" outlineLevel="0" collapsed="false">
      <c r="B25" s="1" t="s">
        <v>54</v>
      </c>
      <c r="C25" s="15" t="n">
        <v>0.75</v>
      </c>
      <c r="D25" s="15" t="n">
        <v>0.5</v>
      </c>
      <c r="E25" s="16" t="n">
        <f aca="false">IF(Cover!$C$9="Downside",D25,C25)</f>
        <v>0.75</v>
      </c>
      <c r="F25" s="1" t="s">
        <v>55</v>
      </c>
    </row>
    <row r="26" customFormat="false" ht="15" hidden="false" customHeight="true" outlineLevel="0" collapsed="false">
      <c r="B26" s="1" t="s">
        <v>56</v>
      </c>
      <c r="C26" s="19" t="n">
        <v>7</v>
      </c>
      <c r="D26" s="19" t="n">
        <v>6.5</v>
      </c>
      <c r="E26" s="20" t="n">
        <f aca="false">IF(Cover!$C$9="Downside",D26,C26)</f>
        <v>7</v>
      </c>
      <c r="F26" s="1" t="s">
        <v>40</v>
      </c>
    </row>
    <row r="27" customFormat="false" ht="15" hidden="false" customHeight="true" outlineLevel="0" collapsed="false">
      <c r="B27" s="1" t="s">
        <v>57</v>
      </c>
      <c r="C27" s="19" t="n">
        <v>1.75</v>
      </c>
      <c r="D27" s="19" t="n">
        <v>1.5</v>
      </c>
      <c r="E27" s="20" t="n">
        <f aca="false">IF(Cover!$C$9="Downside",D27,C27)</f>
        <v>1.75</v>
      </c>
      <c r="F27" s="1" t="s">
        <v>40</v>
      </c>
    </row>
    <row r="28" customFormat="false" ht="15" hidden="false" customHeight="true" outlineLevel="0" collapsed="false">
      <c r="B28" s="1" t="s">
        <v>58</v>
      </c>
      <c r="C28" s="19" t="n">
        <v>10</v>
      </c>
      <c r="D28" s="19" t="n">
        <v>8</v>
      </c>
      <c r="E28" s="20" t="n">
        <f aca="false">IF(Cover!$C$9="Downside",D28,C28)</f>
        <v>10</v>
      </c>
      <c r="F28" s="1" t="s">
        <v>40</v>
      </c>
    </row>
    <row r="29" customFormat="false" ht="15" hidden="false" customHeight="true" outlineLevel="0" collapsed="false">
      <c r="B29" s="1" t="s">
        <v>59</v>
      </c>
      <c r="C29" s="22" t="n">
        <v>7</v>
      </c>
      <c r="D29" s="23" t="n">
        <v>5</v>
      </c>
      <c r="E29" s="24" t="n">
        <f aca="false">IF(Cover!$C$9="Downside",D29,C29)</f>
        <v>7</v>
      </c>
      <c r="F29" s="1" t="s">
        <v>60</v>
      </c>
    </row>
    <row r="30" customFormat="false" ht="15" hidden="false" customHeight="true" outlineLevel="0" collapsed="false">
      <c r="B30" s="1" t="s">
        <v>61</v>
      </c>
      <c r="C30" s="15" t="n">
        <v>0.1</v>
      </c>
      <c r="D30" s="15" t="n">
        <v>0.1</v>
      </c>
      <c r="E30" s="16" t="n">
        <f aca="false">IF(Cover!$C$9="Downside",D30,C30)</f>
        <v>0.1</v>
      </c>
      <c r="F30" s="1" t="s">
        <v>62</v>
      </c>
    </row>
    <row r="31" customFormat="false" ht="15" hidden="false" customHeight="true" outlineLevel="0" collapsed="false">
      <c r="B31" s="1" t="s">
        <v>63</v>
      </c>
      <c r="C31" s="15" t="n">
        <v>0.08</v>
      </c>
      <c r="D31" s="15" t="n">
        <v>0.08</v>
      </c>
      <c r="E31" s="16" t="n">
        <f aca="false">IF(Cover!$C$9="Downside",D31,C31)</f>
        <v>0.08</v>
      </c>
      <c r="F31" s="1" t="s">
        <v>31</v>
      </c>
    </row>
    <row r="32" customFormat="false" ht="15" hidden="false" customHeight="true" outlineLevel="0" collapsed="false">
      <c r="B32" s="1" t="s">
        <v>64</v>
      </c>
      <c r="C32" s="15" t="n">
        <v>0.2</v>
      </c>
      <c r="D32" s="15" t="n">
        <v>0.2</v>
      </c>
      <c r="E32" s="16" t="n">
        <f aca="false">IF(Cover!$C$9="Downside",D32,C32)</f>
        <v>0.2</v>
      </c>
      <c r="F32" s="1" t="s">
        <v>65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66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67</v>
      </c>
      <c r="C4" s="10" t="s">
        <v>68</v>
      </c>
      <c r="D4" s="10"/>
      <c r="E4" s="10" t="s">
        <v>69</v>
      </c>
      <c r="F4" s="10" t="s">
        <v>68</v>
      </c>
      <c r="G4" s="10"/>
    </row>
    <row r="5" customFormat="false" ht="15" hidden="false" customHeight="true" outlineLevel="0" collapsed="false">
      <c r="B5" s="1" t="s">
        <v>70</v>
      </c>
      <c r="C5" s="13" t="n">
        <f aca="false">Assumptions!E5*Assumptions!E6*Assumptions!E13</f>
        <v>1620</v>
      </c>
      <c r="E5" s="1" t="s">
        <v>71</v>
      </c>
      <c r="F5" s="12" t="n">
        <v>0</v>
      </c>
    </row>
    <row r="6" customFormat="false" ht="15" hidden="false" customHeight="true" outlineLevel="0" collapsed="false">
      <c r="B6" s="1" t="s">
        <v>72</v>
      </c>
      <c r="C6" s="13" t="n">
        <f aca="false">Assumptions!E15</f>
        <v>100</v>
      </c>
      <c r="E6" s="1" t="s">
        <v>73</v>
      </c>
      <c r="F6" s="13" t="n">
        <f aca="false">Assumptions!E5*Assumptions!E6*Assumptions!E19</f>
        <v>567</v>
      </c>
    </row>
    <row r="7" customFormat="false" ht="15" hidden="false" customHeight="true" outlineLevel="0" collapsed="false">
      <c r="B7" s="1" t="s">
        <v>74</v>
      </c>
      <c r="C7" s="13" t="n">
        <f aca="false">C5*Assumptions!E14</f>
        <v>32.4</v>
      </c>
      <c r="E7" s="1" t="s">
        <v>75</v>
      </c>
      <c r="F7" s="13" t="n">
        <f aca="false">Assumptions!E5*Assumptions!E6*Assumptions!E22</f>
        <v>121.5</v>
      </c>
    </row>
    <row r="8" customFormat="false" ht="15" hidden="false" customHeight="true" outlineLevel="0" collapsed="false">
      <c r="B8" s="1" t="s">
        <v>76</v>
      </c>
      <c r="C8" s="13" t="n">
        <f aca="false">Assumptions!E16</f>
        <v>20</v>
      </c>
      <c r="E8" s="1" t="s">
        <v>77</v>
      </c>
      <c r="F8" s="13" t="n">
        <f aca="false">C9-SUM(F5:F7)</f>
        <v>1083.9</v>
      </c>
    </row>
    <row r="9" customFormat="false" ht="15" hidden="false" customHeight="true" outlineLevel="0" collapsed="false">
      <c r="B9" s="25" t="s">
        <v>78</v>
      </c>
      <c r="C9" s="26" t="n">
        <f aca="false">SUM(C5:C8)</f>
        <v>1772.4</v>
      </c>
      <c r="E9" s="25" t="s">
        <v>79</v>
      </c>
      <c r="F9" s="26" t="n">
        <f aca="false">SUM(F5:F8)</f>
        <v>1772.4</v>
      </c>
    </row>
    <row r="10" customFormat="false" ht="15" hidden="false" customHeight="true" outlineLevel="0" collapsed="false">
      <c r="E10" s="1" t="s">
        <v>80</v>
      </c>
      <c r="F10" s="13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81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0" t="s">
        <v>82</v>
      </c>
      <c r="C4" s="10" t="s">
        <v>83</v>
      </c>
      <c r="D4" s="10" t="s">
        <v>84</v>
      </c>
      <c r="E4" s="10" t="s">
        <v>85</v>
      </c>
      <c r="F4" s="10" t="s">
        <v>86</v>
      </c>
      <c r="G4" s="10" t="s">
        <v>87</v>
      </c>
      <c r="H4" s="10" t="s">
        <v>88</v>
      </c>
      <c r="I4" s="10" t="s">
        <v>89</v>
      </c>
      <c r="J4" s="10" t="s">
        <v>90</v>
      </c>
    </row>
    <row r="5" customFormat="false" ht="15" hidden="false" customHeight="true" outlineLevel="0" collapsed="false">
      <c r="B5" s="1" t="s">
        <v>91</v>
      </c>
      <c r="C5" s="13" t="n">
        <f aca="false">Assumptions!E5</f>
        <v>900</v>
      </c>
      <c r="D5" s="13" t="n">
        <f aca="false">C5*(1+Assumptions!$E$7)</f>
        <v>940.5</v>
      </c>
      <c r="E5" s="13" t="n">
        <f aca="false">D5*(1+Assumptions!$E$7)</f>
        <v>982.8225</v>
      </c>
      <c r="F5" s="13" t="n">
        <f aca="false">E5*(1+Assumptions!$E$7)</f>
        <v>1027.0495125</v>
      </c>
      <c r="G5" s="13" t="n">
        <f aca="false">F5*(1+Assumptions!$E$7)</f>
        <v>1073.2667405625</v>
      </c>
      <c r="H5" s="13" t="n">
        <f aca="false">G5*(1+Assumptions!$E$7)</f>
        <v>1121.56374388781</v>
      </c>
      <c r="I5" s="13" t="n">
        <f aca="false">H5*(1+Assumptions!$E$7)</f>
        <v>1172.03411236276</v>
      </c>
      <c r="J5" s="13" t="n">
        <f aca="false">I5*(1+Assumptions!$E$7)</f>
        <v>1224.77564741909</v>
      </c>
    </row>
    <row r="6" customFormat="false" ht="15" hidden="false" customHeight="true" outlineLevel="0" collapsed="false">
      <c r="B6" s="1" t="s">
        <v>92</v>
      </c>
      <c r="D6" s="16" t="n">
        <f aca="false">IFERROR(D5/C5-1,0)</f>
        <v>0.0449999999999999</v>
      </c>
      <c r="E6" s="16" t="n">
        <f aca="false">IFERROR(E5/D5-1,0)</f>
        <v>0.0449999999999999</v>
      </c>
      <c r="F6" s="16" t="n">
        <f aca="false">IFERROR(F5/E5-1,0)</f>
        <v>0.0449999999999999</v>
      </c>
      <c r="G6" s="16" t="n">
        <f aca="false">IFERROR(G5/F5-1,0)</f>
        <v>0.0449999999999999</v>
      </c>
      <c r="H6" s="16" t="n">
        <f aca="false">IFERROR(H5/G5-1,0)</f>
        <v>0.0449999999999999</v>
      </c>
      <c r="I6" s="16" t="n">
        <f aca="false">IFERROR(I5/H5-1,0)</f>
        <v>0.0449999999999999</v>
      </c>
      <c r="J6" s="16" t="n">
        <f aca="false">IFERROR(J5/I5-1,0)</f>
        <v>0.0449999999999999</v>
      </c>
    </row>
    <row r="7" customFormat="false" ht="15" hidden="false" customHeight="true" outlineLevel="0" collapsed="false">
      <c r="B7" s="1" t="s">
        <v>93</v>
      </c>
      <c r="C7" s="16" t="n">
        <f aca="false">Assumptions!E6</f>
        <v>0.18</v>
      </c>
      <c r="D7" s="16" t="n">
        <f aca="false">MAX(0,MIN(0.6,C7+Assumptions!$E$8))</f>
        <v>0.185</v>
      </c>
      <c r="E7" s="16" t="n">
        <f aca="false">MAX(0,MIN(0.6,D7+Assumptions!$E$8))</f>
        <v>0.19</v>
      </c>
      <c r="F7" s="16" t="n">
        <f aca="false">MAX(0,MIN(0.6,E7+Assumptions!$E$8))</f>
        <v>0.195</v>
      </c>
      <c r="G7" s="16" t="n">
        <f aca="false">MAX(0,MIN(0.6,F7+Assumptions!$E$8))</f>
        <v>0.2</v>
      </c>
      <c r="H7" s="16" t="n">
        <f aca="false">MAX(0,MIN(0.6,G7+Assumptions!$E$8))</f>
        <v>0.205</v>
      </c>
      <c r="I7" s="16" t="n">
        <f aca="false">MAX(0,MIN(0.6,H7+Assumptions!$E$8))</f>
        <v>0.21</v>
      </c>
      <c r="J7" s="16" t="n">
        <f aca="false">MAX(0,MIN(0.6,I7+Assumptions!$E$8))</f>
        <v>0.215</v>
      </c>
    </row>
    <row r="8" customFormat="false" ht="15" hidden="false" customHeight="true" outlineLevel="0" collapsed="false">
      <c r="B8" s="25" t="s">
        <v>94</v>
      </c>
      <c r="C8" s="26" t="n">
        <f aca="false">C5*C7</f>
        <v>162</v>
      </c>
      <c r="D8" s="26" t="n">
        <f aca="false">D5*D7</f>
        <v>173.9925</v>
      </c>
      <c r="E8" s="26" t="n">
        <f aca="false">E5*E7</f>
        <v>186.736275</v>
      </c>
      <c r="F8" s="26" t="n">
        <f aca="false">F5*F7</f>
        <v>200.2746549375</v>
      </c>
      <c r="G8" s="26" t="n">
        <f aca="false">G5*G7</f>
        <v>214.6533481125</v>
      </c>
      <c r="H8" s="26" t="n">
        <f aca="false">H5*H7</f>
        <v>229.920567497002</v>
      </c>
      <c r="I8" s="26" t="n">
        <f aca="false">I5*I7</f>
        <v>246.12716359618</v>
      </c>
      <c r="J8" s="26" t="n">
        <f aca="false">J5*J7</f>
        <v>263.326764195104</v>
      </c>
    </row>
    <row r="9" customFormat="false" ht="15" hidden="false" customHeight="true" outlineLevel="0" collapsed="false">
      <c r="B9" s="1" t="s">
        <v>95</v>
      </c>
      <c r="C9" s="13" t="n">
        <f aca="false">C5*Assumptions!E9</f>
        <v>22.5</v>
      </c>
      <c r="D9" s="13" t="n">
        <f aca="false">D5*Assumptions!$E$9</f>
        <v>23.5125</v>
      </c>
      <c r="E9" s="13" t="n">
        <f aca="false">E5*Assumptions!$E$9</f>
        <v>24.5705625</v>
      </c>
      <c r="F9" s="13" t="n">
        <f aca="false">F5*Assumptions!$E$9</f>
        <v>25.6762378125</v>
      </c>
      <c r="G9" s="13" t="n">
        <f aca="false">G5*Assumptions!$E$9</f>
        <v>26.8316685140625</v>
      </c>
      <c r="H9" s="13" t="n">
        <f aca="false">H5*Assumptions!$E$9</f>
        <v>28.0390935971953</v>
      </c>
      <c r="I9" s="13" t="n">
        <f aca="false">I5*Assumptions!$E$9</f>
        <v>29.3008528090691</v>
      </c>
      <c r="J9" s="13" t="n">
        <f aca="false">J5*Assumptions!$E$9</f>
        <v>30.6193911854772</v>
      </c>
    </row>
    <row r="10" customFormat="false" ht="15" hidden="false" customHeight="true" outlineLevel="0" collapsed="false">
      <c r="B10" s="1" t="s">
        <v>96</v>
      </c>
      <c r="C10" s="13" t="n">
        <f aca="false">C8-C9</f>
        <v>139.5</v>
      </c>
      <c r="D10" s="13" t="n">
        <f aca="false">D8-D9</f>
        <v>150.48</v>
      </c>
      <c r="E10" s="13" t="n">
        <f aca="false">E8-E9</f>
        <v>162.1657125</v>
      </c>
      <c r="F10" s="13" t="n">
        <f aca="false">F8-F9</f>
        <v>174.598417125</v>
      </c>
      <c r="G10" s="13" t="n">
        <f aca="false">G8-G9</f>
        <v>187.821679598437</v>
      </c>
      <c r="H10" s="13" t="n">
        <f aca="false">H8-H9</f>
        <v>201.881473899806</v>
      </c>
      <c r="I10" s="13" t="n">
        <f aca="false">I8-I9</f>
        <v>216.826310787111</v>
      </c>
      <c r="J10" s="13" t="n">
        <f aca="false">J8-J9</f>
        <v>232.707373009627</v>
      </c>
    </row>
    <row r="11" customFormat="false" ht="15" hidden="false" customHeight="true" outlineLevel="0" collapsed="false">
      <c r="B11" s="1" t="s">
        <v>97</v>
      </c>
      <c r="D11" s="13" t="n">
        <f aca="false">'Debt Schedule'!D7</f>
        <v>61.56</v>
      </c>
      <c r="E11" s="13" t="n">
        <f aca="false">'Debt Schedule'!E7</f>
        <v>57.397359375</v>
      </c>
      <c r="F11" s="13" t="n">
        <f aca="false">'Debt Schedule'!F7</f>
        <v>52.0068205678711</v>
      </c>
      <c r="G11" s="13" t="n">
        <f aca="false">'Debt Schedule'!G7</f>
        <v>45.4356380415008</v>
      </c>
      <c r="H11" s="13" t="n">
        <f aca="false">'Debt Schedule'!H7</f>
        <v>37.5555938209532</v>
      </c>
      <c r="I11" s="13" t="n">
        <f aca="false">'Debt Schedule'!I7</f>
        <v>28.2154225430562</v>
      </c>
      <c r="J11" s="13" t="n">
        <f aca="false">'Debt Schedule'!J7</f>
        <v>17.2486087387356</v>
      </c>
    </row>
    <row r="12" customFormat="false" ht="15" hidden="false" customHeight="true" outlineLevel="0" collapsed="false">
      <c r="B12" s="1" t="s">
        <v>98</v>
      </c>
      <c r="D12" s="13" t="n">
        <f aca="false">D10-D11</f>
        <v>88.92</v>
      </c>
      <c r="E12" s="13" t="n">
        <f aca="false">E10-E11</f>
        <v>104.768353125</v>
      </c>
      <c r="F12" s="13" t="n">
        <f aca="false">F10-F11</f>
        <v>122.591596557129</v>
      </c>
      <c r="G12" s="13" t="n">
        <f aca="false">G10-G11</f>
        <v>142.386041556937</v>
      </c>
      <c r="H12" s="13" t="n">
        <f aca="false">H10-H11</f>
        <v>164.325880078853</v>
      </c>
      <c r="I12" s="13" t="n">
        <f aca="false">I10-I11</f>
        <v>188.610888244055</v>
      </c>
      <c r="J12" s="13" t="n">
        <f aca="false">J10-J11</f>
        <v>215.458764270891</v>
      </c>
    </row>
    <row r="13" customFormat="false" ht="15" hidden="false" customHeight="true" outlineLevel="0" collapsed="false">
      <c r="B13" s="1" t="s">
        <v>99</v>
      </c>
      <c r="D13" s="13" t="n">
        <f aca="false">MAX(0,D12*Assumptions!$E$12)</f>
        <v>22.23</v>
      </c>
      <c r="E13" s="13" t="n">
        <f aca="false">MAX(0,E12*Assumptions!$E$12)</f>
        <v>26.19208828125</v>
      </c>
      <c r="F13" s="13" t="n">
        <f aca="false">MAX(0,F12*Assumptions!$E$12)</f>
        <v>30.6478991392822</v>
      </c>
      <c r="G13" s="13" t="n">
        <f aca="false">MAX(0,G12*Assumptions!$E$12)</f>
        <v>35.5965103892342</v>
      </c>
      <c r="H13" s="13" t="n">
        <f aca="false">MAX(0,H12*Assumptions!$E$12)</f>
        <v>41.0814700197133</v>
      </c>
      <c r="I13" s="13" t="n">
        <f aca="false">MAX(0,I12*Assumptions!$E$12)</f>
        <v>47.1527220610138</v>
      </c>
      <c r="J13" s="13" t="n">
        <f aca="false">MAX(0,J12*Assumptions!$E$12)</f>
        <v>53.8646910677228</v>
      </c>
    </row>
    <row r="14" customFormat="false" ht="15" hidden="false" customHeight="true" outlineLevel="0" collapsed="false">
      <c r="B14" s="1" t="s">
        <v>100</v>
      </c>
      <c r="D14" s="13" t="n">
        <f aca="false">D12-D13</f>
        <v>66.69</v>
      </c>
      <c r="E14" s="13" t="n">
        <f aca="false">E12-E13</f>
        <v>78.57626484375</v>
      </c>
      <c r="F14" s="13" t="n">
        <f aca="false">F12-F13</f>
        <v>91.9436974178467</v>
      </c>
      <c r="G14" s="13" t="n">
        <f aca="false">G12-G13</f>
        <v>106.789531167703</v>
      </c>
      <c r="H14" s="13" t="n">
        <f aca="false">H12-H13</f>
        <v>123.24441005914</v>
      </c>
      <c r="I14" s="13" t="n">
        <f aca="false">I12-I13</f>
        <v>141.458166183041</v>
      </c>
      <c r="J14" s="13" t="n">
        <f aca="false">J12-J13</f>
        <v>161.594073203168</v>
      </c>
    </row>
    <row r="15" customFormat="false" ht="15" hidden="false" customHeight="true" outlineLevel="0" collapsed="false">
      <c r="B15" s="1" t="s">
        <v>101</v>
      </c>
      <c r="D15" s="13" t="n">
        <f aca="false">D5*Assumptions!$E$10</f>
        <v>32.9175</v>
      </c>
      <c r="E15" s="13" t="n">
        <f aca="false">E5*Assumptions!$E$10</f>
        <v>34.3987875</v>
      </c>
      <c r="F15" s="13" t="n">
        <f aca="false">F5*Assumptions!$E$10</f>
        <v>35.9467329375</v>
      </c>
      <c r="G15" s="13" t="n">
        <f aca="false">G5*Assumptions!$E$10</f>
        <v>37.5643359196875</v>
      </c>
      <c r="H15" s="13" t="n">
        <f aca="false">H5*Assumptions!$E$10</f>
        <v>39.2547310360734</v>
      </c>
      <c r="I15" s="13" t="n">
        <f aca="false">I5*Assumptions!$E$10</f>
        <v>41.0211939326967</v>
      </c>
      <c r="J15" s="13" t="n">
        <f aca="false">J5*Assumptions!$E$10</f>
        <v>42.8671476596681</v>
      </c>
    </row>
    <row r="16" customFormat="false" ht="15" hidden="false" customHeight="true" outlineLevel="0" collapsed="false">
      <c r="B16" s="1" t="s">
        <v>102</v>
      </c>
      <c r="C16" s="13" t="n">
        <f aca="false">C5*Assumptions!E11</f>
        <v>72</v>
      </c>
      <c r="D16" s="13" t="n">
        <f aca="false">D5*Assumptions!$E$11</f>
        <v>75.24</v>
      </c>
      <c r="E16" s="13" t="n">
        <f aca="false">E5*Assumptions!$E$11</f>
        <v>78.6258</v>
      </c>
      <c r="F16" s="13" t="n">
        <f aca="false">F5*Assumptions!$E$11</f>
        <v>82.163961</v>
      </c>
      <c r="G16" s="13" t="n">
        <f aca="false">G5*Assumptions!$E$11</f>
        <v>85.861339245</v>
      </c>
      <c r="H16" s="13" t="n">
        <f aca="false">H5*Assumptions!$E$11</f>
        <v>89.725099511025</v>
      </c>
      <c r="I16" s="13" t="n">
        <f aca="false">I5*Assumptions!$E$11</f>
        <v>93.7627289890211</v>
      </c>
      <c r="J16" s="13" t="n">
        <f aca="false">J5*Assumptions!$E$11</f>
        <v>97.9820517935271</v>
      </c>
    </row>
    <row r="17" customFormat="false" ht="15" hidden="false" customHeight="true" outlineLevel="0" collapsed="false">
      <c r="B17" s="1" t="s">
        <v>103</v>
      </c>
      <c r="D17" s="13" t="n">
        <f aca="false">D16-C16</f>
        <v>3.24</v>
      </c>
      <c r="E17" s="13" t="n">
        <f aca="false">E16-D16</f>
        <v>3.38579999999999</v>
      </c>
      <c r="F17" s="13" t="n">
        <f aca="false">F16-E16</f>
        <v>3.538161</v>
      </c>
      <c r="G17" s="13" t="n">
        <f aca="false">G16-F16</f>
        <v>3.697378245</v>
      </c>
      <c r="H17" s="13" t="n">
        <f aca="false">H16-G16</f>
        <v>3.863760266025</v>
      </c>
      <c r="I17" s="13" t="n">
        <f aca="false">I16-H16</f>
        <v>4.03762947799613</v>
      </c>
      <c r="J17" s="13" t="n">
        <f aca="false">J16-I16</f>
        <v>4.21932280450594</v>
      </c>
    </row>
    <row r="18" customFormat="false" ht="15" hidden="false" customHeight="true" outlineLevel="0" collapsed="false">
      <c r="B18" s="25" t="s">
        <v>104</v>
      </c>
      <c r="C18" s="26"/>
      <c r="D18" s="26" t="n">
        <f aca="false">D14+D9-D15-D17</f>
        <v>54.045</v>
      </c>
      <c r="E18" s="26" t="n">
        <f aca="false">E14+E9-E15-E17</f>
        <v>65.36223984375</v>
      </c>
      <c r="F18" s="26" t="n">
        <f aca="false">F14+F9-F15-F17</f>
        <v>78.1350412928466</v>
      </c>
      <c r="G18" s="26" t="n">
        <f aca="false">G14+G9-G15-G17</f>
        <v>92.3594855170775</v>
      </c>
      <c r="H18" s="26" t="n">
        <f aca="false">H14+H9-H15-H17</f>
        <v>108.165012354237</v>
      </c>
      <c r="I18" s="26" t="n">
        <f aca="false">I14+I9-I15-I17</f>
        <v>125.700195581418</v>
      </c>
      <c r="J18" s="26" t="n">
        <f aca="false">J14+J9-J15-J17</f>
        <v>145.126993924472</v>
      </c>
    </row>
    <row r="19" customFormat="false" ht="15" hidden="false" customHeight="true" outlineLevel="0" collapsed="false">
      <c r="B19" s="25" t="s">
        <v>105</v>
      </c>
      <c r="C19" s="26"/>
      <c r="D19" s="26" t="n">
        <f aca="false">D8-D13-D15-D17</f>
        <v>115.605</v>
      </c>
      <c r="E19" s="26" t="n">
        <f aca="false">E8-E13-E15-E17</f>
        <v>122.75959921875</v>
      </c>
      <c r="F19" s="26" t="n">
        <f aca="false">F8-F13-F15-F17</f>
        <v>130.141861860718</v>
      </c>
      <c r="G19" s="26" t="n">
        <f aca="false">G8-G13-G15-G17</f>
        <v>137.795123558578</v>
      </c>
      <c r="H19" s="26" t="n">
        <f aca="false">H8-H13-H15-H17</f>
        <v>145.72060617519</v>
      </c>
      <c r="I19" s="26" t="n">
        <f aca="false">I8-I13-I15-I17</f>
        <v>153.915618124474</v>
      </c>
      <c r="J19" s="26" t="n">
        <f aca="false">J8-J13-J15-J17</f>
        <v>162.375602663207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106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0" t="s">
        <v>82</v>
      </c>
      <c r="C4" s="10" t="s">
        <v>107</v>
      </c>
      <c r="D4" s="10" t="s">
        <v>84</v>
      </c>
      <c r="E4" s="10" t="s">
        <v>85</v>
      </c>
      <c r="F4" s="10" t="s">
        <v>86</v>
      </c>
      <c r="G4" s="10" t="s">
        <v>87</v>
      </c>
      <c r="H4" s="10" t="s">
        <v>88</v>
      </c>
      <c r="I4" s="10" t="s">
        <v>89</v>
      </c>
      <c r="J4" s="10" t="s">
        <v>90</v>
      </c>
    </row>
    <row r="5" customFormat="false" ht="15" hidden="false" customHeight="true" outlineLevel="0" collapsed="false">
      <c r="B5" s="1" t="s">
        <v>108</v>
      </c>
      <c r="C5" s="13" t="n">
        <f aca="false">Assumptions!E16</f>
        <v>20</v>
      </c>
      <c r="D5" s="13" t="n">
        <f aca="false">C13</f>
        <v>20</v>
      </c>
      <c r="E5" s="13" t="n">
        <f aca="false">D13</f>
        <v>23.0234375</v>
      </c>
      <c r="F5" s="13" t="n">
        <f aca="false">E13</f>
        <v>23.9197298339844</v>
      </c>
      <c r="G5" s="13" t="n">
        <f aca="false">F13</f>
        <v>24.7740481954269</v>
      </c>
      <c r="H5" s="13" t="n">
        <f aca="false">G13</f>
        <v>25.7164708570315</v>
      </c>
      <c r="I5" s="13" t="n">
        <f aca="false">H13</f>
        <v>26.7632177007043</v>
      </c>
      <c r="J5" s="13" t="n">
        <f aca="false">I13</f>
        <v>27.9245883301326</v>
      </c>
    </row>
    <row r="6" customFormat="false" ht="15" hidden="false" customHeight="true" outlineLevel="0" collapsed="false">
      <c r="B6" s="1" t="s">
        <v>105</v>
      </c>
      <c r="D6" s="13" t="n">
        <f aca="false">'Operating Model'!D19</f>
        <v>115.605</v>
      </c>
      <c r="E6" s="13" t="n">
        <f aca="false">'Operating Model'!E19</f>
        <v>122.75959921875</v>
      </c>
      <c r="F6" s="13" t="n">
        <f aca="false">'Operating Model'!F19</f>
        <v>130.141861860718</v>
      </c>
      <c r="G6" s="13" t="n">
        <f aca="false">'Operating Model'!G19</f>
        <v>137.795123558578</v>
      </c>
      <c r="H6" s="13" t="n">
        <f aca="false">'Operating Model'!H19</f>
        <v>145.72060617519</v>
      </c>
      <c r="I6" s="13" t="n">
        <f aca="false">'Operating Model'!I19</f>
        <v>153.915618124474</v>
      </c>
      <c r="J6" s="13" t="n">
        <f aca="false">'Operating Model'!J19</f>
        <v>162.375602663207</v>
      </c>
    </row>
    <row r="7" customFormat="false" ht="15" hidden="false" customHeight="true" outlineLevel="0" collapsed="false">
      <c r="B7" s="1" t="s">
        <v>97</v>
      </c>
      <c r="D7" s="13" t="n">
        <f aca="false">SUM(D15,D18,D23)</f>
        <v>61.56</v>
      </c>
      <c r="E7" s="13" t="n">
        <f aca="false">SUM(E15,E18,E23)</f>
        <v>57.397359375</v>
      </c>
      <c r="F7" s="13" t="n">
        <f aca="false">SUM(F15,F18,F23)</f>
        <v>52.0068205678711</v>
      </c>
      <c r="G7" s="13" t="n">
        <f aca="false">SUM(G15,G18,G23)</f>
        <v>45.4356380415008</v>
      </c>
      <c r="H7" s="13" t="n">
        <f aca="false">SUM(H15,H18,H23)</f>
        <v>37.5555938209532</v>
      </c>
      <c r="I7" s="13" t="n">
        <f aca="false">SUM(I15,I18,I23)</f>
        <v>28.2154225430562</v>
      </c>
      <c r="J7" s="13" t="n">
        <f aca="false">SUM(J15,J18,J23)</f>
        <v>17.2486087387356</v>
      </c>
    </row>
    <row r="8" customFormat="false" ht="15" hidden="false" customHeight="true" outlineLevel="0" collapsed="false">
      <c r="B8" s="1" t="s">
        <v>109</v>
      </c>
      <c r="D8" s="13" t="n">
        <f aca="false">D19</f>
        <v>5.67</v>
      </c>
      <c r="E8" s="13" t="n">
        <f aca="false">E19</f>
        <v>5.67</v>
      </c>
      <c r="F8" s="13" t="n">
        <f aca="false">F19</f>
        <v>5.67</v>
      </c>
      <c r="G8" s="13" t="n">
        <f aca="false">G19</f>
        <v>5.67</v>
      </c>
      <c r="H8" s="13" t="n">
        <f aca="false">H19</f>
        <v>5.67</v>
      </c>
      <c r="I8" s="13" t="n">
        <f aca="false">I19</f>
        <v>5.67</v>
      </c>
      <c r="J8" s="13" t="n">
        <f aca="false">J19</f>
        <v>5.67</v>
      </c>
    </row>
    <row r="9" customFormat="false" ht="15" hidden="false" customHeight="true" outlineLevel="0" collapsed="false">
      <c r="B9" s="1" t="s">
        <v>110</v>
      </c>
      <c r="D9" s="13" t="n">
        <f aca="false">D5+D6-D7-D8</f>
        <v>68.375</v>
      </c>
      <c r="E9" s="13" t="n">
        <f aca="false">E5+E6-E7-E8</f>
        <v>82.71567734375</v>
      </c>
      <c r="F9" s="13" t="n">
        <f aca="false">F5+F6-F7-F8</f>
        <v>96.384771126831</v>
      </c>
      <c r="G9" s="13" t="n">
        <f aca="false">G5+G6-G7-G8</f>
        <v>111.463533712504</v>
      </c>
      <c r="H9" s="13" t="n">
        <f aca="false">H5+H6-H7-H8</f>
        <v>128.211483211268</v>
      </c>
      <c r="I9" s="13" t="n">
        <f aca="false">I5+I6-I7-I8</f>
        <v>146.793413282122</v>
      </c>
      <c r="J9" s="13" t="n">
        <f aca="false">J5+J6-J7-J8</f>
        <v>167.381582254604</v>
      </c>
    </row>
    <row r="10" customFormat="false" ht="15" hidden="false" customHeight="true" outlineLevel="0" collapsed="false">
      <c r="B10" s="1" t="s">
        <v>111</v>
      </c>
      <c r="D10" s="13" t="n">
        <f aca="false">IF(D9&lt;Assumptions!$E$16,MIN(Assumptions!$E$17-D14,Assumptions!$E$16-D9),-MIN(D14,MAX(0,D9-Assumptions!$E$16)))</f>
        <v>-0</v>
      </c>
      <c r="E10" s="13" t="n">
        <f aca="false">IF(E9&lt;Assumptions!$E$16,MIN(Assumptions!$E$17-E14,Assumptions!$E$16-E9),-MIN(E14,MAX(0,E9-Assumptions!$E$16)))</f>
        <v>-0</v>
      </c>
      <c r="F10" s="13" t="n">
        <f aca="false">IF(F9&lt;Assumptions!$E$16,MIN(Assumptions!$E$17-F14,Assumptions!$E$16-F9),-MIN(F14,MAX(0,F9-Assumptions!$E$16)))</f>
        <v>-0</v>
      </c>
      <c r="G10" s="13" t="n">
        <f aca="false">IF(G9&lt;Assumptions!$E$16,MIN(Assumptions!$E$17-G14,Assumptions!$E$16-G9),-MIN(G14,MAX(0,G9-Assumptions!$E$16)))</f>
        <v>-0</v>
      </c>
      <c r="H10" s="13" t="n">
        <f aca="false">IF(H9&lt;Assumptions!$E$16,MIN(Assumptions!$E$17-H14,Assumptions!$E$16-H9),-MIN(H14,MAX(0,H9-Assumptions!$E$16)))</f>
        <v>-0</v>
      </c>
      <c r="I10" s="13" t="n">
        <f aca="false">IF(I9&lt;Assumptions!$E$16,MIN(Assumptions!$E$17-I14,Assumptions!$E$16-I9),-MIN(I14,MAX(0,I9-Assumptions!$E$16)))</f>
        <v>-0</v>
      </c>
      <c r="J10" s="13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112</v>
      </c>
      <c r="D11" s="13" t="n">
        <f aca="false">MIN(MAX(0,D17-D19),MAX(0,D9+D10-Assumptions!$E$16)*Assumptions!$E$25)</f>
        <v>36.28125</v>
      </c>
      <c r="E11" s="13" t="n">
        <f aca="false">MIN(MAX(0,E17-E19),MAX(0,E9+E10-Assumptions!$E$16)*Assumptions!$E$25)</f>
        <v>47.0367580078125</v>
      </c>
      <c r="F11" s="13" t="n">
        <f aca="false">MIN(MAX(0,F17-F19),MAX(0,F9+F10-Assumptions!$E$16)*Assumptions!$E$25)</f>
        <v>57.2885783451233</v>
      </c>
      <c r="G11" s="13" t="n">
        <f aca="false">MIN(MAX(0,G17-G19),MAX(0,G9+G10-Assumptions!$E$16)*Assumptions!$E$25)</f>
        <v>68.5976502843784</v>
      </c>
      <c r="H11" s="13" t="n">
        <f aca="false">MIN(MAX(0,H17-H19),MAX(0,H9+H10-Assumptions!$E$16)*Assumptions!$E$25)</f>
        <v>81.1586124084512</v>
      </c>
      <c r="I11" s="13" t="n">
        <f aca="false">MIN(MAX(0,I17-I19),MAX(0,I9+I10-Assumptions!$E$16)*Assumptions!$E$25)</f>
        <v>95.0950599615914</v>
      </c>
      <c r="J11" s="13" t="n">
        <f aca="false">MIN(MAX(0,J17-J19),MAX(0,J9+J10-Assumptions!$E$16)*Assumptions!$E$25)</f>
        <v>110.536186690953</v>
      </c>
    </row>
    <row r="12" customFormat="false" ht="15" hidden="false" customHeight="true" outlineLevel="0" collapsed="false">
      <c r="B12" s="1" t="s">
        <v>113</v>
      </c>
      <c r="D12" s="13" t="n">
        <f aca="false">MIN(MAX(0,D22+D24),MAX(0,D9+D10-D11-Assumptions!$E$16)*Assumptions!$E$25)</f>
        <v>9.0703125</v>
      </c>
      <c r="E12" s="13" t="n">
        <f aca="false">MIN(MAX(0,E22+E24),MAX(0,E9+E10-E11-Assumptions!$E$16)*Assumptions!$E$25)</f>
        <v>11.7591895019531</v>
      </c>
      <c r="F12" s="13" t="n">
        <f aca="false">MIN(MAX(0,F22+F24),MAX(0,F9+F10-F11-Assumptions!$E$16)*Assumptions!$E$25)</f>
        <v>14.3221445862808</v>
      </c>
      <c r="G12" s="13" t="n">
        <f aca="false">MIN(MAX(0,G22+G24),MAX(0,G9+G10-G11-Assumptions!$E$16)*Assumptions!$E$25)</f>
        <v>17.1494125710946</v>
      </c>
      <c r="H12" s="13" t="n">
        <f aca="false">MIN(MAX(0,H22+H24),MAX(0,H9+H10-H11-Assumptions!$E$16)*Assumptions!$E$25)</f>
        <v>20.2896531021128</v>
      </c>
      <c r="I12" s="13" t="n">
        <f aca="false">MIN(MAX(0,I22+I24),MAX(0,I9+I10-I11-Assumptions!$E$16)*Assumptions!$E$25)</f>
        <v>23.7737649903978</v>
      </c>
      <c r="J12" s="13" t="n">
        <f aca="false">MIN(MAX(0,J22+J24),MAX(0,J9+J10-J11-Assumptions!$E$16)*Assumptions!$E$25)</f>
        <v>27.6340466727383</v>
      </c>
    </row>
    <row r="13" customFormat="false" ht="15" hidden="false" customHeight="true" outlineLevel="0" collapsed="false">
      <c r="B13" s="25" t="s">
        <v>114</v>
      </c>
      <c r="C13" s="26" t="n">
        <f aca="false">C5</f>
        <v>20</v>
      </c>
      <c r="D13" s="26" t="n">
        <f aca="false">D9+D10-D11-D12</f>
        <v>23.0234375</v>
      </c>
      <c r="E13" s="26" t="n">
        <f aca="false">E9+E10-E11-E12</f>
        <v>23.9197298339844</v>
      </c>
      <c r="F13" s="26" t="n">
        <f aca="false">F9+F10-F11-F12</f>
        <v>24.7740481954269</v>
      </c>
      <c r="G13" s="26" t="n">
        <f aca="false">G9+G10-G11-G12</f>
        <v>25.7164708570315</v>
      </c>
      <c r="H13" s="26" t="n">
        <f aca="false">H9+H10-H11-H12</f>
        <v>26.7632177007043</v>
      </c>
      <c r="I13" s="26" t="n">
        <f aca="false">I9+I10-I11-I12</f>
        <v>27.9245883301326</v>
      </c>
      <c r="J13" s="26" t="n">
        <f aca="false">J9+J10-J11-J12</f>
        <v>29.2113488909128</v>
      </c>
    </row>
    <row r="14" customFormat="false" ht="15" hidden="false" customHeight="true" outlineLevel="0" collapsed="false">
      <c r="B14" s="1" t="s">
        <v>115</v>
      </c>
      <c r="C14" s="13" t="n">
        <f aca="false">'Sources &amp; Uses'!F5</f>
        <v>0</v>
      </c>
      <c r="D14" s="13" t="n">
        <f aca="false">C16</f>
        <v>0</v>
      </c>
      <c r="E14" s="13" t="n">
        <f aca="false">D16</f>
        <v>0</v>
      </c>
      <c r="F14" s="13" t="n">
        <f aca="false">E16</f>
        <v>0</v>
      </c>
      <c r="G14" s="13" t="n">
        <f aca="false">F16</f>
        <v>0</v>
      </c>
      <c r="H14" s="13" t="n">
        <f aca="false">G16</f>
        <v>0</v>
      </c>
      <c r="I14" s="13" t="n">
        <f aca="false">H16</f>
        <v>0</v>
      </c>
      <c r="J14" s="13" t="n">
        <f aca="false">I16</f>
        <v>0</v>
      </c>
    </row>
    <row r="15" customFormat="false" ht="15" hidden="false" customHeight="true" outlineLevel="0" collapsed="false">
      <c r="B15" s="1" t="s">
        <v>116</v>
      </c>
      <c r="D15" s="13" t="n">
        <f aca="false">D14*Assumptions!$E$18</f>
        <v>0</v>
      </c>
      <c r="E15" s="13" t="n">
        <f aca="false">E14*Assumptions!$E$18</f>
        <v>0</v>
      </c>
      <c r="F15" s="13" t="n">
        <f aca="false">F14*Assumptions!$E$18</f>
        <v>0</v>
      </c>
      <c r="G15" s="13" t="n">
        <f aca="false">G14*Assumptions!$E$18</f>
        <v>0</v>
      </c>
      <c r="H15" s="13" t="n">
        <f aca="false">H14*Assumptions!$E$18</f>
        <v>0</v>
      </c>
      <c r="I15" s="13" t="n">
        <f aca="false">I14*Assumptions!$E$18</f>
        <v>0</v>
      </c>
      <c r="J15" s="13" t="n">
        <f aca="false">J14*Assumptions!$E$18</f>
        <v>0</v>
      </c>
    </row>
    <row r="16" customFormat="false" ht="15" hidden="false" customHeight="true" outlineLevel="0" collapsed="false">
      <c r="B16" s="1" t="s">
        <v>117</v>
      </c>
      <c r="C16" s="13" t="n">
        <f aca="false">C14</f>
        <v>0</v>
      </c>
      <c r="D16" s="13" t="n">
        <f aca="false">MAX(0,D14+D10)</f>
        <v>0</v>
      </c>
      <c r="E16" s="13" t="n">
        <f aca="false">MAX(0,E14+E10)</f>
        <v>0</v>
      </c>
      <c r="F16" s="13" t="n">
        <f aca="false">MAX(0,F14+F10)</f>
        <v>0</v>
      </c>
      <c r="G16" s="13" t="n">
        <f aca="false">MAX(0,G14+G10)</f>
        <v>0</v>
      </c>
      <c r="H16" s="13" t="n">
        <f aca="false">MAX(0,H14+H10)</f>
        <v>0</v>
      </c>
      <c r="I16" s="13" t="n">
        <f aca="false">MAX(0,I14+I10)</f>
        <v>0</v>
      </c>
      <c r="J16" s="13" t="n">
        <f aca="false">MAX(0,J14+J10)</f>
        <v>0</v>
      </c>
    </row>
    <row r="17" customFormat="false" ht="15" hidden="false" customHeight="true" outlineLevel="0" collapsed="false">
      <c r="B17" s="1" t="s">
        <v>118</v>
      </c>
      <c r="C17" s="13" t="n">
        <f aca="false">'Sources &amp; Uses'!F6</f>
        <v>567</v>
      </c>
      <c r="D17" s="13" t="n">
        <f aca="false">C21</f>
        <v>567</v>
      </c>
      <c r="E17" s="13" t="n">
        <f aca="false">D21</f>
        <v>525.04875</v>
      </c>
      <c r="F17" s="13" t="n">
        <f aca="false">E21</f>
        <v>472.341991992188</v>
      </c>
      <c r="G17" s="13" t="n">
        <f aca="false">F21</f>
        <v>409.383413647064</v>
      </c>
      <c r="H17" s="13" t="n">
        <f aca="false">G21</f>
        <v>335.115763362686</v>
      </c>
      <c r="I17" s="13" t="n">
        <f aca="false">H21</f>
        <v>248.287150954235</v>
      </c>
      <c r="J17" s="13" t="n">
        <f aca="false">I21</f>
        <v>147.522090992643</v>
      </c>
    </row>
    <row r="18" customFormat="false" ht="15" hidden="false" customHeight="true" outlineLevel="0" collapsed="false">
      <c r="B18" s="1" t="s">
        <v>119</v>
      </c>
      <c r="D18" s="13" t="n">
        <f aca="false">D17*Assumptions!$E$20</f>
        <v>48.195</v>
      </c>
      <c r="E18" s="13" t="n">
        <f aca="false">E17*Assumptions!$E$20</f>
        <v>44.62914375</v>
      </c>
      <c r="F18" s="13" t="n">
        <f aca="false">F17*Assumptions!$E$20</f>
        <v>40.149069319336</v>
      </c>
      <c r="G18" s="13" t="n">
        <f aca="false">G17*Assumptions!$E$20</f>
        <v>34.7975901600005</v>
      </c>
      <c r="H18" s="13" t="n">
        <f aca="false">H17*Assumptions!$E$20</f>
        <v>28.4848398858283</v>
      </c>
      <c r="I18" s="13" t="n">
        <f aca="false">I17*Assumptions!$E$20</f>
        <v>21.10440783111</v>
      </c>
      <c r="J18" s="13" t="n">
        <f aca="false">J17*Assumptions!$E$20</f>
        <v>12.5393777343747</v>
      </c>
    </row>
    <row r="19" customFormat="false" ht="15" hidden="false" customHeight="true" outlineLevel="0" collapsed="false">
      <c r="B19" s="1" t="s">
        <v>120</v>
      </c>
      <c r="D19" s="13" t="n">
        <f aca="false">MIN(D17,'Sources &amp; Uses'!$F$6*Assumptions!$E$21)</f>
        <v>5.67</v>
      </c>
      <c r="E19" s="13" t="n">
        <f aca="false">MIN(E17,'Sources &amp; Uses'!$F$6*Assumptions!$E$21)</f>
        <v>5.67</v>
      </c>
      <c r="F19" s="13" t="n">
        <f aca="false">MIN(F17,'Sources &amp; Uses'!$F$6*Assumptions!$E$21)</f>
        <v>5.67</v>
      </c>
      <c r="G19" s="13" t="n">
        <f aca="false">MIN(G17,'Sources &amp; Uses'!$F$6*Assumptions!$E$21)</f>
        <v>5.67</v>
      </c>
      <c r="H19" s="13" t="n">
        <f aca="false">MIN(H17,'Sources &amp; Uses'!$F$6*Assumptions!$E$21)</f>
        <v>5.67</v>
      </c>
      <c r="I19" s="13" t="n">
        <f aca="false">MIN(I17,'Sources &amp; Uses'!$F$6*Assumptions!$E$21)</f>
        <v>5.67</v>
      </c>
      <c r="J19" s="13" t="n">
        <f aca="false">MIN(J17,'Sources &amp; Uses'!$F$6*Assumptions!$E$21)</f>
        <v>5.67</v>
      </c>
    </row>
    <row r="20" customFormat="false" ht="15" hidden="false" customHeight="true" outlineLevel="0" collapsed="false">
      <c r="B20" s="25" t="s">
        <v>121</v>
      </c>
      <c r="C20" s="26" t="n">
        <f aca="false">'Sources &amp; Uses'!F7</f>
        <v>121.5</v>
      </c>
      <c r="D20" s="26" t="n">
        <f aca="false">D11</f>
        <v>36.28125</v>
      </c>
      <c r="E20" s="26" t="n">
        <f aca="false">E11</f>
        <v>47.0367580078125</v>
      </c>
      <c r="F20" s="26" t="n">
        <f aca="false">F11</f>
        <v>57.2885783451233</v>
      </c>
      <c r="G20" s="26" t="n">
        <f aca="false">G11</f>
        <v>68.5976502843784</v>
      </c>
      <c r="H20" s="26" t="n">
        <f aca="false">H11</f>
        <v>81.1586124084512</v>
      </c>
      <c r="I20" s="26" t="n">
        <f aca="false">I11</f>
        <v>95.0950599615914</v>
      </c>
      <c r="J20" s="26" t="n">
        <f aca="false">J11</f>
        <v>110.536186690953</v>
      </c>
    </row>
    <row r="21" customFormat="false" ht="15" hidden="false" customHeight="true" outlineLevel="0" collapsed="false">
      <c r="B21" s="1" t="s">
        <v>122</v>
      </c>
      <c r="C21" s="13" t="n">
        <f aca="false">C17</f>
        <v>567</v>
      </c>
      <c r="D21" s="13" t="n">
        <f aca="false">MAX(0,D17-D19-D20)</f>
        <v>525.04875</v>
      </c>
      <c r="E21" s="13" t="n">
        <f aca="false">MAX(0,E17-E19-E20)</f>
        <v>472.341991992188</v>
      </c>
      <c r="F21" s="13" t="n">
        <f aca="false">MAX(0,F17-F19-F20)</f>
        <v>409.383413647064</v>
      </c>
      <c r="G21" s="13" t="n">
        <f aca="false">MAX(0,G17-G19-G20)</f>
        <v>335.115763362686</v>
      </c>
      <c r="H21" s="13" t="n">
        <f aca="false">MAX(0,H17-H19-H20)</f>
        <v>248.287150954235</v>
      </c>
      <c r="I21" s="13" t="n">
        <f aca="false">MAX(0,I17-I19-I20)</f>
        <v>147.522090992643</v>
      </c>
      <c r="J21" s="13" t="n">
        <f aca="false">MAX(0,J17-J19-J20)</f>
        <v>31.3159043016903</v>
      </c>
    </row>
    <row r="22" customFormat="false" ht="15" hidden="false" customHeight="true" outlineLevel="0" collapsed="false">
      <c r="B22" s="1" t="s">
        <v>123</v>
      </c>
      <c r="C22" s="13" t="n">
        <f aca="false">'Sources &amp; Uses'!F7</f>
        <v>121.5</v>
      </c>
      <c r="D22" s="13" t="n">
        <f aca="false">C26</f>
        <v>121.5</v>
      </c>
      <c r="E22" s="13" t="n">
        <f aca="false">D26</f>
        <v>116.0746875</v>
      </c>
      <c r="F22" s="13" t="n">
        <f aca="false">E26</f>
        <v>107.797738623047</v>
      </c>
      <c r="G22" s="13" t="n">
        <f aca="false">F26</f>
        <v>96.7095261954575</v>
      </c>
      <c r="H22" s="13" t="n">
        <f aca="false">G26</f>
        <v>82.4613994102266</v>
      </c>
      <c r="I22" s="13" t="n">
        <f aca="false">H26</f>
        <v>64.6455882904206</v>
      </c>
      <c r="J22" s="13" t="n">
        <f aca="false">I26</f>
        <v>42.8111909487354</v>
      </c>
    </row>
    <row r="23" customFormat="false" ht="15" hidden="false" customHeight="true" outlineLevel="0" collapsed="false">
      <c r="B23" s="1" t="s">
        <v>124</v>
      </c>
      <c r="D23" s="13" t="n">
        <f aca="false">D22*Assumptions!$E$23</f>
        <v>13.365</v>
      </c>
      <c r="E23" s="13" t="n">
        <f aca="false">E22*Assumptions!$E$23</f>
        <v>12.768215625</v>
      </c>
      <c r="F23" s="13" t="n">
        <f aca="false">F22*Assumptions!$E$23</f>
        <v>11.8577512485352</v>
      </c>
      <c r="G23" s="13" t="n">
        <f aca="false">G22*Assumptions!$E$23</f>
        <v>10.6380478815003</v>
      </c>
      <c r="H23" s="13" t="n">
        <f aca="false">H22*Assumptions!$E$23</f>
        <v>9.07075393512493</v>
      </c>
      <c r="I23" s="13" t="n">
        <f aca="false">I22*Assumptions!$E$23</f>
        <v>7.11101471194627</v>
      </c>
      <c r="J23" s="13" t="n">
        <f aca="false">J22*Assumptions!$E$23</f>
        <v>4.70923100436089</v>
      </c>
    </row>
    <row r="24" customFormat="false" ht="15" hidden="false" customHeight="true" outlineLevel="0" collapsed="false">
      <c r="B24" s="25" t="s">
        <v>125</v>
      </c>
      <c r="C24" s="26"/>
      <c r="D24" s="26" t="n">
        <f aca="false">D22*Assumptions!$E$24</f>
        <v>3.645</v>
      </c>
      <c r="E24" s="26" t="n">
        <f aca="false">E22*Assumptions!$E$24</f>
        <v>3.482240625</v>
      </c>
      <c r="F24" s="26" t="n">
        <f aca="false">F22*Assumptions!$E$24</f>
        <v>3.23393215869141</v>
      </c>
      <c r="G24" s="26" t="n">
        <f aca="false">G22*Assumptions!$E$24</f>
        <v>2.90128578586372</v>
      </c>
      <c r="H24" s="26" t="n">
        <f aca="false">H22*Assumptions!$E$24</f>
        <v>2.4738419823068</v>
      </c>
      <c r="I24" s="26" t="n">
        <f aca="false">I22*Assumptions!$E$24</f>
        <v>1.93936764871262</v>
      </c>
      <c r="J24" s="26" t="n">
        <f aca="false">J22*Assumptions!$E$24</f>
        <v>1.28433572846206</v>
      </c>
    </row>
    <row r="25" customFormat="false" ht="15" hidden="false" customHeight="true" outlineLevel="0" collapsed="false">
      <c r="B25" s="25" t="s">
        <v>126</v>
      </c>
      <c r="C25" s="26" t="n">
        <f aca="false">SUM(C16,C20,C13)</f>
        <v>141.5</v>
      </c>
      <c r="D25" s="26" t="n">
        <f aca="false">D12</f>
        <v>9.0703125</v>
      </c>
      <c r="E25" s="26" t="n">
        <f aca="false">E12</f>
        <v>11.7591895019531</v>
      </c>
      <c r="F25" s="26" t="n">
        <f aca="false">F12</f>
        <v>14.3221445862808</v>
      </c>
      <c r="G25" s="26" t="n">
        <f aca="false">G12</f>
        <v>17.1494125710946</v>
      </c>
      <c r="H25" s="26" t="n">
        <f aca="false">H12</f>
        <v>20.2896531021128</v>
      </c>
      <c r="I25" s="26" t="n">
        <f aca="false">I12</f>
        <v>23.7737649903978</v>
      </c>
      <c r="J25" s="26" t="n">
        <f aca="false">J12</f>
        <v>27.6340466727383</v>
      </c>
    </row>
    <row r="26" customFormat="false" ht="15" hidden="false" customHeight="true" outlineLevel="0" collapsed="false">
      <c r="B26" s="25" t="s">
        <v>127</v>
      </c>
      <c r="C26" s="26" t="n">
        <f aca="false">C22</f>
        <v>121.5</v>
      </c>
      <c r="D26" s="26" t="n">
        <f aca="false">MAX(0,D22+D24-D25)</f>
        <v>116.0746875</v>
      </c>
      <c r="E26" s="26" t="n">
        <f aca="false">MAX(0,E22+E24-E25)</f>
        <v>107.797738623047</v>
      </c>
      <c r="F26" s="26" t="n">
        <f aca="false">MAX(0,F22+F24-F25)</f>
        <v>96.7095261954575</v>
      </c>
      <c r="G26" s="26" t="n">
        <f aca="false">MAX(0,G22+G24-G25)</f>
        <v>82.4613994102266</v>
      </c>
      <c r="H26" s="26" t="n">
        <f aca="false">MAX(0,H22+H24-H25)</f>
        <v>64.6455882904206</v>
      </c>
      <c r="I26" s="26" t="n">
        <f aca="false">MAX(0,I22+I24-I25)</f>
        <v>42.8111909487354</v>
      </c>
      <c r="J26" s="26" t="n">
        <f aca="false">MAX(0,J22+J24-J25)</f>
        <v>16.4614800044592</v>
      </c>
    </row>
    <row r="27" customFormat="false" ht="15" hidden="false" customHeight="true" outlineLevel="0" collapsed="false">
      <c r="B27" s="1" t="s">
        <v>128</v>
      </c>
      <c r="C27" s="13" t="n">
        <f aca="false">SUM(C16,C21,C26)</f>
        <v>688.5</v>
      </c>
      <c r="D27" s="13" t="n">
        <f aca="false">SUM(D16,D21,D26)</f>
        <v>641.1234375</v>
      </c>
      <c r="E27" s="13" t="n">
        <f aca="false">SUM(E16,E21,E26)</f>
        <v>580.139730615235</v>
      </c>
      <c r="F27" s="13" t="n">
        <f aca="false">SUM(F16,F21,F26)</f>
        <v>506.092939842522</v>
      </c>
      <c r="G27" s="13" t="n">
        <f aca="false">SUM(G16,G21,G26)</f>
        <v>417.577162772913</v>
      </c>
      <c r="H27" s="13" t="n">
        <f aca="false">SUM(H16,H21,H26)</f>
        <v>312.932739244655</v>
      </c>
      <c r="I27" s="13" t="n">
        <f aca="false">SUM(I16,I21,I26)</f>
        <v>190.333281941379</v>
      </c>
      <c r="J27" s="13" t="n">
        <f aca="false">SUM(J16,J21,J26)</f>
        <v>47.7773843061495</v>
      </c>
    </row>
    <row r="28" customFormat="false" ht="15" hidden="false" customHeight="true" outlineLevel="0" collapsed="false">
      <c r="B28" s="1" t="s">
        <v>129</v>
      </c>
      <c r="C28" s="13" t="n">
        <f aca="false">C27-C13</f>
        <v>668.5</v>
      </c>
      <c r="D28" s="13" t="n">
        <f aca="false">D27-D13</f>
        <v>618.1</v>
      </c>
      <c r="E28" s="13" t="n">
        <f aca="false">E27-E13</f>
        <v>556.22000078125</v>
      </c>
      <c r="F28" s="13" t="n">
        <f aca="false">F27-F13</f>
        <v>481.318891647095</v>
      </c>
      <c r="G28" s="13" t="n">
        <f aca="false">G27-G13</f>
        <v>391.860691915881</v>
      </c>
      <c r="H28" s="13" t="n">
        <f aca="false">H27-H13</f>
        <v>286.169521543951</v>
      </c>
      <c r="I28" s="13" t="n">
        <f aca="false">I27-I13</f>
        <v>162.408693611246</v>
      </c>
      <c r="J28" s="13" t="n">
        <f aca="false">J27-J13</f>
        <v>18.5660354152367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130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0" t="s">
        <v>131</v>
      </c>
      <c r="C4" s="10" t="s">
        <v>84</v>
      </c>
      <c r="D4" s="10" t="s">
        <v>85</v>
      </c>
      <c r="E4" s="10" t="s">
        <v>86</v>
      </c>
      <c r="F4" s="10" t="s">
        <v>87</v>
      </c>
      <c r="G4" s="10" t="s">
        <v>88</v>
      </c>
      <c r="H4" s="10" t="s">
        <v>89</v>
      </c>
      <c r="I4" s="10" t="s">
        <v>90</v>
      </c>
    </row>
    <row r="5" customFormat="false" ht="15" hidden="false" customHeight="true" outlineLevel="0" collapsed="false">
      <c r="B5" s="1" t="s">
        <v>132</v>
      </c>
      <c r="C5" s="20" t="n">
        <f aca="false">IFERROR('Debt Schedule'!D25/'Operating Model'!D8,0)</f>
        <v>0.0521304797620587</v>
      </c>
      <c r="D5" s="20" t="n">
        <f aca="false">IFERROR('Debt Schedule'!E25/'Operating Model'!E8,0)</f>
        <v>0.0629721756094424</v>
      </c>
      <c r="E5" s="20" t="n">
        <f aca="false">IFERROR('Debt Schedule'!F25/'Operating Model'!F8,0)</f>
        <v>0.0715125166025144</v>
      </c>
      <c r="F5" s="20" t="n">
        <f aca="false">IFERROR('Debt Schedule'!G25/'Operating Model'!G8,0)</f>
        <v>0.0798935247080636</v>
      </c>
      <c r="G5" s="20" t="n">
        <f aca="false">IFERROR('Debt Schedule'!H25/'Operating Model'!H8,0)</f>
        <v>0.0882463597014973</v>
      </c>
      <c r="H5" s="20" t="n">
        <f aca="false">IFERROR('Debt Schedule'!I25/'Operating Model'!I8,0)</f>
        <v>0.0965913905764718</v>
      </c>
      <c r="I5" s="20" t="n">
        <f aca="false">IFERROR('Debt Schedule'!J25/'Operating Model'!J8,0)</f>
        <v>0.104942035638518</v>
      </c>
    </row>
    <row r="6" customFormat="false" ht="15" hidden="false" customHeight="true" outlineLevel="0" collapsed="false">
      <c r="B6" s="1" t="s">
        <v>133</v>
      </c>
      <c r="C6" s="20" t="n">
        <f aca="false">Assumptions!$E$26</f>
        <v>7</v>
      </c>
      <c r="D6" s="20" t="n">
        <f aca="false">Assumptions!$E$26</f>
        <v>7</v>
      </c>
      <c r="E6" s="20" t="n">
        <f aca="false">Assumptions!$E$26</f>
        <v>7</v>
      </c>
      <c r="F6" s="20" t="n">
        <f aca="false">Assumptions!$E$26</f>
        <v>7</v>
      </c>
      <c r="G6" s="20" t="n">
        <f aca="false">Assumptions!$E$26</f>
        <v>7</v>
      </c>
      <c r="H6" s="20" t="n">
        <f aca="false">Assumptions!$E$26</f>
        <v>7</v>
      </c>
      <c r="I6" s="20" t="n">
        <f aca="false">Assumptions!$E$26</f>
        <v>7</v>
      </c>
    </row>
    <row r="7" customFormat="false" ht="15" hidden="false" customHeight="true" outlineLevel="0" collapsed="false">
      <c r="B7" s="1" t="s">
        <v>134</v>
      </c>
      <c r="C7" s="20" t="n">
        <f aca="false">C6-C5</f>
        <v>6.94786952023794</v>
      </c>
      <c r="D7" s="20" t="n">
        <f aca="false">D6-D5</f>
        <v>6.93702782439056</v>
      </c>
      <c r="E7" s="20" t="n">
        <f aca="false">E6-E5</f>
        <v>6.92848748339749</v>
      </c>
      <c r="F7" s="20" t="n">
        <f aca="false">F6-F5</f>
        <v>6.92010647529194</v>
      </c>
      <c r="G7" s="20" t="n">
        <f aca="false">G6-G5</f>
        <v>6.9117536402985</v>
      </c>
      <c r="H7" s="20" t="n">
        <f aca="false">H6-H5</f>
        <v>6.90340860942353</v>
      </c>
      <c r="I7" s="20" t="n">
        <f aca="false">I6-I5</f>
        <v>6.89505796436148</v>
      </c>
    </row>
    <row r="8" customFormat="false" ht="15" hidden="false" customHeight="true" outlineLevel="0" collapsed="false">
      <c r="B8" s="1" t="s">
        <v>135</v>
      </c>
      <c r="C8" s="20" t="n">
        <f aca="false">IFERROR('Operating Model'!D8/'Debt Schedule'!D7,0)</f>
        <v>2.82638888888889</v>
      </c>
      <c r="D8" s="20" t="n">
        <f aca="false">IFERROR('Operating Model'!E8/'Debt Schedule'!E7,0)</f>
        <v>3.25339487797647</v>
      </c>
      <c r="E8" s="20" t="n">
        <f aca="false">IFERROR('Operating Model'!F8/'Debt Schedule'!F7,0)</f>
        <v>3.8509305654656</v>
      </c>
      <c r="F8" s="20" t="n">
        <f aca="false">IFERROR('Operating Model'!G8/'Debt Schedule'!G7,0)</f>
        <v>4.72433880902995</v>
      </c>
      <c r="G8" s="20" t="n">
        <f aca="false">IFERROR('Operating Model'!H8/'Debt Schedule'!H7,0)</f>
        <v>6.12213905052735</v>
      </c>
      <c r="H8" s="20" t="n">
        <f aca="false">IFERROR('Operating Model'!I8/'Debt Schedule'!I7,0)</f>
        <v>8.72314292726238</v>
      </c>
      <c r="I8" s="20" t="n">
        <f aca="false">IFERROR('Operating Model'!J8/'Debt Schedule'!J7,0)</f>
        <v>15.2665509539761</v>
      </c>
    </row>
    <row r="9" customFormat="false" ht="15" hidden="false" customHeight="true" outlineLevel="0" collapsed="false">
      <c r="B9" s="1" t="s">
        <v>136</v>
      </c>
      <c r="C9" s="20" t="n">
        <f aca="false">Assumptions!$E$27</f>
        <v>1.75</v>
      </c>
      <c r="D9" s="20" t="n">
        <f aca="false">Assumptions!$E$27</f>
        <v>1.75</v>
      </c>
      <c r="E9" s="20" t="n">
        <f aca="false">Assumptions!$E$27</f>
        <v>1.75</v>
      </c>
      <c r="F9" s="20" t="n">
        <f aca="false">Assumptions!$E$27</f>
        <v>1.75</v>
      </c>
      <c r="G9" s="20" t="n">
        <f aca="false">Assumptions!$E$27</f>
        <v>1.75</v>
      </c>
      <c r="H9" s="20" t="n">
        <f aca="false">Assumptions!$E$27</f>
        <v>1.75</v>
      </c>
      <c r="I9" s="20" t="n">
        <f aca="false">Assumptions!$E$27</f>
        <v>1.75</v>
      </c>
    </row>
    <row r="10" customFormat="false" ht="15" hidden="false" customHeight="true" outlineLevel="0" collapsed="false">
      <c r="B10" s="1" t="s">
        <v>137</v>
      </c>
      <c r="C10" s="20" t="n">
        <f aca="false">C8-C9</f>
        <v>1.07638888888889</v>
      </c>
      <c r="D10" s="20" t="n">
        <f aca="false">D8-D9</f>
        <v>1.50339487797647</v>
      </c>
      <c r="E10" s="20" t="n">
        <f aca="false">E8-E9</f>
        <v>2.1009305654656</v>
      </c>
      <c r="F10" s="20" t="n">
        <f aca="false">F8-F9</f>
        <v>2.97433880902995</v>
      </c>
      <c r="G10" s="20" t="n">
        <f aca="false">G8-G9</f>
        <v>4.37213905052735</v>
      </c>
      <c r="H10" s="20" t="n">
        <f aca="false">H8-H9</f>
        <v>6.97314292726238</v>
      </c>
      <c r="I10" s="20" t="n">
        <f aca="false">I8-I9</f>
        <v>13.5165509539761</v>
      </c>
    </row>
    <row r="11" customFormat="false" ht="15" hidden="false" customHeight="true" outlineLevel="0" collapsed="false">
      <c r="B11" s="1" t="s">
        <v>43</v>
      </c>
      <c r="C11" s="13" t="n">
        <f aca="false">Assumptions!$E$16</f>
        <v>20</v>
      </c>
      <c r="D11" s="13" t="n">
        <f aca="false">Assumptions!$E$16</f>
        <v>20</v>
      </c>
      <c r="E11" s="13" t="n">
        <f aca="false">Assumptions!$E$16</f>
        <v>20</v>
      </c>
      <c r="F11" s="13" t="n">
        <f aca="false">Assumptions!$E$16</f>
        <v>20</v>
      </c>
      <c r="G11" s="13" t="n">
        <f aca="false">Assumptions!$E$16</f>
        <v>20</v>
      </c>
      <c r="H11" s="13" t="n">
        <f aca="false">Assumptions!$E$16</f>
        <v>20</v>
      </c>
      <c r="I11" s="13" t="n">
        <f aca="false">Assumptions!$E$16</f>
        <v>20</v>
      </c>
    </row>
    <row r="12" customFormat="false" ht="15" hidden="false" customHeight="true" outlineLevel="0" collapsed="false">
      <c r="B12" s="1" t="s">
        <v>138</v>
      </c>
      <c r="C12" s="13" t="n">
        <f aca="false">'Debt Schedule'!D13-C11</f>
        <v>3.0234375</v>
      </c>
      <c r="D12" s="13" t="n">
        <f aca="false">'Debt Schedule'!E13-D11</f>
        <v>3.91972983398437</v>
      </c>
      <c r="E12" s="13" t="n">
        <f aca="false">'Debt Schedule'!F13-E11</f>
        <v>4.77404819542694</v>
      </c>
      <c r="F12" s="13" t="n">
        <f aca="false">'Debt Schedule'!G13-F11</f>
        <v>5.71647085703153</v>
      </c>
      <c r="G12" s="13" t="n">
        <f aca="false">'Debt Schedule'!H13-G11</f>
        <v>6.76321770070426</v>
      </c>
      <c r="H12" s="13" t="n">
        <f aca="false">'Debt Schedule'!I13-H11</f>
        <v>7.92458833013261</v>
      </c>
      <c r="I12" s="13" t="n">
        <f aca="false">'Debt Schedule'!J13-I11</f>
        <v>9.21134889091276</v>
      </c>
    </row>
    <row r="13" customFormat="false" ht="15" hidden="false" customHeight="true" outlineLevel="0" collapsed="false">
      <c r="B13" s="1" t="s">
        <v>139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140</v>
      </c>
      <c r="C2" s="2"/>
      <c r="D2" s="2"/>
      <c r="E2" s="2"/>
    </row>
    <row r="4" customFormat="false" ht="15" hidden="false" customHeight="true" outlineLevel="0" collapsed="false">
      <c r="B4" s="10" t="s">
        <v>131</v>
      </c>
      <c r="C4" s="10" t="s">
        <v>141</v>
      </c>
      <c r="D4" s="10" t="s">
        <v>142</v>
      </c>
      <c r="E4" s="10" t="s">
        <v>143</v>
      </c>
    </row>
    <row r="5" customFormat="false" ht="15" hidden="false" customHeight="true" outlineLevel="0" collapsed="false">
      <c r="B5" s="1" t="s">
        <v>144</v>
      </c>
      <c r="C5" s="16" t="n">
        <f aca="false">Assumptions!E30</f>
        <v>0.1</v>
      </c>
      <c r="D5" s="1" t="s">
        <v>31</v>
      </c>
      <c r="E5" s="1" t="s">
        <v>145</v>
      </c>
    </row>
    <row r="6" customFormat="false" ht="15" hidden="false" customHeight="true" outlineLevel="0" collapsed="false">
      <c r="B6" s="1" t="s">
        <v>146</v>
      </c>
      <c r="C6" s="16" t="n">
        <f aca="false">1-C5</f>
        <v>0.9</v>
      </c>
      <c r="D6" s="1" t="s">
        <v>31</v>
      </c>
      <c r="E6" s="1" t="s">
        <v>147</v>
      </c>
    </row>
    <row r="7" customFormat="false" ht="15" hidden="false" customHeight="true" outlineLevel="0" collapsed="false">
      <c r="B7" s="1" t="s">
        <v>148</v>
      </c>
      <c r="C7" s="13" t="n">
        <f aca="false">'Sources &amp; Uses'!F8</f>
        <v>1083.9</v>
      </c>
      <c r="D7" s="1" t="s">
        <v>29</v>
      </c>
      <c r="E7" s="1" t="s">
        <v>149</v>
      </c>
    </row>
    <row r="8" customFormat="false" ht="15" hidden="false" customHeight="true" outlineLevel="0" collapsed="false">
      <c r="B8" s="1" t="s">
        <v>150</v>
      </c>
      <c r="C8" s="13" t="n">
        <f aca="false">C7*(1+Assumptions!E31)^Assumptions!E29</f>
        <v>1857.61412493012</v>
      </c>
      <c r="D8" s="1" t="s">
        <v>29</v>
      </c>
      <c r="E8" s="1" t="s">
        <v>151</v>
      </c>
    </row>
    <row r="9" customFormat="false" ht="15" hidden="false" customHeight="true" outlineLevel="0" collapsed="false">
      <c r="B9" s="1" t="s">
        <v>152</v>
      </c>
      <c r="C9" s="16" t="n">
        <f aca="false">Assumptions!E32</f>
        <v>0.2</v>
      </c>
      <c r="D9" s="1" t="s">
        <v>65</v>
      </c>
      <c r="E9" s="1" t="s">
        <v>153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154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0" t="s">
        <v>131</v>
      </c>
      <c r="C4" s="10" t="s">
        <v>84</v>
      </c>
      <c r="D4" s="10" t="s">
        <v>85</v>
      </c>
      <c r="E4" s="10" t="s">
        <v>86</v>
      </c>
      <c r="F4" s="10" t="s">
        <v>87</v>
      </c>
      <c r="G4" s="10" t="s">
        <v>88</v>
      </c>
      <c r="H4" s="10" t="s">
        <v>89</v>
      </c>
      <c r="I4" s="10" t="s">
        <v>90</v>
      </c>
      <c r="J4" s="10" t="s">
        <v>155</v>
      </c>
    </row>
    <row r="5" customFormat="false" ht="15" hidden="false" customHeight="true" outlineLevel="0" collapsed="false">
      <c r="B5" s="1" t="s">
        <v>156</v>
      </c>
      <c r="C5" s="13" t="n">
        <f aca="false">'Operating Model'!D8</f>
        <v>173.9925</v>
      </c>
      <c r="D5" s="13" t="n">
        <f aca="false">'Operating Model'!E8</f>
        <v>186.736275</v>
      </c>
      <c r="E5" s="13" t="n">
        <f aca="false">'Operating Model'!F8</f>
        <v>200.2746549375</v>
      </c>
      <c r="F5" s="13" t="n">
        <f aca="false">'Operating Model'!G8</f>
        <v>214.6533481125</v>
      </c>
      <c r="G5" s="13" t="n">
        <f aca="false">'Operating Model'!H8</f>
        <v>229.920567497002</v>
      </c>
      <c r="H5" s="13" t="n">
        <f aca="false">'Operating Model'!I8</f>
        <v>246.12716359618</v>
      </c>
      <c r="I5" s="13" t="n">
        <f aca="false">'Operating Model'!J8</f>
        <v>263.326764195104</v>
      </c>
      <c r="J5" s="13" t="n">
        <f aca="false">INDEX(C5:I5,1,Assumptions!E29)</f>
        <v>263.326764195104</v>
      </c>
    </row>
    <row r="6" customFormat="false" ht="15" hidden="false" customHeight="true" outlineLevel="0" collapsed="false">
      <c r="B6" s="1" t="s">
        <v>157</v>
      </c>
      <c r="C6" s="20" t="n">
        <f aca="false">Assumptions!$E$28</f>
        <v>10</v>
      </c>
      <c r="D6" s="20" t="n">
        <f aca="false">Assumptions!$E$28</f>
        <v>10</v>
      </c>
      <c r="E6" s="20" t="n">
        <f aca="false">Assumptions!$E$28</f>
        <v>10</v>
      </c>
      <c r="F6" s="20" t="n">
        <f aca="false">Assumptions!$E$28</f>
        <v>10</v>
      </c>
      <c r="G6" s="20" t="n">
        <f aca="false">Assumptions!$E$28</f>
        <v>10</v>
      </c>
      <c r="H6" s="20" t="n">
        <f aca="false">Assumptions!$E$28</f>
        <v>10</v>
      </c>
      <c r="I6" s="20" t="n">
        <f aca="false">Assumptions!$E$28</f>
        <v>10</v>
      </c>
      <c r="J6" s="20" t="n">
        <f aca="false">INDEX(C6:I6,1,Assumptions!E29)</f>
        <v>10</v>
      </c>
    </row>
    <row r="7" customFormat="false" ht="15" hidden="false" customHeight="true" outlineLevel="0" collapsed="false">
      <c r="B7" s="1" t="s">
        <v>158</v>
      </c>
      <c r="C7" s="13" t="n">
        <f aca="false">C5*C6</f>
        <v>1739.925</v>
      </c>
      <c r="D7" s="13" t="n">
        <f aca="false">D5*D6</f>
        <v>1867.36275</v>
      </c>
      <c r="E7" s="13" t="n">
        <f aca="false">E5*E6</f>
        <v>2002.746549375</v>
      </c>
      <c r="F7" s="13" t="n">
        <f aca="false">F5*F6</f>
        <v>2146.533481125</v>
      </c>
      <c r="G7" s="13" t="n">
        <f aca="false">G5*G6</f>
        <v>2299.20567497002</v>
      </c>
      <c r="H7" s="13" t="n">
        <f aca="false">H5*H6</f>
        <v>2461.2716359618</v>
      </c>
      <c r="I7" s="13" t="n">
        <f aca="false">I5*I6</f>
        <v>2633.26764195104</v>
      </c>
      <c r="J7" s="13" t="n">
        <f aca="false">INDEX(C7:I7,1,Assumptions!E29)</f>
        <v>2633.26764195104</v>
      </c>
    </row>
    <row r="8" customFormat="false" ht="15" hidden="false" customHeight="true" outlineLevel="0" collapsed="false">
      <c r="B8" s="1" t="s">
        <v>129</v>
      </c>
      <c r="C8" s="13" t="n">
        <f aca="false">'Debt Schedule'!D28</f>
        <v>618.1</v>
      </c>
      <c r="D8" s="13" t="n">
        <f aca="false">'Debt Schedule'!E28</f>
        <v>556.22000078125</v>
      </c>
      <c r="E8" s="13" t="n">
        <f aca="false">'Debt Schedule'!F28</f>
        <v>481.318891647095</v>
      </c>
      <c r="F8" s="13" t="n">
        <f aca="false">'Debt Schedule'!G28</f>
        <v>391.860691915881</v>
      </c>
      <c r="G8" s="13" t="n">
        <f aca="false">'Debt Schedule'!H28</f>
        <v>286.169521543951</v>
      </c>
      <c r="H8" s="13" t="n">
        <f aca="false">'Debt Schedule'!I28</f>
        <v>162.408693611246</v>
      </c>
      <c r="I8" s="13" t="n">
        <f aca="false">'Debt Schedule'!J28</f>
        <v>18.5660354152367</v>
      </c>
      <c r="J8" s="13" t="n">
        <f aca="false">INDEX(C8:I8,1,Assumptions!E29)</f>
        <v>18.5660354152367</v>
      </c>
    </row>
    <row r="9" customFormat="false" ht="15" hidden="false" customHeight="true" outlineLevel="0" collapsed="false">
      <c r="B9" s="1" t="s">
        <v>159</v>
      </c>
      <c r="C9" s="13" t="n">
        <f aca="false">MAX(0,C7-C8)</f>
        <v>1121.825</v>
      </c>
      <c r="D9" s="13" t="n">
        <f aca="false">MAX(0,D7-D8)</f>
        <v>1311.14274921875</v>
      </c>
      <c r="E9" s="13" t="n">
        <f aca="false">MAX(0,E7-E8)</f>
        <v>1521.4276577279</v>
      </c>
      <c r="F9" s="13" t="n">
        <f aca="false">MAX(0,F7-F8)</f>
        <v>1754.67278920912</v>
      </c>
      <c r="G9" s="13" t="n">
        <f aca="false">MAX(0,G7-G8)</f>
        <v>2013.03615342606</v>
      </c>
      <c r="H9" s="13" t="n">
        <f aca="false">MAX(0,H7-H8)</f>
        <v>2298.86294235056</v>
      </c>
      <c r="I9" s="13" t="n">
        <f aca="false">MAX(0,I7-I8)</f>
        <v>2614.7016065358</v>
      </c>
      <c r="J9" s="13" t="n">
        <f aca="false">INDEX(C9:I9,1,Assumptions!E29)</f>
        <v>2614.7016065358</v>
      </c>
    </row>
    <row r="10" customFormat="false" ht="15" hidden="false" customHeight="true" outlineLevel="0" collapsed="false">
      <c r="B10" s="1" t="s">
        <v>63</v>
      </c>
      <c r="C10" s="13" t="n">
        <f aca="false">'Management Equity'!$C$7*(1+Assumptions!$E$31)^1</f>
        <v>1170.612</v>
      </c>
      <c r="D10" s="13" t="n">
        <f aca="false">'Management Equity'!$C$7*(1+Assumptions!$E$31)^2</f>
        <v>1264.26096</v>
      </c>
      <c r="E10" s="13" t="n">
        <f aca="false">'Management Equity'!$C$7*(1+Assumptions!$E$31)^3</f>
        <v>1365.4018368</v>
      </c>
      <c r="F10" s="13" t="n">
        <f aca="false">'Management Equity'!$C$7*(1+Assumptions!$E$31)^4</f>
        <v>1474.633983744</v>
      </c>
      <c r="G10" s="13" t="n">
        <f aca="false">'Management Equity'!$C$7*(1+Assumptions!$E$31)^5</f>
        <v>1592.60470244352</v>
      </c>
      <c r="H10" s="13" t="n">
        <f aca="false">'Management Equity'!$C$7*(1+Assumptions!$E$31)^6</f>
        <v>1720.013078639</v>
      </c>
      <c r="I10" s="13" t="n">
        <f aca="false">'Management Equity'!$C$7*(1+Assumptions!$E$31)^7</f>
        <v>1857.61412493012</v>
      </c>
      <c r="J10" s="13" t="n">
        <f aca="false">INDEX(C10:I10,1,Assumptions!E29)</f>
        <v>1857.61412493012</v>
      </c>
    </row>
    <row r="11" customFormat="false" ht="15" hidden="false" customHeight="true" outlineLevel="0" collapsed="false">
      <c r="B11" s="1" t="s">
        <v>160</v>
      </c>
      <c r="C11" s="13" t="n">
        <f aca="false">MAX(0,C9-C10)</f>
        <v>0</v>
      </c>
      <c r="D11" s="13" t="n">
        <f aca="false">MAX(0,D9-D10)</f>
        <v>46.8817892187492</v>
      </c>
      <c r="E11" s="13" t="n">
        <f aca="false">MAX(0,E9-E10)</f>
        <v>156.025820927905</v>
      </c>
      <c r="F11" s="13" t="n">
        <f aca="false">MAX(0,F9-F10)</f>
        <v>280.038805465118</v>
      </c>
      <c r="G11" s="13" t="n">
        <f aca="false">MAX(0,G9-G10)</f>
        <v>420.431450982544</v>
      </c>
      <c r="H11" s="13" t="n">
        <f aca="false">MAX(0,H9-H10)</f>
        <v>578.849863711556</v>
      </c>
      <c r="I11" s="13" t="n">
        <f aca="false">MAX(0,I9-I10)</f>
        <v>757.08748160568</v>
      </c>
      <c r="J11" s="13" t="n">
        <f aca="false">INDEX(C11:I11,1,Assumptions!E29)</f>
        <v>757.08748160568</v>
      </c>
    </row>
    <row r="12" customFormat="false" ht="15" hidden="false" customHeight="true" outlineLevel="0" collapsed="false">
      <c r="B12" s="1" t="s">
        <v>161</v>
      </c>
      <c r="C12" s="13" t="n">
        <f aca="false">MIN(C9,C9*Assumptions!$E$30+C11*Assumptions!$E$32)</f>
        <v>112.1825</v>
      </c>
      <c r="D12" s="13" t="n">
        <f aca="false">MIN(D9,D9*Assumptions!$E$30+D11*Assumptions!$E$32)</f>
        <v>140.490632765625</v>
      </c>
      <c r="E12" s="13" t="n">
        <f aca="false">MIN(E9,E9*Assumptions!$E$30+E11*Assumptions!$E$32)</f>
        <v>183.347929958371</v>
      </c>
      <c r="F12" s="13" t="n">
        <f aca="false">MIN(F9,F9*Assumptions!$E$30+F11*Assumptions!$E$32)</f>
        <v>231.475040013935</v>
      </c>
      <c r="G12" s="13" t="n">
        <f aca="false">MIN(G9,G9*Assumptions!$E$30+G11*Assumptions!$E$32)</f>
        <v>285.389905539115</v>
      </c>
      <c r="H12" s="13" t="n">
        <f aca="false">MIN(H9,H9*Assumptions!$E$30+H11*Assumptions!$E$32)</f>
        <v>345.656266977367</v>
      </c>
      <c r="I12" s="13" t="n">
        <f aca="false">MIN(I9,I9*Assumptions!$E$30+I11*Assumptions!$E$32)</f>
        <v>412.887656974716</v>
      </c>
      <c r="J12" s="13" t="n">
        <f aca="false">INDEX(C12:I12,1,Assumptions!E29)</f>
        <v>412.887656974716</v>
      </c>
    </row>
    <row r="13" customFormat="false" ht="15" hidden="false" customHeight="true" outlineLevel="0" collapsed="false">
      <c r="B13" s="1" t="s">
        <v>162</v>
      </c>
      <c r="C13" s="13" t="n">
        <f aca="false">MAX(0,C9-C12)</f>
        <v>1009.6425</v>
      </c>
      <c r="D13" s="13" t="n">
        <f aca="false">MAX(0,D9-D12)</f>
        <v>1170.65211645312</v>
      </c>
      <c r="E13" s="13" t="n">
        <f aca="false">MAX(0,E9-E12)</f>
        <v>1338.07972776953</v>
      </c>
      <c r="F13" s="13" t="n">
        <f aca="false">MAX(0,F9-F12)</f>
        <v>1523.19774919518</v>
      </c>
      <c r="G13" s="13" t="n">
        <f aca="false">MAX(0,G9-G12)</f>
        <v>1727.64624788695</v>
      </c>
      <c r="H13" s="13" t="n">
        <f aca="false">MAX(0,H9-H12)</f>
        <v>1953.20667537319</v>
      </c>
      <c r="I13" s="13" t="n">
        <f aca="false">MAX(0,I9-I12)</f>
        <v>2201.81394956109</v>
      </c>
      <c r="J13" s="13" t="n">
        <f aca="false">INDEX(C13:I13,1,Assumptions!E29)</f>
        <v>2201.81394956109</v>
      </c>
    </row>
    <row r="14" customFormat="false" ht="15" hidden="false" customHeight="true" outlineLevel="0" collapsed="false">
      <c r="B14" s="1" t="s">
        <v>163</v>
      </c>
      <c r="C14" s="20" t="n">
        <f aca="false">IFERROR(C13/'Sources &amp; Uses'!$F$8,0)</f>
        <v>0.93149045114863</v>
      </c>
      <c r="D14" s="20" t="n">
        <f aca="false">IFERROR(D13/'Sources &amp; Uses'!$F$8,0)</f>
        <v>1.0800370112124</v>
      </c>
      <c r="E14" s="20" t="n">
        <f aca="false">IFERROR(E13/'Sources &amp; Uses'!$F$8,0)</f>
        <v>1.23450477698084</v>
      </c>
      <c r="F14" s="20" t="n">
        <f aca="false">IFERROR(F13/'Sources &amp; Uses'!$F$8,0)</f>
        <v>1.40529361490468</v>
      </c>
      <c r="G14" s="20" t="n">
        <f aca="false">IFERROR(G13/'Sources &amp; Uses'!$F$8,0)</f>
        <v>1.59391664165232</v>
      </c>
      <c r="H14" s="20" t="n">
        <f aca="false">IFERROR(H13/'Sources &amp; Uses'!$F$8,0)</f>
        <v>1.80201741431238</v>
      </c>
      <c r="I14" s="20" t="n">
        <f aca="false">IFERROR(I13/'Sources &amp; Uses'!$F$8,0)</f>
        <v>2.03138107718524</v>
      </c>
      <c r="J14" s="20" t="n">
        <f aca="false">INDEX(C14:I14,1,Assumptions!E29)</f>
        <v>2.03138107718524</v>
      </c>
    </row>
    <row r="15" customFormat="false" ht="15" hidden="false" customHeight="true" outlineLevel="0" collapsed="false">
      <c r="B15" s="1" t="s">
        <v>164</v>
      </c>
      <c r="C15" s="18" t="n">
        <f aca="false">IFERROR((C13/'Sources &amp; Uses'!$F$8)^(1/1)-1,0)</f>
        <v>-0.0685095488513703</v>
      </c>
      <c r="D15" s="18" t="n">
        <f aca="false">IFERROR((D13/'Sources &amp; Uses'!$F$8)^(1/2)-1,0)</f>
        <v>0.0392482914166392</v>
      </c>
      <c r="E15" s="18" t="n">
        <f aca="false">IFERROR((E13/'Sources &amp; Uses'!$F$8)^(1/3)-1,0)</f>
        <v>0.07274769884445</v>
      </c>
      <c r="F15" s="18" t="n">
        <f aca="false">IFERROR((F13/'Sources &amp; Uses'!$F$8)^(1/4)-1,0)</f>
        <v>0.0887840955006745</v>
      </c>
      <c r="G15" s="18" t="n">
        <f aca="false">IFERROR((G13/'Sources &amp; Uses'!$F$8)^(1/5)-1,0)</f>
        <v>0.0977239027592107</v>
      </c>
      <c r="H15" s="18" t="n">
        <f aca="false">IFERROR((H13/'Sources &amp; Uses'!$F$8)^(1/6)-1,0)</f>
        <v>0.103129496380244</v>
      </c>
      <c r="I15" s="18" t="n">
        <f aca="false">IFERROR((I13/'Sources &amp; Uses'!$F$8)^(1/7)-1,0)</f>
        <v>0.106547854276197</v>
      </c>
      <c r="J15" s="18" t="n">
        <f aca="false">INDEX(C15:I15,1,Assumptions!E29)</f>
        <v>0.106547854276197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165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166</v>
      </c>
      <c r="C4" s="27" t="n">
        <v>7</v>
      </c>
      <c r="D4" s="27" t="n">
        <v>8</v>
      </c>
      <c r="E4" s="27" t="n">
        <v>9</v>
      </c>
      <c r="F4" s="27" t="n">
        <v>10</v>
      </c>
      <c r="G4" s="27" t="n">
        <v>11</v>
      </c>
    </row>
    <row r="5" customFormat="false" ht="15" hidden="false" customHeight="true" outlineLevel="0" collapsed="false">
      <c r="B5" s="20" t="n">
        <v>8</v>
      </c>
      <c r="C5" s="16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0.0759620362720157</v>
      </c>
      <c r="D5" s="16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0.113835763725601</v>
      </c>
      <c r="E5" s="16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0.147164780213708</v>
      </c>
      <c r="F5" s="16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0.177017888195313</v>
      </c>
      <c r="G5" s="16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0.204117616094705</v>
      </c>
    </row>
    <row r="6" customFormat="false" ht="15" hidden="false" customHeight="true" outlineLevel="0" collapsed="false">
      <c r="B6" s="20" t="n">
        <v>9</v>
      </c>
      <c r="C6" s="16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0.0351695155188243</v>
      </c>
      <c r="D6" s="16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0.0716073514064728</v>
      </c>
      <c r="E6" s="16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0.10367277814797</v>
      </c>
      <c r="F6" s="16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0.132394077119746</v>
      </c>
      <c r="G6" s="16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0.158466383813301</v>
      </c>
    </row>
    <row r="7" customFormat="false" ht="15" hidden="false" customHeight="true" outlineLevel="0" collapsed="false">
      <c r="B7" s="20" t="n">
        <v>10</v>
      </c>
      <c r="C7" s="16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0.00219075882595887</v>
      </c>
      <c r="D7" s="16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0.0374677466533251</v>
      </c>
      <c r="E7" s="16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0.0685116229232259</v>
      </c>
      <c r="F7" s="16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0.0963179096999034</v>
      </c>
      <c r="G7" s="16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0.121559596629277</v>
      </c>
    </row>
    <row r="8" customFormat="false" ht="15" hidden="false" customHeight="true" outlineLevel="0" collapsed="false">
      <c r="B8" s="20" t="n">
        <v>11</v>
      </c>
      <c r="C8" s="16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-0.0253434630919046</v>
      </c>
      <c r="D8" s="16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0.00896432360994903</v>
      </c>
      <c r="E8" s="16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0.0391552994006961</v>
      </c>
      <c r="F8" s="16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0.0661976353385956</v>
      </c>
      <c r="G8" s="16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0.0907458313298675</v>
      </c>
    </row>
    <row r="9" customFormat="false" ht="15" hidden="false" customHeight="true" outlineLevel="0" collapsed="false">
      <c r="B9" s="20" t="n">
        <v>12</v>
      </c>
      <c r="C9" s="16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-0.0488831509456008</v>
      </c>
      <c r="D9" s="16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-0.015403958275933</v>
      </c>
      <c r="E9" s="16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0.0140578517839125</v>
      </c>
      <c r="F9" s="16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0.040447067240178</v>
      </c>
      <c r="G9" s="16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0.0644023806629515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167</v>
      </c>
      <c r="C2" s="2"/>
    </row>
    <row r="4" customFormat="false" ht="15" hidden="false" customHeight="true" outlineLevel="0" collapsed="false">
      <c r="B4" s="10" t="s">
        <v>168</v>
      </c>
      <c r="C4" s="10" t="s">
        <v>139</v>
      </c>
    </row>
    <row r="5" customFormat="false" ht="15" hidden="false" customHeight="true" outlineLevel="0" collapsed="false">
      <c r="B5" s="1" t="s">
        <v>169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170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171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172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173</v>
      </c>
      <c r="C9" s="1" t="str">
        <f aca="false">IF(COUNTIF(Covenants!C13:I13,"BREACH")=0,"PASS","REVIEW")</f>
        <v>PASS</v>
      </c>
    </row>
    <row r="10" customFormat="false" ht="15" hidden="false" customHeight="true" outlineLevel="0" collapsed="false">
      <c r="B10" s="1" t="s">
        <v>174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175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176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177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178</v>
      </c>
      <c r="C2" s="2"/>
      <c r="D2" s="2"/>
      <c r="E2" s="2"/>
    </row>
    <row r="4" customFormat="false" ht="15" hidden="false" customHeight="true" outlineLevel="0" collapsed="false">
      <c r="B4" s="10" t="s">
        <v>179</v>
      </c>
      <c r="C4" s="10" t="s">
        <v>180</v>
      </c>
      <c r="D4" s="10" t="s">
        <v>181</v>
      </c>
      <c r="E4" s="10" t="s">
        <v>182</v>
      </c>
    </row>
    <row r="5" customFormat="false" ht="15" hidden="false" customHeight="true" outlineLevel="0" collapsed="false">
      <c r="B5" s="28" t="s">
        <v>183</v>
      </c>
      <c r="C5" s="28" t="s">
        <v>184</v>
      </c>
      <c r="D5" s="28" t="s">
        <v>185</v>
      </c>
      <c r="E5" s="28" t="s">
        <v>186</v>
      </c>
    </row>
    <row r="6" customFormat="false" ht="15" hidden="false" customHeight="true" outlineLevel="0" collapsed="false">
      <c r="B6" s="28" t="s">
        <v>187</v>
      </c>
      <c r="C6" s="28" t="s">
        <v>188</v>
      </c>
      <c r="D6" s="28" t="s">
        <v>6</v>
      </c>
      <c r="E6" s="28" t="s">
        <v>189</v>
      </c>
    </row>
    <row r="7" customFormat="false" ht="15" hidden="false" customHeight="true" outlineLevel="0" collapsed="false">
      <c r="B7" s="28" t="s">
        <v>190</v>
      </c>
      <c r="C7" s="28" t="s">
        <v>191</v>
      </c>
      <c r="D7" s="28" t="s">
        <v>6</v>
      </c>
      <c r="E7" s="28" t="s">
        <v>192</v>
      </c>
    </row>
    <row r="8" customFormat="false" ht="15" hidden="false" customHeight="true" outlineLevel="0" collapsed="false">
      <c r="B8" s="28" t="s">
        <v>193</v>
      </c>
      <c r="C8" s="28" t="s">
        <v>194</v>
      </c>
      <c r="D8" s="28" t="s">
        <v>6</v>
      </c>
      <c r="E8" s="28" t="s">
        <v>195</v>
      </c>
    </row>
    <row r="9" customFormat="false" ht="15" hidden="false" customHeight="true" outlineLevel="0" collapsed="false">
      <c r="B9" s="28" t="s">
        <v>196</v>
      </c>
      <c r="C9" s="28" t="s">
        <v>197</v>
      </c>
      <c r="D9" s="28" t="s">
        <v>6</v>
      </c>
      <c r="E9" s="28" t="s">
        <v>198</v>
      </c>
    </row>
    <row r="10" customFormat="false" ht="15" hidden="false" customHeight="false" outlineLevel="0" collapsed="false">
      <c r="B10" s="29" t="s">
        <v>199</v>
      </c>
      <c r="C10" s="29" t="s">
        <v>200</v>
      </c>
      <c r="D10" s="29" t="s">
        <v>8</v>
      </c>
      <c r="E10" s="29" t="s">
        <v>201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202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203</v>
      </c>
      <c r="C4" s="10" t="s">
        <v>204</v>
      </c>
      <c r="D4" s="10" t="s">
        <v>205</v>
      </c>
      <c r="E4" s="10" t="s">
        <v>206</v>
      </c>
      <c r="F4" s="10" t="s">
        <v>207</v>
      </c>
      <c r="G4" s="10" t="s">
        <v>208</v>
      </c>
    </row>
    <row r="5" customFormat="false" ht="15" hidden="false" customHeight="true" outlineLevel="0" collapsed="false">
      <c r="B5" s="30" t="s">
        <v>8</v>
      </c>
      <c r="C5" s="30" t="s">
        <v>209</v>
      </c>
      <c r="D5" s="30" t="s">
        <v>200</v>
      </c>
      <c r="E5" s="30" t="s">
        <v>210</v>
      </c>
      <c r="F5" s="30" t="s">
        <v>211</v>
      </c>
      <c r="G5" s="30" t="s">
        <v>212</v>
      </c>
    </row>
    <row r="6" customFormat="false" ht="15" hidden="false" customHeight="true" outlineLevel="0" collapsed="false">
      <c r="B6" s="30"/>
      <c r="C6" s="30"/>
      <c r="D6" s="30"/>
      <c r="E6" s="30"/>
      <c r="F6" s="30"/>
      <c r="G6" s="30"/>
    </row>
    <row r="7" customFormat="false" ht="15" hidden="false" customHeight="true" outlineLevel="0" collapsed="false">
      <c r="B7" s="30"/>
      <c r="C7" s="30"/>
      <c r="D7" s="30"/>
      <c r="E7" s="30"/>
      <c r="F7" s="30"/>
      <c r="G7" s="30"/>
    </row>
    <row r="8" customFormat="false" ht="15" hidden="false" customHeight="true" outlineLevel="0" collapsed="false">
      <c r="B8" s="30"/>
      <c r="C8" s="30"/>
      <c r="D8" s="30"/>
      <c r="E8" s="30"/>
      <c r="F8" s="30"/>
      <c r="G8" s="30"/>
    </row>
    <row r="9" customFormat="false" ht="15" hidden="false" customHeight="true" outlineLevel="0" collapsed="false">
      <c r="B9" s="30"/>
      <c r="C9" s="30"/>
      <c r="D9" s="30"/>
      <c r="E9" s="30"/>
      <c r="F9" s="30"/>
      <c r="G9" s="30"/>
    </row>
    <row r="10" customFormat="false" ht="15" hidden="false" customHeight="true" outlineLevel="0" collapsed="false">
      <c r="B10" s="30"/>
      <c r="C10" s="30"/>
      <c r="D10" s="30"/>
      <c r="E10" s="30"/>
      <c r="F10" s="30"/>
      <c r="G10" s="30"/>
    </row>
    <row r="11" customFormat="false" ht="15" hidden="false" customHeight="true" outlineLevel="0" collapsed="false">
      <c r="B11" s="30"/>
      <c r="C11" s="30"/>
      <c r="D11" s="30"/>
      <c r="E11" s="30"/>
      <c r="F11" s="30"/>
      <c r="G11" s="30"/>
    </row>
    <row r="12" customFormat="false" ht="15" hidden="false" customHeight="true" outlineLevel="0" collapsed="false">
      <c r="B12" s="30"/>
      <c r="C12" s="30"/>
      <c r="D12" s="30"/>
      <c r="E12" s="30"/>
      <c r="F12" s="30"/>
      <c r="G12" s="30"/>
    </row>
    <row r="13" customFormat="false" ht="15" hidden="false" customHeight="true" outlineLevel="0" collapsed="false">
      <c r="B13" s="30"/>
      <c r="C13" s="30"/>
      <c r="D13" s="30"/>
      <c r="E13" s="30"/>
      <c r="F13" s="30"/>
      <c r="G13" s="30"/>
    </row>
    <row r="14" customFormat="false" ht="15" hidden="false" customHeight="true" outlineLevel="0" collapsed="false">
      <c r="B14" s="30"/>
      <c r="C14" s="30"/>
      <c r="D14" s="30"/>
      <c r="E14" s="30"/>
      <c r="F14" s="30"/>
      <c r="G14" s="30"/>
    </row>
    <row r="15" customFormat="false" ht="15" hidden="false" customHeight="true" outlineLevel="0" collapsed="false">
      <c r="B15" s="30"/>
      <c r="C15" s="30"/>
      <c r="D15" s="30"/>
      <c r="E15" s="30"/>
      <c r="F15" s="30"/>
      <c r="G15" s="30"/>
    </row>
    <row r="16" customFormat="false" ht="15" hidden="false" customHeight="true" outlineLevel="0" collapsed="false">
      <c r="B16" s="30"/>
      <c r="C16" s="30"/>
      <c r="D16" s="30"/>
      <c r="E16" s="30"/>
      <c r="F16" s="30"/>
      <c r="G16" s="30"/>
    </row>
    <row r="17" customFormat="false" ht="15" hidden="false" customHeight="true" outlineLevel="0" collapsed="false">
      <c r="B17" s="30"/>
      <c r="C17" s="30"/>
      <c r="D17" s="30"/>
      <c r="E17" s="30"/>
      <c r="F17" s="30"/>
      <c r="G17" s="30"/>
    </row>
    <row r="18" customFormat="false" ht="15" hidden="false" customHeight="true" outlineLevel="0" collapsed="false">
      <c r="B18" s="30"/>
      <c r="C18" s="30"/>
      <c r="D18" s="30"/>
      <c r="E18" s="30"/>
      <c r="F18" s="30"/>
      <c r="G18" s="30"/>
    </row>
    <row r="19" customFormat="false" ht="15" hidden="false" customHeight="true" outlineLevel="0" collapsed="false">
      <c r="B19" s="30"/>
      <c r="C19" s="30"/>
      <c r="D19" s="30"/>
      <c r="E19" s="30"/>
      <c r="F19" s="30"/>
      <c r="G19" s="30"/>
    </row>
    <row r="20" customFormat="false" ht="15" hidden="false" customHeight="true" outlineLevel="0" collapsed="false">
      <c r="B20" s="30"/>
      <c r="C20" s="30"/>
      <c r="D20" s="30"/>
      <c r="E20" s="30"/>
      <c r="F20" s="30"/>
      <c r="G20" s="30"/>
    </row>
    <row r="21" customFormat="false" ht="15" hidden="false" customHeight="true" outlineLevel="0" collapsed="false">
      <c r="B21" s="30"/>
      <c r="C21" s="30"/>
      <c r="D21" s="30"/>
      <c r="E21" s="30"/>
      <c r="F21" s="30"/>
      <c r="G21" s="30"/>
    </row>
    <row r="22" customFormat="false" ht="15" hidden="false" customHeight="true" outlineLevel="0" collapsed="false">
      <c r="B22" s="30"/>
      <c r="C22" s="30"/>
      <c r="D22" s="30"/>
      <c r="E22" s="30"/>
      <c r="F22" s="30"/>
      <c r="G22" s="30"/>
    </row>
    <row r="23" customFormat="false" ht="15" hidden="false" customHeight="true" outlineLevel="0" collapsed="false">
      <c r="B23" s="30"/>
      <c r="C23" s="30"/>
      <c r="D23" s="30"/>
      <c r="E23" s="30"/>
      <c r="F23" s="30"/>
      <c r="G23" s="30"/>
    </row>
    <row r="24" customFormat="false" ht="15" hidden="false" customHeight="true" outlineLevel="0" collapsed="false">
      <c r="B24" s="30"/>
      <c r="C24" s="30"/>
      <c r="D24" s="30"/>
      <c r="E24" s="30"/>
      <c r="F24" s="30"/>
      <c r="G24" s="30"/>
    </row>
    <row r="25" customFormat="false" ht="15" hidden="false" customHeight="true" outlineLevel="0" collapsed="false">
      <c r="B25" s="30"/>
      <c r="C25" s="30"/>
      <c r="D25" s="30"/>
      <c r="E25" s="30"/>
      <c r="F25" s="30"/>
      <c r="G25" s="30"/>
    </row>
    <row r="26" customFormat="false" ht="15" hidden="false" customHeight="true" outlineLevel="0" collapsed="false">
      <c r="B26" s="30"/>
      <c r="C26" s="30"/>
      <c r="D26" s="30"/>
      <c r="E26" s="30"/>
      <c r="F26" s="30"/>
      <c r="G26" s="30"/>
    </row>
    <row r="27" customFormat="false" ht="15" hidden="false" customHeight="true" outlineLevel="0" collapsed="false">
      <c r="B27" s="30"/>
      <c r="C27" s="30"/>
      <c r="D27" s="30"/>
      <c r="E27" s="30"/>
      <c r="F27" s="30"/>
      <c r="G27" s="30"/>
    </row>
    <row r="28" customFormat="false" ht="15" hidden="false" customHeight="true" outlineLevel="0" collapsed="false">
      <c r="B28" s="30"/>
      <c r="C28" s="30"/>
      <c r="D28" s="30"/>
      <c r="E28" s="30"/>
      <c r="F28" s="30"/>
      <c r="G28" s="30"/>
    </row>
    <row r="29" customFormat="false" ht="15" hidden="false" customHeight="true" outlineLevel="0" collapsed="false">
      <c r="B29" s="30"/>
      <c r="C29" s="30"/>
      <c r="D29" s="30"/>
      <c r="E29" s="30"/>
      <c r="F29" s="30"/>
      <c r="G29" s="30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