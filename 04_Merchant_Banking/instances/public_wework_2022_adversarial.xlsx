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<sst xmlns="http://schemas.openxmlformats.org/spreadsheetml/2006/main" count="458" uniqueCount="316">
  <si>
    <t xml:space="preserve">[TARGET] — LBO Underwriting Model</t>
  </si>
  <si>
    <t xml:space="preserve">Target / transaction:</t>
  </si>
  <si>
    <t xml:space="preserve">WeWork Inc. -- pre-bankruptcy holdco stress (adversarial case)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</si>
  <si>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</si>
  <si>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</si>
  <si>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</si>
  <si>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</si>
  <si>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</si>
  <si>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2023-03-29</t>
  </si>
  <si>
    <t xml:space="preserve">Next IC / financing event: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</si>
  <si>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</si>
  <si>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</si>
  <si>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</si>
  <si>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</si>
  <si>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</si>
  <si>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</si>
  <si>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</si>
  <si>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</si>
  <si>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</si>
  <si>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</si>
  <si>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</si>
  <si>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</si>
  <si>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</si>
  <si>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Merchant Banking — Institutional Decision Surface</t>
  </si>
  <si>
    <t xml:space="preserve">Model ID</t>
  </si>
  <si>
    <t xml:space="preserve">04</t>
  </si>
  <si>
    <t xml:space="preserve">Domain</t>
  </si>
  <si>
    <t xml:space="preserve">Merchant Banking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</si>
  <si>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</si>
  <si>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</si>
  <si>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</si>
  <si>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</si>
  <si>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</si>
  <si>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principal investing committee, client coverage, financing partners and risk committee</t>
  </si>
  <si>
    <t xml:space="preserve">Committee artifact</t>
  </si>
  <si>
    <t xml:space="preserve">principal-and-advisory conflicts pack</t>
  </si>
  <si>
    <t xml:space="preserve">Operating cadence</t>
  </si>
  <si>
    <t xml:space="preserve">daily live transactions; weekly risk; monthly portfolio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</si>
  <si>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</si>
  <si>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</si>
  <si>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</si>
  <si>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</si>
  <si>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</si>
  <si>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</si>
  <si>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risk-adjusted principal return</t>
  </si>
  <si>
    <t xml:space="preserve">OPEN</t>
  </si>
  <si>
    <t xml:space="preserve">client economics and fee offsets</t>
  </si>
  <si>
    <t xml:space="preserve">holdco / opco value and leakage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</si>
  <si>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</si>
  <si>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</si>
  <si>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</si>
  <si>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owns the paper if distribution fails?</t>
  </si>
  <si>
    <t xml:space="preserve">Which economics are contractual versus relationship assumptions?</t>
  </si>
  <si>
    <t xml:space="preserve">Where can holdco cash be trapped?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</si>
  <si>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</si>
  <si>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</si>
  <si>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</si>
  <si>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client loss / failed process</t>
  </si>
  <si>
    <t xml:space="preserve">underwriting take-down</t>
  </si>
  <si>
    <t xml:space="preserve">holdco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</si>
  <si>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</si>
  <si>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</si>
  <si>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</si>
  <si>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engagement letters</t>
  </si>
  <si>
    <t xml:space="preserve">conflicts memorandum</t>
  </si>
  <si>
    <t xml:space="preserve">financing and syndication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</si>
  <si>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</si>
  <si>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</si>
  <si>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</si>
  <si>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principal and advisory cash flows separated</t>
  </si>
  <si>
    <t xml:space="preserve">fees not double-counted in returns</t>
  </si>
  <si>
    <t xml:space="preserve">legal-entity exposure reconciles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</si>
  <si>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</si>
  <si>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</si>
  <si>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</si>
  <si>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advisory fees as guaranteed</t>
  </si>
  <si>
    <t xml:space="preserve">ignoring residual underwriting inventory</t>
  </si>
  <si>
    <t xml:space="preserve">failing to allocate shared expenses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</si>
  <si>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</si>
  <si>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</si>
  <si>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</si>
  <si>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</si>
  <si>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</si>
  <si>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</si>
  <si>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</si>
  <si>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</si>
  <si>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</si>
  <si>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</si>
  <si>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</si>
  <si>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</si>
  <si>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</si>
  <si>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</si>
  <si>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</si>
  <si>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</si>
  <si>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</si>
  <si>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</si>
  <si>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</si>
  <si>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</si>
  <si>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</si>
  <si>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</si>
  <si>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</si>
  <si>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</si>
  <si>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</si>
  <si>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</si>
  <si>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</si>
  <si>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</si>
  <si>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</si>
  <si>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</si>
  <si>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</si>
  <si>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client pipeline</t>
  </si>
  <si>
    <t xml:space="preserve">weekly</t>
  </si>
  <si>
    <t xml:space="preserve">engagement status and probability</t>
  </si>
  <si>
    <t xml:space="preserve">TO MAP</t>
  </si>
  <si>
    <t xml:space="preserve">principal exposure</t>
  </si>
  <si>
    <t xml:space="preserve">daily/weekly</t>
  </si>
  <si>
    <t xml:space="preserve">legal-entity and concentration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</si>
  <si>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</si>
  <si>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</si>
  <si>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</si>
  <si>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</si>
  <si>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</si>
  <si>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</si>
  <si>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</si>
  <si>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</si>
  <si>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</si>
  <si>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</si>
  <si>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</si>
  <si>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</si>
  <si>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</si>
  <si>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</si>
  <si>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</si>
  <si>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</si>
  <si>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</si>
  <si>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</si>
  <si>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</si>
  <si>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</si>
  <si>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</si>
  <si>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</si>
  <si>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</si>
  <si>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</si>
  <si>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</si>
  <si>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</si>
  <si>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</si>
  <si>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</si>
  <si>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</si>
  <si>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</si>
  <si>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</si>
  <si>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</si>
  <si>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</si>
  <si>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</si>
  <si>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</si>
  <si>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</si>
  <si>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</si>
  <si>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</si>
  <si>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</si>
  <si>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</si>
  <si>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</si>
  <si>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</si>
  <si>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</si>
  <si>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</si>
  <si>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</si>
  <si>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</si>
  <si>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</si>
  <si>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</si>
  <si>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</si>
  <si>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</si>
  <si>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</si>
  <si>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</si>
  <si>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</si>
  <si>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</si>
  <si>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</si>
  <si>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</si>
  <si>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</si>
  <si>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</si>
  <si>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</si>
  <si>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</si>
  <si>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</si>
  <si>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</si>
  <si>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</si>
  <si>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</si>
  <si>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</si>
  <si>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</si>
  <si>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</si>
  <si>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</si>
  <si>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</si>
  <si>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</si>
  <si>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</si>
  <si>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</si>
  <si>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</si>
  <si>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</si>
  <si>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</si>
  <si>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</si>
  <si>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</si>
  <si>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</si>
  <si>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</si>
  <si>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</si>
  <si>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</si>
  <si>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</si>
  <si>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</si>
  <si>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</si>
  <si>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</si>
  <si>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</si>
  <si>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</si>
  <si>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</si>
  <si>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</si>
  <si>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</si>
  <si>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</si>
  <si>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</si>
  <si>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</si>
  <si>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</si>
  <si>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</si>
  <si>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</si>
  <si>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</si>
  <si>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</si>
  <si>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</si>
  <si>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</si>
  <si>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</si>
  <si>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</si>
  <si>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</si>
  <si>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</si>
  <si>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</si>
  <si>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</si>
  <si>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</si>
  <si>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</si>
  <si>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</si>
  <si>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</si>
  <si>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</si>
  <si>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</si>
  <si>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</si>
  <si>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</si>
  <si>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</si>
  <si>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</si>
  <si>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</si>
  <si>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</si>
  <si>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</si>
  <si>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</si>
  <si>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</si>
  <si>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</si>
  <si>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</si>
  <si>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</si>
  <si>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</si>
  <si>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</si>
  <si>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</si>
  <si>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</si>
  <si>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</si>
  <si>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</si>
  <si>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</si>
  <si>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</si>
  <si>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</si>
  <si>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</si>
  <si>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</si>
  <si>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</si>
  <si>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</si>
  <si>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</si>
  <si>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</si>
  <si>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</si>
  <si>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</si>
  <si>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</si>
  <si>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</si>
  <si>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</si>
  <si>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</si>
  <si>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</si>
  <si>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</si>
  <si>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</si>
  <si>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</si>
  <si>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</si>
  <si>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</si>
  <si>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</si>
  <si>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</si>
  <si>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</si>
  <si>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</si>
  <si>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</si>
  <si>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</si>
  <si>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</si>
  <si>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</si>
  <si>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</si>
  <si>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</si>
  <si>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</si>
  <si>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</si>
  <si>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</si>
  <si>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</si>
  <si>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</si>
  <si>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</si>
  <si>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</si>
  <si>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</si>
  <si>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</si>
  <si>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</si>
  <si>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</si>
  <si>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</si>
  <si>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</si>
  <si>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</si>
  <si>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</si>
  <si>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</si>
  <si>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</si>
  <si>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</si>
  <si>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</si>
  <si>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WeWork 2022 Form 10-K</t>
  </si>
  <si>
    <t xml:space="preserve">https://www.sec.gov/Archives/edgar/data/1813756/000181375623000019/we-20221231.htm</t>
  </si>
  <si>
    <t xml:space="preserve">U.S. SEC; frozen curated observation as of case date</t>
  </si>
  <si>
    <t xml:space="preserve">Frozen source snapshot</t>
  </si>
  <si>
    <t xml:space="preserve">repo://04_Merchant_Banking/sources/snapshots/merchant-wework-2022.json</t>
  </si>
  <si>
    <t xml:space="preserve">Immutable curated observation package with SHA-256 digest</t>
  </si>
  <si>
    <t xml:space="preserve">WeWork 2022 downside calibrated to public filing</t>
  </si>
  <si>
    <t xml:space="preserve">Modeler-owned assumption documented in frozen snapshot</t>
  </si>
  <si>
    <t xml:space="preserve">Distressed holdco financing assumption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</si>
  <si>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</si>
  <si>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</si>
  <si>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</si>
  <si>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</si>
  <si>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</si>
  <si>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</si>
  <si>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</si>
  <si>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</si>
  <si>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merchant-wework-2022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</si>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</sst>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5" t="s">
        <v>6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5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D14" s="1"/>
      <c r="E14" s="1"/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D15" s="1"/>
      <c r="E15" s="1"/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D16" s="1"/>
      <c r="E16" s="1"/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D17" s="1"/>
      <c r="E17" s="1"/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D18" s="1"/>
      <c r="E18" s="1"/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D22" s="1"/>
      <c r="E22" s="1"/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D23" s="1"/>
      <c r="E23" s="1"/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D24" s="1"/>
      <c r="E24" s="1"/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D25" s="1"/>
      <c r="E25" s="1"/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D26" s="1"/>
      <c r="E26" s="1"/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D30" s="1"/>
      <c r="E30" s="1"/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D31" s="1"/>
      <c r="E31" s="1"/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D32" s="1"/>
      <c r="E32" s="1"/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D33" s="1"/>
      <c r="E33" s="1"/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D34" s="1"/>
      <c r="E34" s="1"/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D38" s="1"/>
      <c r="E38" s="1"/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D39" s="1"/>
      <c r="E39" s="1"/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D40" s="1"/>
      <c r="E40" s="1"/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D41" s="1"/>
      <c r="E41" s="1"/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D42" s="1"/>
      <c r="E42" s="1"/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D46" s="1"/>
      <c r="E46" s="1"/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D47" s="1"/>
      <c r="E47" s="1"/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D48" s="1"/>
      <c r="E48" s="1"/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D49" s="1"/>
      <c r="E49" s="1"/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D50" s="1"/>
      <c r="E50" s="1"/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D54" s="1"/>
      <c r="E54" s="1"/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D55" s="1"/>
      <c r="E55" s="1"/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D56" s="1"/>
      <c r="E56" s="1"/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D57" s="1"/>
      <c r="E57" s="1"/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D58" s="1"/>
      <c r="E58" s="1"/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  <c r="F62" s="1"/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93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4" t="s">
        <v>99</v>
      </c>
      <c r="H4" s="14" t="s">
        <v>43</v>
      </c>
      <c r="I4" s="14" t="s">
        <v>100</v>
      </c>
    </row>
    <row r="5" customFormat="false" ht="15" hidden="false" customHeight="false" outlineLevel="0" collapsed="false">
      <c r="B5" s="1"/>
      <c r="C5" s="1"/>
      <c r="D5" s="1" t="s">
        <v>69</v>
      </c>
      <c r="E5" s="1"/>
      <c r="F5" s="1"/>
      <c r="G5" s="1"/>
      <c r="H5" s="15" t="s">
        <v>45</v>
      </c>
      <c r="I5" s="1"/>
    </row>
    <row r="6" customFormat="false" ht="15" hidden="false" customHeight="false" outlineLevel="0" collapsed="false">
      <c r="B6" s="1"/>
      <c r="C6" s="1"/>
      <c r="D6" s="1" t="s">
        <v>70</v>
      </c>
      <c r="E6" s="1"/>
      <c r="F6" s="1"/>
      <c r="G6" s="1"/>
      <c r="H6" s="15" t="s">
        <v>45</v>
      </c>
      <c r="I6" s="1"/>
    </row>
    <row r="7" customFormat="false" ht="15" hidden="false" customHeight="false" outlineLevel="0" collapsed="false">
      <c r="B7" s="1"/>
      <c r="C7" s="1"/>
      <c r="D7" s="1" t="s">
        <v>71</v>
      </c>
      <c r="E7" s="1"/>
      <c r="F7" s="1"/>
      <c r="G7" s="1"/>
      <c r="H7" s="15" t="s">
        <v>45</v>
      </c>
      <c r="I7" s="1"/>
    </row>
    <row r="8" customFormat="false" ht="15" hidden="false" customHeight="false" outlineLevel="0" collapsed="false">
      <c r="B8" s="1"/>
      <c r="C8" s="1"/>
      <c r="D8" s="1" t="s">
        <v>72</v>
      </c>
      <c r="E8" s="1"/>
      <c r="F8" s="1"/>
      <c r="G8" s="1"/>
      <c r="H8" s="15" t="s">
        <v>45</v>
      </c>
      <c r="I8" s="1"/>
    </row>
    <row r="9" customFormat="false" ht="15" hidden="false" customHeight="false" outlineLevel="0" collapsed="false">
      <c r="B9" s="1"/>
      <c r="C9" s="1"/>
      <c r="D9" s="1" t="s">
        <v>73</v>
      </c>
      <c r="E9" s="1"/>
      <c r="F9" s="1"/>
      <c r="G9" s="1"/>
      <c r="H9" s="15" t="s">
        <v>45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101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41</v>
      </c>
      <c r="H4" s="14" t="s">
        <v>107</v>
      </c>
      <c r="I4" s="14" t="s">
        <v>108</v>
      </c>
      <c r="J4" s="14" t="s">
        <v>43</v>
      </c>
    </row>
    <row r="5" customFormat="false" ht="15" hidden="false" customHeight="false" outlineLevel="0" collapsed="false">
      <c r="B5" s="1" t="s">
        <v>109</v>
      </c>
      <c r="C5" s="1" t="s">
        <v>110</v>
      </c>
      <c r="D5" s="1" t="s">
        <v>111</v>
      </c>
      <c r="E5" s="1"/>
      <c r="F5" s="1"/>
      <c r="G5" s="1"/>
      <c r="H5" s="1"/>
      <c r="I5" s="1"/>
      <c r="J5" s="15" t="s">
        <v>112</v>
      </c>
    </row>
    <row r="6" customFormat="false" ht="15" hidden="false" customHeight="false" outlineLevel="0" collapsed="false">
      <c r="B6" s="1" t="s">
        <v>113</v>
      </c>
      <c r="C6" s="1" t="s">
        <v>114</v>
      </c>
      <c r="D6" s="1" t="s">
        <v>115</v>
      </c>
      <c r="E6" s="1"/>
      <c r="F6" s="1"/>
      <c r="G6" s="1"/>
      <c r="H6" s="1"/>
      <c r="I6" s="1"/>
      <c r="J6" s="15" t="s">
        <v>112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112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112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124</v>
      </c>
      <c r="D4" s="16" t="s">
        <v>11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600</v>
      </c>
      <c r="D5" s="17" t="n">
        <v>600</v>
      </c>
      <c r="E5" s="18" t="n">
        <f aca="false">IF(Cover!$C$9="Downside",D5,C5)</f>
        <v>600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19" t="n">
        <v>0.2</v>
      </c>
      <c r="D6" s="19" t="n">
        <v>0.17</v>
      </c>
      <c r="E6" s="20" t="n">
        <f aca="false">IF(Cover!$C$9="Downside",D6,C6)</f>
        <v>0.17</v>
      </c>
      <c r="F6" s="1" t="s">
        <v>130</v>
      </c>
    </row>
    <row r="7" customFormat="false" ht="15" hidden="false" customHeight="true" outlineLevel="0" collapsed="false">
      <c r="B7" s="1" t="s">
        <v>131</v>
      </c>
      <c r="C7" s="19" t="n">
        <v>0.06</v>
      </c>
      <c r="D7" s="21" t="n">
        <v>-0.25</v>
      </c>
      <c r="E7" s="20" t="n">
        <f aca="false">IF(Cover!$C$9="Downside",D7,C7)</f>
        <v>-0.25</v>
      </c>
      <c r="F7" s="1" t="s">
        <v>130</v>
      </c>
    </row>
    <row r="8" customFormat="false" ht="15" hidden="false" customHeight="true" outlineLevel="0" collapsed="false">
      <c r="B8" s="1" t="s">
        <v>132</v>
      </c>
      <c r="C8" s="22" t="n">
        <v>0.005</v>
      </c>
      <c r="D8" s="22" t="n">
        <v>-0.003</v>
      </c>
      <c r="E8" s="23" t="n">
        <f aca="false">IF(Cover!$C$9="Downside",D8,C8)</f>
        <v>-0.003</v>
      </c>
      <c r="F8" s="1" t="s">
        <v>133</v>
      </c>
    </row>
    <row r="9" customFormat="false" ht="15" hidden="false" customHeight="true" outlineLevel="0" collapsed="false">
      <c r="B9" s="1" t="s">
        <v>134</v>
      </c>
      <c r="C9" s="19" t="n">
        <v>0.025</v>
      </c>
      <c r="D9" s="19" t="n">
        <v>0.025</v>
      </c>
      <c r="E9" s="20" t="n">
        <f aca="false">IF(Cover!$C$9="Downside",D9,C9)</f>
        <v>0.025</v>
      </c>
      <c r="F9" s="1" t="s">
        <v>130</v>
      </c>
    </row>
    <row r="10" customFormat="false" ht="15" hidden="false" customHeight="true" outlineLevel="0" collapsed="false">
      <c r="B10" s="1" t="s">
        <v>135</v>
      </c>
      <c r="C10" s="19" t="n">
        <v>0.035</v>
      </c>
      <c r="D10" s="19" t="n">
        <v>0.045</v>
      </c>
      <c r="E10" s="20" t="n">
        <f aca="false">IF(Cover!$C$9="Downside",D10,C10)</f>
        <v>0.045</v>
      </c>
      <c r="F10" s="1" t="s">
        <v>130</v>
      </c>
    </row>
    <row r="11" customFormat="false" ht="15" hidden="false" customHeight="true" outlineLevel="0" collapsed="false">
      <c r="B11" s="1" t="s">
        <v>136</v>
      </c>
      <c r="C11" s="19" t="n">
        <v>0.08</v>
      </c>
      <c r="D11" s="19" t="n">
        <v>0.1</v>
      </c>
      <c r="E11" s="20" t="n">
        <f aca="false">IF(Cover!$C$9="Downside",D11,C11)</f>
        <v>0.1</v>
      </c>
      <c r="F11" s="1" t="s">
        <v>130</v>
      </c>
    </row>
    <row r="12" customFormat="false" ht="15" hidden="false" customHeight="true" outlineLevel="0" collapsed="false">
      <c r="B12" s="1" t="s">
        <v>137</v>
      </c>
      <c r="C12" s="19" t="n">
        <v>0.25</v>
      </c>
      <c r="D12" s="19" t="n">
        <v>0.2</v>
      </c>
      <c r="E12" s="20" t="n">
        <f aca="false">IF(Cover!$C$9="Downside",D12,C12)</f>
        <v>0.2</v>
      </c>
      <c r="F12" s="1" t="s">
        <v>130</v>
      </c>
    </row>
    <row r="13" customFormat="false" ht="15" hidden="false" customHeight="true" outlineLevel="0" collapsed="false">
      <c r="B13" s="1" t="s">
        <v>138</v>
      </c>
      <c r="C13" s="24" t="n">
        <v>10</v>
      </c>
      <c r="D13" s="24" t="n">
        <v>9</v>
      </c>
      <c r="E13" s="25" t="n">
        <f aca="false">IF(Cover!$C$9="Downside",D13,C13)</f>
        <v>9</v>
      </c>
      <c r="F13" s="1" t="s">
        <v>139</v>
      </c>
    </row>
    <row r="14" customFormat="false" ht="15" hidden="false" customHeight="true" outlineLevel="0" collapsed="false">
      <c r="B14" s="1" t="s">
        <v>140</v>
      </c>
      <c r="C14" s="19" t="n">
        <v>0.02</v>
      </c>
      <c r="D14" s="19" t="n">
        <v>0.025</v>
      </c>
      <c r="E14" s="20" t="n">
        <f aca="false">IF(Cover!$C$9="Downside",D14,C14)</f>
        <v>0.025</v>
      </c>
      <c r="F14" s="1" t="s">
        <v>130</v>
      </c>
    </row>
    <row r="15" customFormat="false" ht="15" hidden="false" customHeight="true" outlineLevel="0" collapsed="false">
      <c r="B15" s="1" t="s">
        <v>141</v>
      </c>
      <c r="C15" s="17" t="n">
        <v>100</v>
      </c>
      <c r="D15" s="17" t="n">
        <v>100</v>
      </c>
      <c r="E15" s="18" t="n">
        <f aca="false">IF(Cover!$C$9="Downside",D15,C15)</f>
        <v>100</v>
      </c>
      <c r="F15" s="1" t="s">
        <v>128</v>
      </c>
    </row>
    <row r="16" customFormat="false" ht="15" hidden="false" customHeight="true" outlineLevel="0" collapsed="false">
      <c r="B16" s="1" t="s">
        <v>142</v>
      </c>
      <c r="C16" s="17" t="n">
        <v>20</v>
      </c>
      <c r="D16" s="17" t="n">
        <v>25</v>
      </c>
      <c r="E16" s="18" t="n">
        <f aca="false">IF(Cover!$C$9="Downside",D16,C16)</f>
        <v>25</v>
      </c>
      <c r="F16" s="1" t="s">
        <v>128</v>
      </c>
    </row>
    <row r="17" customFormat="false" ht="15" hidden="false" customHeight="true" outlineLevel="0" collapsed="false">
      <c r="B17" s="1" t="s">
        <v>143</v>
      </c>
      <c r="C17" s="17" t="n">
        <v>75</v>
      </c>
      <c r="D17" s="17" t="n">
        <v>75</v>
      </c>
      <c r="E17" s="18" t="n">
        <f aca="false">IF(Cover!$C$9="Downside",D17,C17)</f>
        <v>75</v>
      </c>
      <c r="F17" s="1" t="s">
        <v>128</v>
      </c>
    </row>
    <row r="18" customFormat="false" ht="15" hidden="false" customHeight="true" outlineLevel="0" collapsed="false">
      <c r="B18" s="1" t="s">
        <v>144</v>
      </c>
      <c r="C18" s="22" t="n">
        <v>0.09</v>
      </c>
      <c r="D18" s="22" t="n">
        <v>0.115</v>
      </c>
      <c r="E18" s="23" t="n">
        <f aca="false">IF(Cover!$C$9="Downside",D18,C18)</f>
        <v>0.115</v>
      </c>
      <c r="F18" s="1" t="s">
        <v>130</v>
      </c>
    </row>
    <row r="19" customFormat="false" ht="15" hidden="false" customHeight="true" outlineLevel="0" collapsed="false">
      <c r="B19" s="1" t="s">
        <v>145</v>
      </c>
      <c r="C19" s="24" t="n">
        <v>4</v>
      </c>
      <c r="D19" s="24" t="n">
        <v>3.5</v>
      </c>
      <c r="E19" s="25" t="n">
        <f aca="false">IF(Cover!$C$9="Downside",D19,C19)</f>
        <v>3.5</v>
      </c>
      <c r="F19" s="1" t="s">
        <v>146</v>
      </c>
    </row>
    <row r="20" customFormat="false" ht="15" hidden="false" customHeight="true" outlineLevel="0" collapsed="false">
      <c r="B20" s="1" t="s">
        <v>147</v>
      </c>
      <c r="C20" s="22" t="n">
        <v>0.085</v>
      </c>
      <c r="D20" s="26" t="n">
        <v>0.145</v>
      </c>
      <c r="E20" s="23" t="n">
        <f aca="false">IF(Cover!$C$9="Downside",D20,C20)</f>
        <v>0.145</v>
      </c>
      <c r="F20" s="1" t="s">
        <v>130</v>
      </c>
    </row>
    <row r="21" customFormat="false" ht="15" hidden="false" customHeight="true" outlineLevel="0" collapsed="false">
      <c r="B21" s="1" t="s">
        <v>148</v>
      </c>
      <c r="C21" s="19" t="n">
        <v>0.01</v>
      </c>
      <c r="D21" s="19" t="n">
        <v>0.01</v>
      </c>
      <c r="E21" s="20" t="n">
        <f aca="false">IF(Cover!$C$9="Downside",D21,C21)</f>
        <v>0.01</v>
      </c>
      <c r="F21" s="1" t="s">
        <v>149</v>
      </c>
    </row>
    <row r="22" customFormat="false" ht="15" hidden="false" customHeight="true" outlineLevel="0" collapsed="false">
      <c r="B22" s="1" t="s">
        <v>150</v>
      </c>
      <c r="C22" s="24" t="n">
        <v>1.5</v>
      </c>
      <c r="D22" s="24" t="n">
        <v>1</v>
      </c>
      <c r="E22" s="25" t="n">
        <f aca="false">IF(Cover!$C$9="Downside",D22,C22)</f>
        <v>1</v>
      </c>
      <c r="F22" s="1" t="s">
        <v>146</v>
      </c>
    </row>
    <row r="23" customFormat="false" ht="15" hidden="false" customHeight="true" outlineLevel="0" collapsed="false">
      <c r="B23" s="1" t="s">
        <v>151</v>
      </c>
      <c r="C23" s="22" t="n">
        <v>0.11</v>
      </c>
      <c r="D23" s="22" t="n">
        <v>0.13</v>
      </c>
      <c r="E23" s="23" t="n">
        <f aca="false">IF(Cover!$C$9="Downside",D23,C23)</f>
        <v>0.13</v>
      </c>
      <c r="F23" s="1" t="s">
        <v>130</v>
      </c>
    </row>
    <row r="24" customFormat="false" ht="15" hidden="false" customHeight="true" outlineLevel="0" collapsed="false">
      <c r="B24" s="1" t="s">
        <v>152</v>
      </c>
      <c r="C24" s="22" t="n">
        <v>0.03</v>
      </c>
      <c r="D24" s="22" t="n">
        <v>0.05</v>
      </c>
      <c r="E24" s="23" t="n">
        <f aca="false">IF(Cover!$C$9="Downside",D24,C24)</f>
        <v>0.05</v>
      </c>
      <c r="F24" s="1" t="s">
        <v>130</v>
      </c>
    </row>
    <row r="25" customFormat="false" ht="15" hidden="false" customHeight="true" outlineLevel="0" collapsed="false">
      <c r="B25" s="1" t="s">
        <v>153</v>
      </c>
      <c r="C25" s="19" t="n">
        <v>0.75</v>
      </c>
      <c r="D25" s="19" t="n">
        <v>0.5</v>
      </c>
      <c r="E25" s="20" t="n">
        <f aca="false">IF(Cover!$C$9="Downside",D25,C25)</f>
        <v>0.5</v>
      </c>
      <c r="F25" s="1" t="s">
        <v>154</v>
      </c>
    </row>
    <row r="26" customFormat="false" ht="15" hidden="false" customHeight="true" outlineLevel="0" collapsed="false">
      <c r="B26" s="1" t="s">
        <v>155</v>
      </c>
      <c r="C26" s="24" t="n">
        <v>7</v>
      </c>
      <c r="D26" s="24" t="n">
        <v>6.5</v>
      </c>
      <c r="E26" s="25" t="n">
        <f aca="false">IF(Cover!$C$9="Downside",D26,C26)</f>
        <v>6.5</v>
      </c>
      <c r="F26" s="1" t="s">
        <v>139</v>
      </c>
    </row>
    <row r="27" customFormat="false" ht="15" hidden="false" customHeight="true" outlineLevel="0" collapsed="false">
      <c r="B27" s="1" t="s">
        <v>156</v>
      </c>
      <c r="C27" s="24" t="n">
        <v>1.75</v>
      </c>
      <c r="D27" s="24" t="n">
        <v>1.5</v>
      </c>
      <c r="E27" s="25" t="n">
        <f aca="false">IF(Cover!$C$9="Downside",D27,C27)</f>
        <v>1.5</v>
      </c>
      <c r="F27" s="1" t="s">
        <v>139</v>
      </c>
    </row>
    <row r="28" customFormat="false" ht="15" hidden="false" customHeight="true" outlineLevel="0" collapsed="false">
      <c r="B28" s="1" t="s">
        <v>157</v>
      </c>
      <c r="C28" s="24" t="n">
        <v>10</v>
      </c>
      <c r="D28" s="24" t="n">
        <v>8</v>
      </c>
      <c r="E28" s="25" t="n">
        <f aca="false">IF(Cover!$C$9="Downside",D28,C28)</f>
        <v>8</v>
      </c>
      <c r="F28" s="1" t="s">
        <v>139</v>
      </c>
    </row>
    <row r="29" customFormat="false" ht="15" hidden="false" customHeight="true" outlineLevel="0" collapsed="false">
      <c r="B29" s="1" t="s">
        <v>158</v>
      </c>
      <c r="C29" s="27" t="n">
        <v>5</v>
      </c>
      <c r="D29" s="27" t="n">
        <v>5</v>
      </c>
      <c r="E29" s="28" t="n">
        <f aca="false">IF(Cover!$C$9="Downside",D29,C29)</f>
        <v>5</v>
      </c>
      <c r="F29" s="1" t="s">
        <v>159</v>
      </c>
    </row>
    <row r="30" customFormat="false" ht="15" hidden="false" customHeight="true" outlineLevel="0" collapsed="false">
      <c r="B30" s="1" t="s">
        <v>160</v>
      </c>
      <c r="C30" s="19" t="n">
        <v>0.1</v>
      </c>
      <c r="D30" s="19" t="n">
        <v>0.1</v>
      </c>
      <c r="E30" s="20" t="n">
        <f aca="false">IF(Cover!$C$9="Downside",D30,C30)</f>
        <v>0.1</v>
      </c>
      <c r="F30" s="1" t="s">
        <v>161</v>
      </c>
    </row>
    <row r="31" customFormat="false" ht="15" hidden="false" customHeight="true" outlineLevel="0" collapsed="false">
      <c r="B31" s="1" t="s">
        <v>162</v>
      </c>
      <c r="C31" s="19" t="n">
        <v>0.08</v>
      </c>
      <c r="D31" s="19" t="n">
        <v>0.08</v>
      </c>
      <c r="E31" s="20" t="n">
        <f aca="false">IF(Cover!$C$9="Downside",D31,C31)</f>
        <v>0.08</v>
      </c>
      <c r="F31" s="1" t="s">
        <v>130</v>
      </c>
    </row>
    <row r="32" customFormat="false" ht="15" hidden="false" customHeight="true" outlineLevel="0" collapsed="false">
      <c r="B32" s="1" t="s">
        <v>163</v>
      </c>
      <c r="C32" s="19" t="n">
        <v>0.2</v>
      </c>
      <c r="D32" s="19" t="n">
        <v>0.2</v>
      </c>
      <c r="E32" s="20" t="n">
        <f aca="false">IF(Cover!$C$9="Downside",D32,C32)</f>
        <v>0.2</v>
      </c>
      <c r="F32" s="1" t="s">
        <v>164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165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166</v>
      </c>
      <c r="C4" s="16" t="s">
        <v>167</v>
      </c>
      <c r="D4" s="16"/>
      <c r="E4" s="16" t="s">
        <v>168</v>
      </c>
      <c r="F4" s="16" t="s">
        <v>167</v>
      </c>
      <c r="G4" s="16"/>
    </row>
    <row r="5" customFormat="false" ht="15" hidden="false" customHeight="true" outlineLevel="0" collapsed="false">
      <c r="B5" s="1" t="s">
        <v>169</v>
      </c>
      <c r="C5" s="18" t="n">
        <f aca="false">Assumptions!E5*Assumptions!E6*Assumptions!E13</f>
        <v>918</v>
      </c>
      <c r="E5" s="1" t="s">
        <v>170</v>
      </c>
      <c r="F5" s="17" t="n">
        <v>0</v>
      </c>
    </row>
    <row r="6" customFormat="false" ht="15" hidden="false" customHeight="true" outlineLevel="0" collapsed="false">
      <c r="B6" s="1" t="s">
        <v>171</v>
      </c>
      <c r="C6" s="18" t="n">
        <f aca="false">Assumptions!E15</f>
        <v>100</v>
      </c>
      <c r="E6" s="1" t="s">
        <v>172</v>
      </c>
      <c r="F6" s="18" t="n">
        <f aca="false">Assumptions!E5*Assumptions!E6*Assumptions!E19</f>
        <v>357</v>
      </c>
    </row>
    <row r="7" customFormat="false" ht="15" hidden="false" customHeight="true" outlineLevel="0" collapsed="false">
      <c r="B7" s="1" t="s">
        <v>173</v>
      </c>
      <c r="C7" s="18" t="n">
        <f aca="false">C5*Assumptions!E14</f>
        <v>22.95</v>
      </c>
      <c r="E7" s="1" t="s">
        <v>174</v>
      </c>
      <c r="F7" s="18" t="n">
        <f aca="false">Assumptions!E5*Assumptions!E6*Assumptions!E22</f>
        <v>102</v>
      </c>
    </row>
    <row r="8" customFormat="false" ht="15" hidden="false" customHeight="true" outlineLevel="0" collapsed="false">
      <c r="B8" s="1" t="s">
        <v>175</v>
      </c>
      <c r="C8" s="18" t="n">
        <f aca="false">Assumptions!E16</f>
        <v>25</v>
      </c>
      <c r="E8" s="1" t="s">
        <v>176</v>
      </c>
      <c r="F8" s="18" t="n">
        <f aca="false">C9-SUM(F5:F7)</f>
        <v>606.95</v>
      </c>
    </row>
    <row r="9" customFormat="false" ht="15" hidden="false" customHeight="true" outlineLevel="0" collapsed="false">
      <c r="B9" s="29" t="s">
        <v>177</v>
      </c>
      <c r="C9" s="30" t="n">
        <f aca="false">SUM(C5:C8)</f>
        <v>1065.95</v>
      </c>
      <c r="E9" s="29" t="s">
        <v>178</v>
      </c>
      <c r="F9" s="30" t="n">
        <f aca="false">SUM(F5:F8)</f>
        <v>1065.95</v>
      </c>
    </row>
    <row r="10" customFormat="false" ht="15" hidden="false" customHeight="true" outlineLevel="0" collapsed="false">
      <c r="E10" s="1" t="s">
        <v>179</v>
      </c>
      <c r="F10" s="18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180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181</v>
      </c>
      <c r="C4" s="16" t="s">
        <v>182</v>
      </c>
      <c r="D4" s="16" t="s">
        <v>183</v>
      </c>
      <c r="E4" s="16" t="s">
        <v>184</v>
      </c>
      <c r="F4" s="16" t="s">
        <v>185</v>
      </c>
      <c r="G4" s="16" t="s">
        <v>186</v>
      </c>
      <c r="H4" s="16" t="s">
        <v>187</v>
      </c>
      <c r="I4" s="16" t="s">
        <v>188</v>
      </c>
      <c r="J4" s="16" t="s">
        <v>189</v>
      </c>
    </row>
    <row r="5" customFormat="false" ht="15" hidden="false" customHeight="true" outlineLevel="0" collapsed="false">
      <c r="B5" s="1" t="s">
        <v>190</v>
      </c>
      <c r="C5" s="18" t="n">
        <f aca="false">Assumptions!E5</f>
        <v>600</v>
      </c>
      <c r="D5" s="18" t="n">
        <f aca="false">C5*(1+Assumptions!$E$7)</f>
        <v>450</v>
      </c>
      <c r="E5" s="18" t="n">
        <f aca="false">D5*(1+Assumptions!$E$7)</f>
        <v>337.5</v>
      </c>
      <c r="F5" s="18" t="n">
        <f aca="false">E5*(1+Assumptions!$E$7)</f>
        <v>253.125</v>
      </c>
      <c r="G5" s="18" t="n">
        <f aca="false">F5*(1+Assumptions!$E$7)</f>
        <v>189.84375</v>
      </c>
      <c r="H5" s="18" t="n">
        <f aca="false">G5*(1+Assumptions!$E$7)</f>
        <v>142.3828125</v>
      </c>
      <c r="I5" s="18" t="n">
        <f aca="false">H5*(1+Assumptions!$E$7)</f>
        <v>106.787109375</v>
      </c>
      <c r="J5" s="18" t="n">
        <f aca="false">I5*(1+Assumptions!$E$7)</f>
        <v>80.09033203125</v>
      </c>
    </row>
    <row r="6" customFormat="false" ht="15" hidden="false" customHeight="true" outlineLevel="0" collapsed="false">
      <c r="B6" s="1" t="s">
        <v>191</v>
      </c>
      <c r="D6" s="20" t="n">
        <f aca="false">IFERROR(D5/C5-1,0)</f>
        <v>-0.25</v>
      </c>
      <c r="E6" s="20" t="n">
        <f aca="false">IFERROR(E5/D5-1,0)</f>
        <v>-0.25</v>
      </c>
      <c r="F6" s="20" t="n">
        <f aca="false">IFERROR(F5/E5-1,0)</f>
        <v>-0.25</v>
      </c>
      <c r="G6" s="20" t="n">
        <f aca="false">IFERROR(G5/F5-1,0)</f>
        <v>-0.25</v>
      </c>
      <c r="H6" s="20" t="n">
        <f aca="false">IFERROR(H5/G5-1,0)</f>
        <v>-0.25</v>
      </c>
      <c r="I6" s="20" t="n">
        <f aca="false">IFERROR(I5/H5-1,0)</f>
        <v>-0.25</v>
      </c>
      <c r="J6" s="20" t="n">
        <f aca="false">IFERROR(J5/I5-1,0)</f>
        <v>-0.25</v>
      </c>
    </row>
    <row r="7" customFormat="false" ht="15" hidden="false" customHeight="true" outlineLevel="0" collapsed="false">
      <c r="B7" s="1" t="s">
        <v>192</v>
      </c>
      <c r="C7" s="20" t="n">
        <f aca="false">Assumptions!E6</f>
        <v>0.17</v>
      </c>
      <c r="D7" s="20" t="n">
        <f aca="false">MAX(0,MIN(0.6,C7+Assumptions!$E$8))</f>
        <v>0.167</v>
      </c>
      <c r="E7" s="20" t="n">
        <f aca="false">MAX(0,MIN(0.6,D7+Assumptions!$E$8))</f>
        <v>0.164</v>
      </c>
      <c r="F7" s="20" t="n">
        <f aca="false">MAX(0,MIN(0.6,E7+Assumptions!$E$8))</f>
        <v>0.161</v>
      </c>
      <c r="G7" s="20" t="n">
        <f aca="false">MAX(0,MIN(0.6,F7+Assumptions!$E$8))</f>
        <v>0.158</v>
      </c>
      <c r="H7" s="20" t="n">
        <f aca="false">MAX(0,MIN(0.6,G7+Assumptions!$E$8))</f>
        <v>0.155</v>
      </c>
      <c r="I7" s="20" t="n">
        <f aca="false">MAX(0,MIN(0.6,H7+Assumptions!$E$8))</f>
        <v>0.152</v>
      </c>
      <c r="J7" s="20" t="n">
        <f aca="false">MAX(0,MIN(0.6,I7+Assumptions!$E$8))</f>
        <v>0.149</v>
      </c>
    </row>
    <row r="8" customFormat="false" ht="15" hidden="false" customHeight="true" outlineLevel="0" collapsed="false">
      <c r="B8" s="29" t="s">
        <v>193</v>
      </c>
      <c r="C8" s="30" t="n">
        <f aca="false">C5*C7</f>
        <v>102</v>
      </c>
      <c r="D8" s="30" t="n">
        <f aca="false">D5*D7</f>
        <v>75.15</v>
      </c>
      <c r="E8" s="30" t="n">
        <f aca="false">E5*E7</f>
        <v>55.35</v>
      </c>
      <c r="F8" s="30" t="n">
        <f aca="false">F5*F7</f>
        <v>40.753125</v>
      </c>
      <c r="G8" s="30" t="n">
        <f aca="false">G5*G7</f>
        <v>29.9953125</v>
      </c>
      <c r="H8" s="30" t="n">
        <f aca="false">H5*H7</f>
        <v>22.0693359375</v>
      </c>
      <c r="I8" s="30" t="n">
        <f aca="false">I5*I7</f>
        <v>16.231640625</v>
      </c>
      <c r="J8" s="30" t="n">
        <f aca="false">J5*J7</f>
        <v>11.9334594726563</v>
      </c>
    </row>
    <row r="9" customFormat="false" ht="15" hidden="false" customHeight="true" outlineLevel="0" collapsed="false">
      <c r="B9" s="1" t="s">
        <v>194</v>
      </c>
      <c r="C9" s="18" t="n">
        <f aca="false">C5*Assumptions!E9</f>
        <v>15</v>
      </c>
      <c r="D9" s="18" t="n">
        <f aca="false">D5*Assumptions!$E$9</f>
        <v>11.25</v>
      </c>
      <c r="E9" s="18" t="n">
        <f aca="false">E5*Assumptions!$E$9</f>
        <v>8.4375</v>
      </c>
      <c r="F9" s="18" t="n">
        <f aca="false">F5*Assumptions!$E$9</f>
        <v>6.328125</v>
      </c>
      <c r="G9" s="18" t="n">
        <f aca="false">G5*Assumptions!$E$9</f>
        <v>4.74609375</v>
      </c>
      <c r="H9" s="18" t="n">
        <f aca="false">H5*Assumptions!$E$9</f>
        <v>3.5595703125</v>
      </c>
      <c r="I9" s="18" t="n">
        <f aca="false">I5*Assumptions!$E$9</f>
        <v>2.669677734375</v>
      </c>
      <c r="J9" s="18" t="n">
        <f aca="false">J5*Assumptions!$E$9</f>
        <v>2.00225830078125</v>
      </c>
    </row>
    <row r="10" customFormat="false" ht="15" hidden="false" customHeight="true" outlineLevel="0" collapsed="false">
      <c r="B10" s="1" t="s">
        <v>195</v>
      </c>
      <c r="C10" s="18" t="n">
        <f aca="false">C8-C9</f>
        <v>87</v>
      </c>
      <c r="D10" s="18" t="n">
        <f aca="false">D8-D9</f>
        <v>63.9</v>
      </c>
      <c r="E10" s="18" t="n">
        <f aca="false">E8-E9</f>
        <v>46.9125</v>
      </c>
      <c r="F10" s="18" t="n">
        <f aca="false">F8-F9</f>
        <v>34.425</v>
      </c>
      <c r="G10" s="18" t="n">
        <f aca="false">G8-G9</f>
        <v>25.24921875</v>
      </c>
      <c r="H10" s="18" t="n">
        <f aca="false">H8-H9</f>
        <v>18.509765625</v>
      </c>
      <c r="I10" s="18" t="n">
        <f aca="false">I8-I9</f>
        <v>13.561962890625</v>
      </c>
      <c r="J10" s="18" t="n">
        <f aca="false">J8-J9</f>
        <v>9.931201171875</v>
      </c>
    </row>
    <row r="11" customFormat="false" ht="15" hidden="false" customHeight="true" outlineLevel="0" collapsed="false">
      <c r="B11" s="1" t="s">
        <v>196</v>
      </c>
      <c r="D11" s="18" t="n">
        <f aca="false">'Debt Schedule'!D7</f>
        <v>65.025</v>
      </c>
      <c r="E11" s="18" t="n">
        <f aca="false">'Debt Schedule'!E7</f>
        <v>65.033325</v>
      </c>
      <c r="F11" s="18" t="n">
        <f aca="false">'Debt Schedule'!F7</f>
        <v>67.1491305</v>
      </c>
      <c r="G11" s="18" t="n">
        <f aca="false">'Debt Schedule'!G7</f>
        <v>71.14591135125</v>
      </c>
      <c r="H11" s="18" t="n">
        <f aca="false">'Debt Schedule'!H7</f>
        <v>74.2933026046875</v>
      </c>
      <c r="I11" s="18" t="n">
        <f aca="false">'Debt Schedule'!I7</f>
        <v>74.5790783599219</v>
      </c>
      <c r="J11" s="18" t="n">
        <f aca="false">'Debt Schedule'!J7</f>
        <v>74.905025402918</v>
      </c>
    </row>
    <row r="12" customFormat="false" ht="15" hidden="false" customHeight="true" outlineLevel="0" collapsed="false">
      <c r="B12" s="1" t="s">
        <v>197</v>
      </c>
      <c r="D12" s="18" t="n">
        <f aca="false">D10-D11</f>
        <v>-1.125</v>
      </c>
      <c r="E12" s="18" t="n">
        <f aca="false">E10-E11</f>
        <v>-18.120825</v>
      </c>
      <c r="F12" s="18" t="n">
        <f aca="false">F10-F11</f>
        <v>-32.7241305</v>
      </c>
      <c r="G12" s="18" t="n">
        <f aca="false">G10-G11</f>
        <v>-45.89669260125</v>
      </c>
      <c r="H12" s="18" t="n">
        <f aca="false">H10-H11</f>
        <v>-55.7835369796875</v>
      </c>
      <c r="I12" s="18" t="n">
        <f aca="false">I10-I11</f>
        <v>-61.0171154692969</v>
      </c>
      <c r="J12" s="18" t="n">
        <f aca="false">J10-J11</f>
        <v>-64.973824231043</v>
      </c>
    </row>
    <row r="13" customFormat="false" ht="15" hidden="false" customHeight="true" outlineLevel="0" collapsed="false">
      <c r="B13" s="1" t="s">
        <v>198</v>
      </c>
      <c r="D13" s="18" t="n">
        <f aca="false">MAX(0,D12*Assumptions!$E$12)</f>
        <v>0</v>
      </c>
      <c r="E13" s="18" t="n">
        <f aca="false">MAX(0,E12*Assumptions!$E$12)</f>
        <v>0</v>
      </c>
      <c r="F13" s="18" t="n">
        <f aca="false">MAX(0,F12*Assumptions!$E$12)</f>
        <v>0</v>
      </c>
      <c r="G13" s="18" t="n">
        <f aca="false">MAX(0,G12*Assumptions!$E$12)</f>
        <v>0</v>
      </c>
      <c r="H13" s="18" t="n">
        <f aca="false">MAX(0,H12*Assumptions!$E$12)</f>
        <v>0</v>
      </c>
      <c r="I13" s="18" t="n">
        <f aca="false">MAX(0,I12*Assumptions!$E$12)</f>
        <v>0</v>
      </c>
      <c r="J13" s="18" t="n">
        <f aca="false">MAX(0,J12*Assumptions!$E$12)</f>
        <v>0</v>
      </c>
    </row>
    <row r="14" customFormat="false" ht="15" hidden="false" customHeight="true" outlineLevel="0" collapsed="false">
      <c r="B14" s="1" t="s">
        <v>199</v>
      </c>
      <c r="D14" s="18" t="n">
        <f aca="false">D12-D13</f>
        <v>-1.125</v>
      </c>
      <c r="E14" s="18" t="n">
        <f aca="false">E12-E13</f>
        <v>-18.120825</v>
      </c>
      <c r="F14" s="18" t="n">
        <f aca="false">F12-F13</f>
        <v>-32.7241305</v>
      </c>
      <c r="G14" s="18" t="n">
        <f aca="false">G12-G13</f>
        <v>-45.89669260125</v>
      </c>
      <c r="H14" s="18" t="n">
        <f aca="false">H12-H13</f>
        <v>-55.7835369796875</v>
      </c>
      <c r="I14" s="18" t="n">
        <f aca="false">I12-I13</f>
        <v>-61.0171154692969</v>
      </c>
      <c r="J14" s="18" t="n">
        <f aca="false">J12-J13</f>
        <v>-64.973824231043</v>
      </c>
    </row>
    <row r="15" customFormat="false" ht="15" hidden="false" customHeight="true" outlineLevel="0" collapsed="false">
      <c r="B15" s="1" t="s">
        <v>200</v>
      </c>
      <c r="D15" s="18" t="n">
        <f aca="false">D5*Assumptions!$E$10</f>
        <v>20.25</v>
      </c>
      <c r="E15" s="18" t="n">
        <f aca="false">E5*Assumptions!$E$10</f>
        <v>15.1875</v>
      </c>
      <c r="F15" s="18" t="n">
        <f aca="false">F5*Assumptions!$E$10</f>
        <v>11.390625</v>
      </c>
      <c r="G15" s="18" t="n">
        <f aca="false">G5*Assumptions!$E$10</f>
        <v>8.54296875</v>
      </c>
      <c r="H15" s="18" t="n">
        <f aca="false">H5*Assumptions!$E$10</f>
        <v>6.4072265625</v>
      </c>
      <c r="I15" s="18" t="n">
        <f aca="false">I5*Assumptions!$E$10</f>
        <v>4.805419921875</v>
      </c>
      <c r="J15" s="18" t="n">
        <f aca="false">J5*Assumptions!$E$10</f>
        <v>3.60406494140625</v>
      </c>
    </row>
    <row r="16" customFormat="false" ht="15" hidden="false" customHeight="true" outlineLevel="0" collapsed="false">
      <c r="B16" s="1" t="s">
        <v>201</v>
      </c>
      <c r="C16" s="18" t="n">
        <f aca="false">C5*Assumptions!E11</f>
        <v>60</v>
      </c>
      <c r="D16" s="18" t="n">
        <f aca="false">D5*Assumptions!$E$11</f>
        <v>45</v>
      </c>
      <c r="E16" s="18" t="n">
        <f aca="false">E5*Assumptions!$E$11</f>
        <v>33.75</v>
      </c>
      <c r="F16" s="18" t="n">
        <f aca="false">F5*Assumptions!$E$11</f>
        <v>25.3125</v>
      </c>
      <c r="G16" s="18" t="n">
        <f aca="false">G5*Assumptions!$E$11</f>
        <v>18.984375</v>
      </c>
      <c r="H16" s="18" t="n">
        <f aca="false">H5*Assumptions!$E$11</f>
        <v>14.23828125</v>
      </c>
      <c r="I16" s="18" t="n">
        <f aca="false">I5*Assumptions!$E$11</f>
        <v>10.6787109375</v>
      </c>
      <c r="J16" s="18" t="n">
        <f aca="false">J5*Assumptions!$E$11</f>
        <v>8.009033203125</v>
      </c>
    </row>
    <row r="17" customFormat="false" ht="15" hidden="false" customHeight="true" outlineLevel="0" collapsed="false">
      <c r="B17" s="1" t="s">
        <v>202</v>
      </c>
      <c r="D17" s="18" t="n">
        <f aca="false">D16-C16</f>
        <v>-15</v>
      </c>
      <c r="E17" s="18" t="n">
        <f aca="false">E16-D16</f>
        <v>-11.25</v>
      </c>
      <c r="F17" s="18" t="n">
        <f aca="false">F16-E16</f>
        <v>-8.4375</v>
      </c>
      <c r="G17" s="18" t="n">
        <f aca="false">G16-F16</f>
        <v>-6.328125</v>
      </c>
      <c r="H17" s="18" t="n">
        <f aca="false">H16-G16</f>
        <v>-4.74609375</v>
      </c>
      <c r="I17" s="18" t="n">
        <f aca="false">I16-H16</f>
        <v>-3.5595703125</v>
      </c>
      <c r="J17" s="18" t="n">
        <f aca="false">J16-I16</f>
        <v>-2.669677734375</v>
      </c>
    </row>
    <row r="18" customFormat="false" ht="15" hidden="false" customHeight="true" outlineLevel="0" collapsed="false">
      <c r="B18" s="29" t="s">
        <v>203</v>
      </c>
      <c r="C18" s="30"/>
      <c r="D18" s="30" t="n">
        <f aca="false">D14+D9-D15-D17</f>
        <v>4.875</v>
      </c>
      <c r="E18" s="30" t="n">
        <f aca="false">E14+E9-E15-E17</f>
        <v>-13.620825</v>
      </c>
      <c r="F18" s="30" t="n">
        <f aca="false">F14+F9-F15-F17</f>
        <v>-29.3491305</v>
      </c>
      <c r="G18" s="30" t="n">
        <f aca="false">G14+G9-G15-G17</f>
        <v>-43.36544260125</v>
      </c>
      <c r="H18" s="30" t="n">
        <f aca="false">H14+H9-H15-H17</f>
        <v>-53.8850994796875</v>
      </c>
      <c r="I18" s="30" t="n">
        <f aca="false">I14+I9-I15-I17</f>
        <v>-59.5932873442969</v>
      </c>
      <c r="J18" s="30" t="n">
        <f aca="false">J14+J9-J15-J17</f>
        <v>-63.905953137293</v>
      </c>
    </row>
    <row r="19" customFormat="false" ht="15" hidden="false" customHeight="true" outlineLevel="0" collapsed="false">
      <c r="B19" s="29" t="s">
        <v>204</v>
      </c>
      <c r="C19" s="30"/>
      <c r="D19" s="30" t="n">
        <f aca="false">D8-D13-D15-D17</f>
        <v>69.9</v>
      </c>
      <c r="E19" s="30" t="n">
        <f aca="false">E8-E13-E15-E17</f>
        <v>51.4125</v>
      </c>
      <c r="F19" s="30" t="n">
        <f aca="false">F8-F13-F15-F17</f>
        <v>37.8</v>
      </c>
      <c r="G19" s="30" t="n">
        <f aca="false">G8-G13-G15-G17</f>
        <v>27.78046875</v>
      </c>
      <c r="H19" s="30" t="n">
        <f aca="false">H8-H13-H15-H17</f>
        <v>20.408203125</v>
      </c>
      <c r="I19" s="30" t="n">
        <f aca="false">I8-I13-I15-I17</f>
        <v>14.985791015625</v>
      </c>
      <c r="J19" s="30" t="n">
        <f aca="false">J8-J13-J15-J17</f>
        <v>10.999072265625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205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181</v>
      </c>
      <c r="C4" s="16" t="s">
        <v>206</v>
      </c>
      <c r="D4" s="16" t="s">
        <v>183</v>
      </c>
      <c r="E4" s="16" t="s">
        <v>184</v>
      </c>
      <c r="F4" s="16" t="s">
        <v>185</v>
      </c>
      <c r="G4" s="16" t="s">
        <v>186</v>
      </c>
      <c r="H4" s="16" t="s">
        <v>187</v>
      </c>
      <c r="I4" s="16" t="s">
        <v>188</v>
      </c>
      <c r="J4" s="16" t="s">
        <v>189</v>
      </c>
    </row>
    <row r="5" customFormat="false" ht="15" hidden="false" customHeight="true" outlineLevel="0" collapsed="false">
      <c r="B5" s="1" t="s">
        <v>207</v>
      </c>
      <c r="C5" s="18" t="n">
        <f aca="false">Assumptions!E16</f>
        <v>25</v>
      </c>
      <c r="D5" s="18" t="n">
        <f aca="false">C13</f>
        <v>25</v>
      </c>
      <c r="E5" s="18" t="n">
        <f aca="false">D13</f>
        <v>25.32625</v>
      </c>
      <c r="F5" s="18" t="n">
        <f aca="false">E13</f>
        <v>25</v>
      </c>
      <c r="G5" s="18" t="n">
        <f aca="false">F13</f>
        <v>25</v>
      </c>
      <c r="H5" s="18" t="n">
        <f aca="false">G13</f>
        <v>3.28085189874999</v>
      </c>
      <c r="I5" s="18" t="n">
        <f aca="false">H13</f>
        <v>-54.1742475809375</v>
      </c>
      <c r="J5" s="18" t="n">
        <f aca="false">I13</f>
        <v>-117.337534925234</v>
      </c>
    </row>
    <row r="6" customFormat="false" ht="15" hidden="false" customHeight="true" outlineLevel="0" collapsed="false">
      <c r="B6" s="1" t="s">
        <v>204</v>
      </c>
      <c r="D6" s="18" t="n">
        <f aca="false">'Operating Model'!D19</f>
        <v>69.9</v>
      </c>
      <c r="E6" s="18" t="n">
        <f aca="false">'Operating Model'!E19</f>
        <v>51.4125</v>
      </c>
      <c r="F6" s="18" t="n">
        <f aca="false">'Operating Model'!F19</f>
        <v>37.8</v>
      </c>
      <c r="G6" s="18" t="n">
        <f aca="false">'Operating Model'!G19</f>
        <v>27.78046875</v>
      </c>
      <c r="H6" s="18" t="n">
        <f aca="false">'Operating Model'!H19</f>
        <v>20.408203125</v>
      </c>
      <c r="I6" s="18" t="n">
        <f aca="false">'Operating Model'!I19</f>
        <v>14.985791015625</v>
      </c>
      <c r="J6" s="18" t="n">
        <f aca="false">'Operating Model'!J19</f>
        <v>10.999072265625</v>
      </c>
    </row>
    <row r="7" customFormat="false" ht="15" hidden="false" customHeight="true" outlineLevel="0" collapsed="false">
      <c r="B7" s="1" t="s">
        <v>196</v>
      </c>
      <c r="D7" s="18" t="n">
        <f aca="false">SUM(D15,D18,D23)</f>
        <v>65.025</v>
      </c>
      <c r="E7" s="18" t="n">
        <f aca="false">SUM(E15,E18,E23)</f>
        <v>65.033325</v>
      </c>
      <c r="F7" s="18" t="n">
        <f aca="false">SUM(F15,F18,F23)</f>
        <v>67.1491305</v>
      </c>
      <c r="G7" s="18" t="n">
        <f aca="false">SUM(G15,G18,G23)</f>
        <v>71.14591135125</v>
      </c>
      <c r="H7" s="18" t="n">
        <f aca="false">SUM(H15,H18,H23)</f>
        <v>74.2933026046875</v>
      </c>
      <c r="I7" s="18" t="n">
        <f aca="false">SUM(I15,I18,I23)</f>
        <v>74.5790783599219</v>
      </c>
      <c r="J7" s="18" t="n">
        <f aca="false">SUM(J15,J18,J23)</f>
        <v>74.905025402918</v>
      </c>
    </row>
    <row r="8" customFormat="false" ht="15" hidden="false" customHeight="true" outlineLevel="0" collapsed="false">
      <c r="B8" s="1" t="s">
        <v>208</v>
      </c>
      <c r="D8" s="18" t="n">
        <f aca="false">D19</f>
        <v>3.57</v>
      </c>
      <c r="E8" s="18" t="n">
        <f aca="false">E19</f>
        <v>3.57</v>
      </c>
      <c r="F8" s="18" t="n">
        <f aca="false">F19</f>
        <v>3.57</v>
      </c>
      <c r="G8" s="18" t="n">
        <f aca="false">G19</f>
        <v>3.57</v>
      </c>
      <c r="H8" s="18" t="n">
        <f aca="false">H19</f>
        <v>3.57</v>
      </c>
      <c r="I8" s="18" t="n">
        <f aca="false">I19</f>
        <v>3.57</v>
      </c>
      <c r="J8" s="18" t="n">
        <f aca="false">J19</f>
        <v>3.57</v>
      </c>
    </row>
    <row r="9" customFormat="false" ht="15" hidden="false" customHeight="true" outlineLevel="0" collapsed="false">
      <c r="B9" s="1" t="s">
        <v>209</v>
      </c>
      <c r="D9" s="18" t="n">
        <f aca="false">D5+D6-D7-D8</f>
        <v>26.305</v>
      </c>
      <c r="E9" s="18" t="n">
        <f aca="false">E5+E6-E7-E8</f>
        <v>8.13542500000001</v>
      </c>
      <c r="F9" s="18" t="n">
        <f aca="false">F5+F6-F7-F8</f>
        <v>-7.91913050000001</v>
      </c>
      <c r="G9" s="18" t="n">
        <f aca="false">G5+G6-G7-G8</f>
        <v>-21.93544260125</v>
      </c>
      <c r="H9" s="18" t="n">
        <f aca="false">H5+H6-H7-H8</f>
        <v>-54.1742475809375</v>
      </c>
      <c r="I9" s="18" t="n">
        <f aca="false">I5+I6-I7-I8</f>
        <v>-117.337534925234</v>
      </c>
      <c r="J9" s="18" t="n">
        <f aca="false">J5+J6-J7-J8</f>
        <v>-184.813488062527</v>
      </c>
    </row>
    <row r="10" customFormat="false" ht="15" hidden="false" customHeight="true" outlineLevel="0" collapsed="false">
      <c r="B10" s="1" t="s">
        <v>210</v>
      </c>
      <c r="D10" s="18" t="n">
        <f aca="false">IF(D9&lt;Assumptions!$E$16,MIN(Assumptions!$E$17-D14,Assumptions!$E$16-D9),-MIN(D14,MAX(0,D9-Assumptions!$E$16)))</f>
        <v>-0</v>
      </c>
      <c r="E10" s="18" t="n">
        <f aca="false">IF(E9&lt;Assumptions!$E$16,MIN(Assumptions!$E$17-E14,Assumptions!$E$16-E9),-MIN(E14,MAX(0,E9-Assumptions!$E$16)))</f>
        <v>16.864575</v>
      </c>
      <c r="F10" s="18" t="n">
        <f aca="false">IF(F9&lt;Assumptions!$E$16,MIN(Assumptions!$E$17-F14,Assumptions!$E$16-F9),-MIN(F14,MAX(0,F9-Assumptions!$E$16)))</f>
        <v>32.9191305</v>
      </c>
      <c r="G10" s="18" t="n">
        <f aca="false">IF(G9&lt;Assumptions!$E$16,MIN(Assumptions!$E$17-G14,Assumptions!$E$16-G9),-MIN(G14,MAX(0,G9-Assumptions!$E$16)))</f>
        <v>25.2162945</v>
      </c>
      <c r="H10" s="18" t="n">
        <f aca="false">IF(H9&lt;Assumptions!$E$16,MIN(Assumptions!$E$17-H14,Assumptions!$E$16-H9),-MIN(H14,MAX(0,H9-Assumptions!$E$16)))</f>
        <v>0</v>
      </c>
      <c r="I10" s="18" t="n">
        <f aca="false">IF(I9&lt;Assumptions!$E$16,MIN(Assumptions!$E$17-I14,Assumptions!$E$16-I9),-MIN(I14,MAX(0,I9-Assumptions!$E$16)))</f>
        <v>0</v>
      </c>
      <c r="J10" s="18" t="n">
        <f aca="false">IF(J9&lt;Assumptions!$E$16,MIN(Assumptions!$E$17-J14,Assumptions!$E$16-J9),-MIN(J14,MAX(0,J9-Assumptions!$E$16)))</f>
        <v>0</v>
      </c>
    </row>
    <row r="11" customFormat="false" ht="15" hidden="false" customHeight="true" outlineLevel="0" collapsed="false">
      <c r="B11" s="1" t="s">
        <v>211</v>
      </c>
      <c r="D11" s="18" t="n">
        <f aca="false">MIN(MAX(0,D17-D19),MAX(0,D9+D10-Assumptions!$E$16)*Assumptions!$E$25)</f>
        <v>0.6525</v>
      </c>
      <c r="E11" s="18" t="n">
        <f aca="false">MIN(MAX(0,E17-E19),MAX(0,E9+E10-Assumptions!$E$16)*Assumptions!$E$25)</f>
        <v>0</v>
      </c>
      <c r="F11" s="18" t="n">
        <f aca="false">MIN(MAX(0,F17-F19),MAX(0,F9+F10-Assumptions!$E$16)*Assumptions!$E$25)</f>
        <v>0</v>
      </c>
      <c r="G11" s="18" t="n">
        <f aca="false">MIN(MAX(0,G17-G19),MAX(0,G9+G10-Assumptions!$E$16)*Assumptions!$E$25)</f>
        <v>0</v>
      </c>
      <c r="H11" s="18" t="n">
        <f aca="false">MIN(MAX(0,H17-H19),MAX(0,H9+H10-Assumptions!$E$16)*Assumptions!$E$25)</f>
        <v>0</v>
      </c>
      <c r="I11" s="18" t="n">
        <f aca="false">MIN(MAX(0,I17-I19),MAX(0,I9+I10-Assumptions!$E$16)*Assumptions!$E$25)</f>
        <v>0</v>
      </c>
      <c r="J11" s="18" t="n">
        <f aca="false">MIN(MAX(0,J17-J19),MAX(0,J9+J10-Assumptions!$E$16)*Assumptions!$E$25)</f>
        <v>0</v>
      </c>
    </row>
    <row r="12" customFormat="false" ht="15" hidden="false" customHeight="true" outlineLevel="0" collapsed="false">
      <c r="B12" s="1" t="s">
        <v>212</v>
      </c>
      <c r="D12" s="18" t="n">
        <f aca="false">MIN(MAX(0,D22+D24),MAX(0,D9+D10-D11-Assumptions!$E$16)*Assumptions!$E$25)</f>
        <v>0.32625</v>
      </c>
      <c r="E12" s="18" t="n">
        <f aca="false">MIN(MAX(0,E22+E24),MAX(0,E9+E10-E11-Assumptions!$E$16)*Assumptions!$E$25)</f>
        <v>0</v>
      </c>
      <c r="F12" s="18" t="n">
        <f aca="false">MIN(MAX(0,F22+F24),MAX(0,F9+F10-F11-Assumptions!$E$16)*Assumptions!$E$25)</f>
        <v>0</v>
      </c>
      <c r="G12" s="18" t="n">
        <f aca="false">MIN(MAX(0,G22+G24),MAX(0,G9+G10-G11-Assumptions!$E$16)*Assumptions!$E$25)</f>
        <v>0</v>
      </c>
      <c r="H12" s="18" t="n">
        <f aca="false">MIN(MAX(0,H22+H24),MAX(0,H9+H10-H11-Assumptions!$E$16)*Assumptions!$E$25)</f>
        <v>0</v>
      </c>
      <c r="I12" s="18" t="n">
        <f aca="false">MIN(MAX(0,I22+I24),MAX(0,I9+I10-I11-Assumptions!$E$16)*Assumptions!$E$25)</f>
        <v>0</v>
      </c>
      <c r="J12" s="18" t="n">
        <f aca="false">MIN(MAX(0,J22+J24),MAX(0,J9+J10-J11-Assumptions!$E$16)*Assumptions!$E$25)</f>
        <v>0</v>
      </c>
    </row>
    <row r="13" customFormat="false" ht="15" hidden="false" customHeight="true" outlineLevel="0" collapsed="false">
      <c r="B13" s="29" t="s">
        <v>213</v>
      </c>
      <c r="C13" s="30" t="n">
        <f aca="false">C5</f>
        <v>25</v>
      </c>
      <c r="D13" s="30" t="n">
        <f aca="false">D9+D10-D11-D12</f>
        <v>25.32625</v>
      </c>
      <c r="E13" s="30" t="n">
        <f aca="false">E9+E10-E11-E12</f>
        <v>25</v>
      </c>
      <c r="F13" s="30" t="n">
        <f aca="false">F9+F10-F11-F12</f>
        <v>25</v>
      </c>
      <c r="G13" s="30" t="n">
        <f aca="false">G9+G10-G11-G12</f>
        <v>3.28085189874999</v>
      </c>
      <c r="H13" s="30" t="n">
        <f aca="false">H9+H10-H11-H12</f>
        <v>-54.1742475809375</v>
      </c>
      <c r="I13" s="30" t="n">
        <f aca="false">I9+I10-I11-I12</f>
        <v>-117.337534925234</v>
      </c>
      <c r="J13" s="30" t="n">
        <f aca="false">J9+J10-J11-J12</f>
        <v>-184.813488062527</v>
      </c>
    </row>
    <row r="14" customFormat="false" ht="15" hidden="false" customHeight="true" outlineLevel="0" collapsed="false">
      <c r="B14" s="1" t="s">
        <v>214</v>
      </c>
      <c r="C14" s="18" t="n">
        <f aca="false">'Sources &amp; Uses'!F5</f>
        <v>0</v>
      </c>
      <c r="D14" s="18" t="n">
        <f aca="false">C16</f>
        <v>0</v>
      </c>
      <c r="E14" s="18" t="n">
        <f aca="false">D16</f>
        <v>0</v>
      </c>
      <c r="F14" s="18" t="n">
        <f aca="false">E16</f>
        <v>16.864575</v>
      </c>
      <c r="G14" s="18" t="n">
        <f aca="false">F16</f>
        <v>49.7837055</v>
      </c>
      <c r="H14" s="18" t="n">
        <f aca="false">G16</f>
        <v>75</v>
      </c>
      <c r="I14" s="18" t="n">
        <f aca="false">H16</f>
        <v>75</v>
      </c>
      <c r="J14" s="18" t="n">
        <f aca="false">I16</f>
        <v>75</v>
      </c>
    </row>
    <row r="15" customFormat="false" ht="15" hidden="false" customHeight="true" outlineLevel="0" collapsed="false">
      <c r="B15" s="1" t="s">
        <v>215</v>
      </c>
      <c r="D15" s="18" t="n">
        <f aca="false">D14*Assumptions!$E$18</f>
        <v>0</v>
      </c>
      <c r="E15" s="18" t="n">
        <f aca="false">E14*Assumptions!$E$18</f>
        <v>0</v>
      </c>
      <c r="F15" s="18" t="n">
        <f aca="false">F14*Assumptions!$E$18</f>
        <v>1.939426125</v>
      </c>
      <c r="G15" s="18" t="n">
        <f aca="false">G14*Assumptions!$E$18</f>
        <v>5.7251261325</v>
      </c>
      <c r="H15" s="18" t="n">
        <f aca="false">H14*Assumptions!$E$18</f>
        <v>8.625</v>
      </c>
      <c r="I15" s="18" t="n">
        <f aca="false">I14*Assumptions!$E$18</f>
        <v>8.625</v>
      </c>
      <c r="J15" s="18" t="n">
        <f aca="false">J14*Assumptions!$E$18</f>
        <v>8.625</v>
      </c>
    </row>
    <row r="16" customFormat="false" ht="15" hidden="false" customHeight="true" outlineLevel="0" collapsed="false">
      <c r="B16" s="1" t="s">
        <v>216</v>
      </c>
      <c r="C16" s="18" t="n">
        <f aca="false">C14</f>
        <v>0</v>
      </c>
      <c r="D16" s="18" t="n">
        <f aca="false">MAX(0,D14+D10)</f>
        <v>0</v>
      </c>
      <c r="E16" s="18" t="n">
        <f aca="false">MAX(0,E14+E10)</f>
        <v>16.864575</v>
      </c>
      <c r="F16" s="18" t="n">
        <f aca="false">MAX(0,F14+F10)</f>
        <v>49.7837055</v>
      </c>
      <c r="G16" s="18" t="n">
        <f aca="false">MAX(0,G14+G10)</f>
        <v>75</v>
      </c>
      <c r="H16" s="18" t="n">
        <f aca="false">MAX(0,H14+H10)</f>
        <v>75</v>
      </c>
      <c r="I16" s="18" t="n">
        <f aca="false">MAX(0,I14+I10)</f>
        <v>75</v>
      </c>
      <c r="J16" s="18" t="n">
        <f aca="false">MAX(0,J14+J10)</f>
        <v>75</v>
      </c>
    </row>
    <row r="17" customFormat="false" ht="15" hidden="false" customHeight="true" outlineLevel="0" collapsed="false">
      <c r="B17" s="1" t="s">
        <v>217</v>
      </c>
      <c r="C17" s="18" t="n">
        <f aca="false">'Sources &amp; Uses'!F6</f>
        <v>357</v>
      </c>
      <c r="D17" s="18" t="n">
        <f aca="false">C21</f>
        <v>357</v>
      </c>
      <c r="E17" s="18" t="n">
        <f aca="false">D21</f>
        <v>352.7775</v>
      </c>
      <c r="F17" s="18" t="n">
        <f aca="false">E21</f>
        <v>349.2075</v>
      </c>
      <c r="G17" s="18" t="n">
        <f aca="false">F21</f>
        <v>345.6375</v>
      </c>
      <c r="H17" s="18" t="n">
        <f aca="false">G21</f>
        <v>342.0675</v>
      </c>
      <c r="I17" s="18" t="n">
        <f aca="false">H21</f>
        <v>338.4975</v>
      </c>
      <c r="J17" s="18" t="n">
        <f aca="false">I21</f>
        <v>334.9275</v>
      </c>
    </row>
    <row r="18" customFormat="false" ht="15" hidden="false" customHeight="true" outlineLevel="0" collapsed="false">
      <c r="B18" s="1" t="s">
        <v>218</v>
      </c>
      <c r="D18" s="18" t="n">
        <f aca="false">D17*Assumptions!$E$20</f>
        <v>51.765</v>
      </c>
      <c r="E18" s="18" t="n">
        <f aca="false">E17*Assumptions!$E$20</f>
        <v>51.1527375</v>
      </c>
      <c r="F18" s="18" t="n">
        <f aca="false">F17*Assumptions!$E$20</f>
        <v>50.6350875</v>
      </c>
      <c r="G18" s="18" t="n">
        <f aca="false">G17*Assumptions!$E$20</f>
        <v>50.1174375</v>
      </c>
      <c r="H18" s="18" t="n">
        <f aca="false">H17*Assumptions!$E$20</f>
        <v>49.5997875</v>
      </c>
      <c r="I18" s="18" t="n">
        <f aca="false">I17*Assumptions!$E$20</f>
        <v>49.0821375</v>
      </c>
      <c r="J18" s="18" t="n">
        <f aca="false">J17*Assumptions!$E$20</f>
        <v>48.5644875</v>
      </c>
    </row>
    <row r="19" customFormat="false" ht="15" hidden="false" customHeight="true" outlineLevel="0" collapsed="false">
      <c r="B19" s="1" t="s">
        <v>219</v>
      </c>
      <c r="D19" s="18" t="n">
        <f aca="false">MIN(D17,'Sources &amp; Uses'!$F$6*Assumptions!$E$21)</f>
        <v>3.57</v>
      </c>
      <c r="E19" s="18" t="n">
        <f aca="false">MIN(E17,'Sources &amp; Uses'!$F$6*Assumptions!$E$21)</f>
        <v>3.57</v>
      </c>
      <c r="F19" s="18" t="n">
        <f aca="false">MIN(F17,'Sources &amp; Uses'!$F$6*Assumptions!$E$21)</f>
        <v>3.57</v>
      </c>
      <c r="G19" s="18" t="n">
        <f aca="false">MIN(G17,'Sources &amp; Uses'!$F$6*Assumptions!$E$21)</f>
        <v>3.57</v>
      </c>
      <c r="H19" s="18" t="n">
        <f aca="false">MIN(H17,'Sources &amp; Uses'!$F$6*Assumptions!$E$21)</f>
        <v>3.57</v>
      </c>
      <c r="I19" s="18" t="n">
        <f aca="false">MIN(I17,'Sources &amp; Uses'!$F$6*Assumptions!$E$21)</f>
        <v>3.57</v>
      </c>
      <c r="J19" s="18" t="n">
        <f aca="false">MIN(J17,'Sources &amp; Uses'!$F$6*Assumptions!$E$21)</f>
        <v>3.57</v>
      </c>
    </row>
    <row r="20" customFormat="false" ht="15" hidden="false" customHeight="true" outlineLevel="0" collapsed="false">
      <c r="B20" s="29" t="s">
        <v>220</v>
      </c>
      <c r="C20" s="30" t="n">
        <f aca="false">'Sources &amp; Uses'!F7</f>
        <v>102</v>
      </c>
      <c r="D20" s="30" t="n">
        <f aca="false">D11</f>
        <v>0.6525</v>
      </c>
      <c r="E20" s="30" t="n">
        <f aca="false">E11</f>
        <v>0</v>
      </c>
      <c r="F20" s="30" t="n">
        <f aca="false">F11</f>
        <v>0</v>
      </c>
      <c r="G20" s="30" t="n">
        <f aca="false">G11</f>
        <v>0</v>
      </c>
      <c r="H20" s="30" t="n">
        <f aca="false">H11</f>
        <v>0</v>
      </c>
      <c r="I20" s="30" t="n">
        <f aca="false">I11</f>
        <v>0</v>
      </c>
      <c r="J20" s="30" t="n">
        <f aca="false">J11</f>
        <v>0</v>
      </c>
    </row>
    <row r="21" customFormat="false" ht="15" hidden="false" customHeight="true" outlineLevel="0" collapsed="false">
      <c r="B21" s="1" t="s">
        <v>221</v>
      </c>
      <c r="C21" s="18" t="n">
        <f aca="false">C17</f>
        <v>357</v>
      </c>
      <c r="D21" s="18" t="n">
        <f aca="false">MAX(0,D17-D19-D20)</f>
        <v>352.7775</v>
      </c>
      <c r="E21" s="18" t="n">
        <f aca="false">MAX(0,E17-E19-E20)</f>
        <v>349.2075</v>
      </c>
      <c r="F21" s="18" t="n">
        <f aca="false">MAX(0,F17-F19-F20)</f>
        <v>345.6375</v>
      </c>
      <c r="G21" s="18" t="n">
        <f aca="false">MAX(0,G17-G19-G20)</f>
        <v>342.0675</v>
      </c>
      <c r="H21" s="18" t="n">
        <f aca="false">MAX(0,H17-H19-H20)</f>
        <v>338.4975</v>
      </c>
      <c r="I21" s="18" t="n">
        <f aca="false">MAX(0,I17-I19-I20)</f>
        <v>334.9275</v>
      </c>
      <c r="J21" s="18" t="n">
        <f aca="false">MAX(0,J17-J19-J20)</f>
        <v>331.3575</v>
      </c>
    </row>
    <row r="22" customFormat="false" ht="15" hidden="false" customHeight="true" outlineLevel="0" collapsed="false">
      <c r="B22" s="1" t="s">
        <v>222</v>
      </c>
      <c r="C22" s="18" t="n">
        <f aca="false">'Sources &amp; Uses'!F7</f>
        <v>102</v>
      </c>
      <c r="D22" s="18" t="n">
        <f aca="false">C26</f>
        <v>102</v>
      </c>
      <c r="E22" s="18" t="n">
        <f aca="false">D26</f>
        <v>106.77375</v>
      </c>
      <c r="F22" s="18" t="n">
        <f aca="false">E26</f>
        <v>112.1124375</v>
      </c>
      <c r="G22" s="18" t="n">
        <f aca="false">F26</f>
        <v>117.718059375</v>
      </c>
      <c r="H22" s="18" t="n">
        <f aca="false">G26</f>
        <v>123.60396234375</v>
      </c>
      <c r="I22" s="18" t="n">
        <f aca="false">H26</f>
        <v>129.784160460938</v>
      </c>
      <c r="J22" s="18" t="n">
        <f aca="false">I26</f>
        <v>136.273368483984</v>
      </c>
    </row>
    <row r="23" customFormat="false" ht="15" hidden="false" customHeight="true" outlineLevel="0" collapsed="false">
      <c r="B23" s="1" t="s">
        <v>223</v>
      </c>
      <c r="D23" s="18" t="n">
        <f aca="false">D22*Assumptions!$E$23</f>
        <v>13.26</v>
      </c>
      <c r="E23" s="18" t="n">
        <f aca="false">E22*Assumptions!$E$23</f>
        <v>13.8805875</v>
      </c>
      <c r="F23" s="18" t="n">
        <f aca="false">F22*Assumptions!$E$23</f>
        <v>14.574616875</v>
      </c>
      <c r="G23" s="18" t="n">
        <f aca="false">G22*Assumptions!$E$23</f>
        <v>15.30334771875</v>
      </c>
      <c r="H23" s="18" t="n">
        <f aca="false">H22*Assumptions!$E$23</f>
        <v>16.0685151046875</v>
      </c>
      <c r="I23" s="18" t="n">
        <f aca="false">I22*Assumptions!$E$23</f>
        <v>16.8719408599219</v>
      </c>
      <c r="J23" s="18" t="n">
        <f aca="false">J22*Assumptions!$E$23</f>
        <v>17.715537902918</v>
      </c>
    </row>
    <row r="24" customFormat="false" ht="15" hidden="false" customHeight="true" outlineLevel="0" collapsed="false">
      <c r="B24" s="29" t="s">
        <v>224</v>
      </c>
      <c r="C24" s="30"/>
      <c r="D24" s="30" t="n">
        <f aca="false">D22*Assumptions!$E$24</f>
        <v>5.1</v>
      </c>
      <c r="E24" s="30" t="n">
        <f aca="false">E22*Assumptions!$E$24</f>
        <v>5.3386875</v>
      </c>
      <c r="F24" s="30" t="n">
        <f aca="false">F22*Assumptions!$E$24</f>
        <v>5.605621875</v>
      </c>
      <c r="G24" s="30" t="n">
        <f aca="false">G22*Assumptions!$E$24</f>
        <v>5.88590296875</v>
      </c>
      <c r="H24" s="30" t="n">
        <f aca="false">H22*Assumptions!$E$24</f>
        <v>6.1801981171875</v>
      </c>
      <c r="I24" s="30" t="n">
        <f aca="false">I22*Assumptions!$E$24</f>
        <v>6.48920802304688</v>
      </c>
      <c r="J24" s="30" t="n">
        <f aca="false">J22*Assumptions!$E$24</f>
        <v>6.81366842419922</v>
      </c>
    </row>
    <row r="25" customFormat="false" ht="15" hidden="false" customHeight="true" outlineLevel="0" collapsed="false">
      <c r="B25" s="29" t="s">
        <v>225</v>
      </c>
      <c r="C25" s="30" t="n">
        <f aca="false">SUM(C16,C20,C13)</f>
        <v>127</v>
      </c>
      <c r="D25" s="30" t="n">
        <f aca="false">D12</f>
        <v>0.32625</v>
      </c>
      <c r="E25" s="30" t="n">
        <f aca="false">E12</f>
        <v>0</v>
      </c>
      <c r="F25" s="30" t="n">
        <f aca="false">F12</f>
        <v>0</v>
      </c>
      <c r="G25" s="30" t="n">
        <f aca="false">G12</f>
        <v>0</v>
      </c>
      <c r="H25" s="30" t="n">
        <f aca="false">H12</f>
        <v>0</v>
      </c>
      <c r="I25" s="30" t="n">
        <f aca="false">I12</f>
        <v>0</v>
      </c>
      <c r="J25" s="30" t="n">
        <f aca="false">J12</f>
        <v>0</v>
      </c>
    </row>
    <row r="26" customFormat="false" ht="15" hidden="false" customHeight="true" outlineLevel="0" collapsed="false">
      <c r="B26" s="29" t="s">
        <v>226</v>
      </c>
      <c r="C26" s="30" t="n">
        <f aca="false">C22</f>
        <v>102</v>
      </c>
      <c r="D26" s="30" t="n">
        <f aca="false">MAX(0,D22+D24-D25)</f>
        <v>106.77375</v>
      </c>
      <c r="E26" s="30" t="n">
        <f aca="false">MAX(0,E22+E24-E25)</f>
        <v>112.1124375</v>
      </c>
      <c r="F26" s="30" t="n">
        <f aca="false">MAX(0,F22+F24-F25)</f>
        <v>117.718059375</v>
      </c>
      <c r="G26" s="30" t="n">
        <f aca="false">MAX(0,G22+G24-G25)</f>
        <v>123.60396234375</v>
      </c>
      <c r="H26" s="30" t="n">
        <f aca="false">MAX(0,H22+H24-H25)</f>
        <v>129.784160460938</v>
      </c>
      <c r="I26" s="30" t="n">
        <f aca="false">MAX(0,I22+I24-I25)</f>
        <v>136.273368483984</v>
      </c>
      <c r="J26" s="30" t="n">
        <f aca="false">MAX(0,J22+J24-J25)</f>
        <v>143.087036908184</v>
      </c>
    </row>
    <row r="27" customFormat="false" ht="15" hidden="false" customHeight="true" outlineLevel="0" collapsed="false">
      <c r="B27" s="1" t="s">
        <v>227</v>
      </c>
      <c r="C27" s="18" t="n">
        <f aca="false">SUM(C16,C21,C26)</f>
        <v>459</v>
      </c>
      <c r="D27" s="18" t="n">
        <f aca="false">SUM(D16,D21,D26)</f>
        <v>459.55125</v>
      </c>
      <c r="E27" s="18" t="n">
        <f aca="false">SUM(E16,E21,E26)</f>
        <v>478.1845125</v>
      </c>
      <c r="F27" s="18" t="n">
        <f aca="false">SUM(F16,F21,F26)</f>
        <v>513.139264875</v>
      </c>
      <c r="G27" s="18" t="n">
        <f aca="false">SUM(G16,G21,G26)</f>
        <v>540.67146234375</v>
      </c>
      <c r="H27" s="18" t="n">
        <f aca="false">SUM(H16,H21,H26)</f>
        <v>543.281660460938</v>
      </c>
      <c r="I27" s="18" t="n">
        <f aca="false">SUM(I16,I21,I26)</f>
        <v>546.200868483985</v>
      </c>
      <c r="J27" s="18" t="n">
        <f aca="false">SUM(J16,J21,J26)</f>
        <v>549.444536908184</v>
      </c>
    </row>
    <row r="28" customFormat="false" ht="15" hidden="false" customHeight="true" outlineLevel="0" collapsed="false">
      <c r="B28" s="1" t="s">
        <v>228</v>
      </c>
      <c r="C28" s="18" t="n">
        <f aca="false">C27-C13</f>
        <v>434</v>
      </c>
      <c r="D28" s="18" t="n">
        <f aca="false">D27-D13</f>
        <v>434.225</v>
      </c>
      <c r="E28" s="18" t="n">
        <f aca="false">E27-E13</f>
        <v>453.1845125</v>
      </c>
      <c r="F28" s="18" t="n">
        <f aca="false">F27-F13</f>
        <v>488.139264875</v>
      </c>
      <c r="G28" s="18" t="n">
        <f aca="false">G27-G13</f>
        <v>537.390610445</v>
      </c>
      <c r="H28" s="18" t="n">
        <f aca="false">H27-H13</f>
        <v>597.455908041875</v>
      </c>
      <c r="I28" s="18" t="n">
        <f aca="false">I27-I13</f>
        <v>663.538403409219</v>
      </c>
      <c r="J28" s="18" t="n">
        <f aca="false">J27-J13</f>
        <v>734.258024970711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229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230</v>
      </c>
      <c r="C4" s="16" t="s">
        <v>183</v>
      </c>
      <c r="D4" s="16" t="s">
        <v>184</v>
      </c>
      <c r="E4" s="16" t="s">
        <v>185</v>
      </c>
      <c r="F4" s="16" t="s">
        <v>186</v>
      </c>
      <c r="G4" s="16" t="s">
        <v>187</v>
      </c>
      <c r="H4" s="16" t="s">
        <v>188</v>
      </c>
      <c r="I4" s="16" t="s">
        <v>189</v>
      </c>
    </row>
    <row r="5" customFormat="false" ht="15" hidden="false" customHeight="true" outlineLevel="0" collapsed="false">
      <c r="B5" s="1" t="s">
        <v>231</v>
      </c>
      <c r="C5" s="25" t="n">
        <f aca="false">IFERROR('Debt Schedule'!D25/'Operating Model'!D8,0)</f>
        <v>0.00434131736526946</v>
      </c>
      <c r="D5" s="25" t="n">
        <f aca="false">IFERROR('Debt Schedule'!E25/'Operating Model'!E8,0)</f>
        <v>0</v>
      </c>
      <c r="E5" s="25" t="n">
        <f aca="false">IFERROR('Debt Schedule'!F25/'Operating Model'!F8,0)</f>
        <v>0</v>
      </c>
      <c r="F5" s="25" t="n">
        <f aca="false">IFERROR('Debt Schedule'!G25/'Operating Model'!G8,0)</f>
        <v>0</v>
      </c>
      <c r="G5" s="25" t="n">
        <f aca="false">IFERROR('Debt Schedule'!H25/'Operating Model'!H8,0)</f>
        <v>0</v>
      </c>
      <c r="H5" s="25" t="n">
        <f aca="false">IFERROR('Debt Schedule'!I25/'Operating Model'!I8,0)</f>
        <v>0</v>
      </c>
      <c r="I5" s="25" t="n">
        <f aca="false">IFERROR('Debt Schedule'!J25/'Operating Model'!J8,0)</f>
        <v>0</v>
      </c>
    </row>
    <row r="6" customFormat="false" ht="15" hidden="false" customHeight="true" outlineLevel="0" collapsed="false">
      <c r="B6" s="1" t="s">
        <v>232</v>
      </c>
      <c r="C6" s="25" t="n">
        <f aca="false">Assumptions!$E$26</f>
        <v>6.5</v>
      </c>
      <c r="D6" s="25" t="n">
        <f aca="false">Assumptions!$E$26</f>
        <v>6.5</v>
      </c>
      <c r="E6" s="25" t="n">
        <f aca="false">Assumptions!$E$26</f>
        <v>6.5</v>
      </c>
      <c r="F6" s="25" t="n">
        <f aca="false">Assumptions!$E$26</f>
        <v>6.5</v>
      </c>
      <c r="G6" s="25" t="n">
        <f aca="false">Assumptions!$E$26</f>
        <v>6.5</v>
      </c>
      <c r="H6" s="25" t="n">
        <f aca="false">Assumptions!$E$26</f>
        <v>6.5</v>
      </c>
      <c r="I6" s="25" t="n">
        <f aca="false">Assumptions!$E$26</f>
        <v>6.5</v>
      </c>
    </row>
    <row r="7" customFormat="false" ht="15" hidden="false" customHeight="true" outlineLevel="0" collapsed="false">
      <c r="B7" s="1" t="s">
        <v>233</v>
      </c>
      <c r="C7" s="25" t="n">
        <f aca="false">C6-C5</f>
        <v>6.49565868263473</v>
      </c>
      <c r="D7" s="25" t="n">
        <f aca="false">D6-D5</f>
        <v>6.5</v>
      </c>
      <c r="E7" s="25" t="n">
        <f aca="false">E6-E5</f>
        <v>6.5</v>
      </c>
      <c r="F7" s="25" t="n">
        <f aca="false">F6-F5</f>
        <v>6.5</v>
      </c>
      <c r="G7" s="25" t="n">
        <f aca="false">G6-G5</f>
        <v>6.5</v>
      </c>
      <c r="H7" s="25" t="n">
        <f aca="false">H6-H5</f>
        <v>6.5</v>
      </c>
      <c r="I7" s="25" t="n">
        <f aca="false">I6-I5</f>
        <v>6.5</v>
      </c>
    </row>
    <row r="8" customFormat="false" ht="15" hidden="false" customHeight="true" outlineLevel="0" collapsed="false">
      <c r="B8" s="1" t="s">
        <v>234</v>
      </c>
      <c r="C8" s="25" t="n">
        <f aca="false">IFERROR('Operating Model'!D8/'Debt Schedule'!D7,0)</f>
        <v>1.15570934256055</v>
      </c>
      <c r="D8" s="25" t="n">
        <f aca="false">IFERROR('Operating Model'!E8/'Debt Schedule'!E7,0)</f>
        <v>0.851102108034611</v>
      </c>
      <c r="E8" s="25" t="n">
        <f aca="false">IFERROR('Operating Model'!F8/'Debt Schedule'!F7,0)</f>
        <v>0.60690473125337</v>
      </c>
      <c r="F8" s="25" t="n">
        <f aca="false">IFERROR('Operating Model'!G8/'Debt Schedule'!G7,0)</f>
        <v>0.42160275875745</v>
      </c>
      <c r="G8" s="25" t="n">
        <f aca="false">IFERROR('Operating Model'!H8/'Debt Schedule'!H7,0)</f>
        <v>0.297056870050996</v>
      </c>
      <c r="H8" s="25" t="n">
        <f aca="false">IFERROR('Operating Model'!I8/'Debt Schedule'!I7,0)</f>
        <v>0.217643352290644</v>
      </c>
      <c r="I8" s="25" t="n">
        <f aca="false">IFERROR('Operating Model'!J8/'Debt Schedule'!J7,0)</f>
        <v>0.159314537422096</v>
      </c>
    </row>
    <row r="9" customFormat="false" ht="15" hidden="false" customHeight="true" outlineLevel="0" collapsed="false">
      <c r="B9" s="1" t="s">
        <v>235</v>
      </c>
      <c r="C9" s="25" t="n">
        <f aca="false">Assumptions!$E$27</f>
        <v>1.5</v>
      </c>
      <c r="D9" s="25" t="n">
        <f aca="false">Assumptions!$E$27</f>
        <v>1.5</v>
      </c>
      <c r="E9" s="25" t="n">
        <f aca="false">Assumptions!$E$27</f>
        <v>1.5</v>
      </c>
      <c r="F9" s="25" t="n">
        <f aca="false">Assumptions!$E$27</f>
        <v>1.5</v>
      </c>
      <c r="G9" s="25" t="n">
        <f aca="false">Assumptions!$E$27</f>
        <v>1.5</v>
      </c>
      <c r="H9" s="25" t="n">
        <f aca="false">Assumptions!$E$27</f>
        <v>1.5</v>
      </c>
      <c r="I9" s="25" t="n">
        <f aca="false">Assumptions!$E$27</f>
        <v>1.5</v>
      </c>
    </row>
    <row r="10" customFormat="false" ht="15" hidden="false" customHeight="true" outlineLevel="0" collapsed="false">
      <c r="B10" s="1" t="s">
        <v>236</v>
      </c>
      <c r="C10" s="25" t="n">
        <f aca="false">C8-C9</f>
        <v>-0.344290657439446</v>
      </c>
      <c r="D10" s="25" t="n">
        <f aca="false">D8-D9</f>
        <v>-0.648897891965389</v>
      </c>
      <c r="E10" s="25" t="n">
        <f aca="false">E8-E9</f>
        <v>-0.89309526874663</v>
      </c>
      <c r="F10" s="25" t="n">
        <f aca="false">F8-F9</f>
        <v>-1.07839724124255</v>
      </c>
      <c r="G10" s="25" t="n">
        <f aca="false">G8-G9</f>
        <v>-1.202943129949</v>
      </c>
      <c r="H10" s="25" t="n">
        <f aca="false">H8-H9</f>
        <v>-1.28235664770936</v>
      </c>
      <c r="I10" s="25" t="n">
        <f aca="false">I8-I9</f>
        <v>-1.3406854625779</v>
      </c>
    </row>
    <row r="11" customFormat="false" ht="15" hidden="false" customHeight="true" outlineLevel="0" collapsed="false">
      <c r="B11" s="1" t="s">
        <v>142</v>
      </c>
      <c r="C11" s="18" t="n">
        <f aca="false">Assumptions!$E$16</f>
        <v>25</v>
      </c>
      <c r="D11" s="18" t="n">
        <f aca="false">Assumptions!$E$16</f>
        <v>25</v>
      </c>
      <c r="E11" s="18" t="n">
        <f aca="false">Assumptions!$E$16</f>
        <v>25</v>
      </c>
      <c r="F11" s="18" t="n">
        <f aca="false">Assumptions!$E$16</f>
        <v>25</v>
      </c>
      <c r="G11" s="18" t="n">
        <f aca="false">Assumptions!$E$16</f>
        <v>25</v>
      </c>
      <c r="H11" s="18" t="n">
        <f aca="false">Assumptions!$E$16</f>
        <v>25</v>
      </c>
      <c r="I11" s="18" t="n">
        <f aca="false">Assumptions!$E$16</f>
        <v>25</v>
      </c>
    </row>
    <row r="12" customFormat="false" ht="15" hidden="false" customHeight="true" outlineLevel="0" collapsed="false">
      <c r="B12" s="1" t="s">
        <v>237</v>
      </c>
      <c r="C12" s="18" t="n">
        <f aca="false">'Debt Schedule'!D13-C11</f>
        <v>0.326250000000002</v>
      </c>
      <c r="D12" s="18" t="n">
        <f aca="false">'Debt Schedule'!E13-D11</f>
        <v>0</v>
      </c>
      <c r="E12" s="18" t="n">
        <f aca="false">'Debt Schedule'!F13-E11</f>
        <v>0</v>
      </c>
      <c r="F12" s="18" t="n">
        <f aca="false">'Debt Schedule'!G13-F11</f>
        <v>-21.71914810125</v>
      </c>
      <c r="G12" s="18" t="n">
        <f aca="false">'Debt Schedule'!H13-G11</f>
        <v>-79.1742475809375</v>
      </c>
      <c r="H12" s="18" t="n">
        <f aca="false">'Debt Schedule'!I13-H11</f>
        <v>-142.337534925234</v>
      </c>
      <c r="I12" s="18" t="n">
        <f aca="false">'Debt Schedule'!J13-I11</f>
        <v>-209.813488062527</v>
      </c>
    </row>
    <row r="13" customFormat="false" ht="15" hidden="false" customHeight="true" outlineLevel="0" collapsed="false">
      <c r="B13" s="1" t="s">
        <v>43</v>
      </c>
      <c r="C13" s="1" t="str">
        <f aca="false">IF(AND(C7&gt;=0,C10&gt;=0,C12&gt;=0),"PASS","BREACH")</f>
        <v>BREACH</v>
      </c>
      <c r="D13" s="1" t="str">
        <f aca="false">IF(AND(D7&gt;=0,D10&gt;=0,D12&gt;=0),"PASS","BREACH")</f>
        <v>BREACH</v>
      </c>
      <c r="E13" s="1" t="str">
        <f aca="false">IF(AND(E7&gt;=0,E10&gt;=0,E12&gt;=0),"PASS","BREACH")</f>
        <v>BREACH</v>
      </c>
      <c r="F13" s="1" t="str">
        <f aca="false">IF(AND(F7&gt;=0,F10&gt;=0,F12&gt;=0),"PASS","BREACH")</f>
        <v>BREACH</v>
      </c>
      <c r="G13" s="1" t="str">
        <f aca="false">IF(AND(G7&gt;=0,G10&gt;=0,G12&gt;=0),"PASS","BREACH")</f>
        <v>BREACH</v>
      </c>
      <c r="H13" s="1" t="str">
        <f aca="false">IF(AND(H7&gt;=0,H10&gt;=0,H12&gt;=0),"PASS","BREACH")</f>
        <v>BREACH</v>
      </c>
      <c r="I13" s="1" t="str">
        <f aca="false">IF(AND(I7&gt;=0,I10&gt;=0,I12&gt;=0),"PASS","BREACH")</f>
        <v>BREACH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238</v>
      </c>
      <c r="C2" s="2"/>
      <c r="D2" s="2"/>
      <c r="E2" s="2"/>
    </row>
    <row r="4" customFormat="false" ht="15" hidden="false" customHeight="true" outlineLevel="0" collapsed="false">
      <c r="B4" s="16" t="s">
        <v>230</v>
      </c>
      <c r="C4" s="16" t="s">
        <v>239</v>
      </c>
      <c r="D4" s="16" t="s">
        <v>240</v>
      </c>
      <c r="E4" s="16" t="s">
        <v>241</v>
      </c>
    </row>
    <row r="5" customFormat="false" ht="15" hidden="false" customHeight="true" outlineLevel="0" collapsed="false">
      <c r="B5" s="1" t="s">
        <v>242</v>
      </c>
      <c r="C5" s="20" t="n">
        <f aca="false">Assumptions!E30</f>
        <v>0.1</v>
      </c>
      <c r="D5" s="1" t="s">
        <v>130</v>
      </c>
      <c r="E5" s="1" t="s">
        <v>243</v>
      </c>
    </row>
    <row r="6" customFormat="false" ht="15" hidden="false" customHeight="true" outlineLevel="0" collapsed="false">
      <c r="B6" s="1" t="s">
        <v>244</v>
      </c>
      <c r="C6" s="20" t="n">
        <f aca="false">1-C5</f>
        <v>0.9</v>
      </c>
      <c r="D6" s="1" t="s">
        <v>130</v>
      </c>
      <c r="E6" s="1" t="s">
        <v>245</v>
      </c>
    </row>
    <row r="7" customFormat="false" ht="15" hidden="false" customHeight="true" outlineLevel="0" collapsed="false">
      <c r="B7" s="1" t="s">
        <v>246</v>
      </c>
      <c r="C7" s="18" t="n">
        <f aca="false">'Sources &amp; Uses'!F8</f>
        <v>606.95</v>
      </c>
      <c r="D7" s="1" t="s">
        <v>128</v>
      </c>
      <c r="E7" s="1" t="s">
        <v>247</v>
      </c>
    </row>
    <row r="8" customFormat="false" ht="15" hidden="false" customHeight="true" outlineLevel="0" collapsed="false">
      <c r="B8" s="1" t="s">
        <v>248</v>
      </c>
      <c r="C8" s="18" t="n">
        <f aca="false">C7*(1+Assumptions!E31)^Assumptions!E29</f>
        <v>891.80867621376</v>
      </c>
      <c r="D8" s="1" t="s">
        <v>128</v>
      </c>
      <c r="E8" s="1" t="s">
        <v>249</v>
      </c>
    </row>
    <row r="9" customFormat="false" ht="15" hidden="false" customHeight="true" outlineLevel="0" collapsed="false">
      <c r="B9" s="1" t="s">
        <v>250</v>
      </c>
      <c r="C9" s="20" t="n">
        <f aca="false">Assumptions!E32</f>
        <v>0.2</v>
      </c>
      <c r="D9" s="1" t="s">
        <v>164</v>
      </c>
      <c r="E9" s="1" t="s">
        <v>251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252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230</v>
      </c>
      <c r="C4" s="16" t="s">
        <v>183</v>
      </c>
      <c r="D4" s="16" t="s">
        <v>184</v>
      </c>
      <c r="E4" s="16" t="s">
        <v>185</v>
      </c>
      <c r="F4" s="16" t="s">
        <v>186</v>
      </c>
      <c r="G4" s="16" t="s">
        <v>187</v>
      </c>
      <c r="H4" s="16" t="s">
        <v>188</v>
      </c>
      <c r="I4" s="16" t="s">
        <v>189</v>
      </c>
      <c r="J4" s="16" t="s">
        <v>253</v>
      </c>
    </row>
    <row r="5" customFormat="false" ht="15" hidden="false" customHeight="true" outlineLevel="0" collapsed="false">
      <c r="B5" s="1" t="s">
        <v>254</v>
      </c>
      <c r="C5" s="18" t="n">
        <f aca="false">'Operating Model'!D8</f>
        <v>75.15</v>
      </c>
      <c r="D5" s="18" t="n">
        <f aca="false">'Operating Model'!E8</f>
        <v>55.35</v>
      </c>
      <c r="E5" s="18" t="n">
        <f aca="false">'Operating Model'!F8</f>
        <v>40.753125</v>
      </c>
      <c r="F5" s="18" t="n">
        <f aca="false">'Operating Model'!G8</f>
        <v>29.9953125</v>
      </c>
      <c r="G5" s="18" t="n">
        <f aca="false">'Operating Model'!H8</f>
        <v>22.0693359375</v>
      </c>
      <c r="H5" s="18" t="n">
        <f aca="false">'Operating Model'!I8</f>
        <v>16.231640625</v>
      </c>
      <c r="I5" s="18" t="n">
        <f aca="false">'Operating Model'!J8</f>
        <v>11.9334594726563</v>
      </c>
      <c r="J5" s="18" t="n">
        <f aca="false">INDEX(C5:I5,1,Assumptions!E29)</f>
        <v>22.0693359375</v>
      </c>
    </row>
    <row r="6" customFormat="false" ht="15" hidden="false" customHeight="true" outlineLevel="0" collapsed="false">
      <c r="B6" s="1" t="s">
        <v>255</v>
      </c>
      <c r="C6" s="25" t="n">
        <f aca="false">Assumptions!$E$28</f>
        <v>8</v>
      </c>
      <c r="D6" s="25" t="n">
        <f aca="false">Assumptions!$E$28</f>
        <v>8</v>
      </c>
      <c r="E6" s="25" t="n">
        <f aca="false">Assumptions!$E$28</f>
        <v>8</v>
      </c>
      <c r="F6" s="25" t="n">
        <f aca="false">Assumptions!$E$28</f>
        <v>8</v>
      </c>
      <c r="G6" s="25" t="n">
        <f aca="false">Assumptions!$E$28</f>
        <v>8</v>
      </c>
      <c r="H6" s="25" t="n">
        <f aca="false">Assumptions!$E$28</f>
        <v>8</v>
      </c>
      <c r="I6" s="25" t="n">
        <f aca="false">Assumptions!$E$28</f>
        <v>8</v>
      </c>
      <c r="J6" s="25" t="n">
        <f aca="false">INDEX(C6:I6,1,Assumptions!E29)</f>
        <v>8</v>
      </c>
    </row>
    <row r="7" customFormat="false" ht="15" hidden="false" customHeight="true" outlineLevel="0" collapsed="false">
      <c r="B7" s="1" t="s">
        <v>256</v>
      </c>
      <c r="C7" s="18" t="n">
        <f aca="false">C5*C6</f>
        <v>601.2</v>
      </c>
      <c r="D7" s="18" t="n">
        <f aca="false">D5*D6</f>
        <v>442.8</v>
      </c>
      <c r="E7" s="18" t="n">
        <f aca="false">E5*E6</f>
        <v>326.025</v>
      </c>
      <c r="F7" s="18" t="n">
        <f aca="false">F5*F6</f>
        <v>239.9625</v>
      </c>
      <c r="G7" s="18" t="n">
        <f aca="false">G5*G6</f>
        <v>176.5546875</v>
      </c>
      <c r="H7" s="18" t="n">
        <f aca="false">H5*H6</f>
        <v>129.853125</v>
      </c>
      <c r="I7" s="18" t="n">
        <f aca="false">I5*I6</f>
        <v>95.46767578125</v>
      </c>
      <c r="J7" s="18" t="n">
        <f aca="false">INDEX(C7:I7,1,Assumptions!E29)</f>
        <v>176.5546875</v>
      </c>
    </row>
    <row r="8" customFormat="false" ht="15" hidden="false" customHeight="true" outlineLevel="0" collapsed="false">
      <c r="B8" s="1" t="s">
        <v>228</v>
      </c>
      <c r="C8" s="18" t="n">
        <f aca="false">'Debt Schedule'!D28</f>
        <v>434.225</v>
      </c>
      <c r="D8" s="18" t="n">
        <f aca="false">'Debt Schedule'!E28</f>
        <v>453.1845125</v>
      </c>
      <c r="E8" s="18" t="n">
        <f aca="false">'Debt Schedule'!F28</f>
        <v>488.139264875</v>
      </c>
      <c r="F8" s="18" t="n">
        <f aca="false">'Debt Schedule'!G28</f>
        <v>537.390610445</v>
      </c>
      <c r="G8" s="18" t="n">
        <f aca="false">'Debt Schedule'!H28</f>
        <v>597.455908041875</v>
      </c>
      <c r="H8" s="18" t="n">
        <f aca="false">'Debt Schedule'!I28</f>
        <v>663.538403409219</v>
      </c>
      <c r="I8" s="18" t="n">
        <f aca="false">'Debt Schedule'!J28</f>
        <v>734.258024970711</v>
      </c>
      <c r="J8" s="18" t="n">
        <f aca="false">INDEX(C8:I8,1,Assumptions!E29)</f>
        <v>597.455908041875</v>
      </c>
    </row>
    <row r="9" customFormat="false" ht="15" hidden="false" customHeight="true" outlineLevel="0" collapsed="false">
      <c r="B9" s="1" t="s">
        <v>257</v>
      </c>
      <c r="C9" s="18" t="n">
        <f aca="false">MAX(0,C7-C8)</f>
        <v>166.975</v>
      </c>
      <c r="D9" s="18" t="n">
        <f aca="false">MAX(0,D7-D8)</f>
        <v>0</v>
      </c>
      <c r="E9" s="18" t="n">
        <f aca="false">MAX(0,E7-E8)</f>
        <v>0</v>
      </c>
      <c r="F9" s="18" t="n">
        <f aca="false">MAX(0,F7-F8)</f>
        <v>0</v>
      </c>
      <c r="G9" s="18" t="n">
        <f aca="false">MAX(0,G7-G8)</f>
        <v>0</v>
      </c>
      <c r="H9" s="18" t="n">
        <f aca="false">MAX(0,H7-H8)</f>
        <v>0</v>
      </c>
      <c r="I9" s="18" t="n">
        <f aca="false">MAX(0,I7-I8)</f>
        <v>0</v>
      </c>
      <c r="J9" s="18" t="n">
        <f aca="false">INDEX(C9:I9,1,Assumptions!E29)</f>
        <v>0</v>
      </c>
    </row>
    <row r="10" customFormat="false" ht="15" hidden="false" customHeight="true" outlineLevel="0" collapsed="false">
      <c r="B10" s="1" t="s">
        <v>162</v>
      </c>
      <c r="C10" s="18" t="n">
        <f aca="false">'Management Equity'!$C$7*(1+Assumptions!$E$31)^1</f>
        <v>655.506</v>
      </c>
      <c r="D10" s="18" t="n">
        <f aca="false">'Management Equity'!$C$7*(1+Assumptions!$E$31)^2</f>
        <v>707.94648</v>
      </c>
      <c r="E10" s="18" t="n">
        <f aca="false">'Management Equity'!$C$7*(1+Assumptions!$E$31)^3</f>
        <v>764.5821984</v>
      </c>
      <c r="F10" s="18" t="n">
        <f aca="false">'Management Equity'!$C$7*(1+Assumptions!$E$31)^4</f>
        <v>825.748774272</v>
      </c>
      <c r="G10" s="18" t="n">
        <f aca="false">'Management Equity'!$C$7*(1+Assumptions!$E$31)^5</f>
        <v>891.80867621376</v>
      </c>
      <c r="H10" s="18" t="n">
        <f aca="false">'Management Equity'!$C$7*(1+Assumptions!$E$31)^6</f>
        <v>963.153370310861</v>
      </c>
      <c r="I10" s="18" t="n">
        <f aca="false">'Management Equity'!$C$7*(1+Assumptions!$E$31)^7</f>
        <v>1040.20563993573</v>
      </c>
      <c r="J10" s="18" t="n">
        <f aca="false">INDEX(C10:I10,1,Assumptions!E29)</f>
        <v>891.80867621376</v>
      </c>
    </row>
    <row r="11" customFormat="false" ht="15" hidden="false" customHeight="true" outlineLevel="0" collapsed="false">
      <c r="B11" s="1" t="s">
        <v>258</v>
      </c>
      <c r="C11" s="18" t="n">
        <f aca="false">MAX(0,C9-C10)</f>
        <v>0</v>
      </c>
      <c r="D11" s="18" t="n">
        <f aca="false">MAX(0,D9-D10)</f>
        <v>0</v>
      </c>
      <c r="E11" s="18" t="n">
        <f aca="false">MAX(0,E9-E10)</f>
        <v>0</v>
      </c>
      <c r="F11" s="18" t="n">
        <f aca="false">MAX(0,F9-F10)</f>
        <v>0</v>
      </c>
      <c r="G11" s="18" t="n">
        <f aca="false">MAX(0,G9-G10)</f>
        <v>0</v>
      </c>
      <c r="H11" s="18" t="n">
        <f aca="false">MAX(0,H9-H10)</f>
        <v>0</v>
      </c>
      <c r="I11" s="18" t="n">
        <f aca="false">MAX(0,I9-I10)</f>
        <v>0</v>
      </c>
      <c r="J11" s="18" t="n">
        <f aca="false">INDEX(C11:I11,1,Assumptions!E29)</f>
        <v>0</v>
      </c>
    </row>
    <row r="12" customFormat="false" ht="15" hidden="false" customHeight="true" outlineLevel="0" collapsed="false">
      <c r="B12" s="1" t="s">
        <v>259</v>
      </c>
      <c r="C12" s="18" t="n">
        <f aca="false">MIN(C9,C9*Assumptions!$E$30+C11*Assumptions!$E$32)</f>
        <v>16.6975</v>
      </c>
      <c r="D12" s="18" t="n">
        <f aca="false">MIN(D9,D9*Assumptions!$E$30+D11*Assumptions!$E$32)</f>
        <v>0</v>
      </c>
      <c r="E12" s="18" t="n">
        <f aca="false">MIN(E9,E9*Assumptions!$E$30+E11*Assumptions!$E$32)</f>
        <v>0</v>
      </c>
      <c r="F12" s="18" t="n">
        <f aca="false">MIN(F9,F9*Assumptions!$E$30+F11*Assumptions!$E$32)</f>
        <v>0</v>
      </c>
      <c r="G12" s="18" t="n">
        <f aca="false">MIN(G9,G9*Assumptions!$E$30+G11*Assumptions!$E$32)</f>
        <v>0</v>
      </c>
      <c r="H12" s="18" t="n">
        <f aca="false">MIN(H9,H9*Assumptions!$E$30+H11*Assumptions!$E$32)</f>
        <v>0</v>
      </c>
      <c r="I12" s="18" t="n">
        <f aca="false">MIN(I9,I9*Assumptions!$E$30+I11*Assumptions!$E$32)</f>
        <v>0</v>
      </c>
      <c r="J12" s="18" t="n">
        <f aca="false">INDEX(C12:I12,1,Assumptions!E29)</f>
        <v>0</v>
      </c>
    </row>
    <row r="13" customFormat="false" ht="15" hidden="false" customHeight="true" outlineLevel="0" collapsed="false">
      <c r="B13" s="1" t="s">
        <v>260</v>
      </c>
      <c r="C13" s="18" t="n">
        <f aca="false">MAX(0,C9-C12)</f>
        <v>150.2775</v>
      </c>
      <c r="D13" s="18" t="n">
        <f aca="false">MAX(0,D9-D12)</f>
        <v>0</v>
      </c>
      <c r="E13" s="18" t="n">
        <f aca="false">MAX(0,E9-E12)</f>
        <v>0</v>
      </c>
      <c r="F13" s="18" t="n">
        <f aca="false">MAX(0,F9-F12)</f>
        <v>0</v>
      </c>
      <c r="G13" s="18" t="n">
        <f aca="false">MAX(0,G9-G12)</f>
        <v>0</v>
      </c>
      <c r="H13" s="18" t="n">
        <f aca="false">MAX(0,H9-H12)</f>
        <v>0</v>
      </c>
      <c r="I13" s="18" t="n">
        <f aca="false">MAX(0,I9-I12)</f>
        <v>0</v>
      </c>
      <c r="J13" s="18" t="n">
        <f aca="false">INDEX(C13:I13,1,Assumptions!E29)</f>
        <v>0</v>
      </c>
    </row>
    <row r="14" customFormat="false" ht="15" hidden="false" customHeight="true" outlineLevel="0" collapsed="false">
      <c r="B14" s="1" t="s">
        <v>261</v>
      </c>
      <c r="C14" s="25" t="n">
        <f aca="false">IFERROR(C13/'Sources &amp; Uses'!$F$8,0)</f>
        <v>0.247594530027185</v>
      </c>
      <c r="D14" s="25" t="n">
        <f aca="false">IFERROR(D13/'Sources &amp; Uses'!$F$8,0)</f>
        <v>0</v>
      </c>
      <c r="E14" s="25" t="n">
        <f aca="false">IFERROR(E13/'Sources &amp; Uses'!$F$8,0)</f>
        <v>0</v>
      </c>
      <c r="F14" s="25" t="n">
        <f aca="false">IFERROR(F13/'Sources &amp; Uses'!$F$8,0)</f>
        <v>0</v>
      </c>
      <c r="G14" s="25" t="n">
        <f aca="false">IFERROR(G13/'Sources &amp; Uses'!$F$8,0)</f>
        <v>0</v>
      </c>
      <c r="H14" s="25" t="n">
        <f aca="false">IFERROR(H13/'Sources &amp; Uses'!$F$8,0)</f>
        <v>0</v>
      </c>
      <c r="I14" s="25" t="n">
        <f aca="false">IFERROR(I13/'Sources &amp; Uses'!$F$8,0)</f>
        <v>0</v>
      </c>
      <c r="J14" s="25" t="n">
        <f aca="false">INDEX(C14:I14,1,Assumptions!E29)</f>
        <v>0</v>
      </c>
    </row>
    <row r="15" customFormat="false" ht="15" hidden="false" customHeight="true" outlineLevel="0" collapsed="false">
      <c r="B15" s="1" t="s">
        <v>262</v>
      </c>
      <c r="C15" s="23" t="n">
        <f aca="false">IFERROR((C13/'Sources &amp; Uses'!$F$8)^(1/1)-1,0)</f>
        <v>-0.752405469972815</v>
      </c>
      <c r="D15" s="23" t="n">
        <f aca="false">IFERROR((D13/'Sources &amp; Uses'!$F$8)^(1/2)-1,0)</f>
        <v>-1</v>
      </c>
      <c r="E15" s="23" t="n">
        <f aca="false">IFERROR((E13/'Sources &amp; Uses'!$F$8)^(1/3)-1,0)</f>
        <v>-1</v>
      </c>
      <c r="F15" s="23" t="n">
        <f aca="false">IFERROR((F13/'Sources &amp; Uses'!$F$8)^(1/4)-1,0)</f>
        <v>-1</v>
      </c>
      <c r="G15" s="23" t="n">
        <f aca="false">IFERROR((G13/'Sources &amp; Uses'!$F$8)^(1/5)-1,0)</f>
        <v>-1</v>
      </c>
      <c r="H15" s="23" t="n">
        <f aca="false">IFERROR((H13/'Sources &amp; Uses'!$F$8)^(1/6)-1,0)</f>
        <v>-1</v>
      </c>
      <c r="I15" s="23" t="n">
        <f aca="false">IFERROR((I13/'Sources &amp; Uses'!$F$8)^(1/7)-1,0)</f>
        <v>-1</v>
      </c>
      <c r="J15" s="23" t="n">
        <f aca="false">INDEX(C15:I15,1,Assumptions!E29)</f>
        <v>-1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263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264</v>
      </c>
      <c r="C4" s="31" t="n">
        <v>7</v>
      </c>
      <c r="D4" s="31" t="n">
        <v>8</v>
      </c>
      <c r="E4" s="31" t="n">
        <v>9</v>
      </c>
      <c r="F4" s="31" t="n">
        <v>10</v>
      </c>
      <c r="G4" s="31" t="n">
        <v>11</v>
      </c>
    </row>
    <row r="5" customFormat="false" ht="15" hidden="false" customHeight="true" outlineLevel="0" collapsed="false">
      <c r="B5" s="25" t="n">
        <v>8</v>
      </c>
      <c r="C5" s="20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-1.92643956246498</v>
      </c>
      <c r="D5" s="20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-1.91550512537576</v>
      </c>
      <c r="E5" s="20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-1.90402187691109</v>
      </c>
      <c r="F5" s="20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-1.89192366153047</v>
      </c>
      <c r="G5" s="20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-1.87913102153973</v>
      </c>
    </row>
    <row r="6" customFormat="false" ht="15" hidden="false" customHeight="true" outlineLevel="0" collapsed="false">
      <c r="B6" s="25" t="n">
        <v>9</v>
      </c>
      <c r="C6" s="20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-1.89296859414683</v>
      </c>
      <c r="D6" s="20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-1.88242920300795</v>
      </c>
      <c r="E6" s="20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-1.87136082828262</v>
      </c>
      <c r="F6" s="20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-1.85969970453768</v>
      </c>
      <c r="G6" s="20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-1.84736924477454</v>
      </c>
    </row>
    <row r="7" customFormat="false" ht="15" hidden="false" customHeight="true" outlineLevel="0" collapsed="false">
      <c r="B7" s="25" t="n">
        <v>10</v>
      </c>
      <c r="C7" s="20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-1.86565261784772</v>
      </c>
      <c r="D7" s="20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-1.8554356274746</v>
      </c>
      <c r="E7" s="20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-1.84470583516264</v>
      </c>
      <c r="F7" s="20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-1.83340142606805</v>
      </c>
      <c r="G7" s="20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-1.82144815599429</v>
      </c>
    </row>
    <row r="8" customFormat="false" ht="15" hidden="false" customHeight="true" outlineLevel="0" collapsed="false">
      <c r="B8" s="25" t="n">
        <v>11</v>
      </c>
      <c r="C8" s="20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-1.84269021768612</v>
      </c>
      <c r="D8" s="20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-1.83274424436598</v>
      </c>
      <c r="E8" s="20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-1.82229907174978</v>
      </c>
      <c r="F8" s="20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-1.81129452470131</v>
      </c>
      <c r="G8" s="20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-1.79965832843407</v>
      </c>
    </row>
    <row r="9" customFormat="false" ht="15" hidden="false" customHeight="true" outlineLevel="0" collapsed="false">
      <c r="B9" s="25" t="n">
        <v>12</v>
      </c>
      <c r="C9" s="20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-1.82295742797337</v>
      </c>
      <c r="D9" s="20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-1.81324435376123</v>
      </c>
      <c r="E9" s="20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-1.80304376971437</v>
      </c>
      <c r="F9" s="20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-1.79229690978299</v>
      </c>
      <c r="G9" s="20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-1.78093319159747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265</v>
      </c>
      <c r="C2" s="2"/>
    </row>
    <row r="4" customFormat="false" ht="15" hidden="false" customHeight="true" outlineLevel="0" collapsed="false">
      <c r="B4" s="16" t="s">
        <v>266</v>
      </c>
      <c r="C4" s="16" t="s">
        <v>43</v>
      </c>
    </row>
    <row r="5" customFormat="false" ht="15" hidden="false" customHeight="true" outlineLevel="0" collapsed="false">
      <c r="B5" s="1" t="s">
        <v>267</v>
      </c>
      <c r="C5" s="1" t="str">
        <f aca="false">IF(ABS('Sources &amp; Uses'!F10)&lt;0.000001,"PASS","FAIL")</f>
        <v>PASS</v>
      </c>
    </row>
    <row r="6" customFormat="false" ht="15" hidden="false" customHeight="true" outlineLevel="0" collapsed="false">
      <c r="B6" s="1" t="s">
        <v>268</v>
      </c>
      <c r="C6" s="1" t="str">
        <f aca="false">IF('Sources &amp; Uses'!F8&gt;0,"PASS","FAIL")</f>
        <v>PASS</v>
      </c>
    </row>
    <row r="7" customFormat="false" ht="15" hidden="false" customHeight="true" outlineLevel="0" collapsed="false">
      <c r="B7" s="1" t="s">
        <v>269</v>
      </c>
      <c r="C7" s="1" t="str">
        <f aca="false">IF(MIN('Debt Schedule'!D15:J25)&gt;=0,"PASS","FAIL")</f>
        <v>PASS</v>
      </c>
    </row>
    <row r="8" customFormat="false" ht="15" hidden="false" customHeight="true" outlineLevel="0" collapsed="false">
      <c r="B8" s="1" t="s">
        <v>270</v>
      </c>
      <c r="C8" s="1" t="str">
        <f aca="false">IF(MIN('Debt Schedule'!D13:J13)&gt;=Assumptions!E16,"PASS","REVIEW")</f>
        <v>REVIEW</v>
      </c>
    </row>
    <row r="9" customFormat="false" ht="15" hidden="false" customHeight="true" outlineLevel="0" collapsed="false">
      <c r="B9" s="1" t="s">
        <v>271</v>
      </c>
      <c r="C9" s="1" t="str">
        <f aca="false">IF(COUNTIF(Covenants!C13:I13,"BREACH")=0,"PASS","REVIEW")</f>
        <v>REVIEW</v>
      </c>
    </row>
    <row r="10" customFormat="false" ht="15" hidden="false" customHeight="true" outlineLevel="0" collapsed="false">
      <c r="B10" s="1" t="s">
        <v>272</v>
      </c>
      <c r="C10" s="1" t="str">
        <f aca="false">IF(MIN('Returns Waterfall'!C9:I9)&gt;=0,"PASS","FAIL")</f>
        <v>PASS</v>
      </c>
    </row>
    <row r="11" customFormat="false" ht="15" hidden="false" customHeight="true" outlineLevel="0" collapsed="false">
      <c r="B11" s="1" t="s">
        <v>273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true" outlineLevel="0" collapsed="false">
      <c r="B12" s="1" t="s">
        <v>274</v>
      </c>
      <c r="C12" s="1" t="str">
        <f aca="false">IF(AND(Assumptions!E29&gt;=1,Assumptions!E29&lt;=7),"PASS","FAIL")</f>
        <v>PASS</v>
      </c>
    </row>
    <row r="13" customFormat="false" ht="15" hidden="false" customHeight="true" outlineLevel="0" collapsed="false">
      <c r="B13" s="1" t="s">
        <v>275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276</v>
      </c>
      <c r="C2" s="2"/>
      <c r="D2" s="2"/>
      <c r="E2" s="2"/>
    </row>
    <row r="4" customFormat="false" ht="15" hidden="false" customHeight="true" outlineLevel="0" collapsed="false">
      <c r="B4" s="16" t="s">
        <v>277</v>
      </c>
      <c r="C4" s="16" t="s">
        <v>278</v>
      </c>
      <c r="D4" s="16" t="s">
        <v>106</v>
      </c>
      <c r="E4" s="16" t="s">
        <v>279</v>
      </c>
    </row>
    <row r="5" customFormat="false" ht="15" hidden="false" customHeight="true" outlineLevel="0" collapsed="false">
      <c r="B5" s="32" t="s">
        <v>280</v>
      </c>
      <c r="C5" s="32" t="s">
        <v>281</v>
      </c>
      <c r="D5" s="32" t="s">
        <v>282</v>
      </c>
      <c r="E5" s="32" t="s">
        <v>283</v>
      </c>
    </row>
    <row r="6" customFormat="false" ht="15" hidden="false" customHeight="true" outlineLevel="0" collapsed="false">
      <c r="B6" s="32" t="s">
        <v>284</v>
      </c>
      <c r="C6" s="32" t="s">
        <v>285</v>
      </c>
      <c r="D6" s="32" t="s">
        <v>6</v>
      </c>
      <c r="E6" s="32" t="s">
        <v>286</v>
      </c>
    </row>
    <row r="7" customFormat="false" ht="15" hidden="false" customHeight="true" outlineLevel="0" collapsed="false">
      <c r="B7" s="32" t="s">
        <v>287</v>
      </c>
      <c r="C7" s="32" t="s">
        <v>288</v>
      </c>
      <c r="D7" s="32" t="s">
        <v>6</v>
      </c>
      <c r="E7" s="32" t="s">
        <v>289</v>
      </c>
    </row>
    <row r="8" customFormat="false" ht="15" hidden="false" customHeight="true" outlineLevel="0" collapsed="false">
      <c r="B8" s="32" t="s">
        <v>290</v>
      </c>
      <c r="C8" s="32" t="s">
        <v>291</v>
      </c>
      <c r="D8" s="32" t="s">
        <v>6</v>
      </c>
      <c r="E8" s="32" t="s">
        <v>292</v>
      </c>
    </row>
    <row r="9" customFormat="false" ht="15" hidden="false" customHeight="true" outlineLevel="0" collapsed="false">
      <c r="B9" s="32" t="s">
        <v>293</v>
      </c>
      <c r="C9" s="32" t="s">
        <v>294</v>
      </c>
      <c r="D9" s="32" t="s">
        <v>6</v>
      </c>
      <c r="E9" s="32" t="s">
        <v>295</v>
      </c>
    </row>
    <row r="10" customFormat="false" ht="15" hidden="false" customHeight="false" outlineLevel="0" collapsed="false">
      <c r="B10" s="33" t="s">
        <v>296</v>
      </c>
      <c r="C10" s="33" t="s">
        <v>297</v>
      </c>
      <c r="D10" s="33" t="s">
        <v>8</v>
      </c>
      <c r="E10" s="33" t="s">
        <v>298</v>
      </c>
    </row>
    <row r="11" customFormat="false" ht="15" hidden="false" customHeight="false" outlineLevel="0" collapsed="false">
      <c r="B11" s="33" t="s">
        <v>299</v>
      </c>
      <c r="C11" s="33" t="s">
        <v>300</v>
      </c>
      <c r="D11" s="33" t="s">
        <v>8</v>
      </c>
      <c r="E11" s="33" t="s">
        <v>301</v>
      </c>
    </row>
    <row r="12" customFormat="false" ht="15" hidden="false" customHeight="false" outlineLevel="0" collapsed="false">
      <c r="B12" s="33" t="s">
        <v>302</v>
      </c>
      <c r="C12" s="33" t="s">
        <v>300</v>
      </c>
      <c r="D12" s="33" t="s">
        <v>8</v>
      </c>
      <c r="E12" s="33" t="s">
        <v>303</v>
      </c>
    </row>
    <row r="13" customFormat="false" ht="15" hidden="false" customHeight="false" outlineLevel="0" collapsed="false">
      <c r="B13" s="33" t="s">
        <v>304</v>
      </c>
      <c r="C13" s="33" t="s">
        <v>300</v>
      </c>
      <c r="D13" s="33" t="s">
        <v>8</v>
      </c>
      <c r="E13" s="33" t="s">
        <v>303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305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94</v>
      </c>
      <c r="C4" s="16" t="s">
        <v>306</v>
      </c>
      <c r="D4" s="16" t="s">
        <v>307</v>
      </c>
      <c r="E4" s="16" t="s">
        <v>308</v>
      </c>
      <c r="F4" s="16" t="s">
        <v>309</v>
      </c>
      <c r="G4" s="16" t="s">
        <v>310</v>
      </c>
    </row>
    <row r="5" customFormat="false" ht="15" hidden="false" customHeight="true" outlineLevel="0" collapsed="false">
      <c r="B5" s="34" t="s">
        <v>311</v>
      </c>
      <c r="C5" s="34" t="s">
        <v>312</v>
      </c>
      <c r="D5" s="34" t="s">
        <v>300</v>
      </c>
      <c r="E5" s="34" t="s">
        <v>313</v>
      </c>
      <c r="F5" s="34" t="s">
        <v>314</v>
      </c>
      <c r="G5" s="34" t="s">
        <v>315</v>
      </c>
    </row>
    <row r="6" customFormat="false" ht="15" hidden="false" customHeight="true" outlineLevel="0" collapsed="false">
      <c r="B6" s="34"/>
      <c r="C6" s="34"/>
      <c r="D6" s="34"/>
      <c r="E6" s="34"/>
      <c r="F6" s="34"/>
      <c r="G6" s="34"/>
    </row>
    <row r="7" customFormat="false" ht="15" hidden="false" customHeight="true" outlineLevel="0" collapsed="false">
      <c r="B7" s="34"/>
      <c r="C7" s="34"/>
      <c r="D7" s="34"/>
      <c r="E7" s="34"/>
      <c r="F7" s="34"/>
      <c r="G7" s="34"/>
    </row>
    <row r="8" customFormat="false" ht="15" hidden="false" customHeight="true" outlineLevel="0" collapsed="false">
      <c r="B8" s="34"/>
      <c r="C8" s="34"/>
      <c r="D8" s="34"/>
      <c r="E8" s="34"/>
      <c r="F8" s="34"/>
      <c r="G8" s="34"/>
    </row>
    <row r="9" customFormat="false" ht="15" hidden="false" customHeight="true" outlineLevel="0" collapsed="false">
      <c r="B9" s="34"/>
      <c r="C9" s="34"/>
      <c r="D9" s="34"/>
      <c r="E9" s="34"/>
      <c r="F9" s="34"/>
      <c r="G9" s="34"/>
    </row>
    <row r="10" customFormat="false" ht="15" hidden="false" customHeight="true" outlineLevel="0" collapsed="false">
      <c r="B10" s="34"/>
      <c r="C10" s="34"/>
      <c r="D10" s="34"/>
      <c r="E10" s="34"/>
      <c r="F10" s="34"/>
      <c r="G10" s="34"/>
    </row>
    <row r="11" customFormat="false" ht="15" hidden="false" customHeight="true" outlineLevel="0" collapsed="false">
      <c r="B11" s="34"/>
      <c r="C11" s="34"/>
      <c r="D11" s="34"/>
      <c r="E11" s="34"/>
      <c r="F11" s="34"/>
      <c r="G11" s="34"/>
    </row>
    <row r="12" customFormat="false" ht="15" hidden="false" customHeight="true" outlineLevel="0" collapsed="false">
      <c r="B12" s="34"/>
      <c r="C12" s="34"/>
      <c r="D12" s="34"/>
      <c r="E12" s="34"/>
      <c r="F12" s="34"/>
      <c r="G12" s="34"/>
    </row>
    <row r="13" customFormat="false" ht="15" hidden="false" customHeight="true" outlineLevel="0" collapsed="false">
      <c r="B13" s="34"/>
      <c r="C13" s="34"/>
      <c r="D13" s="34"/>
      <c r="E13" s="34"/>
      <c r="F13" s="34"/>
      <c r="G13" s="34"/>
    </row>
    <row r="14" customFormat="false" ht="15" hidden="false" customHeight="true" outlineLevel="0" collapsed="false">
      <c r="B14" s="34"/>
      <c r="C14" s="34"/>
      <c r="D14" s="34"/>
      <c r="E14" s="34"/>
      <c r="F14" s="34"/>
      <c r="G14" s="34"/>
    </row>
    <row r="15" customFormat="false" ht="15" hidden="false" customHeight="true" outlineLevel="0" collapsed="false">
      <c r="B15" s="34"/>
      <c r="C15" s="34"/>
      <c r="D15" s="34"/>
      <c r="E15" s="34"/>
      <c r="F15" s="34"/>
      <c r="G15" s="34"/>
    </row>
    <row r="16" customFormat="false" ht="15" hidden="false" customHeight="true" outlineLevel="0" collapsed="false">
      <c r="B16" s="34"/>
      <c r="C16" s="34"/>
      <c r="D16" s="34"/>
      <c r="E16" s="34"/>
      <c r="F16" s="34"/>
      <c r="G16" s="34"/>
    </row>
    <row r="17" customFormat="false" ht="15" hidden="false" customHeight="true" outlineLevel="0" collapsed="false">
      <c r="B17" s="34"/>
      <c r="C17" s="34"/>
      <c r="D17" s="34"/>
      <c r="E17" s="34"/>
      <c r="F17" s="34"/>
      <c r="G17" s="34"/>
    </row>
    <row r="18" customFormat="false" ht="15" hidden="false" customHeight="true" outlineLevel="0" collapsed="false">
      <c r="B18" s="34"/>
      <c r="C18" s="34"/>
      <c r="D18" s="34"/>
      <c r="E18" s="34"/>
      <c r="F18" s="34"/>
      <c r="G18" s="34"/>
    </row>
    <row r="19" customFormat="false" ht="15" hidden="false" customHeight="true" outlineLevel="0" collapsed="false">
      <c r="B19" s="34"/>
      <c r="C19" s="34"/>
      <c r="D19" s="34"/>
      <c r="E19" s="34"/>
      <c r="F19" s="34"/>
      <c r="G19" s="34"/>
    </row>
    <row r="20" customFormat="false" ht="15" hidden="false" customHeight="true" outlineLevel="0" collapsed="false">
      <c r="B20" s="34"/>
      <c r="C20" s="34"/>
      <c r="D20" s="34"/>
      <c r="E20" s="34"/>
      <c r="F20" s="34"/>
      <c r="G20" s="34"/>
    </row>
    <row r="21" customFormat="false" ht="15" hidden="false" customHeight="true" outlineLevel="0" collapsed="false">
      <c r="B21" s="34"/>
      <c r="C21" s="34"/>
      <c r="D21" s="34"/>
      <c r="E21" s="34"/>
      <c r="F21" s="34"/>
      <c r="G21" s="34"/>
    </row>
    <row r="22" customFormat="false" ht="15" hidden="false" customHeight="true" outlineLevel="0" collapsed="false">
      <c r="B22" s="34"/>
      <c r="C22" s="34"/>
      <c r="D22" s="34"/>
      <c r="E22" s="34"/>
      <c r="F22" s="34"/>
      <c r="G22" s="34"/>
    </row>
    <row r="23" customFormat="false" ht="15" hidden="false" customHeight="true" outlineLevel="0" collapsed="false">
      <c r="B23" s="34"/>
      <c r="C23" s="34"/>
      <c r="D23" s="34"/>
      <c r="E23" s="34"/>
      <c r="F23" s="34"/>
      <c r="G23" s="34"/>
    </row>
    <row r="24" customFormat="false" ht="15" hidden="false" customHeight="true" outlineLevel="0" collapsed="false">
      <c r="B24" s="34"/>
      <c r="C24" s="34"/>
      <c r="D24" s="34"/>
      <c r="E24" s="34"/>
      <c r="F24" s="34"/>
      <c r="G24" s="34"/>
    </row>
    <row r="25" customFormat="false" ht="15" hidden="false" customHeight="true" outlineLevel="0" collapsed="false">
      <c r="B25" s="34"/>
      <c r="C25" s="34"/>
      <c r="D25" s="34"/>
      <c r="E25" s="34"/>
      <c r="F25" s="34"/>
      <c r="G25" s="34"/>
    </row>
    <row r="26" customFormat="false" ht="15" hidden="false" customHeight="true" outlineLevel="0" collapsed="false">
      <c r="B26" s="34"/>
      <c r="C26" s="34"/>
      <c r="D26" s="34"/>
      <c r="E26" s="34"/>
      <c r="F26" s="34"/>
      <c r="G26" s="34"/>
    </row>
    <row r="27" customFormat="false" ht="15" hidden="false" customHeight="true" outlineLevel="0" collapsed="false">
      <c r="B27" s="34"/>
      <c r="C27" s="34"/>
      <c r="D27" s="34"/>
      <c r="E27" s="34"/>
      <c r="F27" s="34"/>
      <c r="G27" s="34"/>
    </row>
    <row r="28" customFormat="false" ht="15" hidden="false" customHeight="true" outlineLevel="0" collapsed="false">
      <c r="B28" s="34"/>
      <c r="C28" s="34"/>
      <c r="D28" s="34"/>
      <c r="E28" s="34"/>
      <c r="F28" s="34"/>
      <c r="G28" s="34"/>
    </row>
    <row r="29" customFormat="false" ht="15" hidden="false" customHeight="true" outlineLevel="0" collapsed="false">
      <c r="B29" s="34"/>
      <c r="C29" s="34"/>
      <c r="D29" s="34"/>
      <c r="E29" s="34"/>
      <c r="F29" s="34"/>
      <c r="G29" s="3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2026-08-05T21:32:25Z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