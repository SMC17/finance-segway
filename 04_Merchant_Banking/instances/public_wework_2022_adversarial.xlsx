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<sst xmlns="http://schemas.openxmlformats.org/spreadsheetml/2006/main" count="462" uniqueCount="319">
  <si>
    <t xml:space="preserve">[TARGET] — LBO Underwriting Model</t>
  </si>
  <si>
    <t xml:space="preserve">Target / transaction:</t>
  </si>
  <si>
    <t xml:space="preserve">WeWork pre-bankruptcy holdco stress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</si>
  <si>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</si>
  <si>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</si>
  <si>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</si>
  <si>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</si>
  <si>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</si>
  <si>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2023-03-29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</si>
  <si>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</si>
  <si>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</si>
  <si>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</si>
  <si>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</si>
  <si>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</si>
  <si>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</si>
  <si>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</si>
  <si>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</si>
  <si>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</si>
  <si>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</si>
  <si>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</si>
  <si>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</si>
  <si>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</si>
  <si>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</si>
  <si>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</si>
  <si>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</si>
  <si>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</si>
  <si>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</si>
  <si>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</si>
  <si>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</si>
  <si>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</si>
  <si>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</si>
  <si>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</si>
  <si>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</si>
  <si>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</si>
  <si>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</si>
  <si>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</si>
  <si>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</si>
  <si>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</si>
  <si>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</si>
  <si>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</si>
  <si>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</si>
  <si>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</si>
  <si>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</si>
  <si>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</si>
  <si>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</si>
  <si>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</si>
  <si>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</si>
  <si>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</si>
  <si>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</si>
  <si>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</si>
  <si>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</si>
  <si>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</si>
  <si>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</si>
  <si>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</si>
  <si>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</si>
  <si>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</si>
  <si>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</si>
  <si>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</si>
  <si>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</si>
  <si>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</si>
  <si>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</si>
  <si>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</si>
  <si>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</si>
  <si>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</si>
  <si>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</si>
  <si>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</si>
  <si>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</si>
  <si>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</si>
  <si>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</si>
  <si>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</si>
  <si>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</si>
  <si>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</si>
  <si>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</si>
  <si>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</si>
  <si>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</si>
  <si>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</si>
  <si>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</si>
  <si>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</si>
  <si>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</si>
  <si>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</si>
  <si>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</si>
  <si>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</si>
  <si>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</si>
  <si>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</si>
  <si>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</si>
  <si>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</si>
  <si>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</si>
  <si>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</si>
  <si>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</si>
  <si>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</si>
  <si>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</si>
  <si>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</si>
  <si>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</si>
  <si>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</si>
  <si>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</si>
  <si>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</si>
  <si>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</si>
  <si>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</si>
  <si>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</si>
  <si>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</si>
  <si>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</si>
  <si>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</si>
  <si>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</si>
  <si>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</si>
  <si>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</si>
  <si>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</si>
  <si>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</si>
  <si>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</si>
  <si>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</si>
  <si>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</si>
  <si>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</si>
  <si>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</si>
  <si>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</si>
  <si>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</si>
  <si>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</si>
  <si>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</si>
  <si>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</si>
  <si>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</si>
  <si>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</si>
  <si>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</si>
  <si>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</si>
  <si>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</si>
  <si>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</si>
  <si>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</si>
  <si>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</si>
  <si>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</si>
  <si>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</si>
  <si>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</si>
  <si>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</si>
  <si>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</si>
  <si>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</si>
  <si>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</si>
  <si>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</si>
  <si>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</si>
  <si>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</si>
  <si>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</si>
  <si>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</si>
  <si>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</si>
  <si>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</si>
  <si>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</si>
  <si>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</si>
  <si>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</si>
  <si>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</si>
  <si>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</si>
  <si>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</si>
  <si>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</si>
  <si>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</si>
  <si>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</si>
  <si>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</si>
  <si>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</si>
  <si>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</si>
  <si>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</si>
  <si>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</si>
  <si>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</si>
  <si>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</si>
  <si>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</si>
  <si>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</si>
  <si>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</si>
  <si>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</si>
  <si>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</si>
  <si>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</si>
  <si>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</si>
  <si>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</si>
  <si>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</si>
  <si>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</si>
  <si>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</si>
  <si>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</si>
  <si>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</si>
  <si>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</si>
  <si>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</si>
  <si>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</si>
  <si>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</si>
  <si>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</si>
  <si>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</si>
  <si>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</si>
  <si>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</si>
  <si>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</si>
  <si>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</si>
  <si>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</si>
  <si>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</si>
  <si>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</si>
  <si>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</si>
  <si>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</si>
  <si>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</si>
  <si>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</si>
  <si>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</si>
  <si>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</si>
  <si>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</si>
  <si>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</si>
  <si>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</si>
  <si>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</si>
  <si>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</si>
  <si>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</si>
  <si>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</si>
  <si>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</si>
  <si>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</si>
  <si>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</si>
  <si>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</si>
  <si>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</si>
  <si>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</si>
  <si>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</si>
  <si>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</si>
  <si>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</si>
  <si>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</si>
  <si>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</si>
  <si>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</si>
  <si>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</si>
  <si>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</si>
  <si>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</si>
  <si>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</si>
  <si>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</si>
  <si>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</si>
  <si>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</si>
  <si>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</si>
  <si>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</si>
  <si>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</si>
  <si>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</si>
  <si>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</si>
  <si>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</si>
  <si>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</si>
  <si>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</si>
  <si>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</si>
  <si>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</si>
  <si>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</si>
  <si>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</si>
  <si>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</si>
  <si>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</si>
  <si>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</si>
  <si>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</si>
  <si>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</si>
  <si>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</si>
  <si>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</si>
  <si>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</si>
  <si>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</si>
  <si>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</si>
  <si>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</si>
  <si>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</si>
  <si>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</si>
  <si>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</si>
  <si>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</si>
  <si>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</si>
  <si>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</si>
  <si>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</si>
  <si>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</si>
  <si>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</si>
  <si>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</si>
  <si>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</si>
  <si>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</si>
  <si>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</si>
  <si>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</si>
  <si>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</si>
  <si>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</si>
  <si>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</si>
  <si>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</si>
  <si>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</si>
  <si>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</si>
  <si>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</si>
  <si>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</si>
  <si>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</si>
  <si>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</si>
  <si>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</si>
  <si>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</si>
  <si>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</si>
  <si>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</si>
  <si>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</si>
  <si>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</si>
  <si>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</si>
  <si>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</si>
  <si>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</si>
  <si>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</si>
  <si>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</si>
  <si>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</si>
  <si>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</si>
  <si>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</si>
  <si>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</si>
  <si>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</si>
  <si>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</si>
  <si>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</si>
  <si>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</si>
  <si>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</si>
  <si>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</si>
  <si>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</si>
  <si>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</si>
  <si>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</si>
  <si>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</si>
  <si>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</si>
  <si>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</si>
  <si>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</si>
  <si>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</si>
  <si>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</si>
  <si>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</si>
  <si>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</si>
  <si>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</si>
  <si>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</si>
  <si>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</si>
  <si>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</si>
  <si>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WeWork 2022 Form 10-K</t>
  </si>
  <si>
    <t xml:space="preserve">https://www.sec.gov/Archives/edgar/data/1813756/000181375623000019/we-20221231.htm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</si>
  <si>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</si>
  <si>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</si>
  <si>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repo://04_Merchant_Banking/sources/snapshots/merchant-wework-2022.json</t>
  </si>
  <si>
    <t xml:space="preserve">Immutable curated observation package with SHA-256 digest</t>
  </si>
  <si>
    <t xml:space="preserve">WeWork 2022 downside calibrated to public filing</t>
  </si>
  <si>
    <t xml:space="preserve">Modeler-owned assumption documented in frozen snapshot</t>
  </si>
  <si>
    <t xml:space="preserve">Distressed holdco financing assumption</t>
  </si>
  <si>
    <t xml:space="preserve">Retained modeler assumption from merchant-adversarial-holdco.json</t>
  </si>
  <si>
    <t xml:space="preserve">repo://standards/benchmark_cases/merchant-adversarial-holdco.json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</si>
  <si>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</si>
  <si>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</si>
  <si>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</si>
  <si>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</si>
  <si>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</si>
  <si>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</si>
  <si>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</si>
  <si>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</si>
  <si>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</si>
  <si>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merchant-wework-2022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</si>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</sst>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11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9" t="n">
        <v>0.2</v>
      </c>
      <c r="D6" s="19" t="n">
        <v>0.17</v>
      </c>
      <c r="E6" s="20" t="n">
        <f aca="false">IF(Cover!$C$9="Downside",D6,C6)</f>
        <v>0.17</v>
      </c>
      <c r="F6" s="1" t="s">
        <v>130</v>
      </c>
    </row>
    <row r="7" customFormat="false" ht="15" hidden="false" customHeight="true" outlineLevel="0" collapsed="false">
      <c r="B7" s="1" t="s">
        <v>131</v>
      </c>
      <c r="C7" s="19" t="n">
        <v>0.06</v>
      </c>
      <c r="D7" s="21" t="n">
        <v>-0.25</v>
      </c>
      <c r="E7" s="20" t="n">
        <f aca="false">IF(Cover!$C$9="Downside",D7,C7)</f>
        <v>-0.25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2" t="n">
        <v>0.005</v>
      </c>
      <c r="D8" s="22" t="n">
        <v>-0.003</v>
      </c>
      <c r="E8" s="23" t="n">
        <f aca="false">IF(Cover!$C$9="Downside",D8,C8)</f>
        <v>-0.003</v>
      </c>
      <c r="F8" s="1" t="s">
        <v>133</v>
      </c>
    </row>
    <row r="9" customFormat="false" ht="15" hidden="false" customHeight="true" outlineLevel="0" collapsed="false">
      <c r="B9" s="1" t="s">
        <v>134</v>
      </c>
      <c r="C9" s="19" t="n">
        <v>0.025</v>
      </c>
      <c r="D9" s="19" t="n">
        <v>0.025</v>
      </c>
      <c r="E9" s="20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9" t="n">
        <v>0.035</v>
      </c>
      <c r="D10" s="19" t="n">
        <v>0.045</v>
      </c>
      <c r="E10" s="20" t="n">
        <f aca="false">IF(Cover!$C$9="Downside",D10,C10)</f>
        <v>0.045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19" t="n">
        <v>0.08</v>
      </c>
      <c r="D11" s="19" t="n">
        <v>0.1</v>
      </c>
      <c r="E11" s="20" t="n">
        <f aca="false">IF(Cover!$C$9="Downside",D11,C11)</f>
        <v>0.1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19" t="n">
        <v>0.25</v>
      </c>
      <c r="D12" s="19" t="n">
        <v>0.2</v>
      </c>
      <c r="E12" s="20" t="n">
        <f aca="false">IF(Cover!$C$9="Downside",D12,C12)</f>
        <v>0.2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4" t="n">
        <v>10</v>
      </c>
      <c r="D13" s="24" t="n">
        <v>9</v>
      </c>
      <c r="E13" s="25" t="n">
        <f aca="false">IF(Cover!$C$9="Downside",D13,C13)</f>
        <v>9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19" t="n">
        <v>0.02</v>
      </c>
      <c r="D14" s="19" t="n">
        <v>0.025</v>
      </c>
      <c r="E14" s="20" t="n">
        <f aca="false">IF(Cover!$C$9="Downside",D14,C14)</f>
        <v>0.025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2" t="n">
        <v>0.09</v>
      </c>
      <c r="D18" s="22" t="n">
        <v>0.115</v>
      </c>
      <c r="E18" s="23" t="n">
        <f aca="false">IF(Cover!$C$9="Downside",D18,C18)</f>
        <v>0.115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4" t="n">
        <v>4</v>
      </c>
      <c r="D19" s="24" t="n">
        <v>3.5</v>
      </c>
      <c r="E19" s="25" t="n">
        <f aca="false">IF(Cover!$C$9="Downside",D19,C19)</f>
        <v>3.5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2" t="n">
        <v>0.085</v>
      </c>
      <c r="D20" s="26" t="n">
        <v>0.145</v>
      </c>
      <c r="E20" s="23" t="n">
        <f aca="false">IF(Cover!$C$9="Downside",D20,C20)</f>
        <v>0.145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19" t="n">
        <v>0.01</v>
      </c>
      <c r="D21" s="19" t="n">
        <v>0.01</v>
      </c>
      <c r="E21" s="20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4" t="n">
        <v>1.5</v>
      </c>
      <c r="D22" s="24" t="n">
        <v>1</v>
      </c>
      <c r="E22" s="25" t="n">
        <f aca="false">IF(Cover!$C$9="Downside",D22,C22)</f>
        <v>1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2" t="n">
        <v>0.11</v>
      </c>
      <c r="D23" s="22" t="n">
        <v>0.13</v>
      </c>
      <c r="E23" s="23" t="n">
        <f aca="false">IF(Cover!$C$9="Downside",D23,C23)</f>
        <v>0.13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2" t="n">
        <v>0.03</v>
      </c>
      <c r="D24" s="26" t="n">
        <v>0.08</v>
      </c>
      <c r="E24" s="23" t="n">
        <f aca="false">IF(Cover!$C$9="Downside",D24,C24)</f>
        <v>0.08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19" t="n">
        <v>0.75</v>
      </c>
      <c r="D25" s="19" t="n">
        <v>0.5</v>
      </c>
      <c r="E25" s="20" t="n">
        <f aca="false">IF(Cover!$C$9="Downside",D25,C25)</f>
        <v>0.5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4" t="n">
        <v>7</v>
      </c>
      <c r="D26" s="24" t="n">
        <v>6.5</v>
      </c>
      <c r="E26" s="25" t="n">
        <f aca="false">IF(Cover!$C$9="Downside",D26,C26)</f>
        <v>6.5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4" t="n">
        <v>1.75</v>
      </c>
      <c r="D27" s="24" t="n">
        <v>1.5</v>
      </c>
      <c r="E27" s="25" t="n">
        <f aca="false">IF(Cover!$C$9="Downside",D27,C27)</f>
        <v>1.5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4" t="n">
        <v>10</v>
      </c>
      <c r="D28" s="27" t="n">
        <v>6.5</v>
      </c>
      <c r="E28" s="25" t="n">
        <f aca="false">IF(Cover!$C$9="Downside",D28,C28)</f>
        <v>6.5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19" t="n">
        <v>0.1</v>
      </c>
      <c r="D30" s="19" t="n">
        <v>0.1</v>
      </c>
      <c r="E30" s="20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19" t="n">
        <v>0.08</v>
      </c>
      <c r="D31" s="19" t="n">
        <v>0.08</v>
      </c>
      <c r="E31" s="20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19" t="n">
        <v>0.2</v>
      </c>
      <c r="D32" s="19" t="n">
        <v>0.2</v>
      </c>
      <c r="E32" s="20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8" t="n">
        <f aca="false">Assumptions!E5*Assumptions!E6*Assumptions!E13</f>
        <v>918</v>
      </c>
      <c r="E5" s="1" t="s">
        <v>170</v>
      </c>
      <c r="F5" s="17" t="n">
        <v>0</v>
      </c>
    </row>
    <row r="6" customFormat="false" ht="15" hidden="false" customHeight="true" outlineLevel="0" collapsed="false">
      <c r="B6" s="1" t="s">
        <v>171</v>
      </c>
      <c r="C6" s="18" t="n">
        <f aca="false">Assumptions!E15</f>
        <v>100</v>
      </c>
      <c r="E6" s="1" t="s">
        <v>172</v>
      </c>
      <c r="F6" s="18" t="n">
        <f aca="false">Assumptions!E5*Assumptions!E6*Assumptions!E19</f>
        <v>357</v>
      </c>
    </row>
    <row r="7" customFormat="false" ht="15" hidden="false" customHeight="true" outlineLevel="0" collapsed="false">
      <c r="B7" s="1" t="s">
        <v>173</v>
      </c>
      <c r="C7" s="18" t="n">
        <f aca="false">C5*Assumptions!E14</f>
        <v>22.95</v>
      </c>
      <c r="E7" s="1" t="s">
        <v>174</v>
      </c>
      <c r="F7" s="18" t="n">
        <f aca="false">Assumptions!E5*Assumptions!E6*Assumptions!E22</f>
        <v>102</v>
      </c>
    </row>
    <row r="8" customFormat="false" ht="15" hidden="false" customHeight="true" outlineLevel="0" collapsed="false">
      <c r="B8" s="1" t="s">
        <v>175</v>
      </c>
      <c r="C8" s="18" t="n">
        <f aca="false">Assumptions!E16</f>
        <v>25</v>
      </c>
      <c r="E8" s="1" t="s">
        <v>176</v>
      </c>
      <c r="F8" s="18" t="n">
        <f aca="false">C9-SUM(F5:F7)</f>
        <v>606.95</v>
      </c>
    </row>
    <row r="9" customFormat="false" ht="15" hidden="false" customHeight="true" outlineLevel="0" collapsed="false">
      <c r="B9" s="30" t="s">
        <v>177</v>
      </c>
      <c r="C9" s="31" t="n">
        <f aca="false">SUM(C5:C8)</f>
        <v>1065.95</v>
      </c>
      <c r="E9" s="30" t="s">
        <v>178</v>
      </c>
      <c r="F9" s="31" t="n">
        <f aca="false">SUM(F5:F8)</f>
        <v>1065.95</v>
      </c>
    </row>
    <row r="10" customFormat="false" ht="15" hidden="false" customHeight="true" outlineLevel="0" collapsed="false">
      <c r="E10" s="1" t="s">
        <v>179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8" t="n">
        <f aca="false">Assumptions!E5</f>
        <v>600</v>
      </c>
      <c r="D5" s="18" t="n">
        <f aca="false">C5*(1+Assumptions!$E$7)</f>
        <v>450</v>
      </c>
      <c r="E5" s="18" t="n">
        <f aca="false">D5*(1+Assumptions!$E$7)</f>
        <v>337.5</v>
      </c>
      <c r="F5" s="18" t="n">
        <f aca="false">E5*(1+Assumptions!$E$7)</f>
        <v>253.125</v>
      </c>
      <c r="G5" s="18" t="n">
        <f aca="false">F5*(1+Assumptions!$E$7)</f>
        <v>189.84375</v>
      </c>
      <c r="H5" s="18" t="n">
        <f aca="false">G5*(1+Assumptions!$E$7)</f>
        <v>142.3828125</v>
      </c>
      <c r="I5" s="18" t="n">
        <f aca="false">H5*(1+Assumptions!$E$7)</f>
        <v>106.787109375</v>
      </c>
      <c r="J5" s="18" t="n">
        <f aca="false">I5*(1+Assumptions!$E$7)</f>
        <v>80.09033203125</v>
      </c>
    </row>
    <row r="6" customFormat="false" ht="15" hidden="false" customHeight="true" outlineLevel="0" collapsed="false">
      <c r="B6" s="1" t="s">
        <v>191</v>
      </c>
      <c r="D6" s="20" t="n">
        <f aca="false">IFERROR(D5/C5-1,0)</f>
        <v>-0.25</v>
      </c>
      <c r="E6" s="20" t="n">
        <f aca="false">IFERROR(E5/D5-1,0)</f>
        <v>-0.25</v>
      </c>
      <c r="F6" s="20" t="n">
        <f aca="false">IFERROR(F5/E5-1,0)</f>
        <v>-0.25</v>
      </c>
      <c r="G6" s="20" t="n">
        <f aca="false">IFERROR(G5/F5-1,0)</f>
        <v>-0.25</v>
      </c>
      <c r="H6" s="20" t="n">
        <f aca="false">IFERROR(H5/G5-1,0)</f>
        <v>-0.25</v>
      </c>
      <c r="I6" s="20" t="n">
        <f aca="false">IFERROR(I5/H5-1,0)</f>
        <v>-0.25</v>
      </c>
      <c r="J6" s="20" t="n">
        <f aca="false">IFERROR(J5/I5-1,0)</f>
        <v>-0.25</v>
      </c>
    </row>
    <row r="7" customFormat="false" ht="15" hidden="false" customHeight="true" outlineLevel="0" collapsed="false">
      <c r="B7" s="1" t="s">
        <v>192</v>
      </c>
      <c r="C7" s="20" t="n">
        <f aca="false">Assumptions!E6</f>
        <v>0.17</v>
      </c>
      <c r="D7" s="20" t="n">
        <f aca="false">MAX(0,MIN(0.6,C7+Assumptions!$E$8))</f>
        <v>0.167</v>
      </c>
      <c r="E7" s="20" t="n">
        <f aca="false">MAX(0,MIN(0.6,D7+Assumptions!$E$8))</f>
        <v>0.164</v>
      </c>
      <c r="F7" s="20" t="n">
        <f aca="false">MAX(0,MIN(0.6,E7+Assumptions!$E$8))</f>
        <v>0.161</v>
      </c>
      <c r="G7" s="20" t="n">
        <f aca="false">MAX(0,MIN(0.6,F7+Assumptions!$E$8))</f>
        <v>0.158</v>
      </c>
      <c r="H7" s="20" t="n">
        <f aca="false">MAX(0,MIN(0.6,G7+Assumptions!$E$8))</f>
        <v>0.155</v>
      </c>
      <c r="I7" s="20" t="n">
        <f aca="false">MAX(0,MIN(0.6,H7+Assumptions!$E$8))</f>
        <v>0.152</v>
      </c>
      <c r="J7" s="20" t="n">
        <f aca="false">MAX(0,MIN(0.6,I7+Assumptions!$E$8))</f>
        <v>0.149</v>
      </c>
    </row>
    <row r="8" customFormat="false" ht="15" hidden="false" customHeight="true" outlineLevel="0" collapsed="false">
      <c r="B8" s="30" t="s">
        <v>193</v>
      </c>
      <c r="C8" s="31" t="n">
        <f aca="false">C5*C7</f>
        <v>102</v>
      </c>
      <c r="D8" s="31" t="n">
        <f aca="false">D5*D7</f>
        <v>75.15</v>
      </c>
      <c r="E8" s="31" t="n">
        <f aca="false">E5*E7</f>
        <v>55.35</v>
      </c>
      <c r="F8" s="31" t="n">
        <f aca="false">F5*F7</f>
        <v>40.753125</v>
      </c>
      <c r="G8" s="31" t="n">
        <f aca="false">G5*G7</f>
        <v>29.9953125</v>
      </c>
      <c r="H8" s="31" t="n">
        <f aca="false">H5*H7</f>
        <v>22.0693359375</v>
      </c>
      <c r="I8" s="31" t="n">
        <f aca="false">I5*I7</f>
        <v>16.231640625</v>
      </c>
      <c r="J8" s="31" t="n">
        <f aca="false">J5*J7</f>
        <v>11.9334594726563</v>
      </c>
    </row>
    <row r="9" customFormat="false" ht="15" hidden="false" customHeight="true" outlineLevel="0" collapsed="false">
      <c r="B9" s="1" t="s">
        <v>194</v>
      </c>
      <c r="C9" s="18" t="n">
        <f aca="false">C5*Assumptions!E9</f>
        <v>15</v>
      </c>
      <c r="D9" s="18" t="n">
        <f aca="false">D5*Assumptions!$E$9</f>
        <v>11.25</v>
      </c>
      <c r="E9" s="18" t="n">
        <f aca="false">E5*Assumptions!$E$9</f>
        <v>8.4375</v>
      </c>
      <c r="F9" s="18" t="n">
        <f aca="false">F5*Assumptions!$E$9</f>
        <v>6.328125</v>
      </c>
      <c r="G9" s="18" t="n">
        <f aca="false">G5*Assumptions!$E$9</f>
        <v>4.74609375</v>
      </c>
      <c r="H9" s="18" t="n">
        <f aca="false">H5*Assumptions!$E$9</f>
        <v>3.5595703125</v>
      </c>
      <c r="I9" s="18" t="n">
        <f aca="false">I5*Assumptions!$E$9</f>
        <v>2.669677734375</v>
      </c>
      <c r="J9" s="18" t="n">
        <f aca="false">J5*Assumptions!$E$9</f>
        <v>2.00225830078125</v>
      </c>
    </row>
    <row r="10" customFormat="false" ht="15" hidden="false" customHeight="true" outlineLevel="0" collapsed="false">
      <c r="B10" s="1" t="s">
        <v>195</v>
      </c>
      <c r="C10" s="18" t="n">
        <f aca="false">C8-C9</f>
        <v>87</v>
      </c>
      <c r="D10" s="18" t="n">
        <f aca="false">D8-D9</f>
        <v>63.9</v>
      </c>
      <c r="E10" s="18" t="n">
        <f aca="false">E8-E9</f>
        <v>46.9125</v>
      </c>
      <c r="F10" s="18" t="n">
        <f aca="false">F8-F9</f>
        <v>34.425</v>
      </c>
      <c r="G10" s="18" t="n">
        <f aca="false">G8-G9</f>
        <v>25.24921875</v>
      </c>
      <c r="H10" s="18" t="n">
        <f aca="false">H8-H9</f>
        <v>18.509765625</v>
      </c>
      <c r="I10" s="18" t="n">
        <f aca="false">I8-I9</f>
        <v>13.561962890625</v>
      </c>
      <c r="J10" s="18" t="n">
        <f aca="false">J8-J9</f>
        <v>9.931201171875</v>
      </c>
    </row>
    <row r="11" customFormat="false" ht="15" hidden="false" customHeight="true" outlineLevel="0" collapsed="false">
      <c r="B11" s="1" t="s">
        <v>196</v>
      </c>
      <c r="D11" s="18" t="n">
        <f aca="false">'Debt Schedule'!D7</f>
        <v>65.025</v>
      </c>
      <c r="E11" s="18" t="n">
        <f aca="false">'Debt Schedule'!E7</f>
        <v>65.431125</v>
      </c>
      <c r="F11" s="18" t="n">
        <f aca="false">'Debt Schedule'!F7</f>
        <v>68.040919125</v>
      </c>
      <c r="G11" s="18" t="n">
        <f aca="false">'Debt Schedule'!G7</f>
        <v>72.645177504375</v>
      </c>
      <c r="H11" s="18" t="n">
        <f aca="false">'Debt Schedule'!H7</f>
        <v>76.2114435744</v>
      </c>
      <c r="I11" s="18" t="n">
        <f aca="false">'Debt Schedule'!I7</f>
        <v>77.132726060352</v>
      </c>
      <c r="J11" s="18" t="n">
        <f aca="false">'Debt Schedule'!J7</f>
        <v>78.1691231451802</v>
      </c>
    </row>
    <row r="12" customFormat="false" ht="15" hidden="false" customHeight="true" outlineLevel="0" collapsed="false">
      <c r="B12" s="1" t="s">
        <v>197</v>
      </c>
      <c r="D12" s="18" t="n">
        <f aca="false">D10-D11</f>
        <v>-1.125</v>
      </c>
      <c r="E12" s="18" t="n">
        <f aca="false">E10-E11</f>
        <v>-18.518625</v>
      </c>
      <c r="F12" s="18" t="n">
        <f aca="false">F10-F11</f>
        <v>-33.615919125</v>
      </c>
      <c r="G12" s="18" t="n">
        <f aca="false">G10-G11</f>
        <v>-47.395958754375</v>
      </c>
      <c r="H12" s="18" t="n">
        <f aca="false">H10-H11</f>
        <v>-57.7016779494</v>
      </c>
      <c r="I12" s="18" t="n">
        <f aca="false">I10-I11</f>
        <v>-63.570763169727</v>
      </c>
      <c r="J12" s="18" t="n">
        <f aca="false">J10-J11</f>
        <v>-68.2379219733052</v>
      </c>
    </row>
    <row r="13" customFormat="false" ht="15" hidden="false" customHeight="true" outlineLevel="0" collapsed="false">
      <c r="B13" s="1" t="s">
        <v>198</v>
      </c>
      <c r="D13" s="18" t="n">
        <f aca="false">MAX(0,D12*Assumptions!$E$12)</f>
        <v>0</v>
      </c>
      <c r="E13" s="18" t="n">
        <f aca="false">MAX(0,E12*Assumptions!$E$12)</f>
        <v>0</v>
      </c>
      <c r="F13" s="18" t="n">
        <f aca="false">MAX(0,F12*Assumptions!$E$12)</f>
        <v>0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199</v>
      </c>
      <c r="D14" s="18" t="n">
        <f aca="false">D12-D13</f>
        <v>-1.125</v>
      </c>
      <c r="E14" s="18" t="n">
        <f aca="false">E12-E13</f>
        <v>-18.518625</v>
      </c>
      <c r="F14" s="18" t="n">
        <f aca="false">F12-F13</f>
        <v>-33.615919125</v>
      </c>
      <c r="G14" s="18" t="n">
        <f aca="false">G12-G13</f>
        <v>-47.395958754375</v>
      </c>
      <c r="H14" s="18" t="n">
        <f aca="false">H12-H13</f>
        <v>-57.7016779494</v>
      </c>
      <c r="I14" s="18" t="n">
        <f aca="false">I12-I13</f>
        <v>-63.570763169727</v>
      </c>
      <c r="J14" s="18" t="n">
        <f aca="false">J12-J13</f>
        <v>-68.2379219733052</v>
      </c>
    </row>
    <row r="15" customFormat="false" ht="15" hidden="false" customHeight="true" outlineLevel="0" collapsed="false">
      <c r="B15" s="1" t="s">
        <v>200</v>
      </c>
      <c r="D15" s="18" t="n">
        <f aca="false">D5*Assumptions!$E$10</f>
        <v>20.25</v>
      </c>
      <c r="E15" s="18" t="n">
        <f aca="false">E5*Assumptions!$E$10</f>
        <v>15.1875</v>
      </c>
      <c r="F15" s="18" t="n">
        <f aca="false">F5*Assumptions!$E$10</f>
        <v>11.390625</v>
      </c>
      <c r="G15" s="18" t="n">
        <f aca="false">G5*Assumptions!$E$10</f>
        <v>8.54296875</v>
      </c>
      <c r="H15" s="18" t="n">
        <f aca="false">H5*Assumptions!$E$10</f>
        <v>6.4072265625</v>
      </c>
      <c r="I15" s="18" t="n">
        <f aca="false">I5*Assumptions!$E$10</f>
        <v>4.805419921875</v>
      </c>
      <c r="J15" s="18" t="n">
        <f aca="false">J5*Assumptions!$E$10</f>
        <v>3.60406494140625</v>
      </c>
    </row>
    <row r="16" customFormat="false" ht="15" hidden="false" customHeight="true" outlineLevel="0" collapsed="false">
      <c r="B16" s="1" t="s">
        <v>201</v>
      </c>
      <c r="C16" s="18" t="n">
        <f aca="false">C5*Assumptions!E11</f>
        <v>60</v>
      </c>
      <c r="D16" s="18" t="n">
        <f aca="false">D5*Assumptions!$E$11</f>
        <v>45</v>
      </c>
      <c r="E16" s="18" t="n">
        <f aca="false">E5*Assumptions!$E$11</f>
        <v>33.75</v>
      </c>
      <c r="F16" s="18" t="n">
        <f aca="false">F5*Assumptions!$E$11</f>
        <v>25.3125</v>
      </c>
      <c r="G16" s="18" t="n">
        <f aca="false">G5*Assumptions!$E$11</f>
        <v>18.984375</v>
      </c>
      <c r="H16" s="18" t="n">
        <f aca="false">H5*Assumptions!$E$11</f>
        <v>14.23828125</v>
      </c>
      <c r="I16" s="18" t="n">
        <f aca="false">I5*Assumptions!$E$11</f>
        <v>10.6787109375</v>
      </c>
      <c r="J16" s="18" t="n">
        <f aca="false">J5*Assumptions!$E$11</f>
        <v>8.009033203125</v>
      </c>
    </row>
    <row r="17" customFormat="false" ht="15" hidden="false" customHeight="true" outlineLevel="0" collapsed="false">
      <c r="B17" s="1" t="s">
        <v>202</v>
      </c>
      <c r="D17" s="18" t="n">
        <f aca="false">D16-C16</f>
        <v>-15</v>
      </c>
      <c r="E17" s="18" t="n">
        <f aca="false">E16-D16</f>
        <v>-11.25</v>
      </c>
      <c r="F17" s="18" t="n">
        <f aca="false">F16-E16</f>
        <v>-8.4375</v>
      </c>
      <c r="G17" s="18" t="n">
        <f aca="false">G16-F16</f>
        <v>-6.328125</v>
      </c>
      <c r="H17" s="18" t="n">
        <f aca="false">H16-G16</f>
        <v>-4.74609375</v>
      </c>
      <c r="I17" s="18" t="n">
        <f aca="false">I16-H16</f>
        <v>-3.5595703125</v>
      </c>
      <c r="J17" s="18" t="n">
        <f aca="false">J16-I16</f>
        <v>-2.669677734375</v>
      </c>
    </row>
    <row r="18" customFormat="false" ht="15" hidden="false" customHeight="true" outlineLevel="0" collapsed="false">
      <c r="B18" s="30" t="s">
        <v>203</v>
      </c>
      <c r="C18" s="31"/>
      <c r="D18" s="31" t="n">
        <f aca="false">D14+D9-D15-D17</f>
        <v>4.875</v>
      </c>
      <c r="E18" s="31" t="n">
        <f aca="false">E14+E9-E15-E17</f>
        <v>-14.018625</v>
      </c>
      <c r="F18" s="31" t="n">
        <f aca="false">F14+F9-F15-F17</f>
        <v>-30.240919125</v>
      </c>
      <c r="G18" s="31" t="n">
        <f aca="false">G14+G9-G15-G17</f>
        <v>-44.864708754375</v>
      </c>
      <c r="H18" s="31" t="n">
        <f aca="false">H14+H9-H15-H17</f>
        <v>-55.8032404494</v>
      </c>
      <c r="I18" s="31" t="n">
        <f aca="false">I14+I9-I15-I17</f>
        <v>-62.146935044727</v>
      </c>
      <c r="J18" s="31" t="n">
        <f aca="false">J14+J9-J15-J17</f>
        <v>-67.1700508795552</v>
      </c>
    </row>
    <row r="19" customFormat="false" ht="15" hidden="false" customHeight="true" outlineLevel="0" collapsed="false">
      <c r="B19" s="30" t="s">
        <v>204</v>
      </c>
      <c r="C19" s="31"/>
      <c r="D19" s="31" t="n">
        <f aca="false">D8-D13-D15-D17</f>
        <v>69.9</v>
      </c>
      <c r="E19" s="31" t="n">
        <f aca="false">E8-E13-E15-E17</f>
        <v>51.4125</v>
      </c>
      <c r="F19" s="31" t="n">
        <f aca="false">F8-F13-F15-F17</f>
        <v>37.8</v>
      </c>
      <c r="G19" s="31" t="n">
        <f aca="false">G8-G13-G15-G17</f>
        <v>27.78046875</v>
      </c>
      <c r="H19" s="31" t="n">
        <f aca="false">H8-H13-H15-H17</f>
        <v>20.408203125</v>
      </c>
      <c r="I19" s="31" t="n">
        <f aca="false">I8-I13-I15-I17</f>
        <v>14.985791015625</v>
      </c>
      <c r="J19" s="31" t="n">
        <f aca="false">J8-J13-J15-J17</f>
        <v>10.999072265625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25.32625</v>
      </c>
      <c r="F5" s="18" t="n">
        <f aca="false">E13</f>
        <v>25</v>
      </c>
      <c r="G5" s="18" t="n">
        <f aca="false">F13</f>
        <v>25</v>
      </c>
      <c r="H5" s="18" t="n">
        <f aca="false">G13</f>
        <v>0.491997120624973</v>
      </c>
      <c r="I5" s="18" t="n">
        <f aca="false">H13</f>
        <v>-58.881243328775</v>
      </c>
      <c r="J5" s="18" t="n">
        <f aca="false">I13</f>
        <v>-124.598178373502</v>
      </c>
    </row>
    <row r="6" customFormat="false" ht="15" hidden="false" customHeight="true" outlineLevel="0" collapsed="false">
      <c r="B6" s="1" t="s">
        <v>204</v>
      </c>
      <c r="D6" s="18" t="n">
        <f aca="false">'Operating Model'!D19</f>
        <v>69.9</v>
      </c>
      <c r="E6" s="18" t="n">
        <f aca="false">'Operating Model'!E19</f>
        <v>51.4125</v>
      </c>
      <c r="F6" s="18" t="n">
        <f aca="false">'Operating Model'!F19</f>
        <v>37.8</v>
      </c>
      <c r="G6" s="18" t="n">
        <f aca="false">'Operating Model'!G19</f>
        <v>27.78046875</v>
      </c>
      <c r="H6" s="18" t="n">
        <f aca="false">'Operating Model'!H19</f>
        <v>20.408203125</v>
      </c>
      <c r="I6" s="18" t="n">
        <f aca="false">'Operating Model'!I19</f>
        <v>14.985791015625</v>
      </c>
      <c r="J6" s="18" t="n">
        <f aca="false">'Operating Model'!J19</f>
        <v>10.999072265625</v>
      </c>
    </row>
    <row r="7" customFormat="false" ht="15" hidden="false" customHeight="true" outlineLevel="0" collapsed="false">
      <c r="B7" s="1" t="s">
        <v>196</v>
      </c>
      <c r="D7" s="18" t="n">
        <f aca="false">SUM(D15,D18,D23)</f>
        <v>65.025</v>
      </c>
      <c r="E7" s="18" t="n">
        <f aca="false">SUM(E15,E18,E23)</f>
        <v>65.431125</v>
      </c>
      <c r="F7" s="18" t="n">
        <f aca="false">SUM(F15,F18,F23)</f>
        <v>68.040919125</v>
      </c>
      <c r="G7" s="18" t="n">
        <f aca="false">SUM(G15,G18,G23)</f>
        <v>72.645177504375</v>
      </c>
      <c r="H7" s="18" t="n">
        <f aca="false">SUM(H15,H18,H23)</f>
        <v>76.2114435744</v>
      </c>
      <c r="I7" s="18" t="n">
        <f aca="false">SUM(I15,I18,I23)</f>
        <v>77.132726060352</v>
      </c>
      <c r="J7" s="18" t="n">
        <f aca="false">SUM(J15,J18,J23)</f>
        <v>78.1691231451802</v>
      </c>
    </row>
    <row r="8" customFormat="false" ht="15" hidden="false" customHeight="true" outlineLevel="0" collapsed="false">
      <c r="B8" s="1" t="s">
        <v>208</v>
      </c>
      <c r="D8" s="18" t="n">
        <f aca="false">D19</f>
        <v>3.57</v>
      </c>
      <c r="E8" s="18" t="n">
        <f aca="false">E19</f>
        <v>3.57</v>
      </c>
      <c r="F8" s="18" t="n">
        <f aca="false">F19</f>
        <v>3.57</v>
      </c>
      <c r="G8" s="18" t="n">
        <f aca="false">G19</f>
        <v>3.57</v>
      </c>
      <c r="H8" s="18" t="n">
        <f aca="false">H19</f>
        <v>3.57</v>
      </c>
      <c r="I8" s="18" t="n">
        <f aca="false">I19</f>
        <v>3.57</v>
      </c>
      <c r="J8" s="18" t="n">
        <f aca="false">J19</f>
        <v>3.57</v>
      </c>
    </row>
    <row r="9" customFormat="false" ht="15" hidden="false" customHeight="true" outlineLevel="0" collapsed="false">
      <c r="B9" s="1" t="s">
        <v>209</v>
      </c>
      <c r="D9" s="18" t="n">
        <f aca="false">D5+D6-D7-D8</f>
        <v>26.305</v>
      </c>
      <c r="E9" s="18" t="n">
        <f aca="false">E5+E6-E7-E8</f>
        <v>7.737625</v>
      </c>
      <c r="F9" s="18" t="n">
        <f aca="false">F5+F6-F7-F8</f>
        <v>-8.81091912500001</v>
      </c>
      <c r="G9" s="18" t="n">
        <f aca="false">G5+G6-G7-G8</f>
        <v>-23.434708754375</v>
      </c>
      <c r="H9" s="18" t="n">
        <f aca="false">H5+H6-H7-H8</f>
        <v>-58.881243328775</v>
      </c>
      <c r="I9" s="18" t="n">
        <f aca="false">I5+I6-I7-I8</f>
        <v>-124.598178373502</v>
      </c>
      <c r="J9" s="18" t="n">
        <f aca="false">J5+J6-J7-J8</f>
        <v>-195.338229253057</v>
      </c>
    </row>
    <row r="10" customFormat="false" ht="15" hidden="false" customHeight="true" outlineLevel="0" collapsed="false">
      <c r="B10" s="1" t="s">
        <v>210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17.262375</v>
      </c>
      <c r="F10" s="18" t="n">
        <f aca="false">IF(F9&lt;Assumptions!$E$16,MIN(Assumptions!$E$17-F14,Assumptions!$E$16-F9),-MIN(F14,MAX(0,F9-Assumptions!$E$16)))</f>
        <v>33.810919125</v>
      </c>
      <c r="G10" s="18" t="n">
        <f aca="false">IF(G9&lt;Assumptions!$E$16,MIN(Assumptions!$E$17-G14,Assumptions!$E$16-G9),-MIN(G14,MAX(0,G9-Assumptions!$E$16)))</f>
        <v>23.926705875</v>
      </c>
      <c r="H10" s="18" t="n">
        <f aca="false">IF(H9&lt;Assumptions!$E$16,MIN(Assumptions!$E$17-H14,Assumptions!$E$16-H9),-MIN(H14,MAX(0,H9-Assumptions!$E$16)))</f>
        <v>0</v>
      </c>
      <c r="I10" s="18" t="n">
        <f aca="false">IF(I9&lt;Assumptions!$E$16,MIN(Assumptions!$E$17-I14,Assumptions!$E$16-I9),-MIN(I14,MAX(0,I9-Assumptions!$E$16)))</f>
        <v>0</v>
      </c>
      <c r="J10" s="18" t="n">
        <f aca="false">IF(J9&lt;Assumptions!$E$16,MIN(Assumptions!$E$17-J14,Assumptions!$E$16-J9),-MIN(J14,MAX(0,J9-Assumptions!$E$16)))</f>
        <v>0</v>
      </c>
    </row>
    <row r="11" customFormat="false" ht="15" hidden="false" customHeight="true" outlineLevel="0" collapsed="false">
      <c r="B11" s="1" t="s">
        <v>211</v>
      </c>
      <c r="D11" s="18" t="n">
        <f aca="false">MIN(MAX(0,D17-D19),MAX(0,D9+D10-Assumptions!$E$16)*Assumptions!$E$25)</f>
        <v>0.6525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212</v>
      </c>
      <c r="D12" s="18" t="n">
        <f aca="false">MIN(MAX(0,D22+D24),MAX(0,D9+D10-D11-Assumptions!$E$16)*Assumptions!$E$25)</f>
        <v>0.32625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213</v>
      </c>
      <c r="C13" s="31" t="n">
        <f aca="false">C5</f>
        <v>25</v>
      </c>
      <c r="D13" s="31" t="n">
        <f aca="false">D9+D10-D11-D12</f>
        <v>25.32625</v>
      </c>
      <c r="E13" s="31" t="n">
        <f aca="false">E9+E10-E11-E12</f>
        <v>25</v>
      </c>
      <c r="F13" s="31" t="n">
        <f aca="false">F9+F10-F11-F12</f>
        <v>25</v>
      </c>
      <c r="G13" s="31" t="n">
        <f aca="false">G9+G10-G11-G12</f>
        <v>0.491997120624973</v>
      </c>
      <c r="H13" s="31" t="n">
        <f aca="false">H9+H10-H11-H12</f>
        <v>-58.881243328775</v>
      </c>
      <c r="I13" s="31" t="n">
        <f aca="false">I9+I10-I11-I12</f>
        <v>-124.598178373502</v>
      </c>
      <c r="J13" s="31" t="n">
        <f aca="false">J9+J10-J11-J12</f>
        <v>-195.338229253057</v>
      </c>
    </row>
    <row r="14" customFormat="false" ht="15" hidden="false" customHeight="true" outlineLevel="0" collapsed="false">
      <c r="B14" s="1" t="s">
        <v>214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17.262375</v>
      </c>
      <c r="G14" s="18" t="n">
        <f aca="false">F16</f>
        <v>51.073294125</v>
      </c>
      <c r="H14" s="18" t="n">
        <f aca="false">G16</f>
        <v>75</v>
      </c>
      <c r="I14" s="18" t="n">
        <f aca="false">H16</f>
        <v>75</v>
      </c>
      <c r="J14" s="18" t="n">
        <f aca="false">I16</f>
        <v>75</v>
      </c>
    </row>
    <row r="15" customFormat="false" ht="15" hidden="false" customHeight="true" outlineLevel="0" collapsed="false">
      <c r="B15" s="1" t="s">
        <v>215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1.985173125</v>
      </c>
      <c r="G15" s="18" t="n">
        <f aca="false">G14*Assumptions!$E$18</f>
        <v>5.873428824375</v>
      </c>
      <c r="H15" s="18" t="n">
        <f aca="false">H14*Assumptions!$E$18</f>
        <v>8.625</v>
      </c>
      <c r="I15" s="18" t="n">
        <f aca="false">I14*Assumptions!$E$18</f>
        <v>8.625</v>
      </c>
      <c r="J15" s="18" t="n">
        <f aca="false">J14*Assumptions!$E$18</f>
        <v>8.625</v>
      </c>
    </row>
    <row r="16" customFormat="false" ht="15" hidden="false" customHeight="true" outlineLevel="0" collapsed="false">
      <c r="B16" s="1" t="s">
        <v>216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17.262375</v>
      </c>
      <c r="F16" s="18" t="n">
        <f aca="false">MAX(0,F14+F10)</f>
        <v>51.073294125</v>
      </c>
      <c r="G16" s="18" t="n">
        <f aca="false">MAX(0,G14+G10)</f>
        <v>75</v>
      </c>
      <c r="H16" s="18" t="n">
        <f aca="false">MAX(0,H14+H10)</f>
        <v>75</v>
      </c>
      <c r="I16" s="18" t="n">
        <f aca="false">MAX(0,I14+I10)</f>
        <v>75</v>
      </c>
      <c r="J16" s="18" t="n">
        <f aca="false">MAX(0,J14+J10)</f>
        <v>75</v>
      </c>
    </row>
    <row r="17" customFormat="false" ht="15" hidden="false" customHeight="true" outlineLevel="0" collapsed="false">
      <c r="B17" s="1" t="s">
        <v>217</v>
      </c>
      <c r="C17" s="18" t="n">
        <f aca="false">'Sources &amp; Uses'!F6</f>
        <v>357</v>
      </c>
      <c r="D17" s="18" t="n">
        <f aca="false">C21</f>
        <v>357</v>
      </c>
      <c r="E17" s="18" t="n">
        <f aca="false">D21</f>
        <v>352.7775</v>
      </c>
      <c r="F17" s="18" t="n">
        <f aca="false">E21</f>
        <v>349.2075</v>
      </c>
      <c r="G17" s="18" t="n">
        <f aca="false">F21</f>
        <v>345.6375</v>
      </c>
      <c r="H17" s="18" t="n">
        <f aca="false">G21</f>
        <v>342.0675</v>
      </c>
      <c r="I17" s="18" t="n">
        <f aca="false">H21</f>
        <v>338.4975</v>
      </c>
      <c r="J17" s="18" t="n">
        <f aca="false">I21</f>
        <v>334.9275</v>
      </c>
    </row>
    <row r="18" customFormat="false" ht="15" hidden="false" customHeight="true" outlineLevel="0" collapsed="false">
      <c r="B18" s="1" t="s">
        <v>218</v>
      </c>
      <c r="D18" s="18" t="n">
        <f aca="false">D17*Assumptions!$E$20</f>
        <v>51.765</v>
      </c>
      <c r="E18" s="18" t="n">
        <f aca="false">E17*Assumptions!$E$20</f>
        <v>51.1527375</v>
      </c>
      <c r="F18" s="18" t="n">
        <f aca="false">F17*Assumptions!$E$20</f>
        <v>50.6350875</v>
      </c>
      <c r="G18" s="18" t="n">
        <f aca="false">G17*Assumptions!$E$20</f>
        <v>50.1174375</v>
      </c>
      <c r="H18" s="18" t="n">
        <f aca="false">H17*Assumptions!$E$20</f>
        <v>49.5997875</v>
      </c>
      <c r="I18" s="18" t="n">
        <f aca="false">I17*Assumptions!$E$20</f>
        <v>49.0821375</v>
      </c>
      <c r="J18" s="18" t="n">
        <f aca="false">J17*Assumptions!$E$20</f>
        <v>48.5644875</v>
      </c>
    </row>
    <row r="19" customFormat="false" ht="15" hidden="false" customHeight="true" outlineLevel="0" collapsed="false">
      <c r="B19" s="1" t="s">
        <v>219</v>
      </c>
      <c r="D19" s="18" t="n">
        <f aca="false">MIN(D17,'Sources &amp; Uses'!$F$6*Assumptions!$E$21)</f>
        <v>3.57</v>
      </c>
      <c r="E19" s="18" t="n">
        <f aca="false">MIN(E17,'Sources &amp; Uses'!$F$6*Assumptions!$E$21)</f>
        <v>3.57</v>
      </c>
      <c r="F19" s="18" t="n">
        <f aca="false">MIN(F17,'Sources &amp; Uses'!$F$6*Assumptions!$E$21)</f>
        <v>3.57</v>
      </c>
      <c r="G19" s="18" t="n">
        <f aca="false">MIN(G17,'Sources &amp; Uses'!$F$6*Assumptions!$E$21)</f>
        <v>3.57</v>
      </c>
      <c r="H19" s="18" t="n">
        <f aca="false">MIN(H17,'Sources &amp; Uses'!$F$6*Assumptions!$E$21)</f>
        <v>3.57</v>
      </c>
      <c r="I19" s="18" t="n">
        <f aca="false">MIN(I17,'Sources &amp; Uses'!$F$6*Assumptions!$E$21)</f>
        <v>3.57</v>
      </c>
      <c r="J19" s="18" t="n">
        <f aca="false">MIN(J17,'Sources &amp; Uses'!$F$6*Assumptions!$E$21)</f>
        <v>3.57</v>
      </c>
    </row>
    <row r="20" customFormat="false" ht="15" hidden="false" customHeight="true" outlineLevel="0" collapsed="false">
      <c r="B20" s="30" t="s">
        <v>220</v>
      </c>
      <c r="C20" s="31" t="n">
        <f aca="false">'Sources &amp; Uses'!F7</f>
        <v>102</v>
      </c>
      <c r="D20" s="31" t="n">
        <f aca="false">D11</f>
        <v>0.6525</v>
      </c>
      <c r="E20" s="31" t="n">
        <f aca="false">E11</f>
        <v>0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221</v>
      </c>
      <c r="C21" s="18" t="n">
        <f aca="false">C17</f>
        <v>357</v>
      </c>
      <c r="D21" s="18" t="n">
        <f aca="false">MAX(0,D17-D19-D20)</f>
        <v>352.7775</v>
      </c>
      <c r="E21" s="18" t="n">
        <f aca="false">MAX(0,E17-E19-E20)</f>
        <v>349.2075</v>
      </c>
      <c r="F21" s="18" t="n">
        <f aca="false">MAX(0,F17-F19-F20)</f>
        <v>345.6375</v>
      </c>
      <c r="G21" s="18" t="n">
        <f aca="false">MAX(0,G17-G19-G20)</f>
        <v>342.0675</v>
      </c>
      <c r="H21" s="18" t="n">
        <f aca="false">MAX(0,H17-H19-H20)</f>
        <v>338.4975</v>
      </c>
      <c r="I21" s="18" t="n">
        <f aca="false">MAX(0,I17-I19-I20)</f>
        <v>334.9275</v>
      </c>
      <c r="J21" s="18" t="n">
        <f aca="false">MAX(0,J17-J19-J20)</f>
        <v>331.3575</v>
      </c>
    </row>
    <row r="22" customFormat="false" ht="15" hidden="false" customHeight="true" outlineLevel="0" collapsed="false">
      <c r="B22" s="1" t="s">
        <v>222</v>
      </c>
      <c r="C22" s="18" t="n">
        <f aca="false">'Sources &amp; Uses'!F7</f>
        <v>102</v>
      </c>
      <c r="D22" s="18" t="n">
        <f aca="false">C26</f>
        <v>102</v>
      </c>
      <c r="E22" s="18" t="n">
        <f aca="false">D26</f>
        <v>109.83375</v>
      </c>
      <c r="F22" s="18" t="n">
        <f aca="false">E26</f>
        <v>118.62045</v>
      </c>
      <c r="G22" s="18" t="n">
        <f aca="false">F26</f>
        <v>128.110086</v>
      </c>
      <c r="H22" s="18" t="n">
        <f aca="false">G26</f>
        <v>138.35889288</v>
      </c>
      <c r="I22" s="18" t="n">
        <f aca="false">H26</f>
        <v>149.4276043104</v>
      </c>
      <c r="J22" s="18" t="n">
        <f aca="false">I26</f>
        <v>161.381812655232</v>
      </c>
    </row>
    <row r="23" customFormat="false" ht="15" hidden="false" customHeight="true" outlineLevel="0" collapsed="false">
      <c r="B23" s="1" t="s">
        <v>223</v>
      </c>
      <c r="D23" s="18" t="n">
        <f aca="false">D22*Assumptions!$E$23</f>
        <v>13.26</v>
      </c>
      <c r="E23" s="18" t="n">
        <f aca="false">E22*Assumptions!$E$23</f>
        <v>14.2783875</v>
      </c>
      <c r="F23" s="18" t="n">
        <f aca="false">F22*Assumptions!$E$23</f>
        <v>15.4206585</v>
      </c>
      <c r="G23" s="18" t="n">
        <f aca="false">G22*Assumptions!$E$23</f>
        <v>16.65431118</v>
      </c>
      <c r="H23" s="18" t="n">
        <f aca="false">H22*Assumptions!$E$23</f>
        <v>17.9866560744</v>
      </c>
      <c r="I23" s="18" t="n">
        <f aca="false">I22*Assumptions!$E$23</f>
        <v>19.425588560352</v>
      </c>
      <c r="J23" s="18" t="n">
        <f aca="false">J22*Assumptions!$E$23</f>
        <v>20.9796356451802</v>
      </c>
    </row>
    <row r="24" customFormat="false" ht="15" hidden="false" customHeight="true" outlineLevel="0" collapsed="false">
      <c r="B24" s="30" t="s">
        <v>224</v>
      </c>
      <c r="C24" s="31"/>
      <c r="D24" s="31" t="n">
        <f aca="false">D22*Assumptions!$E$24</f>
        <v>8.16</v>
      </c>
      <c r="E24" s="31" t="n">
        <f aca="false">E22*Assumptions!$E$24</f>
        <v>8.7867</v>
      </c>
      <c r="F24" s="31" t="n">
        <f aca="false">F22*Assumptions!$E$24</f>
        <v>9.489636</v>
      </c>
      <c r="G24" s="31" t="n">
        <f aca="false">G22*Assumptions!$E$24</f>
        <v>10.24880688</v>
      </c>
      <c r="H24" s="31" t="n">
        <f aca="false">H22*Assumptions!$E$24</f>
        <v>11.0687114304</v>
      </c>
      <c r="I24" s="31" t="n">
        <f aca="false">I22*Assumptions!$E$24</f>
        <v>11.954208344832</v>
      </c>
      <c r="J24" s="31" t="n">
        <f aca="false">J22*Assumptions!$E$24</f>
        <v>12.9105450124186</v>
      </c>
    </row>
    <row r="25" customFormat="false" ht="15" hidden="false" customHeight="true" outlineLevel="0" collapsed="false">
      <c r="B25" s="30" t="s">
        <v>225</v>
      </c>
      <c r="C25" s="31" t="n">
        <f aca="false">SUM(C16,C20,C13)</f>
        <v>127</v>
      </c>
      <c r="D25" s="31" t="n">
        <f aca="false">D12</f>
        <v>0.32625</v>
      </c>
      <c r="E25" s="31" t="n">
        <f aca="false">E12</f>
        <v>0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226</v>
      </c>
      <c r="C26" s="31" t="n">
        <f aca="false">C22</f>
        <v>102</v>
      </c>
      <c r="D26" s="31" t="n">
        <f aca="false">MAX(0,D22+D24-D25)</f>
        <v>109.83375</v>
      </c>
      <c r="E26" s="31" t="n">
        <f aca="false">MAX(0,E22+E24-E25)</f>
        <v>118.62045</v>
      </c>
      <c r="F26" s="31" t="n">
        <f aca="false">MAX(0,F22+F24-F25)</f>
        <v>128.110086</v>
      </c>
      <c r="G26" s="31" t="n">
        <f aca="false">MAX(0,G22+G24-G25)</f>
        <v>138.35889288</v>
      </c>
      <c r="H26" s="31" t="n">
        <f aca="false">MAX(0,H22+H24-H25)</f>
        <v>149.4276043104</v>
      </c>
      <c r="I26" s="31" t="n">
        <f aca="false">MAX(0,I22+I24-I25)</f>
        <v>161.381812655232</v>
      </c>
      <c r="J26" s="31" t="n">
        <f aca="false">MAX(0,J22+J24-J25)</f>
        <v>174.292357667651</v>
      </c>
    </row>
    <row r="27" customFormat="false" ht="15" hidden="false" customHeight="true" outlineLevel="0" collapsed="false">
      <c r="B27" s="1" t="s">
        <v>227</v>
      </c>
      <c r="C27" s="18" t="n">
        <f aca="false">SUM(C16,C21,C26)</f>
        <v>459</v>
      </c>
      <c r="D27" s="18" t="n">
        <f aca="false">SUM(D16,D21,D26)</f>
        <v>462.61125</v>
      </c>
      <c r="E27" s="18" t="n">
        <f aca="false">SUM(E16,E21,E26)</f>
        <v>485.090325</v>
      </c>
      <c r="F27" s="18" t="n">
        <f aca="false">SUM(F16,F21,F26)</f>
        <v>524.820880125</v>
      </c>
      <c r="G27" s="18" t="n">
        <f aca="false">SUM(G16,G21,G26)</f>
        <v>555.42639288</v>
      </c>
      <c r="H27" s="18" t="n">
        <f aca="false">SUM(H16,H21,H26)</f>
        <v>562.9251043104</v>
      </c>
      <c r="I27" s="18" t="n">
        <f aca="false">SUM(I16,I21,I26)</f>
        <v>571.309312655232</v>
      </c>
      <c r="J27" s="18" t="n">
        <f aca="false">SUM(J16,J21,J26)</f>
        <v>580.649857667651</v>
      </c>
    </row>
    <row r="28" customFormat="false" ht="15" hidden="false" customHeight="true" outlineLevel="0" collapsed="false">
      <c r="B28" s="1" t="s">
        <v>228</v>
      </c>
      <c r="C28" s="18" t="n">
        <f aca="false">C27-C13</f>
        <v>434</v>
      </c>
      <c r="D28" s="18" t="n">
        <f aca="false">D27-D13</f>
        <v>437.285</v>
      </c>
      <c r="E28" s="18" t="n">
        <f aca="false">E27-E13</f>
        <v>460.090325</v>
      </c>
      <c r="F28" s="18" t="n">
        <f aca="false">F27-F13</f>
        <v>499.820880125</v>
      </c>
      <c r="G28" s="18" t="n">
        <f aca="false">G27-G13</f>
        <v>554.934395759375</v>
      </c>
      <c r="H28" s="18" t="n">
        <f aca="false">H27-H13</f>
        <v>621.806347639175</v>
      </c>
      <c r="I28" s="18" t="n">
        <f aca="false">I27-I13</f>
        <v>695.907491028734</v>
      </c>
      <c r="J28" s="18" t="n">
        <f aca="false">J27-J13</f>
        <v>775.988086920708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5" t="n">
        <f aca="false">IFERROR('Debt Schedule'!D25/'Operating Model'!D8,0)</f>
        <v>0.00434131736526946</v>
      </c>
      <c r="D5" s="25" t="n">
        <f aca="false">IFERROR('Debt Schedule'!E25/'Operating Model'!E8,0)</f>
        <v>0</v>
      </c>
      <c r="E5" s="25" t="n">
        <f aca="false">IFERROR('Debt Schedule'!F25/'Operating Model'!F8,0)</f>
        <v>0</v>
      </c>
      <c r="F5" s="25" t="n">
        <f aca="false">IFERROR('Debt Schedule'!G25/'Operating Model'!G8,0)</f>
        <v>0</v>
      </c>
      <c r="G5" s="25" t="n">
        <f aca="false">IFERROR('Debt Schedule'!H25/'Operating Model'!H8,0)</f>
        <v>0</v>
      </c>
      <c r="H5" s="25" t="n">
        <f aca="false">IFERROR('Debt Schedule'!I25/'Operating Model'!I8,0)</f>
        <v>0</v>
      </c>
      <c r="I5" s="25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232</v>
      </c>
      <c r="C6" s="25" t="n">
        <f aca="false">Assumptions!$E$26</f>
        <v>6.5</v>
      </c>
      <c r="D6" s="25" t="n">
        <f aca="false">Assumptions!$E$26</f>
        <v>6.5</v>
      </c>
      <c r="E6" s="25" t="n">
        <f aca="false">Assumptions!$E$26</f>
        <v>6.5</v>
      </c>
      <c r="F6" s="25" t="n">
        <f aca="false">Assumptions!$E$26</f>
        <v>6.5</v>
      </c>
      <c r="G6" s="25" t="n">
        <f aca="false">Assumptions!$E$26</f>
        <v>6.5</v>
      </c>
      <c r="H6" s="25" t="n">
        <f aca="false">Assumptions!$E$26</f>
        <v>6.5</v>
      </c>
      <c r="I6" s="25" t="n">
        <f aca="false">Assumptions!$E$26</f>
        <v>6.5</v>
      </c>
    </row>
    <row r="7" customFormat="false" ht="15" hidden="false" customHeight="true" outlineLevel="0" collapsed="false">
      <c r="B7" s="1" t="s">
        <v>233</v>
      </c>
      <c r="C7" s="25" t="n">
        <f aca="false">C6-C5</f>
        <v>6.49565868263473</v>
      </c>
      <c r="D7" s="25" t="n">
        <f aca="false">D6-D5</f>
        <v>6.5</v>
      </c>
      <c r="E7" s="25" t="n">
        <f aca="false">E6-E5</f>
        <v>6.5</v>
      </c>
      <c r="F7" s="25" t="n">
        <f aca="false">F6-F5</f>
        <v>6.5</v>
      </c>
      <c r="G7" s="25" t="n">
        <f aca="false">G6-G5</f>
        <v>6.5</v>
      </c>
      <c r="H7" s="25" t="n">
        <f aca="false">H6-H5</f>
        <v>6.5</v>
      </c>
      <c r="I7" s="25" t="n">
        <f aca="false">I6-I5</f>
        <v>6.5</v>
      </c>
    </row>
    <row r="8" customFormat="false" ht="15" hidden="false" customHeight="true" outlineLevel="0" collapsed="false">
      <c r="B8" s="1" t="s">
        <v>234</v>
      </c>
      <c r="C8" s="25" t="n">
        <f aca="false">IFERROR('Operating Model'!D8/'Debt Schedule'!D7,0)</f>
        <v>1.15570934256055</v>
      </c>
      <c r="D8" s="25" t="n">
        <f aca="false">IFERROR('Operating Model'!E8/'Debt Schedule'!E7,0)</f>
        <v>0.845927683499252</v>
      </c>
      <c r="E8" s="25" t="n">
        <f aca="false">IFERROR('Operating Model'!F8/'Debt Schedule'!F7,0)</f>
        <v>0.598950242355357</v>
      </c>
      <c r="F8" s="25" t="n">
        <f aca="false">IFERROR('Operating Model'!G8/'Debt Schedule'!G7,0)</f>
        <v>0.41290163408567</v>
      </c>
      <c r="G8" s="25" t="n">
        <f aca="false">IFERROR('Operating Model'!H8/'Debt Schedule'!H7,0)</f>
        <v>0.289580342563059</v>
      </c>
      <c r="H8" s="25" t="n">
        <f aca="false">IFERROR('Operating Model'!I8/'Debt Schedule'!I7,0)</f>
        <v>0.210437792802755</v>
      </c>
      <c r="I8" s="25" t="n">
        <f aca="false">IFERROR('Operating Model'!J8/'Debt Schedule'!J7,0)</f>
        <v>0.15266206134221</v>
      </c>
    </row>
    <row r="9" customFormat="false" ht="15" hidden="false" customHeight="true" outlineLevel="0" collapsed="false">
      <c r="B9" s="1" t="s">
        <v>235</v>
      </c>
      <c r="C9" s="25" t="n">
        <f aca="false">Assumptions!$E$27</f>
        <v>1.5</v>
      </c>
      <c r="D9" s="25" t="n">
        <f aca="false">Assumptions!$E$27</f>
        <v>1.5</v>
      </c>
      <c r="E9" s="25" t="n">
        <f aca="false">Assumptions!$E$27</f>
        <v>1.5</v>
      </c>
      <c r="F9" s="25" t="n">
        <f aca="false">Assumptions!$E$27</f>
        <v>1.5</v>
      </c>
      <c r="G9" s="25" t="n">
        <f aca="false">Assumptions!$E$27</f>
        <v>1.5</v>
      </c>
      <c r="H9" s="25" t="n">
        <f aca="false">Assumptions!$E$27</f>
        <v>1.5</v>
      </c>
      <c r="I9" s="25" t="n">
        <f aca="false">Assumptions!$E$27</f>
        <v>1.5</v>
      </c>
    </row>
    <row r="10" customFormat="false" ht="15" hidden="false" customHeight="true" outlineLevel="0" collapsed="false">
      <c r="B10" s="1" t="s">
        <v>236</v>
      </c>
      <c r="C10" s="25" t="n">
        <f aca="false">C8-C9</f>
        <v>-0.344290657439446</v>
      </c>
      <c r="D10" s="25" t="n">
        <f aca="false">D8-D9</f>
        <v>-0.654072316500748</v>
      </c>
      <c r="E10" s="25" t="n">
        <f aca="false">E8-E9</f>
        <v>-0.901049757644643</v>
      </c>
      <c r="F10" s="25" t="n">
        <f aca="false">F8-F9</f>
        <v>-1.08709836591433</v>
      </c>
      <c r="G10" s="25" t="n">
        <f aca="false">G8-G9</f>
        <v>-1.21041965743694</v>
      </c>
      <c r="H10" s="25" t="n">
        <f aca="false">H8-H9</f>
        <v>-1.28956220719725</v>
      </c>
      <c r="I10" s="25" t="n">
        <f aca="false">I8-I9</f>
        <v>-1.34733793865779</v>
      </c>
    </row>
    <row r="11" customFormat="false" ht="15" hidden="false" customHeight="true" outlineLevel="0" collapsed="false">
      <c r="B11" s="1" t="s">
        <v>142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237</v>
      </c>
      <c r="C12" s="18" t="n">
        <f aca="false">'Debt Schedule'!D13-C11</f>
        <v>0.326250000000002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-24.508002879375</v>
      </c>
      <c r="G12" s="18" t="n">
        <f aca="false">'Debt Schedule'!H13-G11</f>
        <v>-83.881243328775</v>
      </c>
      <c r="H12" s="18" t="n">
        <f aca="false">'Debt Schedule'!I13-H11</f>
        <v>-149.598178373502</v>
      </c>
      <c r="I12" s="18" t="n">
        <f aca="false">'Debt Schedule'!J13-I11</f>
        <v>-220.338229253057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0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0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8" t="n">
        <f aca="false">'Sources &amp; Uses'!F8</f>
        <v>606.95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8" t="n">
        <f aca="false">C7*(1+Assumptions!E31)^Assumptions!E29</f>
        <v>891.80867621376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0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8" t="n">
        <f aca="false">'Operating Model'!D8</f>
        <v>75.15</v>
      </c>
      <c r="D5" s="18" t="n">
        <f aca="false">'Operating Model'!E8</f>
        <v>55.35</v>
      </c>
      <c r="E5" s="18" t="n">
        <f aca="false">'Operating Model'!F8</f>
        <v>40.753125</v>
      </c>
      <c r="F5" s="18" t="n">
        <f aca="false">'Operating Model'!G8</f>
        <v>29.9953125</v>
      </c>
      <c r="G5" s="18" t="n">
        <f aca="false">'Operating Model'!H8</f>
        <v>22.0693359375</v>
      </c>
      <c r="H5" s="18" t="n">
        <f aca="false">'Operating Model'!I8</f>
        <v>16.231640625</v>
      </c>
      <c r="I5" s="18" t="n">
        <f aca="false">'Operating Model'!J8</f>
        <v>11.9334594726563</v>
      </c>
      <c r="J5" s="18" t="n">
        <f aca="false">INDEX(C5:I5,1,Assumptions!E29)</f>
        <v>22.0693359375</v>
      </c>
    </row>
    <row r="6" customFormat="false" ht="15" hidden="false" customHeight="true" outlineLevel="0" collapsed="false">
      <c r="B6" s="1" t="s">
        <v>255</v>
      </c>
      <c r="C6" s="25" t="n">
        <f aca="false">Assumptions!$E$28</f>
        <v>6.5</v>
      </c>
      <c r="D6" s="25" t="n">
        <f aca="false">Assumptions!$E$28</f>
        <v>6.5</v>
      </c>
      <c r="E6" s="25" t="n">
        <f aca="false">Assumptions!$E$28</f>
        <v>6.5</v>
      </c>
      <c r="F6" s="25" t="n">
        <f aca="false">Assumptions!$E$28</f>
        <v>6.5</v>
      </c>
      <c r="G6" s="25" t="n">
        <f aca="false">Assumptions!$E$28</f>
        <v>6.5</v>
      </c>
      <c r="H6" s="25" t="n">
        <f aca="false">Assumptions!$E$28</f>
        <v>6.5</v>
      </c>
      <c r="I6" s="25" t="n">
        <f aca="false">Assumptions!$E$28</f>
        <v>6.5</v>
      </c>
      <c r="J6" s="25" t="n">
        <f aca="false">INDEX(C6:I6,1,Assumptions!E29)</f>
        <v>6.5</v>
      </c>
    </row>
    <row r="7" customFormat="false" ht="15" hidden="false" customHeight="true" outlineLevel="0" collapsed="false">
      <c r="B7" s="1" t="s">
        <v>256</v>
      </c>
      <c r="C7" s="18" t="n">
        <f aca="false">C5*C6</f>
        <v>488.475</v>
      </c>
      <c r="D7" s="18" t="n">
        <f aca="false">D5*D6</f>
        <v>359.775</v>
      </c>
      <c r="E7" s="18" t="n">
        <f aca="false">E5*E6</f>
        <v>264.8953125</v>
      </c>
      <c r="F7" s="18" t="n">
        <f aca="false">F5*F6</f>
        <v>194.96953125</v>
      </c>
      <c r="G7" s="18" t="n">
        <f aca="false">G5*G6</f>
        <v>143.45068359375</v>
      </c>
      <c r="H7" s="18" t="n">
        <f aca="false">H5*H6</f>
        <v>105.5056640625</v>
      </c>
      <c r="I7" s="18" t="n">
        <f aca="false">I5*I6</f>
        <v>77.5674865722656</v>
      </c>
      <c r="J7" s="18" t="n">
        <f aca="false">INDEX(C7:I7,1,Assumptions!E29)</f>
        <v>143.45068359375</v>
      </c>
    </row>
    <row r="8" customFormat="false" ht="15" hidden="false" customHeight="true" outlineLevel="0" collapsed="false">
      <c r="B8" s="1" t="s">
        <v>228</v>
      </c>
      <c r="C8" s="18" t="n">
        <f aca="false">'Debt Schedule'!D28</f>
        <v>437.285</v>
      </c>
      <c r="D8" s="18" t="n">
        <f aca="false">'Debt Schedule'!E28</f>
        <v>460.090325</v>
      </c>
      <c r="E8" s="18" t="n">
        <f aca="false">'Debt Schedule'!F28</f>
        <v>499.820880125</v>
      </c>
      <c r="F8" s="18" t="n">
        <f aca="false">'Debt Schedule'!G28</f>
        <v>554.934395759375</v>
      </c>
      <c r="G8" s="18" t="n">
        <f aca="false">'Debt Schedule'!H28</f>
        <v>621.806347639175</v>
      </c>
      <c r="H8" s="18" t="n">
        <f aca="false">'Debt Schedule'!I28</f>
        <v>695.907491028734</v>
      </c>
      <c r="I8" s="18" t="n">
        <f aca="false">'Debt Schedule'!J28</f>
        <v>775.988086920708</v>
      </c>
      <c r="J8" s="18" t="n">
        <f aca="false">INDEX(C8:I8,1,Assumptions!E29)</f>
        <v>621.806347639175</v>
      </c>
    </row>
    <row r="9" customFormat="false" ht="15" hidden="false" customHeight="true" outlineLevel="0" collapsed="false">
      <c r="B9" s="1" t="s">
        <v>257</v>
      </c>
      <c r="C9" s="18" t="n">
        <f aca="false">MAX(0,C7-C8)</f>
        <v>51.1899999999999</v>
      </c>
      <c r="D9" s="18" t="n">
        <f aca="false">MAX(0,D7-D8)</f>
        <v>0</v>
      </c>
      <c r="E9" s="18" t="n">
        <f aca="false">MAX(0,E7-E8)</f>
        <v>0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162</v>
      </c>
      <c r="C10" s="18" t="n">
        <f aca="false">'Management Equity'!$C$7*(1+Assumptions!$E$31)^1</f>
        <v>655.506</v>
      </c>
      <c r="D10" s="18" t="n">
        <f aca="false">'Management Equity'!$C$7*(1+Assumptions!$E$31)^2</f>
        <v>707.94648</v>
      </c>
      <c r="E10" s="18" t="n">
        <f aca="false">'Management Equity'!$C$7*(1+Assumptions!$E$31)^3</f>
        <v>764.5821984</v>
      </c>
      <c r="F10" s="18" t="n">
        <f aca="false">'Management Equity'!$C$7*(1+Assumptions!$E$31)^4</f>
        <v>825.748774272</v>
      </c>
      <c r="G10" s="18" t="n">
        <f aca="false">'Management Equity'!$C$7*(1+Assumptions!$E$31)^5</f>
        <v>891.80867621376</v>
      </c>
      <c r="H10" s="18" t="n">
        <f aca="false">'Management Equity'!$C$7*(1+Assumptions!$E$31)^6</f>
        <v>963.153370310861</v>
      </c>
      <c r="I10" s="18" t="n">
        <f aca="false">'Management Equity'!$C$7*(1+Assumptions!$E$31)^7</f>
        <v>1040.20563993573</v>
      </c>
      <c r="J10" s="18" t="n">
        <f aca="false">INDEX(C10:I10,1,Assumptions!E29)</f>
        <v>891.80867621376</v>
      </c>
    </row>
    <row r="11" customFormat="false" ht="15" hidden="false" customHeight="true" outlineLevel="0" collapsed="false">
      <c r="B11" s="1" t="s">
        <v>258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259</v>
      </c>
      <c r="C12" s="18" t="n">
        <f aca="false">MIN(C9,C9*Assumptions!$E$30+C11*Assumptions!$E$32)</f>
        <v>5.11899999999999</v>
      </c>
      <c r="D12" s="18" t="n">
        <f aca="false">MIN(D9,D9*Assumptions!$E$30+D11*Assumptions!$E$32)</f>
        <v>0</v>
      </c>
      <c r="E12" s="18" t="n">
        <f aca="false">MIN(E9,E9*Assumptions!$E$30+E11*Assumptions!$E$32)</f>
        <v>0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260</v>
      </c>
      <c r="C13" s="18" t="n">
        <f aca="false">MAX(0,C9-C12)</f>
        <v>46.071</v>
      </c>
      <c r="D13" s="18" t="n">
        <f aca="false">MAX(0,D9-D12)</f>
        <v>0</v>
      </c>
      <c r="E13" s="18" t="n">
        <f aca="false">MAX(0,E9-E12)</f>
        <v>0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261</v>
      </c>
      <c r="C14" s="25" t="n">
        <f aca="false">IFERROR(C13/'Sources &amp; Uses'!$F$8,0)</f>
        <v>0.0759057582996951</v>
      </c>
      <c r="D14" s="25" t="n">
        <f aca="false">IFERROR(D13/'Sources &amp; Uses'!$F$8,0)</f>
        <v>0</v>
      </c>
      <c r="E14" s="25" t="n">
        <f aca="false">IFERROR(E13/'Sources &amp; Uses'!$F$8,0)</f>
        <v>0</v>
      </c>
      <c r="F14" s="25" t="n">
        <f aca="false">IFERROR(F13/'Sources &amp; Uses'!$F$8,0)</f>
        <v>0</v>
      </c>
      <c r="G14" s="25" t="n">
        <f aca="false">IFERROR(G13/'Sources &amp; Uses'!$F$8,0)</f>
        <v>0</v>
      </c>
      <c r="H14" s="25" t="n">
        <f aca="false">IFERROR(H13/'Sources &amp; Uses'!$F$8,0)</f>
        <v>0</v>
      </c>
      <c r="I14" s="25" t="n">
        <f aca="false">IFERROR(I13/'Sources &amp; Uses'!$F$8,0)</f>
        <v>0</v>
      </c>
      <c r="J14" s="25" t="n">
        <f aca="false">INDEX(C14:I14,1,Assumptions!E29)</f>
        <v>0</v>
      </c>
    </row>
    <row r="15" customFormat="false" ht="15" hidden="false" customHeight="true" outlineLevel="0" collapsed="false">
      <c r="B15" s="1" t="s">
        <v>262</v>
      </c>
      <c r="C15" s="23" t="n">
        <f aca="false">IFERROR((C13/'Sources &amp; Uses'!$F$8)^(1/1)-1,0)</f>
        <v>-0.924094241700305</v>
      </c>
      <c r="D15" s="23" t="n">
        <f aca="false">IFERROR((D13/'Sources &amp; Uses'!$F$8)^(1/2)-1,0)</f>
        <v>-1</v>
      </c>
      <c r="E15" s="23" t="n">
        <f aca="false">IFERROR((E13/'Sources &amp; Uses'!$F$8)^(1/3)-1,0)</f>
        <v>-1</v>
      </c>
      <c r="F15" s="23" t="n">
        <f aca="false">IFERROR((F13/'Sources &amp; Uses'!$F$8)^(1/4)-1,0)</f>
        <v>-1</v>
      </c>
      <c r="G15" s="23" t="n">
        <f aca="false">IFERROR((G13/'Sources &amp; Uses'!$F$8)^(1/5)-1,0)</f>
        <v>-1</v>
      </c>
      <c r="H15" s="23" t="n">
        <f aca="false">IFERROR((H13/'Sources &amp; Uses'!$F$8)^(1/6)-1,0)</f>
        <v>-1</v>
      </c>
      <c r="I15" s="23" t="n">
        <f aca="false">IFERROR((I13/'Sources &amp; Uses'!$F$8)^(1/7)-1,0)</f>
        <v>-1</v>
      </c>
      <c r="J15" s="23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5" t="n">
        <v>8</v>
      </c>
      <c r="C5" s="20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-1.93477756121812</v>
      </c>
      <c r="D5" s="20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-1.92423922078079</v>
      </c>
      <c r="E5" s="20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-1.91319709144324</v>
      </c>
      <c r="F5" s="20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-1.90159351746072</v>
      </c>
      <c r="G5" s="20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-1.88935987700801</v>
      </c>
    </row>
    <row r="6" customFormat="false" ht="15" hidden="false" customHeight="true" outlineLevel="0" collapsed="false">
      <c r="B6" s="25" t="n">
        <v>9</v>
      </c>
      <c r="C6" s="20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-1.90100535264274</v>
      </c>
      <c r="D6" s="20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-1.89084774773657</v>
      </c>
      <c r="E6" s="20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-1.88020455511999</v>
      </c>
      <c r="F6" s="20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-1.86902020206982</v>
      </c>
      <c r="G6" s="20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-1.85722854597163</v>
      </c>
    </row>
    <row r="7" customFormat="false" ht="15" hidden="false" customHeight="true" outlineLevel="0" collapsed="false">
      <c r="B7" s="25" t="n">
        <v>10</v>
      </c>
      <c r="C7" s="20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-1.8734435312982</v>
      </c>
      <c r="D7" s="20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-1.86359664828829</v>
      </c>
      <c r="E7" s="20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-1.85327903173247</v>
      </c>
      <c r="F7" s="20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-1.84243680888132</v>
      </c>
      <c r="G7" s="20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-1.83100586042796</v>
      </c>
    </row>
    <row r="8" customFormat="false" ht="15" hidden="false" customHeight="true" outlineLevel="0" collapsed="false">
      <c r="B8" s="25" t="n">
        <v>11</v>
      </c>
      <c r="C8" s="20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-1.85027446847702</v>
      </c>
      <c r="D8" s="20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-1.84068878500993</v>
      </c>
      <c r="E8" s="20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-1.83064485472869</v>
      </c>
      <c r="F8" s="20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-1.82009023391861</v>
      </c>
      <c r="G8" s="20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-1.80896250410886</v>
      </c>
    </row>
    <row r="9" customFormat="false" ht="15" hidden="false" customHeight="true" outlineLevel="0" collapsed="false">
      <c r="B9" s="25" t="n">
        <v>12</v>
      </c>
      <c r="C9" s="20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-1.83036408274756</v>
      </c>
      <c r="D9" s="20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-1.82100286168923</v>
      </c>
      <c r="E9" s="20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-1.81119412431753</v>
      </c>
      <c r="F9" s="20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-1.80088665496189</v>
      </c>
      <c r="G9" s="20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-1.79001949676873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REVIEW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3" t="s">
        <v>280</v>
      </c>
      <c r="C5" s="33" t="s">
        <v>281</v>
      </c>
      <c r="D5" s="33" t="s">
        <v>282</v>
      </c>
      <c r="E5" s="33" t="s">
        <v>283</v>
      </c>
    </row>
    <row r="6" customFormat="false" ht="15" hidden="false" customHeight="true" outlineLevel="0" collapsed="false">
      <c r="B6" s="33" t="s">
        <v>284</v>
      </c>
      <c r="C6" s="33" t="s">
        <v>285</v>
      </c>
      <c r="D6" s="33" t="s">
        <v>6</v>
      </c>
      <c r="E6" s="33" t="s">
        <v>286</v>
      </c>
    </row>
    <row r="7" customFormat="false" ht="15" hidden="false" customHeight="true" outlineLevel="0" collapsed="false">
      <c r="B7" s="33" t="s">
        <v>287</v>
      </c>
      <c r="C7" s="33" t="s">
        <v>288</v>
      </c>
      <c r="D7" s="33" t="s">
        <v>6</v>
      </c>
      <c r="E7" s="33" t="s">
        <v>289</v>
      </c>
    </row>
    <row r="8" customFormat="false" ht="15" hidden="false" customHeight="true" outlineLevel="0" collapsed="false">
      <c r="B8" s="33" t="s">
        <v>290</v>
      </c>
      <c r="C8" s="33" t="s">
        <v>291</v>
      </c>
      <c r="D8" s="33" t="s">
        <v>6</v>
      </c>
      <c r="E8" s="33" t="s">
        <v>292</v>
      </c>
    </row>
    <row r="9" customFormat="false" ht="15" hidden="false" customHeight="true" outlineLevel="0" collapsed="false">
      <c r="B9" s="33" t="s">
        <v>293</v>
      </c>
      <c r="C9" s="33" t="s">
        <v>294</v>
      </c>
      <c r="D9" s="33" t="s">
        <v>6</v>
      </c>
      <c r="E9" s="33" t="s">
        <v>295</v>
      </c>
    </row>
    <row r="10" customFormat="false" ht="15" hidden="false" customHeight="false" outlineLevel="0" collapsed="false">
      <c r="B10" s="34" t="s">
        <v>296</v>
      </c>
      <c r="C10" s="34" t="s">
        <v>297</v>
      </c>
      <c r="D10" s="34" t="s">
        <v>8</v>
      </c>
      <c r="E10" s="34" t="s">
        <v>298</v>
      </c>
    </row>
    <row r="11" customFormat="false" ht="15" hidden="false" customHeight="false" outlineLevel="0" collapsed="false">
      <c r="B11" s="34" t="s">
        <v>299</v>
      </c>
      <c r="C11" s="34" t="s">
        <v>300</v>
      </c>
      <c r="D11" s="34" t="s">
        <v>8</v>
      </c>
      <c r="E11" s="34" t="s">
        <v>301</v>
      </c>
    </row>
    <row r="12" customFormat="false" ht="15" hidden="false" customHeight="false" outlineLevel="0" collapsed="false">
      <c r="B12" s="34" t="s">
        <v>302</v>
      </c>
      <c r="C12" s="34" t="s">
        <v>300</v>
      </c>
      <c r="D12" s="34" t="s">
        <v>8</v>
      </c>
      <c r="E12" s="34" t="s">
        <v>303</v>
      </c>
    </row>
    <row r="13" customFormat="false" ht="15" hidden="false" customHeight="false" outlineLevel="0" collapsed="false">
      <c r="B13" s="34" t="s">
        <v>304</v>
      </c>
      <c r="C13" s="34" t="s">
        <v>300</v>
      </c>
      <c r="D13" s="34" t="s">
        <v>8</v>
      </c>
      <c r="E13" s="34" t="s">
        <v>303</v>
      </c>
    </row>
    <row r="14" customFormat="false" ht="15" hidden="false" customHeight="false" outlineLevel="0" collapsed="false">
      <c r="B14" s="34" t="s">
        <v>305</v>
      </c>
      <c r="C14" s="34" t="s">
        <v>306</v>
      </c>
      <c r="D14" s="34" t="s">
        <v>8</v>
      </c>
      <c r="E14" s="34" t="s">
        <v>307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309</v>
      </c>
      <c r="D4" s="16" t="s">
        <v>310</v>
      </c>
      <c r="E4" s="16" t="s">
        <v>311</v>
      </c>
      <c r="F4" s="16" t="s">
        <v>312</v>
      </c>
      <c r="G4" s="16" t="s">
        <v>313</v>
      </c>
    </row>
    <row r="5" customFormat="false" ht="15" hidden="false" customHeight="true" outlineLevel="0" collapsed="false">
      <c r="B5" s="35" t="s">
        <v>314</v>
      </c>
      <c r="C5" s="35" t="s">
        <v>315</v>
      </c>
      <c r="D5" s="35" t="s">
        <v>300</v>
      </c>
      <c r="E5" s="35" t="s">
        <v>316</v>
      </c>
      <c r="F5" s="35" t="s">
        <v>317</v>
      </c>
      <c r="G5" s="35" t="s">
        <v>318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