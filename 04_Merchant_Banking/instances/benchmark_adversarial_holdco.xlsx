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Covenants" sheetId="6" state="visible" r:id="rId8"/>
    <sheet name="Management Equity" sheetId="7" state="visible" r:id="rId9"/>
    <sheet name="Returns Waterfall" sheetId="8" state="visible" r:id="rId10"/>
    <sheet name="Sensitivity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<sst xmlns="http://schemas.openxmlformats.org/spreadsheetml/2006/main" count="276" uniqueCount="213">
  <si>
    <t xml:space="preserve">[TARGET] — LBO Underwriting Model</t>
  </si>
  <si>
    <t xml:space="preserve">Target / transaction:</t>
  </si>
  <si>
    <t xml:space="preserve">Adversarial Holdco Leverage</t>
  </si>
  <si>
    <t xml:space="preserve">Sponsor / principal:</t>
  </si>
  <si>
    <t xml:space="preserve">Benchmark Merchant Bank</t>
  </si>
  <si>
    <t xml:space="preserve">Entry / close date:</t>
  </si>
  <si>
    <t xml:space="preserve">[date]</t>
  </si>
  <si>
    <t xml:space="preserve">Last refreshed:</t>
  </si>
  <si>
    <t xml:space="preserve">2026-08-03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</si>
  <si>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</si>
  <si>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</si>
  <si>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</si>
  <si>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</si>
  <si>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</si>
  <si>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</si>
  <si>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</si>
  <si>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</si>
  <si>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</si>
  <si>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</si>
  <si>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</si>
  <si>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</si>
  <si>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</si>
  <si>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</si>
  <si>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</si>
  <si>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</si>
  <si>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</si>
  <si>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</si>
  <si>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</si>
  <si>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</si>
  <si>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</si>
  <si>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</si>
  <si>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</si>
  <si>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</si>
  <si>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</si>
  <si>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</si>
  <si>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</si>
  <si>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</si>
  <si>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</si>
  <si>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</si>
  <si>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</si>
  <si>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</si>
  <si>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</si>
  <si>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</si>
  <si>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</si>
  <si>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</si>
  <si>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</si>
  <si>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</si>
  <si>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</si>
  <si>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</si>
  <si>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</si>
  <si>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</si>
  <si>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</si>
  <si>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</si>
  <si>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</si>
  <si>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</si>
  <si>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</si>
  <si>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</si>
  <si>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</si>
  <si>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</si>
  <si>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</si>
  <si>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</si>
  <si>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</si>
  <si>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</si>
  <si>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</si>
  <si>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</si>
  <si>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</si>
  <si>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</si>
  <si>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</si>
  <si>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</si>
  <si>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</si>
  <si>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</si>
  <si>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</si>
  <si>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</si>
  <si>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</si>
  <si>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</si>
  <si>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</si>
  <si>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</si>
  <si>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</si>
  <si>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</si>
  <si>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</si>
  <si>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</si>
  <si>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</si>
  <si>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</si>
  <si>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</si>
  <si>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</si>
  <si>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</si>
  <si>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</si>
  <si>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</si>
  <si>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</si>
  <si>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</si>
  <si>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</si>
  <si>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</si>
  <si>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</si>
  <si>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</si>
  <si>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</si>
  <si>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</si>
  <si>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</si>
  <si>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</si>
  <si>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</si>
  <si>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</si>
  <si>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</si>
  <si>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</si>
  <si>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</si>
  <si>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</si>
  <si>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</si>
  <si>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</si>
  <si>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</si>
  <si>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</si>
  <si>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</si>
  <si>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</si>
  <si>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</si>
  <si>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</si>
  <si>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</si>
  <si>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</si>
  <si>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</si>
  <si>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</si>
  <si>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</si>
  <si>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</si>
  <si>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</si>
  <si>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</si>
  <si>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</si>
  <si>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</si>
  <si>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</si>
  <si>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</si>
  <si>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</si>
  <si>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</si>
  <si>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</si>
  <si>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</si>
  <si>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</si>
  <si>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</si>
  <si>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</si>
  <si>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</si>
  <si>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</si>
  <si>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</si>
  <si>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</si>
  <si>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</si>
  <si>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</si>
  <si>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</si>
  <si>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</si>
  <si>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Status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</si>
  <si>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</si>
  <si>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</si>
  <si>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</si>
  <si>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</si>
  <si>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</si>
  <si>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</si>
  <si>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</si>
  <si>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</si>
  <si>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</si>
  <si>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</si>
  <si>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</si>
  <si>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</si>
  <si>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</si>
  <si>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</si>
  <si>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</si>
  <si>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</si>
  <si>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</si>
  <si>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</si>
  <si>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</si>
  <si>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</si>
  <si>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</si>
  <si>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</si>
  <si>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</si>
  <si>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</si>
  <si>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</si>
  <si>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</si>
  <si>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</si>
  <si>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</si>
  <si>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</si>
  <si>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</si>
  <si>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</si>
  <si>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</si>
  <si>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</si>
  <si>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</si>
  <si>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</si>
  <si>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</si>
  <si>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</si>
  <si>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</si>
  <si>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</si>
  <si>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</si>
  <si>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</si>
  <si>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</si>
  <si>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</si>
  <si>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</si>
  <si>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</si>
  <si>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</si>
  <si>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</si>
  <si>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</si>
  <si>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</si>
  <si>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</si>
  <si>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</si>
  <si>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</si>
  <si>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</si>
  <si>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</si>
  <si>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</si>
  <si>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</si>
  <si>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</si>
  <si>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</si>
  <si>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</si>
  <si>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Finance-Segway benchmark fixture merchant-adversarial-holdco</t>
  </si>
  <si>
    <t xml:space="preserve">repo://standards/benchmark_cases/merchant-adversarial-holdco.json</t>
  </si>
  <si>
    <t xml:space="preserve">Synthetic engineering fixture; not investment evidence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</si>
  <si>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</si>
  <si>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</si>
  <si>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</si>
  <si>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</si>
  <si>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</si>
  <si>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</si>
  <si>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</si>
  <si>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</si>
  <si>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merchant-adversarial-holdco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</si>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</sst>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6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23</v>
      </c>
      <c r="C2" s="2"/>
      <c r="D2" s="2"/>
      <c r="E2" s="2"/>
      <c r="F2" s="2"/>
    </row>
    <row r="4" customFormat="false" ht="15" hidden="false" customHeight="true" outlineLevel="0" collapsed="false">
      <c r="B4" s="10" t="s">
        <v>24</v>
      </c>
      <c r="C4" s="10" t="s">
        <v>25</v>
      </c>
      <c r="D4" s="10" t="s">
        <v>11</v>
      </c>
      <c r="E4" s="10" t="s">
        <v>26</v>
      </c>
      <c r="F4" s="10" t="s">
        <v>27</v>
      </c>
    </row>
    <row r="5" customFormat="false" ht="15" hidden="false" customHeight="true" outlineLevel="0" collapsed="false">
      <c r="B5" s="1" t="s">
        <v>28</v>
      </c>
      <c r="C5" s="11" t="n">
        <v>600</v>
      </c>
      <c r="D5" s="11" t="n">
        <v>600</v>
      </c>
      <c r="E5" s="12" t="n">
        <f aca="false">IF(Cover!$C$9="Downside",D5,C5)</f>
        <v>600</v>
      </c>
      <c r="F5" s="1" t="s">
        <v>29</v>
      </c>
    </row>
    <row r="6" customFormat="false" ht="15" hidden="false" customHeight="true" outlineLevel="0" collapsed="false">
      <c r="B6" s="1" t="s">
        <v>30</v>
      </c>
      <c r="C6" s="13" t="n">
        <v>0.2</v>
      </c>
      <c r="D6" s="13" t="n">
        <v>0.17</v>
      </c>
      <c r="E6" s="14" t="n">
        <f aca="false">IF(Cover!$C$9="Downside",D6,C6)</f>
        <v>0.17</v>
      </c>
      <c r="F6" s="1" t="s">
        <v>31</v>
      </c>
    </row>
    <row r="7" customFormat="false" ht="15" hidden="false" customHeight="true" outlineLevel="0" collapsed="false">
      <c r="B7" s="1" t="s">
        <v>32</v>
      </c>
      <c r="C7" s="13" t="n">
        <v>0.06</v>
      </c>
      <c r="D7" s="15" t="n">
        <v>-0.03</v>
      </c>
      <c r="E7" s="14" t="n">
        <f aca="false">IF(Cover!$C$9="Downside",D7,C7)</f>
        <v>-0.03</v>
      </c>
      <c r="F7" s="1" t="s">
        <v>31</v>
      </c>
    </row>
    <row r="8" customFormat="false" ht="15" hidden="false" customHeight="true" outlineLevel="0" collapsed="false">
      <c r="B8" s="1" t="s">
        <v>33</v>
      </c>
      <c r="C8" s="16" t="n">
        <v>0.005</v>
      </c>
      <c r="D8" s="16" t="n">
        <v>-0.003</v>
      </c>
      <c r="E8" s="17" t="n">
        <f aca="false">IF(Cover!$C$9="Downside",D8,C8)</f>
        <v>-0.003</v>
      </c>
      <c r="F8" s="1" t="s">
        <v>34</v>
      </c>
    </row>
    <row r="9" customFormat="false" ht="15" hidden="false" customHeight="true" outlineLevel="0" collapsed="false">
      <c r="B9" s="1" t="s">
        <v>35</v>
      </c>
      <c r="C9" s="13" t="n">
        <v>0.025</v>
      </c>
      <c r="D9" s="13" t="n">
        <v>0.025</v>
      </c>
      <c r="E9" s="14" t="n">
        <f aca="false">IF(Cover!$C$9="Downside",D9,C9)</f>
        <v>0.025</v>
      </c>
      <c r="F9" s="1" t="s">
        <v>31</v>
      </c>
    </row>
    <row r="10" customFormat="false" ht="15" hidden="false" customHeight="true" outlineLevel="0" collapsed="false">
      <c r="B10" s="1" t="s">
        <v>36</v>
      </c>
      <c r="C10" s="13" t="n">
        <v>0.035</v>
      </c>
      <c r="D10" s="13" t="n">
        <v>0.045</v>
      </c>
      <c r="E10" s="14" t="n">
        <f aca="false">IF(Cover!$C$9="Downside",D10,C10)</f>
        <v>0.045</v>
      </c>
      <c r="F10" s="1" t="s">
        <v>31</v>
      </c>
    </row>
    <row r="11" customFormat="false" ht="15" hidden="false" customHeight="true" outlineLevel="0" collapsed="false">
      <c r="B11" s="1" t="s">
        <v>37</v>
      </c>
      <c r="C11" s="13" t="n">
        <v>0.08</v>
      </c>
      <c r="D11" s="13" t="n">
        <v>0.1</v>
      </c>
      <c r="E11" s="14" t="n">
        <f aca="false">IF(Cover!$C$9="Downside",D11,C11)</f>
        <v>0.1</v>
      </c>
      <c r="F11" s="1" t="s">
        <v>31</v>
      </c>
    </row>
    <row r="12" customFormat="false" ht="15" hidden="false" customHeight="true" outlineLevel="0" collapsed="false">
      <c r="B12" s="1" t="s">
        <v>38</v>
      </c>
      <c r="C12" s="13" t="n">
        <v>0.25</v>
      </c>
      <c r="D12" s="13" t="n">
        <v>0.2</v>
      </c>
      <c r="E12" s="14" t="n">
        <f aca="false">IF(Cover!$C$9="Downside",D12,C12)</f>
        <v>0.2</v>
      </c>
      <c r="F12" s="1" t="s">
        <v>31</v>
      </c>
    </row>
    <row r="13" customFormat="false" ht="15" hidden="false" customHeight="true" outlineLevel="0" collapsed="false">
      <c r="B13" s="1" t="s">
        <v>39</v>
      </c>
      <c r="C13" s="18" t="n">
        <v>10</v>
      </c>
      <c r="D13" s="18" t="n">
        <v>9</v>
      </c>
      <c r="E13" s="19" t="n">
        <f aca="false">IF(Cover!$C$9="Downside",D13,C13)</f>
        <v>9</v>
      </c>
      <c r="F13" s="1" t="s">
        <v>40</v>
      </c>
    </row>
    <row r="14" customFormat="false" ht="15" hidden="false" customHeight="true" outlineLevel="0" collapsed="false">
      <c r="B14" s="1" t="s">
        <v>41</v>
      </c>
      <c r="C14" s="13" t="n">
        <v>0.02</v>
      </c>
      <c r="D14" s="13" t="n">
        <v>0.025</v>
      </c>
      <c r="E14" s="14" t="n">
        <f aca="false">IF(Cover!$C$9="Downside",D14,C14)</f>
        <v>0.025</v>
      </c>
      <c r="F14" s="1" t="s">
        <v>31</v>
      </c>
    </row>
    <row r="15" customFormat="false" ht="15" hidden="false" customHeight="true" outlineLevel="0" collapsed="false">
      <c r="B15" s="1" t="s">
        <v>42</v>
      </c>
      <c r="C15" s="11" t="n">
        <v>100</v>
      </c>
      <c r="D15" s="11" t="n">
        <v>100</v>
      </c>
      <c r="E15" s="12" t="n">
        <f aca="false">IF(Cover!$C$9="Downside",D15,C15)</f>
        <v>100</v>
      </c>
      <c r="F15" s="1" t="s">
        <v>29</v>
      </c>
    </row>
    <row r="16" customFormat="false" ht="15" hidden="false" customHeight="true" outlineLevel="0" collapsed="false">
      <c r="B16" s="1" t="s">
        <v>43</v>
      </c>
      <c r="C16" s="11" t="n">
        <v>20</v>
      </c>
      <c r="D16" s="11" t="n">
        <v>25</v>
      </c>
      <c r="E16" s="12" t="n">
        <f aca="false">IF(Cover!$C$9="Downside",D16,C16)</f>
        <v>25</v>
      </c>
      <c r="F16" s="1" t="s">
        <v>29</v>
      </c>
    </row>
    <row r="17" customFormat="false" ht="15" hidden="false" customHeight="true" outlineLevel="0" collapsed="false">
      <c r="B17" s="1" t="s">
        <v>44</v>
      </c>
      <c r="C17" s="11" t="n">
        <v>75</v>
      </c>
      <c r="D17" s="11" t="n">
        <v>75</v>
      </c>
      <c r="E17" s="12" t="n">
        <f aca="false">IF(Cover!$C$9="Downside",D17,C17)</f>
        <v>75</v>
      </c>
      <c r="F17" s="1" t="s">
        <v>29</v>
      </c>
    </row>
    <row r="18" customFormat="false" ht="15" hidden="false" customHeight="true" outlineLevel="0" collapsed="false">
      <c r="B18" s="1" t="s">
        <v>45</v>
      </c>
      <c r="C18" s="16" t="n">
        <v>0.09</v>
      </c>
      <c r="D18" s="16" t="n">
        <v>0.115</v>
      </c>
      <c r="E18" s="17" t="n">
        <f aca="false">IF(Cover!$C$9="Downside",D18,C18)</f>
        <v>0.115</v>
      </c>
      <c r="F18" s="1" t="s">
        <v>31</v>
      </c>
    </row>
    <row r="19" customFormat="false" ht="15" hidden="false" customHeight="true" outlineLevel="0" collapsed="false">
      <c r="B19" s="1" t="s">
        <v>46</v>
      </c>
      <c r="C19" s="18" t="n">
        <v>4</v>
      </c>
      <c r="D19" s="18" t="n">
        <v>3.5</v>
      </c>
      <c r="E19" s="19" t="n">
        <f aca="false">IF(Cover!$C$9="Downside",D19,C19)</f>
        <v>3.5</v>
      </c>
      <c r="F19" s="1" t="s">
        <v>47</v>
      </c>
    </row>
    <row r="20" customFormat="false" ht="15" hidden="false" customHeight="true" outlineLevel="0" collapsed="false">
      <c r="B20" s="1" t="s">
        <v>48</v>
      </c>
      <c r="C20" s="16" t="n">
        <v>0.085</v>
      </c>
      <c r="D20" s="20" t="n">
        <v>0.145</v>
      </c>
      <c r="E20" s="17" t="n">
        <f aca="false">IF(Cover!$C$9="Downside",D20,C20)</f>
        <v>0.145</v>
      </c>
      <c r="F20" s="1" t="s">
        <v>31</v>
      </c>
    </row>
    <row r="21" customFormat="false" ht="15" hidden="false" customHeight="true" outlineLevel="0" collapsed="false">
      <c r="B21" s="1" t="s">
        <v>49</v>
      </c>
      <c r="C21" s="13" t="n">
        <v>0.01</v>
      </c>
      <c r="D21" s="13" t="n">
        <v>0.01</v>
      </c>
      <c r="E21" s="14" t="n">
        <f aca="false">IF(Cover!$C$9="Downside",D21,C21)</f>
        <v>0.01</v>
      </c>
      <c r="F21" s="1" t="s">
        <v>50</v>
      </c>
    </row>
    <row r="22" customFormat="false" ht="15" hidden="false" customHeight="true" outlineLevel="0" collapsed="false">
      <c r="B22" s="1" t="s">
        <v>51</v>
      </c>
      <c r="C22" s="18" t="n">
        <v>1.5</v>
      </c>
      <c r="D22" s="18" t="n">
        <v>1</v>
      </c>
      <c r="E22" s="19" t="n">
        <f aca="false">IF(Cover!$C$9="Downside",D22,C22)</f>
        <v>1</v>
      </c>
      <c r="F22" s="1" t="s">
        <v>47</v>
      </c>
    </row>
    <row r="23" customFormat="false" ht="15" hidden="false" customHeight="true" outlineLevel="0" collapsed="false">
      <c r="B23" s="1" t="s">
        <v>52</v>
      </c>
      <c r="C23" s="16" t="n">
        <v>0.11</v>
      </c>
      <c r="D23" s="16" t="n">
        <v>0.13</v>
      </c>
      <c r="E23" s="17" t="n">
        <f aca="false">IF(Cover!$C$9="Downside",D23,C23)</f>
        <v>0.13</v>
      </c>
      <c r="F23" s="1" t="s">
        <v>31</v>
      </c>
    </row>
    <row r="24" customFormat="false" ht="15" hidden="false" customHeight="true" outlineLevel="0" collapsed="false">
      <c r="B24" s="1" t="s">
        <v>53</v>
      </c>
      <c r="C24" s="16" t="n">
        <v>0.03</v>
      </c>
      <c r="D24" s="20" t="n">
        <v>0.08</v>
      </c>
      <c r="E24" s="17" t="n">
        <f aca="false">IF(Cover!$C$9="Downside",D24,C24)</f>
        <v>0.08</v>
      </c>
      <c r="F24" s="1" t="s">
        <v>31</v>
      </c>
    </row>
    <row r="25" customFormat="false" ht="15" hidden="false" customHeight="true" outlineLevel="0" collapsed="false">
      <c r="B25" s="1" t="s">
        <v>54</v>
      </c>
      <c r="C25" s="13" t="n">
        <v>0.75</v>
      </c>
      <c r="D25" s="13" t="n">
        <v>0.5</v>
      </c>
      <c r="E25" s="14" t="n">
        <f aca="false">IF(Cover!$C$9="Downside",D25,C25)</f>
        <v>0.5</v>
      </c>
      <c r="F25" s="1" t="s">
        <v>55</v>
      </c>
    </row>
    <row r="26" customFormat="false" ht="15" hidden="false" customHeight="true" outlineLevel="0" collapsed="false">
      <c r="B26" s="1" t="s">
        <v>56</v>
      </c>
      <c r="C26" s="18" t="n">
        <v>7</v>
      </c>
      <c r="D26" s="18" t="n">
        <v>6.5</v>
      </c>
      <c r="E26" s="19" t="n">
        <f aca="false">IF(Cover!$C$9="Downside",D26,C26)</f>
        <v>6.5</v>
      </c>
      <c r="F26" s="1" t="s">
        <v>40</v>
      </c>
    </row>
    <row r="27" customFormat="false" ht="15" hidden="false" customHeight="true" outlineLevel="0" collapsed="false">
      <c r="B27" s="1" t="s">
        <v>57</v>
      </c>
      <c r="C27" s="18" t="n">
        <v>1.75</v>
      </c>
      <c r="D27" s="18" t="n">
        <v>1.5</v>
      </c>
      <c r="E27" s="19" t="n">
        <f aca="false">IF(Cover!$C$9="Downside",D27,C27)</f>
        <v>1.5</v>
      </c>
      <c r="F27" s="1" t="s">
        <v>40</v>
      </c>
    </row>
    <row r="28" customFormat="false" ht="15" hidden="false" customHeight="true" outlineLevel="0" collapsed="false">
      <c r="B28" s="1" t="s">
        <v>58</v>
      </c>
      <c r="C28" s="18" t="n">
        <v>10</v>
      </c>
      <c r="D28" s="21" t="n">
        <v>6.5</v>
      </c>
      <c r="E28" s="19" t="n">
        <f aca="false">IF(Cover!$C$9="Downside",D28,C28)</f>
        <v>6.5</v>
      </c>
      <c r="F28" s="1" t="s">
        <v>40</v>
      </c>
    </row>
    <row r="29" customFormat="false" ht="15" hidden="false" customHeight="true" outlineLevel="0" collapsed="false">
      <c r="B29" s="1" t="s">
        <v>59</v>
      </c>
      <c r="C29" s="22" t="n">
        <v>5</v>
      </c>
      <c r="D29" s="22" t="n">
        <v>5</v>
      </c>
      <c r="E29" s="23" t="n">
        <f aca="false">IF(Cover!$C$9="Downside",D29,C29)</f>
        <v>5</v>
      </c>
      <c r="F29" s="1" t="s">
        <v>60</v>
      </c>
    </row>
    <row r="30" customFormat="false" ht="15" hidden="false" customHeight="true" outlineLevel="0" collapsed="false">
      <c r="B30" s="1" t="s">
        <v>61</v>
      </c>
      <c r="C30" s="13" t="n">
        <v>0.1</v>
      </c>
      <c r="D30" s="13" t="n">
        <v>0.1</v>
      </c>
      <c r="E30" s="14" t="n">
        <f aca="false">IF(Cover!$C$9="Downside",D30,C30)</f>
        <v>0.1</v>
      </c>
      <c r="F30" s="1" t="s">
        <v>62</v>
      </c>
    </row>
    <row r="31" customFormat="false" ht="15" hidden="false" customHeight="true" outlineLevel="0" collapsed="false">
      <c r="B31" s="1" t="s">
        <v>63</v>
      </c>
      <c r="C31" s="13" t="n">
        <v>0.08</v>
      </c>
      <c r="D31" s="13" t="n">
        <v>0.08</v>
      </c>
      <c r="E31" s="14" t="n">
        <f aca="false">IF(Cover!$C$9="Downside",D31,C31)</f>
        <v>0.08</v>
      </c>
      <c r="F31" s="1" t="s">
        <v>31</v>
      </c>
    </row>
    <row r="32" customFormat="false" ht="15" hidden="false" customHeight="true" outlineLevel="0" collapsed="false">
      <c r="B32" s="1" t="s">
        <v>64</v>
      </c>
      <c r="C32" s="13" t="n">
        <v>0.2</v>
      </c>
      <c r="D32" s="13" t="n">
        <v>0.2</v>
      </c>
      <c r="E32" s="14" t="n">
        <f aca="false">IF(Cover!$C$9="Downside",D32,C32)</f>
        <v>0.2</v>
      </c>
      <c r="F32" s="1" t="s">
        <v>65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66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67</v>
      </c>
      <c r="C4" s="10" t="s">
        <v>68</v>
      </c>
      <c r="D4" s="10"/>
      <c r="E4" s="10" t="s">
        <v>69</v>
      </c>
      <c r="F4" s="10" t="s">
        <v>68</v>
      </c>
      <c r="G4" s="10"/>
    </row>
    <row r="5" customFormat="false" ht="15" hidden="false" customHeight="true" outlineLevel="0" collapsed="false">
      <c r="B5" s="1" t="s">
        <v>70</v>
      </c>
      <c r="C5" s="12" t="n">
        <f aca="false">Assumptions!E5*Assumptions!E6*Assumptions!E13</f>
        <v>918</v>
      </c>
      <c r="E5" s="1" t="s">
        <v>71</v>
      </c>
      <c r="F5" s="11" t="n">
        <v>0</v>
      </c>
    </row>
    <row r="6" customFormat="false" ht="15" hidden="false" customHeight="true" outlineLevel="0" collapsed="false">
      <c r="B6" s="1" t="s">
        <v>72</v>
      </c>
      <c r="C6" s="12" t="n">
        <f aca="false">Assumptions!E15</f>
        <v>100</v>
      </c>
      <c r="E6" s="1" t="s">
        <v>73</v>
      </c>
      <c r="F6" s="12" t="n">
        <f aca="false">Assumptions!E5*Assumptions!E6*Assumptions!E19</f>
        <v>357</v>
      </c>
    </row>
    <row r="7" customFormat="false" ht="15" hidden="false" customHeight="true" outlineLevel="0" collapsed="false">
      <c r="B7" s="1" t="s">
        <v>74</v>
      </c>
      <c r="C7" s="12" t="n">
        <f aca="false">C5*Assumptions!E14</f>
        <v>22.95</v>
      </c>
      <c r="E7" s="1" t="s">
        <v>75</v>
      </c>
      <c r="F7" s="12" t="n">
        <f aca="false">Assumptions!E5*Assumptions!E6*Assumptions!E22</f>
        <v>102</v>
      </c>
    </row>
    <row r="8" customFormat="false" ht="15" hidden="false" customHeight="true" outlineLevel="0" collapsed="false">
      <c r="B8" s="1" t="s">
        <v>76</v>
      </c>
      <c r="C8" s="12" t="n">
        <f aca="false">Assumptions!E16</f>
        <v>25</v>
      </c>
      <c r="E8" s="1" t="s">
        <v>77</v>
      </c>
      <c r="F8" s="12" t="n">
        <f aca="false">C9-SUM(F5:F7)</f>
        <v>606.95</v>
      </c>
    </row>
    <row r="9" customFormat="false" ht="15" hidden="false" customHeight="true" outlineLevel="0" collapsed="false">
      <c r="B9" s="24" t="s">
        <v>78</v>
      </c>
      <c r="C9" s="25" t="n">
        <f aca="false">SUM(C5:C8)</f>
        <v>1065.95</v>
      </c>
      <c r="E9" s="24" t="s">
        <v>79</v>
      </c>
      <c r="F9" s="25" t="n">
        <f aca="false">SUM(F5:F8)</f>
        <v>1065.95</v>
      </c>
    </row>
    <row r="10" customFormat="false" ht="15" hidden="false" customHeight="true" outlineLevel="0" collapsed="false">
      <c r="E10" s="1" t="s">
        <v>80</v>
      </c>
      <c r="F10" s="12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81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82</v>
      </c>
      <c r="C4" s="10" t="s">
        <v>83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</row>
    <row r="5" customFormat="false" ht="15" hidden="false" customHeight="true" outlineLevel="0" collapsed="false">
      <c r="B5" s="1" t="s">
        <v>91</v>
      </c>
      <c r="C5" s="12" t="n">
        <f aca="false">Assumptions!E5</f>
        <v>600</v>
      </c>
      <c r="D5" s="12" t="n">
        <f aca="false">C5*(1+Assumptions!$E$7)</f>
        <v>582</v>
      </c>
      <c r="E5" s="12" t="n">
        <f aca="false">D5*(1+Assumptions!$E$7)</f>
        <v>564.54</v>
      </c>
      <c r="F5" s="12" t="n">
        <f aca="false">E5*(1+Assumptions!$E$7)</f>
        <v>547.6038</v>
      </c>
      <c r="G5" s="12" t="n">
        <f aca="false">F5*(1+Assumptions!$E$7)</f>
        <v>531.175686</v>
      </c>
      <c r="H5" s="12" t="n">
        <f aca="false">G5*(1+Assumptions!$E$7)</f>
        <v>515.24041542</v>
      </c>
      <c r="I5" s="12" t="n">
        <f aca="false">H5*(1+Assumptions!$E$7)</f>
        <v>499.7832029574</v>
      </c>
      <c r="J5" s="12" t="n">
        <f aca="false">I5*(1+Assumptions!$E$7)</f>
        <v>484.789706868678</v>
      </c>
    </row>
    <row r="6" customFormat="false" ht="15" hidden="false" customHeight="true" outlineLevel="0" collapsed="false">
      <c r="B6" s="1" t="s">
        <v>92</v>
      </c>
      <c r="D6" s="14" t="n">
        <f aca="false">IFERROR(D5/C5-1,0)</f>
        <v>-0.03</v>
      </c>
      <c r="E6" s="14" t="n">
        <f aca="false">IFERROR(E5/D5-1,0)</f>
        <v>-0.03</v>
      </c>
      <c r="F6" s="14" t="n">
        <f aca="false">IFERROR(F5/E5-1,0)</f>
        <v>-0.03</v>
      </c>
      <c r="G6" s="14" t="n">
        <f aca="false">IFERROR(G5/F5-1,0)</f>
        <v>-0.0300000000000001</v>
      </c>
      <c r="H6" s="14" t="n">
        <f aca="false">IFERROR(H5/G5-1,0)</f>
        <v>-0.0300000000000001</v>
      </c>
      <c r="I6" s="14" t="n">
        <f aca="false">IFERROR(I5/H5-1,0)</f>
        <v>-0.03</v>
      </c>
      <c r="J6" s="14" t="n">
        <f aca="false">IFERROR(J5/I5-1,0)</f>
        <v>-0.03</v>
      </c>
    </row>
    <row r="7" customFormat="false" ht="15" hidden="false" customHeight="true" outlineLevel="0" collapsed="false">
      <c r="B7" s="1" t="s">
        <v>93</v>
      </c>
      <c r="C7" s="14" t="n">
        <f aca="false">Assumptions!E6</f>
        <v>0.17</v>
      </c>
      <c r="D7" s="14" t="n">
        <f aca="false">MAX(0,MIN(0.6,C7+Assumptions!$E$8))</f>
        <v>0.167</v>
      </c>
      <c r="E7" s="14" t="n">
        <f aca="false">MAX(0,MIN(0.6,D7+Assumptions!$E$8))</f>
        <v>0.164</v>
      </c>
      <c r="F7" s="14" t="n">
        <f aca="false">MAX(0,MIN(0.6,E7+Assumptions!$E$8))</f>
        <v>0.161</v>
      </c>
      <c r="G7" s="14" t="n">
        <f aca="false">MAX(0,MIN(0.6,F7+Assumptions!$E$8))</f>
        <v>0.158</v>
      </c>
      <c r="H7" s="14" t="n">
        <f aca="false">MAX(0,MIN(0.6,G7+Assumptions!$E$8))</f>
        <v>0.155</v>
      </c>
      <c r="I7" s="14" t="n">
        <f aca="false">MAX(0,MIN(0.6,H7+Assumptions!$E$8))</f>
        <v>0.152</v>
      </c>
      <c r="J7" s="14" t="n">
        <f aca="false">MAX(0,MIN(0.6,I7+Assumptions!$E$8))</f>
        <v>0.149</v>
      </c>
    </row>
    <row r="8" customFormat="false" ht="15" hidden="false" customHeight="true" outlineLevel="0" collapsed="false">
      <c r="B8" s="24" t="s">
        <v>94</v>
      </c>
      <c r="C8" s="25" t="n">
        <f aca="false">C5*C7</f>
        <v>102</v>
      </c>
      <c r="D8" s="25" t="n">
        <f aca="false">D5*D7</f>
        <v>97.194</v>
      </c>
      <c r="E8" s="25" t="n">
        <f aca="false">E5*E7</f>
        <v>92.58456</v>
      </c>
      <c r="F8" s="25" t="n">
        <f aca="false">F5*F7</f>
        <v>88.1642118</v>
      </c>
      <c r="G8" s="25" t="n">
        <f aca="false">G5*G7</f>
        <v>83.925758388</v>
      </c>
      <c r="H8" s="25" t="n">
        <f aca="false">H5*H7</f>
        <v>79.8622643901</v>
      </c>
      <c r="I8" s="25" t="n">
        <f aca="false">I5*I7</f>
        <v>75.9670468495248</v>
      </c>
      <c r="J8" s="25" t="n">
        <f aca="false">J5*J7</f>
        <v>72.233666323433</v>
      </c>
    </row>
    <row r="9" customFormat="false" ht="15" hidden="false" customHeight="true" outlineLevel="0" collapsed="false">
      <c r="B9" s="1" t="s">
        <v>95</v>
      </c>
      <c r="C9" s="12" t="n">
        <f aca="false">C5*Assumptions!E9</f>
        <v>15</v>
      </c>
      <c r="D9" s="12" t="n">
        <f aca="false">D5*Assumptions!$E$9</f>
        <v>14.55</v>
      </c>
      <c r="E9" s="12" t="n">
        <f aca="false">E5*Assumptions!$E$9</f>
        <v>14.1135</v>
      </c>
      <c r="F9" s="12" t="n">
        <f aca="false">F5*Assumptions!$E$9</f>
        <v>13.690095</v>
      </c>
      <c r="G9" s="12" t="n">
        <f aca="false">G5*Assumptions!$E$9</f>
        <v>13.27939215</v>
      </c>
      <c r="H9" s="12" t="n">
        <f aca="false">H5*Assumptions!$E$9</f>
        <v>12.8810103855</v>
      </c>
      <c r="I9" s="12" t="n">
        <f aca="false">I5*Assumptions!$E$9</f>
        <v>12.494580073935</v>
      </c>
      <c r="J9" s="12" t="n">
        <f aca="false">J5*Assumptions!$E$9</f>
        <v>12.1197426717169</v>
      </c>
    </row>
    <row r="10" customFormat="false" ht="15" hidden="false" customHeight="true" outlineLevel="0" collapsed="false">
      <c r="B10" s="1" t="s">
        <v>96</v>
      </c>
      <c r="C10" s="12" t="n">
        <f aca="false">C8-C9</f>
        <v>87</v>
      </c>
      <c r="D10" s="12" t="n">
        <f aca="false">D8-D9</f>
        <v>82.644</v>
      </c>
      <c r="E10" s="12" t="n">
        <f aca="false">E8-E9</f>
        <v>78.47106</v>
      </c>
      <c r="F10" s="12" t="n">
        <f aca="false">F8-F9</f>
        <v>74.4741168</v>
      </c>
      <c r="G10" s="12" t="n">
        <f aca="false">G8-G9</f>
        <v>70.646366238</v>
      </c>
      <c r="H10" s="12" t="n">
        <f aca="false">H8-H9</f>
        <v>66.9812540046</v>
      </c>
      <c r="I10" s="12" t="n">
        <f aca="false">I8-I9</f>
        <v>63.4724667755898</v>
      </c>
      <c r="J10" s="12" t="n">
        <f aca="false">J8-J9</f>
        <v>60.1139236517161</v>
      </c>
    </row>
    <row r="11" customFormat="false" ht="15" hidden="false" customHeight="true" outlineLevel="0" collapsed="false">
      <c r="B11" s="1" t="s">
        <v>97</v>
      </c>
      <c r="D11" s="12" t="n">
        <f aca="false">'Debt Schedule'!D7</f>
        <v>65.025</v>
      </c>
      <c r="E11" s="12" t="n">
        <f aca="false">'Debt Schedule'!E7</f>
        <v>65.496204</v>
      </c>
      <c r="F11" s="12" t="n">
        <f aca="false">'Debt Schedule'!F7</f>
        <v>66.417252228</v>
      </c>
      <c r="G11" s="12" t="n">
        <f aca="false">'Debt Schedule'!G7</f>
        <v>67.869036205776</v>
      </c>
      <c r="H11" s="12" t="n">
        <f aca="false">'Debt Schedule'!H7</f>
        <v>69.8734271342834</v>
      </c>
      <c r="I11" s="12" t="n">
        <f aca="false">'Debt Schedule'!I7</f>
        <v>72.5416868746388</v>
      </c>
      <c r="J11" s="12" t="n">
        <f aca="false">'Debt Schedule'!J7</f>
        <v>76.0055300950889</v>
      </c>
    </row>
    <row r="12" customFormat="false" ht="15" hidden="false" customHeight="true" outlineLevel="0" collapsed="false">
      <c r="B12" s="1" t="s">
        <v>98</v>
      </c>
      <c r="D12" s="12" t="n">
        <f aca="false">D10-D11</f>
        <v>17.619</v>
      </c>
      <c r="E12" s="12" t="n">
        <f aca="false">E10-E11</f>
        <v>12.974856</v>
      </c>
      <c r="F12" s="12" t="n">
        <f aca="false">F10-F11</f>
        <v>8.056864572</v>
      </c>
      <c r="G12" s="12" t="n">
        <f aca="false">G10-G11</f>
        <v>2.77733003222397</v>
      </c>
      <c r="H12" s="12" t="n">
        <f aca="false">H10-H11</f>
        <v>-2.89217312968343</v>
      </c>
      <c r="I12" s="12" t="n">
        <f aca="false">I10-I11</f>
        <v>-9.06922009904898</v>
      </c>
      <c r="J12" s="12" t="n">
        <f aca="false">J10-J11</f>
        <v>-15.8916064433729</v>
      </c>
    </row>
    <row r="13" customFormat="false" ht="15" hidden="false" customHeight="true" outlineLevel="0" collapsed="false">
      <c r="B13" s="1" t="s">
        <v>99</v>
      </c>
      <c r="D13" s="12" t="n">
        <f aca="false">MAX(0,D12*Assumptions!$E$12)</f>
        <v>3.5238</v>
      </c>
      <c r="E13" s="12" t="n">
        <f aca="false">MAX(0,E12*Assumptions!$E$12)</f>
        <v>2.5949712</v>
      </c>
      <c r="F13" s="12" t="n">
        <f aca="false">MAX(0,F12*Assumptions!$E$12)</f>
        <v>1.6113729144</v>
      </c>
      <c r="G13" s="12" t="n">
        <f aca="false">MAX(0,G12*Assumptions!$E$12)</f>
        <v>0.555466006444794</v>
      </c>
      <c r="H13" s="12" t="n">
        <f aca="false">MAX(0,H12*Assumptions!$E$12)</f>
        <v>0</v>
      </c>
      <c r="I13" s="12" t="n">
        <f aca="false">MAX(0,I12*Assumptions!$E$12)</f>
        <v>0</v>
      </c>
      <c r="J13" s="12" t="n">
        <f aca="false">MAX(0,J12*Assumptions!$E$12)</f>
        <v>0</v>
      </c>
    </row>
    <row r="14" customFormat="false" ht="15" hidden="false" customHeight="true" outlineLevel="0" collapsed="false">
      <c r="B14" s="1" t="s">
        <v>100</v>
      </c>
      <c r="D14" s="12" t="n">
        <f aca="false">D12-D13</f>
        <v>14.0952</v>
      </c>
      <c r="E14" s="12" t="n">
        <f aca="false">E12-E13</f>
        <v>10.3798848</v>
      </c>
      <c r="F14" s="12" t="n">
        <f aca="false">F12-F13</f>
        <v>6.4454916576</v>
      </c>
      <c r="G14" s="12" t="n">
        <f aca="false">G12-G13</f>
        <v>2.22186402577918</v>
      </c>
      <c r="H14" s="12" t="n">
        <f aca="false">H12-H13</f>
        <v>-2.89217312968343</v>
      </c>
      <c r="I14" s="12" t="n">
        <f aca="false">I12-I13</f>
        <v>-9.06922009904898</v>
      </c>
      <c r="J14" s="12" t="n">
        <f aca="false">J12-J13</f>
        <v>-15.8916064433729</v>
      </c>
    </row>
    <row r="15" customFormat="false" ht="15" hidden="false" customHeight="true" outlineLevel="0" collapsed="false">
      <c r="B15" s="1" t="s">
        <v>101</v>
      </c>
      <c r="D15" s="12" t="n">
        <f aca="false">D5*Assumptions!$E$10</f>
        <v>26.19</v>
      </c>
      <c r="E15" s="12" t="n">
        <f aca="false">E5*Assumptions!$E$10</f>
        <v>25.4043</v>
      </c>
      <c r="F15" s="12" t="n">
        <f aca="false">F5*Assumptions!$E$10</f>
        <v>24.642171</v>
      </c>
      <c r="G15" s="12" t="n">
        <f aca="false">G5*Assumptions!$E$10</f>
        <v>23.90290587</v>
      </c>
      <c r="H15" s="12" t="n">
        <f aca="false">H5*Assumptions!$E$10</f>
        <v>23.1858186939</v>
      </c>
      <c r="I15" s="12" t="n">
        <f aca="false">I5*Assumptions!$E$10</f>
        <v>22.490244133083</v>
      </c>
      <c r="J15" s="12" t="n">
        <f aca="false">J5*Assumptions!$E$10</f>
        <v>21.8155368090905</v>
      </c>
    </row>
    <row r="16" customFormat="false" ht="15" hidden="false" customHeight="true" outlineLevel="0" collapsed="false">
      <c r="B16" s="1" t="s">
        <v>102</v>
      </c>
      <c r="C16" s="12" t="n">
        <f aca="false">C5*Assumptions!E11</f>
        <v>60</v>
      </c>
      <c r="D16" s="12" t="n">
        <f aca="false">D5*Assumptions!$E$11</f>
        <v>58.2</v>
      </c>
      <c r="E16" s="12" t="n">
        <f aca="false">E5*Assumptions!$E$11</f>
        <v>56.454</v>
      </c>
      <c r="F16" s="12" t="n">
        <f aca="false">F5*Assumptions!$E$11</f>
        <v>54.76038</v>
      </c>
      <c r="G16" s="12" t="n">
        <f aca="false">G5*Assumptions!$E$11</f>
        <v>53.1175686</v>
      </c>
      <c r="H16" s="12" t="n">
        <f aca="false">H5*Assumptions!$E$11</f>
        <v>51.524041542</v>
      </c>
      <c r="I16" s="12" t="n">
        <f aca="false">I5*Assumptions!$E$11</f>
        <v>49.97832029574</v>
      </c>
      <c r="J16" s="12" t="n">
        <f aca="false">J5*Assumptions!$E$11</f>
        <v>48.4789706868678</v>
      </c>
    </row>
    <row r="17" customFormat="false" ht="15" hidden="false" customHeight="true" outlineLevel="0" collapsed="false">
      <c r="B17" s="1" t="s">
        <v>103</v>
      </c>
      <c r="D17" s="12" t="n">
        <f aca="false">D16-C16</f>
        <v>-1.8</v>
      </c>
      <c r="E17" s="12" t="n">
        <f aca="false">E16-D16</f>
        <v>-1.746</v>
      </c>
      <c r="F17" s="12" t="n">
        <f aca="false">F16-E16</f>
        <v>-1.69362</v>
      </c>
      <c r="G17" s="12" t="n">
        <f aca="false">G16-F16</f>
        <v>-1.6428114</v>
      </c>
      <c r="H17" s="12" t="n">
        <f aca="false">H16-G16</f>
        <v>-1.59352705800001</v>
      </c>
      <c r="I17" s="12" t="n">
        <f aca="false">I16-H16</f>
        <v>-1.54572124626</v>
      </c>
      <c r="J17" s="12" t="n">
        <f aca="false">J16-I16</f>
        <v>-1.4993496088722</v>
      </c>
    </row>
    <row r="18" customFormat="false" ht="15" hidden="false" customHeight="true" outlineLevel="0" collapsed="false">
      <c r="B18" s="24" t="s">
        <v>104</v>
      </c>
      <c r="C18" s="25"/>
      <c r="D18" s="25" t="n">
        <f aca="false">D14+D9-D15-D17</f>
        <v>4.2552</v>
      </c>
      <c r="E18" s="25" t="n">
        <f aca="false">E14+E9-E15-E17</f>
        <v>0.835084799999997</v>
      </c>
      <c r="F18" s="25" t="n">
        <f aca="false">F14+F9-F15-F17</f>
        <v>-2.8129643424</v>
      </c>
      <c r="G18" s="25" t="n">
        <f aca="false">G14+G9-G15-G17</f>
        <v>-6.75883829422082</v>
      </c>
      <c r="H18" s="25" t="n">
        <f aca="false">H14+H9-H15-H17</f>
        <v>-11.6034543800834</v>
      </c>
      <c r="I18" s="25" t="n">
        <f aca="false">I14+I9-I15-I17</f>
        <v>-17.519162911937</v>
      </c>
      <c r="J18" s="25" t="n">
        <f aca="false">J14+J9-J15-J17</f>
        <v>-24.0880509718742</v>
      </c>
    </row>
    <row r="19" customFormat="false" ht="15" hidden="false" customHeight="true" outlineLevel="0" collapsed="false">
      <c r="B19" s="24" t="s">
        <v>105</v>
      </c>
      <c r="C19" s="25"/>
      <c r="D19" s="25" t="n">
        <f aca="false">D8-D13-D15-D17</f>
        <v>69.2802</v>
      </c>
      <c r="E19" s="25" t="n">
        <f aca="false">E8-E13-E15-E17</f>
        <v>66.3312888</v>
      </c>
      <c r="F19" s="25" t="n">
        <f aca="false">F8-F13-F15-F17</f>
        <v>63.6042878856</v>
      </c>
      <c r="G19" s="25" t="n">
        <f aca="false">G8-G13-G15-G17</f>
        <v>61.1101979115552</v>
      </c>
      <c r="H19" s="25" t="n">
        <f aca="false">H8-H13-H15-H17</f>
        <v>58.2699727542</v>
      </c>
      <c r="I19" s="25" t="n">
        <f aca="false">I8-I13-I15-I17</f>
        <v>55.0225239627018</v>
      </c>
      <c r="J19" s="25" t="n">
        <f aca="false">J8-J13-J15-J17</f>
        <v>51.9174791232147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106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82</v>
      </c>
      <c r="C4" s="10" t="s">
        <v>107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</row>
    <row r="5" customFormat="false" ht="15" hidden="false" customHeight="true" outlineLevel="0" collapsed="false">
      <c r="B5" s="1" t="s">
        <v>108</v>
      </c>
      <c r="C5" s="12" t="n">
        <f aca="false">Assumptions!E16</f>
        <v>25</v>
      </c>
      <c r="D5" s="12" t="n">
        <f aca="false">C13</f>
        <v>25</v>
      </c>
      <c r="E5" s="12" t="n">
        <f aca="false">D13</f>
        <v>25.1713</v>
      </c>
      <c r="F5" s="12" t="n">
        <f aca="false">E13</f>
        <v>25</v>
      </c>
      <c r="G5" s="12" t="n">
        <f aca="false">F13</f>
        <v>25</v>
      </c>
      <c r="H5" s="12" t="n">
        <f aca="false">G13</f>
        <v>25</v>
      </c>
      <c r="I5" s="12" t="n">
        <f aca="false">H13</f>
        <v>25</v>
      </c>
      <c r="J5" s="12" t="n">
        <f aca="false">I13</f>
        <v>25</v>
      </c>
    </row>
    <row r="6" customFormat="false" ht="15" hidden="false" customHeight="true" outlineLevel="0" collapsed="false">
      <c r="B6" s="1" t="s">
        <v>105</v>
      </c>
      <c r="D6" s="12" t="n">
        <f aca="false">'Operating Model'!D19</f>
        <v>69.2802</v>
      </c>
      <c r="E6" s="12" t="n">
        <f aca="false">'Operating Model'!E19</f>
        <v>66.3312888</v>
      </c>
      <c r="F6" s="12" t="n">
        <f aca="false">'Operating Model'!F19</f>
        <v>63.6042878856</v>
      </c>
      <c r="G6" s="12" t="n">
        <f aca="false">'Operating Model'!G19</f>
        <v>61.1101979115552</v>
      </c>
      <c r="H6" s="12" t="n">
        <f aca="false">'Operating Model'!H19</f>
        <v>58.2699727542</v>
      </c>
      <c r="I6" s="12" t="n">
        <f aca="false">'Operating Model'!I19</f>
        <v>55.0225239627018</v>
      </c>
      <c r="J6" s="12" t="n">
        <f aca="false">'Operating Model'!J19</f>
        <v>51.9174791232147</v>
      </c>
    </row>
    <row r="7" customFormat="false" ht="15" hidden="false" customHeight="true" outlineLevel="0" collapsed="false">
      <c r="B7" s="1" t="s">
        <v>97</v>
      </c>
      <c r="D7" s="12" t="n">
        <f aca="false">SUM(D15,D18,D23)</f>
        <v>65.025</v>
      </c>
      <c r="E7" s="12" t="n">
        <f aca="false">SUM(E15,E18,E23)</f>
        <v>65.496204</v>
      </c>
      <c r="F7" s="12" t="n">
        <f aca="false">SUM(F15,F18,F23)</f>
        <v>66.417252228</v>
      </c>
      <c r="G7" s="12" t="n">
        <f aca="false">SUM(G15,G18,G23)</f>
        <v>67.869036205776</v>
      </c>
      <c r="H7" s="12" t="n">
        <f aca="false">SUM(H15,H18,H23)</f>
        <v>69.8734271342834</v>
      </c>
      <c r="I7" s="12" t="n">
        <f aca="false">SUM(I15,I18,I23)</f>
        <v>72.5416868746388</v>
      </c>
      <c r="J7" s="12" t="n">
        <f aca="false">SUM(J15,J18,J23)</f>
        <v>76.0055300950889</v>
      </c>
    </row>
    <row r="8" customFormat="false" ht="15" hidden="false" customHeight="true" outlineLevel="0" collapsed="false">
      <c r="B8" s="1" t="s">
        <v>109</v>
      </c>
      <c r="D8" s="12" t="n">
        <f aca="false">D19</f>
        <v>3.57</v>
      </c>
      <c r="E8" s="12" t="n">
        <f aca="false">E19</f>
        <v>3.57</v>
      </c>
      <c r="F8" s="12" t="n">
        <f aca="false">F19</f>
        <v>3.57</v>
      </c>
      <c r="G8" s="12" t="n">
        <f aca="false">G19</f>
        <v>3.57</v>
      </c>
      <c r="H8" s="12" t="n">
        <f aca="false">H19</f>
        <v>3.57</v>
      </c>
      <c r="I8" s="12" t="n">
        <f aca="false">I19</f>
        <v>3.57</v>
      </c>
      <c r="J8" s="12" t="n">
        <f aca="false">J19</f>
        <v>3.57</v>
      </c>
    </row>
    <row r="9" customFormat="false" ht="15" hidden="false" customHeight="true" outlineLevel="0" collapsed="false">
      <c r="B9" s="1" t="s">
        <v>110</v>
      </c>
      <c r="D9" s="12" t="n">
        <f aca="false">D5+D6-D7-D8</f>
        <v>25.6852</v>
      </c>
      <c r="E9" s="12" t="n">
        <f aca="false">E5+E6-E7-E8</f>
        <v>22.4363848</v>
      </c>
      <c r="F9" s="12" t="n">
        <f aca="false">F5+F6-F7-F8</f>
        <v>18.6170356576</v>
      </c>
      <c r="G9" s="12" t="n">
        <f aca="false">G5+G6-G7-G8</f>
        <v>14.6711617057792</v>
      </c>
      <c r="H9" s="12" t="n">
        <f aca="false">H5+H6-H7-H8</f>
        <v>9.82654561991659</v>
      </c>
      <c r="I9" s="12" t="n">
        <f aca="false">I5+I6-I7-I8</f>
        <v>3.91083708806303</v>
      </c>
      <c r="J9" s="12" t="n">
        <f aca="false">J5+J6-J7-J8</f>
        <v>-2.65805097187424</v>
      </c>
    </row>
    <row r="10" customFormat="false" ht="15" hidden="false" customHeight="true" outlineLevel="0" collapsed="false">
      <c r="B10" s="1" t="s">
        <v>111</v>
      </c>
      <c r="D10" s="12" t="n">
        <f aca="false">IF(D9&lt;Assumptions!$E$16,MIN(Assumptions!$E$17-D14,Assumptions!$E$16-D9),-MIN(D14,MAX(0,D9-Assumptions!$E$16)))</f>
        <v>-0</v>
      </c>
      <c r="E10" s="12" t="n">
        <f aca="false">IF(E9&lt;Assumptions!$E$16,MIN(Assumptions!$E$17-E14,Assumptions!$E$16-E9),-MIN(E14,MAX(0,E9-Assumptions!$E$16)))</f>
        <v>2.56361519999999</v>
      </c>
      <c r="F10" s="12" t="n">
        <f aca="false">IF(F9&lt;Assumptions!$E$16,MIN(Assumptions!$E$17-F14,Assumptions!$E$16-F9),-MIN(F14,MAX(0,F9-Assumptions!$E$16)))</f>
        <v>6.38296434239999</v>
      </c>
      <c r="G10" s="12" t="n">
        <f aca="false">IF(G9&lt;Assumptions!$E$16,MIN(Assumptions!$E$17-G14,Assumptions!$E$16-G9),-MIN(G14,MAX(0,G9-Assumptions!$E$16)))</f>
        <v>10.3288382942208</v>
      </c>
      <c r="H10" s="12" t="n">
        <f aca="false">IF(H9&lt;Assumptions!$E$16,MIN(Assumptions!$E$17-H14,Assumptions!$E$16-H9),-MIN(H14,MAX(0,H9-Assumptions!$E$16)))</f>
        <v>15.1734543800834</v>
      </c>
      <c r="I10" s="12" t="n">
        <f aca="false">IF(I9&lt;Assumptions!$E$16,MIN(Assumptions!$E$17-I14,Assumptions!$E$16-I9),-MIN(I14,MAX(0,I9-Assumptions!$E$16)))</f>
        <v>21.089162911937</v>
      </c>
      <c r="J10" s="12" t="n">
        <f aca="false">IF(J9&lt;Assumptions!$E$16,MIN(Assumptions!$E$17-J14,Assumptions!$E$16-J9),-MIN(J14,MAX(0,J9-Assumptions!$E$16)))</f>
        <v>19.4619648713588</v>
      </c>
    </row>
    <row r="11" customFormat="false" ht="15" hidden="false" customHeight="true" outlineLevel="0" collapsed="false">
      <c r="B11" s="1" t="s">
        <v>112</v>
      </c>
      <c r="D11" s="12" t="n">
        <f aca="false">MIN(MAX(0,D17-D19),MAX(0,D9+D10-Assumptions!$E$16)*Assumptions!$E$25)</f>
        <v>0.342600000000001</v>
      </c>
      <c r="E11" s="12" t="n">
        <f aca="false">MIN(MAX(0,E17-E19),MAX(0,E9+E10-Assumptions!$E$16)*Assumptions!$E$25)</f>
        <v>0</v>
      </c>
      <c r="F11" s="12" t="n">
        <f aca="false">MIN(MAX(0,F17-F19),MAX(0,F9+F10-Assumptions!$E$16)*Assumptions!$E$25)</f>
        <v>0</v>
      </c>
      <c r="G11" s="12" t="n">
        <f aca="false">MIN(MAX(0,G17-G19),MAX(0,G9+G10-Assumptions!$E$16)*Assumptions!$E$25)</f>
        <v>0</v>
      </c>
      <c r="H11" s="12" t="n">
        <f aca="false">MIN(MAX(0,H17-H19),MAX(0,H9+H10-Assumptions!$E$16)*Assumptions!$E$25)</f>
        <v>0</v>
      </c>
      <c r="I11" s="12" t="n">
        <f aca="false">MIN(MAX(0,I17-I19),MAX(0,I9+I10-Assumptions!$E$16)*Assumptions!$E$25)</f>
        <v>0</v>
      </c>
      <c r="J11" s="12" t="n">
        <f aca="false">MIN(MAX(0,J17-J19),MAX(0,J9+J10-Assumptions!$E$16)*Assumptions!$E$25)</f>
        <v>0</v>
      </c>
    </row>
    <row r="12" customFormat="false" ht="15" hidden="false" customHeight="true" outlineLevel="0" collapsed="false">
      <c r="B12" s="1" t="s">
        <v>113</v>
      </c>
      <c r="D12" s="12" t="n">
        <f aca="false">MIN(MAX(0,D22+D24),MAX(0,D9+D10-D11-Assumptions!$E$16)*Assumptions!$E$25)</f>
        <v>0.1713</v>
      </c>
      <c r="E12" s="12" t="n">
        <f aca="false">MIN(MAX(0,E22+E24),MAX(0,E9+E10-E11-Assumptions!$E$16)*Assumptions!$E$25)</f>
        <v>0</v>
      </c>
      <c r="F12" s="12" t="n">
        <f aca="false">MIN(MAX(0,F22+F24),MAX(0,F9+F10-F11-Assumptions!$E$16)*Assumptions!$E$25)</f>
        <v>0</v>
      </c>
      <c r="G12" s="12" t="n">
        <f aca="false">MIN(MAX(0,G22+G24),MAX(0,G9+G10-G11-Assumptions!$E$16)*Assumptions!$E$25)</f>
        <v>0</v>
      </c>
      <c r="H12" s="12" t="n">
        <f aca="false">MIN(MAX(0,H22+H24),MAX(0,H9+H10-H11-Assumptions!$E$16)*Assumptions!$E$25)</f>
        <v>0</v>
      </c>
      <c r="I12" s="12" t="n">
        <f aca="false">MIN(MAX(0,I22+I24),MAX(0,I9+I10-I11-Assumptions!$E$16)*Assumptions!$E$25)</f>
        <v>0</v>
      </c>
      <c r="J12" s="12" t="n">
        <f aca="false">MIN(MAX(0,J22+J24),MAX(0,J9+J10-J11-Assumptions!$E$16)*Assumptions!$E$25)</f>
        <v>0</v>
      </c>
    </row>
    <row r="13" customFormat="false" ht="15" hidden="false" customHeight="true" outlineLevel="0" collapsed="false">
      <c r="B13" s="24" t="s">
        <v>114</v>
      </c>
      <c r="C13" s="25" t="n">
        <f aca="false">C5</f>
        <v>25</v>
      </c>
      <c r="D13" s="25" t="n">
        <f aca="false">D9+D10-D11-D12</f>
        <v>25.1713</v>
      </c>
      <c r="E13" s="25" t="n">
        <f aca="false">E9+E10-E11-E12</f>
        <v>25</v>
      </c>
      <c r="F13" s="25" t="n">
        <f aca="false">F9+F10-F11-F12</f>
        <v>25</v>
      </c>
      <c r="G13" s="25" t="n">
        <f aca="false">G9+G10-G11-G12</f>
        <v>25</v>
      </c>
      <c r="H13" s="25" t="n">
        <f aca="false">H9+H10-H11-H12</f>
        <v>25</v>
      </c>
      <c r="I13" s="25" t="n">
        <f aca="false">I9+I10-I11-I12</f>
        <v>25</v>
      </c>
      <c r="J13" s="25" t="n">
        <f aca="false">J9+J10-J11-J12</f>
        <v>16.8039138994846</v>
      </c>
    </row>
    <row r="14" customFormat="false" ht="15" hidden="false" customHeight="true" outlineLevel="0" collapsed="false">
      <c r="B14" s="1" t="s">
        <v>115</v>
      </c>
      <c r="C14" s="12" t="n">
        <f aca="false">'Sources &amp; Uses'!F5</f>
        <v>0</v>
      </c>
      <c r="D14" s="12" t="n">
        <f aca="false">C16</f>
        <v>0</v>
      </c>
      <c r="E14" s="12" t="n">
        <f aca="false">D16</f>
        <v>0</v>
      </c>
      <c r="F14" s="12" t="n">
        <f aca="false">E16</f>
        <v>2.56361519999999</v>
      </c>
      <c r="G14" s="12" t="n">
        <f aca="false">F16</f>
        <v>8.94657954239999</v>
      </c>
      <c r="H14" s="12" t="n">
        <f aca="false">G16</f>
        <v>19.2754178366208</v>
      </c>
      <c r="I14" s="12" t="n">
        <f aca="false">H16</f>
        <v>34.4488722167042</v>
      </c>
      <c r="J14" s="12" t="n">
        <f aca="false">I16</f>
        <v>55.5380351286412</v>
      </c>
    </row>
    <row r="15" customFormat="false" ht="15" hidden="false" customHeight="true" outlineLevel="0" collapsed="false">
      <c r="B15" s="1" t="s">
        <v>116</v>
      </c>
      <c r="D15" s="12" t="n">
        <f aca="false">D14*Assumptions!$E$18</f>
        <v>0</v>
      </c>
      <c r="E15" s="12" t="n">
        <f aca="false">E14*Assumptions!$E$18</f>
        <v>0</v>
      </c>
      <c r="F15" s="12" t="n">
        <f aca="false">F14*Assumptions!$E$18</f>
        <v>0.294815747999999</v>
      </c>
      <c r="G15" s="12" t="n">
        <f aca="false">G14*Assumptions!$E$18</f>
        <v>1.028856647376</v>
      </c>
      <c r="H15" s="12" t="n">
        <f aca="false">H14*Assumptions!$E$18</f>
        <v>2.21667305121139</v>
      </c>
      <c r="I15" s="12" t="n">
        <f aca="false">I14*Assumptions!$E$18</f>
        <v>3.96162030492098</v>
      </c>
      <c r="J15" s="12" t="n">
        <f aca="false">J14*Assumptions!$E$18</f>
        <v>6.38687403979374</v>
      </c>
    </row>
    <row r="16" customFormat="false" ht="15" hidden="false" customHeight="true" outlineLevel="0" collapsed="false">
      <c r="B16" s="1" t="s">
        <v>117</v>
      </c>
      <c r="C16" s="12" t="n">
        <f aca="false">C14</f>
        <v>0</v>
      </c>
      <c r="D16" s="12" t="n">
        <f aca="false">MAX(0,D14+D10)</f>
        <v>0</v>
      </c>
      <c r="E16" s="12" t="n">
        <f aca="false">MAX(0,E14+E10)</f>
        <v>2.56361519999999</v>
      </c>
      <c r="F16" s="12" t="n">
        <f aca="false">MAX(0,F14+F10)</f>
        <v>8.94657954239999</v>
      </c>
      <c r="G16" s="12" t="n">
        <f aca="false">MAX(0,G14+G10)</f>
        <v>19.2754178366208</v>
      </c>
      <c r="H16" s="12" t="n">
        <f aca="false">MAX(0,H14+H10)</f>
        <v>34.4488722167042</v>
      </c>
      <c r="I16" s="12" t="n">
        <f aca="false">MAX(0,I14+I10)</f>
        <v>55.5380351286412</v>
      </c>
      <c r="J16" s="12" t="n">
        <f aca="false">MAX(0,J14+J10)</f>
        <v>75</v>
      </c>
    </row>
    <row r="17" customFormat="false" ht="15" hidden="false" customHeight="true" outlineLevel="0" collapsed="false">
      <c r="B17" s="1" t="s">
        <v>118</v>
      </c>
      <c r="C17" s="12" t="n">
        <f aca="false">'Sources &amp; Uses'!F6</f>
        <v>357</v>
      </c>
      <c r="D17" s="12" t="n">
        <f aca="false">C21</f>
        <v>357</v>
      </c>
      <c r="E17" s="12" t="n">
        <f aca="false">D21</f>
        <v>353.0874</v>
      </c>
      <c r="F17" s="12" t="n">
        <f aca="false">E21</f>
        <v>349.5174</v>
      </c>
      <c r="G17" s="12" t="n">
        <f aca="false">F21</f>
        <v>345.9474</v>
      </c>
      <c r="H17" s="12" t="n">
        <f aca="false">G21</f>
        <v>342.3774</v>
      </c>
      <c r="I17" s="12" t="n">
        <f aca="false">H21</f>
        <v>338.8074</v>
      </c>
      <c r="J17" s="12" t="n">
        <f aca="false">I21</f>
        <v>335.2374</v>
      </c>
    </row>
    <row r="18" customFormat="false" ht="15" hidden="false" customHeight="true" outlineLevel="0" collapsed="false">
      <c r="B18" s="1" t="s">
        <v>119</v>
      </c>
      <c r="D18" s="12" t="n">
        <f aca="false">D17*Assumptions!$E$20</f>
        <v>51.765</v>
      </c>
      <c r="E18" s="12" t="n">
        <f aca="false">E17*Assumptions!$E$20</f>
        <v>51.197673</v>
      </c>
      <c r="F18" s="12" t="n">
        <f aca="false">F17*Assumptions!$E$20</f>
        <v>50.680023</v>
      </c>
      <c r="G18" s="12" t="n">
        <f aca="false">G17*Assumptions!$E$20</f>
        <v>50.162373</v>
      </c>
      <c r="H18" s="12" t="n">
        <f aca="false">H17*Assumptions!$E$20</f>
        <v>49.644723</v>
      </c>
      <c r="I18" s="12" t="n">
        <f aca="false">I17*Assumptions!$E$20</f>
        <v>49.127073</v>
      </c>
      <c r="J18" s="12" t="n">
        <f aca="false">J17*Assumptions!$E$20</f>
        <v>48.609423</v>
      </c>
    </row>
    <row r="19" customFormat="false" ht="15" hidden="false" customHeight="true" outlineLevel="0" collapsed="false">
      <c r="B19" s="1" t="s">
        <v>120</v>
      </c>
      <c r="D19" s="12" t="n">
        <f aca="false">MIN(D17,'Sources &amp; Uses'!$F$6*Assumptions!$E$21)</f>
        <v>3.57</v>
      </c>
      <c r="E19" s="12" t="n">
        <f aca="false">MIN(E17,'Sources &amp; Uses'!$F$6*Assumptions!$E$21)</f>
        <v>3.57</v>
      </c>
      <c r="F19" s="12" t="n">
        <f aca="false">MIN(F17,'Sources &amp; Uses'!$F$6*Assumptions!$E$21)</f>
        <v>3.57</v>
      </c>
      <c r="G19" s="12" t="n">
        <f aca="false">MIN(G17,'Sources &amp; Uses'!$F$6*Assumptions!$E$21)</f>
        <v>3.57</v>
      </c>
      <c r="H19" s="12" t="n">
        <f aca="false">MIN(H17,'Sources &amp; Uses'!$F$6*Assumptions!$E$21)</f>
        <v>3.57</v>
      </c>
      <c r="I19" s="12" t="n">
        <f aca="false">MIN(I17,'Sources &amp; Uses'!$F$6*Assumptions!$E$21)</f>
        <v>3.57</v>
      </c>
      <c r="J19" s="12" t="n">
        <f aca="false">MIN(J17,'Sources &amp; Uses'!$F$6*Assumptions!$E$21)</f>
        <v>3.57</v>
      </c>
    </row>
    <row r="20" customFormat="false" ht="15" hidden="false" customHeight="true" outlineLevel="0" collapsed="false">
      <c r="B20" s="24" t="s">
        <v>121</v>
      </c>
      <c r="C20" s="25" t="n">
        <f aca="false">'Sources &amp; Uses'!F7</f>
        <v>102</v>
      </c>
      <c r="D20" s="25" t="n">
        <f aca="false">D11</f>
        <v>0.342600000000001</v>
      </c>
      <c r="E20" s="25" t="n">
        <f aca="false">E11</f>
        <v>0</v>
      </c>
      <c r="F20" s="25" t="n">
        <f aca="false">F11</f>
        <v>0</v>
      </c>
      <c r="G20" s="25" t="n">
        <f aca="false">G11</f>
        <v>0</v>
      </c>
      <c r="H20" s="25" t="n">
        <f aca="false">H11</f>
        <v>0</v>
      </c>
      <c r="I20" s="25" t="n">
        <f aca="false">I11</f>
        <v>0</v>
      </c>
      <c r="J20" s="25" t="n">
        <f aca="false">J11</f>
        <v>0</v>
      </c>
    </row>
    <row r="21" customFormat="false" ht="15" hidden="false" customHeight="true" outlineLevel="0" collapsed="false">
      <c r="B21" s="1" t="s">
        <v>122</v>
      </c>
      <c r="C21" s="12" t="n">
        <f aca="false">C17</f>
        <v>357</v>
      </c>
      <c r="D21" s="12" t="n">
        <f aca="false">MAX(0,D17-D19-D20)</f>
        <v>353.0874</v>
      </c>
      <c r="E21" s="12" t="n">
        <f aca="false">MAX(0,E17-E19-E20)</f>
        <v>349.5174</v>
      </c>
      <c r="F21" s="12" t="n">
        <f aca="false">MAX(0,F17-F19-F20)</f>
        <v>345.9474</v>
      </c>
      <c r="G21" s="12" t="n">
        <f aca="false">MAX(0,G17-G19-G20)</f>
        <v>342.3774</v>
      </c>
      <c r="H21" s="12" t="n">
        <f aca="false">MAX(0,H17-H19-H20)</f>
        <v>338.8074</v>
      </c>
      <c r="I21" s="12" t="n">
        <f aca="false">MAX(0,I17-I19-I20)</f>
        <v>335.2374</v>
      </c>
      <c r="J21" s="12" t="n">
        <f aca="false">MAX(0,J17-J19-J20)</f>
        <v>331.6674</v>
      </c>
    </row>
    <row r="22" customFormat="false" ht="15" hidden="false" customHeight="true" outlineLevel="0" collapsed="false">
      <c r="B22" s="1" t="s">
        <v>123</v>
      </c>
      <c r="C22" s="12" t="n">
        <f aca="false">'Sources &amp; Uses'!F7</f>
        <v>102</v>
      </c>
      <c r="D22" s="12" t="n">
        <f aca="false">C26</f>
        <v>102</v>
      </c>
      <c r="E22" s="12" t="n">
        <f aca="false">D26</f>
        <v>109.9887</v>
      </c>
      <c r="F22" s="12" t="n">
        <f aca="false">E26</f>
        <v>118.787796</v>
      </c>
      <c r="G22" s="12" t="n">
        <f aca="false">F26</f>
        <v>128.29081968</v>
      </c>
      <c r="H22" s="12" t="n">
        <f aca="false">G26</f>
        <v>138.5540852544</v>
      </c>
      <c r="I22" s="12" t="n">
        <f aca="false">H26</f>
        <v>149.638412074752</v>
      </c>
      <c r="J22" s="12" t="n">
        <f aca="false">I26</f>
        <v>161.609485040732</v>
      </c>
    </row>
    <row r="23" customFormat="false" ht="15" hidden="false" customHeight="true" outlineLevel="0" collapsed="false">
      <c r="B23" s="1" t="s">
        <v>124</v>
      </c>
      <c r="D23" s="12" t="n">
        <f aca="false">D22*Assumptions!$E$23</f>
        <v>13.26</v>
      </c>
      <c r="E23" s="12" t="n">
        <f aca="false">E22*Assumptions!$E$23</f>
        <v>14.298531</v>
      </c>
      <c r="F23" s="12" t="n">
        <f aca="false">F22*Assumptions!$E$23</f>
        <v>15.44241348</v>
      </c>
      <c r="G23" s="12" t="n">
        <f aca="false">G22*Assumptions!$E$23</f>
        <v>16.6778065584</v>
      </c>
      <c r="H23" s="12" t="n">
        <f aca="false">H22*Assumptions!$E$23</f>
        <v>18.012031083072</v>
      </c>
      <c r="I23" s="12" t="n">
        <f aca="false">I22*Assumptions!$E$23</f>
        <v>19.4529935697178</v>
      </c>
      <c r="J23" s="12" t="n">
        <f aca="false">J22*Assumptions!$E$23</f>
        <v>21.0092330552952</v>
      </c>
    </row>
    <row r="24" customFormat="false" ht="15" hidden="false" customHeight="true" outlineLevel="0" collapsed="false">
      <c r="B24" s="24" t="s">
        <v>125</v>
      </c>
      <c r="C24" s="25"/>
      <c r="D24" s="25" t="n">
        <f aca="false">D22*Assumptions!$E$24</f>
        <v>8.16</v>
      </c>
      <c r="E24" s="25" t="n">
        <f aca="false">E22*Assumptions!$E$24</f>
        <v>8.799096</v>
      </c>
      <c r="F24" s="25" t="n">
        <f aca="false">F22*Assumptions!$E$24</f>
        <v>9.50302368</v>
      </c>
      <c r="G24" s="25" t="n">
        <f aca="false">G22*Assumptions!$E$24</f>
        <v>10.2632655744</v>
      </c>
      <c r="H24" s="25" t="n">
        <f aca="false">H22*Assumptions!$E$24</f>
        <v>11.084326820352</v>
      </c>
      <c r="I24" s="25" t="n">
        <f aca="false">I22*Assumptions!$E$24</f>
        <v>11.9710729659802</v>
      </c>
      <c r="J24" s="25" t="n">
        <f aca="false">J22*Assumptions!$E$24</f>
        <v>12.9287588032586</v>
      </c>
    </row>
    <row r="25" customFormat="false" ht="15" hidden="false" customHeight="true" outlineLevel="0" collapsed="false">
      <c r="B25" s="24" t="s">
        <v>126</v>
      </c>
      <c r="C25" s="25" t="n">
        <f aca="false">SUM(C16,C20,C13)</f>
        <v>127</v>
      </c>
      <c r="D25" s="25" t="n">
        <f aca="false">D12</f>
        <v>0.1713</v>
      </c>
      <c r="E25" s="25" t="n">
        <f aca="false">E12</f>
        <v>0</v>
      </c>
      <c r="F25" s="25" t="n">
        <f aca="false">F12</f>
        <v>0</v>
      </c>
      <c r="G25" s="25" t="n">
        <f aca="false">G12</f>
        <v>0</v>
      </c>
      <c r="H25" s="25" t="n">
        <f aca="false">H12</f>
        <v>0</v>
      </c>
      <c r="I25" s="25" t="n">
        <f aca="false">I12</f>
        <v>0</v>
      </c>
      <c r="J25" s="25" t="n">
        <f aca="false">J12</f>
        <v>0</v>
      </c>
    </row>
    <row r="26" customFormat="false" ht="15" hidden="false" customHeight="true" outlineLevel="0" collapsed="false">
      <c r="B26" s="24" t="s">
        <v>127</v>
      </c>
      <c r="C26" s="25" t="n">
        <f aca="false">C22</f>
        <v>102</v>
      </c>
      <c r="D26" s="25" t="n">
        <f aca="false">MAX(0,D22+D24-D25)</f>
        <v>109.9887</v>
      </c>
      <c r="E26" s="25" t="n">
        <f aca="false">MAX(0,E22+E24-E25)</f>
        <v>118.787796</v>
      </c>
      <c r="F26" s="25" t="n">
        <f aca="false">MAX(0,F22+F24-F25)</f>
        <v>128.29081968</v>
      </c>
      <c r="G26" s="25" t="n">
        <f aca="false">MAX(0,G22+G24-G25)</f>
        <v>138.5540852544</v>
      </c>
      <c r="H26" s="25" t="n">
        <f aca="false">MAX(0,H22+H24-H25)</f>
        <v>149.638412074752</v>
      </c>
      <c r="I26" s="25" t="n">
        <f aca="false">MAX(0,I22+I24-I25)</f>
        <v>161.609485040732</v>
      </c>
      <c r="J26" s="25" t="n">
        <f aca="false">MAX(0,J22+J24-J25)</f>
        <v>174.538243843991</v>
      </c>
    </row>
    <row r="27" customFormat="false" ht="15" hidden="false" customHeight="true" outlineLevel="0" collapsed="false">
      <c r="B27" s="1" t="s">
        <v>128</v>
      </c>
      <c r="C27" s="12" t="n">
        <f aca="false">SUM(C16,C21,C26)</f>
        <v>459</v>
      </c>
      <c r="D27" s="12" t="n">
        <f aca="false">SUM(D16,D21,D26)</f>
        <v>463.0761</v>
      </c>
      <c r="E27" s="12" t="n">
        <f aca="false">SUM(E16,E21,E26)</f>
        <v>470.8688112</v>
      </c>
      <c r="F27" s="12" t="n">
        <f aca="false">SUM(F16,F21,F26)</f>
        <v>483.1847992224</v>
      </c>
      <c r="G27" s="12" t="n">
        <f aca="false">SUM(G16,G21,G26)</f>
        <v>500.206903091021</v>
      </c>
      <c r="H27" s="12" t="n">
        <f aca="false">SUM(H16,H21,H26)</f>
        <v>522.894684291456</v>
      </c>
      <c r="I27" s="12" t="n">
        <f aca="false">SUM(I16,I21,I26)</f>
        <v>552.384920169374</v>
      </c>
      <c r="J27" s="12" t="n">
        <f aca="false">SUM(J16,J21,J26)</f>
        <v>581.205643843991</v>
      </c>
    </row>
    <row r="28" customFormat="false" ht="15" hidden="false" customHeight="true" outlineLevel="0" collapsed="false">
      <c r="B28" s="1" t="s">
        <v>129</v>
      </c>
      <c r="C28" s="12" t="n">
        <f aca="false">C27-C13</f>
        <v>434</v>
      </c>
      <c r="D28" s="12" t="n">
        <f aca="false">D27-D13</f>
        <v>437.9048</v>
      </c>
      <c r="E28" s="12" t="n">
        <f aca="false">E27-E13</f>
        <v>445.8688112</v>
      </c>
      <c r="F28" s="12" t="n">
        <f aca="false">F27-F13</f>
        <v>458.1847992224</v>
      </c>
      <c r="G28" s="12" t="n">
        <f aca="false">G27-G13</f>
        <v>475.206903091021</v>
      </c>
      <c r="H28" s="12" t="n">
        <f aca="false">H27-H13</f>
        <v>497.894684291456</v>
      </c>
      <c r="I28" s="12" t="n">
        <f aca="false">I27-I13</f>
        <v>527.384920169374</v>
      </c>
      <c r="J28" s="12" t="n">
        <f aca="false">J27-J13</f>
        <v>564.401729944506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130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131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</row>
    <row r="5" customFormat="false" ht="15" hidden="false" customHeight="true" outlineLevel="0" collapsed="false">
      <c r="B5" s="1" t="s">
        <v>132</v>
      </c>
      <c r="C5" s="19" t="n">
        <f aca="false">IFERROR('Debt Schedule'!D25/'Operating Model'!D8,0)</f>
        <v>0.00176245447249831</v>
      </c>
      <c r="D5" s="19" t="n">
        <f aca="false">IFERROR('Debt Schedule'!E25/'Operating Model'!E8,0)</f>
        <v>0</v>
      </c>
      <c r="E5" s="19" t="n">
        <f aca="false">IFERROR('Debt Schedule'!F25/'Operating Model'!F8,0)</f>
        <v>0</v>
      </c>
      <c r="F5" s="19" t="n">
        <f aca="false">IFERROR('Debt Schedule'!G25/'Operating Model'!G8,0)</f>
        <v>0</v>
      </c>
      <c r="G5" s="19" t="n">
        <f aca="false">IFERROR('Debt Schedule'!H25/'Operating Model'!H8,0)</f>
        <v>0</v>
      </c>
      <c r="H5" s="19" t="n">
        <f aca="false">IFERROR('Debt Schedule'!I25/'Operating Model'!I8,0)</f>
        <v>0</v>
      </c>
      <c r="I5" s="19" t="n">
        <f aca="false">IFERROR('Debt Schedule'!J25/'Operating Model'!J8,0)</f>
        <v>0</v>
      </c>
    </row>
    <row r="6" customFormat="false" ht="15" hidden="false" customHeight="true" outlineLevel="0" collapsed="false">
      <c r="B6" s="1" t="s">
        <v>133</v>
      </c>
      <c r="C6" s="19" t="n">
        <f aca="false">Assumptions!$E$26</f>
        <v>6.5</v>
      </c>
      <c r="D6" s="19" t="n">
        <f aca="false">Assumptions!$E$26</f>
        <v>6.5</v>
      </c>
      <c r="E6" s="19" t="n">
        <f aca="false">Assumptions!$E$26</f>
        <v>6.5</v>
      </c>
      <c r="F6" s="19" t="n">
        <f aca="false">Assumptions!$E$26</f>
        <v>6.5</v>
      </c>
      <c r="G6" s="19" t="n">
        <f aca="false">Assumptions!$E$26</f>
        <v>6.5</v>
      </c>
      <c r="H6" s="19" t="n">
        <f aca="false">Assumptions!$E$26</f>
        <v>6.5</v>
      </c>
      <c r="I6" s="19" t="n">
        <f aca="false">Assumptions!$E$26</f>
        <v>6.5</v>
      </c>
    </row>
    <row r="7" customFormat="false" ht="15" hidden="false" customHeight="true" outlineLevel="0" collapsed="false">
      <c r="B7" s="1" t="s">
        <v>134</v>
      </c>
      <c r="C7" s="19" t="n">
        <f aca="false">C6-C5</f>
        <v>6.4982375455275</v>
      </c>
      <c r="D7" s="19" t="n">
        <f aca="false">D6-D5</f>
        <v>6.5</v>
      </c>
      <c r="E7" s="19" t="n">
        <f aca="false">E6-E5</f>
        <v>6.5</v>
      </c>
      <c r="F7" s="19" t="n">
        <f aca="false">F6-F5</f>
        <v>6.5</v>
      </c>
      <c r="G7" s="19" t="n">
        <f aca="false">G6-G5</f>
        <v>6.5</v>
      </c>
      <c r="H7" s="19" t="n">
        <f aca="false">H6-H5</f>
        <v>6.5</v>
      </c>
      <c r="I7" s="19" t="n">
        <f aca="false">I6-I5</f>
        <v>6.5</v>
      </c>
    </row>
    <row r="8" customFormat="false" ht="15" hidden="false" customHeight="true" outlineLevel="0" collapsed="false">
      <c r="B8" s="1" t="s">
        <v>135</v>
      </c>
      <c r="C8" s="19" t="n">
        <f aca="false">IFERROR('Operating Model'!D8/'Debt Schedule'!D7,0)</f>
        <v>1.49471741637832</v>
      </c>
      <c r="D8" s="19" t="n">
        <f aca="false">IFERROR('Operating Model'!E8/'Debt Schedule'!E7,0)</f>
        <v>1.41358665610605</v>
      </c>
      <c r="E8" s="19" t="n">
        <f aca="false">IFERROR('Operating Model'!F8/'Debt Schedule'!F7,0)</f>
        <v>1.32742937779699</v>
      </c>
      <c r="F8" s="19" t="n">
        <f aca="false">IFERROR('Operating Model'!G8/'Debt Schedule'!G7,0)</f>
        <v>1.23658391337017</v>
      </c>
      <c r="G8" s="19" t="n">
        <f aca="false">IFERROR('Operating Model'!H8/'Debt Schedule'!H7,0)</f>
        <v>1.14295616610618</v>
      </c>
      <c r="H8" s="19" t="n">
        <f aca="false">IFERROR('Operating Model'!I8/'Debt Schedule'!I7,0)</f>
        <v>1.04721919385202</v>
      </c>
      <c r="I8" s="19" t="n">
        <f aca="false">IFERROR('Operating Model'!J8/'Debt Schedule'!J7,0)</f>
        <v>0.950373824550174</v>
      </c>
    </row>
    <row r="9" customFormat="false" ht="15" hidden="false" customHeight="true" outlineLevel="0" collapsed="false">
      <c r="B9" s="1" t="s">
        <v>136</v>
      </c>
      <c r="C9" s="19" t="n">
        <f aca="false">Assumptions!$E$27</f>
        <v>1.5</v>
      </c>
      <c r="D9" s="19" t="n">
        <f aca="false">Assumptions!$E$27</f>
        <v>1.5</v>
      </c>
      <c r="E9" s="19" t="n">
        <f aca="false">Assumptions!$E$27</f>
        <v>1.5</v>
      </c>
      <c r="F9" s="19" t="n">
        <f aca="false">Assumptions!$E$27</f>
        <v>1.5</v>
      </c>
      <c r="G9" s="19" t="n">
        <f aca="false">Assumptions!$E$27</f>
        <v>1.5</v>
      </c>
      <c r="H9" s="19" t="n">
        <f aca="false">Assumptions!$E$27</f>
        <v>1.5</v>
      </c>
      <c r="I9" s="19" t="n">
        <f aca="false">Assumptions!$E$27</f>
        <v>1.5</v>
      </c>
    </row>
    <row r="10" customFormat="false" ht="15" hidden="false" customHeight="true" outlineLevel="0" collapsed="false">
      <c r="B10" s="1" t="s">
        <v>137</v>
      </c>
      <c r="C10" s="19" t="n">
        <f aca="false">C8-C9</f>
        <v>-0.0052825836216841</v>
      </c>
      <c r="D10" s="19" t="n">
        <f aca="false">D8-D9</f>
        <v>-0.0864133438939456</v>
      </c>
      <c r="E10" s="19" t="n">
        <f aca="false">E8-E9</f>
        <v>-0.172570622203007</v>
      </c>
      <c r="F10" s="19" t="n">
        <f aca="false">F8-F9</f>
        <v>-0.263416086629834</v>
      </c>
      <c r="G10" s="19" t="n">
        <f aca="false">G8-G9</f>
        <v>-0.357043833893822</v>
      </c>
      <c r="H10" s="19" t="n">
        <f aca="false">H8-H9</f>
        <v>-0.452780806147981</v>
      </c>
      <c r="I10" s="19" t="n">
        <f aca="false">I8-I9</f>
        <v>-0.549626175449826</v>
      </c>
    </row>
    <row r="11" customFormat="false" ht="15" hidden="false" customHeight="true" outlineLevel="0" collapsed="false">
      <c r="B11" s="1" t="s">
        <v>43</v>
      </c>
      <c r="C11" s="12" t="n">
        <f aca="false">Assumptions!$E$16</f>
        <v>25</v>
      </c>
      <c r="D11" s="12" t="n">
        <f aca="false">Assumptions!$E$16</f>
        <v>25</v>
      </c>
      <c r="E11" s="12" t="n">
        <f aca="false">Assumptions!$E$16</f>
        <v>25</v>
      </c>
      <c r="F11" s="12" t="n">
        <f aca="false">Assumptions!$E$16</f>
        <v>25</v>
      </c>
      <c r="G11" s="12" t="n">
        <f aca="false">Assumptions!$E$16</f>
        <v>25</v>
      </c>
      <c r="H11" s="12" t="n">
        <f aca="false">Assumptions!$E$16</f>
        <v>25</v>
      </c>
      <c r="I11" s="12" t="n">
        <f aca="false">Assumptions!$E$16</f>
        <v>25</v>
      </c>
    </row>
    <row r="12" customFormat="false" ht="15" hidden="false" customHeight="true" outlineLevel="0" collapsed="false">
      <c r="B12" s="1" t="s">
        <v>138</v>
      </c>
      <c r="C12" s="12" t="n">
        <f aca="false">'Debt Schedule'!D13-C11</f>
        <v>0.171300000000002</v>
      </c>
      <c r="D12" s="12" t="n">
        <f aca="false">'Debt Schedule'!E13-D11</f>
        <v>0</v>
      </c>
      <c r="E12" s="12" t="n">
        <f aca="false">'Debt Schedule'!F13-E11</f>
        <v>0</v>
      </c>
      <c r="F12" s="12" t="n">
        <f aca="false">'Debt Schedule'!G13-F11</f>
        <v>0</v>
      </c>
      <c r="G12" s="12" t="n">
        <f aca="false">'Debt Schedule'!H13-G11</f>
        <v>0</v>
      </c>
      <c r="H12" s="12" t="n">
        <f aca="false">'Debt Schedule'!I13-H11</f>
        <v>0</v>
      </c>
      <c r="I12" s="12" t="n">
        <f aca="false">'Debt Schedule'!J13-I11</f>
        <v>-8.19608610051542</v>
      </c>
    </row>
    <row r="13" customFormat="false" ht="15" hidden="false" customHeight="true" outlineLevel="0" collapsed="false">
      <c r="B13" s="1" t="s">
        <v>139</v>
      </c>
      <c r="C13" s="1" t="str">
        <f aca="false">IF(AND(C7&gt;=0,C10&gt;=0,C12&gt;=0),"PASS","BREACH")</f>
        <v>BREACH</v>
      </c>
      <c r="D13" s="1" t="str">
        <f aca="false">IF(AND(D7&gt;=0,D10&gt;=0,D12&gt;=0),"PASS","BREACH")</f>
        <v>BREACH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140</v>
      </c>
      <c r="C2" s="2"/>
      <c r="D2" s="2"/>
      <c r="E2" s="2"/>
    </row>
    <row r="4" customFormat="false" ht="15" hidden="false" customHeight="true" outlineLevel="0" collapsed="false">
      <c r="B4" s="10" t="s">
        <v>131</v>
      </c>
      <c r="C4" s="10" t="s">
        <v>141</v>
      </c>
      <c r="D4" s="10" t="s">
        <v>142</v>
      </c>
      <c r="E4" s="10" t="s">
        <v>143</v>
      </c>
    </row>
    <row r="5" customFormat="false" ht="15" hidden="false" customHeight="true" outlineLevel="0" collapsed="false">
      <c r="B5" s="1" t="s">
        <v>144</v>
      </c>
      <c r="C5" s="14" t="n">
        <f aca="false">Assumptions!E30</f>
        <v>0.1</v>
      </c>
      <c r="D5" s="1" t="s">
        <v>31</v>
      </c>
      <c r="E5" s="1" t="s">
        <v>145</v>
      </c>
    </row>
    <row r="6" customFormat="false" ht="15" hidden="false" customHeight="true" outlineLevel="0" collapsed="false">
      <c r="B6" s="1" t="s">
        <v>146</v>
      </c>
      <c r="C6" s="14" t="n">
        <f aca="false">1-C5</f>
        <v>0.9</v>
      </c>
      <c r="D6" s="1" t="s">
        <v>31</v>
      </c>
      <c r="E6" s="1" t="s">
        <v>147</v>
      </c>
    </row>
    <row r="7" customFormat="false" ht="15" hidden="false" customHeight="true" outlineLevel="0" collapsed="false">
      <c r="B7" s="1" t="s">
        <v>148</v>
      </c>
      <c r="C7" s="12" t="n">
        <f aca="false">'Sources &amp; Uses'!F8</f>
        <v>606.95</v>
      </c>
      <c r="D7" s="1" t="s">
        <v>29</v>
      </c>
      <c r="E7" s="1" t="s">
        <v>149</v>
      </c>
    </row>
    <row r="8" customFormat="false" ht="15" hidden="false" customHeight="true" outlineLevel="0" collapsed="false">
      <c r="B8" s="1" t="s">
        <v>150</v>
      </c>
      <c r="C8" s="12" t="n">
        <f aca="false">C7*(1+Assumptions!E31)^Assumptions!E29</f>
        <v>891.80867621376</v>
      </c>
      <c r="D8" s="1" t="s">
        <v>29</v>
      </c>
      <c r="E8" s="1" t="s">
        <v>151</v>
      </c>
    </row>
    <row r="9" customFormat="false" ht="15" hidden="false" customHeight="true" outlineLevel="0" collapsed="false">
      <c r="B9" s="1" t="s">
        <v>152</v>
      </c>
      <c r="C9" s="14" t="n">
        <f aca="false">Assumptions!E32</f>
        <v>0.2</v>
      </c>
      <c r="D9" s="1" t="s">
        <v>65</v>
      </c>
      <c r="E9" s="1" t="s">
        <v>153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154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0" t="s">
        <v>131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  <c r="J4" s="10" t="s">
        <v>155</v>
      </c>
    </row>
    <row r="5" customFormat="false" ht="15" hidden="false" customHeight="true" outlineLevel="0" collapsed="false">
      <c r="B5" s="1" t="s">
        <v>156</v>
      </c>
      <c r="C5" s="12" t="n">
        <f aca="false">'Operating Model'!D8</f>
        <v>97.194</v>
      </c>
      <c r="D5" s="12" t="n">
        <f aca="false">'Operating Model'!E8</f>
        <v>92.58456</v>
      </c>
      <c r="E5" s="12" t="n">
        <f aca="false">'Operating Model'!F8</f>
        <v>88.1642118</v>
      </c>
      <c r="F5" s="12" t="n">
        <f aca="false">'Operating Model'!G8</f>
        <v>83.925758388</v>
      </c>
      <c r="G5" s="12" t="n">
        <f aca="false">'Operating Model'!H8</f>
        <v>79.8622643901</v>
      </c>
      <c r="H5" s="12" t="n">
        <f aca="false">'Operating Model'!I8</f>
        <v>75.9670468495248</v>
      </c>
      <c r="I5" s="12" t="n">
        <f aca="false">'Operating Model'!J8</f>
        <v>72.233666323433</v>
      </c>
      <c r="J5" s="12" t="n">
        <f aca="false">INDEX(C5:I5,1,Assumptions!E29)</f>
        <v>79.8622643901</v>
      </c>
    </row>
    <row r="6" customFormat="false" ht="15" hidden="false" customHeight="true" outlineLevel="0" collapsed="false">
      <c r="B6" s="1" t="s">
        <v>157</v>
      </c>
      <c r="C6" s="19" t="n">
        <f aca="false">Assumptions!$E$28</f>
        <v>6.5</v>
      </c>
      <c r="D6" s="19" t="n">
        <f aca="false">Assumptions!$E$28</f>
        <v>6.5</v>
      </c>
      <c r="E6" s="19" t="n">
        <f aca="false">Assumptions!$E$28</f>
        <v>6.5</v>
      </c>
      <c r="F6" s="19" t="n">
        <f aca="false">Assumptions!$E$28</f>
        <v>6.5</v>
      </c>
      <c r="G6" s="19" t="n">
        <f aca="false">Assumptions!$E$28</f>
        <v>6.5</v>
      </c>
      <c r="H6" s="19" t="n">
        <f aca="false">Assumptions!$E$28</f>
        <v>6.5</v>
      </c>
      <c r="I6" s="19" t="n">
        <f aca="false">Assumptions!$E$28</f>
        <v>6.5</v>
      </c>
      <c r="J6" s="19" t="n">
        <f aca="false">INDEX(C6:I6,1,Assumptions!E29)</f>
        <v>6.5</v>
      </c>
    </row>
    <row r="7" customFormat="false" ht="15" hidden="false" customHeight="true" outlineLevel="0" collapsed="false">
      <c r="B7" s="1" t="s">
        <v>158</v>
      </c>
      <c r="C7" s="12" t="n">
        <f aca="false">C5*C6</f>
        <v>631.761</v>
      </c>
      <c r="D7" s="12" t="n">
        <f aca="false">D5*D6</f>
        <v>601.79964</v>
      </c>
      <c r="E7" s="12" t="n">
        <f aca="false">E5*E6</f>
        <v>573.0673767</v>
      </c>
      <c r="F7" s="12" t="n">
        <f aca="false">F5*F6</f>
        <v>545.517429522</v>
      </c>
      <c r="G7" s="12" t="n">
        <f aca="false">G5*G6</f>
        <v>519.10471853565</v>
      </c>
      <c r="H7" s="12" t="n">
        <f aca="false">H5*H6</f>
        <v>493.785804521911</v>
      </c>
      <c r="I7" s="12" t="n">
        <f aca="false">I5*I6</f>
        <v>469.518831102315</v>
      </c>
      <c r="J7" s="12" t="n">
        <f aca="false">INDEX(C7:I7,1,Assumptions!E29)</f>
        <v>519.10471853565</v>
      </c>
    </row>
    <row r="8" customFormat="false" ht="15" hidden="false" customHeight="true" outlineLevel="0" collapsed="false">
      <c r="B8" s="1" t="s">
        <v>129</v>
      </c>
      <c r="C8" s="12" t="n">
        <f aca="false">'Debt Schedule'!D28</f>
        <v>437.9048</v>
      </c>
      <c r="D8" s="12" t="n">
        <f aca="false">'Debt Schedule'!E28</f>
        <v>445.8688112</v>
      </c>
      <c r="E8" s="12" t="n">
        <f aca="false">'Debt Schedule'!F28</f>
        <v>458.1847992224</v>
      </c>
      <c r="F8" s="12" t="n">
        <f aca="false">'Debt Schedule'!G28</f>
        <v>475.206903091021</v>
      </c>
      <c r="G8" s="12" t="n">
        <f aca="false">'Debt Schedule'!H28</f>
        <v>497.894684291456</v>
      </c>
      <c r="H8" s="12" t="n">
        <f aca="false">'Debt Schedule'!I28</f>
        <v>527.384920169374</v>
      </c>
      <c r="I8" s="12" t="n">
        <f aca="false">'Debt Schedule'!J28</f>
        <v>564.401729944506</v>
      </c>
      <c r="J8" s="12" t="n">
        <f aca="false">INDEX(C8:I8,1,Assumptions!E29)</f>
        <v>497.894684291456</v>
      </c>
    </row>
    <row r="9" customFormat="false" ht="15" hidden="false" customHeight="true" outlineLevel="0" collapsed="false">
      <c r="B9" s="1" t="s">
        <v>159</v>
      </c>
      <c r="C9" s="12" t="n">
        <f aca="false">MAX(0,C7-C8)</f>
        <v>193.8562</v>
      </c>
      <c r="D9" s="12" t="n">
        <f aca="false">MAX(0,D7-D8)</f>
        <v>155.9308288</v>
      </c>
      <c r="E9" s="12" t="n">
        <f aca="false">MAX(0,E7-E8)</f>
        <v>114.8825774776</v>
      </c>
      <c r="F9" s="12" t="n">
        <f aca="false">MAX(0,F7-F8)</f>
        <v>70.310526430979</v>
      </c>
      <c r="G9" s="12" t="n">
        <f aca="false">MAX(0,G7-G8)</f>
        <v>21.2100342441936</v>
      </c>
      <c r="H9" s="12" t="n">
        <f aca="false">MAX(0,H7-H8)</f>
        <v>0</v>
      </c>
      <c r="I9" s="12" t="n">
        <f aca="false">MAX(0,I7-I8)</f>
        <v>0</v>
      </c>
      <c r="J9" s="12" t="n">
        <f aca="false">INDEX(C9:I9,1,Assumptions!E29)</f>
        <v>21.2100342441936</v>
      </c>
    </row>
    <row r="10" customFormat="false" ht="15" hidden="false" customHeight="true" outlineLevel="0" collapsed="false">
      <c r="B10" s="1" t="s">
        <v>63</v>
      </c>
      <c r="C10" s="12" t="n">
        <f aca="false">'Management Equity'!$C$7*(1+Assumptions!$E$31)^1</f>
        <v>655.506</v>
      </c>
      <c r="D10" s="12" t="n">
        <f aca="false">'Management Equity'!$C$7*(1+Assumptions!$E$31)^2</f>
        <v>707.94648</v>
      </c>
      <c r="E10" s="12" t="n">
        <f aca="false">'Management Equity'!$C$7*(1+Assumptions!$E$31)^3</f>
        <v>764.5821984</v>
      </c>
      <c r="F10" s="12" t="n">
        <f aca="false">'Management Equity'!$C$7*(1+Assumptions!$E$31)^4</f>
        <v>825.748774272</v>
      </c>
      <c r="G10" s="12" t="n">
        <f aca="false">'Management Equity'!$C$7*(1+Assumptions!$E$31)^5</f>
        <v>891.80867621376</v>
      </c>
      <c r="H10" s="12" t="n">
        <f aca="false">'Management Equity'!$C$7*(1+Assumptions!$E$31)^6</f>
        <v>963.153370310861</v>
      </c>
      <c r="I10" s="12" t="n">
        <f aca="false">'Management Equity'!$C$7*(1+Assumptions!$E$31)^7</f>
        <v>1040.20563993573</v>
      </c>
      <c r="J10" s="12" t="n">
        <f aca="false">INDEX(C10:I10,1,Assumptions!E29)</f>
        <v>891.80867621376</v>
      </c>
    </row>
    <row r="11" customFormat="false" ht="15" hidden="false" customHeight="true" outlineLevel="0" collapsed="false">
      <c r="B11" s="1" t="s">
        <v>160</v>
      </c>
      <c r="C11" s="12" t="n">
        <f aca="false">MAX(0,C9-C10)</f>
        <v>0</v>
      </c>
      <c r="D11" s="12" t="n">
        <f aca="false">MAX(0,D9-D10)</f>
        <v>0</v>
      </c>
      <c r="E11" s="12" t="n">
        <f aca="false">MAX(0,E9-E10)</f>
        <v>0</v>
      </c>
      <c r="F11" s="12" t="n">
        <f aca="false">MAX(0,F9-F10)</f>
        <v>0</v>
      </c>
      <c r="G11" s="12" t="n">
        <f aca="false">MAX(0,G9-G10)</f>
        <v>0</v>
      </c>
      <c r="H11" s="12" t="n">
        <f aca="false">MAX(0,H9-H10)</f>
        <v>0</v>
      </c>
      <c r="I11" s="12" t="n">
        <f aca="false">MAX(0,I9-I10)</f>
        <v>0</v>
      </c>
      <c r="J11" s="12" t="n">
        <f aca="false">INDEX(C11:I11,1,Assumptions!E29)</f>
        <v>0</v>
      </c>
    </row>
    <row r="12" customFormat="false" ht="15" hidden="false" customHeight="true" outlineLevel="0" collapsed="false">
      <c r="B12" s="1" t="s">
        <v>161</v>
      </c>
      <c r="C12" s="12" t="n">
        <f aca="false">MIN(C9,C9*Assumptions!$E$30+C11*Assumptions!$E$32)</f>
        <v>19.38562</v>
      </c>
      <c r="D12" s="12" t="n">
        <f aca="false">MIN(D9,D9*Assumptions!$E$30+D11*Assumptions!$E$32)</f>
        <v>15.59308288</v>
      </c>
      <c r="E12" s="12" t="n">
        <f aca="false">MIN(E9,E9*Assumptions!$E$30+E11*Assumptions!$E$32)</f>
        <v>11.48825774776</v>
      </c>
      <c r="F12" s="12" t="n">
        <f aca="false">MIN(F9,F9*Assumptions!$E$30+F11*Assumptions!$E$32)</f>
        <v>7.0310526430979</v>
      </c>
      <c r="G12" s="12" t="n">
        <f aca="false">MIN(G9,G9*Assumptions!$E$30+G11*Assumptions!$E$32)</f>
        <v>2.12100342441936</v>
      </c>
      <c r="H12" s="12" t="n">
        <f aca="false">MIN(H9,H9*Assumptions!$E$30+H11*Assumptions!$E$32)</f>
        <v>0</v>
      </c>
      <c r="I12" s="12" t="n">
        <f aca="false">MIN(I9,I9*Assumptions!$E$30+I11*Assumptions!$E$32)</f>
        <v>0</v>
      </c>
      <c r="J12" s="12" t="n">
        <f aca="false">INDEX(C12:I12,1,Assumptions!E29)</f>
        <v>2.12100342441936</v>
      </c>
    </row>
    <row r="13" customFormat="false" ht="15" hidden="false" customHeight="true" outlineLevel="0" collapsed="false">
      <c r="B13" s="1" t="s">
        <v>162</v>
      </c>
      <c r="C13" s="12" t="n">
        <f aca="false">MAX(0,C9-C12)</f>
        <v>174.47058</v>
      </c>
      <c r="D13" s="12" t="n">
        <f aca="false">MAX(0,D9-D12)</f>
        <v>140.33774592</v>
      </c>
      <c r="E13" s="12" t="n">
        <f aca="false">MAX(0,E9-E12)</f>
        <v>103.39431972984</v>
      </c>
      <c r="F13" s="12" t="n">
        <f aca="false">MAX(0,F9-F12)</f>
        <v>63.2794737878811</v>
      </c>
      <c r="G13" s="12" t="n">
        <f aca="false">MAX(0,G9-G12)</f>
        <v>19.0890308197742</v>
      </c>
      <c r="H13" s="12" t="n">
        <f aca="false">MAX(0,H9-H12)</f>
        <v>0</v>
      </c>
      <c r="I13" s="12" t="n">
        <f aca="false">MAX(0,I9-I12)</f>
        <v>0</v>
      </c>
      <c r="J13" s="12" t="n">
        <f aca="false">INDEX(C13:I13,1,Assumptions!E29)</f>
        <v>19.0890308197742</v>
      </c>
    </row>
    <row r="14" customFormat="false" ht="15" hidden="false" customHeight="true" outlineLevel="0" collapsed="false">
      <c r="B14" s="1" t="s">
        <v>163</v>
      </c>
      <c r="C14" s="19" t="n">
        <f aca="false">IFERROR(C13/'Sources &amp; Uses'!$F$8,0)</f>
        <v>0.28745461734904</v>
      </c>
      <c r="D14" s="19" t="n">
        <f aca="false">IFERROR(D13/'Sources &amp; Uses'!$F$8,0)</f>
        <v>0.231217968399374</v>
      </c>
      <c r="E14" s="19" t="n">
        <f aca="false">IFERROR(E13/'Sources &amp; Uses'!$F$8,0)</f>
        <v>0.170350637992981</v>
      </c>
      <c r="F14" s="19" t="n">
        <f aca="false">IFERROR(F13/'Sources &amp; Uses'!$F$8,0)</f>
        <v>0.104258132939914</v>
      </c>
      <c r="G14" s="19" t="n">
        <f aca="false">IFERROR(G13/'Sources &amp; Uses'!$F$8,0)</f>
        <v>0.0314507468815788</v>
      </c>
      <c r="H14" s="19" t="n">
        <f aca="false">IFERROR(H13/'Sources &amp; Uses'!$F$8,0)</f>
        <v>0</v>
      </c>
      <c r="I14" s="19" t="n">
        <f aca="false">IFERROR(I13/'Sources &amp; Uses'!$F$8,0)</f>
        <v>0</v>
      </c>
      <c r="J14" s="19" t="n">
        <f aca="false">INDEX(C14:I14,1,Assumptions!E29)</f>
        <v>0.0314507468815788</v>
      </c>
    </row>
    <row r="15" customFormat="false" ht="15" hidden="false" customHeight="true" outlineLevel="0" collapsed="false">
      <c r="B15" s="1" t="s">
        <v>164</v>
      </c>
      <c r="C15" s="17" t="n">
        <f aca="false">IFERROR((C13/'Sources &amp; Uses'!$F$8)^(1/1)-1,0)</f>
        <v>-0.71254538265096</v>
      </c>
      <c r="D15" s="17" t="n">
        <f aca="false">IFERROR((D13/'Sources &amp; Uses'!$F$8)^(1/2)-1,0)</f>
        <v>-0.519148704484044</v>
      </c>
      <c r="E15" s="17" t="n">
        <f aca="false">IFERROR((E13/'Sources &amp; Uses'!$F$8)^(1/3)-1,0)</f>
        <v>-0.445653570261503</v>
      </c>
      <c r="F15" s="17" t="n">
        <f aca="false">IFERROR((F13/'Sources &amp; Uses'!$F$8)^(1/4)-1,0)</f>
        <v>-0.431765646908607</v>
      </c>
      <c r="G15" s="17" t="n">
        <f aca="false">IFERROR((G13/'Sources &amp; Uses'!$F$8)^(1/5)-1,0)</f>
        <v>-0.499359254304971</v>
      </c>
      <c r="H15" s="17" t="n">
        <f aca="false">IFERROR((H13/'Sources &amp; Uses'!$F$8)^(1/6)-1,0)</f>
        <v>-1</v>
      </c>
      <c r="I15" s="17" t="n">
        <f aca="false">IFERROR((I13/'Sources &amp; Uses'!$F$8)^(1/7)-1,0)</f>
        <v>-1</v>
      </c>
      <c r="J15" s="17" t="n">
        <f aca="false">INDEX(C15:I15,1,Assumptions!E29)</f>
        <v>-0.499359254304971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166</v>
      </c>
      <c r="C4" s="26" t="n">
        <v>7</v>
      </c>
      <c r="D4" s="26" t="n">
        <v>8</v>
      </c>
      <c r="E4" s="26" t="n">
        <v>9</v>
      </c>
      <c r="F4" s="26" t="n">
        <v>10</v>
      </c>
      <c r="G4" s="26" t="n">
        <v>11</v>
      </c>
    </row>
    <row r="5" customFormat="false" ht="15" hidden="false" customHeight="true" outlineLevel="0" collapsed="false">
      <c r="B5" s="19" t="n">
        <v>8</v>
      </c>
      <c r="C5" s="14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-0.316281030446494</v>
      </c>
      <c r="D5" s="14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-0.218365177273556</v>
      </c>
      <c r="E5" s="14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-0.15371295413066</v>
      </c>
      <c r="F5" s="14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-0.104323752535721</v>
      </c>
      <c r="G5" s="14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-0.0639054132231879</v>
      </c>
    </row>
    <row r="6" customFormat="false" ht="15" hidden="false" customHeight="true" outlineLevel="0" collapsed="false">
      <c r="B6" s="19" t="n">
        <v>9</v>
      </c>
      <c r="C6" s="14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-0.340982842518891</v>
      </c>
      <c r="D6" s="14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-0.246604552455495</v>
      </c>
      <c r="E6" s="14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-0.184288123896711</v>
      </c>
      <c r="F6" s="14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-0.136683285220649</v>
      </c>
      <c r="G6" s="14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-0.0977252040937688</v>
      </c>
    </row>
    <row r="7" customFormat="false" ht="15" hidden="false" customHeight="true" outlineLevel="0" collapsed="false">
      <c r="B7" s="19" t="n">
        <v>10</v>
      </c>
      <c r="C7" s="14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-0.361142226815783</v>
      </c>
      <c r="D7" s="14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-0.269650975727128</v>
      </c>
      <c r="E7" s="14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-0.209240811393889</v>
      </c>
      <c r="F7" s="14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-0.163092208304971</v>
      </c>
      <c r="G7" s="14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-0.125325857802993</v>
      </c>
    </row>
    <row r="8" customFormat="false" ht="15" hidden="false" customHeight="true" outlineLevel="0" collapsed="false">
      <c r="B8" s="19" t="n">
        <v>11</v>
      </c>
      <c r="C8" s="14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-0.378088641037551</v>
      </c>
      <c r="D8" s="14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-0.289024297319668</v>
      </c>
      <c r="E8" s="14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-0.230216579901795</v>
      </c>
      <c r="F8" s="14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-0.185292119926614</v>
      </c>
      <c r="G8" s="14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-0.148527563949356</v>
      </c>
    </row>
    <row r="9" customFormat="false" ht="15" hidden="false" customHeight="true" outlineLevel="0" collapsed="false">
      <c r="B9" s="19" t="n">
        <v>12</v>
      </c>
      <c r="C9" s="14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-0.392651579836191</v>
      </c>
      <c r="D9" s="14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-0.305672804371747</v>
      </c>
      <c r="E9" s="14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-0.248242153279005</v>
      </c>
      <c r="F9" s="14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-0.2043696634146</v>
      </c>
      <c r="G9" s="14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-0.168466001793009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167</v>
      </c>
      <c r="C2" s="2"/>
    </row>
    <row r="4" customFormat="false" ht="15" hidden="false" customHeight="true" outlineLevel="0" collapsed="false">
      <c r="B4" s="10" t="s">
        <v>168</v>
      </c>
      <c r="C4" s="10" t="s">
        <v>139</v>
      </c>
    </row>
    <row r="5" customFormat="false" ht="15" hidden="false" customHeight="true" outlineLevel="0" collapsed="false">
      <c r="B5" s="1" t="s">
        <v>169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170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171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172</v>
      </c>
      <c r="C8" s="1" t="str">
        <f aca="false">IF(MIN('Debt Schedule'!D13:J13)&gt;=Assumptions!E16,"PASS","REVIEW")</f>
        <v>REVIEW</v>
      </c>
    </row>
    <row r="9" customFormat="false" ht="15" hidden="false" customHeight="true" outlineLevel="0" collapsed="false">
      <c r="B9" s="1" t="s">
        <v>173</v>
      </c>
      <c r="C9" s="1" t="str">
        <f aca="false">IF(COUNTIF(Covenants!C13:I13,"BREACH")=0,"PASS","REVIEW")</f>
        <v>REVIEW</v>
      </c>
    </row>
    <row r="10" customFormat="false" ht="15" hidden="false" customHeight="true" outlineLevel="0" collapsed="false">
      <c r="B10" s="1" t="s">
        <v>174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175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176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177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178</v>
      </c>
      <c r="C2" s="2"/>
      <c r="D2" s="2"/>
      <c r="E2" s="2"/>
    </row>
    <row r="4" customFormat="false" ht="15" hidden="false" customHeight="true" outlineLevel="0" collapsed="false">
      <c r="B4" s="10" t="s">
        <v>179</v>
      </c>
      <c r="C4" s="10" t="s">
        <v>180</v>
      </c>
      <c r="D4" s="10" t="s">
        <v>181</v>
      </c>
      <c r="E4" s="10" t="s">
        <v>182</v>
      </c>
    </row>
    <row r="5" customFormat="false" ht="15" hidden="false" customHeight="true" outlineLevel="0" collapsed="false">
      <c r="B5" s="27" t="s">
        <v>183</v>
      </c>
      <c r="C5" s="27" t="s">
        <v>184</v>
      </c>
      <c r="D5" s="27" t="s">
        <v>185</v>
      </c>
      <c r="E5" s="27" t="s">
        <v>186</v>
      </c>
    </row>
    <row r="6" customFormat="false" ht="15" hidden="false" customHeight="true" outlineLevel="0" collapsed="false">
      <c r="B6" s="27" t="s">
        <v>187</v>
      </c>
      <c r="C6" s="27" t="s">
        <v>188</v>
      </c>
      <c r="D6" s="27" t="s">
        <v>6</v>
      </c>
      <c r="E6" s="27" t="s">
        <v>189</v>
      </c>
    </row>
    <row r="7" customFormat="false" ht="15" hidden="false" customHeight="true" outlineLevel="0" collapsed="false">
      <c r="B7" s="27" t="s">
        <v>190</v>
      </c>
      <c r="C7" s="27" t="s">
        <v>191</v>
      </c>
      <c r="D7" s="27" t="s">
        <v>6</v>
      </c>
      <c r="E7" s="27" t="s">
        <v>192</v>
      </c>
    </row>
    <row r="8" customFormat="false" ht="15" hidden="false" customHeight="true" outlineLevel="0" collapsed="false">
      <c r="B8" s="27" t="s">
        <v>193</v>
      </c>
      <c r="C8" s="27" t="s">
        <v>194</v>
      </c>
      <c r="D8" s="27" t="s">
        <v>6</v>
      </c>
      <c r="E8" s="27" t="s">
        <v>195</v>
      </c>
    </row>
    <row r="9" customFormat="false" ht="15" hidden="false" customHeight="true" outlineLevel="0" collapsed="false">
      <c r="B9" s="27" t="s">
        <v>196</v>
      </c>
      <c r="C9" s="27" t="s">
        <v>197</v>
      </c>
      <c r="D9" s="27" t="s">
        <v>6</v>
      </c>
      <c r="E9" s="27" t="s">
        <v>198</v>
      </c>
    </row>
    <row r="10" customFormat="false" ht="15" hidden="false" customHeight="false" outlineLevel="0" collapsed="false">
      <c r="B10" s="28" t="s">
        <v>199</v>
      </c>
      <c r="C10" s="28" t="s">
        <v>200</v>
      </c>
      <c r="D10" s="28" t="s">
        <v>8</v>
      </c>
      <c r="E10" s="28" t="s">
        <v>201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203</v>
      </c>
      <c r="C4" s="10" t="s">
        <v>204</v>
      </c>
      <c r="D4" s="10" t="s">
        <v>205</v>
      </c>
      <c r="E4" s="10" t="s">
        <v>206</v>
      </c>
      <c r="F4" s="10" t="s">
        <v>207</v>
      </c>
      <c r="G4" s="10" t="s">
        <v>208</v>
      </c>
    </row>
    <row r="5" customFormat="false" ht="15" hidden="false" customHeight="true" outlineLevel="0" collapsed="false">
      <c r="B5" s="29" t="s">
        <v>8</v>
      </c>
      <c r="C5" s="29" t="s">
        <v>209</v>
      </c>
      <c r="D5" s="29" t="s">
        <v>200</v>
      </c>
      <c r="E5" s="29" t="s">
        <v>210</v>
      </c>
      <c r="F5" s="29" t="s">
        <v>211</v>
      </c>
      <c r="G5" s="29" t="s">
        <v>212</v>
      </c>
    </row>
    <row r="6" customFormat="false" ht="15" hidden="false" customHeight="true" outlineLevel="0" collapsed="false">
      <c r="B6" s="29"/>
      <c r="C6" s="29"/>
      <c r="D6" s="29"/>
      <c r="E6" s="29"/>
      <c r="F6" s="29"/>
      <c r="G6" s="29"/>
    </row>
    <row r="7" customFormat="false" ht="15" hidden="false" customHeight="true" outlineLevel="0" collapsed="false">
      <c r="B7" s="29"/>
      <c r="C7" s="29"/>
      <c r="D7" s="29"/>
      <c r="E7" s="29"/>
      <c r="F7" s="29"/>
      <c r="G7" s="29"/>
    </row>
    <row r="8" customFormat="false" ht="15" hidden="false" customHeight="true" outlineLevel="0" collapsed="false"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B9" s="29"/>
      <c r="C9" s="29"/>
      <c r="D9" s="29"/>
      <c r="E9" s="29"/>
      <c r="F9" s="29"/>
      <c r="G9" s="29"/>
    </row>
    <row r="10" customFormat="false" ht="15" hidden="false" customHeight="true" outlineLevel="0" collapsed="false">
      <c r="B10" s="29"/>
      <c r="C10" s="29"/>
      <c r="D10" s="29"/>
      <c r="E10" s="29"/>
      <c r="F10" s="29"/>
      <c r="G10" s="29"/>
    </row>
    <row r="11" customFormat="false" ht="15" hidden="false" customHeight="true" outlineLevel="0" collapsed="false">
      <c r="B11" s="29"/>
      <c r="C11" s="29"/>
      <c r="D11" s="29"/>
      <c r="E11" s="29"/>
      <c r="F11" s="29"/>
      <c r="G11" s="29"/>
    </row>
    <row r="12" customFormat="false" ht="15" hidden="false" customHeight="true" outlineLevel="0" collapsed="false">
      <c r="B12" s="29"/>
      <c r="C12" s="29"/>
      <c r="D12" s="29"/>
      <c r="E12" s="29"/>
      <c r="F12" s="29"/>
      <c r="G12" s="29"/>
    </row>
    <row r="13" customFormat="false" ht="15" hidden="false" customHeight="true" outlineLevel="0" collapsed="false">
      <c r="B13" s="29"/>
      <c r="C13" s="29"/>
      <c r="D13" s="29"/>
      <c r="E13" s="29"/>
      <c r="F13" s="29"/>
      <c r="G13" s="29"/>
    </row>
    <row r="14" customFormat="false" ht="15" hidden="false" customHeight="true" outlineLevel="0" collapsed="false">
      <c r="B14" s="29"/>
      <c r="C14" s="29"/>
      <c r="D14" s="29"/>
      <c r="E14" s="29"/>
      <c r="F14" s="29"/>
      <c r="G14" s="29"/>
    </row>
    <row r="15" customFormat="false" ht="15" hidden="false" customHeight="true" outlineLevel="0" collapsed="false">
      <c r="B15" s="29"/>
      <c r="C15" s="29"/>
      <c r="D15" s="29"/>
      <c r="E15" s="29"/>
      <c r="F15" s="29"/>
      <c r="G15" s="29"/>
    </row>
    <row r="16" customFormat="false" ht="15" hidden="false" customHeight="true" outlineLevel="0" collapsed="false">
      <c r="B16" s="29"/>
      <c r="C16" s="29"/>
      <c r="D16" s="29"/>
      <c r="E16" s="29"/>
      <c r="F16" s="29"/>
      <c r="G16" s="29"/>
    </row>
    <row r="17" customFormat="false" ht="15" hidden="false" customHeight="true" outlineLevel="0" collapsed="false">
      <c r="B17" s="29"/>
      <c r="C17" s="29"/>
      <c r="D17" s="29"/>
      <c r="E17" s="29"/>
      <c r="F17" s="29"/>
      <c r="G17" s="29"/>
    </row>
    <row r="18" customFormat="false" ht="15" hidden="false" customHeight="true" outlineLevel="0" collapsed="false">
      <c r="B18" s="29"/>
      <c r="C18" s="29"/>
      <c r="D18" s="29"/>
      <c r="E18" s="29"/>
      <c r="F18" s="29"/>
      <c r="G18" s="29"/>
    </row>
    <row r="19" customFormat="false" ht="15" hidden="false" customHeight="true" outlineLevel="0" collapsed="false">
      <c r="B19" s="29"/>
      <c r="C19" s="29"/>
      <c r="D19" s="29"/>
      <c r="E19" s="29"/>
      <c r="F19" s="29"/>
      <c r="G19" s="29"/>
    </row>
    <row r="20" customFormat="false" ht="15" hidden="false" customHeight="true" outlineLevel="0" collapsed="false">
      <c r="B20" s="29"/>
      <c r="C20" s="29"/>
      <c r="D20" s="29"/>
      <c r="E20" s="29"/>
      <c r="F20" s="29"/>
      <c r="G20" s="29"/>
    </row>
    <row r="21" customFormat="false" ht="15" hidden="false" customHeight="true" outlineLevel="0" collapsed="false">
      <c r="B21" s="29"/>
      <c r="C21" s="29"/>
      <c r="D21" s="29"/>
      <c r="E21" s="29"/>
      <c r="F21" s="29"/>
      <c r="G21" s="29"/>
    </row>
    <row r="22" customFormat="false" ht="15" hidden="false" customHeight="true" outlineLevel="0" collapsed="false">
      <c r="B22" s="29"/>
      <c r="C22" s="29"/>
      <c r="D22" s="29"/>
      <c r="E22" s="29"/>
      <c r="F22" s="29"/>
      <c r="G22" s="29"/>
    </row>
    <row r="23" customFormat="false" ht="15" hidden="false" customHeight="true" outlineLevel="0" collapsed="false">
      <c r="B23" s="29"/>
      <c r="C23" s="29"/>
      <c r="D23" s="29"/>
      <c r="E23" s="29"/>
      <c r="F23" s="29"/>
      <c r="G23" s="29"/>
    </row>
    <row r="24" customFormat="false" ht="15" hidden="false" customHeight="true" outlineLevel="0" collapsed="false">
      <c r="B24" s="29"/>
      <c r="C24" s="29"/>
      <c r="D24" s="29"/>
      <c r="E24" s="29"/>
      <c r="F24" s="29"/>
      <c r="G24" s="29"/>
    </row>
    <row r="25" customFormat="false" ht="15" hidden="false" customHeight="true" outlineLevel="0" collapsed="false">
      <c r="B25" s="29"/>
      <c r="C25" s="29"/>
      <c r="D25" s="29"/>
      <c r="E25" s="29"/>
      <c r="F25" s="29"/>
      <c r="G25" s="29"/>
    </row>
    <row r="26" customFormat="false" ht="15" hidden="false" customHeight="true" outlineLevel="0" collapsed="false">
      <c r="B26" s="29"/>
      <c r="C26" s="29"/>
      <c r="D26" s="29"/>
      <c r="E26" s="29"/>
      <c r="F26" s="29"/>
      <c r="G26" s="29"/>
    </row>
    <row r="27" customFormat="false" ht="15" hidden="false" customHeight="true" outlineLevel="0" collapsed="false">
      <c r="B27" s="29"/>
      <c r="C27" s="29"/>
      <c r="D27" s="29"/>
      <c r="E27" s="29"/>
      <c r="F27" s="29"/>
      <c r="G27" s="29"/>
    </row>
    <row r="28" customFormat="false" ht="15" hidden="false" customHeight="true" outlineLevel="0" collapsed="false">
      <c r="B28" s="29"/>
      <c r="C28" s="29"/>
      <c r="D28" s="29"/>
      <c r="E28" s="29"/>
      <c r="F28" s="29"/>
      <c r="G28" s="29"/>
    </row>
    <row r="29" customFormat="false" ht="15" hidden="false" customHeight="true" outlineLevel="0" collapsed="false">
      <c r="B29" s="29"/>
      <c r="C29" s="29"/>
      <c r="D29" s="29"/>
      <c r="E29" s="29"/>
      <c r="F29" s="29"/>
      <c r="G29" s="29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2026-08-04T02:36:02Z</dcterms:created>
  <dc:creator>openpyxl</dc:creator>
  <dc:description/>
  <dc:language>en-US</dc:language>
  <cp:lastModifiedBy/>
  <dcterms:modified xsi:type="dcterms:W3CDTF">2026-08-04T02:36:49Z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