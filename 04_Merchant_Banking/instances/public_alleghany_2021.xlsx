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<sst xmlns="http://schemas.openxmlformats.org/spreadsheetml/2006/main" count="453" uniqueCount="315">
  <si>
    <t xml:space="preserve">[TARGET] — LBO Underwriting Model</t>
  </si>
  <si>
    <t xml:space="preserve">Target / transaction:</t>
  </si>
  <si>
    <t xml:space="preserve">Alleghany Corporation -- pre-acquisition principal case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</si>
  <si>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</si>
  <si>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</si>
  <si>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</si>
  <si>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</si>
  <si>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</si>
  <si>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2022-02-24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</si>
  <si>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</si>
  <si>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</si>
  <si>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</si>
  <si>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</si>
  <si>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</si>
  <si>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</si>
  <si>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</si>
  <si>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</si>
  <si>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</si>
  <si>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</si>
  <si>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</si>
  <si>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</si>
  <si>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</si>
  <si>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</si>
  <si>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Merchant Banking — Institutional Decision Surface</t>
  </si>
  <si>
    <t xml:space="preserve">Model ID</t>
  </si>
  <si>
    <t xml:space="preserve">04</t>
  </si>
  <si>
    <t xml:space="preserve">Domain</t>
  </si>
  <si>
    <t xml:space="preserve">Merchant Banking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</si>
  <si>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</si>
  <si>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</si>
  <si>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</si>
  <si>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</si>
  <si>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</si>
  <si>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principal investing committee, client coverage, financing partners and risk committee</t>
  </si>
  <si>
    <t xml:space="preserve">Committee artifact</t>
  </si>
  <si>
    <t xml:space="preserve">principal-and-advisory conflicts pack</t>
  </si>
  <si>
    <t xml:space="preserve">Operating cadence</t>
  </si>
  <si>
    <t xml:space="preserve">daily live transactions; weekly risk; monthly portfolio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</si>
  <si>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</si>
  <si>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</si>
  <si>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</si>
  <si>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</si>
  <si>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</si>
  <si>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</si>
  <si>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risk-adjusted principal return</t>
  </si>
  <si>
    <t xml:space="preserve">OPEN</t>
  </si>
  <si>
    <t xml:space="preserve">client economics and fee offsets</t>
  </si>
  <si>
    <t xml:space="preserve">holdco / opco value and leakage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</si>
  <si>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</si>
  <si>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</si>
  <si>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</si>
  <si>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owns the paper if distribution fails?</t>
  </si>
  <si>
    <t xml:space="preserve">Which economics are contractual versus relationship assumptions?</t>
  </si>
  <si>
    <t xml:space="preserve">Where can holdco cash be trapped?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</si>
  <si>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</si>
  <si>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</si>
  <si>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</si>
  <si>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client loss / failed process</t>
  </si>
  <si>
    <t xml:space="preserve">underwriting take-down</t>
  </si>
  <si>
    <t xml:space="preserve">holdco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</si>
  <si>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</si>
  <si>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</si>
  <si>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</si>
  <si>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engagement letters</t>
  </si>
  <si>
    <t xml:space="preserve">conflicts memorandum</t>
  </si>
  <si>
    <t xml:space="preserve">financing and syndication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</si>
  <si>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</si>
  <si>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</si>
  <si>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</si>
  <si>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principal and advisory cash flows separated</t>
  </si>
  <si>
    <t xml:space="preserve">fees not double-counted in returns</t>
  </si>
  <si>
    <t xml:space="preserve">legal-entity exposure reconciles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</si>
  <si>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</si>
  <si>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</si>
  <si>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</si>
  <si>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advisory fees as guaranteed</t>
  </si>
  <si>
    <t xml:space="preserve">ignoring residual underwriting inventory</t>
  </si>
  <si>
    <t xml:space="preserve">failing to allocate shared expenses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</si>
  <si>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</si>
  <si>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</si>
  <si>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</si>
  <si>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</si>
  <si>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</si>
  <si>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</si>
  <si>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</si>
  <si>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</si>
  <si>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</si>
  <si>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</si>
  <si>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</si>
  <si>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</si>
  <si>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</si>
  <si>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</si>
  <si>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</si>
  <si>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</si>
  <si>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</si>
  <si>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</si>
  <si>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</si>
  <si>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</si>
  <si>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</si>
  <si>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</si>
  <si>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</si>
  <si>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</si>
  <si>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</si>
  <si>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</si>
  <si>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</si>
  <si>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</si>
  <si>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</si>
  <si>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</si>
  <si>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</si>
  <si>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client pipeline</t>
  </si>
  <si>
    <t xml:space="preserve">weekly</t>
  </si>
  <si>
    <t xml:space="preserve">engagement status and probability</t>
  </si>
  <si>
    <t xml:space="preserve">TO MAP</t>
  </si>
  <si>
    <t xml:space="preserve">principal exposure</t>
  </si>
  <si>
    <t xml:space="preserve">daily/weekly</t>
  </si>
  <si>
    <t xml:space="preserve">legal-entity and concentration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</si>
  <si>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</si>
  <si>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</si>
  <si>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</si>
  <si>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</si>
  <si>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</si>
  <si>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</si>
  <si>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</si>
  <si>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</si>
  <si>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</si>
  <si>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</si>
  <si>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</si>
  <si>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</si>
  <si>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</si>
  <si>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</si>
  <si>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</si>
  <si>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</si>
  <si>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</si>
  <si>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</si>
  <si>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</si>
  <si>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</si>
  <si>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</si>
  <si>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</si>
  <si>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</si>
  <si>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</si>
  <si>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</si>
  <si>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</si>
  <si>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</si>
  <si>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</si>
  <si>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</si>
  <si>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</si>
  <si>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</si>
  <si>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</si>
  <si>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</si>
  <si>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</si>
  <si>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</si>
  <si>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</si>
  <si>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</si>
  <si>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</si>
  <si>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</si>
  <si>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</si>
  <si>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</si>
  <si>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</si>
  <si>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</si>
  <si>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</si>
  <si>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</si>
  <si>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</si>
  <si>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</si>
  <si>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</si>
  <si>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</si>
  <si>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Revolver commitment fee (undrawn balance)</t>
  </si>
  <si>
    <t xml:space="preserve">% p.a.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</si>
  <si>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</si>
  <si>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</si>
  <si>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</si>
  <si>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</si>
  <si>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</si>
  <si>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</si>
  <si>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</si>
  <si>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</si>
  <si>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</si>
  <si>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</si>
  <si>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</si>
  <si>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</si>
  <si>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</si>
  <si>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</si>
  <si>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</si>
  <si>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</si>
  <si>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</si>
  <si>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</si>
  <si>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</si>
  <si>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</si>
  <si>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</si>
  <si>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</si>
  <si>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</si>
  <si>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</si>
  <si>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</si>
  <si>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</si>
  <si>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</si>
  <si>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</si>
  <si>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</si>
  <si>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</si>
  <si>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</si>
  <si>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</si>
  <si>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</si>
  <si>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</si>
  <si>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</si>
  <si>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</si>
  <si>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</si>
  <si>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</si>
  <si>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</si>
  <si>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</si>
  <si>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</si>
  <si>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</si>
  <si>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</si>
  <si>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</si>
  <si>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</si>
  <si>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</si>
  <si>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</si>
  <si>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</si>
  <si>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</si>
  <si>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</si>
  <si>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</si>
  <si>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</si>
  <si>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</si>
  <si>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</si>
  <si>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</si>
  <si>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</si>
  <si>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</si>
  <si>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</si>
  <si>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</si>
  <si>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</si>
  <si>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</si>
  <si>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</si>
  <si>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</si>
  <si>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</si>
  <si>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</si>
  <si>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</si>
  <si>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</si>
  <si>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</si>
  <si>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</si>
  <si>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</si>
  <si>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</si>
  <si>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</si>
  <si>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</si>
  <si>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</si>
  <si>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</si>
  <si>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</si>
  <si>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</si>
  <si>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</si>
  <si>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</si>
  <si>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</si>
  <si>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</si>
  <si>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</si>
  <si>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</si>
  <si>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</si>
  <si>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</si>
  <si>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</si>
  <si>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</si>
  <si>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</si>
  <si>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</si>
  <si>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</si>
  <si>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</si>
  <si>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</si>
  <si>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</si>
  <si>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</si>
  <si>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</si>
  <si>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</si>
  <si>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</si>
  <si>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</si>
  <si>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</si>
  <si>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</si>
  <si>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</si>
  <si>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</si>
  <si>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</si>
  <si>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</si>
  <si>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</si>
  <si>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</si>
  <si>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</si>
  <si>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</si>
  <si>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</si>
  <si>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</si>
  <si>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</si>
  <si>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</si>
  <si>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</si>
  <si>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</si>
  <si>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</si>
  <si>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</si>
  <si>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</si>
  <si>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</si>
  <si>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</si>
  <si>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</si>
  <si>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</si>
  <si>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</si>
  <si>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</si>
  <si>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</si>
  <si>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</si>
  <si>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</si>
  <si>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</si>
  <si>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</si>
  <si>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</si>
  <si>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</si>
  <si>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</si>
  <si>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Alleghany 2021 Form 10-K</t>
  </si>
  <si>
    <t xml:space="preserve">https://www.sec.gov/Archives/edgar/data/775368/000077536822000010/y-20211231.htm</t>
  </si>
  <si>
    <t xml:space="preserve">U.S. SEC; frozen curated observation as of case date</t>
  </si>
  <si>
    <t xml:space="preserve">Frozen source snapshot</t>
  </si>
  <si>
    <t xml:space="preserve">repo://04_Merchant_Banking/sources/snapshots/merchant-alleghany-2021.json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</si>
  <si>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</si>
  <si>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</si>
  <si>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</si>
  <si>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</si>
  <si>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</si>
  <si>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</si>
  <si>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</si>
  <si>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</si>
  <si>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</si>
  <si>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merchant-alleghany-2021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</si>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</sst>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4" t="s">
        <v>6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4" t="s">
        <v>13</v>
      </c>
    </row>
    <row r="13" customFormat="false" ht="15" hidden="false" customHeight="false" outlineLevel="0" collapsed="false">
      <c r="B13" s="5" t="s">
        <v>14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15</v>
      </c>
      <c r="C14" s="7" t="s">
        <v>16</v>
      </c>
    </row>
    <row r="15" customFormat="false" ht="15" hidden="false" customHeight="false" outlineLevel="0" collapsed="false">
      <c r="B15" s="2" t="s">
        <v>17</v>
      </c>
      <c r="C15" s="7" t="s">
        <v>18</v>
      </c>
    </row>
    <row r="16" customFormat="false" ht="15" hidden="false" customHeight="false" outlineLevel="0" collapsed="false">
      <c r="B16" s="8" t="s">
        <v>19</v>
      </c>
      <c r="C16" s="7" t="s">
        <v>20</v>
      </c>
    </row>
    <row r="17" customFormat="false" ht="15" hidden="false" customHeight="false" outlineLevel="0" collapsed="false">
      <c r="B17" s="2" t="s">
        <v>21</v>
      </c>
      <c r="C17" s="7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23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24</v>
      </c>
      <c r="C4" s="11" t="s">
        <v>25</v>
      </c>
      <c r="D4" s="11"/>
      <c r="E4" s="11"/>
      <c r="F4" s="11"/>
    </row>
    <row r="5" customFormat="false" ht="15" hidden="false" customHeight="true" outlineLevel="0" collapsed="false">
      <c r="B5" s="10" t="s">
        <v>26</v>
      </c>
      <c r="C5" s="11" t="s">
        <v>27</v>
      </c>
      <c r="D5" s="11"/>
      <c r="E5" s="11"/>
      <c r="F5" s="11"/>
    </row>
    <row r="6" customFormat="false" ht="15" hidden="false" customHeight="true" outlineLevel="0" collapsed="false">
      <c r="B6" s="10" t="s">
        <v>28</v>
      </c>
      <c r="C6" s="11" t="s">
        <v>29</v>
      </c>
      <c r="D6" s="11"/>
      <c r="E6" s="11"/>
      <c r="F6" s="11"/>
    </row>
    <row r="7" customFormat="false" ht="15" hidden="false" customHeight="true" outlineLevel="0" collapsed="false">
      <c r="B7" s="10" t="s">
        <v>30</v>
      </c>
      <c r="C7" s="11" t="s">
        <v>31</v>
      </c>
      <c r="D7" s="11"/>
      <c r="E7" s="11"/>
      <c r="F7" s="11"/>
    </row>
    <row r="8" customFormat="false" ht="15" hidden="false" customHeight="true" outlineLevel="0" collapsed="false">
      <c r="B8" s="10" t="s">
        <v>32</v>
      </c>
      <c r="C8" s="11" t="s">
        <v>33</v>
      </c>
      <c r="D8" s="11"/>
      <c r="E8" s="11"/>
      <c r="F8" s="11"/>
    </row>
    <row r="9" customFormat="false" ht="15" hidden="false" customHeight="true" outlineLevel="0" collapsed="false">
      <c r="B9" s="10" t="s">
        <v>34</v>
      </c>
      <c r="C9" s="11" t="s">
        <v>35</v>
      </c>
      <c r="D9" s="11"/>
      <c r="E9" s="11"/>
      <c r="F9" s="11"/>
    </row>
    <row r="10" customFormat="false" ht="15" hidden="false" customHeight="true" outlineLevel="0" collapsed="false">
      <c r="B10" s="10" t="s">
        <v>36</v>
      </c>
      <c r="C10" s="11" t="s">
        <v>37</v>
      </c>
      <c r="D10" s="11"/>
      <c r="E10" s="11"/>
      <c r="F10" s="11"/>
    </row>
    <row r="12" customFormat="false" ht="15" hidden="false" customHeight="false" outlineLevel="0" collapsed="false">
      <c r="B12" s="12" t="s">
        <v>38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39</v>
      </c>
      <c r="C13" s="13" t="s">
        <v>40</v>
      </c>
      <c r="D13" s="13" t="s">
        <v>41</v>
      </c>
      <c r="E13" s="13" t="s">
        <v>42</v>
      </c>
      <c r="F13" s="13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4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4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4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4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4" t="s">
        <v>45</v>
      </c>
    </row>
    <row r="20" customFormat="false" ht="15" hidden="false" customHeight="false" outlineLevel="0" collapsed="false">
      <c r="B20" s="12" t="s">
        <v>50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39</v>
      </c>
      <c r="C21" s="13" t="s">
        <v>40</v>
      </c>
      <c r="D21" s="13" t="s">
        <v>41</v>
      </c>
      <c r="E21" s="13" t="s">
        <v>42</v>
      </c>
      <c r="F21" s="13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4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4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4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4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4" t="s">
        <v>45</v>
      </c>
    </row>
    <row r="28" customFormat="false" ht="15" hidden="false" customHeight="false" outlineLevel="0" collapsed="false">
      <c r="B28" s="12" t="s">
        <v>56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39</v>
      </c>
      <c r="C29" s="13" t="s">
        <v>40</v>
      </c>
      <c r="D29" s="13" t="s">
        <v>41</v>
      </c>
      <c r="E29" s="13" t="s">
        <v>42</v>
      </c>
      <c r="F29" s="13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4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4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4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4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4" t="s">
        <v>45</v>
      </c>
    </row>
    <row r="36" customFormat="false" ht="15" hidden="false" customHeight="false" outlineLevel="0" collapsed="false">
      <c r="B36" s="12" t="s">
        <v>62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39</v>
      </c>
      <c r="C37" s="13" t="s">
        <v>40</v>
      </c>
      <c r="D37" s="13" t="s">
        <v>41</v>
      </c>
      <c r="E37" s="13" t="s">
        <v>42</v>
      </c>
      <c r="F37" s="13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4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4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4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4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4" t="s">
        <v>45</v>
      </c>
    </row>
    <row r="44" customFormat="false" ht="15" hidden="false" customHeight="false" outlineLevel="0" collapsed="false">
      <c r="B44" s="12" t="s">
        <v>68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39</v>
      </c>
      <c r="C45" s="13" t="s">
        <v>40</v>
      </c>
      <c r="D45" s="13" t="s">
        <v>41</v>
      </c>
      <c r="E45" s="13" t="s">
        <v>42</v>
      </c>
      <c r="F45" s="13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4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4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4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4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4" t="s">
        <v>45</v>
      </c>
    </row>
    <row r="52" customFormat="false" ht="15" hidden="false" customHeight="false" outlineLevel="0" collapsed="false">
      <c r="B52" s="12" t="s">
        <v>74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39</v>
      </c>
      <c r="C53" s="13" t="s">
        <v>40</v>
      </c>
      <c r="D53" s="13" t="s">
        <v>41</v>
      </c>
      <c r="E53" s="13" t="s">
        <v>42</v>
      </c>
      <c r="F53" s="13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4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4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4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4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4" t="s">
        <v>45</v>
      </c>
    </row>
    <row r="60" customFormat="false" ht="15" hidden="false" customHeight="false" outlineLevel="0" collapsed="false">
      <c r="B60" s="12" t="s">
        <v>80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81</v>
      </c>
      <c r="C61" s="13" t="s">
        <v>82</v>
      </c>
      <c r="D61" s="13" t="s">
        <v>83</v>
      </c>
      <c r="E61" s="13" t="s">
        <v>84</v>
      </c>
      <c r="F61" s="13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93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94</v>
      </c>
      <c r="C4" s="13" t="s">
        <v>95</v>
      </c>
      <c r="D4" s="13" t="s">
        <v>96</v>
      </c>
      <c r="E4" s="13" t="s">
        <v>97</v>
      </c>
      <c r="F4" s="13" t="s">
        <v>98</v>
      </c>
      <c r="G4" s="13" t="s">
        <v>99</v>
      </c>
      <c r="H4" s="13" t="s">
        <v>43</v>
      </c>
      <c r="I4" s="13" t="s">
        <v>100</v>
      </c>
    </row>
    <row r="5" customFormat="false" ht="15" hidden="false" customHeight="false" outlineLevel="0" collapsed="false">
      <c r="D5" s="0" t="s">
        <v>69</v>
      </c>
      <c r="H5" s="14" t="s">
        <v>45</v>
      </c>
    </row>
    <row r="6" customFormat="false" ht="15" hidden="false" customHeight="false" outlineLevel="0" collapsed="false">
      <c r="D6" s="0" t="s">
        <v>70</v>
      </c>
      <c r="H6" s="14" t="s">
        <v>45</v>
      </c>
    </row>
    <row r="7" customFormat="false" ht="15" hidden="false" customHeight="false" outlineLevel="0" collapsed="false">
      <c r="D7" s="0" t="s">
        <v>71</v>
      </c>
      <c r="H7" s="14" t="s">
        <v>45</v>
      </c>
    </row>
    <row r="8" customFormat="false" ht="15" hidden="false" customHeight="false" outlineLevel="0" collapsed="false">
      <c r="D8" s="0" t="s">
        <v>72</v>
      </c>
      <c r="H8" s="14" t="s">
        <v>45</v>
      </c>
    </row>
    <row r="9" customFormat="false" ht="15" hidden="false" customHeight="false" outlineLevel="0" collapsed="false">
      <c r="D9" s="0" t="s">
        <v>73</v>
      </c>
      <c r="H9" s="14" t="s">
        <v>45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101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102</v>
      </c>
      <c r="C4" s="13" t="s">
        <v>103</v>
      </c>
      <c r="D4" s="13" t="s">
        <v>104</v>
      </c>
      <c r="E4" s="13" t="s">
        <v>105</v>
      </c>
      <c r="F4" s="13" t="s">
        <v>106</v>
      </c>
      <c r="G4" s="13" t="s">
        <v>41</v>
      </c>
      <c r="H4" s="13" t="s">
        <v>107</v>
      </c>
      <c r="I4" s="13" t="s">
        <v>108</v>
      </c>
      <c r="J4" s="13" t="s">
        <v>43</v>
      </c>
    </row>
    <row r="5" customFormat="false" ht="15" hidden="false" customHeight="false" outlineLevel="0" collapsed="false">
      <c r="B5" s="0" t="s">
        <v>109</v>
      </c>
      <c r="C5" s="0" t="s">
        <v>110</v>
      </c>
      <c r="D5" s="0" t="s">
        <v>111</v>
      </c>
      <c r="J5" s="14" t="s">
        <v>112</v>
      </c>
    </row>
    <row r="6" customFormat="false" ht="15" hidden="false" customHeight="false" outlineLevel="0" collapsed="false">
      <c r="B6" s="0" t="s">
        <v>113</v>
      </c>
      <c r="C6" s="0" t="s">
        <v>114</v>
      </c>
      <c r="D6" s="0" t="s">
        <v>115</v>
      </c>
      <c r="J6" s="14" t="s">
        <v>112</v>
      </c>
    </row>
    <row r="7" customFormat="false" ht="15" hidden="false" customHeight="false" outlineLevel="0" collapsed="false">
      <c r="B7" s="0" t="s">
        <v>116</v>
      </c>
      <c r="C7" s="0" t="s">
        <v>117</v>
      </c>
      <c r="D7" s="0" t="s">
        <v>118</v>
      </c>
      <c r="J7" s="14" t="s">
        <v>112</v>
      </c>
    </row>
    <row r="8" customFormat="false" ht="15" hidden="false" customHeight="false" outlineLevel="0" collapsed="false">
      <c r="B8" s="0" t="s">
        <v>119</v>
      </c>
      <c r="C8" s="0" t="s">
        <v>120</v>
      </c>
      <c r="D8" s="0" t="s">
        <v>121</v>
      </c>
      <c r="J8" s="14" t="s">
        <v>112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5" min="3" style="0" width="15"/>
    <col collapsed="false" customWidth="true" hidden="false" outlineLevel="0" max="6" min="6" style="0" width="32"/>
  </cols>
  <sheetData>
    <row r="2" customFormat="false" ht="27.75" hidden="false" customHeight="true" outlineLevel="0" collapsed="false">
      <c r="B2" s="1" t="s">
        <v>122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123</v>
      </c>
      <c r="C4" s="15" t="s">
        <v>11</v>
      </c>
      <c r="D4" s="15" t="s">
        <v>124</v>
      </c>
      <c r="E4" s="15" t="s">
        <v>125</v>
      </c>
      <c r="F4" s="15" t="s">
        <v>126</v>
      </c>
    </row>
    <row r="5" customFormat="false" ht="15" hidden="false" customHeight="false" outlineLevel="0" collapsed="false">
      <c r="B5" s="0" t="s">
        <v>127</v>
      </c>
      <c r="C5" s="16" t="n">
        <v>12004</v>
      </c>
      <c r="D5" s="17" t="n">
        <v>600</v>
      </c>
      <c r="E5" s="18" t="n">
        <f aca="false">IF(Cover!$C$9="Downside",D5,C5)</f>
        <v>12004</v>
      </c>
      <c r="F5" s="14" t="s">
        <v>128</v>
      </c>
    </row>
    <row r="6" customFormat="false" ht="15" hidden="false" customHeight="false" outlineLevel="0" collapsed="false">
      <c r="B6" s="0" t="s">
        <v>129</v>
      </c>
      <c r="C6" s="19" t="n">
        <v>0.105</v>
      </c>
      <c r="D6" s="20" t="n">
        <v>0.17</v>
      </c>
      <c r="E6" s="21" t="n">
        <f aca="false">IF(Cover!$C$9="Downside",D6,C6)</f>
        <v>0.105</v>
      </c>
      <c r="F6" s="14" t="s">
        <v>130</v>
      </c>
    </row>
    <row r="7" customFormat="false" ht="15" hidden="false" customHeight="false" outlineLevel="0" collapsed="false">
      <c r="B7" s="0" t="s">
        <v>131</v>
      </c>
      <c r="C7" s="19" t="n">
        <v>0.23</v>
      </c>
      <c r="D7" s="20" t="n">
        <v>-0.02</v>
      </c>
      <c r="E7" s="21" t="n">
        <f aca="false">IF(Cover!$C$9="Downside",D7,C7)</f>
        <v>0.23</v>
      </c>
      <c r="F7" s="14" t="s">
        <v>130</v>
      </c>
    </row>
    <row r="8" customFormat="false" ht="15" hidden="false" customHeight="false" outlineLevel="0" collapsed="false">
      <c r="B8" s="0" t="s">
        <v>132</v>
      </c>
      <c r="C8" s="22" t="n">
        <v>0.005</v>
      </c>
      <c r="D8" s="22" t="n">
        <v>-0.003</v>
      </c>
      <c r="E8" s="23" t="n">
        <f aca="false">IF(Cover!$C$9="Downside",D8,C8)</f>
        <v>0.005</v>
      </c>
      <c r="F8" s="14" t="s">
        <v>133</v>
      </c>
    </row>
    <row r="9" customFormat="false" ht="15" hidden="false" customHeight="false" outlineLevel="0" collapsed="false">
      <c r="B9" s="0" t="s">
        <v>134</v>
      </c>
      <c r="C9" s="20" t="n">
        <v>0.025</v>
      </c>
      <c r="D9" s="20" t="n">
        <v>0.025</v>
      </c>
      <c r="E9" s="21" t="n">
        <f aca="false">IF(Cover!$C$9="Downside",D9,C9)</f>
        <v>0.025</v>
      </c>
      <c r="F9" s="14" t="s">
        <v>130</v>
      </c>
    </row>
    <row r="10" customFormat="false" ht="15" hidden="false" customHeight="false" outlineLevel="0" collapsed="false">
      <c r="B10" s="0" t="s">
        <v>135</v>
      </c>
      <c r="C10" s="20" t="n">
        <v>0.035</v>
      </c>
      <c r="D10" s="20" t="n">
        <v>0.045</v>
      </c>
      <c r="E10" s="21" t="n">
        <f aca="false">IF(Cover!$C$9="Downside",D10,C10)</f>
        <v>0.035</v>
      </c>
      <c r="F10" s="14" t="s">
        <v>130</v>
      </c>
    </row>
    <row r="11" customFormat="false" ht="15" hidden="false" customHeight="false" outlineLevel="0" collapsed="false">
      <c r="B11" s="0" t="s">
        <v>136</v>
      </c>
      <c r="C11" s="20" t="n">
        <v>0.08</v>
      </c>
      <c r="D11" s="20" t="n">
        <v>0.1</v>
      </c>
      <c r="E11" s="21" t="n">
        <f aca="false">IF(Cover!$C$9="Downside",D11,C11)</f>
        <v>0.08</v>
      </c>
      <c r="F11" s="14" t="s">
        <v>130</v>
      </c>
    </row>
    <row r="12" customFormat="false" ht="15" hidden="false" customHeight="false" outlineLevel="0" collapsed="false">
      <c r="B12" s="0" t="s">
        <v>137</v>
      </c>
      <c r="C12" s="20" t="n">
        <v>0.25</v>
      </c>
      <c r="D12" s="20" t="n">
        <v>0.2</v>
      </c>
      <c r="E12" s="21" t="n">
        <f aca="false">IF(Cover!$C$9="Downside",D12,C12)</f>
        <v>0.25</v>
      </c>
      <c r="F12" s="14" t="s">
        <v>130</v>
      </c>
    </row>
    <row r="13" customFormat="false" ht="15" hidden="false" customHeight="false" outlineLevel="0" collapsed="false">
      <c r="B13" s="0" t="s">
        <v>138</v>
      </c>
      <c r="C13" s="24" t="n">
        <v>10</v>
      </c>
      <c r="D13" s="24" t="n">
        <v>9</v>
      </c>
      <c r="E13" s="25" t="n">
        <f aca="false">IF(Cover!$C$9="Downside",D13,C13)</f>
        <v>10</v>
      </c>
      <c r="F13" s="14" t="s">
        <v>139</v>
      </c>
    </row>
    <row r="14" customFormat="false" ht="15" hidden="false" customHeight="false" outlineLevel="0" collapsed="false">
      <c r="B14" s="0" t="s">
        <v>140</v>
      </c>
      <c r="C14" s="20" t="n">
        <v>0.02</v>
      </c>
      <c r="D14" s="20" t="n">
        <v>0.025</v>
      </c>
      <c r="E14" s="21" t="n">
        <f aca="false">IF(Cover!$C$9="Downside",D14,C14)</f>
        <v>0.02</v>
      </c>
      <c r="F14" s="14" t="s">
        <v>130</v>
      </c>
    </row>
    <row r="15" customFormat="false" ht="15" hidden="false" customHeight="false" outlineLevel="0" collapsed="false">
      <c r="B15" s="0" t="s">
        <v>141</v>
      </c>
      <c r="C15" s="17" t="n">
        <v>100</v>
      </c>
      <c r="D15" s="17" t="n">
        <v>100</v>
      </c>
      <c r="E15" s="18" t="n">
        <f aca="false">IF(Cover!$C$9="Downside",D15,C15)</f>
        <v>100</v>
      </c>
      <c r="F15" s="14" t="s">
        <v>128</v>
      </c>
    </row>
    <row r="16" customFormat="false" ht="15" hidden="false" customHeight="false" outlineLevel="0" collapsed="false">
      <c r="B16" s="0" t="s">
        <v>142</v>
      </c>
      <c r="C16" s="17" t="n">
        <v>20</v>
      </c>
      <c r="D16" s="17" t="n">
        <v>25</v>
      </c>
      <c r="E16" s="18" t="n">
        <f aca="false">IF(Cover!$C$9="Downside",D16,C16)</f>
        <v>20</v>
      </c>
      <c r="F16" s="14" t="s">
        <v>128</v>
      </c>
    </row>
    <row r="17" customFormat="false" ht="15" hidden="false" customHeight="false" outlineLevel="0" collapsed="false">
      <c r="B17" s="0" t="s">
        <v>143</v>
      </c>
      <c r="C17" s="17" t="n">
        <v>75</v>
      </c>
      <c r="D17" s="17" t="n">
        <v>75</v>
      </c>
      <c r="E17" s="18" t="n">
        <f aca="false">IF(Cover!$C$9="Downside",D17,C17)</f>
        <v>75</v>
      </c>
      <c r="F17" s="14" t="s">
        <v>128</v>
      </c>
    </row>
    <row r="18" customFormat="false" ht="15" hidden="false" customHeight="false" outlineLevel="0" collapsed="false">
      <c r="B18" s="0" t="s">
        <v>144</v>
      </c>
      <c r="C18" s="22" t="n">
        <v>0.09</v>
      </c>
      <c r="D18" s="22" t="n">
        <v>0.115</v>
      </c>
      <c r="E18" s="23" t="n">
        <f aca="false">IF(Cover!$C$9="Downside",D18,C18)</f>
        <v>0.09</v>
      </c>
      <c r="F18" s="14" t="s">
        <v>130</v>
      </c>
    </row>
    <row r="19" customFormat="false" ht="15" hidden="false" customHeight="false" outlineLevel="0" collapsed="false">
      <c r="B19" s="0" t="s">
        <v>145</v>
      </c>
      <c r="C19" s="24" t="n">
        <v>4</v>
      </c>
      <c r="D19" s="24" t="n">
        <v>3.5</v>
      </c>
      <c r="E19" s="25" t="n">
        <f aca="false">IF(Cover!$C$9="Downside",D19,C19)</f>
        <v>4</v>
      </c>
      <c r="F19" s="14" t="s">
        <v>146</v>
      </c>
    </row>
    <row r="20" customFormat="false" ht="15" hidden="false" customHeight="false" outlineLevel="0" collapsed="false">
      <c r="B20" s="0" t="s">
        <v>147</v>
      </c>
      <c r="C20" s="22" t="n">
        <v>0.085</v>
      </c>
      <c r="D20" s="22" t="n">
        <v>0.105</v>
      </c>
      <c r="E20" s="23" t="n">
        <f aca="false">IF(Cover!$C$9="Downside",D20,C20)</f>
        <v>0.085</v>
      </c>
      <c r="F20" s="14" t="s">
        <v>130</v>
      </c>
    </row>
    <row r="21" customFormat="false" ht="15" hidden="false" customHeight="false" outlineLevel="0" collapsed="false">
      <c r="B21" s="0" t="s">
        <v>148</v>
      </c>
      <c r="C21" s="20" t="n">
        <v>0.01</v>
      </c>
      <c r="D21" s="20" t="n">
        <v>0.01</v>
      </c>
      <c r="E21" s="21" t="n">
        <f aca="false">IF(Cover!$C$9="Downside",D21,C21)</f>
        <v>0.01</v>
      </c>
      <c r="F21" s="14" t="s">
        <v>149</v>
      </c>
    </row>
    <row r="22" customFormat="false" ht="15" hidden="false" customHeight="false" outlineLevel="0" collapsed="false">
      <c r="B22" s="0" t="s">
        <v>150</v>
      </c>
      <c r="C22" s="24" t="n">
        <v>1.5</v>
      </c>
      <c r="D22" s="24" t="n">
        <v>1</v>
      </c>
      <c r="E22" s="25" t="n">
        <f aca="false">IF(Cover!$C$9="Downside",D22,C22)</f>
        <v>1.5</v>
      </c>
      <c r="F22" s="14" t="s">
        <v>146</v>
      </c>
    </row>
    <row r="23" customFormat="false" ht="15" hidden="false" customHeight="false" outlineLevel="0" collapsed="false">
      <c r="B23" s="0" t="s">
        <v>151</v>
      </c>
      <c r="C23" s="22" t="n">
        <v>0.11</v>
      </c>
      <c r="D23" s="22" t="n">
        <v>0.13</v>
      </c>
      <c r="E23" s="23" t="n">
        <f aca="false">IF(Cover!$C$9="Downside",D23,C23)</f>
        <v>0.11</v>
      </c>
      <c r="F23" s="14" t="s">
        <v>130</v>
      </c>
    </row>
    <row r="24" customFormat="false" ht="15" hidden="false" customHeight="false" outlineLevel="0" collapsed="false">
      <c r="B24" s="0" t="s">
        <v>152</v>
      </c>
      <c r="C24" s="22" t="n">
        <v>0.03</v>
      </c>
      <c r="D24" s="22" t="n">
        <v>0.05</v>
      </c>
      <c r="E24" s="23" t="n">
        <f aca="false">IF(Cover!$C$9="Downside",D24,C24)</f>
        <v>0.03</v>
      </c>
      <c r="F24" s="14" t="s">
        <v>130</v>
      </c>
    </row>
    <row r="25" customFormat="false" ht="15" hidden="false" customHeight="false" outlineLevel="0" collapsed="false">
      <c r="B25" s="0" t="s">
        <v>153</v>
      </c>
      <c r="C25" s="20" t="n">
        <v>0.75</v>
      </c>
      <c r="D25" s="20" t="n">
        <v>0.5</v>
      </c>
      <c r="E25" s="21" t="n">
        <f aca="false">IF(Cover!$C$9="Downside",D25,C25)</f>
        <v>0.75</v>
      </c>
      <c r="F25" s="14" t="s">
        <v>154</v>
      </c>
    </row>
    <row r="26" customFormat="false" ht="15" hidden="false" customHeight="false" outlineLevel="0" collapsed="false">
      <c r="B26" s="0" t="s">
        <v>155</v>
      </c>
      <c r="C26" s="24" t="n">
        <v>7</v>
      </c>
      <c r="D26" s="24" t="n">
        <v>6.5</v>
      </c>
      <c r="E26" s="25" t="n">
        <f aca="false">IF(Cover!$C$9="Downside",D26,C26)</f>
        <v>7</v>
      </c>
      <c r="F26" s="14" t="s">
        <v>139</v>
      </c>
    </row>
    <row r="27" customFormat="false" ht="15" hidden="false" customHeight="false" outlineLevel="0" collapsed="false">
      <c r="B27" s="0" t="s">
        <v>156</v>
      </c>
      <c r="C27" s="24" t="n">
        <v>1.75</v>
      </c>
      <c r="D27" s="24" t="n">
        <v>1.5</v>
      </c>
      <c r="E27" s="25" t="n">
        <f aca="false">IF(Cover!$C$9="Downside",D27,C27)</f>
        <v>1.75</v>
      </c>
      <c r="F27" s="14" t="s">
        <v>139</v>
      </c>
    </row>
    <row r="28" customFormat="false" ht="15" hidden="false" customHeight="false" outlineLevel="0" collapsed="false">
      <c r="B28" s="0" t="s">
        <v>157</v>
      </c>
      <c r="C28" s="24" t="n">
        <v>10</v>
      </c>
      <c r="D28" s="24" t="n">
        <v>8</v>
      </c>
      <c r="E28" s="25" t="n">
        <f aca="false">IF(Cover!$C$9="Downside",D28,C28)</f>
        <v>10</v>
      </c>
      <c r="F28" s="14" t="s">
        <v>139</v>
      </c>
    </row>
    <row r="29" customFormat="false" ht="15" hidden="false" customHeight="false" outlineLevel="0" collapsed="false">
      <c r="B29" s="0" t="s">
        <v>158</v>
      </c>
      <c r="C29" s="26" t="n">
        <v>5</v>
      </c>
      <c r="D29" s="26" t="n">
        <v>5</v>
      </c>
      <c r="E29" s="27" t="n">
        <f aca="false">IF(Cover!$C$9="Downside",D29,C29)</f>
        <v>5</v>
      </c>
      <c r="F29" s="14" t="s">
        <v>159</v>
      </c>
    </row>
    <row r="30" customFormat="false" ht="15" hidden="false" customHeight="false" outlineLevel="0" collapsed="false">
      <c r="B30" s="0" t="s">
        <v>160</v>
      </c>
      <c r="C30" s="20" t="n">
        <v>0.1</v>
      </c>
      <c r="D30" s="20" t="n">
        <v>0.1</v>
      </c>
      <c r="E30" s="21" t="n">
        <f aca="false">IF(Cover!$C$9="Downside",D30,C30)</f>
        <v>0.1</v>
      </c>
      <c r="F30" s="14" t="s">
        <v>161</v>
      </c>
    </row>
    <row r="31" customFormat="false" ht="15" hidden="false" customHeight="false" outlineLevel="0" collapsed="false">
      <c r="B31" s="0" t="s">
        <v>162</v>
      </c>
      <c r="C31" s="20" t="n">
        <v>0.08</v>
      </c>
      <c r="D31" s="20" t="n">
        <v>0.08</v>
      </c>
      <c r="E31" s="21" t="n">
        <f aca="false">IF(Cover!$C$9="Downside",D31,C31)</f>
        <v>0.08</v>
      </c>
      <c r="F31" s="14" t="s">
        <v>130</v>
      </c>
    </row>
    <row r="32" customFormat="false" ht="15" hidden="false" customHeight="false" outlineLevel="0" collapsed="false">
      <c r="B32" s="0" t="s">
        <v>163</v>
      </c>
      <c r="C32" s="20" t="n">
        <v>0.2</v>
      </c>
      <c r="D32" s="20" t="n">
        <v>0.2</v>
      </c>
      <c r="E32" s="21" t="n">
        <f aca="false">IF(Cover!$C$9="Downside",D32,C32)</f>
        <v>0.2</v>
      </c>
      <c r="F32" s="14" t="s">
        <v>164</v>
      </c>
    </row>
    <row r="33" customFormat="false" ht="15" hidden="false" customHeight="false" outlineLevel="0" collapsed="false">
      <c r="B33" s="0" t="s">
        <v>165</v>
      </c>
      <c r="C33" s="22" t="n">
        <v>0.00375</v>
      </c>
      <c r="D33" s="22" t="n">
        <v>0.005</v>
      </c>
      <c r="E33" s="23" t="n">
        <f aca="false">IF(Cover!$C$9="Downside",D33,C33)</f>
        <v>0.00375</v>
      </c>
      <c r="F33" s="14" t="s">
        <v>166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5"/>
  </cols>
  <sheetData>
    <row r="2" customFormat="false" ht="27.75" hidden="false" customHeight="true" outlineLevel="0" collapsed="false">
      <c r="B2" s="1" t="s">
        <v>167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168</v>
      </c>
      <c r="C4" s="15" t="s">
        <v>169</v>
      </c>
      <c r="D4" s="15"/>
      <c r="E4" s="15" t="s">
        <v>170</v>
      </c>
      <c r="F4" s="15" t="s">
        <v>169</v>
      </c>
      <c r="G4" s="15"/>
    </row>
    <row r="5" customFormat="false" ht="15" hidden="false" customHeight="false" outlineLevel="0" collapsed="false">
      <c r="B5" s="0" t="s">
        <v>171</v>
      </c>
      <c r="C5" s="18" t="n">
        <f aca="false">Assumptions!E5*Assumptions!E6*Assumptions!E13</f>
        <v>12604.2</v>
      </c>
      <c r="E5" s="14" t="s">
        <v>172</v>
      </c>
      <c r="F5" s="17" t="n">
        <v>0</v>
      </c>
    </row>
    <row r="6" customFormat="false" ht="15" hidden="false" customHeight="false" outlineLevel="0" collapsed="false">
      <c r="B6" s="0" t="s">
        <v>173</v>
      </c>
      <c r="C6" s="18" t="n">
        <f aca="false">Assumptions!E15</f>
        <v>100</v>
      </c>
      <c r="E6" s="14" t="s">
        <v>174</v>
      </c>
      <c r="F6" s="18" t="n">
        <f aca="false">Assumptions!E5*Assumptions!E6*Assumptions!E19</f>
        <v>5041.68</v>
      </c>
    </row>
    <row r="7" customFormat="false" ht="15" hidden="false" customHeight="false" outlineLevel="0" collapsed="false">
      <c r="B7" s="0" t="s">
        <v>175</v>
      </c>
      <c r="C7" s="18" t="n">
        <f aca="false">C5*Assumptions!E14</f>
        <v>252.084</v>
      </c>
      <c r="E7" s="14" t="s">
        <v>176</v>
      </c>
      <c r="F7" s="18" t="n">
        <f aca="false">Assumptions!E5*Assumptions!E6*Assumptions!E22</f>
        <v>1890.63</v>
      </c>
    </row>
    <row r="8" customFormat="false" ht="15" hidden="false" customHeight="false" outlineLevel="0" collapsed="false">
      <c r="B8" s="0" t="s">
        <v>177</v>
      </c>
      <c r="C8" s="18" t="n">
        <f aca="false">Assumptions!E16</f>
        <v>20</v>
      </c>
      <c r="E8" s="14" t="s">
        <v>178</v>
      </c>
      <c r="F8" s="18" t="n">
        <f aca="false">C9-SUM(F5:F7)</f>
        <v>6043.974</v>
      </c>
    </row>
    <row r="9" customFormat="false" ht="15" hidden="false" customHeight="false" outlineLevel="0" collapsed="false">
      <c r="B9" s="28" t="s">
        <v>179</v>
      </c>
      <c r="C9" s="29" t="n">
        <f aca="false">SUM(C5:C8)</f>
        <v>12976.284</v>
      </c>
      <c r="E9" s="28" t="s">
        <v>180</v>
      </c>
      <c r="F9" s="29" t="n">
        <f aca="false">SUM(F5:F8)</f>
        <v>12976.284</v>
      </c>
    </row>
    <row r="10" customFormat="false" ht="15" hidden="false" customHeight="false" outlineLevel="0" collapsed="false">
      <c r="E10" s="0" t="s">
        <v>181</v>
      </c>
      <c r="F10" s="18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182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183</v>
      </c>
      <c r="C4" s="15" t="s">
        <v>184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  <c r="J4" s="15" t="s">
        <v>191</v>
      </c>
    </row>
    <row r="5" customFormat="false" ht="15" hidden="false" customHeight="false" outlineLevel="0" collapsed="false">
      <c r="B5" s="0" t="s">
        <v>192</v>
      </c>
      <c r="C5" s="18" t="n">
        <f aca="false">Assumptions!E5</f>
        <v>12004</v>
      </c>
      <c r="D5" s="18" t="n">
        <f aca="false">C5*(1+Assumptions!$E$7)</f>
        <v>14764.92</v>
      </c>
      <c r="E5" s="18" t="n">
        <f aca="false">D5*(1+Assumptions!$E$7)</f>
        <v>18160.8516</v>
      </c>
      <c r="F5" s="18" t="n">
        <f aca="false">E5*(1+Assumptions!$E$7)</f>
        <v>22337.847468</v>
      </c>
      <c r="G5" s="18" t="n">
        <f aca="false">F5*(1+Assumptions!$E$7)</f>
        <v>27475.55238564</v>
      </c>
      <c r="H5" s="18" t="n">
        <f aca="false">G5*(1+Assumptions!$E$7)</f>
        <v>33794.9294343372</v>
      </c>
      <c r="I5" s="18" t="n">
        <f aca="false">H5*(1+Assumptions!$E$7)</f>
        <v>41567.7632042348</v>
      </c>
      <c r="J5" s="18" t="n">
        <f aca="false">I5*(1+Assumptions!$E$7)</f>
        <v>51128.3487412087</v>
      </c>
    </row>
    <row r="6" customFormat="false" ht="15" hidden="false" customHeight="false" outlineLevel="0" collapsed="false">
      <c r="B6" s="0" t="s">
        <v>193</v>
      </c>
      <c r="D6" s="21" t="n">
        <f aca="false">IFERROR(D5/C5-1,0)</f>
        <v>0.23</v>
      </c>
      <c r="E6" s="21" t="n">
        <f aca="false">IFERROR(E5/D5-1,0)</f>
        <v>0.23</v>
      </c>
      <c r="F6" s="21" t="n">
        <f aca="false">IFERROR(F5/E5-1,0)</f>
        <v>0.23</v>
      </c>
      <c r="G6" s="21" t="n">
        <f aca="false">IFERROR(G5/F5-1,0)</f>
        <v>0.23</v>
      </c>
      <c r="H6" s="21" t="n">
        <f aca="false">IFERROR(H5/G5-1,0)</f>
        <v>0.23</v>
      </c>
      <c r="I6" s="21" t="n">
        <f aca="false">IFERROR(I5/H5-1,0)</f>
        <v>0.23</v>
      </c>
      <c r="J6" s="21" t="n">
        <f aca="false">IFERROR(J5/I5-1,0)</f>
        <v>0.23</v>
      </c>
    </row>
    <row r="7" customFormat="false" ht="15" hidden="false" customHeight="false" outlineLevel="0" collapsed="false">
      <c r="B7" s="0" t="s">
        <v>194</v>
      </c>
      <c r="C7" s="21" t="n">
        <f aca="false">Assumptions!E6</f>
        <v>0.105</v>
      </c>
      <c r="D7" s="21" t="n">
        <f aca="false">MAX(0,MIN(0.6,C7+Assumptions!$E$8))</f>
        <v>0.11</v>
      </c>
      <c r="E7" s="21" t="n">
        <f aca="false">MAX(0,MIN(0.6,D7+Assumptions!$E$8))</f>
        <v>0.115</v>
      </c>
      <c r="F7" s="21" t="n">
        <f aca="false">MAX(0,MIN(0.6,E7+Assumptions!$E$8))</f>
        <v>0.12</v>
      </c>
      <c r="G7" s="21" t="n">
        <f aca="false">MAX(0,MIN(0.6,F7+Assumptions!$E$8))</f>
        <v>0.125</v>
      </c>
      <c r="H7" s="21" t="n">
        <f aca="false">MAX(0,MIN(0.6,G7+Assumptions!$E$8))</f>
        <v>0.13</v>
      </c>
      <c r="I7" s="21" t="n">
        <f aca="false">MAX(0,MIN(0.6,H7+Assumptions!$E$8))</f>
        <v>0.135</v>
      </c>
      <c r="J7" s="21" t="n">
        <f aca="false">MAX(0,MIN(0.6,I7+Assumptions!$E$8))</f>
        <v>0.14</v>
      </c>
    </row>
    <row r="8" customFormat="false" ht="15" hidden="false" customHeight="false" outlineLevel="0" collapsed="false">
      <c r="B8" s="28" t="s">
        <v>195</v>
      </c>
      <c r="C8" s="29" t="n">
        <f aca="false">C5*C7</f>
        <v>1260.42</v>
      </c>
      <c r="D8" s="29" t="n">
        <f aca="false">D5*D7</f>
        <v>1624.1412</v>
      </c>
      <c r="E8" s="29" t="n">
        <f aca="false">E5*E7</f>
        <v>2088.497934</v>
      </c>
      <c r="F8" s="29" t="n">
        <f aca="false">F5*F7</f>
        <v>2680.54169616</v>
      </c>
      <c r="G8" s="29" t="n">
        <f aca="false">G5*G7</f>
        <v>3434.444048205</v>
      </c>
      <c r="H8" s="29" t="n">
        <f aca="false">H5*H7</f>
        <v>4393.34082646384</v>
      </c>
      <c r="I8" s="29" t="n">
        <f aca="false">I5*I7</f>
        <v>5611.64803257169</v>
      </c>
      <c r="J8" s="29" t="n">
        <f aca="false">J5*J7</f>
        <v>7157.96882376922</v>
      </c>
    </row>
    <row r="9" customFormat="false" ht="15" hidden="false" customHeight="false" outlineLevel="0" collapsed="false">
      <c r="B9" s="0" t="s">
        <v>196</v>
      </c>
      <c r="C9" s="18" t="n">
        <f aca="false">C5*Assumptions!E9</f>
        <v>300.1</v>
      </c>
      <c r="D9" s="18" t="n">
        <f aca="false">D5*Assumptions!$E$9</f>
        <v>369.123</v>
      </c>
      <c r="E9" s="18" t="n">
        <f aca="false">E5*Assumptions!$E$9</f>
        <v>454.02129</v>
      </c>
      <c r="F9" s="18" t="n">
        <f aca="false">F5*Assumptions!$E$9</f>
        <v>558.4461867</v>
      </c>
      <c r="G9" s="18" t="n">
        <f aca="false">G5*Assumptions!$E$9</f>
        <v>686.888809641</v>
      </c>
      <c r="H9" s="18" t="n">
        <f aca="false">H5*Assumptions!$E$9</f>
        <v>844.87323585843</v>
      </c>
      <c r="I9" s="18" t="n">
        <f aca="false">I5*Assumptions!$E$9</f>
        <v>1039.19408010587</v>
      </c>
      <c r="J9" s="18" t="n">
        <f aca="false">J5*Assumptions!$E$9</f>
        <v>1278.20871853022</v>
      </c>
    </row>
    <row r="10" customFormat="false" ht="15" hidden="false" customHeight="false" outlineLevel="0" collapsed="false">
      <c r="B10" s="0" t="s">
        <v>197</v>
      </c>
      <c r="C10" s="18" t="n">
        <f aca="false">C8-C9</f>
        <v>960.32</v>
      </c>
      <c r="D10" s="18" t="n">
        <f aca="false">D8-D9</f>
        <v>1255.0182</v>
      </c>
      <c r="E10" s="18" t="n">
        <f aca="false">E8-E9</f>
        <v>1634.476644</v>
      </c>
      <c r="F10" s="18" t="n">
        <f aca="false">F8-F9</f>
        <v>2122.09550946</v>
      </c>
      <c r="G10" s="18" t="n">
        <f aca="false">G8-G9</f>
        <v>2747.555238564</v>
      </c>
      <c r="H10" s="18" t="n">
        <f aca="false">H8-H9</f>
        <v>3548.46759060541</v>
      </c>
      <c r="I10" s="18" t="n">
        <f aca="false">I8-I9</f>
        <v>4572.45395246582</v>
      </c>
      <c r="J10" s="18" t="n">
        <f aca="false">J8-J9</f>
        <v>5879.76010523901</v>
      </c>
    </row>
    <row r="11" customFormat="false" ht="15" hidden="false" customHeight="false" outlineLevel="0" collapsed="false">
      <c r="B11" s="0" t="s">
        <v>198</v>
      </c>
      <c r="D11" s="18" t="n">
        <f aca="false">'Debt Schedule'!D7</f>
        <v>636.79335</v>
      </c>
      <c r="E11" s="18" t="n">
        <f aca="false">'Debt Schedule'!E7</f>
        <v>634.972988460938</v>
      </c>
      <c r="F11" s="18" t="n">
        <f aca="false">'Debt Schedule'!F7</f>
        <v>616.100093590712</v>
      </c>
      <c r="G11" s="18" t="n">
        <f aca="false">'Debt Schedule'!G7</f>
        <v>572.934598850059</v>
      </c>
      <c r="H11" s="18" t="n">
        <f aca="false">'Debt Schedule'!H7</f>
        <v>496.617499122584</v>
      </c>
      <c r="I11" s="18" t="n">
        <f aca="false">'Debt Schedule'!I7</f>
        <v>375.647719639787</v>
      </c>
      <c r="J11" s="18" t="n">
        <f aca="false">'Debt Schedule'!J7</f>
        <v>195.104464685454</v>
      </c>
    </row>
    <row r="12" customFormat="false" ht="15" hidden="false" customHeight="false" outlineLevel="0" collapsed="false">
      <c r="B12" s="0" t="s">
        <v>199</v>
      </c>
      <c r="D12" s="18" t="n">
        <f aca="false">D10-D11</f>
        <v>618.22485</v>
      </c>
      <c r="E12" s="18" t="n">
        <f aca="false">E10-E11</f>
        <v>999.503655539063</v>
      </c>
      <c r="F12" s="18" t="n">
        <f aca="false">F10-F11</f>
        <v>1505.99541586929</v>
      </c>
      <c r="G12" s="18" t="n">
        <f aca="false">G10-G11</f>
        <v>2174.62063971394</v>
      </c>
      <c r="H12" s="18" t="n">
        <f aca="false">H10-H11</f>
        <v>3051.85009148282</v>
      </c>
      <c r="I12" s="18" t="n">
        <f aca="false">I10-I11</f>
        <v>4196.80623282604</v>
      </c>
      <c r="J12" s="18" t="n">
        <f aca="false">J10-J11</f>
        <v>5684.65564055355</v>
      </c>
    </row>
    <row r="13" customFormat="false" ht="15" hidden="false" customHeight="false" outlineLevel="0" collapsed="false">
      <c r="B13" s="0" t="s">
        <v>200</v>
      </c>
      <c r="D13" s="18" t="n">
        <f aca="false">MAX(0,D12*Assumptions!$E$12)</f>
        <v>154.5562125</v>
      </c>
      <c r="E13" s="18" t="n">
        <f aca="false">MAX(0,E12*Assumptions!$E$12)</f>
        <v>249.875913884766</v>
      </c>
      <c r="F13" s="18" t="n">
        <f aca="false">MAX(0,F12*Assumptions!$E$12)</f>
        <v>376.498853967322</v>
      </c>
      <c r="G13" s="18" t="n">
        <f aca="false">MAX(0,G12*Assumptions!$E$12)</f>
        <v>543.655159928485</v>
      </c>
      <c r="H13" s="18" t="n">
        <f aca="false">MAX(0,H12*Assumptions!$E$12)</f>
        <v>762.962522870706</v>
      </c>
      <c r="I13" s="18" t="n">
        <f aca="false">MAX(0,I12*Assumptions!$E$12)</f>
        <v>1049.20155820651</v>
      </c>
      <c r="J13" s="18" t="n">
        <f aca="false">MAX(0,J12*Assumptions!$E$12)</f>
        <v>1421.16391013839</v>
      </c>
    </row>
    <row r="14" customFormat="false" ht="15" hidden="false" customHeight="false" outlineLevel="0" collapsed="false">
      <c r="B14" s="0" t="s">
        <v>201</v>
      </c>
      <c r="D14" s="18" t="n">
        <f aca="false">D12-D13</f>
        <v>463.6686375</v>
      </c>
      <c r="E14" s="18" t="n">
        <f aca="false">E12-E13</f>
        <v>749.627741654297</v>
      </c>
      <c r="F14" s="18" t="n">
        <f aca="false">F12-F13</f>
        <v>1129.49656190197</v>
      </c>
      <c r="G14" s="18" t="n">
        <f aca="false">G12-G13</f>
        <v>1630.96547978546</v>
      </c>
      <c r="H14" s="18" t="n">
        <f aca="false">H12-H13</f>
        <v>2288.88756861212</v>
      </c>
      <c r="I14" s="18" t="n">
        <f aca="false">I12-I13</f>
        <v>3147.60467461953</v>
      </c>
      <c r="J14" s="18" t="n">
        <f aca="false">J12-J13</f>
        <v>4263.49173041516</v>
      </c>
    </row>
    <row r="15" customFormat="false" ht="15" hidden="false" customHeight="false" outlineLevel="0" collapsed="false">
      <c r="B15" s="0" t="s">
        <v>202</v>
      </c>
      <c r="D15" s="18" t="n">
        <f aca="false">D5*Assumptions!$E$10</f>
        <v>516.7722</v>
      </c>
      <c r="E15" s="18" t="n">
        <f aca="false">E5*Assumptions!$E$10</f>
        <v>635.629806</v>
      </c>
      <c r="F15" s="18" t="n">
        <f aca="false">F5*Assumptions!$E$10</f>
        <v>781.82466138</v>
      </c>
      <c r="G15" s="18" t="n">
        <f aca="false">G5*Assumptions!$E$10</f>
        <v>961.6443334974</v>
      </c>
      <c r="H15" s="18" t="n">
        <f aca="false">H5*Assumptions!$E$10</f>
        <v>1182.8225302018</v>
      </c>
      <c r="I15" s="18" t="n">
        <f aca="false">I5*Assumptions!$E$10</f>
        <v>1454.87171214822</v>
      </c>
      <c r="J15" s="18" t="n">
        <f aca="false">J5*Assumptions!$E$10</f>
        <v>1789.49220594231</v>
      </c>
    </row>
    <row r="16" customFormat="false" ht="15" hidden="false" customHeight="false" outlineLevel="0" collapsed="false">
      <c r="B16" s="0" t="s">
        <v>203</v>
      </c>
      <c r="C16" s="18" t="n">
        <f aca="false">C5*Assumptions!E11</f>
        <v>960.32</v>
      </c>
      <c r="D16" s="18" t="n">
        <f aca="false">D5*Assumptions!$E$11</f>
        <v>1181.1936</v>
      </c>
      <c r="E16" s="18" t="n">
        <f aca="false">E5*Assumptions!$E$11</f>
        <v>1452.868128</v>
      </c>
      <c r="F16" s="18" t="n">
        <f aca="false">F5*Assumptions!$E$11</f>
        <v>1787.02779744</v>
      </c>
      <c r="G16" s="18" t="n">
        <f aca="false">G5*Assumptions!$E$11</f>
        <v>2198.0441908512</v>
      </c>
      <c r="H16" s="18" t="n">
        <f aca="false">H5*Assumptions!$E$11</f>
        <v>2703.59435474698</v>
      </c>
      <c r="I16" s="18" t="n">
        <f aca="false">I5*Assumptions!$E$11</f>
        <v>3325.42105633878</v>
      </c>
      <c r="J16" s="18" t="n">
        <f aca="false">J5*Assumptions!$E$11</f>
        <v>4090.2678992967</v>
      </c>
    </row>
    <row r="17" customFormat="false" ht="15" hidden="false" customHeight="false" outlineLevel="0" collapsed="false">
      <c r="B17" s="0" t="s">
        <v>204</v>
      </c>
      <c r="D17" s="18" t="n">
        <f aca="false">D16-C16</f>
        <v>220.8736</v>
      </c>
      <c r="E17" s="18" t="n">
        <f aca="false">E16-D16</f>
        <v>271.674528</v>
      </c>
      <c r="F17" s="18" t="n">
        <f aca="false">F16-E16</f>
        <v>334.15966944</v>
      </c>
      <c r="G17" s="18" t="n">
        <f aca="false">G16-F16</f>
        <v>411.0163934112</v>
      </c>
      <c r="H17" s="18" t="n">
        <f aca="false">H16-G16</f>
        <v>505.550163895776</v>
      </c>
      <c r="I17" s="18" t="n">
        <f aca="false">I16-H16</f>
        <v>621.826701591804</v>
      </c>
      <c r="J17" s="18" t="n">
        <f aca="false">J16-I16</f>
        <v>764.846842957919</v>
      </c>
    </row>
    <row r="18" customFormat="false" ht="15" hidden="false" customHeight="false" outlineLevel="0" collapsed="false">
      <c r="B18" s="28" t="s">
        <v>205</v>
      </c>
      <c r="C18" s="29"/>
      <c r="D18" s="29" t="n">
        <f aca="false">D14+D9-D15-D17</f>
        <v>95.1458375000001</v>
      </c>
      <c r="E18" s="29" t="n">
        <f aca="false">E14+E9-E15-E17</f>
        <v>296.344697654297</v>
      </c>
      <c r="F18" s="29" t="n">
        <f aca="false">F14+F9-F15-F17</f>
        <v>571.958417781967</v>
      </c>
      <c r="G18" s="29" t="n">
        <f aca="false">G14+G9-G15-G17</f>
        <v>945.193562517855</v>
      </c>
      <c r="H18" s="29" t="n">
        <f aca="false">H14+H9-H15-H17</f>
        <v>1445.38811037297</v>
      </c>
      <c r="I18" s="29" t="n">
        <f aca="false">I14+I9-I15-I17</f>
        <v>2110.10034098537</v>
      </c>
      <c r="J18" s="29" t="n">
        <f aca="false">J14+J9-J15-J17</f>
        <v>2987.36140004516</v>
      </c>
    </row>
    <row r="19" customFormat="false" ht="15" hidden="false" customHeight="false" outlineLevel="0" collapsed="false">
      <c r="B19" s="28" t="s">
        <v>206</v>
      </c>
      <c r="C19" s="29"/>
      <c r="D19" s="29" t="n">
        <f aca="false">D8-D13-D15-D17</f>
        <v>731.9391875</v>
      </c>
      <c r="E19" s="29" t="n">
        <f aca="false">E8-E13-E15-E17</f>
        <v>931.317686115234</v>
      </c>
      <c r="F19" s="29" t="n">
        <f aca="false">F8-F13-F15-F17</f>
        <v>1188.05851137268</v>
      </c>
      <c r="G19" s="29" t="n">
        <f aca="false">G8-G13-G15-G17</f>
        <v>1518.12816136791</v>
      </c>
      <c r="H19" s="29" t="n">
        <f aca="false">H8-H13-H15-H17</f>
        <v>1942.00560949555</v>
      </c>
      <c r="I19" s="29" t="n">
        <f aca="false">I8-I13-I15-I17</f>
        <v>2485.74806062516</v>
      </c>
      <c r="J19" s="29" t="n">
        <f aca="false">J8-J13-J15-J17</f>
        <v>3182.46586473061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207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183</v>
      </c>
      <c r="C4" s="15" t="s">
        <v>208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  <c r="J4" s="15" t="s">
        <v>191</v>
      </c>
    </row>
    <row r="5" customFormat="false" ht="15" hidden="false" customHeight="false" outlineLevel="0" collapsed="false">
      <c r="B5" s="0" t="s">
        <v>209</v>
      </c>
      <c r="C5" s="18" t="n">
        <f aca="false">Assumptions!E16</f>
        <v>20</v>
      </c>
      <c r="D5" s="18" t="n">
        <f aca="false">C13</f>
        <v>20</v>
      </c>
      <c r="E5" s="18" t="n">
        <f aca="false">D13</f>
        <v>22.79556484375</v>
      </c>
      <c r="F5" s="18" t="n">
        <f aca="false">E13</f>
        <v>35.5452164061279</v>
      </c>
      <c r="G5" s="18" t="n">
        <f aca="false">F13</f>
        <v>53.5679271367559</v>
      </c>
      <c r="H5" s="18" t="n">
        <f aca="false">G13</f>
        <v>78.0215431034132</v>
      </c>
      <c r="I5" s="18" t="n">
        <f aca="false">H13</f>
        <v>110.812053342274</v>
      </c>
      <c r="J5" s="18" t="n">
        <f aca="false">I13</f>
        <v>154.405974645478</v>
      </c>
    </row>
    <row r="6" customFormat="false" ht="15" hidden="false" customHeight="false" outlineLevel="0" collapsed="false">
      <c r="B6" s="0" t="s">
        <v>206</v>
      </c>
      <c r="D6" s="18" t="n">
        <f aca="false">'Operating Model'!D19</f>
        <v>731.9391875</v>
      </c>
      <c r="E6" s="18" t="n">
        <f aca="false">'Operating Model'!E19</f>
        <v>931.317686115234</v>
      </c>
      <c r="F6" s="18" t="n">
        <f aca="false">'Operating Model'!F19</f>
        <v>1188.05851137268</v>
      </c>
      <c r="G6" s="18" t="n">
        <f aca="false">'Operating Model'!G19</f>
        <v>1518.12816136791</v>
      </c>
      <c r="H6" s="18" t="n">
        <f aca="false">'Operating Model'!H19</f>
        <v>1942.00560949555</v>
      </c>
      <c r="I6" s="18" t="n">
        <f aca="false">'Operating Model'!I19</f>
        <v>2485.74806062516</v>
      </c>
      <c r="J6" s="18" t="n">
        <f aca="false">'Operating Model'!J19</f>
        <v>3182.46586473061</v>
      </c>
    </row>
    <row r="7" customFormat="false" ht="15" hidden="false" customHeight="false" outlineLevel="0" collapsed="false">
      <c r="B7" s="0" t="s">
        <v>198</v>
      </c>
      <c r="D7" s="18" t="n">
        <f aca="false">SUM(D15,D18,D23,D29)</f>
        <v>636.79335</v>
      </c>
      <c r="E7" s="18" t="n">
        <f aca="false">SUM(E15,E18,E23,E29)</f>
        <v>634.972988460938</v>
      </c>
      <c r="F7" s="18" t="n">
        <f aca="false">SUM(F15,F18,F23,F29)</f>
        <v>616.100093590712</v>
      </c>
      <c r="G7" s="18" t="n">
        <f aca="false">SUM(G15,G18,G23,G29)</f>
        <v>572.934598850059</v>
      </c>
      <c r="H7" s="18" t="n">
        <f aca="false">SUM(H15,H18,H23,H29)</f>
        <v>496.617499122584</v>
      </c>
      <c r="I7" s="18" t="n">
        <f aca="false">SUM(I15,I18,I23,I29)</f>
        <v>375.647719639787</v>
      </c>
      <c r="J7" s="18" t="n">
        <f aca="false">SUM(J15,J18,J23,J29)</f>
        <v>195.104464685454</v>
      </c>
    </row>
    <row r="8" customFormat="false" ht="15" hidden="false" customHeight="false" outlineLevel="0" collapsed="false">
      <c r="B8" s="0" t="s">
        <v>210</v>
      </c>
      <c r="D8" s="18" t="n">
        <f aca="false">D19</f>
        <v>50.4168</v>
      </c>
      <c r="E8" s="18" t="n">
        <f aca="false">E19</f>
        <v>50.4168</v>
      </c>
      <c r="F8" s="18" t="n">
        <f aca="false">F19</f>
        <v>50.4168</v>
      </c>
      <c r="G8" s="18" t="n">
        <f aca="false">G19</f>
        <v>50.4168</v>
      </c>
      <c r="H8" s="18" t="n">
        <f aca="false">H19</f>
        <v>50.4168</v>
      </c>
      <c r="I8" s="18" t="n">
        <f aca="false">I19</f>
        <v>50.4168</v>
      </c>
      <c r="J8" s="18" t="n">
        <f aca="false">J19</f>
        <v>50.4168</v>
      </c>
    </row>
    <row r="9" customFormat="false" ht="15" hidden="false" customHeight="false" outlineLevel="0" collapsed="false">
      <c r="B9" s="0" t="s">
        <v>211</v>
      </c>
      <c r="D9" s="18" t="n">
        <f aca="false">D5+D6-D7-D8</f>
        <v>64.7290375</v>
      </c>
      <c r="E9" s="18" t="n">
        <f aca="false">E5+E6-E7-E8</f>
        <v>268.723462498047</v>
      </c>
      <c r="F9" s="18" t="n">
        <f aca="false">F5+F6-F7-F8</f>
        <v>557.086834188094</v>
      </c>
      <c r="G9" s="18" t="n">
        <f aca="false">G5+G6-G7-G8</f>
        <v>948.344689654611</v>
      </c>
      <c r="H9" s="18" t="n">
        <f aca="false">H5+H6-H7-H8</f>
        <v>1472.99285347638</v>
      </c>
      <c r="I9" s="18" t="n">
        <f aca="false">I5+I6-I7-I8</f>
        <v>2170.49559432765</v>
      </c>
      <c r="J9" s="18" t="n">
        <f aca="false">J5+J6-J7-J8</f>
        <v>3091.35057469063</v>
      </c>
    </row>
    <row r="10" customFormat="false" ht="15" hidden="false" customHeight="false" outlineLevel="0" collapsed="false">
      <c r="B10" s="0" t="s">
        <v>212</v>
      </c>
      <c r="D10" s="18" t="n">
        <f aca="false">IF(D9&lt;Assumptions!$E$16,MIN(Assumptions!$E$17-D14,Assumptions!$E$16-D9),-MIN(D14,MAX(0,D9-Assumptions!$E$16)))</f>
        <v>-0</v>
      </c>
      <c r="E10" s="18" t="n">
        <f aca="false">IF(E9&lt;Assumptions!$E$16,MIN(Assumptions!$E$17-E14,Assumptions!$E$16-E9),-MIN(E14,MAX(0,E9-Assumptions!$E$16)))</f>
        <v>-0</v>
      </c>
      <c r="F10" s="18" t="n">
        <f aca="false">IF(F9&lt;Assumptions!$E$16,MIN(Assumptions!$E$17-F14,Assumptions!$E$16-F9),-MIN(F14,MAX(0,F9-Assumptions!$E$16)))</f>
        <v>-0</v>
      </c>
      <c r="G10" s="18" t="n">
        <f aca="false">IF(G9&lt;Assumptions!$E$16,MIN(Assumptions!$E$17-G14,Assumptions!$E$16-G9),-MIN(G14,MAX(0,G9-Assumptions!$E$16)))</f>
        <v>-0</v>
      </c>
      <c r="H10" s="18" t="n">
        <f aca="false">IF(H9&lt;Assumptions!$E$16,MIN(Assumptions!$E$17-H14,Assumptions!$E$16-H9),-MIN(H14,MAX(0,H9-Assumptions!$E$16)))</f>
        <v>-0</v>
      </c>
      <c r="I10" s="18" t="n">
        <f aca="false">IF(I9&lt;Assumptions!$E$16,MIN(Assumptions!$E$17-I14,Assumptions!$E$16-I9),-MIN(I14,MAX(0,I9-Assumptions!$E$16)))</f>
        <v>-0</v>
      </c>
      <c r="J10" s="18" t="n">
        <f aca="false">IF(J9&lt;Assumptions!$E$16,MIN(Assumptions!$E$17-J14,Assumptions!$E$16-J9),-MIN(J14,MAX(0,J9-Assumptions!$E$16)))</f>
        <v>-0</v>
      </c>
    </row>
    <row r="11" customFormat="false" ht="15" hidden="false" customHeight="false" outlineLevel="0" collapsed="false">
      <c r="B11" s="0" t="s">
        <v>213</v>
      </c>
      <c r="D11" s="18" t="n">
        <f aca="false">MIN(MAX(0,D17-D19),MAX(0,D9+D10-Assumptions!$E$16)*Assumptions!$E$25)</f>
        <v>33.546778125</v>
      </c>
      <c r="E11" s="18" t="n">
        <f aca="false">MIN(MAX(0,E17-E19),MAX(0,E9+E10-Assumptions!$E$16)*Assumptions!$E$25)</f>
        <v>186.542596873535</v>
      </c>
      <c r="F11" s="18" t="n">
        <f aca="false">MIN(MAX(0,F17-F19),MAX(0,F9+F10-Assumptions!$E$16)*Assumptions!$E$25)</f>
        <v>402.815125641071</v>
      </c>
      <c r="G11" s="18" t="n">
        <f aca="false">MIN(MAX(0,G17-G19),MAX(0,G9+G10-Assumptions!$E$16)*Assumptions!$E$25)</f>
        <v>696.258517240958</v>
      </c>
      <c r="H11" s="18" t="n">
        <f aca="false">MIN(MAX(0,H17-H19),MAX(0,H9+H10-Assumptions!$E$16)*Assumptions!$E$25)</f>
        <v>1089.74464010729</v>
      </c>
      <c r="I11" s="18" t="n">
        <f aca="false">MIN(MAX(0,I17-I19),MAX(0,I9+I10-Assumptions!$E$16)*Assumptions!$E$25)</f>
        <v>1612.87169574574</v>
      </c>
      <c r="J11" s="18" t="n">
        <f aca="false">MIN(MAX(0,J17-J19),MAX(0,J9+J10-Assumptions!$E$16)*Assumptions!$E$25)</f>
        <v>666.983046266411</v>
      </c>
    </row>
    <row r="12" customFormat="false" ht="15" hidden="false" customHeight="false" outlineLevel="0" collapsed="false">
      <c r="B12" s="0" t="s">
        <v>214</v>
      </c>
      <c r="D12" s="18" t="n">
        <f aca="false">MIN(MAX(0,D22+D24),MAX(0,D9+D10-D11-Assumptions!$E$16)*Assumptions!$E$25)</f>
        <v>8.38669453125</v>
      </c>
      <c r="E12" s="18" t="n">
        <f aca="false">MIN(MAX(0,E22+E24),MAX(0,E9+E10-E11-Assumptions!$E$16)*Assumptions!$E$25)</f>
        <v>46.6356492183838</v>
      </c>
      <c r="F12" s="18" t="n">
        <f aca="false">MIN(MAX(0,F22+F24),MAX(0,F9+F10-F11-Assumptions!$E$16)*Assumptions!$E$25)</f>
        <v>100.703781410268</v>
      </c>
      <c r="G12" s="18" t="n">
        <f aca="false">MIN(MAX(0,G22+G24),MAX(0,G9+G10-G11-Assumptions!$E$16)*Assumptions!$E$25)</f>
        <v>174.06462931024</v>
      </c>
      <c r="H12" s="18" t="n">
        <f aca="false">MIN(MAX(0,H22+H24),MAX(0,H9+H10-H11-Assumptions!$E$16)*Assumptions!$E$25)</f>
        <v>272.436160026822</v>
      </c>
      <c r="I12" s="18" t="n">
        <f aca="false">MIN(MAX(0,I22+I24),MAX(0,I9+I10-I11-Assumptions!$E$16)*Assumptions!$E$25)</f>
        <v>403.217923936434</v>
      </c>
      <c r="J12" s="18" t="n">
        <f aca="false">MIN(MAX(0,J22+J24),MAX(0,J9+J10-J11-Assumptions!$E$16)*Assumptions!$E$25)</f>
        <v>1253.26867804903</v>
      </c>
    </row>
    <row r="13" customFormat="false" ht="15" hidden="false" customHeight="false" outlineLevel="0" collapsed="false">
      <c r="B13" s="28" t="s">
        <v>215</v>
      </c>
      <c r="C13" s="29" t="n">
        <f aca="false">C5</f>
        <v>20</v>
      </c>
      <c r="D13" s="29" t="n">
        <f aca="false">D9+D10-D11-D12</f>
        <v>22.79556484375</v>
      </c>
      <c r="E13" s="29" t="n">
        <f aca="false">E9+E10-E11-E12</f>
        <v>35.5452164061279</v>
      </c>
      <c r="F13" s="29" t="n">
        <f aca="false">F9+F10-F11-F12</f>
        <v>53.5679271367559</v>
      </c>
      <c r="G13" s="29" t="n">
        <f aca="false">G9+G10-G11-G12</f>
        <v>78.0215431034132</v>
      </c>
      <c r="H13" s="29" t="n">
        <f aca="false">H9+H10-H11-H12</f>
        <v>110.812053342274</v>
      </c>
      <c r="I13" s="29" t="n">
        <f aca="false">I9+I10-I11-I12</f>
        <v>154.405974645478</v>
      </c>
      <c r="J13" s="29" t="n">
        <f aca="false">J9+J10-J11-J12</f>
        <v>1171.09885037519</v>
      </c>
    </row>
    <row r="14" customFormat="false" ht="15" hidden="false" customHeight="false" outlineLevel="0" collapsed="false">
      <c r="B14" s="0" t="s">
        <v>216</v>
      </c>
      <c r="C14" s="18" t="n">
        <f aca="false">'Sources &amp; Uses'!F5</f>
        <v>0</v>
      </c>
      <c r="D14" s="18" t="n">
        <f aca="false">C16</f>
        <v>0</v>
      </c>
      <c r="E14" s="18" t="n">
        <f aca="false">D16</f>
        <v>0</v>
      </c>
      <c r="F14" s="18" t="n">
        <f aca="false">E16</f>
        <v>0</v>
      </c>
      <c r="G14" s="18" t="n">
        <f aca="false">F16</f>
        <v>0</v>
      </c>
      <c r="H14" s="18" t="n">
        <f aca="false">G16</f>
        <v>0</v>
      </c>
      <c r="I14" s="18" t="n">
        <f aca="false">H16</f>
        <v>0</v>
      </c>
      <c r="J14" s="18" t="n">
        <f aca="false">I16</f>
        <v>0</v>
      </c>
    </row>
    <row r="15" customFormat="false" ht="15" hidden="false" customHeight="false" outlineLevel="0" collapsed="false">
      <c r="B15" s="0" t="s">
        <v>217</v>
      </c>
      <c r="D15" s="18" t="n">
        <f aca="false">D14*Assumptions!$E$18</f>
        <v>0</v>
      </c>
      <c r="E15" s="18" t="n">
        <f aca="false">E14*Assumptions!$E$18</f>
        <v>0</v>
      </c>
      <c r="F15" s="18" t="n">
        <f aca="false">F14*Assumptions!$E$18</f>
        <v>0</v>
      </c>
      <c r="G15" s="18" t="n">
        <f aca="false">G14*Assumptions!$E$18</f>
        <v>0</v>
      </c>
      <c r="H15" s="18" t="n">
        <f aca="false">H14*Assumptions!$E$18</f>
        <v>0</v>
      </c>
      <c r="I15" s="18" t="n">
        <f aca="false">I14*Assumptions!$E$18</f>
        <v>0</v>
      </c>
      <c r="J15" s="18" t="n">
        <f aca="false">J14*Assumptions!$E$18</f>
        <v>0</v>
      </c>
    </row>
    <row r="16" customFormat="false" ht="15" hidden="false" customHeight="false" outlineLevel="0" collapsed="false">
      <c r="B16" s="0" t="s">
        <v>218</v>
      </c>
      <c r="C16" s="18" t="n">
        <f aca="false">C14</f>
        <v>0</v>
      </c>
      <c r="D16" s="18" t="n">
        <f aca="false">MAX(0,D14+D10)</f>
        <v>0</v>
      </c>
      <c r="E16" s="18" t="n">
        <f aca="false">MAX(0,E14+E10)</f>
        <v>0</v>
      </c>
      <c r="F16" s="18" t="n">
        <f aca="false">MAX(0,F14+F10)</f>
        <v>0</v>
      </c>
      <c r="G16" s="18" t="n">
        <f aca="false">MAX(0,G14+G10)</f>
        <v>0</v>
      </c>
      <c r="H16" s="18" t="n">
        <f aca="false">MAX(0,H14+H10)</f>
        <v>0</v>
      </c>
      <c r="I16" s="18" t="n">
        <f aca="false">MAX(0,I14+I10)</f>
        <v>0</v>
      </c>
      <c r="J16" s="18" t="n">
        <f aca="false">MAX(0,J14+J10)</f>
        <v>0</v>
      </c>
    </row>
    <row r="17" customFormat="false" ht="15" hidden="false" customHeight="false" outlineLevel="0" collapsed="false">
      <c r="B17" s="0" t="s">
        <v>219</v>
      </c>
      <c r="C17" s="18" t="n">
        <f aca="false">'Sources &amp; Uses'!F6</f>
        <v>5041.68</v>
      </c>
      <c r="D17" s="18" t="n">
        <f aca="false">C21</f>
        <v>5041.68</v>
      </c>
      <c r="E17" s="18" t="n">
        <f aca="false">D21</f>
        <v>4957.716421875</v>
      </c>
      <c r="F17" s="18" t="n">
        <f aca="false">E21</f>
        <v>4720.75702500146</v>
      </c>
      <c r="G17" s="18" t="n">
        <f aca="false">F21</f>
        <v>4267.52509936039</v>
      </c>
      <c r="H17" s="18" t="n">
        <f aca="false">G21</f>
        <v>3520.84978211943</v>
      </c>
      <c r="I17" s="18" t="n">
        <f aca="false">H21</f>
        <v>2380.68834201215</v>
      </c>
      <c r="J17" s="18" t="n">
        <f aca="false">I21</f>
        <v>717.399846266411</v>
      </c>
    </row>
    <row r="18" customFormat="false" ht="15" hidden="false" customHeight="false" outlineLevel="0" collapsed="false">
      <c r="B18" s="0" t="s">
        <v>220</v>
      </c>
      <c r="D18" s="18" t="n">
        <f aca="false">D17*Assumptions!$E$20</f>
        <v>428.5428</v>
      </c>
      <c r="E18" s="18" t="n">
        <f aca="false">E17*Assumptions!$E$20</f>
        <v>421.405895859375</v>
      </c>
      <c r="F18" s="18" t="n">
        <f aca="false">F17*Assumptions!$E$20</f>
        <v>401.264347125124</v>
      </c>
      <c r="G18" s="18" t="n">
        <f aca="false">G17*Assumptions!$E$20</f>
        <v>362.739633445633</v>
      </c>
      <c r="H18" s="18" t="n">
        <f aca="false">H17*Assumptions!$E$20</f>
        <v>299.272231480152</v>
      </c>
      <c r="I18" s="18" t="n">
        <f aca="false">I17*Assumptions!$E$20</f>
        <v>202.358509071033</v>
      </c>
      <c r="J18" s="18" t="n">
        <f aca="false">J17*Assumptions!$E$20</f>
        <v>60.978986932645</v>
      </c>
    </row>
    <row r="19" customFormat="false" ht="15" hidden="false" customHeight="false" outlineLevel="0" collapsed="false">
      <c r="B19" s="0" t="s">
        <v>221</v>
      </c>
      <c r="D19" s="18" t="n">
        <f aca="false">MIN(D17,'Sources &amp; Uses'!$F$6*Assumptions!$E$21)</f>
        <v>50.4168</v>
      </c>
      <c r="E19" s="18" t="n">
        <f aca="false">MIN(E17,'Sources &amp; Uses'!$F$6*Assumptions!$E$21)</f>
        <v>50.4168</v>
      </c>
      <c r="F19" s="18" t="n">
        <f aca="false">MIN(F17,'Sources &amp; Uses'!$F$6*Assumptions!$E$21)</f>
        <v>50.4168</v>
      </c>
      <c r="G19" s="18" t="n">
        <f aca="false">MIN(G17,'Sources &amp; Uses'!$F$6*Assumptions!$E$21)</f>
        <v>50.4168</v>
      </c>
      <c r="H19" s="18" t="n">
        <f aca="false">MIN(H17,'Sources &amp; Uses'!$F$6*Assumptions!$E$21)</f>
        <v>50.4168</v>
      </c>
      <c r="I19" s="18" t="n">
        <f aca="false">MIN(I17,'Sources &amp; Uses'!$F$6*Assumptions!$E$21)</f>
        <v>50.4168</v>
      </c>
      <c r="J19" s="18" t="n">
        <f aca="false">MIN(J17,'Sources &amp; Uses'!$F$6*Assumptions!$E$21)</f>
        <v>50.4168</v>
      </c>
    </row>
    <row r="20" customFormat="false" ht="15" hidden="false" customHeight="false" outlineLevel="0" collapsed="false">
      <c r="B20" s="28" t="s">
        <v>222</v>
      </c>
      <c r="C20" s="29" t="n">
        <f aca="false">'Sources &amp; Uses'!F7</f>
        <v>1890.63</v>
      </c>
      <c r="D20" s="29" t="n">
        <f aca="false">D11</f>
        <v>33.546778125</v>
      </c>
      <c r="E20" s="29" t="n">
        <f aca="false">E11</f>
        <v>186.542596873535</v>
      </c>
      <c r="F20" s="29" t="n">
        <f aca="false">F11</f>
        <v>402.815125641071</v>
      </c>
      <c r="G20" s="29" t="n">
        <f aca="false">G11</f>
        <v>696.258517240958</v>
      </c>
      <c r="H20" s="29" t="n">
        <f aca="false">H11</f>
        <v>1089.74464010729</v>
      </c>
      <c r="I20" s="29" t="n">
        <f aca="false">I11</f>
        <v>1612.87169574574</v>
      </c>
      <c r="J20" s="29" t="n">
        <f aca="false">J11</f>
        <v>666.983046266411</v>
      </c>
    </row>
    <row r="21" customFormat="false" ht="15" hidden="false" customHeight="false" outlineLevel="0" collapsed="false">
      <c r="B21" s="0" t="s">
        <v>223</v>
      </c>
      <c r="C21" s="18" t="n">
        <f aca="false">C17</f>
        <v>5041.68</v>
      </c>
      <c r="D21" s="18" t="n">
        <f aca="false">MAX(0,D17-D19-D20)</f>
        <v>4957.716421875</v>
      </c>
      <c r="E21" s="18" t="n">
        <f aca="false">MAX(0,E17-E19-E20)</f>
        <v>4720.75702500146</v>
      </c>
      <c r="F21" s="18" t="n">
        <f aca="false">MAX(0,F17-F19-F20)</f>
        <v>4267.52509936039</v>
      </c>
      <c r="G21" s="18" t="n">
        <f aca="false">MAX(0,G17-G19-G20)</f>
        <v>3520.84978211943</v>
      </c>
      <c r="H21" s="18" t="n">
        <f aca="false">MAX(0,H17-H19-H20)</f>
        <v>2380.68834201215</v>
      </c>
      <c r="I21" s="18" t="n">
        <f aca="false">MAX(0,I17-I19-I20)</f>
        <v>717.399846266411</v>
      </c>
      <c r="J21" s="18" t="n">
        <f aca="false">MAX(0,J17-J19-J20)</f>
        <v>0</v>
      </c>
    </row>
    <row r="22" customFormat="false" ht="15" hidden="false" customHeight="false" outlineLevel="0" collapsed="false">
      <c r="B22" s="0" t="s">
        <v>224</v>
      </c>
      <c r="C22" s="18" t="n">
        <f aca="false">'Sources &amp; Uses'!F7</f>
        <v>1890.63</v>
      </c>
      <c r="D22" s="18" t="n">
        <f aca="false">C26</f>
        <v>1890.63</v>
      </c>
      <c r="E22" s="18" t="n">
        <f aca="false">D26</f>
        <v>1938.96220546875</v>
      </c>
      <c r="F22" s="18" t="n">
        <f aca="false">E26</f>
        <v>1950.49542241443</v>
      </c>
      <c r="G22" s="18" t="n">
        <f aca="false">F26</f>
        <v>1908.30650367659</v>
      </c>
      <c r="H22" s="18" t="n">
        <f aca="false">G26</f>
        <v>1791.49106947665</v>
      </c>
      <c r="I22" s="18" t="n">
        <f aca="false">H26</f>
        <v>1572.79964153413</v>
      </c>
      <c r="J22" s="18" t="n">
        <f aca="false">I26</f>
        <v>1216.76570684372</v>
      </c>
    </row>
    <row r="23" customFormat="false" ht="15" hidden="false" customHeight="false" outlineLevel="0" collapsed="false">
      <c r="B23" s="0" t="s">
        <v>225</v>
      </c>
      <c r="D23" s="18" t="n">
        <f aca="false">D22*Assumptions!$E$23</f>
        <v>207.9693</v>
      </c>
      <c r="E23" s="18" t="n">
        <f aca="false">E22*Assumptions!$E$23</f>
        <v>213.285842601562</v>
      </c>
      <c r="F23" s="18" t="n">
        <f aca="false">F22*Assumptions!$E$23</f>
        <v>214.554496465587</v>
      </c>
      <c r="G23" s="18" t="n">
        <f aca="false">G22*Assumptions!$E$23</f>
        <v>209.913715404425</v>
      </c>
      <c r="H23" s="18" t="n">
        <f aca="false">H22*Assumptions!$E$23</f>
        <v>197.064017642432</v>
      </c>
      <c r="I23" s="18" t="n">
        <f aca="false">I22*Assumptions!$E$23</f>
        <v>173.007960568754</v>
      </c>
      <c r="J23" s="18" t="n">
        <f aca="false">J22*Assumptions!$E$23</f>
        <v>133.844227752809</v>
      </c>
    </row>
    <row r="24" customFormat="false" ht="15" hidden="false" customHeight="false" outlineLevel="0" collapsed="false">
      <c r="B24" s="28" t="s">
        <v>226</v>
      </c>
      <c r="C24" s="29"/>
      <c r="D24" s="29" t="n">
        <f aca="false">D22*Assumptions!$E$24</f>
        <v>56.7189</v>
      </c>
      <c r="E24" s="29" t="n">
        <f aca="false">E22*Assumptions!$E$24</f>
        <v>58.1688661640625</v>
      </c>
      <c r="F24" s="29" t="n">
        <f aca="false">F22*Assumptions!$E$24</f>
        <v>58.5148626724329</v>
      </c>
      <c r="G24" s="29" t="n">
        <f aca="false">G22*Assumptions!$E$24</f>
        <v>57.2491951102978</v>
      </c>
      <c r="H24" s="29" t="n">
        <f aca="false">H22*Assumptions!$E$24</f>
        <v>53.7447320842996</v>
      </c>
      <c r="I24" s="29" t="n">
        <f aca="false">I22*Assumptions!$E$24</f>
        <v>47.1839892460239</v>
      </c>
      <c r="J24" s="29" t="n">
        <f aca="false">J22*Assumptions!$E$24</f>
        <v>36.5029712053116</v>
      </c>
    </row>
    <row r="25" customFormat="false" ht="15" hidden="false" customHeight="false" outlineLevel="0" collapsed="false">
      <c r="B25" s="28" t="s">
        <v>227</v>
      </c>
      <c r="C25" s="29" t="n">
        <f aca="false">SUM(C16,C20,C13)</f>
        <v>1910.63</v>
      </c>
      <c r="D25" s="29" t="n">
        <f aca="false">D12</f>
        <v>8.38669453125</v>
      </c>
      <c r="E25" s="29" t="n">
        <f aca="false">E12</f>
        <v>46.6356492183838</v>
      </c>
      <c r="F25" s="29" t="n">
        <f aca="false">F12</f>
        <v>100.703781410268</v>
      </c>
      <c r="G25" s="29" t="n">
        <f aca="false">G12</f>
        <v>174.06462931024</v>
      </c>
      <c r="H25" s="29" t="n">
        <f aca="false">H12</f>
        <v>272.436160026822</v>
      </c>
      <c r="I25" s="29" t="n">
        <f aca="false">I12</f>
        <v>403.217923936434</v>
      </c>
      <c r="J25" s="29" t="n">
        <f aca="false">J12</f>
        <v>1253.26867804903</v>
      </c>
    </row>
    <row r="26" customFormat="false" ht="15" hidden="false" customHeight="false" outlineLevel="0" collapsed="false">
      <c r="B26" s="28" t="s">
        <v>228</v>
      </c>
      <c r="C26" s="29" t="n">
        <f aca="false">C22</f>
        <v>1890.63</v>
      </c>
      <c r="D26" s="29" t="n">
        <f aca="false">MAX(0,D22+D24-D25)</f>
        <v>1938.96220546875</v>
      </c>
      <c r="E26" s="29" t="n">
        <f aca="false">MAX(0,E22+E24-E25)</f>
        <v>1950.49542241443</v>
      </c>
      <c r="F26" s="29" t="n">
        <f aca="false">MAX(0,F22+F24-F25)</f>
        <v>1908.30650367659</v>
      </c>
      <c r="G26" s="29" t="n">
        <f aca="false">MAX(0,G22+G24-G25)</f>
        <v>1791.49106947665</v>
      </c>
      <c r="H26" s="29" t="n">
        <f aca="false">MAX(0,H22+H24-H25)</f>
        <v>1572.79964153413</v>
      </c>
      <c r="I26" s="29" t="n">
        <f aca="false">MAX(0,I22+I24-I25)</f>
        <v>1216.76570684372</v>
      </c>
      <c r="J26" s="29" t="n">
        <f aca="false">MAX(0,J22+J24-J25)</f>
        <v>0</v>
      </c>
    </row>
    <row r="27" customFormat="false" ht="15" hidden="false" customHeight="false" outlineLevel="0" collapsed="false">
      <c r="B27" s="0" t="s">
        <v>229</v>
      </c>
      <c r="C27" s="18" t="n">
        <f aca="false">SUM(C16,C21,C26)</f>
        <v>6932.31</v>
      </c>
      <c r="D27" s="18" t="n">
        <f aca="false">SUM(D16,D21,D26)</f>
        <v>6896.67862734375</v>
      </c>
      <c r="E27" s="18" t="n">
        <f aca="false">SUM(E16,E21,E26)</f>
        <v>6671.25244741589</v>
      </c>
      <c r="F27" s="18" t="n">
        <f aca="false">SUM(F16,F21,F26)</f>
        <v>6175.83160303699</v>
      </c>
      <c r="G27" s="18" t="n">
        <f aca="false">SUM(G16,G21,G26)</f>
        <v>5312.34085159609</v>
      </c>
      <c r="H27" s="18" t="n">
        <f aca="false">SUM(H16,H21,H26)</f>
        <v>3953.48798354628</v>
      </c>
      <c r="I27" s="18" t="n">
        <f aca="false">SUM(I16,I21,I26)</f>
        <v>1934.16555311013</v>
      </c>
      <c r="J27" s="18" t="n">
        <f aca="false">SUM(J16,J21,J26)</f>
        <v>0</v>
      </c>
    </row>
    <row r="28" customFormat="false" ht="15" hidden="false" customHeight="false" outlineLevel="0" collapsed="false">
      <c r="B28" s="0" t="s">
        <v>230</v>
      </c>
      <c r="C28" s="18" t="n">
        <f aca="false">C27-C13</f>
        <v>6912.31</v>
      </c>
      <c r="D28" s="18" t="n">
        <f aca="false">D27-D13</f>
        <v>6873.8830625</v>
      </c>
      <c r="E28" s="18" t="n">
        <f aca="false">E27-E13</f>
        <v>6635.70723100977</v>
      </c>
      <c r="F28" s="18" t="n">
        <f aca="false">F27-F13</f>
        <v>6122.26367590023</v>
      </c>
      <c r="G28" s="18" t="n">
        <f aca="false">G27-G13</f>
        <v>5234.31930849267</v>
      </c>
      <c r="H28" s="18" t="n">
        <f aca="false">H27-H13</f>
        <v>3842.675930204</v>
      </c>
      <c r="I28" s="18" t="n">
        <f aca="false">I27-I13</f>
        <v>1779.75957846465</v>
      </c>
      <c r="J28" s="18" t="n">
        <f aca="false">J27-J13</f>
        <v>-1171.09885037519</v>
      </c>
    </row>
    <row r="29" customFormat="false" ht="15" hidden="false" customHeight="false" outlineLevel="0" collapsed="false">
      <c r="B29" s="0" t="s">
        <v>165</v>
      </c>
      <c r="D29" s="18" t="n">
        <f aca="false">MAX(0,Assumptions!$E$17-D14)*Assumptions!$E$33</f>
        <v>0.28125</v>
      </c>
      <c r="E29" s="18" t="n">
        <f aca="false">MAX(0,Assumptions!$E$17-E14)*Assumptions!$E$33</f>
        <v>0.28125</v>
      </c>
      <c r="F29" s="18" t="n">
        <f aca="false">MAX(0,Assumptions!$E$17-F14)*Assumptions!$E$33</f>
        <v>0.28125</v>
      </c>
      <c r="G29" s="18" t="n">
        <f aca="false">MAX(0,Assumptions!$E$17-G14)*Assumptions!$E$33</f>
        <v>0.28125</v>
      </c>
      <c r="H29" s="18" t="n">
        <f aca="false">MAX(0,Assumptions!$E$17-H14)*Assumptions!$E$33</f>
        <v>0.28125</v>
      </c>
      <c r="I29" s="18" t="n">
        <f aca="false">MAX(0,Assumptions!$E$17-I14)*Assumptions!$E$33</f>
        <v>0.28125</v>
      </c>
      <c r="J29" s="18" t="n">
        <f aca="false">MAX(0,Assumptions!$E$17-J14)*Assumptions!$E$33</f>
        <v>0.28125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9" min="3" style="0" width="13"/>
  </cols>
  <sheetData>
    <row r="2" customFormat="false" ht="27.75" hidden="false" customHeight="true" outlineLevel="0" collapsed="false">
      <c r="B2" s="1" t="s">
        <v>231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232</v>
      </c>
      <c r="C4" s="15" t="s">
        <v>185</v>
      </c>
      <c r="D4" s="15" t="s">
        <v>186</v>
      </c>
      <c r="E4" s="15" t="s">
        <v>187</v>
      </c>
      <c r="F4" s="15" t="s">
        <v>188</v>
      </c>
      <c r="G4" s="15" t="s">
        <v>189</v>
      </c>
      <c r="H4" s="15" t="s">
        <v>190</v>
      </c>
      <c r="I4" s="15" t="s">
        <v>191</v>
      </c>
    </row>
    <row r="5" customFormat="false" ht="15" hidden="false" customHeight="false" outlineLevel="0" collapsed="false">
      <c r="B5" s="0" t="s">
        <v>233</v>
      </c>
      <c r="C5" s="25" t="n">
        <f aca="false">IFERROR('Debt Schedule'!D25/'Operating Model'!D8,0)</f>
        <v>0.00516377180213764</v>
      </c>
      <c r="D5" s="25" t="n">
        <f aca="false">IFERROR('Debt Schedule'!E25/'Operating Model'!E8,0)</f>
        <v>0.0223297559739812</v>
      </c>
      <c r="E5" s="25" t="n">
        <f aca="false">IFERROR('Debt Schedule'!F25/'Operating Model'!F8,0)</f>
        <v>0.0375684443015867</v>
      </c>
      <c r="F5" s="25" t="n">
        <f aca="false">IFERROR('Debt Schedule'!G25/'Operating Model'!G8,0)</f>
        <v>0.0506820396160519</v>
      </c>
      <c r="G5" s="25" t="n">
        <f aca="false">IFERROR('Debt Schedule'!H25/'Operating Model'!H8,0)</f>
        <v>0.0620111597957</v>
      </c>
      <c r="H5" s="25" t="n">
        <f aca="false">IFERROR('Debt Schedule'!I25/'Operating Model'!I8,0)</f>
        <v>0.0718537444964539</v>
      </c>
      <c r="I5" s="25" t="n">
        <f aca="false">IFERROR('Debt Schedule'!J25/'Operating Model'!J8,0)</f>
        <v>0.175087194273234</v>
      </c>
    </row>
    <row r="6" customFormat="false" ht="15" hidden="false" customHeight="false" outlineLevel="0" collapsed="false">
      <c r="B6" s="0" t="s">
        <v>234</v>
      </c>
      <c r="C6" s="25" t="n">
        <f aca="false">Assumptions!$E$26</f>
        <v>7</v>
      </c>
      <c r="D6" s="25" t="n">
        <f aca="false">Assumptions!$E$26</f>
        <v>7</v>
      </c>
      <c r="E6" s="25" t="n">
        <f aca="false">Assumptions!$E$26</f>
        <v>7</v>
      </c>
      <c r="F6" s="25" t="n">
        <f aca="false">Assumptions!$E$26</f>
        <v>7</v>
      </c>
      <c r="G6" s="25" t="n">
        <f aca="false">Assumptions!$E$26</f>
        <v>7</v>
      </c>
      <c r="H6" s="25" t="n">
        <f aca="false">Assumptions!$E$26</f>
        <v>7</v>
      </c>
      <c r="I6" s="25" t="n">
        <f aca="false">Assumptions!$E$26</f>
        <v>7</v>
      </c>
    </row>
    <row r="7" customFormat="false" ht="15" hidden="false" customHeight="false" outlineLevel="0" collapsed="false">
      <c r="B7" s="0" t="s">
        <v>235</v>
      </c>
      <c r="C7" s="25" t="n">
        <f aca="false">C6-C5</f>
        <v>6.99483622819786</v>
      </c>
      <c r="D7" s="25" t="n">
        <f aca="false">D6-D5</f>
        <v>6.97767024402602</v>
      </c>
      <c r="E7" s="25" t="n">
        <f aca="false">E6-E5</f>
        <v>6.96243155569841</v>
      </c>
      <c r="F7" s="25" t="n">
        <f aca="false">F6-F5</f>
        <v>6.94931796038395</v>
      </c>
      <c r="G7" s="25" t="n">
        <f aca="false">G6-G5</f>
        <v>6.9379888402043</v>
      </c>
      <c r="H7" s="25" t="n">
        <f aca="false">H6-H5</f>
        <v>6.92814625550355</v>
      </c>
      <c r="I7" s="25" t="n">
        <f aca="false">I6-I5</f>
        <v>6.82491280572677</v>
      </c>
    </row>
    <row r="8" customFormat="false" ht="15" hidden="false" customHeight="false" outlineLevel="0" collapsed="false">
      <c r="B8" s="0" t="s">
        <v>236</v>
      </c>
      <c r="C8" s="25" t="n">
        <f aca="false">IFERROR('Operating Model'!D8/'Debt Schedule'!D7,0)</f>
        <v>2.5504996244072</v>
      </c>
      <c r="D8" s="25" t="n">
        <f aca="false">IFERROR('Operating Model'!E8/'Debt Schedule'!E7,0)</f>
        <v>3.28911303622875</v>
      </c>
      <c r="E8" s="25" t="n">
        <f aca="false">IFERROR('Operating Model'!F8/'Debt Schedule'!F7,0)</f>
        <v>4.35082176426472</v>
      </c>
      <c r="F8" s="25" t="n">
        <f aca="false">IFERROR('Operating Model'!G8/'Debt Schedule'!G7,0)</f>
        <v>5.99447834900929</v>
      </c>
      <c r="G8" s="25" t="n">
        <f aca="false">IFERROR('Operating Model'!H8/'Debt Schedule'!H7,0)</f>
        <v>8.84652843330314</v>
      </c>
      <c r="H8" s="25" t="n">
        <f aca="false">IFERROR('Operating Model'!I8/'Debt Schedule'!I7,0)</f>
        <v>14.9385920349863</v>
      </c>
      <c r="I8" s="25" t="n">
        <f aca="false">IFERROR('Operating Model'!J8/'Debt Schedule'!J7,0)</f>
        <v>36.6878781339486</v>
      </c>
    </row>
    <row r="9" customFormat="false" ht="15" hidden="false" customHeight="false" outlineLevel="0" collapsed="false">
      <c r="B9" s="0" t="s">
        <v>237</v>
      </c>
      <c r="C9" s="25" t="n">
        <f aca="false">Assumptions!$E$27</f>
        <v>1.75</v>
      </c>
      <c r="D9" s="25" t="n">
        <f aca="false">Assumptions!$E$27</f>
        <v>1.75</v>
      </c>
      <c r="E9" s="25" t="n">
        <f aca="false">Assumptions!$E$27</f>
        <v>1.75</v>
      </c>
      <c r="F9" s="25" t="n">
        <f aca="false">Assumptions!$E$27</f>
        <v>1.75</v>
      </c>
      <c r="G9" s="25" t="n">
        <f aca="false">Assumptions!$E$27</f>
        <v>1.75</v>
      </c>
      <c r="H9" s="25" t="n">
        <f aca="false">Assumptions!$E$27</f>
        <v>1.75</v>
      </c>
      <c r="I9" s="25" t="n">
        <f aca="false">Assumptions!$E$27</f>
        <v>1.75</v>
      </c>
    </row>
    <row r="10" customFormat="false" ht="15" hidden="false" customHeight="false" outlineLevel="0" collapsed="false">
      <c r="B10" s="0" t="s">
        <v>238</v>
      </c>
      <c r="C10" s="25" t="n">
        <f aca="false">C8-C9</f>
        <v>0.800499624407196</v>
      </c>
      <c r="D10" s="25" t="n">
        <f aca="false">D8-D9</f>
        <v>1.53911303622875</v>
      </c>
      <c r="E10" s="25" t="n">
        <f aca="false">E8-E9</f>
        <v>2.60082176426472</v>
      </c>
      <c r="F10" s="25" t="n">
        <f aca="false">F8-F9</f>
        <v>4.24447834900929</v>
      </c>
      <c r="G10" s="25" t="n">
        <f aca="false">G8-G9</f>
        <v>7.09652843330314</v>
      </c>
      <c r="H10" s="25" t="n">
        <f aca="false">H8-H9</f>
        <v>13.1885920349863</v>
      </c>
      <c r="I10" s="25" t="n">
        <f aca="false">I8-I9</f>
        <v>34.9378781339486</v>
      </c>
    </row>
    <row r="11" customFormat="false" ht="15" hidden="false" customHeight="false" outlineLevel="0" collapsed="false">
      <c r="B11" s="0" t="s">
        <v>142</v>
      </c>
      <c r="C11" s="18" t="n">
        <f aca="false">Assumptions!$E$16</f>
        <v>20</v>
      </c>
      <c r="D11" s="18" t="n">
        <f aca="false">Assumptions!$E$16</f>
        <v>20</v>
      </c>
      <c r="E11" s="18" t="n">
        <f aca="false">Assumptions!$E$16</f>
        <v>20</v>
      </c>
      <c r="F11" s="18" t="n">
        <f aca="false">Assumptions!$E$16</f>
        <v>20</v>
      </c>
      <c r="G11" s="18" t="n">
        <f aca="false">Assumptions!$E$16</f>
        <v>20</v>
      </c>
      <c r="H11" s="18" t="n">
        <f aca="false">Assumptions!$E$16</f>
        <v>20</v>
      </c>
      <c r="I11" s="18" t="n">
        <f aca="false">Assumptions!$E$16</f>
        <v>20</v>
      </c>
    </row>
    <row r="12" customFormat="false" ht="15" hidden="false" customHeight="false" outlineLevel="0" collapsed="false">
      <c r="B12" s="0" t="s">
        <v>239</v>
      </c>
      <c r="C12" s="18" t="n">
        <f aca="false">'Debt Schedule'!D13-C11</f>
        <v>2.79556484375</v>
      </c>
      <c r="D12" s="18" t="n">
        <f aca="false">'Debt Schedule'!E13-D11</f>
        <v>15.5452164061279</v>
      </c>
      <c r="E12" s="18" t="n">
        <f aca="false">'Debt Schedule'!F13-E11</f>
        <v>33.5679271367559</v>
      </c>
      <c r="F12" s="18" t="n">
        <f aca="false">'Debt Schedule'!G13-F11</f>
        <v>58.0215431034132</v>
      </c>
      <c r="G12" s="18" t="n">
        <f aca="false">'Debt Schedule'!H13-G11</f>
        <v>90.8120533422739</v>
      </c>
      <c r="H12" s="18" t="n">
        <f aca="false">'Debt Schedule'!I13-H11</f>
        <v>134.405974645478</v>
      </c>
      <c r="I12" s="18" t="n">
        <f aca="false">'Debt Schedule'!J13-I11</f>
        <v>1151.09885037519</v>
      </c>
    </row>
    <row r="13" customFormat="false" ht="15" hidden="false" customHeight="false" outlineLevel="0" collapsed="false">
      <c r="B13" s="0" t="s">
        <v>43</v>
      </c>
      <c r="C13" s="0" t="str">
        <f aca="false">IF(AND(C7&gt;=0,C10&gt;=0,C12&gt;=0),"PASS","BREACH")</f>
        <v>PASS</v>
      </c>
      <c r="D13" s="0" t="str">
        <f aca="false">IF(AND(D7&gt;=0,D10&gt;=0,D12&gt;=0),"PASS","BREACH")</f>
        <v>PASS</v>
      </c>
      <c r="E13" s="0" t="str">
        <f aca="false">IF(AND(E7&gt;=0,E10&gt;=0,E12&gt;=0),"PASS","BREACH")</f>
        <v>PASS</v>
      </c>
      <c r="F13" s="0" t="str">
        <f aca="false">IF(AND(F7&gt;=0,F10&gt;=0,F12&gt;=0),"PASS","BREACH")</f>
        <v>PASS</v>
      </c>
      <c r="G13" s="0" t="str">
        <f aca="false">IF(AND(G7&gt;=0,G10&gt;=0,G12&gt;=0),"PASS","BREACH")</f>
        <v>PASS</v>
      </c>
      <c r="H13" s="0" t="str">
        <f aca="false">IF(AND(H7&gt;=0,H10&gt;=0,H12&gt;=0),"PASS","BREACH")</f>
        <v>PASS</v>
      </c>
      <c r="I13" s="0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240</v>
      </c>
      <c r="C2" s="1"/>
      <c r="D2" s="1"/>
      <c r="E2" s="1"/>
    </row>
    <row r="4" customFormat="false" ht="15" hidden="false" customHeight="false" outlineLevel="0" collapsed="false">
      <c r="B4" s="15" t="s">
        <v>232</v>
      </c>
      <c r="C4" s="15" t="s">
        <v>241</v>
      </c>
      <c r="D4" s="15" t="s">
        <v>242</v>
      </c>
      <c r="E4" s="15" t="s">
        <v>243</v>
      </c>
    </row>
    <row r="5" customFormat="false" ht="15" hidden="false" customHeight="false" outlineLevel="0" collapsed="false">
      <c r="B5" s="0" t="s">
        <v>244</v>
      </c>
      <c r="C5" s="21" t="n">
        <f aca="false">Assumptions!E30</f>
        <v>0.1</v>
      </c>
      <c r="D5" s="14" t="s">
        <v>130</v>
      </c>
      <c r="E5" s="14" t="s">
        <v>245</v>
      </c>
    </row>
    <row r="6" customFormat="false" ht="15" hidden="false" customHeight="false" outlineLevel="0" collapsed="false">
      <c r="B6" s="0" t="s">
        <v>246</v>
      </c>
      <c r="C6" s="21" t="n">
        <f aca="false">1-C5</f>
        <v>0.9</v>
      </c>
      <c r="D6" s="14" t="s">
        <v>130</v>
      </c>
      <c r="E6" s="14" t="s">
        <v>247</v>
      </c>
    </row>
    <row r="7" customFormat="false" ht="15" hidden="false" customHeight="false" outlineLevel="0" collapsed="false">
      <c r="B7" s="0" t="s">
        <v>248</v>
      </c>
      <c r="C7" s="18" t="n">
        <f aca="false">'Sources &amp; Uses'!F8</f>
        <v>6043.974</v>
      </c>
      <c r="D7" s="14" t="s">
        <v>128</v>
      </c>
      <c r="E7" s="14" t="s">
        <v>249</v>
      </c>
    </row>
    <row r="8" customFormat="false" ht="15" hidden="false" customHeight="false" outlineLevel="0" collapsed="false">
      <c r="B8" s="0" t="s">
        <v>250</v>
      </c>
      <c r="C8" s="18" t="n">
        <f aca="false">C7*(1+Assumptions!E31)^Assumptions!E29</f>
        <v>8880.58069364921</v>
      </c>
      <c r="D8" s="14" t="s">
        <v>128</v>
      </c>
      <c r="E8" s="14" t="s">
        <v>251</v>
      </c>
    </row>
    <row r="9" customFormat="false" ht="15" hidden="false" customHeight="false" outlineLevel="0" collapsed="false">
      <c r="B9" s="0" t="s">
        <v>252</v>
      </c>
      <c r="C9" s="21" t="n">
        <f aca="false">Assumptions!E32</f>
        <v>0.2</v>
      </c>
      <c r="D9" s="14" t="s">
        <v>164</v>
      </c>
      <c r="E9" s="14" t="s">
        <v>253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254</v>
      </c>
      <c r="C2" s="1"/>
      <c r="D2" s="1"/>
      <c r="E2" s="1"/>
      <c r="F2" s="1"/>
      <c r="G2" s="1"/>
      <c r="H2" s="1"/>
      <c r="I2" s="1"/>
      <c r="J2" s="1"/>
    </row>
    <row r="4" customFormat="false" ht="15" hidden="false" customHeight="false" outlineLevel="0" collapsed="false">
      <c r="B4" s="15" t="s">
        <v>232</v>
      </c>
      <c r="C4" s="15" t="s">
        <v>185</v>
      </c>
      <c r="D4" s="15" t="s">
        <v>186</v>
      </c>
      <c r="E4" s="15" t="s">
        <v>187</v>
      </c>
      <c r="F4" s="15" t="s">
        <v>188</v>
      </c>
      <c r="G4" s="15" t="s">
        <v>189</v>
      </c>
      <c r="H4" s="15" t="s">
        <v>190</v>
      </c>
      <c r="I4" s="15" t="s">
        <v>191</v>
      </c>
      <c r="J4" s="15" t="s">
        <v>255</v>
      </c>
    </row>
    <row r="5" customFormat="false" ht="15" hidden="false" customHeight="false" outlineLevel="0" collapsed="false">
      <c r="B5" s="0" t="s">
        <v>256</v>
      </c>
      <c r="C5" s="18" t="n">
        <f aca="false">'Operating Model'!D8</f>
        <v>1624.1412</v>
      </c>
      <c r="D5" s="18" t="n">
        <f aca="false">'Operating Model'!E8</f>
        <v>2088.497934</v>
      </c>
      <c r="E5" s="18" t="n">
        <f aca="false">'Operating Model'!F8</f>
        <v>2680.54169616</v>
      </c>
      <c r="F5" s="18" t="n">
        <f aca="false">'Operating Model'!G8</f>
        <v>3434.444048205</v>
      </c>
      <c r="G5" s="18" t="n">
        <f aca="false">'Operating Model'!H8</f>
        <v>4393.34082646384</v>
      </c>
      <c r="H5" s="18" t="n">
        <f aca="false">'Operating Model'!I8</f>
        <v>5611.64803257169</v>
      </c>
      <c r="I5" s="18" t="n">
        <f aca="false">'Operating Model'!J8</f>
        <v>7157.96882376922</v>
      </c>
      <c r="J5" s="18" t="n">
        <f aca="false">INDEX(C5:I5,1,Assumptions!E29)</f>
        <v>4393.34082646384</v>
      </c>
    </row>
    <row r="6" customFormat="false" ht="15" hidden="false" customHeight="false" outlineLevel="0" collapsed="false">
      <c r="B6" s="0" t="s">
        <v>257</v>
      </c>
      <c r="C6" s="25" t="n">
        <f aca="false">Assumptions!$E$28</f>
        <v>10</v>
      </c>
      <c r="D6" s="25" t="n">
        <f aca="false">Assumptions!$E$28</f>
        <v>10</v>
      </c>
      <c r="E6" s="25" t="n">
        <f aca="false">Assumptions!$E$28</f>
        <v>10</v>
      </c>
      <c r="F6" s="25" t="n">
        <f aca="false">Assumptions!$E$28</f>
        <v>10</v>
      </c>
      <c r="G6" s="25" t="n">
        <f aca="false">Assumptions!$E$28</f>
        <v>10</v>
      </c>
      <c r="H6" s="25" t="n">
        <f aca="false">Assumptions!$E$28</f>
        <v>10</v>
      </c>
      <c r="I6" s="25" t="n">
        <f aca="false">Assumptions!$E$28</f>
        <v>10</v>
      </c>
      <c r="J6" s="25" t="n">
        <f aca="false">INDEX(C6:I6,1,Assumptions!E29)</f>
        <v>10</v>
      </c>
    </row>
    <row r="7" customFormat="false" ht="15" hidden="false" customHeight="false" outlineLevel="0" collapsed="false">
      <c r="B7" s="0" t="s">
        <v>258</v>
      </c>
      <c r="C7" s="18" t="n">
        <f aca="false">C5*C6</f>
        <v>16241.412</v>
      </c>
      <c r="D7" s="18" t="n">
        <f aca="false">D5*D6</f>
        <v>20884.97934</v>
      </c>
      <c r="E7" s="18" t="n">
        <f aca="false">E5*E6</f>
        <v>26805.4169616</v>
      </c>
      <c r="F7" s="18" t="n">
        <f aca="false">F5*F6</f>
        <v>34344.44048205</v>
      </c>
      <c r="G7" s="18" t="n">
        <f aca="false">G5*G6</f>
        <v>43933.4082646384</v>
      </c>
      <c r="H7" s="18" t="n">
        <f aca="false">H5*H6</f>
        <v>56116.4803257169</v>
      </c>
      <c r="I7" s="18" t="n">
        <f aca="false">I5*I6</f>
        <v>71579.6882376922</v>
      </c>
      <c r="J7" s="18" t="n">
        <f aca="false">INDEX(C7:I7,1,Assumptions!E29)</f>
        <v>43933.4082646384</v>
      </c>
    </row>
    <row r="8" customFormat="false" ht="15" hidden="false" customHeight="false" outlineLevel="0" collapsed="false">
      <c r="B8" s="0" t="s">
        <v>230</v>
      </c>
      <c r="C8" s="18" t="n">
        <f aca="false">'Debt Schedule'!D28</f>
        <v>6873.8830625</v>
      </c>
      <c r="D8" s="18" t="n">
        <f aca="false">'Debt Schedule'!E28</f>
        <v>6635.70723100977</v>
      </c>
      <c r="E8" s="18" t="n">
        <f aca="false">'Debt Schedule'!F28</f>
        <v>6122.26367590023</v>
      </c>
      <c r="F8" s="18" t="n">
        <f aca="false">'Debt Schedule'!G28</f>
        <v>5234.31930849267</v>
      </c>
      <c r="G8" s="18" t="n">
        <f aca="false">'Debt Schedule'!H28</f>
        <v>3842.675930204</v>
      </c>
      <c r="H8" s="18" t="n">
        <f aca="false">'Debt Schedule'!I28</f>
        <v>1779.75957846465</v>
      </c>
      <c r="I8" s="18" t="n">
        <f aca="false">'Debt Schedule'!J28</f>
        <v>-1171.09885037519</v>
      </c>
      <c r="J8" s="18" t="n">
        <f aca="false">INDEX(C8:I8,1,Assumptions!E29)</f>
        <v>3842.675930204</v>
      </c>
    </row>
    <row r="9" customFormat="false" ht="15" hidden="false" customHeight="false" outlineLevel="0" collapsed="false">
      <c r="B9" s="0" t="s">
        <v>259</v>
      </c>
      <c r="C9" s="18" t="n">
        <f aca="false">MAX(0,C7-C8)</f>
        <v>9367.5289375</v>
      </c>
      <c r="D9" s="18" t="n">
        <f aca="false">MAX(0,D7-D8)</f>
        <v>14249.2721089902</v>
      </c>
      <c r="E9" s="18" t="n">
        <f aca="false">MAX(0,E7-E8)</f>
        <v>20683.1532856998</v>
      </c>
      <c r="F9" s="18" t="n">
        <f aca="false">MAX(0,F7-F8)</f>
        <v>29110.1211735573</v>
      </c>
      <c r="G9" s="18" t="n">
        <f aca="false">MAX(0,G7-G8)</f>
        <v>40090.7323344344</v>
      </c>
      <c r="H9" s="18" t="n">
        <f aca="false">MAX(0,H7-H8)</f>
        <v>54336.7207472523</v>
      </c>
      <c r="I9" s="18" t="n">
        <f aca="false">MAX(0,I7-I8)</f>
        <v>72750.7870880674</v>
      </c>
      <c r="J9" s="18" t="n">
        <f aca="false">INDEX(C9:I9,1,Assumptions!E29)</f>
        <v>40090.7323344344</v>
      </c>
    </row>
    <row r="10" customFormat="false" ht="15" hidden="false" customHeight="false" outlineLevel="0" collapsed="false">
      <c r="B10" s="0" t="s">
        <v>162</v>
      </c>
      <c r="C10" s="18" t="n">
        <f aca="false">'Management Equity'!$C$7*(1+Assumptions!$E$31)^1</f>
        <v>6527.49192</v>
      </c>
      <c r="D10" s="18" t="n">
        <f aca="false">'Management Equity'!$C$7*(1+Assumptions!$E$31)^2</f>
        <v>7049.6912736</v>
      </c>
      <c r="E10" s="18" t="n">
        <f aca="false">'Management Equity'!$C$7*(1+Assumptions!$E$31)^3</f>
        <v>7613.666575488</v>
      </c>
      <c r="F10" s="18" t="n">
        <f aca="false">'Management Equity'!$C$7*(1+Assumptions!$E$31)^4</f>
        <v>8222.75990152704</v>
      </c>
      <c r="G10" s="18" t="n">
        <f aca="false">'Management Equity'!$C$7*(1+Assumptions!$E$31)^5</f>
        <v>8880.58069364921</v>
      </c>
      <c r="H10" s="18" t="n">
        <f aca="false">'Management Equity'!$C$7*(1+Assumptions!$E$31)^6</f>
        <v>9591.02714914114</v>
      </c>
      <c r="I10" s="18" t="n">
        <f aca="false">'Management Equity'!$C$7*(1+Assumptions!$E$31)^7</f>
        <v>10358.3093210724</v>
      </c>
      <c r="J10" s="18" t="n">
        <f aca="false">INDEX(C10:I10,1,Assumptions!E29)</f>
        <v>8880.58069364921</v>
      </c>
    </row>
    <row r="11" customFormat="false" ht="15" hidden="false" customHeight="false" outlineLevel="0" collapsed="false">
      <c r="B11" s="0" t="s">
        <v>260</v>
      </c>
      <c r="C11" s="18" t="n">
        <f aca="false">MAX(0,C9-C10)</f>
        <v>2840.0370175</v>
      </c>
      <c r="D11" s="18" t="n">
        <f aca="false">MAX(0,D9-D10)</f>
        <v>7199.58083539023</v>
      </c>
      <c r="E11" s="18" t="n">
        <f aca="false">MAX(0,E9-E10)</f>
        <v>13069.4867102118</v>
      </c>
      <c r="F11" s="18" t="n">
        <f aca="false">MAX(0,F9-F10)</f>
        <v>20887.3612720303</v>
      </c>
      <c r="G11" s="18" t="n">
        <f aca="false">MAX(0,G9-G10)</f>
        <v>31210.1516407851</v>
      </c>
      <c r="H11" s="18" t="n">
        <f aca="false">MAX(0,H9-H10)</f>
        <v>44745.6935981111</v>
      </c>
      <c r="I11" s="18" t="n">
        <f aca="false">MAX(0,I9-I10)</f>
        <v>62392.477766995</v>
      </c>
      <c r="J11" s="18" t="n">
        <f aca="false">INDEX(C11:I11,1,Assumptions!E29)</f>
        <v>31210.1516407851</v>
      </c>
    </row>
    <row r="12" customFormat="false" ht="15" hidden="false" customHeight="false" outlineLevel="0" collapsed="false">
      <c r="B12" s="0" t="s">
        <v>261</v>
      </c>
      <c r="C12" s="18" t="n">
        <f aca="false">MIN(C9,C9*Assumptions!$E$30+C11*Assumptions!$E$32)</f>
        <v>1504.76029725</v>
      </c>
      <c r="D12" s="18" t="n">
        <f aca="false">MIN(D9,D9*Assumptions!$E$30+D11*Assumptions!$E$32)</f>
        <v>2864.84337797707</v>
      </c>
      <c r="E12" s="18" t="n">
        <f aca="false">MIN(E9,E9*Assumptions!$E$30+E11*Assumptions!$E$32)</f>
        <v>4682.21267061233</v>
      </c>
      <c r="F12" s="18" t="n">
        <f aca="false">MIN(F9,F9*Assumptions!$E$30+F11*Assumptions!$E$32)</f>
        <v>7088.48437176179</v>
      </c>
      <c r="G12" s="18" t="n">
        <f aca="false">MIN(G9,G9*Assumptions!$E$30+G11*Assumptions!$E$32)</f>
        <v>10251.1035616005</v>
      </c>
      <c r="H12" s="18" t="n">
        <f aca="false">MIN(H9,H9*Assumptions!$E$30+H11*Assumptions!$E$32)</f>
        <v>14382.8107943475</v>
      </c>
      <c r="I12" s="18" t="n">
        <f aca="false">MIN(I9,I9*Assumptions!$E$30+I11*Assumptions!$E$32)</f>
        <v>19753.5742622057</v>
      </c>
      <c r="J12" s="18" t="n">
        <f aca="false">INDEX(C12:I12,1,Assumptions!E29)</f>
        <v>10251.1035616005</v>
      </c>
    </row>
    <row r="13" customFormat="false" ht="15" hidden="false" customHeight="false" outlineLevel="0" collapsed="false">
      <c r="B13" s="0" t="s">
        <v>262</v>
      </c>
      <c r="C13" s="18" t="n">
        <f aca="false">MAX(0,C9-C12)</f>
        <v>7862.76864025</v>
      </c>
      <c r="D13" s="18" t="n">
        <f aca="false">MAX(0,D9-D12)</f>
        <v>11384.4287310132</v>
      </c>
      <c r="E13" s="18" t="n">
        <f aca="false">MAX(0,E9-E12)</f>
        <v>16000.9406150874</v>
      </c>
      <c r="F13" s="18" t="n">
        <f aca="false">MAX(0,F9-F12)</f>
        <v>22021.6368017955</v>
      </c>
      <c r="G13" s="18" t="n">
        <f aca="false">MAX(0,G9-G12)</f>
        <v>29839.6287728339</v>
      </c>
      <c r="H13" s="18" t="n">
        <f aca="false">MAX(0,H9-H12)</f>
        <v>39953.9099529048</v>
      </c>
      <c r="I13" s="18" t="n">
        <f aca="false">MAX(0,I9-I12)</f>
        <v>52997.2128258617</v>
      </c>
      <c r="J13" s="18" t="n">
        <f aca="false">INDEX(C13:I13,1,Assumptions!E29)</f>
        <v>29839.6287728339</v>
      </c>
    </row>
    <row r="14" customFormat="false" ht="15" hidden="false" customHeight="false" outlineLevel="0" collapsed="false">
      <c r="B14" s="0" t="s">
        <v>263</v>
      </c>
      <c r="C14" s="25" t="n">
        <f aca="false">IFERROR(C13/'Sources &amp; Uses'!$F$8,0)</f>
        <v>1.30092694645113</v>
      </c>
      <c r="D14" s="25" t="n">
        <f aca="false">IFERROR(D13/'Sources &amp; Uses'!$F$8,0)</f>
        <v>1.88359988494543</v>
      </c>
      <c r="E14" s="25" t="n">
        <f aca="false">IFERROR(E13/'Sources &amp; Uses'!$F$8,0)</f>
        <v>2.64742049106886</v>
      </c>
      <c r="F14" s="25" t="n">
        <f aca="false">IFERROR(F13/'Sources &amp; Uses'!$F$8,0)</f>
        <v>3.64356908249366</v>
      </c>
      <c r="G14" s="25" t="n">
        <f aca="false">IFERROR(G13/'Sources &amp; Uses'!$F$8,0)</f>
        <v>4.93708754750333</v>
      </c>
      <c r="H14" s="25" t="n">
        <f aca="false">IFERROR(H13/'Sources &amp; Uses'!$F$8,0)</f>
        <v>6.6105363710871</v>
      </c>
      <c r="I14" s="25" t="n">
        <f aca="false">IFERROR(I13/'Sources &amp; Uses'!$F$8,0)</f>
        <v>8.76860370773628</v>
      </c>
      <c r="J14" s="25" t="n">
        <f aca="false">INDEX(C14:I14,1,Assumptions!E29)</f>
        <v>4.93708754750333</v>
      </c>
    </row>
    <row r="15" customFormat="false" ht="15" hidden="false" customHeight="false" outlineLevel="0" collapsed="false">
      <c r="B15" s="0" t="s">
        <v>264</v>
      </c>
      <c r="C15" s="23" t="n">
        <f aca="false">IFERROR((C13/'Sources &amp; Uses'!$F$8)^(1/1)-1,0)</f>
        <v>0.300926946451126</v>
      </c>
      <c r="D15" s="23" t="n">
        <f aca="false">IFERROR((D13/'Sources &amp; Uses'!$F$8)^(1/2)-1,0)</f>
        <v>0.372443035227848</v>
      </c>
      <c r="E15" s="23" t="n">
        <f aca="false">IFERROR((E13/'Sources &amp; Uses'!$F$8)^(1/3)-1,0)</f>
        <v>0.383378352167001</v>
      </c>
      <c r="F15" s="23" t="n">
        <f aca="false">IFERROR((F13/'Sources &amp; Uses'!$F$8)^(1/4)-1,0)</f>
        <v>0.381598178714927</v>
      </c>
      <c r="G15" s="23" t="n">
        <f aca="false">IFERROR((G13/'Sources &amp; Uses'!$F$8)^(1/5)-1,0)</f>
        <v>0.376239966288154</v>
      </c>
      <c r="H15" s="23" t="n">
        <f aca="false">IFERROR((H13/'Sources &amp; Uses'!$F$8)^(1/6)-1,0)</f>
        <v>0.369954415590793</v>
      </c>
      <c r="I15" s="23" t="n">
        <f aca="false">IFERROR((I13/'Sources &amp; Uses'!$F$8)^(1/7)-1,0)</f>
        <v>0.363654496855006</v>
      </c>
      <c r="J15" s="23" t="n">
        <f aca="false">INDEX(C15:I15,1,Assumptions!E29)</f>
        <v>0.376239966288154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265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266</v>
      </c>
      <c r="C4" s="30" t="n">
        <v>7</v>
      </c>
      <c r="D4" s="30" t="n">
        <v>8</v>
      </c>
      <c r="E4" s="30" t="n">
        <v>9</v>
      </c>
      <c r="F4" s="30" t="n">
        <v>10</v>
      </c>
      <c r="G4" s="30" t="n">
        <v>11</v>
      </c>
    </row>
    <row r="5" customFormat="false" ht="15" hidden="false" customHeight="false" outlineLevel="0" collapsed="false">
      <c r="B5" s="25" t="n">
        <v>8</v>
      </c>
      <c r="C5" s="21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0.454908315937823</v>
      </c>
      <c r="D5" s="21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0.501872076361917</v>
      </c>
      <c r="E5" s="21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0.543604544557058</v>
      </c>
      <c r="F5" s="21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0.581258298752811</v>
      </c>
      <c r="G5" s="21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0.615633561205307</v>
      </c>
    </row>
    <row r="6" customFormat="false" ht="15" hidden="false" customHeight="false" outlineLevel="0" collapsed="false">
      <c r="B6" s="25" t="n">
        <v>9</v>
      </c>
      <c r="C6" s="21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0.368583571294536</v>
      </c>
      <c r="D6" s="21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0.412760809309151</v>
      </c>
      <c r="E6" s="21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0.452017145764019</v>
      </c>
      <c r="F6" s="21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0.487436772434208</v>
      </c>
      <c r="G6" s="21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0.51977243162047</v>
      </c>
    </row>
    <row r="7" customFormat="false" ht="15" hidden="false" customHeight="false" outlineLevel="0" collapsed="false">
      <c r="B7" s="25" t="n">
        <v>10</v>
      </c>
      <c r="C7" s="21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0.306041391766064</v>
      </c>
      <c r="D7" s="21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0.348199797457295</v>
      </c>
      <c r="E7" s="21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0.385662179276373</v>
      </c>
      <c r="F7" s="21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0.419463183089688</v>
      </c>
      <c r="G7" s="21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0.450321152024207</v>
      </c>
    </row>
    <row r="8" customFormat="false" ht="15" hidden="false" customHeight="false" outlineLevel="0" collapsed="false">
      <c r="B8" s="25" t="n">
        <v>11</v>
      </c>
      <c r="C8" s="21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0.25749023234223</v>
      </c>
      <c r="D8" s="21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0.298081429299746</v>
      </c>
      <c r="E8" s="21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0.334151173731095</v>
      </c>
      <c r="F8" s="21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0.366695649278788</v>
      </c>
      <c r="G8" s="21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0.396406495175186</v>
      </c>
    </row>
    <row r="9" customFormat="false" ht="15" hidden="false" customHeight="false" outlineLevel="0" collapsed="false">
      <c r="B9" s="25" t="n">
        <v>12</v>
      </c>
      <c r="C9" s="21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0.218085774675978</v>
      </c>
      <c r="D9" s="21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0.257405014157406</v>
      </c>
      <c r="E9" s="21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0.292344484427635</v>
      </c>
      <c r="F9" s="21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0.323869152921558</v>
      </c>
      <c r="G9" s="21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0.352648985805494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267</v>
      </c>
      <c r="C2" s="1"/>
    </row>
    <row r="4" customFormat="false" ht="15" hidden="false" customHeight="false" outlineLevel="0" collapsed="false">
      <c r="B4" s="15" t="s">
        <v>268</v>
      </c>
      <c r="C4" s="15" t="s">
        <v>43</v>
      </c>
    </row>
    <row r="5" customFormat="false" ht="15" hidden="false" customHeight="false" outlineLevel="0" collapsed="false">
      <c r="B5" s="0" t="s">
        <v>269</v>
      </c>
      <c r="C5" s="0" t="str">
        <f aca="false">IF(ABS('Sources &amp; Uses'!F10)&lt;0.000001,"PASS","FAIL")</f>
        <v>PASS</v>
      </c>
    </row>
    <row r="6" customFormat="false" ht="15" hidden="false" customHeight="false" outlineLevel="0" collapsed="false">
      <c r="B6" s="0" t="s">
        <v>270</v>
      </c>
      <c r="C6" s="0" t="str">
        <f aca="false">IF('Sources &amp; Uses'!F8&gt;0,"PASS","FAIL")</f>
        <v>PASS</v>
      </c>
    </row>
    <row r="7" customFormat="false" ht="15" hidden="false" customHeight="false" outlineLevel="0" collapsed="false">
      <c r="B7" s="0" t="s">
        <v>271</v>
      </c>
      <c r="C7" s="0" t="str">
        <f aca="false">IF(MIN('Debt Schedule'!D15:J25)&gt;=0,"PASS","FAIL")</f>
        <v>PASS</v>
      </c>
    </row>
    <row r="8" customFormat="false" ht="15" hidden="false" customHeight="false" outlineLevel="0" collapsed="false">
      <c r="B8" s="0" t="s">
        <v>272</v>
      </c>
      <c r="C8" s="0" t="str">
        <f aca="false">IF(MIN('Debt Schedule'!D13:J13)&gt;=Assumptions!E16,"PASS","REVIEW")</f>
        <v>PASS</v>
      </c>
    </row>
    <row r="9" customFormat="false" ht="15" hidden="false" customHeight="false" outlineLevel="0" collapsed="false">
      <c r="B9" s="0" t="s">
        <v>273</v>
      </c>
      <c r="C9" s="0" t="str">
        <f aca="false">IF(COUNTIF(Covenants!C13:I13,"BREACH")=0,"PASS","REVIEW")</f>
        <v>PASS</v>
      </c>
    </row>
    <row r="10" customFormat="false" ht="15" hidden="false" customHeight="false" outlineLevel="0" collapsed="false">
      <c r="B10" s="0" t="s">
        <v>274</v>
      </c>
      <c r="C10" s="0" t="str">
        <f aca="false">IF(MIN('Returns Waterfall'!C9:I9)&gt;=0,"PASS","FAIL")</f>
        <v>PASS</v>
      </c>
    </row>
    <row r="11" customFormat="false" ht="15" hidden="false" customHeight="false" outlineLevel="0" collapsed="false">
      <c r="B11" s="0" t="s">
        <v>275</v>
      </c>
      <c r="C11" s="0" t="str">
        <f aca="false">IF(MAX(ABS('Returns Waterfall'!C9:I9-'Returns Waterfall'!C12:I12-'Returns Waterfall'!C13:I13))&lt;0.000001,"PASS","FAIL")</f>
        <v>PASS</v>
      </c>
    </row>
    <row r="12" customFormat="false" ht="15" hidden="false" customHeight="false" outlineLevel="0" collapsed="false">
      <c r="B12" s="0" t="s">
        <v>276</v>
      </c>
      <c r="C12" s="0" t="str">
        <f aca="false">IF(AND(Assumptions!E29&gt;=1,Assumptions!E29&lt;=7),"PASS","FAIL")</f>
        <v>PASS</v>
      </c>
    </row>
    <row r="13" customFormat="false" ht="15" hidden="false" customHeight="false" outlineLevel="0" collapsed="false">
      <c r="B13" s="0" t="s">
        <v>277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278</v>
      </c>
      <c r="C2" s="1"/>
      <c r="D2" s="1"/>
      <c r="E2" s="1"/>
    </row>
    <row r="4" customFormat="false" ht="15" hidden="false" customHeight="false" outlineLevel="0" collapsed="false">
      <c r="B4" s="15" t="s">
        <v>279</v>
      </c>
      <c r="C4" s="15" t="s">
        <v>280</v>
      </c>
      <c r="D4" s="15" t="s">
        <v>106</v>
      </c>
      <c r="E4" s="15" t="s">
        <v>281</v>
      </c>
    </row>
    <row r="5" customFormat="false" ht="15" hidden="false" customHeight="false" outlineLevel="0" collapsed="false">
      <c r="B5" s="31" t="s">
        <v>282</v>
      </c>
      <c r="C5" s="31" t="s">
        <v>283</v>
      </c>
      <c r="D5" s="31" t="s">
        <v>284</v>
      </c>
      <c r="E5" s="31" t="s">
        <v>285</v>
      </c>
    </row>
    <row r="6" customFormat="false" ht="15" hidden="false" customHeight="false" outlineLevel="0" collapsed="false">
      <c r="B6" s="31" t="s">
        <v>286</v>
      </c>
      <c r="C6" s="31" t="s">
        <v>287</v>
      </c>
      <c r="D6" s="31" t="s">
        <v>6</v>
      </c>
      <c r="E6" s="31" t="s">
        <v>288</v>
      </c>
    </row>
    <row r="7" customFormat="false" ht="15" hidden="false" customHeight="false" outlineLevel="0" collapsed="false">
      <c r="B7" s="31" t="s">
        <v>289</v>
      </c>
      <c r="C7" s="31" t="s">
        <v>290</v>
      </c>
      <c r="D7" s="31" t="s">
        <v>6</v>
      </c>
      <c r="E7" s="31" t="s">
        <v>291</v>
      </c>
    </row>
    <row r="8" customFormat="false" ht="15" hidden="false" customHeight="false" outlineLevel="0" collapsed="false">
      <c r="B8" s="31" t="s">
        <v>292</v>
      </c>
      <c r="C8" s="31" t="s">
        <v>293</v>
      </c>
      <c r="D8" s="31" t="s">
        <v>6</v>
      </c>
      <c r="E8" s="31" t="s">
        <v>294</v>
      </c>
    </row>
    <row r="9" customFormat="false" ht="15" hidden="false" customHeight="false" outlineLevel="0" collapsed="false">
      <c r="B9" s="31" t="s">
        <v>295</v>
      </c>
      <c r="C9" s="31" t="s">
        <v>296</v>
      </c>
      <c r="D9" s="31" t="s">
        <v>6</v>
      </c>
      <c r="E9" s="31" t="s">
        <v>297</v>
      </c>
    </row>
    <row r="10" customFormat="false" ht="15" hidden="false" customHeight="false" outlineLevel="0" collapsed="false">
      <c r="B10" s="32" t="s">
        <v>298</v>
      </c>
      <c r="C10" s="32" t="s">
        <v>299</v>
      </c>
      <c r="D10" s="32" t="s">
        <v>8</v>
      </c>
      <c r="E10" s="32" t="s">
        <v>300</v>
      </c>
    </row>
    <row r="11" customFormat="false" ht="15" hidden="false" customHeight="false" outlineLevel="0" collapsed="false">
      <c r="B11" s="32" t="s">
        <v>301</v>
      </c>
      <c r="C11" s="32" t="s">
        <v>302</v>
      </c>
      <c r="D11" s="32" t="s">
        <v>8</v>
      </c>
      <c r="E11" s="32" t="s">
        <v>303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304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94</v>
      </c>
      <c r="C4" s="15" t="s">
        <v>305</v>
      </c>
      <c r="D4" s="15" t="s">
        <v>306</v>
      </c>
      <c r="E4" s="15" t="s">
        <v>307</v>
      </c>
      <c r="F4" s="15" t="s">
        <v>308</v>
      </c>
      <c r="G4" s="15" t="s">
        <v>309</v>
      </c>
    </row>
    <row r="5" customFormat="false" ht="15" hidden="false" customHeight="false" outlineLevel="0" collapsed="false">
      <c r="B5" s="33" t="s">
        <v>310</v>
      </c>
      <c r="C5" s="33" t="s">
        <v>311</v>
      </c>
      <c r="D5" s="33" t="s">
        <v>302</v>
      </c>
      <c r="E5" s="33" t="s">
        <v>312</v>
      </c>
      <c r="F5" s="33" t="s">
        <v>313</v>
      </c>
      <c r="G5" s="33" t="s">
        <v>314</v>
      </c>
    </row>
    <row r="6" customFormat="false" ht="15" hidden="false" customHeight="false" outlineLevel="0" collapsed="false">
      <c r="B6" s="33"/>
      <c r="C6" s="33"/>
      <c r="D6" s="33"/>
      <c r="E6" s="33"/>
      <c r="F6" s="33"/>
      <c r="G6" s="33"/>
    </row>
    <row r="7" customFormat="false" ht="15" hidden="false" customHeight="false" outlineLevel="0" collapsed="false">
      <c r="B7" s="33"/>
      <c r="C7" s="33"/>
      <c r="D7" s="33"/>
      <c r="E7" s="33"/>
      <c r="F7" s="33"/>
      <c r="G7" s="33"/>
    </row>
    <row r="8" customFormat="false" ht="15" hidden="false" customHeight="false" outlineLevel="0" collapsed="false">
      <c r="B8" s="33"/>
      <c r="C8" s="33"/>
      <c r="D8" s="33"/>
      <c r="E8" s="33"/>
      <c r="F8" s="33"/>
      <c r="G8" s="33"/>
    </row>
    <row r="9" customFormat="false" ht="15" hidden="false" customHeight="false" outlineLevel="0" collapsed="false">
      <c r="B9" s="33"/>
      <c r="C9" s="33"/>
      <c r="D9" s="33"/>
      <c r="E9" s="33"/>
      <c r="F9" s="33"/>
      <c r="G9" s="33"/>
    </row>
    <row r="10" customFormat="false" ht="15" hidden="false" customHeight="false" outlineLevel="0" collapsed="false">
      <c r="B10" s="33"/>
      <c r="C10" s="33"/>
      <c r="D10" s="33"/>
      <c r="E10" s="33"/>
      <c r="F10" s="33"/>
      <c r="G10" s="33"/>
    </row>
    <row r="11" customFormat="false" ht="15" hidden="false" customHeight="false" outlineLevel="0" collapsed="false">
      <c r="B11" s="33"/>
      <c r="C11" s="33"/>
      <c r="D11" s="33"/>
      <c r="E11" s="33"/>
      <c r="F11" s="33"/>
      <c r="G11" s="33"/>
    </row>
    <row r="12" customFormat="false" ht="15" hidden="false" customHeight="false" outlineLevel="0" collapsed="false">
      <c r="B12" s="33"/>
      <c r="C12" s="33"/>
      <c r="D12" s="33"/>
      <c r="E12" s="33"/>
      <c r="F12" s="33"/>
      <c r="G12" s="33"/>
    </row>
    <row r="13" customFormat="false" ht="15" hidden="false" customHeight="false" outlineLevel="0" collapsed="false">
      <c r="B13" s="33"/>
      <c r="C13" s="33"/>
      <c r="D13" s="33"/>
      <c r="E13" s="33"/>
      <c r="F13" s="33"/>
      <c r="G13" s="33"/>
    </row>
    <row r="14" customFormat="false" ht="15" hidden="false" customHeight="false" outlineLevel="0" collapsed="false">
      <c r="B14" s="33"/>
      <c r="C14" s="33"/>
      <c r="D14" s="33"/>
      <c r="E14" s="33"/>
      <c r="F14" s="33"/>
      <c r="G14" s="33"/>
    </row>
    <row r="15" customFormat="false" ht="15" hidden="false" customHeight="false" outlineLevel="0" collapsed="false">
      <c r="B15" s="33"/>
      <c r="C15" s="33"/>
      <c r="D15" s="33"/>
      <c r="E15" s="33"/>
      <c r="F15" s="33"/>
      <c r="G15" s="33"/>
    </row>
    <row r="16" customFormat="false" ht="15" hidden="false" customHeight="false" outlineLevel="0" collapsed="false">
      <c r="B16" s="33"/>
      <c r="C16" s="33"/>
      <c r="D16" s="33"/>
      <c r="E16" s="33"/>
      <c r="F16" s="33"/>
      <c r="G16" s="33"/>
    </row>
    <row r="17" customFormat="false" ht="15" hidden="false" customHeight="false" outlineLevel="0" collapsed="false">
      <c r="B17" s="33"/>
      <c r="C17" s="33"/>
      <c r="D17" s="33"/>
      <c r="E17" s="33"/>
      <c r="F17" s="33"/>
      <c r="G17" s="33"/>
    </row>
    <row r="18" customFormat="false" ht="15" hidden="false" customHeight="false" outlineLevel="0" collapsed="false">
      <c r="B18" s="33"/>
      <c r="C18" s="33"/>
      <c r="D18" s="33"/>
      <c r="E18" s="33"/>
      <c r="F18" s="33"/>
      <c r="G18" s="33"/>
    </row>
    <row r="19" customFormat="false" ht="15" hidden="false" customHeight="false" outlineLevel="0" collapsed="false">
      <c r="B19" s="33"/>
      <c r="C19" s="33"/>
      <c r="D19" s="33"/>
      <c r="E19" s="33"/>
      <c r="F19" s="33"/>
      <c r="G19" s="33"/>
    </row>
    <row r="20" customFormat="false" ht="15" hidden="false" customHeight="false" outlineLevel="0" collapsed="false">
      <c r="B20" s="33"/>
      <c r="C20" s="33"/>
      <c r="D20" s="33"/>
      <c r="E20" s="33"/>
      <c r="F20" s="33"/>
      <c r="G20" s="33"/>
    </row>
    <row r="21" customFormat="false" ht="15" hidden="false" customHeight="false" outlineLevel="0" collapsed="false">
      <c r="B21" s="33"/>
      <c r="C21" s="33"/>
      <c r="D21" s="33"/>
      <c r="E21" s="33"/>
      <c r="F21" s="33"/>
      <c r="G21" s="33"/>
    </row>
    <row r="22" customFormat="false" ht="15" hidden="false" customHeight="false" outlineLevel="0" collapsed="false">
      <c r="B22" s="33"/>
      <c r="C22" s="33"/>
      <c r="D22" s="33"/>
      <c r="E22" s="33"/>
      <c r="F22" s="33"/>
      <c r="G22" s="33"/>
    </row>
    <row r="23" customFormat="false" ht="15" hidden="false" customHeight="false" outlineLevel="0" collapsed="false">
      <c r="B23" s="33"/>
      <c r="C23" s="33"/>
      <c r="D23" s="33"/>
      <c r="E23" s="33"/>
      <c r="F23" s="33"/>
      <c r="G23" s="33"/>
    </row>
    <row r="24" customFormat="false" ht="15" hidden="false" customHeight="false" outlineLevel="0" collapsed="false">
      <c r="B24" s="33"/>
      <c r="C24" s="33"/>
      <c r="D24" s="33"/>
      <c r="E24" s="33"/>
      <c r="F24" s="33"/>
      <c r="G24" s="33"/>
    </row>
    <row r="25" customFormat="false" ht="15" hidden="false" customHeight="false" outlineLevel="0" collapsed="false">
      <c r="B25" s="33"/>
      <c r="C25" s="33"/>
      <c r="D25" s="33"/>
      <c r="E25" s="33"/>
      <c r="F25" s="33"/>
      <c r="G25" s="33"/>
    </row>
    <row r="26" customFormat="false" ht="15" hidden="false" customHeight="false" outlineLevel="0" collapsed="false">
      <c r="B26" s="33"/>
      <c r="C26" s="33"/>
      <c r="D26" s="33"/>
      <c r="E26" s="33"/>
      <c r="F26" s="33"/>
      <c r="G26" s="33"/>
    </row>
    <row r="27" customFormat="false" ht="15" hidden="false" customHeight="false" outlineLevel="0" collapsed="false">
      <c r="B27" s="33"/>
      <c r="C27" s="33"/>
      <c r="D27" s="33"/>
      <c r="E27" s="33"/>
      <c r="F27" s="33"/>
      <c r="G27" s="33"/>
    </row>
    <row r="28" customFormat="false" ht="15" hidden="false" customHeight="false" outlineLevel="0" collapsed="false">
      <c r="B28" s="33"/>
      <c r="C28" s="33"/>
      <c r="D28" s="33"/>
      <c r="E28" s="33"/>
      <c r="F28" s="33"/>
      <c r="G28" s="33"/>
    </row>
    <row r="29" customFormat="false" ht="15" hidden="false" customHeight="false" outlineLevel="0" collapsed="false">
      <c r="B29" s="33"/>
      <c r="C29" s="33"/>
      <c r="D29" s="33"/>
      <c r="E29" s="33"/>
      <c r="F29" s="33"/>
      <c r="G29" s="33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2026-08-05T23:19:31Z</dcterms:created>
  <dc:creator>openpyxl</dc:creator>
  <dc:description/>
  <dc:language>en-US</dc:language>
  <cp:lastModifiedBy/>
  <dcterms:modified xsi:type="dcterms:W3CDTF">2026-08-05T23:20:28Z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