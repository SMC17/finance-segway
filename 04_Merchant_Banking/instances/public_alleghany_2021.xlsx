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Sources &amp; Uses" sheetId="6" state="visible" r:id="rId6"/>
    <sheet xmlns:r="http://schemas.openxmlformats.org/officeDocument/2006/relationships" name="Operating Model" sheetId="7" state="visible" r:id="rId7"/>
    <sheet xmlns:r="http://schemas.openxmlformats.org/officeDocument/2006/relationships" name="Debt Schedule" sheetId="8" state="visible" r:id="rId8"/>
    <sheet xmlns:r="http://schemas.openxmlformats.org/officeDocument/2006/relationships" name="Covenants" sheetId="9" state="visible" r:id="rId9"/>
    <sheet xmlns:r="http://schemas.openxmlformats.org/officeDocument/2006/relationships" name="Management Equity" sheetId="10" state="visible" r:id="rId10"/>
    <sheet xmlns:r="http://schemas.openxmlformats.org/officeDocument/2006/relationships" name="Returns Waterfall" sheetId="11" state="visible" r:id="rId11"/>
    <sheet xmlns:r="http://schemas.openxmlformats.org/officeDocument/2006/relationships" name="Sensitivity" sheetId="12" state="visible" r:id="rId12"/>
    <sheet xmlns:r="http://schemas.openxmlformats.org/officeDocument/2006/relationships" name="Checks" sheetId="13" state="visible" r:id="rId13"/>
    <sheet xmlns:r="http://schemas.openxmlformats.org/officeDocument/2006/relationships" name="Sources" sheetId="14" state="visible" r:id="rId14"/>
    <sheet xmlns:r="http://schemas.openxmlformats.org/officeDocument/2006/relationships" name="RefreshLog" sheetId="15" state="visible" r:id="rId15"/>
  </sheets>
  <definedNames>
    <definedName name="FS_MODEL_ID">'Institutional Surface'!$C$4</definedName>
    <definedName name="FS_DOMAIN">'Institutional Surface'!$C$5</definedName>
    <definedName name="FS_MATURITY">'Institutional Surface'!$C$6</definedName>
  </definedNames>
  <calcPr calcId="124519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4">
    <numFmt numFmtId="164" formatCode="\$#,##0.0;[RED]&quot;($&quot;#,##0.0\);\-"/>
    <numFmt numFmtId="165" formatCode="0.0%;[RED]\(0.0%\);\-"/>
    <numFmt numFmtId="166" formatCode="0.00%;[RED]\(0.00%\);\-"/>
    <numFmt numFmtId="167" formatCode="0.0\x;[RED]\(0.0&quot;x)&quot;;\-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111827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color rgb="FF111827"/>
      <sz val="10"/>
    </font>
    <font>
      <name val="Arial"/>
      <charset val="1"/>
      <family val="0"/>
      <b val="1"/>
      <color rgb="FF008000"/>
      <sz val="10"/>
    </font>
    <font>
      <b val="1"/>
      <color rgb="00FFFFFF"/>
      <sz val="15"/>
    </font>
    <font>
      <b val="1"/>
    </font>
    <font>
      <b val="1"/>
      <color rgb="00FFFFFF"/>
    </font>
    <font>
      <name val="Arial"/>
      <color rgb="000000FF"/>
      <sz val="10"/>
    </font>
  </fonts>
  <fills count="7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F00"/>
      </patternFill>
    </fill>
  </fills>
  <borders count="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111827"/>
      </top>
      <bottom/>
      <diagonal/>
    </border>
    <border>
      <bottom style="thin">
        <color rgb="00B7B7B7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5" fontId="6" fillId="3" borderId="1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6" fillId="3" borderId="1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7" fontId="6" fillId="3" borderId="1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1" fontId="6" fillId="3" borderId="1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164" fontId="5" fillId="0" borderId="2" applyAlignment="1" pivotButton="0" quotePrefix="0" xfId="0">
      <alignment horizontal="general" vertical="bottom"/>
    </xf>
    <xf numFmtId="167" fontId="7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4" borderId="0" pivotButton="0" quotePrefix="0" xfId="0"/>
    <xf numFmtId="0" fontId="12" fillId="0" borderId="0" pivotButton="0" quotePrefix="0" xfId="0"/>
    <xf numFmtId="0" fontId="0" fillId="0" borderId="0" applyAlignment="1" pivotButton="0" quotePrefix="0" xfId="0">
      <alignment wrapText="1"/>
    </xf>
    <xf numFmtId="0" fontId="13" fillId="4" borderId="0" pivotButton="0" quotePrefix="0" xfId="0"/>
    <xf numFmtId="0" fontId="12" fillId="5" borderId="3" applyAlignment="1" pivotButton="0" quotePrefix="0" xfId="0">
      <alignment wrapText="1"/>
    </xf>
    <xf numFmtId="0" fontId="7" fillId="2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6" fillId="3" borderId="1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6" fillId="3" borderId="1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7" fontId="6" fillId="3" borderId="1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1" fontId="6" fillId="3" borderId="1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164" fontId="5" fillId="0" borderId="2" applyAlignment="1" pivotButton="0" quotePrefix="0" xfId="0">
      <alignment horizontal="general" vertical="bottom"/>
    </xf>
    <xf numFmtId="167" fontId="7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4" fillId="6" borderId="1" applyAlignment="1" pivotButton="0" quotePrefix="0" xfId="0">
      <alignment horizontal="general" vertical="bottom"/>
    </xf>
    <xf numFmtId="164" fontId="14" fillId="6" borderId="1" applyAlignment="1" pivotButton="0" quotePrefix="0" xfId="0">
      <alignment horizontal="general" vertical="bottom"/>
    </xf>
    <xf numFmtId="165" fontId="14" fillId="6" borderId="1" applyAlignment="1" pivotButton="0" quotePrefix="0" xfId="0">
      <alignment horizontal="general" vertical="bottom"/>
    </xf>
    <xf numFmtId="0" fontId="14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F1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4" customWidth="1" style="25" min="1" max="1"/>
    <col width="36" customWidth="1" style="25" min="2" max="2"/>
    <col width="46" customWidth="1" style="25" min="3" max="3"/>
    <col width="12" customWidth="1" style="25" min="4" max="6"/>
  </cols>
  <sheetData>
    <row r="2" ht="27.75" customHeight="1" s="26">
      <c r="B2" s="27" t="inlineStr">
        <is>
          <t>[TARGET] — LBO Underwriting Model</t>
        </is>
      </c>
    </row>
    <row r="4" ht="15" customHeight="1" s="26">
      <c r="B4" s="28" t="inlineStr">
        <is>
          <t>Target / transaction:</t>
        </is>
      </c>
      <c r="C4" s="29" t="inlineStr">
        <is>
          <t>[Name]</t>
        </is>
      </c>
    </row>
    <row r="5" ht="15" customHeight="1" s="26">
      <c r="B5" s="28" t="inlineStr">
        <is>
          <t>Sponsor / principal:</t>
        </is>
      </c>
      <c r="C5" s="29" t="inlineStr">
        <is>
          <t>[Fund / merchant bank]</t>
        </is>
      </c>
    </row>
    <row r="6" ht="15" customHeight="1" s="26">
      <c r="B6" s="28" t="inlineStr">
        <is>
          <t>Entry / close date:</t>
        </is>
      </c>
      <c r="C6" s="29" t="inlineStr">
        <is>
          <t>[date]</t>
        </is>
      </c>
    </row>
    <row r="7" ht="15" customHeight="1" s="26">
      <c r="B7" s="28" t="inlineStr">
        <is>
          <t>Last refreshed:</t>
        </is>
      </c>
      <c r="C7" s="55" t="inlineStr">
        <is>
          <t>2022-02-24</t>
        </is>
      </c>
    </row>
    <row r="8" ht="15" customHeight="1" s="26">
      <c r="B8" s="28" t="inlineStr">
        <is>
          <t>Next IC / financing event:</t>
        </is>
      </c>
      <c r="C8" s="29" t="inlineStr">
        <is>
          <t>[date]</t>
        </is>
      </c>
    </row>
    <row r="9" ht="15" customHeight="1" s="26">
      <c r="B9" s="28" t="inlineStr">
        <is>
          <t>Active scenario:</t>
        </is>
      </c>
      <c r="C9" s="55" t="inlineStr">
        <is>
          <t>Base</t>
        </is>
      </c>
    </row>
    <row r="10" ht="15" customHeight="1" s="26">
      <c r="B10" s="28" t="inlineStr">
        <is>
          <t>Units:</t>
        </is>
      </c>
      <c r="C10" s="29" t="inlineStr">
        <is>
          <t>$ in millions unless noted</t>
        </is>
      </c>
    </row>
    <row r="13" ht="15" customHeight="1" s="26">
      <c r="B13" s="30" t="inlineStr">
        <is>
          <t>Modeling conventions</t>
        </is>
      </c>
    </row>
    <row r="14" ht="15" customHeight="1" s="26">
      <c r="B14" s="31" t="inlineStr">
        <is>
          <t>Blue text / yellow fill</t>
        </is>
      </c>
      <c r="C14" s="32" t="inlineStr">
        <is>
          <t>Hardcoded input or selected scenario</t>
        </is>
      </c>
    </row>
    <row r="15" ht="15" customHeight="1" s="26">
      <c r="B15" s="28" t="inlineStr">
        <is>
          <t>Black text</t>
        </is>
      </c>
      <c r="C15" s="32" t="inlineStr">
        <is>
          <t>Formula / same-sheet calculation</t>
        </is>
      </c>
    </row>
    <row r="16" ht="15" customHeight="1" s="26">
      <c r="B16" s="33" t="inlineStr">
        <is>
          <t>Green text</t>
        </is>
      </c>
      <c r="C16" s="32" t="inlineStr">
        <is>
          <t>Cross-sheet formula / link</t>
        </is>
      </c>
    </row>
    <row r="17" ht="15" customHeight="1" s="26">
      <c r="B17" s="28" t="inlineStr">
        <is>
          <t>Checks</t>
        </is>
      </c>
      <c r="C17" s="32" t="inlineStr">
        <is>
          <t>PASS / REVIEW / FAIL must remain visible</t>
        </is>
      </c>
    </row>
  </sheetData>
  <mergeCells count="2">
    <mergeCell ref="B2:F2"/>
    <mergeCell ref="B13:F13"/>
  </mergeCells>
  <dataValidations count="1">
    <dataValidation sqref="C9" showDropDown="0" showInputMessage="0" showErrorMessage="0" allowBlank="0" type="list" errorStyle="stop" operator="between">
      <formula1>"Base,Downside"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3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style="26" min="2" max="2"/>
    <col width="48" customWidth="1" style="26" min="3" max="3"/>
    <col width="24" customWidth="1" style="26" min="4" max="4"/>
    <col width="34" customWidth="1" style="26" min="5" max="5"/>
    <col width="20" customWidth="1" style="26" min="6" max="6"/>
  </cols>
  <sheetData>
    <row r="2">
      <c r="B2" s="34" t="inlineStr">
        <is>
          <t>Merchant Banking — Institutional Decision Surface</t>
        </is>
      </c>
    </row>
    <row r="4">
      <c r="B4" s="35" t="inlineStr">
        <is>
          <t>Model ID</t>
        </is>
      </c>
      <c r="C4" s="36" t="inlineStr">
        <is>
          <t>04</t>
        </is>
      </c>
    </row>
    <row r="5">
      <c r="B5" s="35" t="inlineStr">
        <is>
          <t>Domain</t>
        </is>
      </c>
      <c r="C5" s="36" t="inlineStr">
        <is>
          <t>Merchant Banking</t>
        </is>
      </c>
    </row>
    <row r="6">
      <c r="B6" s="35" t="inlineStr">
        <is>
          <t>Declared maturity</t>
        </is>
      </c>
      <c r="C6" s="36" t="inlineStr">
        <is>
          <t>M2</t>
        </is>
      </c>
    </row>
    <row r="7">
      <c r="B7" s="35" t="inlineStr">
        <is>
          <t>Canonical builder</t>
        </is>
      </c>
      <c r="C7" s="36" t="inlineStr">
        <is>
          <t>tools/builders/build_lbo_release.py</t>
        </is>
      </c>
    </row>
    <row r="8">
      <c r="B8" s="35" t="inlineStr">
        <is>
          <t>Decision arena</t>
        </is>
      </c>
      <c r="C8" s="36" t="inlineStr">
        <is>
          <t>principal investing committee, client coverage, financing partners and risk committee</t>
        </is>
      </c>
    </row>
    <row r="9">
      <c r="B9" s="35" t="inlineStr">
        <is>
          <t>Committee artifact</t>
        </is>
      </c>
      <c r="C9" s="36" t="inlineStr">
        <is>
          <t>principal-and-advisory conflicts pack</t>
        </is>
      </c>
    </row>
    <row r="10">
      <c r="B10" s="35" t="inlineStr">
        <is>
          <t>Operating cadence</t>
        </is>
      </c>
      <c r="C10" s="36" t="inlineStr">
        <is>
          <t>daily live transactions; weekly risk; monthly portfolio</t>
        </is>
      </c>
    </row>
    <row r="12">
      <c r="B12" s="37" t="inlineStr">
        <is>
          <t>Key decision outputs</t>
        </is>
      </c>
    </row>
    <row r="13">
      <c r="B13" s="38" t="inlineStr">
        <is>
          <t>#</t>
        </is>
      </c>
      <c r="C13" s="38" t="inlineStr">
        <is>
          <t>Requirement</t>
        </is>
      </c>
      <c r="D13" s="38" t="inlineStr">
        <is>
          <t>Owner</t>
        </is>
      </c>
      <c r="E13" s="38" t="inlineStr">
        <is>
          <t>Evidence / location</t>
        </is>
      </c>
      <c r="F13" s="38" t="inlineStr">
        <is>
          <t>Status</t>
        </is>
      </c>
    </row>
    <row r="14">
      <c r="B14" s="25" t="n">
        <v>1</v>
      </c>
      <c r="C14" s="25" t="inlineStr">
        <is>
          <t>risk-adjusted principal return</t>
        </is>
      </c>
      <c r="D14" s="25" t="inlineStr"/>
      <c r="E14" s="25" t="inlineStr"/>
      <c r="F14" s="25" t="inlineStr">
        <is>
          <t>OPEN</t>
        </is>
      </c>
    </row>
    <row r="15">
      <c r="B15" s="25" t="n">
        <v>2</v>
      </c>
      <c r="C15" s="25" t="inlineStr">
        <is>
          <t>client economics and fee offsets</t>
        </is>
      </c>
      <c r="D15" s="25" t="inlineStr"/>
      <c r="E15" s="25" t="inlineStr"/>
      <c r="F15" s="25" t="inlineStr">
        <is>
          <t>OPEN</t>
        </is>
      </c>
    </row>
    <row r="16">
      <c r="B16" s="25" t="n">
        <v>3</v>
      </c>
      <c r="C16" s="25" t="inlineStr">
        <is>
          <t>holdco / opco value and leakage</t>
        </is>
      </c>
      <c r="D16" s="25" t="inlineStr"/>
      <c r="E16" s="25" t="inlineStr"/>
      <c r="F16" s="25" t="inlineStr">
        <is>
          <t>OPEN</t>
        </is>
      </c>
    </row>
    <row r="17">
      <c r="B17" s="25" t="n">
        <v>4</v>
      </c>
      <c r="C17" s="25" t="inlineStr">
        <is>
          <t>base, downside and break-even outputs</t>
        </is>
      </c>
      <c r="D17" s="25" t="inlineStr"/>
      <c r="E17" s="25" t="inlineStr"/>
      <c r="F17" s="25" t="inlineStr">
        <is>
          <t>OPEN</t>
        </is>
      </c>
    </row>
    <row r="18">
      <c r="B18" s="25" t="n">
        <v>5</v>
      </c>
      <c r="C18" s="25" t="inlineStr">
        <is>
          <t>liquidity / funding requirement and binding constraint</t>
        </is>
      </c>
      <c r="D18" s="25" t="inlineStr"/>
      <c r="E18" s="25" t="inlineStr"/>
      <c r="F18" s="25" t="inlineStr">
        <is>
          <t>OPEN</t>
        </is>
      </c>
    </row>
    <row r="20">
      <c r="B20" s="37" t="inlineStr">
        <is>
          <t>Insider questions</t>
        </is>
      </c>
    </row>
    <row r="21">
      <c r="B21" s="38" t="inlineStr">
        <is>
          <t>#</t>
        </is>
      </c>
      <c r="C21" s="38" t="inlineStr">
        <is>
          <t>Requirement</t>
        </is>
      </c>
      <c r="D21" s="38" t="inlineStr">
        <is>
          <t>Owner</t>
        </is>
      </c>
      <c r="E21" s="38" t="inlineStr">
        <is>
          <t>Evidence / location</t>
        </is>
      </c>
      <c r="F21" s="38" t="inlineStr">
        <is>
          <t>Status</t>
        </is>
      </c>
    </row>
    <row r="22">
      <c r="B22" s="25" t="n">
        <v>1</v>
      </c>
      <c r="C22" s="25" t="inlineStr">
        <is>
          <t>Who owns the paper if distribution fails?</t>
        </is>
      </c>
      <c r="D22" s="25" t="inlineStr"/>
      <c r="E22" s="25" t="inlineStr"/>
      <c r="F22" s="25" t="inlineStr">
        <is>
          <t>OPEN</t>
        </is>
      </c>
    </row>
    <row r="23">
      <c r="B23" s="25" t="n">
        <v>2</v>
      </c>
      <c r="C23" s="25" t="inlineStr">
        <is>
          <t>Which economics are contractual versus relationship assumptions?</t>
        </is>
      </c>
      <c r="D23" s="25" t="inlineStr"/>
      <c r="E23" s="25" t="inlineStr"/>
      <c r="F23" s="25" t="inlineStr">
        <is>
          <t>OPEN</t>
        </is>
      </c>
    </row>
    <row r="24">
      <c r="B24" s="25" t="n">
        <v>3</v>
      </c>
      <c r="C24" s="25" t="inlineStr">
        <is>
          <t>Where can holdco cash be trapped?</t>
        </is>
      </c>
      <c r="D24" s="25" t="inlineStr"/>
      <c r="E24" s="25" t="inlineStr"/>
      <c r="F24" s="25" t="inlineStr">
        <is>
          <t>OPEN</t>
        </is>
      </c>
    </row>
    <row r="25">
      <c r="B25" s="25" t="n">
        <v>4</v>
      </c>
      <c r="C25" s="25" t="inlineStr">
        <is>
          <t>Which assumption is owner-approved versus modeler judgement?</t>
        </is>
      </c>
      <c r="D25" s="25" t="inlineStr"/>
      <c r="E25" s="25" t="inlineStr"/>
      <c r="F25" s="25" t="inlineStr">
        <is>
          <t>OPEN</t>
        </is>
      </c>
    </row>
    <row r="26">
      <c r="B26" s="25" t="n">
        <v>5</v>
      </c>
      <c r="C26" s="25" t="inlineStr">
        <is>
          <t>What fails first and who must act?</t>
        </is>
      </c>
      <c r="D26" s="25" t="inlineStr"/>
      <c r="E26" s="25" t="inlineStr"/>
      <c r="F26" s="25" t="inlineStr">
        <is>
          <t>OPEN</t>
        </is>
      </c>
    </row>
    <row r="28">
      <c r="B28" s="37" t="inlineStr">
        <is>
          <t>Scenario families</t>
        </is>
      </c>
    </row>
    <row r="29">
      <c r="B29" s="38" t="inlineStr">
        <is>
          <t>#</t>
        </is>
      </c>
      <c r="C29" s="38" t="inlineStr">
        <is>
          <t>Requirement</t>
        </is>
      </c>
      <c r="D29" s="38" t="inlineStr">
        <is>
          <t>Owner</t>
        </is>
      </c>
      <c r="E29" s="38" t="inlineStr">
        <is>
          <t>Evidence / location</t>
        </is>
      </c>
      <c r="F29" s="38" t="inlineStr">
        <is>
          <t>Status</t>
        </is>
      </c>
    </row>
    <row r="30">
      <c r="B30" s="25" t="n">
        <v>1</v>
      </c>
      <c r="C30" s="25" t="inlineStr">
        <is>
          <t>client loss / failed process</t>
        </is>
      </c>
      <c r="D30" s="25" t="inlineStr"/>
      <c r="E30" s="25" t="inlineStr"/>
      <c r="F30" s="25" t="inlineStr">
        <is>
          <t>OPEN</t>
        </is>
      </c>
    </row>
    <row r="31">
      <c r="B31" s="25" t="n">
        <v>2</v>
      </c>
      <c r="C31" s="25" t="inlineStr">
        <is>
          <t>underwriting take-down</t>
        </is>
      </c>
      <c r="D31" s="25" t="inlineStr"/>
      <c r="E31" s="25" t="inlineStr"/>
      <c r="F31" s="25" t="inlineStr">
        <is>
          <t>OPEN</t>
        </is>
      </c>
    </row>
    <row r="32">
      <c r="B32" s="25" t="n">
        <v>3</v>
      </c>
      <c r="C32" s="25" t="inlineStr">
        <is>
          <t>holdco leakage</t>
        </is>
      </c>
      <c r="D32" s="25" t="inlineStr"/>
      <c r="E32" s="25" t="inlineStr"/>
      <c r="F32" s="25" t="inlineStr">
        <is>
          <t>OPEN</t>
        </is>
      </c>
    </row>
    <row r="33">
      <c r="B33" s="25" t="n">
        <v>4</v>
      </c>
      <c r="C33" s="25" t="inlineStr">
        <is>
          <t>data freshness / source failure</t>
        </is>
      </c>
      <c r="D33" s="25" t="inlineStr"/>
      <c r="E33" s="25" t="inlineStr"/>
      <c r="F33" s="25" t="inlineStr">
        <is>
          <t>OPEN</t>
        </is>
      </c>
    </row>
    <row r="34">
      <c r="B34" s="25" t="n">
        <v>5</v>
      </c>
      <c r="C34" s="25" t="inlineStr">
        <is>
          <t>combined severe-but-plausible downside</t>
        </is>
      </c>
      <c r="D34" s="25" t="inlineStr"/>
      <c r="E34" s="25" t="inlineStr"/>
      <c r="F34" s="25" t="inlineStr">
        <is>
          <t>OPEN</t>
        </is>
      </c>
    </row>
    <row r="36">
      <c r="B36" s="37" t="inlineStr">
        <is>
          <t>Primary diligence documents</t>
        </is>
      </c>
    </row>
    <row r="37">
      <c r="B37" s="38" t="inlineStr">
        <is>
          <t>#</t>
        </is>
      </c>
      <c r="C37" s="38" t="inlineStr">
        <is>
          <t>Requirement</t>
        </is>
      </c>
      <c r="D37" s="38" t="inlineStr">
        <is>
          <t>Owner</t>
        </is>
      </c>
      <c r="E37" s="38" t="inlineStr">
        <is>
          <t>Evidence / location</t>
        </is>
      </c>
      <c r="F37" s="38" t="inlineStr">
        <is>
          <t>Status</t>
        </is>
      </c>
    </row>
    <row r="38">
      <c r="B38" s="25" t="n">
        <v>1</v>
      </c>
      <c r="C38" s="25" t="inlineStr">
        <is>
          <t>engagement letters</t>
        </is>
      </c>
      <c r="D38" s="25" t="inlineStr"/>
      <c r="E38" s="25" t="inlineStr"/>
      <c r="F38" s="25" t="inlineStr">
        <is>
          <t>OPEN</t>
        </is>
      </c>
    </row>
    <row r="39">
      <c r="B39" s="25" t="n">
        <v>2</v>
      </c>
      <c r="C39" s="25" t="inlineStr">
        <is>
          <t>conflicts memorandum</t>
        </is>
      </c>
      <c r="D39" s="25" t="inlineStr"/>
      <c r="E39" s="25" t="inlineStr"/>
      <c r="F39" s="25" t="inlineStr">
        <is>
          <t>OPEN</t>
        </is>
      </c>
    </row>
    <row r="40">
      <c r="B40" s="25" t="n">
        <v>3</v>
      </c>
      <c r="C40" s="25" t="inlineStr">
        <is>
          <t>financing and syndication papers</t>
        </is>
      </c>
      <c r="D40" s="25" t="inlineStr"/>
      <c r="E40" s="25" t="inlineStr"/>
      <c r="F40" s="25" t="inlineStr">
        <is>
          <t>OPEN</t>
        </is>
      </c>
    </row>
    <row r="41">
      <c r="B41" s="25" t="n">
        <v>4</v>
      </c>
      <c r="C41" s="25" t="inlineStr">
        <is>
          <t>approved model card and assumption register</t>
        </is>
      </c>
      <c r="D41" s="25" t="inlineStr"/>
      <c r="E41" s="25" t="inlineStr"/>
      <c r="F41" s="25" t="inlineStr">
        <is>
          <t>OPEN</t>
        </is>
      </c>
    </row>
    <row r="42">
      <c r="B42" s="25" t="n">
        <v>5</v>
      </c>
      <c r="C42" s="25" t="inlineStr">
        <is>
          <t>independent validation and challenge record</t>
        </is>
      </c>
      <c r="D42" s="25" t="inlineStr"/>
      <c r="E42" s="25" t="inlineStr"/>
      <c r="F42" s="25" t="inlineStr">
        <is>
          <t>OPEN</t>
        </is>
      </c>
    </row>
    <row r="44">
      <c r="B44" s="37" t="inlineStr">
        <is>
          <t>Challenge tests</t>
        </is>
      </c>
    </row>
    <row r="45">
      <c r="B45" s="38" t="inlineStr">
        <is>
          <t>#</t>
        </is>
      </c>
      <c r="C45" s="38" t="inlineStr">
        <is>
          <t>Requirement</t>
        </is>
      </c>
      <c r="D45" s="38" t="inlineStr">
        <is>
          <t>Owner</t>
        </is>
      </c>
      <c r="E45" s="38" t="inlineStr">
        <is>
          <t>Evidence / location</t>
        </is>
      </c>
      <c r="F45" s="38" t="inlineStr">
        <is>
          <t>Status</t>
        </is>
      </c>
    </row>
    <row r="46">
      <c r="B46" s="25" t="n">
        <v>1</v>
      </c>
      <c r="C46" s="25" t="inlineStr">
        <is>
          <t>principal and advisory cash flows separated</t>
        </is>
      </c>
      <c r="D46" s="25" t="inlineStr"/>
      <c r="E46" s="25" t="inlineStr"/>
      <c r="F46" s="25" t="inlineStr">
        <is>
          <t>OPEN</t>
        </is>
      </c>
    </row>
    <row r="47">
      <c r="B47" s="25" t="n">
        <v>2</v>
      </c>
      <c r="C47" s="25" t="inlineStr">
        <is>
          <t>fees not double-counted in returns</t>
        </is>
      </c>
      <c r="D47" s="25" t="inlineStr"/>
      <c r="E47" s="25" t="inlineStr"/>
      <c r="F47" s="25" t="inlineStr">
        <is>
          <t>OPEN</t>
        </is>
      </c>
    </row>
    <row r="48">
      <c r="B48" s="25" t="n">
        <v>3</v>
      </c>
      <c r="C48" s="25" t="inlineStr">
        <is>
          <t>legal-entity exposure reconciles</t>
        </is>
      </c>
      <c r="D48" s="25" t="inlineStr"/>
      <c r="E48" s="25" t="inlineStr"/>
      <c r="F48" s="25" t="inlineStr">
        <is>
          <t>OPEN</t>
        </is>
      </c>
    </row>
    <row r="49">
      <c r="B49" s="25" t="n">
        <v>4</v>
      </c>
      <c r="C49" s="25" t="inlineStr">
        <is>
          <t>source-to-model lineage is reproducible</t>
        </is>
      </c>
      <c r="D49" s="25" t="inlineStr"/>
      <c r="E49" s="25" t="inlineStr"/>
      <c r="F49" s="25" t="inlineStr">
        <is>
          <t>OPEN</t>
        </is>
      </c>
    </row>
    <row r="50">
      <c r="B50" s="25" t="n">
        <v>5</v>
      </c>
      <c r="C50" s="25" t="inlineStr">
        <is>
          <t>units, signs, dates and legal definitions reconcile</t>
        </is>
      </c>
      <c r="D50" s="25" t="inlineStr"/>
      <c r="E50" s="25" t="inlineStr"/>
      <c r="F50" s="25" t="inlineStr">
        <is>
          <t>OPEN</t>
        </is>
      </c>
    </row>
    <row r="52">
      <c r="B52" s="37" t="inlineStr">
        <is>
          <t>Known failure modes</t>
        </is>
      </c>
    </row>
    <row r="53">
      <c r="B53" s="38" t="inlineStr">
        <is>
          <t>#</t>
        </is>
      </c>
      <c r="C53" s="38" t="inlineStr">
        <is>
          <t>Requirement</t>
        </is>
      </c>
      <c r="D53" s="38" t="inlineStr">
        <is>
          <t>Owner</t>
        </is>
      </c>
      <c r="E53" s="38" t="inlineStr">
        <is>
          <t>Evidence / location</t>
        </is>
      </c>
      <c r="F53" s="38" t="inlineStr">
        <is>
          <t>Status</t>
        </is>
      </c>
    </row>
    <row r="54">
      <c r="B54" s="25" t="n">
        <v>1</v>
      </c>
      <c r="C54" s="25" t="inlineStr">
        <is>
          <t>treating advisory fees as guaranteed</t>
        </is>
      </c>
      <c r="D54" s="25" t="inlineStr"/>
      <c r="E54" s="25" t="inlineStr"/>
      <c r="F54" s="25" t="inlineStr">
        <is>
          <t>OPEN</t>
        </is>
      </c>
    </row>
    <row r="55">
      <c r="B55" s="25" t="n">
        <v>2</v>
      </c>
      <c r="C55" s="25" t="inlineStr">
        <is>
          <t>ignoring residual underwriting inventory</t>
        </is>
      </c>
      <c r="D55" s="25" t="inlineStr"/>
      <c r="E55" s="25" t="inlineStr"/>
      <c r="F55" s="25" t="inlineStr">
        <is>
          <t>OPEN</t>
        </is>
      </c>
    </row>
    <row r="56">
      <c r="B56" s="25" t="n">
        <v>3</v>
      </c>
      <c r="C56" s="25" t="inlineStr">
        <is>
          <t>failing to allocate shared expenses</t>
        </is>
      </c>
      <c r="D56" s="25" t="inlineStr"/>
      <c r="E56" s="25" t="inlineStr"/>
      <c r="F56" s="25" t="inlineStr">
        <is>
          <t>OPEN</t>
        </is>
      </c>
    </row>
    <row r="57">
      <c r="B57" s="25" t="n">
        <v>4</v>
      </c>
      <c r="C57" s="25" t="inlineStr">
        <is>
          <t>stale vintage presented as current</t>
        </is>
      </c>
      <c r="D57" s="25" t="inlineStr"/>
      <c r="E57" s="25" t="inlineStr"/>
      <c r="F57" s="25" t="inlineStr">
        <is>
          <t>OPEN</t>
        </is>
      </c>
    </row>
    <row r="58">
      <c r="B58" s="25" t="n">
        <v>5</v>
      </c>
      <c r="C58" s="25" t="inlineStr">
        <is>
          <t>decision output disconnected from a binding constraint</t>
        </is>
      </c>
      <c r="D58" s="25" t="inlineStr"/>
      <c r="E58" s="25" t="inlineStr"/>
      <c r="F58" s="25" t="inlineStr">
        <is>
          <t>OPEN</t>
        </is>
      </c>
    </row>
    <row r="60">
      <c r="B60" s="37" t="inlineStr">
        <is>
          <t>Regulatory / methodological anchors</t>
        </is>
      </c>
    </row>
    <row r="61">
      <c r="B61" s="38" t="inlineStr">
        <is>
          <t>Standard</t>
        </is>
      </c>
      <c r="C61" s="38" t="inlineStr">
        <is>
          <t>Scope</t>
        </is>
      </c>
      <c r="D61" s="38" t="inlineStr">
        <is>
          <t>Source URL</t>
        </is>
      </c>
      <c r="E61" s="38" t="inlineStr">
        <is>
          <t>Applicability</t>
        </is>
      </c>
      <c r="F61" s="38" t="inlineStr">
        <is>
          <t>Review note</t>
        </is>
      </c>
    </row>
    <row r="62">
      <c r="B62" s="25" t="inlineStr">
        <is>
          <t>Federal Reserve SR 26-2 Model Risk Management</t>
        </is>
      </c>
      <c r="C62" s="25" t="inlineStr">
        <is>
          <t>governance, validation, change control, monitoring</t>
        </is>
      </c>
      <c r="D62" s="25" t="inlineStr">
        <is>
          <t>https://www.federalreserve.gov/supervisionreg/srletters/SR2602.htm</t>
        </is>
      </c>
      <c r="E62" s="25" t="inlineStr">
        <is>
          <t>Map explicitly</t>
        </is>
      </c>
      <c r="F62" s="25" t="inlineStr"/>
    </row>
    <row r="63">
      <c r="B63" s="25" t="inlineStr">
        <is>
          <t>Basel Framework</t>
        </is>
      </c>
      <c r="C63" s="25" t="inlineStr">
        <is>
          <t>prudential capital, liquidity, credit and market risk</t>
        </is>
      </c>
      <c r="D63" s="25" t="inlineStr">
        <is>
          <t>https://www.bis.org/basel_framework/</t>
        </is>
      </c>
      <c r="E63" s="25" t="inlineStr">
        <is>
          <t>Map explicitly</t>
        </is>
      </c>
      <c r="F63" s="25" t="inlineStr"/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>
      <formula1>"OPEN,IN REVIEW,CLOSED,NOT APPLICABLE"</formula1>
    </dataValidation>
    <dataValidation sqref="F22:F26" showDropDown="0" showInputMessage="0" showErrorMessage="0" allowBlank="0" type="list">
      <formula1>"OPEN,IN REVIEW,CLOSED,NOT APPLICABLE"</formula1>
    </dataValidation>
    <dataValidation sqref="F30:F34" showDropDown="0" showInputMessage="0" showErrorMessage="0" allowBlank="0" type="list">
      <formula1>"OPEN,IN REVIEW,CLOSED,NOT APPLICABLE"</formula1>
    </dataValidation>
    <dataValidation sqref="F38:F42" showDropDown="0" showInputMessage="0" showErrorMessage="0" allowBlank="0" type="list">
      <formula1>"OPEN,IN REVIEW,CLOSED,NOT APPLICABLE"</formula1>
    </dataValidation>
    <dataValidation sqref="F46:F50" showDropDown="0" showInputMessage="0" showErrorMessage="0" allowBlank="0" type="list">
      <formula1>"OPEN,IN REVIEW,CLOSED,NOT APPLICABLE"</formula1>
    </dataValidation>
    <dataValidation sqref="F54:F58" showDropDown="0" showInputMessage="0" showErrorMessage="0" allowBlank="0" type="list">
      <formula1>"OPEN,IN REVIEW,CLOSED,NOT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style="26" min="2" max="2"/>
    <col width="22" customWidth="1" style="26" min="3" max="3"/>
    <col width="52" customWidth="1" style="26" min="4" max="4"/>
    <col width="46" customWidth="1" style="26" min="5" max="5"/>
    <col width="36" customWidth="1" style="26" min="6" max="6"/>
    <col width="14" customWidth="1" style="26" min="7" max="7"/>
    <col width="18" customWidth="1" style="26" min="8" max="8"/>
    <col width="14" customWidth="1" style="26" min="9" max="9"/>
  </cols>
  <sheetData>
    <row r="2">
      <c r="B2" s="34" t="inlineStr">
        <is>
          <t>Independent Challenge, Override and Closure Log</t>
        </is>
      </c>
    </row>
    <row r="4">
      <c r="B4" s="38" t="inlineStr">
        <is>
          <t>Date</t>
        </is>
      </c>
      <c r="C4" s="38" t="inlineStr">
        <is>
          <t>Reviewer</t>
        </is>
      </c>
      <c r="D4" s="38" t="inlineStr">
        <is>
          <t>Challenge</t>
        </is>
      </c>
      <c r="E4" s="38" t="inlineStr">
        <is>
          <t>Owner response</t>
        </is>
      </c>
      <c r="F4" s="38" t="inlineStr">
        <is>
          <t>Evidence</t>
        </is>
      </c>
      <c r="G4" s="38" t="inlineStr">
        <is>
          <t>Impact</t>
        </is>
      </c>
      <c r="H4" s="38" t="inlineStr">
        <is>
          <t>Status</t>
        </is>
      </c>
      <c r="I4" s="38" t="inlineStr">
        <is>
          <t>Closure</t>
        </is>
      </c>
    </row>
    <row r="5">
      <c r="B5" s="25" t="inlineStr"/>
      <c r="C5" s="25" t="inlineStr"/>
      <c r="D5" s="25" t="inlineStr">
        <is>
          <t>principal and advisory cash flows separated</t>
        </is>
      </c>
      <c r="E5" s="25" t="inlineStr"/>
      <c r="F5" s="25" t="inlineStr"/>
      <c r="G5" s="25" t="inlineStr"/>
      <c r="H5" s="25" t="inlineStr">
        <is>
          <t>OPEN</t>
        </is>
      </c>
      <c r="I5" s="25" t="inlineStr"/>
    </row>
    <row r="6">
      <c r="B6" s="25" t="inlineStr"/>
      <c r="C6" s="25" t="inlineStr"/>
      <c r="D6" s="25" t="inlineStr">
        <is>
          <t>fees not double-counted in returns</t>
        </is>
      </c>
      <c r="E6" s="25" t="inlineStr"/>
      <c r="F6" s="25" t="inlineStr"/>
      <c r="G6" s="25" t="inlineStr"/>
      <c r="H6" s="25" t="inlineStr">
        <is>
          <t>OPEN</t>
        </is>
      </c>
      <c r="I6" s="25" t="inlineStr"/>
    </row>
    <row r="7">
      <c r="B7" s="25" t="inlineStr"/>
      <c r="C7" s="25" t="inlineStr"/>
      <c r="D7" s="25" t="inlineStr">
        <is>
          <t>legal-entity exposure reconciles</t>
        </is>
      </c>
      <c r="E7" s="25" t="inlineStr"/>
      <c r="F7" s="25" t="inlineStr"/>
      <c r="G7" s="25" t="inlineStr"/>
      <c r="H7" s="25" t="inlineStr">
        <is>
          <t>OPEN</t>
        </is>
      </c>
      <c r="I7" s="25" t="inlineStr"/>
    </row>
    <row r="8">
      <c r="B8" s="25" t="inlineStr"/>
      <c r="C8" s="25" t="inlineStr"/>
      <c r="D8" s="25" t="inlineStr">
        <is>
          <t>source-to-model lineage is reproducible</t>
        </is>
      </c>
      <c r="E8" s="25" t="inlineStr"/>
      <c r="F8" s="25" t="inlineStr"/>
      <c r="G8" s="25" t="inlineStr"/>
      <c r="H8" s="25" t="inlineStr">
        <is>
          <t>OPEN</t>
        </is>
      </c>
      <c r="I8" s="25" t="inlineStr"/>
    </row>
    <row r="9">
      <c r="B9" s="25" t="inlineStr"/>
      <c r="C9" s="25" t="inlineStr"/>
      <c r="D9" s="25" t="inlineStr">
        <is>
          <t>units, signs, dates and legal definitions reconcile</t>
        </is>
      </c>
      <c r="E9" s="25" t="inlineStr"/>
      <c r="F9" s="25" t="inlineStr"/>
      <c r="G9" s="25" t="inlineStr"/>
      <c r="H9" s="25" t="inlineStr">
        <is>
          <t>OPEN</t>
        </is>
      </c>
      <c r="I9" s="25" t="inlineStr"/>
    </row>
  </sheetData>
  <mergeCells count="1">
    <mergeCell ref="B2:I2"/>
  </mergeCells>
  <dataValidations count="2">
    <dataValidation sqref="H5:H54" showDropDown="0" showInputMessage="0" showErrorMessage="0" allowBlank="0" type="list">
      <formula1>"OPEN,IN REVIEW,REMEDIATED,ACCEPTED RISK,CLOSED"</formula1>
    </dataValidation>
    <dataValidation sqref="G5:G54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style="26" min="2" max="2"/>
    <col width="18" customWidth="1" style="26" min="3" max="3"/>
    <col width="42" customWidth="1" style="26" min="4" max="4"/>
    <col width="24" customWidth="1" style="26" min="5" max="5"/>
    <col width="18" customWidth="1" style="26" min="6" max="6"/>
    <col width="22" customWidth="1" style="26" min="7" max="7"/>
    <col width="42" customWidth="1" style="26" min="8" max="8"/>
    <col width="30" customWidth="1" style="26" min="9" max="9"/>
    <col width="15" customWidth="1" style="26" min="10" max="10"/>
  </cols>
  <sheetData>
    <row r="2">
      <c r="B2" s="34" t="inlineStr">
        <is>
          <t>Source, Transformation, Ownership and Refresh Map</t>
        </is>
      </c>
    </row>
    <row r="4">
      <c r="B4" s="38" t="inlineStr">
        <is>
          <t>Source class</t>
        </is>
      </c>
      <c r="C4" s="38" t="inlineStr">
        <is>
          <t>Cadence</t>
        </is>
      </c>
      <c r="D4" s="38" t="inlineStr">
        <is>
          <t>Control</t>
        </is>
      </c>
      <c r="E4" s="38" t="inlineStr">
        <is>
          <t>System / provider</t>
        </is>
      </c>
      <c r="F4" s="38" t="inlineStr">
        <is>
          <t>As-of</t>
        </is>
      </c>
      <c r="G4" s="38" t="inlineStr">
        <is>
          <t>Owner</t>
        </is>
      </c>
      <c r="H4" s="38" t="inlineStr">
        <is>
          <t>Transform</t>
        </is>
      </c>
      <c r="I4" s="38" t="inlineStr">
        <is>
          <t>Downstream</t>
        </is>
      </c>
      <c r="J4" s="38" t="inlineStr">
        <is>
          <t>Status</t>
        </is>
      </c>
    </row>
    <row r="5">
      <c r="B5" s="25" t="inlineStr">
        <is>
          <t>client pipeline</t>
        </is>
      </c>
      <c r="C5" s="25" t="inlineStr">
        <is>
          <t>weekly</t>
        </is>
      </c>
      <c r="D5" s="25" t="inlineStr">
        <is>
          <t>engagement status and probability</t>
        </is>
      </c>
      <c r="E5" s="25" t="inlineStr"/>
      <c r="F5" s="25" t="inlineStr"/>
      <c r="G5" s="25" t="inlineStr"/>
      <c r="H5" s="25" t="inlineStr"/>
      <c r="I5" s="25" t="inlineStr"/>
      <c r="J5" s="25" t="inlineStr">
        <is>
          <t>TO MAP</t>
        </is>
      </c>
    </row>
    <row r="6">
      <c r="B6" s="25" t="inlineStr">
        <is>
          <t>principal exposure</t>
        </is>
      </c>
      <c r="C6" s="25" t="inlineStr">
        <is>
          <t>daily/weekly</t>
        </is>
      </c>
      <c r="D6" s="25" t="inlineStr">
        <is>
          <t>legal-entity and concentration mapping</t>
        </is>
      </c>
      <c r="E6" s="25" t="inlineStr"/>
      <c r="F6" s="25" t="inlineStr"/>
      <c r="G6" s="25" t="inlineStr"/>
      <c r="H6" s="25" t="inlineStr"/>
      <c r="I6" s="25" t="inlineStr"/>
      <c r="J6" s="25" t="inlineStr">
        <is>
          <t>TO MAP</t>
        </is>
      </c>
    </row>
    <row r="7">
      <c r="B7" s="25" t="inlineStr">
        <is>
          <t>model governance evidence</t>
        </is>
      </c>
      <c r="C7" s="25" t="inlineStr">
        <is>
          <t>per release</t>
        </is>
      </c>
      <c r="D7" s="25" t="inlineStr">
        <is>
          <t>version, reviewer, sign-off and change log</t>
        </is>
      </c>
      <c r="E7" s="25" t="inlineStr"/>
      <c r="F7" s="25" t="inlineStr"/>
      <c r="G7" s="25" t="inlineStr"/>
      <c r="H7" s="25" t="inlineStr"/>
      <c r="I7" s="25" t="inlineStr"/>
      <c r="J7" s="25" t="inlineStr">
        <is>
          <t>TO MAP</t>
        </is>
      </c>
    </row>
    <row r="8">
      <c r="B8" s="25" t="inlineStr">
        <is>
          <t>decision-use snapshot</t>
        </is>
      </c>
      <c r="C8" s="25" t="inlineStr">
        <is>
          <t>per decision</t>
        </is>
      </c>
      <c r="D8" s="25" t="inlineStr">
        <is>
          <t>immutable as-of date and source receipt</t>
        </is>
      </c>
      <c r="E8" s="25" t="inlineStr"/>
      <c r="F8" s="25" t="inlineStr"/>
      <c r="G8" s="25" t="inlineStr"/>
      <c r="H8" s="25" t="inlineStr"/>
      <c r="I8" s="25" t="inlineStr"/>
      <c r="J8" s="25" t="inlineStr">
        <is>
          <t>TO MAP</t>
        </is>
      </c>
    </row>
  </sheetData>
  <mergeCells count="1">
    <mergeCell ref="B2:J2"/>
  </mergeCells>
  <dataValidations count="1">
    <dataValidation sqref="J5:J40" showDropDown="0" showInputMessage="0" showErrorMessage="0" allowBlank="0" type="list">
      <formula1>"TO MAP,ACTIVE,STALE,EXCEPTION,RETIRED"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2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4" customWidth="1" style="25" min="1" max="1"/>
    <col width="46" customWidth="1" style="25" min="2" max="2"/>
    <col width="15" customWidth="1" style="25" min="3" max="5"/>
    <col width="32" customWidth="1" style="25" min="6" max="6"/>
  </cols>
  <sheetData>
    <row r="2" ht="27.75" customHeight="1" s="26">
      <c r="B2" s="27" t="inlineStr">
        <is>
          <t>Transaction, Operating, and Financing Assumptions</t>
        </is>
      </c>
    </row>
    <row r="4" ht="15" customHeight="1" s="26">
      <c r="B4" s="39" t="inlineStr">
        <is>
          <t>Assumption</t>
        </is>
      </c>
      <c r="C4" s="39" t="inlineStr">
        <is>
          <t>Base</t>
        </is>
      </c>
      <c r="D4" s="39" t="inlineStr">
        <is>
          <t>Downside</t>
        </is>
      </c>
      <c r="E4" s="39" t="inlineStr">
        <is>
          <t>Active</t>
        </is>
      </c>
      <c r="F4" s="39" t="inlineStr">
        <is>
          <t>Units / note</t>
        </is>
      </c>
    </row>
    <row r="5" ht="15" customHeight="1" s="26">
      <c r="B5" s="25" t="inlineStr">
        <is>
          <t>LTM revenue</t>
        </is>
      </c>
      <c r="C5" s="56" t="n">
        <v>12004</v>
      </c>
      <c r="D5" s="40" t="n">
        <v>600</v>
      </c>
      <c r="E5" s="41">
        <f>IF(Cover!$C$9="Downside",D5,C5)</f>
        <v/>
      </c>
      <c r="F5" s="25" t="inlineStr">
        <is>
          <t>$mm</t>
        </is>
      </c>
    </row>
    <row r="6" ht="15" customHeight="1" s="26">
      <c r="B6" s="25" t="inlineStr">
        <is>
          <t>LTM EBITDA margin</t>
        </is>
      </c>
      <c r="C6" s="57" t="n">
        <v>0.105</v>
      </c>
      <c r="D6" s="42" t="n">
        <v>0.17</v>
      </c>
      <c r="E6" s="43">
        <f>IF(Cover!$C$9="Downside",D6,C6)</f>
        <v/>
      </c>
      <c r="F6" s="25" t="inlineStr">
        <is>
          <t>%</t>
        </is>
      </c>
    </row>
    <row r="7" ht="15" customHeight="1" s="26">
      <c r="B7" s="25" t="inlineStr">
        <is>
          <t>Annual revenue growth</t>
        </is>
      </c>
      <c r="C7" s="57" t="n">
        <v>0.23</v>
      </c>
      <c r="D7" s="42" t="n">
        <v>-0.02</v>
      </c>
      <c r="E7" s="43">
        <f>IF(Cover!$C$9="Downside",D7,C7)</f>
        <v/>
      </c>
      <c r="F7" s="25" t="inlineStr">
        <is>
          <t>%</t>
        </is>
      </c>
    </row>
    <row r="8" ht="15" customHeight="1" s="26">
      <c r="B8" s="25" t="inlineStr">
        <is>
          <t>Annual EBITDA margin expansion</t>
        </is>
      </c>
      <c r="C8" s="44" t="n">
        <v>0.005</v>
      </c>
      <c r="D8" s="44" t="n">
        <v>-0.003</v>
      </c>
      <c r="E8" s="45">
        <f>IF(Cover!$C$9="Downside",D8,C8)</f>
        <v/>
      </c>
      <c r="F8" s="25" t="inlineStr">
        <is>
          <t>% points</t>
        </is>
      </c>
    </row>
    <row r="9" ht="15" customHeight="1" s="26">
      <c r="B9" s="25" t="inlineStr">
        <is>
          <t>D&amp;A / revenue</t>
        </is>
      </c>
      <c r="C9" s="42" t="n">
        <v>0.025</v>
      </c>
      <c r="D9" s="42" t="n">
        <v>0.025</v>
      </c>
      <c r="E9" s="43">
        <f>IF(Cover!$C$9="Downside",D9,C9)</f>
        <v/>
      </c>
      <c r="F9" s="25" t="inlineStr">
        <is>
          <t>%</t>
        </is>
      </c>
    </row>
    <row r="10" ht="15" customHeight="1" s="26">
      <c r="B10" s="25" t="inlineStr">
        <is>
          <t>Capex / revenue</t>
        </is>
      </c>
      <c r="C10" s="42" t="n">
        <v>0.035</v>
      </c>
      <c r="D10" s="42" t="n">
        <v>0.045</v>
      </c>
      <c r="E10" s="43">
        <f>IF(Cover!$C$9="Downside",D10,C10)</f>
        <v/>
      </c>
      <c r="F10" s="25" t="inlineStr">
        <is>
          <t>%</t>
        </is>
      </c>
    </row>
    <row r="11" ht="15" customHeight="1" s="26">
      <c r="B11" s="25" t="inlineStr">
        <is>
          <t>NWC / revenue</t>
        </is>
      </c>
      <c r="C11" s="42" t="n">
        <v>0.08</v>
      </c>
      <c r="D11" s="42" t="n">
        <v>0.1</v>
      </c>
      <c r="E11" s="43">
        <f>IF(Cover!$C$9="Downside",D11,C11)</f>
        <v/>
      </c>
      <c r="F11" s="25" t="inlineStr">
        <is>
          <t>%</t>
        </is>
      </c>
    </row>
    <row r="12" ht="15" customHeight="1" s="26">
      <c r="B12" s="25" t="inlineStr">
        <is>
          <t>Cash tax rate</t>
        </is>
      </c>
      <c r="C12" s="42" t="n">
        <v>0.25</v>
      </c>
      <c r="D12" s="42" t="n">
        <v>0.2</v>
      </c>
      <c r="E12" s="43">
        <f>IF(Cover!$C$9="Downside",D12,C12)</f>
        <v/>
      </c>
      <c r="F12" s="25" t="inlineStr">
        <is>
          <t>%</t>
        </is>
      </c>
    </row>
    <row r="13" ht="15" customHeight="1" s="26">
      <c r="B13" s="25" t="inlineStr">
        <is>
          <t>Entry EBITDA multiple</t>
        </is>
      </c>
      <c r="C13" s="46" t="n">
        <v>10</v>
      </c>
      <c r="D13" s="46" t="n">
        <v>9</v>
      </c>
      <c r="E13" s="47">
        <f>IF(Cover!$C$9="Downside",D13,C13)</f>
        <v/>
      </c>
      <c r="F13" s="25" t="inlineStr">
        <is>
          <t>x</t>
        </is>
      </c>
    </row>
    <row r="14" ht="15" customHeight="1" s="26">
      <c r="B14" s="25" t="inlineStr">
        <is>
          <t>Transaction fees / enterprise value</t>
        </is>
      </c>
      <c r="C14" s="42" t="n">
        <v>0.02</v>
      </c>
      <c r="D14" s="42" t="n">
        <v>0.025</v>
      </c>
      <c r="E14" s="43">
        <f>IF(Cover!$C$9="Downside",D14,C14)</f>
        <v/>
      </c>
      <c r="F14" s="25" t="inlineStr">
        <is>
          <t>%</t>
        </is>
      </c>
    </row>
    <row r="15" ht="15" customHeight="1" s="26">
      <c r="B15" s="25" t="inlineStr">
        <is>
          <t>Existing net debt refinanced</t>
        </is>
      </c>
      <c r="C15" s="40" t="n">
        <v>100</v>
      </c>
      <c r="D15" s="40" t="n">
        <v>100</v>
      </c>
      <c r="E15" s="41">
        <f>IF(Cover!$C$9="Downside",D15,C15)</f>
        <v/>
      </c>
      <c r="F15" s="25" t="inlineStr">
        <is>
          <t>$mm</t>
        </is>
      </c>
    </row>
    <row r="16" ht="15" customHeight="1" s="26">
      <c r="B16" s="25" t="inlineStr">
        <is>
          <t>Minimum cash</t>
        </is>
      </c>
      <c r="C16" s="40" t="n">
        <v>20</v>
      </c>
      <c r="D16" s="40" t="n">
        <v>25</v>
      </c>
      <c r="E16" s="41">
        <f>IF(Cover!$C$9="Downside",D16,C16)</f>
        <v/>
      </c>
      <c r="F16" s="25" t="inlineStr">
        <is>
          <t>$mm</t>
        </is>
      </c>
    </row>
    <row r="17" ht="15" customHeight="1" s="26">
      <c r="B17" s="25" t="inlineStr">
        <is>
          <t>Revolver commitment</t>
        </is>
      </c>
      <c r="C17" s="40" t="n">
        <v>75</v>
      </c>
      <c r="D17" s="40" t="n">
        <v>75</v>
      </c>
      <c r="E17" s="41">
        <f>IF(Cover!$C$9="Downside",D17,C17)</f>
        <v/>
      </c>
      <c r="F17" s="25" t="inlineStr">
        <is>
          <t>$mm</t>
        </is>
      </c>
    </row>
    <row r="18" ht="15" customHeight="1" s="26">
      <c r="B18" s="25" t="inlineStr">
        <is>
          <t>Revolver cash rate</t>
        </is>
      </c>
      <c r="C18" s="44" t="n">
        <v>0.09</v>
      </c>
      <c r="D18" s="44" t="n">
        <v>0.115</v>
      </c>
      <c r="E18" s="45">
        <f>IF(Cover!$C$9="Downside",D18,C18)</f>
        <v/>
      </c>
      <c r="F18" s="25" t="inlineStr">
        <is>
          <t>%</t>
        </is>
      </c>
    </row>
    <row r="19" ht="15" customHeight="1" s="26">
      <c r="B19" s="25" t="inlineStr">
        <is>
          <t>TLB opening leverage</t>
        </is>
      </c>
      <c r="C19" s="46" t="n">
        <v>4</v>
      </c>
      <c r="D19" s="46" t="n">
        <v>3.5</v>
      </c>
      <c r="E19" s="47">
        <f>IF(Cover!$C$9="Downside",D19,C19)</f>
        <v/>
      </c>
      <c r="F19" s="25" t="inlineStr">
        <is>
          <t>x EBITDA</t>
        </is>
      </c>
    </row>
    <row r="20" ht="15" customHeight="1" s="26">
      <c r="B20" s="25" t="inlineStr">
        <is>
          <t>TLB cash rate</t>
        </is>
      </c>
      <c r="C20" s="44" t="n">
        <v>0.08500000000000001</v>
      </c>
      <c r="D20" s="44" t="n">
        <v>0.105</v>
      </c>
      <c r="E20" s="45">
        <f>IF(Cover!$C$9="Downside",D20,C20)</f>
        <v/>
      </c>
      <c r="F20" s="25" t="inlineStr">
        <is>
          <t>%</t>
        </is>
      </c>
    </row>
    <row r="21" ht="15" customHeight="1" s="26">
      <c r="B21" s="25" t="inlineStr">
        <is>
          <t>TLB annual amortization</t>
        </is>
      </c>
      <c r="C21" s="42" t="n">
        <v>0.01</v>
      </c>
      <c r="D21" s="42" t="n">
        <v>0.01</v>
      </c>
      <c r="E21" s="43">
        <f>IF(Cover!$C$9="Downside",D21,C21)</f>
        <v/>
      </c>
      <c r="F21" s="25" t="inlineStr">
        <is>
          <t>% original</t>
        </is>
      </c>
    </row>
    <row r="22" ht="15" customHeight="1" s="26">
      <c r="B22" s="25" t="inlineStr">
        <is>
          <t>Second-lien opening leverage</t>
        </is>
      </c>
      <c r="C22" s="46" t="n">
        <v>1.5</v>
      </c>
      <c r="D22" s="46" t="n">
        <v>1</v>
      </c>
      <c r="E22" s="47">
        <f>IF(Cover!$C$9="Downside",D22,C22)</f>
        <v/>
      </c>
      <c r="F22" s="25" t="inlineStr">
        <is>
          <t>x EBITDA</t>
        </is>
      </c>
    </row>
    <row r="23" ht="15" customHeight="1" s="26">
      <c r="B23" s="25" t="inlineStr">
        <is>
          <t>Second-lien cash rate</t>
        </is>
      </c>
      <c r="C23" s="44" t="n">
        <v>0.11</v>
      </c>
      <c r="D23" s="44" t="n">
        <v>0.13</v>
      </c>
      <c r="E23" s="45">
        <f>IF(Cover!$C$9="Downside",D23,C23)</f>
        <v/>
      </c>
      <c r="F23" s="25" t="inlineStr">
        <is>
          <t>%</t>
        </is>
      </c>
    </row>
    <row r="24" ht="15" customHeight="1" s="26">
      <c r="B24" s="25" t="inlineStr">
        <is>
          <t>Second-lien PIK rate</t>
        </is>
      </c>
      <c r="C24" s="44" t="n">
        <v>0.03</v>
      </c>
      <c r="D24" s="44" t="n">
        <v>0.05</v>
      </c>
      <c r="E24" s="45">
        <f>IF(Cover!$C$9="Downside",D24,C24)</f>
        <v/>
      </c>
      <c r="F24" s="25" t="inlineStr">
        <is>
          <t>%</t>
        </is>
      </c>
    </row>
    <row r="25" ht="15" customHeight="1" s="26">
      <c r="B25" s="25" t="inlineStr">
        <is>
          <t>Cash sweep</t>
        </is>
      </c>
      <c r="C25" s="42" t="n">
        <v>0.75</v>
      </c>
      <c r="D25" s="42" t="n">
        <v>0.5</v>
      </c>
      <c r="E25" s="43">
        <f>IF(Cover!$C$9="Downside",D25,C25)</f>
        <v/>
      </c>
      <c r="F25" s="25" t="inlineStr">
        <is>
          <t>% excess cash</t>
        </is>
      </c>
    </row>
    <row r="26" ht="15" customHeight="1" s="26">
      <c r="B26" s="25" t="inlineStr">
        <is>
          <t>Maximum leverage covenant</t>
        </is>
      </c>
      <c r="C26" s="46" t="n">
        <v>7</v>
      </c>
      <c r="D26" s="46" t="n">
        <v>6.5</v>
      </c>
      <c r="E26" s="47">
        <f>IF(Cover!$C$9="Downside",D26,C26)</f>
        <v/>
      </c>
      <c r="F26" s="25" t="inlineStr">
        <is>
          <t>x</t>
        </is>
      </c>
    </row>
    <row r="27" ht="15" customHeight="1" s="26">
      <c r="B27" s="25" t="inlineStr">
        <is>
          <t>Minimum interest coverage</t>
        </is>
      </c>
      <c r="C27" s="46" t="n">
        <v>1.75</v>
      </c>
      <c r="D27" s="46" t="n">
        <v>1.5</v>
      </c>
      <c r="E27" s="47">
        <f>IF(Cover!$C$9="Downside",D27,C27)</f>
        <v/>
      </c>
      <c r="F27" s="25" t="inlineStr">
        <is>
          <t>x</t>
        </is>
      </c>
    </row>
    <row r="28" ht="15" customHeight="1" s="26">
      <c r="B28" s="25" t="inlineStr">
        <is>
          <t>Exit EBITDA multiple</t>
        </is>
      </c>
      <c r="C28" s="46" t="n">
        <v>10</v>
      </c>
      <c r="D28" s="46" t="n">
        <v>8</v>
      </c>
      <c r="E28" s="47">
        <f>IF(Cover!$C$9="Downside",D28,C28)</f>
        <v/>
      </c>
      <c r="F28" s="25" t="inlineStr">
        <is>
          <t>x</t>
        </is>
      </c>
    </row>
    <row r="29" ht="15" customHeight="1" s="26">
      <c r="B29" s="25" t="inlineStr">
        <is>
          <t>Exit year</t>
        </is>
      </c>
      <c r="C29" s="48" t="n">
        <v>5</v>
      </c>
      <c r="D29" s="48" t="n">
        <v>5</v>
      </c>
      <c r="E29" s="49">
        <f>IF(Cover!$C$9="Downside",D29,C29)</f>
        <v/>
      </c>
      <c r="F29" s="25" t="inlineStr">
        <is>
          <t>year</t>
        </is>
      </c>
    </row>
    <row r="30" ht="15" customHeight="1" s="26">
      <c r="B30" s="25" t="inlineStr">
        <is>
          <t>Management equity pool</t>
        </is>
      </c>
      <c r="C30" s="42" t="n">
        <v>0.1</v>
      </c>
      <c r="D30" s="42" t="n">
        <v>0.1</v>
      </c>
      <c r="E30" s="43">
        <f>IF(Cover!$C$9="Downside",D30,C30)</f>
        <v/>
      </c>
      <c r="F30" s="25" t="inlineStr">
        <is>
          <t>% fully diluted</t>
        </is>
      </c>
    </row>
    <row r="31" ht="15" customHeight="1" s="26">
      <c r="B31" s="25" t="inlineStr">
        <is>
          <t>Sponsor preferred return</t>
        </is>
      </c>
      <c r="C31" s="42" t="n">
        <v>0.08</v>
      </c>
      <c r="D31" s="42" t="n">
        <v>0.08</v>
      </c>
      <c r="E31" s="43">
        <f>IF(Cover!$C$9="Downside",D31,C31)</f>
        <v/>
      </c>
      <c r="F31" s="25" t="inlineStr">
        <is>
          <t>%</t>
        </is>
      </c>
    </row>
    <row r="32" ht="15" customHeight="1" s="26">
      <c r="B32" s="25" t="inlineStr">
        <is>
          <t>Management catch-up above hurdle</t>
        </is>
      </c>
      <c r="C32" s="42" t="n">
        <v>0.2</v>
      </c>
      <c r="D32" s="42" t="n">
        <v>0.2</v>
      </c>
      <c r="E32" s="43">
        <f>IF(Cover!$C$9="Downside",D32,C32)</f>
        <v/>
      </c>
      <c r="F32" s="25" t="inlineStr">
        <is>
          <t>% incremental</t>
        </is>
      </c>
    </row>
  </sheetData>
  <mergeCells count="1">
    <mergeCell ref="B2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2:G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25" min="1" max="1"/>
    <col width="34" customWidth="1" style="25" min="2" max="2"/>
    <col width="18" customWidth="1" style="25" min="3" max="3"/>
    <col width="5" customWidth="1" style="25" min="4" max="4"/>
    <col width="34" customWidth="1" style="25" min="5" max="5"/>
    <col width="18" customWidth="1" style="25" min="6" max="6"/>
    <col width="5" customWidth="1" style="25" min="7" max="7"/>
  </cols>
  <sheetData>
    <row r="2" ht="27.75" customHeight="1" s="26">
      <c r="B2" s="27" t="inlineStr">
        <is>
          <t>Transaction Sources &amp; Uses</t>
        </is>
      </c>
    </row>
    <row r="4" ht="15" customHeight="1" s="26">
      <c r="B4" s="39" t="inlineStr">
        <is>
          <t>Uses</t>
        </is>
      </c>
      <c r="C4" s="39" t="inlineStr">
        <is>
          <t>Amount</t>
        </is>
      </c>
      <c r="D4" s="39" t="n"/>
      <c r="E4" s="39" t="inlineStr">
        <is>
          <t>Sources</t>
        </is>
      </c>
      <c r="F4" s="39" t="inlineStr">
        <is>
          <t>Amount</t>
        </is>
      </c>
      <c r="G4" s="39" t="n"/>
    </row>
    <row r="5" ht="15" customHeight="1" s="26">
      <c r="B5" s="25" t="inlineStr">
        <is>
          <t>Purchase enterprise value</t>
        </is>
      </c>
      <c r="C5" s="41">
        <f>Assumptions!E5*Assumptions!E6*Assumptions!E13</f>
        <v/>
      </c>
      <c r="E5" s="25" t="inlineStr">
        <is>
          <t>Revolver at close</t>
        </is>
      </c>
      <c r="F5" s="40" t="n">
        <v>0</v>
      </c>
    </row>
    <row r="6" ht="15" customHeight="1" s="26">
      <c r="B6" s="25" t="inlineStr">
        <is>
          <t>Refinance existing net debt</t>
        </is>
      </c>
      <c r="C6" s="41">
        <f>Assumptions!E15</f>
        <v/>
      </c>
      <c r="E6" s="25" t="inlineStr">
        <is>
          <t>Term loan B</t>
        </is>
      </c>
      <c r="F6" s="41">
        <f>Assumptions!E5*Assumptions!E6*Assumptions!E19</f>
        <v/>
      </c>
    </row>
    <row r="7" ht="15" customHeight="1" s="26">
      <c r="B7" s="25" t="inlineStr">
        <is>
          <t>Transaction fees</t>
        </is>
      </c>
      <c r="C7" s="41">
        <f>C5*Assumptions!E14</f>
        <v/>
      </c>
      <c r="E7" s="25" t="inlineStr">
        <is>
          <t>Second-lien / holdco debt</t>
        </is>
      </c>
      <c r="F7" s="41">
        <f>Assumptions!E5*Assumptions!E6*Assumptions!E22</f>
        <v/>
      </c>
    </row>
    <row r="8" ht="15" customHeight="1" s="26">
      <c r="B8" s="25" t="inlineStr">
        <is>
          <t>Minimum cash funded</t>
        </is>
      </c>
      <c r="C8" s="41">
        <f>Assumptions!E16</f>
        <v/>
      </c>
      <c r="E8" s="25" t="inlineStr">
        <is>
          <t>Sponsor equity</t>
        </is>
      </c>
      <c r="F8" s="41">
        <f>C9-SUM(F5:F7)</f>
        <v/>
      </c>
    </row>
    <row r="9" ht="15" customHeight="1" s="26">
      <c r="B9" s="50" t="inlineStr">
        <is>
          <t>Total uses</t>
        </is>
      </c>
      <c r="C9" s="51">
        <f>SUM(C5:C8)</f>
        <v/>
      </c>
      <c r="E9" s="50" t="inlineStr">
        <is>
          <t>Total sources</t>
        </is>
      </c>
      <c r="F9" s="51">
        <f>SUM(F5:F8)</f>
        <v/>
      </c>
    </row>
    <row r="10" ht="15" customHeight="1" s="26">
      <c r="E10" s="25" t="inlineStr">
        <is>
          <t>Sources less uses</t>
        </is>
      </c>
      <c r="F10" s="41">
        <f>F9-C9</f>
        <v/>
      </c>
    </row>
  </sheetData>
  <mergeCells count="1">
    <mergeCell ref="B2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B2:J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5390625" defaultRowHeight="15" zeroHeight="0" outlineLevelRow="0"/>
  <cols>
    <col width="4" customWidth="1" style="25" min="1" max="1"/>
    <col width="36" customWidth="1" style="25" min="2" max="2"/>
    <col width="13" customWidth="1" style="25" min="3" max="10"/>
  </cols>
  <sheetData>
    <row r="2" ht="27.75" customHeight="1" s="26">
      <c r="B2" s="27" t="inlineStr">
        <is>
          <t>Seven-Year Operating, Tax, and Cash Flow Model</t>
        </is>
      </c>
    </row>
    <row r="4" ht="15" customHeight="1" s="26">
      <c r="B4" s="39" t="inlineStr">
        <is>
          <t>$mm / %</t>
        </is>
      </c>
      <c r="C4" s="39" t="inlineStr">
        <is>
          <t>LTM</t>
        </is>
      </c>
      <c r="D4" s="39" t="inlineStr">
        <is>
          <t>Year 1</t>
        </is>
      </c>
      <c r="E4" s="39" t="inlineStr">
        <is>
          <t>Year 2</t>
        </is>
      </c>
      <c r="F4" s="39" t="inlineStr">
        <is>
          <t>Year 3</t>
        </is>
      </c>
      <c r="G4" s="39" t="inlineStr">
        <is>
          <t>Year 4</t>
        </is>
      </c>
      <c r="H4" s="39" t="inlineStr">
        <is>
          <t>Year 5</t>
        </is>
      </c>
      <c r="I4" s="39" t="inlineStr">
        <is>
          <t>Year 6</t>
        </is>
      </c>
      <c r="J4" s="39" t="inlineStr">
        <is>
          <t>Year 7</t>
        </is>
      </c>
    </row>
    <row r="5" ht="15" customHeight="1" s="26">
      <c r="B5" s="25" t="inlineStr">
        <is>
          <t>Revenue</t>
        </is>
      </c>
      <c r="C5" s="41">
        <f>Assumptions!E5</f>
        <v/>
      </c>
      <c r="D5" s="41">
        <f>C5*(1+Assumptions!$E$7)</f>
        <v/>
      </c>
      <c r="E5" s="41">
        <f>D5*(1+Assumptions!$E$7)</f>
        <v/>
      </c>
      <c r="F5" s="41">
        <f>E5*(1+Assumptions!$E$7)</f>
        <v/>
      </c>
      <c r="G5" s="41">
        <f>F5*(1+Assumptions!$E$7)</f>
        <v/>
      </c>
      <c r="H5" s="41">
        <f>G5*(1+Assumptions!$E$7)</f>
        <v/>
      </c>
      <c r="I5" s="41">
        <f>H5*(1+Assumptions!$E$7)</f>
        <v/>
      </c>
      <c r="J5" s="41">
        <f>I5*(1+Assumptions!$E$7)</f>
        <v/>
      </c>
    </row>
    <row r="6" ht="15" customHeight="1" s="26">
      <c r="B6" s="25" t="inlineStr">
        <is>
          <t>Revenue growth</t>
        </is>
      </c>
      <c r="D6" s="43">
        <f>IFERROR(D5/C5-1,0)</f>
        <v/>
      </c>
      <c r="E6" s="43">
        <f>IFERROR(E5/D5-1,0)</f>
        <v/>
      </c>
      <c r="F6" s="43">
        <f>IFERROR(F5/E5-1,0)</f>
        <v/>
      </c>
      <c r="G6" s="43">
        <f>IFERROR(G5/F5-1,0)</f>
        <v/>
      </c>
      <c r="H6" s="43">
        <f>IFERROR(H5/G5-1,0)</f>
        <v/>
      </c>
      <c r="I6" s="43">
        <f>IFERROR(I5/H5-1,0)</f>
        <v/>
      </c>
      <c r="J6" s="43">
        <f>IFERROR(J5/I5-1,0)</f>
        <v/>
      </c>
    </row>
    <row r="7" ht="15" customHeight="1" s="26">
      <c r="B7" s="25" t="inlineStr">
        <is>
          <t>EBITDA margin</t>
        </is>
      </c>
      <c r="C7" s="43">
        <f>Assumptions!E6</f>
        <v/>
      </c>
      <c r="D7" s="43">
        <f>MAX(0,MIN(0.6,C7+Assumptions!$E$8))</f>
        <v/>
      </c>
      <c r="E7" s="43">
        <f>MAX(0,MIN(0.6,D7+Assumptions!$E$8))</f>
        <v/>
      </c>
      <c r="F7" s="43">
        <f>MAX(0,MIN(0.6,E7+Assumptions!$E$8))</f>
        <v/>
      </c>
      <c r="G7" s="43">
        <f>MAX(0,MIN(0.6,F7+Assumptions!$E$8))</f>
        <v/>
      </c>
      <c r="H7" s="43">
        <f>MAX(0,MIN(0.6,G7+Assumptions!$E$8))</f>
        <v/>
      </c>
      <c r="I7" s="43">
        <f>MAX(0,MIN(0.6,H7+Assumptions!$E$8))</f>
        <v/>
      </c>
      <c r="J7" s="43">
        <f>MAX(0,MIN(0.6,I7+Assumptions!$E$8))</f>
        <v/>
      </c>
    </row>
    <row r="8" ht="15" customHeight="1" s="26">
      <c r="B8" s="50" t="inlineStr">
        <is>
          <t>EBITDA</t>
        </is>
      </c>
      <c r="C8" s="51">
        <f>C5*C7</f>
        <v/>
      </c>
      <c r="D8" s="51">
        <f>D5*D7</f>
        <v/>
      </c>
      <c r="E8" s="51">
        <f>E5*E7</f>
        <v/>
      </c>
      <c r="F8" s="51">
        <f>F5*F7</f>
        <v/>
      </c>
      <c r="G8" s="51">
        <f>G5*G7</f>
        <v/>
      </c>
      <c r="H8" s="51">
        <f>H5*H7</f>
        <v/>
      </c>
      <c r="I8" s="51">
        <f>I5*I7</f>
        <v/>
      </c>
      <c r="J8" s="51">
        <f>J5*J7</f>
        <v/>
      </c>
    </row>
    <row r="9" ht="15" customHeight="1" s="26">
      <c r="B9" s="25" t="inlineStr">
        <is>
          <t>D&amp;A</t>
        </is>
      </c>
      <c r="C9" s="41">
        <f>C5*Assumptions!E9</f>
        <v/>
      </c>
      <c r="D9" s="41">
        <f>D5*Assumptions!$E$9</f>
        <v/>
      </c>
      <c r="E9" s="41">
        <f>E5*Assumptions!$E$9</f>
        <v/>
      </c>
      <c r="F9" s="41">
        <f>F5*Assumptions!$E$9</f>
        <v/>
      </c>
      <c r="G9" s="41">
        <f>G5*Assumptions!$E$9</f>
        <v/>
      </c>
      <c r="H9" s="41">
        <f>H5*Assumptions!$E$9</f>
        <v/>
      </c>
      <c r="I9" s="41">
        <f>I5*Assumptions!$E$9</f>
        <v/>
      </c>
      <c r="J9" s="41">
        <f>J5*Assumptions!$E$9</f>
        <v/>
      </c>
    </row>
    <row r="10" ht="15" customHeight="1" s="26">
      <c r="B10" s="25" t="inlineStr">
        <is>
          <t>EBIT</t>
        </is>
      </c>
      <c r="C10" s="41">
        <f>C8-C9</f>
        <v/>
      </c>
      <c r="D10" s="41">
        <f>D8-D9</f>
        <v/>
      </c>
      <c r="E10" s="41">
        <f>E8-E9</f>
        <v/>
      </c>
      <c r="F10" s="41">
        <f>F8-F9</f>
        <v/>
      </c>
      <c r="G10" s="41">
        <f>G8-G9</f>
        <v/>
      </c>
      <c r="H10" s="41">
        <f>H8-H9</f>
        <v/>
      </c>
      <c r="I10" s="41">
        <f>I8-I9</f>
        <v/>
      </c>
      <c r="J10" s="41">
        <f>J8-J9</f>
        <v/>
      </c>
    </row>
    <row r="11" ht="15" customHeight="1" s="26">
      <c r="B11" s="25" t="inlineStr">
        <is>
          <t>Cash interest</t>
        </is>
      </c>
      <c r="D11" s="41">
        <f>'Debt Schedule'!D7</f>
        <v/>
      </c>
      <c r="E11" s="41">
        <f>'Debt Schedule'!E7</f>
        <v/>
      </c>
      <c r="F11" s="41">
        <f>'Debt Schedule'!F7</f>
        <v/>
      </c>
      <c r="G11" s="41">
        <f>'Debt Schedule'!G7</f>
        <v/>
      </c>
      <c r="H11" s="41">
        <f>'Debt Schedule'!H7</f>
        <v/>
      </c>
      <c r="I11" s="41">
        <f>'Debt Schedule'!I7</f>
        <v/>
      </c>
      <c r="J11" s="41">
        <f>'Debt Schedule'!J7</f>
        <v/>
      </c>
    </row>
    <row r="12" ht="15" customHeight="1" s="26">
      <c r="B12" s="25" t="inlineStr">
        <is>
          <t>EBT</t>
        </is>
      </c>
      <c r="D12" s="41">
        <f>D10-D11</f>
        <v/>
      </c>
      <c r="E12" s="41">
        <f>E10-E11</f>
        <v/>
      </c>
      <c r="F12" s="41">
        <f>F10-F11</f>
        <v/>
      </c>
      <c r="G12" s="41">
        <f>G10-G11</f>
        <v/>
      </c>
      <c r="H12" s="41">
        <f>H10-H11</f>
        <v/>
      </c>
      <c r="I12" s="41">
        <f>I10-I11</f>
        <v/>
      </c>
      <c r="J12" s="41">
        <f>J10-J11</f>
        <v/>
      </c>
    </row>
    <row r="13" ht="15" customHeight="1" s="26">
      <c r="B13" s="25" t="inlineStr">
        <is>
          <t>Cash taxes</t>
        </is>
      </c>
      <c r="D13" s="41">
        <f>MAX(0,D12*Assumptions!$E$12)</f>
        <v/>
      </c>
      <c r="E13" s="41">
        <f>MAX(0,E12*Assumptions!$E$12)</f>
        <v/>
      </c>
      <c r="F13" s="41">
        <f>MAX(0,F12*Assumptions!$E$12)</f>
        <v/>
      </c>
      <c r="G13" s="41">
        <f>MAX(0,G12*Assumptions!$E$12)</f>
        <v/>
      </c>
      <c r="H13" s="41">
        <f>MAX(0,H12*Assumptions!$E$12)</f>
        <v/>
      </c>
      <c r="I13" s="41">
        <f>MAX(0,I12*Assumptions!$E$12)</f>
        <v/>
      </c>
      <c r="J13" s="41">
        <f>MAX(0,J12*Assumptions!$E$12)</f>
        <v/>
      </c>
    </row>
    <row r="14" ht="15" customHeight="1" s="26">
      <c r="B14" s="25" t="inlineStr">
        <is>
          <t>Net income</t>
        </is>
      </c>
      <c r="D14" s="41">
        <f>D12-D13</f>
        <v/>
      </c>
      <c r="E14" s="41">
        <f>E12-E13</f>
        <v/>
      </c>
      <c r="F14" s="41">
        <f>F12-F13</f>
        <v/>
      </c>
      <c r="G14" s="41">
        <f>G12-G13</f>
        <v/>
      </c>
      <c r="H14" s="41">
        <f>H12-H13</f>
        <v/>
      </c>
      <c r="I14" s="41">
        <f>I12-I13</f>
        <v/>
      </c>
      <c r="J14" s="41">
        <f>J12-J13</f>
        <v/>
      </c>
    </row>
    <row r="15" ht="15" customHeight="1" s="26">
      <c r="B15" s="25" t="inlineStr">
        <is>
          <t>Capex</t>
        </is>
      </c>
      <c r="D15" s="41">
        <f>D5*Assumptions!$E$10</f>
        <v/>
      </c>
      <c r="E15" s="41">
        <f>E5*Assumptions!$E$10</f>
        <v/>
      </c>
      <c r="F15" s="41">
        <f>F5*Assumptions!$E$10</f>
        <v/>
      </c>
      <c r="G15" s="41">
        <f>G5*Assumptions!$E$10</f>
        <v/>
      </c>
      <c r="H15" s="41">
        <f>H5*Assumptions!$E$10</f>
        <v/>
      </c>
      <c r="I15" s="41">
        <f>I5*Assumptions!$E$10</f>
        <v/>
      </c>
      <c r="J15" s="41">
        <f>J5*Assumptions!$E$10</f>
        <v/>
      </c>
    </row>
    <row r="16" ht="15" customHeight="1" s="26">
      <c r="B16" s="25" t="inlineStr">
        <is>
          <t>NWC</t>
        </is>
      </c>
      <c r="C16" s="41">
        <f>C5*Assumptions!E11</f>
        <v/>
      </c>
      <c r="D16" s="41">
        <f>D5*Assumptions!$E$11</f>
        <v/>
      </c>
      <c r="E16" s="41">
        <f>E5*Assumptions!$E$11</f>
        <v/>
      </c>
      <c r="F16" s="41">
        <f>F5*Assumptions!$E$11</f>
        <v/>
      </c>
      <c r="G16" s="41">
        <f>G5*Assumptions!$E$11</f>
        <v/>
      </c>
      <c r="H16" s="41">
        <f>H5*Assumptions!$E$11</f>
        <v/>
      </c>
      <c r="I16" s="41">
        <f>I5*Assumptions!$E$11</f>
        <v/>
      </c>
      <c r="J16" s="41">
        <f>J5*Assumptions!$E$11</f>
        <v/>
      </c>
    </row>
    <row r="17" ht="15" customHeight="1" s="26">
      <c r="B17" s="25" t="inlineStr">
        <is>
          <t>Change in NWC</t>
        </is>
      </c>
      <c r="D17" s="41">
        <f>D16-C16</f>
        <v/>
      </c>
      <c r="E17" s="41">
        <f>E16-D16</f>
        <v/>
      </c>
      <c r="F17" s="41">
        <f>F16-E16</f>
        <v/>
      </c>
      <c r="G17" s="41">
        <f>G16-F16</f>
        <v/>
      </c>
      <c r="H17" s="41">
        <f>H16-G16</f>
        <v/>
      </c>
      <c r="I17" s="41">
        <f>I16-H16</f>
        <v/>
      </c>
      <c r="J17" s="41">
        <f>J16-I16</f>
        <v/>
      </c>
    </row>
    <row r="18" ht="15" customHeight="1" s="26">
      <c r="B18" s="50" t="inlineStr">
        <is>
          <t>FCF before financing</t>
        </is>
      </c>
      <c r="C18" s="51" t="n"/>
      <c r="D18" s="51">
        <f>D14+D9-D15-D17</f>
        <v/>
      </c>
      <c r="E18" s="51">
        <f>E14+E9-E15-E17</f>
        <v/>
      </c>
      <c r="F18" s="51">
        <f>F14+F9-F15-F17</f>
        <v/>
      </c>
      <c r="G18" s="51">
        <f>G14+G9-G15-G17</f>
        <v/>
      </c>
      <c r="H18" s="51">
        <f>H14+H9-H15-H17</f>
        <v/>
      </c>
      <c r="I18" s="51">
        <f>I14+I9-I15-I17</f>
        <v/>
      </c>
      <c r="J18" s="51">
        <f>J14+J9-J15-J17</f>
        <v/>
      </c>
    </row>
    <row r="19" ht="15" customHeight="1" s="26">
      <c r="B19" s="50" t="inlineStr">
        <is>
          <t>FCF before interest</t>
        </is>
      </c>
      <c r="C19" s="51" t="n"/>
      <c r="D19" s="51">
        <f>D8-D13-D15-D17</f>
        <v/>
      </c>
      <c r="E19" s="51">
        <f>E8-E13-E15-E17</f>
        <v/>
      </c>
      <c r="F19" s="51">
        <f>F8-F13-F15-F17</f>
        <v/>
      </c>
      <c r="G19" s="51">
        <f>G8-G13-G15-G17</f>
        <v/>
      </c>
      <c r="H19" s="51">
        <f>H8-H13-H15-H17</f>
        <v/>
      </c>
      <c r="I19" s="51">
        <f>I8-I13-I15-I17</f>
        <v/>
      </c>
      <c r="J19" s="51">
        <f>J8-J13-J15-J17</f>
        <v/>
      </c>
    </row>
  </sheetData>
  <mergeCells count="1">
    <mergeCell ref="B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B2:J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5390625" defaultRowHeight="15" zeroHeight="0" outlineLevelRow="0"/>
  <cols>
    <col width="4" customWidth="1" style="25" min="1" max="1"/>
    <col width="42" customWidth="1" style="25" min="2" max="2"/>
    <col width="13" customWidth="1" style="25" min="3" max="10"/>
  </cols>
  <sheetData>
    <row r="2" ht="27.75" customHeight="1" s="26">
      <c r="B2" s="27" t="inlineStr">
        <is>
          <t>Multi-Tranche Debt and Cash Sweep</t>
        </is>
      </c>
    </row>
    <row r="4" ht="15" customHeight="1" s="26">
      <c r="B4" s="39" t="inlineStr">
        <is>
          <t>$mm / %</t>
        </is>
      </c>
      <c r="C4" s="39" t="inlineStr">
        <is>
          <t>Close</t>
        </is>
      </c>
      <c r="D4" s="39" t="inlineStr">
        <is>
          <t>Year 1</t>
        </is>
      </c>
      <c r="E4" s="39" t="inlineStr">
        <is>
          <t>Year 2</t>
        </is>
      </c>
      <c r="F4" s="39" t="inlineStr">
        <is>
          <t>Year 3</t>
        </is>
      </c>
      <c r="G4" s="39" t="inlineStr">
        <is>
          <t>Year 4</t>
        </is>
      </c>
      <c r="H4" s="39" t="inlineStr">
        <is>
          <t>Year 5</t>
        </is>
      </c>
      <c r="I4" s="39" t="inlineStr">
        <is>
          <t>Year 6</t>
        </is>
      </c>
      <c r="J4" s="39" t="inlineStr">
        <is>
          <t>Year 7</t>
        </is>
      </c>
    </row>
    <row r="5" ht="15" customHeight="1" s="26">
      <c r="B5" s="25" t="inlineStr">
        <is>
          <t>Beginning cash</t>
        </is>
      </c>
      <c r="C5" s="41">
        <f>Assumptions!E16</f>
        <v/>
      </c>
      <c r="D5" s="41">
        <f>C13</f>
        <v/>
      </c>
      <c r="E5" s="41">
        <f>D13</f>
        <v/>
      </c>
      <c r="F5" s="41">
        <f>E13</f>
        <v/>
      </c>
      <c r="G5" s="41">
        <f>F13</f>
        <v/>
      </c>
      <c r="H5" s="41">
        <f>G13</f>
        <v/>
      </c>
      <c r="I5" s="41">
        <f>H13</f>
        <v/>
      </c>
      <c r="J5" s="41">
        <f>I13</f>
        <v/>
      </c>
    </row>
    <row r="6" ht="15" customHeight="1" s="26">
      <c r="B6" s="25" t="inlineStr">
        <is>
          <t>FCF before interest</t>
        </is>
      </c>
      <c r="D6" s="41">
        <f>'Operating Model'!D19</f>
        <v/>
      </c>
      <c r="E6" s="41">
        <f>'Operating Model'!E19</f>
        <v/>
      </c>
      <c r="F6" s="41">
        <f>'Operating Model'!F19</f>
        <v/>
      </c>
      <c r="G6" s="41">
        <f>'Operating Model'!G19</f>
        <v/>
      </c>
      <c r="H6" s="41">
        <f>'Operating Model'!H19</f>
        <v/>
      </c>
      <c r="I6" s="41">
        <f>'Operating Model'!I19</f>
        <v/>
      </c>
      <c r="J6" s="41">
        <f>'Operating Model'!J19</f>
        <v/>
      </c>
    </row>
    <row r="7" ht="15" customHeight="1" s="26">
      <c r="B7" s="25" t="inlineStr">
        <is>
          <t>Cash interest</t>
        </is>
      </c>
      <c r="D7" s="41">
        <f>SUM(D15,D18,D23)</f>
        <v/>
      </c>
      <c r="E7" s="41">
        <f>SUM(E15,E18,E23)</f>
        <v/>
      </c>
      <c r="F7" s="41">
        <f>SUM(F15,F18,F23)</f>
        <v/>
      </c>
      <c r="G7" s="41">
        <f>SUM(G15,G18,G23)</f>
        <v/>
      </c>
      <c r="H7" s="41">
        <f>SUM(H15,H18,H23)</f>
        <v/>
      </c>
      <c r="I7" s="41">
        <f>SUM(I15,I18,I23)</f>
        <v/>
      </c>
      <c r="J7" s="41">
        <f>SUM(J15,J18,J23)</f>
        <v/>
      </c>
    </row>
    <row r="8" ht="15" customHeight="1" s="26">
      <c r="B8" s="25" t="inlineStr">
        <is>
          <t>Mandatory TLB amortization</t>
        </is>
      </c>
      <c r="D8" s="41">
        <f>D19</f>
        <v/>
      </c>
      <c r="E8" s="41">
        <f>E19</f>
        <v/>
      </c>
      <c r="F8" s="41">
        <f>F19</f>
        <v/>
      </c>
      <c r="G8" s="41">
        <f>G19</f>
        <v/>
      </c>
      <c r="H8" s="41">
        <f>H19</f>
        <v/>
      </c>
      <c r="I8" s="41">
        <f>I19</f>
        <v/>
      </c>
      <c r="J8" s="41">
        <f>J19</f>
        <v/>
      </c>
    </row>
    <row r="9" ht="15" customHeight="1" s="26">
      <c r="B9" s="25" t="inlineStr">
        <is>
          <t>Cash before revolver / sweep</t>
        </is>
      </c>
      <c r="D9" s="41">
        <f>D5+D6-D7-D8</f>
        <v/>
      </c>
      <c r="E9" s="41">
        <f>E5+E6-E7-E8</f>
        <v/>
      </c>
      <c r="F9" s="41">
        <f>F5+F6-F7-F8</f>
        <v/>
      </c>
      <c r="G9" s="41">
        <f>G5+G6-G7-G8</f>
        <v/>
      </c>
      <c r="H9" s="41">
        <f>H5+H6-H7-H8</f>
        <v/>
      </c>
      <c r="I9" s="41">
        <f>I5+I6-I7-I8</f>
        <v/>
      </c>
      <c r="J9" s="41">
        <f>J5+J6-J7-J8</f>
        <v/>
      </c>
    </row>
    <row r="10" ht="15" customHeight="1" s="26">
      <c r="B10" s="25" t="inlineStr">
        <is>
          <t>Revolver draw / (repayment)</t>
        </is>
      </c>
      <c r="D10" s="41">
        <f>IF(D9&lt;Assumptions!$E$16,MIN(Assumptions!$E$17-D14,Assumptions!$E$16-D9),-MIN(D14,MAX(0,D9-Assumptions!$E$16)))</f>
        <v/>
      </c>
      <c r="E10" s="41">
        <f>IF(E9&lt;Assumptions!$E$16,MIN(Assumptions!$E$17-E14,Assumptions!$E$16-E9),-MIN(E14,MAX(0,E9-Assumptions!$E$16)))</f>
        <v/>
      </c>
      <c r="F10" s="41">
        <f>IF(F9&lt;Assumptions!$E$16,MIN(Assumptions!$E$17-F14,Assumptions!$E$16-F9),-MIN(F14,MAX(0,F9-Assumptions!$E$16)))</f>
        <v/>
      </c>
      <c r="G10" s="41">
        <f>IF(G9&lt;Assumptions!$E$16,MIN(Assumptions!$E$17-G14,Assumptions!$E$16-G9),-MIN(G14,MAX(0,G9-Assumptions!$E$16)))</f>
        <v/>
      </c>
      <c r="H10" s="41">
        <f>IF(H9&lt;Assumptions!$E$16,MIN(Assumptions!$E$17-H14,Assumptions!$E$16-H9),-MIN(H14,MAX(0,H9-Assumptions!$E$16)))</f>
        <v/>
      </c>
      <c r="I10" s="41">
        <f>IF(I9&lt;Assumptions!$E$16,MIN(Assumptions!$E$17-I14,Assumptions!$E$16-I9),-MIN(I14,MAX(0,I9-Assumptions!$E$16)))</f>
        <v/>
      </c>
      <c r="J10" s="41">
        <f>IF(J9&lt;Assumptions!$E$16,MIN(Assumptions!$E$17-J14,Assumptions!$E$16-J9),-MIN(J14,MAX(0,J9-Assumptions!$E$16)))</f>
        <v/>
      </c>
    </row>
    <row r="11" ht="15" customHeight="1" s="26">
      <c r="B11" s="25" t="inlineStr">
        <is>
          <t>Cash sweep to TLB</t>
        </is>
      </c>
      <c r="D11" s="41">
        <f>MIN(MAX(0,D17-D19),MAX(0,D9+D10-Assumptions!$E$16)*Assumptions!$E$25)</f>
        <v/>
      </c>
      <c r="E11" s="41">
        <f>MIN(MAX(0,E17-E19),MAX(0,E9+E10-Assumptions!$E$16)*Assumptions!$E$25)</f>
        <v/>
      </c>
      <c r="F11" s="41">
        <f>MIN(MAX(0,F17-F19),MAX(0,F9+F10-Assumptions!$E$16)*Assumptions!$E$25)</f>
        <v/>
      </c>
      <c r="G11" s="41">
        <f>MIN(MAX(0,G17-G19),MAX(0,G9+G10-Assumptions!$E$16)*Assumptions!$E$25)</f>
        <v/>
      </c>
      <c r="H11" s="41">
        <f>MIN(MAX(0,H17-H19),MAX(0,H9+H10-Assumptions!$E$16)*Assumptions!$E$25)</f>
        <v/>
      </c>
      <c r="I11" s="41">
        <f>MIN(MAX(0,I17-I19),MAX(0,I9+I10-Assumptions!$E$16)*Assumptions!$E$25)</f>
        <v/>
      </c>
      <c r="J11" s="41">
        <f>MIN(MAX(0,J17-J19),MAX(0,J9+J10-Assumptions!$E$16)*Assumptions!$E$25)</f>
        <v/>
      </c>
    </row>
    <row r="12" ht="15" customHeight="1" s="26">
      <c r="B12" s="25" t="inlineStr">
        <is>
          <t>Cash sweep to second lien</t>
        </is>
      </c>
      <c r="D12" s="41">
        <f>MIN(MAX(0,D22+D24),MAX(0,D9+D10-D11-Assumptions!$E$16)*Assumptions!$E$25)</f>
        <v/>
      </c>
      <c r="E12" s="41">
        <f>MIN(MAX(0,E22+E24),MAX(0,E9+E10-E11-Assumptions!$E$16)*Assumptions!$E$25)</f>
        <v/>
      </c>
      <c r="F12" s="41">
        <f>MIN(MAX(0,F22+F24),MAX(0,F9+F10-F11-Assumptions!$E$16)*Assumptions!$E$25)</f>
        <v/>
      </c>
      <c r="G12" s="41">
        <f>MIN(MAX(0,G22+G24),MAX(0,G9+G10-G11-Assumptions!$E$16)*Assumptions!$E$25)</f>
        <v/>
      </c>
      <c r="H12" s="41">
        <f>MIN(MAX(0,H22+H24),MAX(0,H9+H10-H11-Assumptions!$E$16)*Assumptions!$E$25)</f>
        <v/>
      </c>
      <c r="I12" s="41">
        <f>MIN(MAX(0,I22+I24),MAX(0,I9+I10-I11-Assumptions!$E$16)*Assumptions!$E$25)</f>
        <v/>
      </c>
      <c r="J12" s="41">
        <f>MIN(MAX(0,J22+J24),MAX(0,J9+J10-J11-Assumptions!$E$16)*Assumptions!$E$25)</f>
        <v/>
      </c>
    </row>
    <row r="13" ht="15" customHeight="1" s="26">
      <c r="B13" s="50" t="inlineStr">
        <is>
          <t>Ending cash</t>
        </is>
      </c>
      <c r="C13" s="51">
        <f>C5</f>
        <v/>
      </c>
      <c r="D13" s="51">
        <f>D9+D10-D11-D12</f>
        <v/>
      </c>
      <c r="E13" s="51">
        <f>E9+E10-E11-E12</f>
        <v/>
      </c>
      <c r="F13" s="51">
        <f>F9+F10-F11-F12</f>
        <v/>
      </c>
      <c r="G13" s="51">
        <f>G9+G10-G11-G12</f>
        <v/>
      </c>
      <c r="H13" s="51">
        <f>H9+H10-H11-H12</f>
        <v/>
      </c>
      <c r="I13" s="51">
        <f>I9+I10-I11-I12</f>
        <v/>
      </c>
      <c r="J13" s="51">
        <f>J9+J10-J11-J12</f>
        <v/>
      </c>
    </row>
    <row r="14" ht="15" customHeight="1" s="26">
      <c r="B14" s="25" t="inlineStr">
        <is>
          <t>Beginning revolver</t>
        </is>
      </c>
      <c r="C14" s="41">
        <f>'Sources &amp; Uses'!F5</f>
        <v/>
      </c>
      <c r="D14" s="41">
        <f>C16</f>
        <v/>
      </c>
      <c r="E14" s="41">
        <f>D16</f>
        <v/>
      </c>
      <c r="F14" s="41">
        <f>E16</f>
        <v/>
      </c>
      <c r="G14" s="41">
        <f>F16</f>
        <v/>
      </c>
      <c r="H14" s="41">
        <f>G16</f>
        <v/>
      </c>
      <c r="I14" s="41">
        <f>H16</f>
        <v/>
      </c>
      <c r="J14" s="41">
        <f>I16</f>
        <v/>
      </c>
    </row>
    <row r="15" ht="15" customHeight="1" s="26">
      <c r="B15" s="25" t="inlineStr">
        <is>
          <t>Revolver interest</t>
        </is>
      </c>
      <c r="D15" s="41">
        <f>D14*Assumptions!$E$18</f>
        <v/>
      </c>
      <c r="E15" s="41">
        <f>E14*Assumptions!$E$18</f>
        <v/>
      </c>
      <c r="F15" s="41">
        <f>F14*Assumptions!$E$18</f>
        <v/>
      </c>
      <c r="G15" s="41">
        <f>G14*Assumptions!$E$18</f>
        <v/>
      </c>
      <c r="H15" s="41">
        <f>H14*Assumptions!$E$18</f>
        <v/>
      </c>
      <c r="I15" s="41">
        <f>I14*Assumptions!$E$18</f>
        <v/>
      </c>
      <c r="J15" s="41">
        <f>J14*Assumptions!$E$18</f>
        <v/>
      </c>
    </row>
    <row r="16" ht="15" customHeight="1" s="26">
      <c r="B16" s="25" t="inlineStr">
        <is>
          <t>Ending revolver</t>
        </is>
      </c>
      <c r="C16" s="41">
        <f>C14</f>
        <v/>
      </c>
      <c r="D16" s="41">
        <f>MAX(0,D14+D10)</f>
        <v/>
      </c>
      <c r="E16" s="41">
        <f>MAX(0,E14+E10)</f>
        <v/>
      </c>
      <c r="F16" s="41">
        <f>MAX(0,F14+F10)</f>
        <v/>
      </c>
      <c r="G16" s="41">
        <f>MAX(0,G14+G10)</f>
        <v/>
      </c>
      <c r="H16" s="41">
        <f>MAX(0,H14+H10)</f>
        <v/>
      </c>
      <c r="I16" s="41">
        <f>MAX(0,I14+I10)</f>
        <v/>
      </c>
      <c r="J16" s="41">
        <f>MAX(0,J14+J10)</f>
        <v/>
      </c>
    </row>
    <row r="17" ht="15" customHeight="1" s="26">
      <c r="B17" s="25" t="inlineStr">
        <is>
          <t>Beginning TLB</t>
        </is>
      </c>
      <c r="C17" s="41">
        <f>'Sources &amp; Uses'!F6</f>
        <v/>
      </c>
      <c r="D17" s="41">
        <f>C21</f>
        <v/>
      </c>
      <c r="E17" s="41">
        <f>D21</f>
        <v/>
      </c>
      <c r="F17" s="41">
        <f>E21</f>
        <v/>
      </c>
      <c r="G17" s="41">
        <f>F21</f>
        <v/>
      </c>
      <c r="H17" s="41">
        <f>G21</f>
        <v/>
      </c>
      <c r="I17" s="41">
        <f>H21</f>
        <v/>
      </c>
      <c r="J17" s="41">
        <f>I21</f>
        <v/>
      </c>
    </row>
    <row r="18" ht="15" customHeight="1" s="26">
      <c r="B18" s="25" t="inlineStr">
        <is>
          <t>TLB interest</t>
        </is>
      </c>
      <c r="D18" s="41">
        <f>D17*Assumptions!$E$20</f>
        <v/>
      </c>
      <c r="E18" s="41">
        <f>E17*Assumptions!$E$20</f>
        <v/>
      </c>
      <c r="F18" s="41">
        <f>F17*Assumptions!$E$20</f>
        <v/>
      </c>
      <c r="G18" s="41">
        <f>G17*Assumptions!$E$20</f>
        <v/>
      </c>
      <c r="H18" s="41">
        <f>H17*Assumptions!$E$20</f>
        <v/>
      </c>
      <c r="I18" s="41">
        <f>I17*Assumptions!$E$20</f>
        <v/>
      </c>
      <c r="J18" s="41">
        <f>J17*Assumptions!$E$20</f>
        <v/>
      </c>
    </row>
    <row r="19" ht="15" customHeight="1" s="26">
      <c r="B19" s="25" t="inlineStr">
        <is>
          <t>TLB amortization</t>
        </is>
      </c>
      <c r="D19" s="41">
        <f>MIN(D17,'Sources &amp; Uses'!$F$6*Assumptions!$E$21)</f>
        <v/>
      </c>
      <c r="E19" s="41">
        <f>MIN(E17,'Sources &amp; Uses'!$F$6*Assumptions!$E$21)</f>
        <v/>
      </c>
      <c r="F19" s="41">
        <f>MIN(F17,'Sources &amp; Uses'!$F$6*Assumptions!$E$21)</f>
        <v/>
      </c>
      <c r="G19" s="41">
        <f>MIN(G17,'Sources &amp; Uses'!$F$6*Assumptions!$E$21)</f>
        <v/>
      </c>
      <c r="H19" s="41">
        <f>MIN(H17,'Sources &amp; Uses'!$F$6*Assumptions!$E$21)</f>
        <v/>
      </c>
      <c r="I19" s="41">
        <f>MIN(I17,'Sources &amp; Uses'!$F$6*Assumptions!$E$21)</f>
        <v/>
      </c>
      <c r="J19" s="41">
        <f>MIN(J17,'Sources &amp; Uses'!$F$6*Assumptions!$E$21)</f>
        <v/>
      </c>
    </row>
    <row r="20" ht="15" customHeight="1" s="26">
      <c r="B20" s="50" t="inlineStr">
        <is>
          <t>TLB cash sweep</t>
        </is>
      </c>
      <c r="C20" s="51">
        <f>'Sources &amp; Uses'!F7</f>
        <v/>
      </c>
      <c r="D20" s="51">
        <f>D11</f>
        <v/>
      </c>
      <c r="E20" s="51">
        <f>E11</f>
        <v/>
      </c>
      <c r="F20" s="51">
        <f>F11</f>
        <v/>
      </c>
      <c r="G20" s="51">
        <f>G11</f>
        <v/>
      </c>
      <c r="H20" s="51">
        <f>H11</f>
        <v/>
      </c>
      <c r="I20" s="51">
        <f>I11</f>
        <v/>
      </c>
      <c r="J20" s="51">
        <f>J11</f>
        <v/>
      </c>
    </row>
    <row r="21" ht="15" customHeight="1" s="26">
      <c r="B21" s="25" t="inlineStr">
        <is>
          <t>Ending TLB</t>
        </is>
      </c>
      <c r="C21" s="41">
        <f>C17</f>
        <v/>
      </c>
      <c r="D21" s="41">
        <f>MAX(0,D17-D19-D20)</f>
        <v/>
      </c>
      <c r="E21" s="41">
        <f>MAX(0,E17-E19-E20)</f>
        <v/>
      </c>
      <c r="F21" s="41">
        <f>MAX(0,F17-F19-F20)</f>
        <v/>
      </c>
      <c r="G21" s="41">
        <f>MAX(0,G17-G19-G20)</f>
        <v/>
      </c>
      <c r="H21" s="41">
        <f>MAX(0,H17-H19-H20)</f>
        <v/>
      </c>
      <c r="I21" s="41">
        <f>MAX(0,I17-I19-I20)</f>
        <v/>
      </c>
      <c r="J21" s="41">
        <f>MAX(0,J17-J19-J20)</f>
        <v/>
      </c>
    </row>
    <row r="22" ht="15" customHeight="1" s="26">
      <c r="B22" s="25" t="inlineStr">
        <is>
          <t>Beginning second lien</t>
        </is>
      </c>
      <c r="C22" s="41">
        <f>'Sources &amp; Uses'!F7</f>
        <v/>
      </c>
      <c r="D22" s="41">
        <f>C26</f>
        <v/>
      </c>
      <c r="E22" s="41">
        <f>D26</f>
        <v/>
      </c>
      <c r="F22" s="41">
        <f>E26</f>
        <v/>
      </c>
      <c r="G22" s="41">
        <f>F26</f>
        <v/>
      </c>
      <c r="H22" s="41">
        <f>G26</f>
        <v/>
      </c>
      <c r="I22" s="41">
        <f>H26</f>
        <v/>
      </c>
      <c r="J22" s="41">
        <f>I26</f>
        <v/>
      </c>
    </row>
    <row r="23" ht="15" customHeight="1" s="26">
      <c r="B23" s="25" t="inlineStr">
        <is>
          <t>Second-lien cash interest</t>
        </is>
      </c>
      <c r="D23" s="41">
        <f>D22*Assumptions!$E$23</f>
        <v/>
      </c>
      <c r="E23" s="41">
        <f>E22*Assumptions!$E$23</f>
        <v/>
      </c>
      <c r="F23" s="41">
        <f>F22*Assumptions!$E$23</f>
        <v/>
      </c>
      <c r="G23" s="41">
        <f>G22*Assumptions!$E$23</f>
        <v/>
      </c>
      <c r="H23" s="41">
        <f>H22*Assumptions!$E$23</f>
        <v/>
      </c>
      <c r="I23" s="41">
        <f>I22*Assumptions!$E$23</f>
        <v/>
      </c>
      <c r="J23" s="41">
        <f>J22*Assumptions!$E$23</f>
        <v/>
      </c>
    </row>
    <row r="24" ht="15" customHeight="1" s="26">
      <c r="B24" s="50" t="inlineStr">
        <is>
          <t>Second-lien PIK</t>
        </is>
      </c>
      <c r="C24" s="51" t="n"/>
      <c r="D24" s="51">
        <f>D22*Assumptions!$E$24</f>
        <v/>
      </c>
      <c r="E24" s="51">
        <f>E22*Assumptions!$E$24</f>
        <v/>
      </c>
      <c r="F24" s="51">
        <f>F22*Assumptions!$E$24</f>
        <v/>
      </c>
      <c r="G24" s="51">
        <f>G22*Assumptions!$E$24</f>
        <v/>
      </c>
      <c r="H24" s="51">
        <f>H22*Assumptions!$E$24</f>
        <v/>
      </c>
      <c r="I24" s="51">
        <f>I22*Assumptions!$E$24</f>
        <v/>
      </c>
      <c r="J24" s="51">
        <f>J22*Assumptions!$E$24</f>
        <v/>
      </c>
    </row>
    <row r="25" ht="15" customHeight="1" s="26">
      <c r="B25" s="50" t="inlineStr">
        <is>
          <t>Second-lien cash sweep</t>
        </is>
      </c>
      <c r="C25" s="51">
        <f>SUM(C16,C20,C13)</f>
        <v/>
      </c>
      <c r="D25" s="51">
        <f>D12</f>
        <v/>
      </c>
      <c r="E25" s="51">
        <f>E12</f>
        <v/>
      </c>
      <c r="F25" s="51">
        <f>F12</f>
        <v/>
      </c>
      <c r="G25" s="51">
        <f>G12</f>
        <v/>
      </c>
      <c r="H25" s="51">
        <f>H12</f>
        <v/>
      </c>
      <c r="I25" s="51">
        <f>I12</f>
        <v/>
      </c>
      <c r="J25" s="51">
        <f>J12</f>
        <v/>
      </c>
    </row>
    <row r="26" ht="15" customHeight="1" s="26">
      <c r="B26" s="50" t="inlineStr">
        <is>
          <t>Ending second lien</t>
        </is>
      </c>
      <c r="C26" s="51">
        <f>C22</f>
        <v/>
      </c>
      <c r="D26" s="51">
        <f>MAX(0,D22+D24-D25)</f>
        <v/>
      </c>
      <c r="E26" s="51">
        <f>MAX(0,E22+E24-E25)</f>
        <v/>
      </c>
      <c r="F26" s="51">
        <f>MAX(0,F22+F24-F25)</f>
        <v/>
      </c>
      <c r="G26" s="51">
        <f>MAX(0,G22+G24-G25)</f>
        <v/>
      </c>
      <c r="H26" s="51">
        <f>MAX(0,H22+H24-H25)</f>
        <v/>
      </c>
      <c r="I26" s="51">
        <f>MAX(0,I22+I24-I25)</f>
        <v/>
      </c>
      <c r="J26" s="51">
        <f>MAX(0,J22+J24-J25)</f>
        <v/>
      </c>
    </row>
    <row r="27" ht="15" customHeight="1" s="26">
      <c r="B27" s="25" t="inlineStr">
        <is>
          <t>Total debt</t>
        </is>
      </c>
      <c r="C27" s="41">
        <f>SUM(C16,C21,C26)</f>
        <v/>
      </c>
      <c r="D27" s="41">
        <f>SUM(D16,D21,D26)</f>
        <v/>
      </c>
      <c r="E27" s="41">
        <f>SUM(E16,E21,E26)</f>
        <v/>
      </c>
      <c r="F27" s="41">
        <f>SUM(F16,F21,F26)</f>
        <v/>
      </c>
      <c r="G27" s="41">
        <f>SUM(G16,G21,G26)</f>
        <v/>
      </c>
      <c r="H27" s="41">
        <f>SUM(H16,H21,H26)</f>
        <v/>
      </c>
      <c r="I27" s="41">
        <f>SUM(I16,I21,I26)</f>
        <v/>
      </c>
      <c r="J27" s="41">
        <f>SUM(J16,J21,J26)</f>
        <v/>
      </c>
    </row>
    <row r="28" ht="15" customHeight="1" s="26">
      <c r="B28" s="25" t="inlineStr">
        <is>
          <t>Net debt</t>
        </is>
      </c>
      <c r="C28" s="41">
        <f>C27-C13</f>
        <v/>
      </c>
      <c r="D28" s="41">
        <f>D27-D13</f>
        <v/>
      </c>
      <c r="E28" s="41">
        <f>E27-E13</f>
        <v/>
      </c>
      <c r="F28" s="41">
        <f>F27-F13</f>
        <v/>
      </c>
      <c r="G28" s="41">
        <f>G27-G13</f>
        <v/>
      </c>
      <c r="H28" s="41">
        <f>H27-H13</f>
        <v/>
      </c>
      <c r="I28" s="41">
        <f>I27-I13</f>
        <v/>
      </c>
      <c r="J28" s="41">
        <f>J27-J13</f>
        <v/>
      </c>
    </row>
  </sheetData>
  <mergeCells count="1">
    <mergeCell ref="B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B2:I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25" min="1" max="1"/>
    <col width="34" customWidth="1" style="25" min="2" max="2"/>
    <col width="13" customWidth="1" style="25" min="3" max="9"/>
  </cols>
  <sheetData>
    <row r="2" ht="27.75" customHeight="1" s="26">
      <c r="B2" s="27" t="inlineStr">
        <is>
          <t>Lender Covenant and Liquidity Dashboard</t>
        </is>
      </c>
    </row>
    <row r="4" ht="15" customHeight="1" s="26">
      <c r="B4" s="39" t="inlineStr">
        <is>
          <t>Metric</t>
        </is>
      </c>
      <c r="C4" s="39" t="inlineStr">
        <is>
          <t>Year 1</t>
        </is>
      </c>
      <c r="D4" s="39" t="inlineStr">
        <is>
          <t>Year 2</t>
        </is>
      </c>
      <c r="E4" s="39" t="inlineStr">
        <is>
          <t>Year 3</t>
        </is>
      </c>
      <c r="F4" s="39" t="inlineStr">
        <is>
          <t>Year 4</t>
        </is>
      </c>
      <c r="G4" s="39" t="inlineStr">
        <is>
          <t>Year 5</t>
        </is>
      </c>
      <c r="H4" s="39" t="inlineStr">
        <is>
          <t>Year 6</t>
        </is>
      </c>
      <c r="I4" s="39" t="inlineStr">
        <is>
          <t>Year 7</t>
        </is>
      </c>
    </row>
    <row r="5" ht="15" customHeight="1" s="26">
      <c r="B5" s="25" t="inlineStr">
        <is>
          <t>Gross leverage</t>
        </is>
      </c>
      <c r="C5" s="47">
        <f>IFERROR('Debt Schedule'!D25/'Operating Model'!D8,0)</f>
        <v/>
      </c>
      <c r="D5" s="47">
        <f>IFERROR('Debt Schedule'!E25/'Operating Model'!E8,0)</f>
        <v/>
      </c>
      <c r="E5" s="47">
        <f>IFERROR('Debt Schedule'!F25/'Operating Model'!F8,0)</f>
        <v/>
      </c>
      <c r="F5" s="47">
        <f>IFERROR('Debt Schedule'!G25/'Operating Model'!G8,0)</f>
        <v/>
      </c>
      <c r="G5" s="47">
        <f>IFERROR('Debt Schedule'!H25/'Operating Model'!H8,0)</f>
        <v/>
      </c>
      <c r="H5" s="47">
        <f>IFERROR('Debt Schedule'!I25/'Operating Model'!I8,0)</f>
        <v/>
      </c>
      <c r="I5" s="47">
        <f>IFERROR('Debt Schedule'!J25/'Operating Model'!J8,0)</f>
        <v/>
      </c>
    </row>
    <row r="6" ht="15" customHeight="1" s="26">
      <c r="B6" s="25" t="inlineStr">
        <is>
          <t>Maximum leverage</t>
        </is>
      </c>
      <c r="C6" s="47">
        <f>Assumptions!$E$26</f>
        <v/>
      </c>
      <c r="D6" s="47">
        <f>Assumptions!$E$26</f>
        <v/>
      </c>
      <c r="E6" s="47">
        <f>Assumptions!$E$26</f>
        <v/>
      </c>
      <c r="F6" s="47">
        <f>Assumptions!$E$26</f>
        <v/>
      </c>
      <c r="G6" s="47">
        <f>Assumptions!$E$26</f>
        <v/>
      </c>
      <c r="H6" s="47">
        <f>Assumptions!$E$26</f>
        <v/>
      </c>
      <c r="I6" s="47">
        <f>Assumptions!$E$26</f>
        <v/>
      </c>
    </row>
    <row r="7" ht="15" customHeight="1" s="26">
      <c r="B7" s="25" t="inlineStr">
        <is>
          <t>Leverage headroom</t>
        </is>
      </c>
      <c r="C7" s="47">
        <f>C6-C5</f>
        <v/>
      </c>
      <c r="D7" s="47">
        <f>D6-D5</f>
        <v/>
      </c>
      <c r="E7" s="47">
        <f>E6-E5</f>
        <v/>
      </c>
      <c r="F7" s="47">
        <f>F6-F5</f>
        <v/>
      </c>
      <c r="G7" s="47">
        <f>G6-G5</f>
        <v/>
      </c>
      <c r="H7" s="47">
        <f>H6-H5</f>
        <v/>
      </c>
      <c r="I7" s="47">
        <f>I6-I5</f>
        <v/>
      </c>
    </row>
    <row r="8" ht="15" customHeight="1" s="26">
      <c r="B8" s="25" t="inlineStr">
        <is>
          <t>Interest coverage</t>
        </is>
      </c>
      <c r="C8" s="47">
        <f>IFERROR('Operating Model'!D8/'Debt Schedule'!D7,0)</f>
        <v/>
      </c>
      <c r="D8" s="47">
        <f>IFERROR('Operating Model'!E8/'Debt Schedule'!E7,0)</f>
        <v/>
      </c>
      <c r="E8" s="47">
        <f>IFERROR('Operating Model'!F8/'Debt Schedule'!F7,0)</f>
        <v/>
      </c>
      <c r="F8" s="47">
        <f>IFERROR('Operating Model'!G8/'Debt Schedule'!G7,0)</f>
        <v/>
      </c>
      <c r="G8" s="47">
        <f>IFERROR('Operating Model'!H8/'Debt Schedule'!H7,0)</f>
        <v/>
      </c>
      <c r="H8" s="47">
        <f>IFERROR('Operating Model'!I8/'Debt Schedule'!I7,0)</f>
        <v/>
      </c>
      <c r="I8" s="47">
        <f>IFERROR('Operating Model'!J8/'Debt Schedule'!J7,0)</f>
        <v/>
      </c>
    </row>
    <row r="9" ht="15" customHeight="1" s="26">
      <c r="B9" s="25" t="inlineStr">
        <is>
          <t>Minimum coverage</t>
        </is>
      </c>
      <c r="C9" s="47">
        <f>Assumptions!$E$27</f>
        <v/>
      </c>
      <c r="D9" s="47">
        <f>Assumptions!$E$27</f>
        <v/>
      </c>
      <c r="E9" s="47">
        <f>Assumptions!$E$27</f>
        <v/>
      </c>
      <c r="F9" s="47">
        <f>Assumptions!$E$27</f>
        <v/>
      </c>
      <c r="G9" s="47">
        <f>Assumptions!$E$27</f>
        <v/>
      </c>
      <c r="H9" s="47">
        <f>Assumptions!$E$27</f>
        <v/>
      </c>
      <c r="I9" s="47">
        <f>Assumptions!$E$27</f>
        <v/>
      </c>
    </row>
    <row r="10" ht="15" customHeight="1" s="26">
      <c r="B10" s="25" t="inlineStr">
        <is>
          <t>Coverage headroom</t>
        </is>
      </c>
      <c r="C10" s="47">
        <f>C8-C9</f>
        <v/>
      </c>
      <c r="D10" s="47">
        <f>D8-D9</f>
        <v/>
      </c>
      <c r="E10" s="47">
        <f>E8-E9</f>
        <v/>
      </c>
      <c r="F10" s="47">
        <f>F8-F9</f>
        <v/>
      </c>
      <c r="G10" s="47">
        <f>G8-G9</f>
        <v/>
      </c>
      <c r="H10" s="47">
        <f>H8-H9</f>
        <v/>
      </c>
      <c r="I10" s="47">
        <f>I8-I9</f>
        <v/>
      </c>
    </row>
    <row r="11" ht="15" customHeight="1" s="26">
      <c r="B11" s="25" t="inlineStr">
        <is>
          <t>Minimum cash</t>
        </is>
      </c>
      <c r="C11" s="41">
        <f>Assumptions!$E$16</f>
        <v/>
      </c>
      <c r="D11" s="41">
        <f>Assumptions!$E$16</f>
        <v/>
      </c>
      <c r="E11" s="41">
        <f>Assumptions!$E$16</f>
        <v/>
      </c>
      <c r="F11" s="41">
        <f>Assumptions!$E$16</f>
        <v/>
      </c>
      <c r="G11" s="41">
        <f>Assumptions!$E$16</f>
        <v/>
      </c>
      <c r="H11" s="41">
        <f>Assumptions!$E$16</f>
        <v/>
      </c>
      <c r="I11" s="41">
        <f>Assumptions!$E$16</f>
        <v/>
      </c>
    </row>
    <row r="12" ht="15" customHeight="1" s="26">
      <c r="B12" s="25" t="inlineStr">
        <is>
          <t>Cash headroom</t>
        </is>
      </c>
      <c r="C12" s="41">
        <f>'Debt Schedule'!D13-C11</f>
        <v/>
      </c>
      <c r="D12" s="41">
        <f>'Debt Schedule'!E13-D11</f>
        <v/>
      </c>
      <c r="E12" s="41">
        <f>'Debt Schedule'!F13-E11</f>
        <v/>
      </c>
      <c r="F12" s="41">
        <f>'Debt Schedule'!G13-F11</f>
        <v/>
      </c>
      <c r="G12" s="41">
        <f>'Debt Schedule'!H13-G11</f>
        <v/>
      </c>
      <c r="H12" s="41">
        <f>'Debt Schedule'!I13-H11</f>
        <v/>
      </c>
      <c r="I12" s="41">
        <f>'Debt Schedule'!J13-I11</f>
        <v/>
      </c>
    </row>
    <row r="13" ht="15" customHeight="1" s="26">
      <c r="B13" s="25" t="inlineStr">
        <is>
          <t>Status</t>
        </is>
      </c>
      <c r="C13" s="25">
        <f>IF(AND(C7&gt;=0,C10&gt;=0,C12&gt;=0),"PASS","BREACH")</f>
        <v/>
      </c>
      <c r="D13" s="25">
        <f>IF(AND(D7&gt;=0,D10&gt;=0,D12&gt;=0),"PASS","BREACH")</f>
        <v/>
      </c>
      <c r="E13" s="25">
        <f>IF(AND(E7&gt;=0,E10&gt;=0,E12&gt;=0),"PASS","BREACH")</f>
        <v/>
      </c>
      <c r="F13" s="25">
        <f>IF(AND(F7&gt;=0,F10&gt;=0,F12&gt;=0),"PASS","BREACH")</f>
        <v/>
      </c>
      <c r="G13" s="25">
        <f>IF(AND(G7&gt;=0,G10&gt;=0,G12&gt;=0),"PASS","BREACH")</f>
        <v/>
      </c>
      <c r="H13" s="25">
        <f>IF(AND(H7&gt;=0,H10&gt;=0,H12&gt;=0),"PASS","BREACH")</f>
        <v/>
      </c>
      <c r="I13" s="25">
        <f>IF(AND(I7&gt;=0,I10&gt;=0,I12&gt;=0),"PASS","BREACH")</f>
        <v/>
      </c>
    </row>
  </sheetData>
  <mergeCells count="1">
    <mergeCell ref="B2:I2"/>
  </mergeCells>
  <conditionalFormatting sqref="C13:I13">
    <cfRule type="expression" rank="0" priority="2" equalAverage="0" aboveAverage="0" dxfId="0" text="" percent="0" bottom="0">
      <formula>C13="PASS"</formula>
    </cfRule>
    <cfRule type="expression" rank="0" priority="3" equalAverage="0" aboveAverage="0" dxfId="1" text="" percent="0" bottom="0">
      <formula>C13="FAIL"</formula>
    </cfRule>
    <cfRule type="expression" rank="0" priority="4" equalAverage="0" aboveAverage="0" dxfId="2" text="" percent="0" bottom="0">
      <formula>C13="REVIEW"</formula>
    </cfRule>
    <cfRule type="expression" rank="0" priority="5" equalAverage="0" aboveAverage="0" dxfId="1" text="" percent="0" bottom="0">
      <formula>C13="BREACH"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B2:E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25" min="1" max="1"/>
    <col width="34" customWidth="1" style="25" min="2" max="2"/>
    <col width="18" customWidth="1" style="25" min="3" max="3"/>
    <col width="16" customWidth="1" style="25" min="4" max="4"/>
    <col width="42" customWidth="1" style="25" min="5" max="5"/>
  </cols>
  <sheetData>
    <row r="2" ht="27.75" customHeight="1" s="26">
      <c r="B2" s="27" t="inlineStr">
        <is>
          <t>Management Equity and Incentive Pool</t>
        </is>
      </c>
    </row>
    <row r="4" ht="15" customHeight="1" s="26">
      <c r="B4" s="39" t="inlineStr">
        <is>
          <t>Metric</t>
        </is>
      </c>
      <c r="C4" s="39" t="inlineStr">
        <is>
          <t>Value</t>
        </is>
      </c>
      <c r="D4" s="39" t="inlineStr">
        <is>
          <t>Units</t>
        </is>
      </c>
      <c r="E4" s="39" t="inlineStr">
        <is>
          <t>Notes</t>
        </is>
      </c>
    </row>
    <row r="5" ht="15" customHeight="1" s="26">
      <c r="B5" s="25" t="inlineStr">
        <is>
          <t>Management fully diluted pool</t>
        </is>
      </c>
      <c r="C5" s="43">
        <f>Assumptions!E30</f>
        <v/>
      </c>
      <c r="D5" s="25" t="inlineStr">
        <is>
          <t>%</t>
        </is>
      </c>
      <c r="E5" s="25" t="inlineStr">
        <is>
          <t>granted / reserved pool</t>
        </is>
      </c>
    </row>
    <row r="6" ht="15" customHeight="1" s="26">
      <c r="B6" s="25" t="inlineStr">
        <is>
          <t>Sponsor ownership before pool</t>
        </is>
      </c>
      <c r="C6" s="43">
        <f>1-C5</f>
        <v/>
      </c>
      <c r="D6" s="25" t="inlineStr">
        <is>
          <t>%</t>
        </is>
      </c>
      <c r="E6" s="25" t="inlineStr">
        <is>
          <t>fully diluted</t>
        </is>
      </c>
    </row>
    <row r="7" ht="15" customHeight="1" s="26">
      <c r="B7" s="25" t="inlineStr">
        <is>
          <t>Sponsor invested equity</t>
        </is>
      </c>
      <c r="C7" s="41">
        <f>'Sources &amp; Uses'!F8</f>
        <v/>
      </c>
      <c r="D7" s="25" t="inlineStr">
        <is>
          <t>$mm</t>
        </is>
      </c>
      <c r="E7" s="25" t="inlineStr">
        <is>
          <t>entry equity</t>
        </is>
      </c>
    </row>
    <row r="8" ht="15" customHeight="1" s="26">
      <c r="B8" s="25" t="inlineStr">
        <is>
          <t>Preferred return at exit</t>
        </is>
      </c>
      <c r="C8" s="41">
        <f>C7*(1+Assumptions!E31)^Assumptions!E29</f>
        <v/>
      </c>
      <c r="D8" s="25" t="inlineStr">
        <is>
          <t>$mm</t>
        </is>
      </c>
      <c r="E8" s="25" t="inlineStr">
        <is>
          <t>sponsor hurdle</t>
        </is>
      </c>
    </row>
    <row r="9" ht="15" customHeight="1" s="26">
      <c r="B9" s="25" t="inlineStr">
        <is>
          <t>Management catch-up rate</t>
        </is>
      </c>
      <c r="C9" s="43">
        <f>Assumptions!E32</f>
        <v/>
      </c>
      <c r="D9" s="25" t="inlineStr">
        <is>
          <t>% incremental</t>
        </is>
      </c>
      <c r="E9" s="25" t="inlineStr">
        <is>
          <t>above preferred return</t>
        </is>
      </c>
    </row>
  </sheetData>
  <mergeCells count="1">
    <mergeCell ref="B2:E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B2:J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25" min="1" max="1"/>
    <col width="34" customWidth="1" style="25" min="2" max="2"/>
    <col width="13" customWidth="1" style="25" min="3" max="10"/>
  </cols>
  <sheetData>
    <row r="2" ht="27.75" customHeight="1" s="26">
      <c r="B2" s="27" t="inlineStr">
        <is>
          <t>Exit Equity and Sponsor / Management Waterfall</t>
        </is>
      </c>
    </row>
    <row r="4" ht="15" customHeight="1" s="26">
      <c r="B4" s="39" t="inlineStr">
        <is>
          <t>Metric</t>
        </is>
      </c>
      <c r="C4" s="39" t="inlineStr">
        <is>
          <t>Year 1</t>
        </is>
      </c>
      <c r="D4" s="39" t="inlineStr">
        <is>
          <t>Year 2</t>
        </is>
      </c>
      <c r="E4" s="39" t="inlineStr">
        <is>
          <t>Year 3</t>
        </is>
      </c>
      <c r="F4" s="39" t="inlineStr">
        <is>
          <t>Year 4</t>
        </is>
      </c>
      <c r="G4" s="39" t="inlineStr">
        <is>
          <t>Year 5</t>
        </is>
      </c>
      <c r="H4" s="39" t="inlineStr">
        <is>
          <t>Year 6</t>
        </is>
      </c>
      <c r="I4" s="39" t="inlineStr">
        <is>
          <t>Year 7</t>
        </is>
      </c>
      <c r="J4" s="39" t="inlineStr">
        <is>
          <t>Selected exit</t>
        </is>
      </c>
    </row>
    <row r="5" ht="15" customHeight="1" s="26">
      <c r="B5" s="25" t="inlineStr">
        <is>
          <t>Exit EBITDA</t>
        </is>
      </c>
      <c r="C5" s="41">
        <f>'Operating Model'!D8</f>
        <v/>
      </c>
      <c r="D5" s="41">
        <f>'Operating Model'!E8</f>
        <v/>
      </c>
      <c r="E5" s="41">
        <f>'Operating Model'!F8</f>
        <v/>
      </c>
      <c r="F5" s="41">
        <f>'Operating Model'!G8</f>
        <v/>
      </c>
      <c r="G5" s="41">
        <f>'Operating Model'!H8</f>
        <v/>
      </c>
      <c r="H5" s="41">
        <f>'Operating Model'!I8</f>
        <v/>
      </c>
      <c r="I5" s="41">
        <f>'Operating Model'!J8</f>
        <v/>
      </c>
      <c r="J5" s="41">
        <f>INDEX(C5:I5,1,Assumptions!E29)</f>
        <v/>
      </c>
    </row>
    <row r="6" ht="15" customHeight="1" s="26">
      <c r="B6" s="25" t="inlineStr">
        <is>
          <t>Exit multiple</t>
        </is>
      </c>
      <c r="C6" s="47">
        <f>Assumptions!$E$28</f>
        <v/>
      </c>
      <c r="D6" s="47">
        <f>Assumptions!$E$28</f>
        <v/>
      </c>
      <c r="E6" s="47">
        <f>Assumptions!$E$28</f>
        <v/>
      </c>
      <c r="F6" s="47">
        <f>Assumptions!$E$28</f>
        <v/>
      </c>
      <c r="G6" s="47">
        <f>Assumptions!$E$28</f>
        <v/>
      </c>
      <c r="H6" s="47">
        <f>Assumptions!$E$28</f>
        <v/>
      </c>
      <c r="I6" s="47">
        <f>Assumptions!$E$28</f>
        <v/>
      </c>
      <c r="J6" s="47">
        <f>INDEX(C6:I6,1,Assumptions!E29)</f>
        <v/>
      </c>
    </row>
    <row r="7" ht="15" customHeight="1" s="26">
      <c r="B7" s="25" t="inlineStr">
        <is>
          <t>Exit enterprise value</t>
        </is>
      </c>
      <c r="C7" s="41">
        <f>C5*C6</f>
        <v/>
      </c>
      <c r="D7" s="41">
        <f>D5*D6</f>
        <v/>
      </c>
      <c r="E7" s="41">
        <f>E5*E6</f>
        <v/>
      </c>
      <c r="F7" s="41">
        <f>F5*F6</f>
        <v/>
      </c>
      <c r="G7" s="41">
        <f>G5*G6</f>
        <v/>
      </c>
      <c r="H7" s="41">
        <f>H5*H6</f>
        <v/>
      </c>
      <c r="I7" s="41">
        <f>I5*I6</f>
        <v/>
      </c>
      <c r="J7" s="41">
        <f>INDEX(C7:I7,1,Assumptions!E29)</f>
        <v/>
      </c>
    </row>
    <row r="8" ht="15" customHeight="1" s="26">
      <c r="B8" s="25" t="inlineStr">
        <is>
          <t>Net debt</t>
        </is>
      </c>
      <c r="C8" s="41">
        <f>'Debt Schedule'!D28</f>
        <v/>
      </c>
      <c r="D8" s="41">
        <f>'Debt Schedule'!E28</f>
        <v/>
      </c>
      <c r="E8" s="41">
        <f>'Debt Schedule'!F28</f>
        <v/>
      </c>
      <c r="F8" s="41">
        <f>'Debt Schedule'!G28</f>
        <v/>
      </c>
      <c r="G8" s="41">
        <f>'Debt Schedule'!H28</f>
        <v/>
      </c>
      <c r="H8" s="41">
        <f>'Debt Schedule'!I28</f>
        <v/>
      </c>
      <c r="I8" s="41">
        <f>'Debt Schedule'!J28</f>
        <v/>
      </c>
      <c r="J8" s="41">
        <f>INDEX(C8:I8,1,Assumptions!E29)</f>
        <v/>
      </c>
    </row>
    <row r="9" ht="15" customHeight="1" s="26">
      <c r="B9" s="25" t="inlineStr">
        <is>
          <t>Gross equity value</t>
        </is>
      </c>
      <c r="C9" s="41">
        <f>MAX(0,C7-C8)</f>
        <v/>
      </c>
      <c r="D9" s="41">
        <f>MAX(0,D7-D8)</f>
        <v/>
      </c>
      <c r="E9" s="41">
        <f>MAX(0,E7-E8)</f>
        <v/>
      </c>
      <c r="F9" s="41">
        <f>MAX(0,F7-F8)</f>
        <v/>
      </c>
      <c r="G9" s="41">
        <f>MAX(0,G7-G8)</f>
        <v/>
      </c>
      <c r="H9" s="41">
        <f>MAX(0,H7-H8)</f>
        <v/>
      </c>
      <c r="I9" s="41">
        <f>MAX(0,I7-I8)</f>
        <v/>
      </c>
      <c r="J9" s="41">
        <f>INDEX(C9:I9,1,Assumptions!E29)</f>
        <v/>
      </c>
    </row>
    <row r="10" ht="15" customHeight="1" s="26">
      <c r="B10" s="25" t="inlineStr">
        <is>
          <t>Sponsor preferred return</t>
        </is>
      </c>
      <c r="C10" s="41">
        <f>'Management Equity'!$C$7*(1+Assumptions!$E$31)^1</f>
        <v/>
      </c>
      <c r="D10" s="41">
        <f>'Management Equity'!$C$7*(1+Assumptions!$E$31)^2</f>
        <v/>
      </c>
      <c r="E10" s="41">
        <f>'Management Equity'!$C$7*(1+Assumptions!$E$31)^3</f>
        <v/>
      </c>
      <c r="F10" s="41">
        <f>'Management Equity'!$C$7*(1+Assumptions!$E$31)^4</f>
        <v/>
      </c>
      <c r="G10" s="41">
        <f>'Management Equity'!$C$7*(1+Assumptions!$E$31)^5</f>
        <v/>
      </c>
      <c r="H10" s="41">
        <f>'Management Equity'!$C$7*(1+Assumptions!$E$31)^6</f>
        <v/>
      </c>
      <c r="I10" s="41">
        <f>'Management Equity'!$C$7*(1+Assumptions!$E$31)^7</f>
        <v/>
      </c>
      <c r="J10" s="41">
        <f>INDEX(C10:I10,1,Assumptions!E29)</f>
        <v/>
      </c>
    </row>
    <row r="11" ht="15" customHeight="1" s="26">
      <c r="B11" s="25" t="inlineStr">
        <is>
          <t>Equity above preferred</t>
        </is>
      </c>
      <c r="C11" s="41">
        <f>MAX(0,C9-C10)</f>
        <v/>
      </c>
      <c r="D11" s="41">
        <f>MAX(0,D9-D10)</f>
        <v/>
      </c>
      <c r="E11" s="41">
        <f>MAX(0,E9-E10)</f>
        <v/>
      </c>
      <c r="F11" s="41">
        <f>MAX(0,F9-F10)</f>
        <v/>
      </c>
      <c r="G11" s="41">
        <f>MAX(0,G9-G10)</f>
        <v/>
      </c>
      <c r="H11" s="41">
        <f>MAX(0,H9-H10)</f>
        <v/>
      </c>
      <c r="I11" s="41">
        <f>MAX(0,I9-I10)</f>
        <v/>
      </c>
      <c r="J11" s="41">
        <f>INDEX(C11:I11,1,Assumptions!E29)</f>
        <v/>
      </c>
    </row>
    <row r="12" ht="15" customHeight="1" s="26">
      <c r="B12" s="25" t="inlineStr">
        <is>
          <t>Management proceeds</t>
        </is>
      </c>
      <c r="C12" s="41">
        <f>MIN(C9,C9*Assumptions!$E$30+C11*Assumptions!$E$32)</f>
        <v/>
      </c>
      <c r="D12" s="41">
        <f>MIN(D9,D9*Assumptions!$E$30+D11*Assumptions!$E$32)</f>
        <v/>
      </c>
      <c r="E12" s="41">
        <f>MIN(E9,E9*Assumptions!$E$30+E11*Assumptions!$E$32)</f>
        <v/>
      </c>
      <c r="F12" s="41">
        <f>MIN(F9,F9*Assumptions!$E$30+F11*Assumptions!$E$32)</f>
        <v/>
      </c>
      <c r="G12" s="41">
        <f>MIN(G9,G9*Assumptions!$E$30+G11*Assumptions!$E$32)</f>
        <v/>
      </c>
      <c r="H12" s="41">
        <f>MIN(H9,H9*Assumptions!$E$30+H11*Assumptions!$E$32)</f>
        <v/>
      </c>
      <c r="I12" s="41">
        <f>MIN(I9,I9*Assumptions!$E$30+I11*Assumptions!$E$32)</f>
        <v/>
      </c>
      <c r="J12" s="41">
        <f>INDEX(C12:I12,1,Assumptions!E29)</f>
        <v/>
      </c>
    </row>
    <row r="13" ht="15" customHeight="1" s="26">
      <c r="B13" s="25" t="inlineStr">
        <is>
          <t>Sponsor proceeds</t>
        </is>
      </c>
      <c r="C13" s="41">
        <f>MAX(0,C9-C12)</f>
        <v/>
      </c>
      <c r="D13" s="41">
        <f>MAX(0,D9-D12)</f>
        <v/>
      </c>
      <c r="E13" s="41">
        <f>MAX(0,E9-E12)</f>
        <v/>
      </c>
      <c r="F13" s="41">
        <f>MAX(0,F9-F12)</f>
        <v/>
      </c>
      <c r="G13" s="41">
        <f>MAX(0,G9-G12)</f>
        <v/>
      </c>
      <c r="H13" s="41">
        <f>MAX(0,H9-H12)</f>
        <v/>
      </c>
      <c r="I13" s="41">
        <f>MAX(0,I9-I12)</f>
        <v/>
      </c>
      <c r="J13" s="41">
        <f>INDEX(C13:I13,1,Assumptions!E29)</f>
        <v/>
      </c>
    </row>
    <row r="14" ht="15" customHeight="1" s="26">
      <c r="B14" s="25" t="inlineStr">
        <is>
          <t>Sponsor MOIC</t>
        </is>
      </c>
      <c r="C14" s="47">
        <f>IFERROR(C13/'Sources &amp; Uses'!$F$8,0)</f>
        <v/>
      </c>
      <c r="D14" s="47">
        <f>IFERROR(D13/'Sources &amp; Uses'!$F$8,0)</f>
        <v/>
      </c>
      <c r="E14" s="47">
        <f>IFERROR(E13/'Sources &amp; Uses'!$F$8,0)</f>
        <v/>
      </c>
      <c r="F14" s="47">
        <f>IFERROR(F13/'Sources &amp; Uses'!$F$8,0)</f>
        <v/>
      </c>
      <c r="G14" s="47">
        <f>IFERROR(G13/'Sources &amp; Uses'!$F$8,0)</f>
        <v/>
      </c>
      <c r="H14" s="47">
        <f>IFERROR(H13/'Sources &amp; Uses'!$F$8,0)</f>
        <v/>
      </c>
      <c r="I14" s="47">
        <f>IFERROR(I13/'Sources &amp; Uses'!$F$8,0)</f>
        <v/>
      </c>
      <c r="J14" s="47">
        <f>INDEX(C14:I14,1,Assumptions!E29)</f>
        <v/>
      </c>
    </row>
    <row r="15" ht="15" customHeight="1" s="26">
      <c r="B15" s="25" t="inlineStr">
        <is>
          <t>Sponsor IRR</t>
        </is>
      </c>
      <c r="C15" s="45">
        <f>IFERROR((C13/'Sources &amp; Uses'!$F$8)^(1/1)-1,0)</f>
        <v/>
      </c>
      <c r="D15" s="45">
        <f>IFERROR((D13/'Sources &amp; Uses'!$F$8)^(1/2)-1,0)</f>
        <v/>
      </c>
      <c r="E15" s="45">
        <f>IFERROR((E13/'Sources &amp; Uses'!$F$8)^(1/3)-1,0)</f>
        <v/>
      </c>
      <c r="F15" s="45">
        <f>IFERROR((F13/'Sources &amp; Uses'!$F$8)^(1/4)-1,0)</f>
        <v/>
      </c>
      <c r="G15" s="45">
        <f>IFERROR((G13/'Sources &amp; Uses'!$F$8)^(1/5)-1,0)</f>
        <v/>
      </c>
      <c r="H15" s="45">
        <f>IFERROR((H13/'Sources &amp; Uses'!$F$8)^(1/6)-1,0)</f>
        <v/>
      </c>
      <c r="I15" s="45">
        <f>IFERROR((I13/'Sources &amp; Uses'!$F$8)^(1/7)-1,0)</f>
        <v/>
      </c>
      <c r="J15" s="45">
        <f>INDEX(C15:I15,1,Assumptions!E29)</f>
        <v/>
      </c>
    </row>
  </sheetData>
  <mergeCells count="1">
    <mergeCell ref="B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B2:G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25" min="1" max="1"/>
    <col width="28" customWidth="1" style="25" min="2" max="2"/>
    <col width="14" customWidth="1" style="25" min="3" max="7"/>
  </cols>
  <sheetData>
    <row r="2" ht="27.75" customHeight="1" s="26">
      <c r="B2" s="27" t="inlineStr">
        <is>
          <t>Sponsor IRR Sensitivity</t>
        </is>
      </c>
    </row>
    <row r="4" ht="15" customHeight="1" s="26">
      <c r="B4" s="39" t="inlineStr">
        <is>
          <t>Entry / Exit multiple</t>
        </is>
      </c>
      <c r="C4" s="52" t="n">
        <v>7</v>
      </c>
      <c r="D4" s="52" t="n">
        <v>8</v>
      </c>
      <c r="E4" s="52" t="n">
        <v>9</v>
      </c>
      <c r="F4" s="52" t="n">
        <v>10</v>
      </c>
      <c r="G4" s="52" t="n">
        <v>11</v>
      </c>
    </row>
    <row r="5" ht="15" customHeight="1" s="26">
      <c r="B5" s="47" t="n">
        <v>8</v>
      </c>
      <c r="C5" s="43">
        <f>IFERROR(((('Operating Model'!H8*C$4-'Debt Schedule'!G28)*(1-Assumptions!$E$30))/MAX(0.01,('Operating Model'!C8*$B5+Assumptions!$E$15+'Sources &amp; Uses'!C7+Assumptions!$E$16-'Sources &amp; Uses'!F6-'Sources &amp; Uses'!F7)))^(1/5)-1,0)</f>
        <v/>
      </c>
      <c r="D5" s="43">
        <f>IFERROR(((('Operating Model'!H8*D$4-'Debt Schedule'!G28)*(1-Assumptions!$E$30))/MAX(0.01,('Operating Model'!C8*$B5+Assumptions!$E$15+'Sources &amp; Uses'!C7+Assumptions!$E$16-'Sources &amp; Uses'!F6-'Sources &amp; Uses'!F7)))^(1/5)-1,0)</f>
        <v/>
      </c>
      <c r="E5" s="43">
        <f>IFERROR(((('Operating Model'!H8*E$4-'Debt Schedule'!G28)*(1-Assumptions!$E$30))/MAX(0.01,('Operating Model'!C8*$B5+Assumptions!$E$15+'Sources &amp; Uses'!C7+Assumptions!$E$16-'Sources &amp; Uses'!F6-'Sources &amp; Uses'!F7)))^(1/5)-1,0)</f>
        <v/>
      </c>
      <c r="F5" s="43">
        <f>IFERROR(((('Operating Model'!H8*F$4-'Debt Schedule'!G28)*(1-Assumptions!$E$30))/MAX(0.01,('Operating Model'!C8*$B5+Assumptions!$E$15+'Sources &amp; Uses'!C7+Assumptions!$E$16-'Sources &amp; Uses'!F6-'Sources &amp; Uses'!F7)))^(1/5)-1,0)</f>
        <v/>
      </c>
      <c r="G5" s="43">
        <f>IFERROR(((('Operating Model'!H8*G$4-'Debt Schedule'!G28)*(1-Assumptions!$E$30))/MAX(0.01,('Operating Model'!C8*$B5+Assumptions!$E$15+'Sources &amp; Uses'!C7+Assumptions!$E$16-'Sources &amp; Uses'!F6-'Sources &amp; Uses'!F7)))^(1/5)-1,0)</f>
        <v/>
      </c>
    </row>
    <row r="6" ht="15" customHeight="1" s="26">
      <c r="B6" s="47" t="n">
        <v>9</v>
      </c>
      <c r="C6" s="43">
        <f>IFERROR(((('Operating Model'!H8*C$4-'Debt Schedule'!G28)*(1-Assumptions!$E$30))/MAX(0.01,('Operating Model'!C8*$B6+Assumptions!$E$15+'Sources &amp; Uses'!C7+Assumptions!$E$16-'Sources &amp; Uses'!F6-'Sources &amp; Uses'!F7)))^(1/5)-1,0)</f>
        <v/>
      </c>
      <c r="D6" s="43">
        <f>IFERROR(((('Operating Model'!H8*D$4-'Debt Schedule'!G28)*(1-Assumptions!$E$30))/MAX(0.01,('Operating Model'!C8*$B6+Assumptions!$E$15+'Sources &amp; Uses'!C7+Assumptions!$E$16-'Sources &amp; Uses'!F6-'Sources &amp; Uses'!F7)))^(1/5)-1,0)</f>
        <v/>
      </c>
      <c r="E6" s="43">
        <f>IFERROR(((('Operating Model'!H8*E$4-'Debt Schedule'!G28)*(1-Assumptions!$E$30))/MAX(0.01,('Operating Model'!C8*$B6+Assumptions!$E$15+'Sources &amp; Uses'!C7+Assumptions!$E$16-'Sources &amp; Uses'!F6-'Sources &amp; Uses'!F7)))^(1/5)-1,0)</f>
        <v/>
      </c>
      <c r="F6" s="43">
        <f>IFERROR(((('Operating Model'!H8*F$4-'Debt Schedule'!G28)*(1-Assumptions!$E$30))/MAX(0.01,('Operating Model'!C8*$B6+Assumptions!$E$15+'Sources &amp; Uses'!C7+Assumptions!$E$16-'Sources &amp; Uses'!F6-'Sources &amp; Uses'!F7)))^(1/5)-1,0)</f>
        <v/>
      </c>
      <c r="G6" s="43">
        <f>IFERROR(((('Operating Model'!H8*G$4-'Debt Schedule'!G28)*(1-Assumptions!$E$30))/MAX(0.01,('Operating Model'!C8*$B6+Assumptions!$E$15+'Sources &amp; Uses'!C7+Assumptions!$E$16-'Sources &amp; Uses'!F6-'Sources &amp; Uses'!F7)))^(1/5)-1,0)</f>
        <v/>
      </c>
    </row>
    <row r="7" ht="15" customHeight="1" s="26">
      <c r="B7" s="47" t="n">
        <v>10</v>
      </c>
      <c r="C7" s="43">
        <f>IFERROR(((('Operating Model'!H8*C$4-'Debt Schedule'!G28)*(1-Assumptions!$E$30))/MAX(0.01,('Operating Model'!C8*$B7+Assumptions!$E$15+'Sources &amp; Uses'!C7+Assumptions!$E$16-'Sources &amp; Uses'!F6-'Sources &amp; Uses'!F7)))^(1/5)-1,0)</f>
        <v/>
      </c>
      <c r="D7" s="43">
        <f>IFERROR(((('Operating Model'!H8*D$4-'Debt Schedule'!G28)*(1-Assumptions!$E$30))/MAX(0.01,('Operating Model'!C8*$B7+Assumptions!$E$15+'Sources &amp; Uses'!C7+Assumptions!$E$16-'Sources &amp; Uses'!F6-'Sources &amp; Uses'!F7)))^(1/5)-1,0)</f>
        <v/>
      </c>
      <c r="E7" s="43">
        <f>IFERROR(((('Operating Model'!H8*E$4-'Debt Schedule'!G28)*(1-Assumptions!$E$30))/MAX(0.01,('Operating Model'!C8*$B7+Assumptions!$E$15+'Sources &amp; Uses'!C7+Assumptions!$E$16-'Sources &amp; Uses'!F6-'Sources &amp; Uses'!F7)))^(1/5)-1,0)</f>
        <v/>
      </c>
      <c r="F7" s="43">
        <f>IFERROR(((('Operating Model'!H8*F$4-'Debt Schedule'!G28)*(1-Assumptions!$E$30))/MAX(0.01,('Operating Model'!C8*$B7+Assumptions!$E$15+'Sources &amp; Uses'!C7+Assumptions!$E$16-'Sources &amp; Uses'!F6-'Sources &amp; Uses'!F7)))^(1/5)-1,0)</f>
        <v/>
      </c>
      <c r="G7" s="43">
        <f>IFERROR(((('Operating Model'!H8*G$4-'Debt Schedule'!G28)*(1-Assumptions!$E$30))/MAX(0.01,('Operating Model'!C8*$B7+Assumptions!$E$15+'Sources &amp; Uses'!C7+Assumptions!$E$16-'Sources &amp; Uses'!F6-'Sources &amp; Uses'!F7)))^(1/5)-1,0)</f>
        <v/>
      </c>
    </row>
    <row r="8" ht="15" customHeight="1" s="26">
      <c r="B8" s="47" t="n">
        <v>11</v>
      </c>
      <c r="C8" s="43">
        <f>IFERROR(((('Operating Model'!H8*C$4-'Debt Schedule'!G28)*(1-Assumptions!$E$30))/MAX(0.01,('Operating Model'!C8*$B8+Assumptions!$E$15+'Sources &amp; Uses'!C7+Assumptions!$E$16-'Sources &amp; Uses'!F6-'Sources &amp; Uses'!F7)))^(1/5)-1,0)</f>
        <v/>
      </c>
      <c r="D8" s="43">
        <f>IFERROR(((('Operating Model'!H8*D$4-'Debt Schedule'!G28)*(1-Assumptions!$E$30))/MAX(0.01,('Operating Model'!C8*$B8+Assumptions!$E$15+'Sources &amp; Uses'!C7+Assumptions!$E$16-'Sources &amp; Uses'!F6-'Sources &amp; Uses'!F7)))^(1/5)-1,0)</f>
        <v/>
      </c>
      <c r="E8" s="43">
        <f>IFERROR(((('Operating Model'!H8*E$4-'Debt Schedule'!G28)*(1-Assumptions!$E$30))/MAX(0.01,('Operating Model'!C8*$B8+Assumptions!$E$15+'Sources &amp; Uses'!C7+Assumptions!$E$16-'Sources &amp; Uses'!F6-'Sources &amp; Uses'!F7)))^(1/5)-1,0)</f>
        <v/>
      </c>
      <c r="F8" s="43">
        <f>IFERROR(((('Operating Model'!H8*F$4-'Debt Schedule'!G28)*(1-Assumptions!$E$30))/MAX(0.01,('Operating Model'!C8*$B8+Assumptions!$E$15+'Sources &amp; Uses'!C7+Assumptions!$E$16-'Sources &amp; Uses'!F6-'Sources &amp; Uses'!F7)))^(1/5)-1,0)</f>
        <v/>
      </c>
      <c r="G8" s="43">
        <f>IFERROR(((('Operating Model'!H8*G$4-'Debt Schedule'!G28)*(1-Assumptions!$E$30))/MAX(0.01,('Operating Model'!C8*$B8+Assumptions!$E$15+'Sources &amp; Uses'!C7+Assumptions!$E$16-'Sources &amp; Uses'!F6-'Sources &amp; Uses'!F7)))^(1/5)-1,0)</f>
        <v/>
      </c>
    </row>
    <row r="9" ht="15" customHeight="1" s="26">
      <c r="B9" s="47" t="n">
        <v>12</v>
      </c>
      <c r="C9" s="43">
        <f>IFERROR(((('Operating Model'!H8*C$4-'Debt Schedule'!G28)*(1-Assumptions!$E$30))/MAX(0.01,('Operating Model'!C8*$B9+Assumptions!$E$15+'Sources &amp; Uses'!C7+Assumptions!$E$16-'Sources &amp; Uses'!F6-'Sources &amp; Uses'!F7)))^(1/5)-1,0)</f>
        <v/>
      </c>
      <c r="D9" s="43">
        <f>IFERROR(((('Operating Model'!H8*D$4-'Debt Schedule'!G28)*(1-Assumptions!$E$30))/MAX(0.01,('Operating Model'!C8*$B9+Assumptions!$E$15+'Sources &amp; Uses'!C7+Assumptions!$E$16-'Sources &amp; Uses'!F6-'Sources &amp; Uses'!F7)))^(1/5)-1,0)</f>
        <v/>
      </c>
      <c r="E9" s="43">
        <f>IFERROR(((('Operating Model'!H8*E$4-'Debt Schedule'!G28)*(1-Assumptions!$E$30))/MAX(0.01,('Operating Model'!C8*$B9+Assumptions!$E$15+'Sources &amp; Uses'!C7+Assumptions!$E$16-'Sources &amp; Uses'!F6-'Sources &amp; Uses'!F7)))^(1/5)-1,0)</f>
        <v/>
      </c>
      <c r="F9" s="43">
        <f>IFERROR(((('Operating Model'!H8*F$4-'Debt Schedule'!G28)*(1-Assumptions!$E$30))/MAX(0.01,('Operating Model'!C8*$B9+Assumptions!$E$15+'Sources &amp; Uses'!C7+Assumptions!$E$16-'Sources &amp; Uses'!F6-'Sources &amp; Uses'!F7)))^(1/5)-1,0)</f>
        <v/>
      </c>
      <c r="G9" s="43">
        <f>IFERROR(((('Operating Model'!H8*G$4-'Debt Schedule'!G28)*(1-Assumptions!$E$30))/MAX(0.01,('Operating Model'!C8*$B9+Assumptions!$E$15+'Sources &amp; Uses'!C7+Assumptions!$E$16-'Sources &amp; Uses'!F6-'Sources &amp; Uses'!F7)))^(1/5)-1,0)</f>
        <v/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FCE4D6"/>
        <color rgb="FFFFF2CC"/>
        <color rgb="FFE2F0D9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B2:C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25" min="1" max="1"/>
    <col width="46" customWidth="1" style="25" min="2" max="2"/>
    <col width="18" customWidth="1" style="25" min="3" max="3"/>
  </cols>
  <sheetData>
    <row r="2" ht="27.75" customHeight="1" s="26">
      <c r="B2" s="27" t="inlineStr">
        <is>
          <t>LBO Model Checks</t>
        </is>
      </c>
    </row>
    <row r="4" ht="15" customHeight="1" s="26">
      <c r="B4" s="39" t="inlineStr">
        <is>
          <t>Check</t>
        </is>
      </c>
      <c r="C4" s="39" t="inlineStr">
        <is>
          <t>Status</t>
        </is>
      </c>
    </row>
    <row r="5" ht="15" customHeight="1" s="26">
      <c r="B5" s="25" t="inlineStr">
        <is>
          <t>Sources equal uses</t>
        </is>
      </c>
      <c r="C5" s="25">
        <f>IF(ABS('Sources &amp; Uses'!F10)&lt;0.000001,"PASS","FAIL")</f>
        <v/>
      </c>
    </row>
    <row r="6" ht="15" customHeight="1" s="26">
      <c r="B6" s="25" t="inlineStr">
        <is>
          <t>Sponsor equity positive</t>
        </is>
      </c>
      <c r="C6" s="25">
        <f>IF('Sources &amp; Uses'!F8&gt;0,"PASS","FAIL")</f>
        <v/>
      </c>
    </row>
    <row r="7" ht="15" customHeight="1" s="26">
      <c r="B7" s="25" t="inlineStr">
        <is>
          <t>Debt balances nonnegative</t>
        </is>
      </c>
      <c r="C7" s="25">
        <f>IF(MIN('Debt Schedule'!D15:J25)&gt;=0,"PASS","FAIL")</f>
        <v/>
      </c>
    </row>
    <row r="8" ht="15" customHeight="1" s="26">
      <c r="B8" s="25" t="inlineStr">
        <is>
          <t>Cash at or above minimum</t>
        </is>
      </c>
      <c r="C8" s="25">
        <f>IF(MIN('Debt Schedule'!D13:J13)&gt;=Assumptions!E16,"PASS","REVIEW")</f>
        <v/>
      </c>
    </row>
    <row r="9" ht="15" customHeight="1" s="26">
      <c r="B9" s="25" t="inlineStr">
        <is>
          <t>No covenant breaches</t>
        </is>
      </c>
      <c r="C9" s="25">
        <f>IF(COUNTIF(Covenants!C13:I13,"BREACH")=0,"PASS","REVIEW")</f>
        <v/>
      </c>
    </row>
    <row r="10" ht="15" customHeight="1" s="26">
      <c r="B10" s="25" t="inlineStr">
        <is>
          <t>Exit equity nonnegative</t>
        </is>
      </c>
      <c r="C10" s="25">
        <f>IF(MIN('Returns Waterfall'!C9:I9)&gt;=0,"PASS","FAIL")</f>
        <v/>
      </c>
    </row>
    <row r="11" ht="15" customHeight="1" s="26">
      <c r="B11" s="25" t="inlineStr">
        <is>
          <t>Waterfall conserves equity</t>
        </is>
      </c>
      <c r="C11" s="25">
        <f>IF(MAX(ABS('Returns Waterfall'!C9:I9-'Returns Waterfall'!C12:I12-'Returns Waterfall'!C13:I13))&lt;0.000001,"PASS","FAIL")</f>
        <v/>
      </c>
    </row>
    <row r="12" ht="15" customHeight="1" s="26">
      <c r="B12" s="25" t="inlineStr">
        <is>
          <t>Selected exit year valid</t>
        </is>
      </c>
      <c r="C12" s="25">
        <f>IF(AND(Assumptions!E29&gt;=1,Assumptions!E29&lt;=7),"PASS","FAIL")</f>
        <v/>
      </c>
    </row>
    <row r="13" ht="15" customHeight="1" s="26">
      <c r="B13" s="25" t="inlineStr">
        <is>
          <t>Overall</t>
        </is>
      </c>
      <c r="C13" s="25">
        <f>IF(COUNTIF(C5:C12,"FAIL")=0,"PASS","FAIL")</f>
        <v/>
      </c>
    </row>
  </sheetData>
  <mergeCells count="1">
    <mergeCell ref="B2:C2"/>
  </mergeCells>
  <conditionalFormatting sqref="C5:C13">
    <cfRule type="expression" rank="0" priority="2" equalAverage="0" aboveAverage="0" dxfId="0" text="" percent="0" bottom="0">
      <formula>C5="PASS"</formula>
    </cfRule>
    <cfRule type="expression" rank="0" priority="3" equalAverage="0" aboveAverage="0" dxfId="1" text="" percent="0" bottom="0">
      <formula>C5="FAIL"</formula>
    </cfRule>
    <cfRule type="expression" rank="0" priority="4" equalAverage="0" aboveAverage="0" dxfId="2" text="" percent="0" bottom="0">
      <formula>C5="REVIEW"</formula>
    </cfRule>
    <cfRule type="expression" rank="0" priority="5" equalAverage="0" aboveAverage="0" dxfId="1" text="" percent="0" bottom="0">
      <formula>C5="BREACH"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B2:E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4" customWidth="1" style="25" min="1" max="1"/>
    <col width="34" customWidth="1" style="25" min="2" max="2"/>
    <col width="58" customWidth="1" style="25" min="3" max="3"/>
    <col width="16" customWidth="1" style="25" min="4" max="4"/>
    <col width="48" customWidth="1" style="25" min="5" max="5"/>
  </cols>
  <sheetData>
    <row r="2" ht="27.75" customHeight="1" s="26">
      <c r="B2" s="27" t="inlineStr">
        <is>
          <t>Source Register</t>
        </is>
      </c>
    </row>
    <row r="4" ht="15" customHeight="1" s="26">
      <c r="B4" s="39" t="inlineStr">
        <is>
          <t>Input / dataset</t>
        </is>
      </c>
      <c r="C4" s="39" t="inlineStr">
        <is>
          <t>Source URL or document</t>
        </is>
      </c>
      <c r="D4" s="39" t="inlineStr">
        <is>
          <t>As-of</t>
        </is>
      </c>
      <c r="E4" s="39" t="inlineStr">
        <is>
          <t>Notes / transformation</t>
        </is>
      </c>
    </row>
    <row r="5" ht="15" customHeight="1" s="26">
      <c r="B5" s="53" t="inlineStr">
        <is>
          <t>Historical financial statements</t>
        </is>
      </c>
      <c r="C5" s="53" t="inlineStr">
        <is>
          <t>[filing / data room URL]</t>
        </is>
      </c>
      <c r="D5" s="53" t="inlineStr">
        <is>
          <t>[period]</t>
        </is>
      </c>
      <c r="E5" s="53" t="inlineStr">
        <is>
          <t>Revenue, margins, capex, working capital, taxes</t>
        </is>
      </c>
    </row>
    <row r="6" ht="15" customHeight="1" s="26">
      <c r="B6" s="53" t="inlineStr">
        <is>
          <t>Quality of earnings and diligence</t>
        </is>
      </c>
      <c r="C6" s="53" t="inlineStr">
        <is>
          <t>[advisor report URL]</t>
        </is>
      </c>
      <c r="D6" s="53" t="inlineStr">
        <is>
          <t>[date]</t>
        </is>
      </c>
      <c r="E6" s="53" t="inlineStr">
        <is>
          <t>EBITDA adjustments, one-time items, risks</t>
        </is>
      </c>
    </row>
    <row r="7" ht="15" customHeight="1" s="26">
      <c r="B7" s="53" t="inlineStr">
        <is>
          <t>Debt term sheets and documentation</t>
        </is>
      </c>
      <c r="C7" s="53" t="inlineStr">
        <is>
          <t>[data room URL]</t>
        </is>
      </c>
      <c r="D7" s="53" t="inlineStr">
        <is>
          <t>[date]</t>
        </is>
      </c>
      <c r="E7" s="53" t="inlineStr">
        <is>
          <t>Rates, PIK, amortization, sweeps, covenants, baskets</t>
        </is>
      </c>
    </row>
    <row r="8" ht="15" customHeight="1" s="26">
      <c r="B8" s="53" t="inlineStr">
        <is>
          <t>Transaction terms</t>
        </is>
      </c>
      <c r="C8" s="53" t="inlineStr">
        <is>
          <t>[purchase agreement / process letter]</t>
        </is>
      </c>
      <c r="D8" s="53" t="inlineStr">
        <is>
          <t>[date]</t>
        </is>
      </c>
      <c r="E8" s="53" t="inlineStr">
        <is>
          <t>Price, fees, minimum cash, rollover, management pool</t>
        </is>
      </c>
    </row>
    <row r="9" ht="15" customHeight="1" s="26">
      <c r="B9" s="53" t="inlineStr">
        <is>
          <t>Market valuation references</t>
        </is>
      </c>
      <c r="C9" s="53" t="inlineStr">
        <is>
          <t>[public market / transaction source]</t>
        </is>
      </c>
      <c r="D9" s="53" t="inlineStr">
        <is>
          <t>[date]</t>
        </is>
      </c>
      <c r="E9" s="53" t="inlineStr">
        <is>
          <t>Entry and exit multiple support</t>
        </is>
      </c>
    </row>
    <row r="10">
      <c r="B10" s="58" t="inlineStr">
        <is>
          <t>Alleghany 2021 Form 10-K</t>
        </is>
      </c>
      <c r="C10" s="58" t="inlineStr">
        <is>
          <t>https://www.sec.gov/Archives/edgar/data/775368/000077536822000010/y-20211231.htm</t>
        </is>
      </c>
      <c r="D10" s="58" t="inlineStr">
        <is>
          <t>2022-02-24</t>
        </is>
      </c>
      <c r="E10" s="58" t="inlineStr">
        <is>
          <t>U.S. SEC; frozen curated observation as of case date</t>
        </is>
      </c>
    </row>
    <row r="11">
      <c r="B11" s="58" t="inlineStr">
        <is>
          <t>Frozen source snapshot</t>
        </is>
      </c>
      <c r="C11" s="58" t="inlineStr">
        <is>
          <t>repo://04_Merchant_Banking/sources/snapshots/merchant-alleghany-2021.json</t>
        </is>
      </c>
      <c r="D11" s="58" t="inlineStr">
        <is>
          <t>2022-02-24</t>
        </is>
      </c>
      <c r="E11" s="58" t="inlineStr">
        <is>
          <t>Immutable curated observation package with SHA-256 digest</t>
        </is>
      </c>
    </row>
  </sheetData>
  <mergeCells count="1">
    <mergeCell ref="B2:E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B2:G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4" customWidth="1" style="25" min="1" max="1"/>
    <col width="14" customWidth="1" style="25" min="2" max="2"/>
    <col width="22" customWidth="1" style="25" min="3" max="3"/>
    <col width="28" customWidth="1" style="25" min="4" max="4"/>
    <col width="38" customWidth="1" style="25" min="5" max="5"/>
    <col width="34" customWidth="1" style="25" min="6" max="6"/>
    <col width="18" customWidth="1" style="25" min="7" max="7"/>
  </cols>
  <sheetData>
    <row r="2" ht="27.75" customHeight="1" s="26">
      <c r="B2" s="27" t="inlineStr">
        <is>
          <t>Refresh Log</t>
        </is>
      </c>
    </row>
    <row r="4" ht="15" customHeight="1" s="26">
      <c r="B4" s="39" t="inlineStr">
        <is>
          <t>Date</t>
        </is>
      </c>
      <c r="C4" s="39" t="inlineStr">
        <is>
          <t>Trigger</t>
        </is>
      </c>
      <c r="D4" s="39" t="inlineStr">
        <is>
          <t>Source snapshot</t>
        </is>
      </c>
      <c r="E4" s="39" t="inlineStr">
        <is>
          <t>What changed</t>
        </is>
      </c>
      <c r="F4" s="39" t="inlineStr">
        <is>
          <t>Reviewer / challenge</t>
        </is>
      </c>
      <c r="G4" s="39" t="inlineStr">
        <is>
          <t>Next check</t>
        </is>
      </c>
    </row>
    <row r="5" ht="15" customHeight="1" s="26">
      <c r="B5" s="54" t="inlineStr">
        <is>
          <t>2026-08-04</t>
        </is>
      </c>
      <c r="C5" s="54" t="inlineStr">
        <is>
          <t>External historical evidence materialization</t>
        </is>
      </c>
      <c r="D5" s="54" t="inlineStr">
        <is>
          <t>repo://04_Merchant_Banking/sources/snapshots/merchant-alleghany-2021.json</t>
        </is>
      </c>
      <c r="E5" s="54" t="inlineStr">
        <is>
          <t>Generated public case merchant-alleghany-2021 from canonical release template</t>
        </is>
      </c>
      <c r="F5" s="54" t="inlineStr">
        <is>
          <t>External historical case; human stakeholder approval remains pending</t>
        </is>
      </c>
      <c r="G5" s="54" t="inlineStr">
        <is>
          <t>On source revision, builder change, monitoring breach, or annual review</t>
        </is>
      </c>
    </row>
    <row r="6" ht="15" customHeight="1" s="26">
      <c r="B6" s="54" t="n"/>
      <c r="C6" s="54" t="n"/>
      <c r="D6" s="54" t="n"/>
      <c r="E6" s="54" t="n"/>
      <c r="F6" s="54" t="n"/>
      <c r="G6" s="54" t="n"/>
    </row>
    <row r="7" ht="15" customHeight="1" s="26">
      <c r="B7" s="54" t="n"/>
      <c r="C7" s="54" t="n"/>
      <c r="D7" s="54" t="n"/>
      <c r="E7" s="54" t="n"/>
      <c r="F7" s="54" t="n"/>
      <c r="G7" s="54" t="n"/>
    </row>
    <row r="8" ht="15" customHeight="1" s="26">
      <c r="B8" s="54" t="n"/>
      <c r="C8" s="54" t="n"/>
      <c r="D8" s="54" t="n"/>
      <c r="E8" s="54" t="n"/>
      <c r="F8" s="54" t="n"/>
      <c r="G8" s="54" t="n"/>
    </row>
    <row r="9" ht="15" customHeight="1" s="26">
      <c r="B9" s="54" t="n"/>
      <c r="C9" s="54" t="n"/>
      <c r="D9" s="54" t="n"/>
      <c r="E9" s="54" t="n"/>
      <c r="F9" s="54" t="n"/>
      <c r="G9" s="54" t="n"/>
    </row>
    <row r="10" ht="15" customHeight="1" s="26">
      <c r="B10" s="54" t="n"/>
      <c r="C10" s="54" t="n"/>
      <c r="D10" s="54" t="n"/>
      <c r="E10" s="54" t="n"/>
      <c r="F10" s="54" t="n"/>
      <c r="G10" s="54" t="n"/>
    </row>
    <row r="11" ht="15" customHeight="1" s="26">
      <c r="B11" s="54" t="n"/>
      <c r="C11" s="54" t="n"/>
      <c r="D11" s="54" t="n"/>
      <c r="E11" s="54" t="n"/>
      <c r="F11" s="54" t="n"/>
      <c r="G11" s="54" t="n"/>
    </row>
    <row r="12" ht="15" customHeight="1" s="26">
      <c r="B12" s="54" t="n"/>
      <c r="C12" s="54" t="n"/>
      <c r="D12" s="54" t="n"/>
      <c r="E12" s="54" t="n"/>
      <c r="F12" s="54" t="n"/>
      <c r="G12" s="54" t="n"/>
    </row>
    <row r="13" ht="15" customHeight="1" s="26">
      <c r="B13" s="54" t="n"/>
      <c r="C13" s="54" t="n"/>
      <c r="D13" s="54" t="n"/>
      <c r="E13" s="54" t="n"/>
      <c r="F13" s="54" t="n"/>
      <c r="G13" s="54" t="n"/>
    </row>
    <row r="14" ht="15" customHeight="1" s="26">
      <c r="B14" s="54" t="n"/>
      <c r="C14" s="54" t="n"/>
      <c r="D14" s="54" t="n"/>
      <c r="E14" s="54" t="n"/>
      <c r="F14" s="54" t="n"/>
      <c r="G14" s="54" t="n"/>
    </row>
    <row r="15" ht="15" customHeight="1" s="26">
      <c r="B15" s="54" t="n"/>
      <c r="C15" s="54" t="n"/>
      <c r="D15" s="54" t="n"/>
      <c r="E15" s="54" t="n"/>
      <c r="F15" s="54" t="n"/>
      <c r="G15" s="54" t="n"/>
    </row>
    <row r="16" ht="15" customHeight="1" s="26">
      <c r="B16" s="54" t="n"/>
      <c r="C16" s="54" t="n"/>
      <c r="D16" s="54" t="n"/>
      <c r="E16" s="54" t="n"/>
      <c r="F16" s="54" t="n"/>
      <c r="G16" s="54" t="n"/>
    </row>
    <row r="17" ht="15" customHeight="1" s="26">
      <c r="B17" s="54" t="n"/>
      <c r="C17" s="54" t="n"/>
      <c r="D17" s="54" t="n"/>
      <c r="E17" s="54" t="n"/>
      <c r="F17" s="54" t="n"/>
      <c r="G17" s="54" t="n"/>
    </row>
    <row r="18" ht="15" customHeight="1" s="26">
      <c r="B18" s="54" t="n"/>
      <c r="C18" s="54" t="n"/>
      <c r="D18" s="54" t="n"/>
      <c r="E18" s="54" t="n"/>
      <c r="F18" s="54" t="n"/>
      <c r="G18" s="54" t="n"/>
    </row>
    <row r="19" ht="15" customHeight="1" s="26">
      <c r="B19" s="54" t="n"/>
      <c r="C19" s="54" t="n"/>
      <c r="D19" s="54" t="n"/>
      <c r="E19" s="54" t="n"/>
      <c r="F19" s="54" t="n"/>
      <c r="G19" s="54" t="n"/>
    </row>
    <row r="20" ht="15" customHeight="1" s="26">
      <c r="B20" s="54" t="n"/>
      <c r="C20" s="54" t="n"/>
      <c r="D20" s="54" t="n"/>
      <c r="E20" s="54" t="n"/>
      <c r="F20" s="54" t="n"/>
      <c r="G20" s="54" t="n"/>
    </row>
    <row r="21" ht="15" customHeight="1" s="26">
      <c r="B21" s="54" t="n"/>
      <c r="C21" s="54" t="n"/>
      <c r="D21" s="54" t="n"/>
      <c r="E21" s="54" t="n"/>
      <c r="F21" s="54" t="n"/>
      <c r="G21" s="54" t="n"/>
    </row>
    <row r="22" ht="15" customHeight="1" s="26">
      <c r="B22" s="54" t="n"/>
      <c r="C22" s="54" t="n"/>
      <c r="D22" s="54" t="n"/>
      <c r="E22" s="54" t="n"/>
      <c r="F22" s="54" t="n"/>
      <c r="G22" s="54" t="n"/>
    </row>
    <row r="23" ht="15" customHeight="1" s="26">
      <c r="B23" s="54" t="n"/>
      <c r="C23" s="54" t="n"/>
      <c r="D23" s="54" t="n"/>
      <c r="E23" s="54" t="n"/>
      <c r="F23" s="54" t="n"/>
      <c r="G23" s="54" t="n"/>
    </row>
    <row r="24" ht="15" customHeight="1" s="26">
      <c r="B24" s="54" t="n"/>
      <c r="C24" s="54" t="n"/>
      <c r="D24" s="54" t="n"/>
      <c r="E24" s="54" t="n"/>
      <c r="F24" s="54" t="n"/>
      <c r="G24" s="54" t="n"/>
    </row>
    <row r="25" ht="15" customHeight="1" s="26">
      <c r="B25" s="54" t="n"/>
      <c r="C25" s="54" t="n"/>
      <c r="D25" s="54" t="n"/>
      <c r="E25" s="54" t="n"/>
      <c r="F25" s="54" t="n"/>
      <c r="G25" s="54" t="n"/>
    </row>
    <row r="26" ht="15" customHeight="1" s="26">
      <c r="B26" s="54" t="n"/>
      <c r="C26" s="54" t="n"/>
      <c r="D26" s="54" t="n"/>
      <c r="E26" s="54" t="n"/>
      <c r="F26" s="54" t="n"/>
      <c r="G26" s="54" t="n"/>
    </row>
    <row r="27" ht="15" customHeight="1" s="26">
      <c r="B27" s="54" t="n"/>
      <c r="C27" s="54" t="n"/>
      <c r="D27" s="54" t="n"/>
      <c r="E27" s="54" t="n"/>
      <c r="F27" s="54" t="n"/>
      <c r="G27" s="54" t="n"/>
    </row>
    <row r="28" ht="15" customHeight="1" s="26">
      <c r="B28" s="54" t="n"/>
      <c r="C28" s="54" t="n"/>
      <c r="D28" s="54" t="n"/>
      <c r="E28" s="54" t="n"/>
      <c r="F28" s="54" t="n"/>
      <c r="G28" s="54" t="n"/>
    </row>
    <row r="29" ht="15" customHeight="1" s="26">
      <c r="B29" s="54" t="n"/>
      <c r="C29" s="54" t="n"/>
      <c r="D29" s="54" t="n"/>
      <c r="E29" s="54" t="n"/>
      <c r="F29" s="54" t="n"/>
      <c r="G29" s="54" t="n"/>
    </row>
  </sheetData>
  <mergeCells count="1">
    <mergeCell ref="B2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2026-08-04T03:47:42Z</dcterms:created>
  <dcterms:modified xmlns:dcterms="http://purl.org/dc/terms/" xmlns:xsi="http://www.w3.org/2001/XMLSchema-instance" xsi:type="dcterms:W3CDTF">2026-08-04T18:30:38Z</dcterms:modified>
  <cp:revision>0</cp:revision>
</cp:coreProperties>
</file>