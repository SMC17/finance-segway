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<sst xmlns="http://schemas.openxmlformats.org/spreadsheetml/2006/main" count="454" uniqueCount="316">
  <si>
    <t xml:space="preserve">[TARGET] — LBO Underwriting Model</t>
  </si>
  <si>
    <t xml:space="preserve">Target / transaction:</t>
  </si>
  <si>
    <t xml:space="preserve">Alleghany pre-acquisition principal case</t>
  </si>
  <si>
    <t xml:space="preserve">Sponsor / principal:</t>
  </si>
  <si>
    <t xml:space="preserve">Benchmark Merchant Bank</t>
  </si>
  <si>
    <t xml:space="preserve">Entry / close date:</t>
  </si>
  <si>
    <t xml:space="preserve">[date]</t>
  </si>
  <si>
    <t xml:space="preserve">Last refreshed:</t>
  </si>
  <si>
    <t xml:space="preserve">2022-02-24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</si>
  <si>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</si>
  <si>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</si>
  <si>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</si>
  <si>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</si>
  <si>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</si>
  <si>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</si>
  <si>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</si>
  <si>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</si>
  <si>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</si>
  <si>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</si>
  <si>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</si>
  <si>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</si>
  <si>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</si>
  <si>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</si>
  <si>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</si>
  <si>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</si>
  <si>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</si>
  <si>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</si>
  <si>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</si>
  <si>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</si>
  <si>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</si>
  <si>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</si>
  <si>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</si>
  <si>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</si>
  <si>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</si>
  <si>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</si>
  <si>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</si>
  <si>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</si>
  <si>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</si>
  <si>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</si>
  <si>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</si>
  <si>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</si>
  <si>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</si>
  <si>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</si>
  <si>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</si>
  <si>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</si>
  <si>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</si>
  <si>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</si>
  <si>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</si>
  <si>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</si>
  <si>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</si>
  <si>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</si>
  <si>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</si>
  <si>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</si>
  <si>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</si>
  <si>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</si>
  <si>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</si>
  <si>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</si>
  <si>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</si>
  <si>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</si>
  <si>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</si>
  <si>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</si>
  <si>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</si>
  <si>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</si>
  <si>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</si>
  <si>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</si>
  <si>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</si>
  <si>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</si>
  <si>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</si>
  <si>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</si>
  <si>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</si>
  <si>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</si>
  <si>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</si>
  <si>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</si>
  <si>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</si>
  <si>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</si>
  <si>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</si>
  <si>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</si>
  <si>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</si>
  <si>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</si>
  <si>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</si>
  <si>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</si>
  <si>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</si>
  <si>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</si>
  <si>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</si>
  <si>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</si>
  <si>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</si>
  <si>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</si>
  <si>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</si>
  <si>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</si>
  <si>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</si>
  <si>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</si>
  <si>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</si>
  <si>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</si>
  <si>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</si>
  <si>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</si>
  <si>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</si>
  <si>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</si>
  <si>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</si>
  <si>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</si>
  <si>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</si>
  <si>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</si>
  <si>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</si>
  <si>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</si>
  <si>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</si>
  <si>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</si>
  <si>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</si>
  <si>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</si>
  <si>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</si>
  <si>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</si>
  <si>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</si>
  <si>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</si>
  <si>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</si>
  <si>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</si>
  <si>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</si>
  <si>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</si>
  <si>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</si>
  <si>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</si>
  <si>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</si>
  <si>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</si>
  <si>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</si>
  <si>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</si>
  <si>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</si>
  <si>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</si>
  <si>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</si>
  <si>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</si>
  <si>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</si>
  <si>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</si>
  <si>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</si>
  <si>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</si>
  <si>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</si>
  <si>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</si>
  <si>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</si>
  <si>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</si>
  <si>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</si>
  <si>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</si>
  <si>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</si>
  <si>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</si>
  <si>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</si>
  <si>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</si>
  <si>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</si>
  <si>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</si>
  <si>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</si>
  <si>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</si>
  <si>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</si>
  <si>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</si>
  <si>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</si>
  <si>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</si>
  <si>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</si>
  <si>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</si>
  <si>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</si>
  <si>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</si>
  <si>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</si>
  <si>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</si>
  <si>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</si>
  <si>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</si>
  <si>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</si>
  <si>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</si>
  <si>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</si>
  <si>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</si>
  <si>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</si>
  <si>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</si>
  <si>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</si>
  <si>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</si>
  <si>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</si>
  <si>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</si>
  <si>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</si>
  <si>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</si>
  <si>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</si>
  <si>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</si>
  <si>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</si>
  <si>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</si>
  <si>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</si>
  <si>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</si>
  <si>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</si>
  <si>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</si>
  <si>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</si>
  <si>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</si>
  <si>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</si>
  <si>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</si>
  <si>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</si>
  <si>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</si>
  <si>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</si>
  <si>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</si>
  <si>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</si>
  <si>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</si>
  <si>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</si>
  <si>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</si>
  <si>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</si>
  <si>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</si>
  <si>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</si>
  <si>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</si>
  <si>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</si>
  <si>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</si>
  <si>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</si>
  <si>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</si>
  <si>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</si>
  <si>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</si>
  <si>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</si>
  <si>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</si>
  <si>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</si>
  <si>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</si>
  <si>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</si>
  <si>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</si>
  <si>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</si>
  <si>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</si>
  <si>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</si>
  <si>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</si>
  <si>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</si>
  <si>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</si>
  <si>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</si>
  <si>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</si>
  <si>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</si>
  <si>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</si>
  <si>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</si>
  <si>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</si>
  <si>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</si>
  <si>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</si>
  <si>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</si>
  <si>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</si>
  <si>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</si>
  <si>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</si>
  <si>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</si>
  <si>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</si>
  <si>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</si>
  <si>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</si>
  <si>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</si>
  <si>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</si>
  <si>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</si>
  <si>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</si>
  <si>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</si>
  <si>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</si>
  <si>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</si>
  <si>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</si>
  <si>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</si>
  <si>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</si>
  <si>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</si>
  <si>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</si>
  <si>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</si>
  <si>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</si>
  <si>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</si>
  <si>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</si>
  <si>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</si>
  <si>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</si>
  <si>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</si>
  <si>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</si>
  <si>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</si>
  <si>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</si>
  <si>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</si>
  <si>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</si>
  <si>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</si>
  <si>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</si>
  <si>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</si>
  <si>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</si>
  <si>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</si>
  <si>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</si>
  <si>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</si>
  <si>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</si>
  <si>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</si>
  <si>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</si>
  <si>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</si>
  <si>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</si>
  <si>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</si>
  <si>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</si>
  <si>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</si>
  <si>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</si>
  <si>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</si>
  <si>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</si>
  <si>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</si>
  <si>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</si>
  <si>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</si>
  <si>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</si>
  <si>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</si>
  <si>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</si>
  <si>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</si>
  <si>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</si>
  <si>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</si>
  <si>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</si>
  <si>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</si>
  <si>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</si>
  <si>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</si>
  <si>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</si>
  <si>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</si>
  <si>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</si>
  <si>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</si>
  <si>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</si>
  <si>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</si>
  <si>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</si>
  <si>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</si>
  <si>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</si>
  <si>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</si>
  <si>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</si>
  <si>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</si>
  <si>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</si>
  <si>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</si>
  <si>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</si>
  <si>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</si>
  <si>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Alleghany 2021 Form 10-K</t>
  </si>
  <si>
    <t xml:space="preserve">https://www.sec.gov/Archives/edgar/data/775368/000077536822000010/y-20211231.htm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</si>
  <si>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</si>
  <si>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</si>
  <si>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repo://04_Merchant_Banking/sources/snapshots/merchant-alleghany-2021.json</t>
  </si>
  <si>
    <t xml:space="preserve">Immutable curated observation package with SHA-256 digest</t>
  </si>
  <si>
    <t xml:space="preserve">Retained modeler assumption from merchant-reference-principal.json</t>
  </si>
  <si>
    <t xml:space="preserve">repo://standards/benchmark_cases/merchant-reference-principal.json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</si>
  <si>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</si>
  <si>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</si>
  <si>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</si>
  <si>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</si>
  <si>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</si>
  <si>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</si>
  <si>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</si>
  <si>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</si>
  <si>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</si>
  <si>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merchant-alleghany-2021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</si>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</sst>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114</v>
      </c>
      <c r="D6" s="1" t="s">
        <v>115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11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12004</v>
      </c>
      <c r="D5" s="18" t="n">
        <v>600</v>
      </c>
      <c r="E5" s="19" t="n">
        <f aca="false">IF(Cover!$C$9="Downside",D5,C5)</f>
        <v>12004</v>
      </c>
      <c r="F5" s="1" t="s">
        <v>128</v>
      </c>
    </row>
    <row r="6" customFormat="false" ht="15" hidden="false" customHeight="true" outlineLevel="0" collapsed="false">
      <c r="B6" s="1" t="s">
        <v>129</v>
      </c>
      <c r="C6" s="20" t="n">
        <v>0.105</v>
      </c>
      <c r="D6" s="21" t="n">
        <v>0.17</v>
      </c>
      <c r="E6" s="22" t="n">
        <f aca="false">IF(Cover!$C$9="Downside",D6,C6)</f>
        <v>0.105</v>
      </c>
      <c r="F6" s="1" t="s">
        <v>130</v>
      </c>
    </row>
    <row r="7" customFormat="false" ht="15" hidden="false" customHeight="true" outlineLevel="0" collapsed="false">
      <c r="B7" s="1" t="s">
        <v>131</v>
      </c>
      <c r="C7" s="20" t="n">
        <v>0.23</v>
      </c>
      <c r="D7" s="21" t="n">
        <v>-0.02</v>
      </c>
      <c r="E7" s="22" t="n">
        <f aca="false">IF(Cover!$C$9="Downside",D7,C7)</f>
        <v>0.23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133</v>
      </c>
    </row>
    <row r="9" customFormat="false" ht="15" hidden="false" customHeight="true" outlineLevel="0" collapsed="false">
      <c r="B9" s="1" t="s">
        <v>134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130</v>
      </c>
    </row>
    <row r="12" customFormat="false" ht="15" hidden="false" customHeight="true" outlineLevel="0" collapsed="false">
      <c r="B12" s="1" t="s">
        <v>137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130</v>
      </c>
    </row>
    <row r="13" customFormat="false" ht="15" hidden="false" customHeight="true" outlineLevel="0" collapsed="false">
      <c r="B13" s="1" t="s">
        <v>138</v>
      </c>
      <c r="C13" s="25" t="n">
        <v>10</v>
      </c>
      <c r="D13" s="25" t="n">
        <v>9</v>
      </c>
      <c r="E13" s="26" t="n">
        <f aca="false">IF(Cover!$C$9="Downside",D13,C13)</f>
        <v>10</v>
      </c>
      <c r="F13" s="1" t="s">
        <v>139</v>
      </c>
    </row>
    <row r="14" customFormat="false" ht="15" hidden="false" customHeight="true" outlineLevel="0" collapsed="false">
      <c r="B14" s="1" t="s">
        <v>140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130</v>
      </c>
    </row>
    <row r="15" customFormat="false" ht="15" hidden="false" customHeight="true" outlineLevel="0" collapsed="false">
      <c r="B15" s="1" t="s">
        <v>141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128</v>
      </c>
    </row>
    <row r="16" customFormat="false" ht="15" hidden="false" customHeight="true" outlineLevel="0" collapsed="false">
      <c r="B16" s="1" t="s">
        <v>142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128</v>
      </c>
    </row>
    <row r="18" customFormat="false" ht="15" hidden="false" customHeight="true" outlineLevel="0" collapsed="false">
      <c r="B18" s="1" t="s">
        <v>144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130</v>
      </c>
    </row>
    <row r="19" customFormat="false" ht="15" hidden="false" customHeight="true" outlineLevel="0" collapsed="false">
      <c r="B19" s="1" t="s">
        <v>145</v>
      </c>
      <c r="C19" s="27" t="n">
        <v>3.5</v>
      </c>
      <c r="D19" s="25" t="n">
        <v>3.5</v>
      </c>
      <c r="E19" s="26" t="n">
        <f aca="false">IF(Cover!$C$9="Downside",D19,C19)</f>
        <v>3.5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130</v>
      </c>
    </row>
    <row r="21" customFormat="false" ht="15" hidden="false" customHeight="true" outlineLevel="0" collapsed="false">
      <c r="B21" s="1" t="s">
        <v>148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149</v>
      </c>
    </row>
    <row r="22" customFormat="false" ht="15" hidden="false" customHeight="true" outlineLevel="0" collapsed="false">
      <c r="B22" s="1" t="s">
        <v>150</v>
      </c>
      <c r="C22" s="27" t="n">
        <v>0.75</v>
      </c>
      <c r="D22" s="25" t="n">
        <v>1</v>
      </c>
      <c r="E22" s="26" t="n">
        <f aca="false">IF(Cover!$C$9="Downside",D22,C22)</f>
        <v>0.75</v>
      </c>
      <c r="F22" s="1" t="s">
        <v>146</v>
      </c>
    </row>
    <row r="23" customFormat="false" ht="15" hidden="false" customHeight="true" outlineLevel="0" collapsed="false">
      <c r="B23" s="1" t="s">
        <v>151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130</v>
      </c>
    </row>
    <row r="24" customFormat="false" ht="15" hidden="false" customHeight="true" outlineLevel="0" collapsed="false">
      <c r="B24" s="1" t="s">
        <v>152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130</v>
      </c>
    </row>
    <row r="25" customFormat="false" ht="15" hidden="false" customHeight="true" outlineLevel="0" collapsed="false">
      <c r="B25" s="1" t="s">
        <v>153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154</v>
      </c>
    </row>
    <row r="26" customFormat="false" ht="15" hidden="false" customHeight="true" outlineLevel="0" collapsed="false">
      <c r="B26" s="1" t="s">
        <v>155</v>
      </c>
      <c r="C26" s="25" t="n">
        <v>7</v>
      </c>
      <c r="D26" s="25" t="n">
        <v>6.5</v>
      </c>
      <c r="E26" s="26" t="n">
        <f aca="false">IF(Cover!$C$9="Downside",D26,C26)</f>
        <v>7</v>
      </c>
      <c r="F26" s="1" t="s">
        <v>139</v>
      </c>
    </row>
    <row r="27" customFormat="false" ht="15" hidden="false" customHeight="true" outlineLevel="0" collapsed="false">
      <c r="B27" s="1" t="s">
        <v>156</v>
      </c>
      <c r="C27" s="25" t="n">
        <v>1.75</v>
      </c>
      <c r="D27" s="25" t="n">
        <v>1.5</v>
      </c>
      <c r="E27" s="26" t="n">
        <f aca="false">IF(Cover!$C$9="Downside",D27,C27)</f>
        <v>1.75</v>
      </c>
      <c r="F27" s="1" t="s">
        <v>139</v>
      </c>
    </row>
    <row r="28" customFormat="false" ht="15" hidden="false" customHeight="true" outlineLevel="0" collapsed="false">
      <c r="B28" s="1" t="s">
        <v>157</v>
      </c>
      <c r="C28" s="25" t="n">
        <v>10</v>
      </c>
      <c r="D28" s="25" t="n">
        <v>8</v>
      </c>
      <c r="E28" s="26" t="n">
        <f aca="false">IF(Cover!$C$9="Downside",D28,C28)</f>
        <v>10</v>
      </c>
      <c r="F28" s="1" t="s">
        <v>139</v>
      </c>
    </row>
    <row r="29" customFormat="false" ht="15" hidden="false" customHeight="true" outlineLevel="0" collapsed="false">
      <c r="B29" s="1" t="s">
        <v>158</v>
      </c>
      <c r="C29" s="28" t="n">
        <v>7</v>
      </c>
      <c r="D29" s="29" t="n">
        <v>5</v>
      </c>
      <c r="E29" s="30" t="n">
        <f aca="false">IF(Cover!$C$9="Downside",D29,C29)</f>
        <v>7</v>
      </c>
      <c r="F29" s="1" t="s">
        <v>159</v>
      </c>
    </row>
    <row r="30" customFormat="false" ht="15" hidden="false" customHeight="true" outlineLevel="0" collapsed="false">
      <c r="B30" s="1" t="s">
        <v>160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161</v>
      </c>
    </row>
    <row r="31" customFormat="false" ht="15" hidden="false" customHeight="true" outlineLevel="0" collapsed="false">
      <c r="B31" s="1" t="s">
        <v>162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130</v>
      </c>
    </row>
    <row r="32" customFormat="false" ht="15" hidden="false" customHeight="true" outlineLevel="0" collapsed="false">
      <c r="B32" s="1" t="s">
        <v>163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166</v>
      </c>
      <c r="C4" s="16" t="s">
        <v>167</v>
      </c>
      <c r="D4" s="16"/>
      <c r="E4" s="16" t="s">
        <v>168</v>
      </c>
      <c r="F4" s="16" t="s">
        <v>167</v>
      </c>
      <c r="G4" s="16"/>
    </row>
    <row r="5" customFormat="false" ht="15" hidden="false" customHeight="true" outlineLevel="0" collapsed="false">
      <c r="B5" s="1" t="s">
        <v>169</v>
      </c>
      <c r="C5" s="19" t="n">
        <f aca="false">Assumptions!E5*Assumptions!E6*Assumptions!E13</f>
        <v>12604.2</v>
      </c>
      <c r="E5" s="1" t="s">
        <v>170</v>
      </c>
      <c r="F5" s="18" t="n">
        <v>0</v>
      </c>
    </row>
    <row r="6" customFormat="false" ht="15" hidden="false" customHeight="true" outlineLevel="0" collapsed="false">
      <c r="B6" s="1" t="s">
        <v>171</v>
      </c>
      <c r="C6" s="19" t="n">
        <f aca="false">Assumptions!E15</f>
        <v>100</v>
      </c>
      <c r="E6" s="1" t="s">
        <v>172</v>
      </c>
      <c r="F6" s="19" t="n">
        <f aca="false">Assumptions!E5*Assumptions!E6*Assumptions!E19</f>
        <v>4411.47</v>
      </c>
    </row>
    <row r="7" customFormat="false" ht="15" hidden="false" customHeight="true" outlineLevel="0" collapsed="false">
      <c r="B7" s="1" t="s">
        <v>173</v>
      </c>
      <c r="C7" s="19" t="n">
        <f aca="false">C5*Assumptions!E14</f>
        <v>252.084</v>
      </c>
      <c r="E7" s="1" t="s">
        <v>174</v>
      </c>
      <c r="F7" s="19" t="n">
        <f aca="false">Assumptions!E5*Assumptions!E6*Assumptions!E22</f>
        <v>945.315</v>
      </c>
    </row>
    <row r="8" customFormat="false" ht="15" hidden="false" customHeight="true" outlineLevel="0" collapsed="false">
      <c r="B8" s="1" t="s">
        <v>175</v>
      </c>
      <c r="C8" s="19" t="n">
        <f aca="false">Assumptions!E16</f>
        <v>20</v>
      </c>
      <c r="E8" s="1" t="s">
        <v>176</v>
      </c>
      <c r="F8" s="19" t="n">
        <f aca="false">C9-SUM(F5:F7)</f>
        <v>7619.499</v>
      </c>
    </row>
    <row r="9" customFormat="false" ht="15" hidden="false" customHeight="true" outlineLevel="0" collapsed="false">
      <c r="B9" s="31" t="s">
        <v>177</v>
      </c>
      <c r="C9" s="32" t="n">
        <f aca="false">SUM(C5:C8)</f>
        <v>12976.284</v>
      </c>
      <c r="E9" s="31" t="s">
        <v>178</v>
      </c>
      <c r="F9" s="32" t="n">
        <f aca="false">SUM(F5:F8)</f>
        <v>12976.284</v>
      </c>
    </row>
    <row r="10" customFormat="false" ht="15" hidden="false" customHeight="true" outlineLevel="0" collapsed="false">
      <c r="E10" s="1" t="s">
        <v>179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190</v>
      </c>
      <c r="C5" s="19" t="n">
        <f aca="false">Assumptions!E5</f>
        <v>12004</v>
      </c>
      <c r="D5" s="19" t="n">
        <f aca="false">C5*(1+Assumptions!$E$7)</f>
        <v>14764.92</v>
      </c>
      <c r="E5" s="19" t="n">
        <f aca="false">D5*(1+Assumptions!$E$7)</f>
        <v>18160.8516</v>
      </c>
      <c r="F5" s="19" t="n">
        <f aca="false">E5*(1+Assumptions!$E$7)</f>
        <v>22337.847468</v>
      </c>
      <c r="G5" s="19" t="n">
        <f aca="false">F5*(1+Assumptions!$E$7)</f>
        <v>27475.55238564</v>
      </c>
      <c r="H5" s="19" t="n">
        <f aca="false">G5*(1+Assumptions!$E$7)</f>
        <v>33794.9294343372</v>
      </c>
      <c r="I5" s="19" t="n">
        <f aca="false">H5*(1+Assumptions!$E$7)</f>
        <v>41567.7632042348</v>
      </c>
      <c r="J5" s="19" t="n">
        <f aca="false">I5*(1+Assumptions!$E$7)</f>
        <v>51128.3487412087</v>
      </c>
    </row>
    <row r="6" customFormat="false" ht="15" hidden="false" customHeight="true" outlineLevel="0" collapsed="false">
      <c r="B6" s="1" t="s">
        <v>191</v>
      </c>
      <c r="D6" s="22" t="n">
        <f aca="false">IFERROR(D5/C5-1,0)</f>
        <v>0.23</v>
      </c>
      <c r="E6" s="22" t="n">
        <f aca="false">IFERROR(E5/D5-1,0)</f>
        <v>0.23</v>
      </c>
      <c r="F6" s="22" t="n">
        <f aca="false">IFERROR(F5/E5-1,0)</f>
        <v>0.23</v>
      </c>
      <c r="G6" s="22" t="n">
        <f aca="false">IFERROR(G5/F5-1,0)</f>
        <v>0.23</v>
      </c>
      <c r="H6" s="22" t="n">
        <f aca="false">IFERROR(H5/G5-1,0)</f>
        <v>0.23</v>
      </c>
      <c r="I6" s="22" t="n">
        <f aca="false">IFERROR(I5/H5-1,0)</f>
        <v>0.23</v>
      </c>
      <c r="J6" s="22" t="n">
        <f aca="false">IFERROR(J5/I5-1,0)</f>
        <v>0.23</v>
      </c>
    </row>
    <row r="7" customFormat="false" ht="15" hidden="false" customHeight="true" outlineLevel="0" collapsed="false">
      <c r="B7" s="1" t="s">
        <v>192</v>
      </c>
      <c r="C7" s="22" t="n">
        <f aca="false">Assumptions!E6</f>
        <v>0.105</v>
      </c>
      <c r="D7" s="22" t="n">
        <f aca="false">MAX(0,MIN(0.6,C7+Assumptions!$E$8))</f>
        <v>0.11</v>
      </c>
      <c r="E7" s="22" t="n">
        <f aca="false">MAX(0,MIN(0.6,D7+Assumptions!$E$8))</f>
        <v>0.115</v>
      </c>
      <c r="F7" s="22" t="n">
        <f aca="false">MAX(0,MIN(0.6,E7+Assumptions!$E$8))</f>
        <v>0.12</v>
      </c>
      <c r="G7" s="22" t="n">
        <f aca="false">MAX(0,MIN(0.6,F7+Assumptions!$E$8))</f>
        <v>0.125</v>
      </c>
      <c r="H7" s="22" t="n">
        <f aca="false">MAX(0,MIN(0.6,G7+Assumptions!$E$8))</f>
        <v>0.13</v>
      </c>
      <c r="I7" s="22" t="n">
        <f aca="false">MAX(0,MIN(0.6,H7+Assumptions!$E$8))</f>
        <v>0.135</v>
      </c>
      <c r="J7" s="22" t="n">
        <f aca="false">MAX(0,MIN(0.6,I7+Assumptions!$E$8))</f>
        <v>0.14</v>
      </c>
    </row>
    <row r="8" customFormat="false" ht="15" hidden="false" customHeight="true" outlineLevel="0" collapsed="false">
      <c r="B8" s="31" t="s">
        <v>193</v>
      </c>
      <c r="C8" s="32" t="n">
        <f aca="false">C5*C7</f>
        <v>1260.42</v>
      </c>
      <c r="D8" s="32" t="n">
        <f aca="false">D5*D7</f>
        <v>1624.1412</v>
      </c>
      <c r="E8" s="32" t="n">
        <f aca="false">E5*E7</f>
        <v>2088.497934</v>
      </c>
      <c r="F8" s="32" t="n">
        <f aca="false">F5*F7</f>
        <v>2680.54169616</v>
      </c>
      <c r="G8" s="32" t="n">
        <f aca="false">G5*G7</f>
        <v>3434.444048205</v>
      </c>
      <c r="H8" s="32" t="n">
        <f aca="false">H5*H7</f>
        <v>4393.34082646384</v>
      </c>
      <c r="I8" s="32" t="n">
        <f aca="false">I5*I7</f>
        <v>5611.64803257169</v>
      </c>
      <c r="J8" s="32" t="n">
        <f aca="false">J5*J7</f>
        <v>7157.96882376922</v>
      </c>
    </row>
    <row r="9" customFormat="false" ht="15" hidden="false" customHeight="true" outlineLevel="0" collapsed="false">
      <c r="B9" s="1" t="s">
        <v>194</v>
      </c>
      <c r="C9" s="19" t="n">
        <f aca="false">C5*Assumptions!E9</f>
        <v>300.1</v>
      </c>
      <c r="D9" s="19" t="n">
        <f aca="false">D5*Assumptions!$E$9</f>
        <v>369.123</v>
      </c>
      <c r="E9" s="19" t="n">
        <f aca="false">E5*Assumptions!$E$9</f>
        <v>454.02129</v>
      </c>
      <c r="F9" s="19" t="n">
        <f aca="false">F5*Assumptions!$E$9</f>
        <v>558.4461867</v>
      </c>
      <c r="G9" s="19" t="n">
        <f aca="false">G5*Assumptions!$E$9</f>
        <v>686.888809641</v>
      </c>
      <c r="H9" s="19" t="n">
        <f aca="false">H5*Assumptions!$E$9</f>
        <v>844.87323585843</v>
      </c>
      <c r="I9" s="19" t="n">
        <f aca="false">I5*Assumptions!$E$9</f>
        <v>1039.19408010587</v>
      </c>
      <c r="J9" s="19" t="n">
        <f aca="false">J5*Assumptions!$E$9</f>
        <v>1278.20871853022</v>
      </c>
    </row>
    <row r="10" customFormat="false" ht="15" hidden="false" customHeight="true" outlineLevel="0" collapsed="false">
      <c r="B10" s="1" t="s">
        <v>195</v>
      </c>
      <c r="C10" s="19" t="n">
        <f aca="false">C8-C9</f>
        <v>960.32</v>
      </c>
      <c r="D10" s="19" t="n">
        <f aca="false">D8-D9</f>
        <v>1255.0182</v>
      </c>
      <c r="E10" s="19" t="n">
        <f aca="false">E8-E9</f>
        <v>1634.476644</v>
      </c>
      <c r="F10" s="19" t="n">
        <f aca="false">F8-F9</f>
        <v>2122.09550946</v>
      </c>
      <c r="G10" s="19" t="n">
        <f aca="false">G8-G9</f>
        <v>2747.555238564</v>
      </c>
      <c r="H10" s="19" t="n">
        <f aca="false">H8-H9</f>
        <v>3548.46759060541</v>
      </c>
      <c r="I10" s="19" t="n">
        <f aca="false">I8-I9</f>
        <v>4572.45395246582</v>
      </c>
      <c r="J10" s="19" t="n">
        <f aca="false">J8-J9</f>
        <v>5879.76010523901</v>
      </c>
    </row>
    <row r="11" customFormat="false" ht="15" hidden="false" customHeight="true" outlineLevel="0" collapsed="false">
      <c r="B11" s="1" t="s">
        <v>196</v>
      </c>
      <c r="D11" s="19" t="n">
        <f aca="false">'Debt Schedule'!D7</f>
        <v>478.9596</v>
      </c>
      <c r="E11" s="19" t="n">
        <f aca="false">'Debt Schedule'!E7</f>
        <v>464.03572078125</v>
      </c>
      <c r="F11" s="19" t="n">
        <f aca="false">'Debt Schedule'!F7</f>
        <v>430.401892376704</v>
      </c>
      <c r="G11" s="19" t="n">
        <f aca="false">'Debt Schedule'!G7</f>
        <v>371.261701326983</v>
      </c>
      <c r="H11" s="19" t="n">
        <f aca="false">'Debt Schedule'!H7</f>
        <v>277.694929893119</v>
      </c>
      <c r="I11" s="19" t="n">
        <f aca="false">'Debt Schedule'!I7</f>
        <v>138.10293572914</v>
      </c>
      <c r="J11" s="19" t="n">
        <f aca="false">'Debt Schedule'!J7</f>
        <v>0</v>
      </c>
    </row>
    <row r="12" customFormat="false" ht="15" hidden="false" customHeight="true" outlineLevel="0" collapsed="false">
      <c r="B12" s="1" t="s">
        <v>197</v>
      </c>
      <c r="D12" s="19" t="n">
        <f aca="false">D10-D11</f>
        <v>776.0586</v>
      </c>
      <c r="E12" s="19" t="n">
        <f aca="false">E10-E11</f>
        <v>1170.44092321875</v>
      </c>
      <c r="F12" s="19" t="n">
        <f aca="false">F10-F11</f>
        <v>1691.6936170833</v>
      </c>
      <c r="G12" s="19" t="n">
        <f aca="false">G10-G11</f>
        <v>2376.29353723702</v>
      </c>
      <c r="H12" s="19" t="n">
        <f aca="false">H10-H11</f>
        <v>3270.77266071229</v>
      </c>
      <c r="I12" s="19" t="n">
        <f aca="false">I10-I11</f>
        <v>4434.35101673668</v>
      </c>
      <c r="J12" s="19" t="n">
        <f aca="false">J10-J11</f>
        <v>5879.76010523901</v>
      </c>
    </row>
    <row r="13" customFormat="false" ht="15" hidden="false" customHeight="true" outlineLevel="0" collapsed="false">
      <c r="B13" s="1" t="s">
        <v>198</v>
      </c>
      <c r="D13" s="19" t="n">
        <f aca="false">MAX(0,D12*Assumptions!$E$12)</f>
        <v>194.01465</v>
      </c>
      <c r="E13" s="19" t="n">
        <f aca="false">MAX(0,E12*Assumptions!$E$12)</f>
        <v>292.610230804688</v>
      </c>
      <c r="F13" s="19" t="n">
        <f aca="false">MAX(0,F12*Assumptions!$E$12)</f>
        <v>422.923404270824</v>
      </c>
      <c r="G13" s="19" t="n">
        <f aca="false">MAX(0,G12*Assumptions!$E$12)</f>
        <v>594.073384309254</v>
      </c>
      <c r="H13" s="19" t="n">
        <f aca="false">MAX(0,H12*Assumptions!$E$12)</f>
        <v>817.693165178072</v>
      </c>
      <c r="I13" s="19" t="n">
        <f aca="false">MAX(0,I12*Assumptions!$E$12)</f>
        <v>1108.58775418417</v>
      </c>
      <c r="J13" s="19" t="n">
        <f aca="false">MAX(0,J12*Assumptions!$E$12)</f>
        <v>1469.94002630975</v>
      </c>
    </row>
    <row r="14" customFormat="false" ht="15" hidden="false" customHeight="true" outlineLevel="0" collapsed="false">
      <c r="B14" s="1" t="s">
        <v>199</v>
      </c>
      <c r="D14" s="19" t="n">
        <f aca="false">D12-D13</f>
        <v>582.04395</v>
      </c>
      <c r="E14" s="19" t="n">
        <f aca="false">E12-E13</f>
        <v>877.830692414063</v>
      </c>
      <c r="F14" s="19" t="n">
        <f aca="false">F12-F13</f>
        <v>1268.77021281247</v>
      </c>
      <c r="G14" s="19" t="n">
        <f aca="false">G12-G13</f>
        <v>1782.22015292776</v>
      </c>
      <c r="H14" s="19" t="n">
        <f aca="false">H12-H13</f>
        <v>2453.07949553422</v>
      </c>
      <c r="I14" s="19" t="n">
        <f aca="false">I12-I13</f>
        <v>3325.76326255251</v>
      </c>
      <c r="J14" s="19" t="n">
        <f aca="false">J12-J13</f>
        <v>4409.82007892925</v>
      </c>
    </row>
    <row r="15" customFormat="false" ht="15" hidden="false" customHeight="true" outlineLevel="0" collapsed="false">
      <c r="B15" s="1" t="s">
        <v>200</v>
      </c>
      <c r="D15" s="19" t="n">
        <f aca="false">D5*Assumptions!$E$10</f>
        <v>516.7722</v>
      </c>
      <c r="E15" s="19" t="n">
        <f aca="false">E5*Assumptions!$E$10</f>
        <v>635.629806</v>
      </c>
      <c r="F15" s="19" t="n">
        <f aca="false">F5*Assumptions!$E$10</f>
        <v>781.82466138</v>
      </c>
      <c r="G15" s="19" t="n">
        <f aca="false">G5*Assumptions!$E$10</f>
        <v>961.6443334974</v>
      </c>
      <c r="H15" s="19" t="n">
        <f aca="false">H5*Assumptions!$E$10</f>
        <v>1182.8225302018</v>
      </c>
      <c r="I15" s="19" t="n">
        <f aca="false">I5*Assumptions!$E$10</f>
        <v>1454.87171214822</v>
      </c>
      <c r="J15" s="19" t="n">
        <f aca="false">J5*Assumptions!$E$10</f>
        <v>1789.49220594231</v>
      </c>
    </row>
    <row r="16" customFormat="false" ht="15" hidden="false" customHeight="true" outlineLevel="0" collapsed="false">
      <c r="B16" s="1" t="s">
        <v>201</v>
      </c>
      <c r="C16" s="19" t="n">
        <f aca="false">C5*Assumptions!E11</f>
        <v>960.32</v>
      </c>
      <c r="D16" s="19" t="n">
        <f aca="false">D5*Assumptions!$E$11</f>
        <v>1181.1936</v>
      </c>
      <c r="E16" s="19" t="n">
        <f aca="false">E5*Assumptions!$E$11</f>
        <v>1452.868128</v>
      </c>
      <c r="F16" s="19" t="n">
        <f aca="false">F5*Assumptions!$E$11</f>
        <v>1787.02779744</v>
      </c>
      <c r="G16" s="19" t="n">
        <f aca="false">G5*Assumptions!$E$11</f>
        <v>2198.0441908512</v>
      </c>
      <c r="H16" s="19" t="n">
        <f aca="false">H5*Assumptions!$E$11</f>
        <v>2703.59435474698</v>
      </c>
      <c r="I16" s="19" t="n">
        <f aca="false">I5*Assumptions!$E$11</f>
        <v>3325.42105633878</v>
      </c>
      <c r="J16" s="19" t="n">
        <f aca="false">J5*Assumptions!$E$11</f>
        <v>4090.2678992967</v>
      </c>
    </row>
    <row r="17" customFormat="false" ht="15" hidden="false" customHeight="true" outlineLevel="0" collapsed="false">
      <c r="B17" s="1" t="s">
        <v>202</v>
      </c>
      <c r="D17" s="19" t="n">
        <f aca="false">D16-C16</f>
        <v>220.8736</v>
      </c>
      <c r="E17" s="19" t="n">
        <f aca="false">E16-D16</f>
        <v>271.674528</v>
      </c>
      <c r="F17" s="19" t="n">
        <f aca="false">F16-E16</f>
        <v>334.15966944</v>
      </c>
      <c r="G17" s="19" t="n">
        <f aca="false">G16-F16</f>
        <v>411.0163934112</v>
      </c>
      <c r="H17" s="19" t="n">
        <f aca="false">H16-G16</f>
        <v>505.550163895776</v>
      </c>
      <c r="I17" s="19" t="n">
        <f aca="false">I16-H16</f>
        <v>621.826701591804</v>
      </c>
      <c r="J17" s="19" t="n">
        <f aca="false">J16-I16</f>
        <v>764.846842957919</v>
      </c>
    </row>
    <row r="18" customFormat="false" ht="15" hidden="false" customHeight="true" outlineLevel="0" collapsed="false">
      <c r="B18" s="31" t="s">
        <v>203</v>
      </c>
      <c r="C18" s="32"/>
      <c r="D18" s="32" t="n">
        <f aca="false">D14+D9-D15-D17</f>
        <v>213.52115</v>
      </c>
      <c r="E18" s="32" t="n">
        <f aca="false">E14+E9-E15-E17</f>
        <v>424.547648414063</v>
      </c>
      <c r="F18" s="32" t="n">
        <f aca="false">F14+F9-F15-F17</f>
        <v>711.232068692472</v>
      </c>
      <c r="G18" s="32" t="n">
        <f aca="false">G14+G9-G15-G17</f>
        <v>1096.44823566016</v>
      </c>
      <c r="H18" s="32" t="n">
        <f aca="false">H14+H9-H15-H17</f>
        <v>1609.58003729507</v>
      </c>
      <c r="I18" s="32" t="n">
        <f aca="false">I14+I9-I15-I17</f>
        <v>2288.25892891836</v>
      </c>
      <c r="J18" s="32" t="n">
        <f aca="false">J14+J9-J15-J17</f>
        <v>3133.68974855925</v>
      </c>
    </row>
    <row r="19" customFormat="false" ht="15" hidden="false" customHeight="true" outlineLevel="0" collapsed="false">
      <c r="B19" s="31" t="s">
        <v>204</v>
      </c>
      <c r="C19" s="32"/>
      <c r="D19" s="32" t="n">
        <f aca="false">D8-D13-D15-D17</f>
        <v>692.48075</v>
      </c>
      <c r="E19" s="32" t="n">
        <f aca="false">E8-E13-E15-E17</f>
        <v>888.583369195313</v>
      </c>
      <c r="F19" s="32" t="n">
        <f aca="false">F8-F13-F15-F17</f>
        <v>1141.63396106918</v>
      </c>
      <c r="G19" s="32" t="n">
        <f aca="false">G8-G13-G15-G17</f>
        <v>1467.70993698715</v>
      </c>
      <c r="H19" s="32" t="n">
        <f aca="false">H8-H13-H15-H17</f>
        <v>1887.27496718819</v>
      </c>
      <c r="I19" s="32" t="n">
        <f aca="false">I8-I13-I15-I17</f>
        <v>2426.3618646475</v>
      </c>
      <c r="J19" s="32" t="n">
        <f aca="false">J8-J13-J15-J17</f>
        <v>3133.68974855925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206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207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30.587903125</v>
      </c>
      <c r="F5" s="19" t="n">
        <f aca="false">E13</f>
        <v>44.4388032211914</v>
      </c>
      <c r="G5" s="19" t="n">
        <f aca="false">F13</f>
        <v>63.222260744604</v>
      </c>
      <c r="H5" s="19" t="n">
        <f aca="false">G13</f>
        <v>88.4722372752979</v>
      </c>
      <c r="I5" s="19" t="n">
        <f aca="false">H13</f>
        <v>122.121098410648</v>
      </c>
      <c r="J5" s="19" t="n">
        <f aca="false">I13</f>
        <v>871.347901347548</v>
      </c>
    </row>
    <row r="6" customFormat="false" ht="15" hidden="false" customHeight="true" outlineLevel="0" collapsed="false">
      <c r="B6" s="1" t="s">
        <v>204</v>
      </c>
      <c r="D6" s="19" t="n">
        <f aca="false">'Operating Model'!D19</f>
        <v>692.48075</v>
      </c>
      <c r="E6" s="19" t="n">
        <f aca="false">'Operating Model'!E19</f>
        <v>888.583369195313</v>
      </c>
      <c r="F6" s="19" t="n">
        <f aca="false">'Operating Model'!F19</f>
        <v>1141.63396106918</v>
      </c>
      <c r="G6" s="19" t="n">
        <f aca="false">'Operating Model'!G19</f>
        <v>1467.70993698715</v>
      </c>
      <c r="H6" s="19" t="n">
        <f aca="false">'Operating Model'!H19</f>
        <v>1887.27496718819</v>
      </c>
      <c r="I6" s="19" t="n">
        <f aca="false">'Operating Model'!I19</f>
        <v>2426.3618646475</v>
      </c>
      <c r="J6" s="19" t="n">
        <f aca="false">'Operating Model'!J19</f>
        <v>3133.68974855925</v>
      </c>
    </row>
    <row r="7" customFormat="false" ht="15" hidden="false" customHeight="true" outlineLevel="0" collapsed="false">
      <c r="B7" s="1" t="s">
        <v>196</v>
      </c>
      <c r="D7" s="19" t="n">
        <f aca="false">SUM(D15,D18,D23)</f>
        <v>478.9596</v>
      </c>
      <c r="E7" s="19" t="n">
        <f aca="false">SUM(E15,E18,E23)</f>
        <v>464.03572078125</v>
      </c>
      <c r="F7" s="19" t="n">
        <f aca="false">SUM(F15,F18,F23)</f>
        <v>430.401892376704</v>
      </c>
      <c r="G7" s="19" t="n">
        <f aca="false">SUM(G15,G18,G23)</f>
        <v>371.261701326983</v>
      </c>
      <c r="H7" s="19" t="n">
        <f aca="false">SUM(H15,H18,H23)</f>
        <v>277.694929893119</v>
      </c>
      <c r="I7" s="19" t="n">
        <f aca="false">SUM(I15,I18,I23)</f>
        <v>138.10293572914</v>
      </c>
      <c r="J7" s="19" t="n">
        <f aca="false">SUM(J15,J18,J23)</f>
        <v>0</v>
      </c>
    </row>
    <row r="8" customFormat="false" ht="15" hidden="false" customHeight="true" outlineLevel="0" collapsed="false">
      <c r="B8" s="1" t="s">
        <v>208</v>
      </c>
      <c r="D8" s="19" t="n">
        <f aca="false">D19</f>
        <v>44.1147</v>
      </c>
      <c r="E8" s="19" t="n">
        <f aca="false">E19</f>
        <v>44.1147</v>
      </c>
      <c r="F8" s="19" t="n">
        <f aca="false">F19</f>
        <v>44.1147</v>
      </c>
      <c r="G8" s="19" t="n">
        <f aca="false">G19</f>
        <v>44.1147</v>
      </c>
      <c r="H8" s="19" t="n">
        <f aca="false">H19</f>
        <v>44.1147</v>
      </c>
      <c r="I8" s="19" t="n">
        <f aca="false">I19</f>
        <v>44.1147</v>
      </c>
      <c r="J8" s="19" t="n">
        <f aca="false">J19</f>
        <v>0</v>
      </c>
    </row>
    <row r="9" customFormat="false" ht="15" hidden="false" customHeight="true" outlineLevel="0" collapsed="false">
      <c r="B9" s="1" t="s">
        <v>209</v>
      </c>
      <c r="D9" s="19" t="n">
        <f aca="false">D5+D6-D7-D8</f>
        <v>189.40645</v>
      </c>
      <c r="E9" s="19" t="n">
        <f aca="false">E5+E6-E7-E8</f>
        <v>411.020851539063</v>
      </c>
      <c r="F9" s="19" t="n">
        <f aca="false">F5+F6-F7-F8</f>
        <v>711.556171913664</v>
      </c>
      <c r="G9" s="19" t="n">
        <f aca="false">G5+G6-G7-G8</f>
        <v>1115.55579640477</v>
      </c>
      <c r="H9" s="19" t="n">
        <f aca="false">H5+H6-H7-H8</f>
        <v>1653.93757457037</v>
      </c>
      <c r="I9" s="19" t="n">
        <f aca="false">I5+I6-I7-I8</f>
        <v>2366.26532732901</v>
      </c>
      <c r="J9" s="19" t="n">
        <f aca="false">J5+J6-J7-J8</f>
        <v>4005.03764990679</v>
      </c>
    </row>
    <row r="10" customFormat="false" ht="15" hidden="false" customHeight="true" outlineLevel="0" collapsed="false">
      <c r="B10" s="1" t="s">
        <v>210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211</v>
      </c>
      <c r="D11" s="19" t="n">
        <f aca="false">MIN(MAX(0,D17-D19),MAX(0,D9+D10-Assumptions!$E$16)*Assumptions!$E$25)</f>
        <v>127.0548375</v>
      </c>
      <c r="E11" s="19" t="n">
        <f aca="false">MIN(MAX(0,E17-E19),MAX(0,E9+E10-Assumptions!$E$16)*Assumptions!$E$25)</f>
        <v>293.265638654297</v>
      </c>
      <c r="F11" s="19" t="n">
        <f aca="false">MIN(MAX(0,F17-F19),MAX(0,F9+F10-Assumptions!$E$16)*Assumptions!$E$25)</f>
        <v>518.667128935248</v>
      </c>
      <c r="G11" s="19" t="n">
        <f aca="false">MIN(MAX(0,G17-G19),MAX(0,G9+G10-Assumptions!$E$16)*Assumptions!$E$25)</f>
        <v>821.666847303575</v>
      </c>
      <c r="H11" s="19" t="n">
        <f aca="false">MIN(MAX(0,H17-H19),MAX(0,H9+H10-Assumptions!$E$16)*Assumptions!$E$25)</f>
        <v>1225.45318092777</v>
      </c>
      <c r="I11" s="19" t="n">
        <f aca="false">MIN(MAX(0,I17-I19),MAX(0,I9+I10-Assumptions!$E$16)*Assumptions!$E$25)</f>
        <v>1160.67416667911</v>
      </c>
      <c r="J11" s="19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212</v>
      </c>
      <c r="D12" s="19" t="n">
        <f aca="false">MIN(MAX(0,D22+D24),MAX(0,D9+D10-D11-Assumptions!$E$16)*Assumptions!$E$25)</f>
        <v>31.763709375</v>
      </c>
      <c r="E12" s="19" t="n">
        <f aca="false">MIN(MAX(0,E22+E24),MAX(0,E9+E10-E11-Assumptions!$E$16)*Assumptions!$E$25)</f>
        <v>73.3164096635743</v>
      </c>
      <c r="F12" s="19" t="n">
        <f aca="false">MIN(MAX(0,F22+F24),MAX(0,F9+F10-F11-Assumptions!$E$16)*Assumptions!$E$25)</f>
        <v>129.666782233812</v>
      </c>
      <c r="G12" s="19" t="n">
        <f aca="false">MIN(MAX(0,G22+G24),MAX(0,G9+G10-G11-Assumptions!$E$16)*Assumptions!$E$25)</f>
        <v>205.416711825894</v>
      </c>
      <c r="H12" s="19" t="n">
        <f aca="false">MIN(MAX(0,H22+H24),MAX(0,H9+H10-H11-Assumptions!$E$16)*Assumptions!$E$25)</f>
        <v>306.363295231944</v>
      </c>
      <c r="I12" s="19" t="n">
        <f aca="false">MIN(MAX(0,I22+I24),MAX(0,I9+I10-I11-Assumptions!$E$16)*Assumptions!$E$25)</f>
        <v>334.243259302353</v>
      </c>
      <c r="J12" s="19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1" t="s">
        <v>213</v>
      </c>
      <c r="C13" s="32" t="n">
        <f aca="false">C5</f>
        <v>20</v>
      </c>
      <c r="D13" s="32" t="n">
        <f aca="false">D9+D10-D11-D12</f>
        <v>30.587903125</v>
      </c>
      <c r="E13" s="32" t="n">
        <f aca="false">E9+E10-E11-E12</f>
        <v>44.4388032211914</v>
      </c>
      <c r="F13" s="32" t="n">
        <f aca="false">F9+F10-F11-F12</f>
        <v>63.222260744604</v>
      </c>
      <c r="G13" s="32" t="n">
        <f aca="false">G9+G10-G11-G12</f>
        <v>88.4722372752979</v>
      </c>
      <c r="H13" s="32" t="n">
        <f aca="false">H9+H10-H11-H12</f>
        <v>122.121098410648</v>
      </c>
      <c r="I13" s="32" t="n">
        <f aca="false">I9+I10-I11-I12</f>
        <v>871.347901347548</v>
      </c>
      <c r="J13" s="32" t="n">
        <f aca="false">J9+J10-J11-J12</f>
        <v>4005.03764990679</v>
      </c>
    </row>
    <row r="14" customFormat="false" ht="15" hidden="false" customHeight="true" outlineLevel="0" collapsed="false">
      <c r="B14" s="1" t="s">
        <v>214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215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216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217</v>
      </c>
      <c r="C17" s="19" t="n">
        <f aca="false">'Sources &amp; Uses'!F6</f>
        <v>4411.47</v>
      </c>
      <c r="D17" s="19" t="n">
        <f aca="false">C21</f>
        <v>4411.47</v>
      </c>
      <c r="E17" s="19" t="n">
        <f aca="false">D21</f>
        <v>4240.3004625</v>
      </c>
      <c r="F17" s="19" t="n">
        <f aca="false">E21</f>
        <v>3902.9201238457</v>
      </c>
      <c r="G17" s="19" t="n">
        <f aca="false">F21</f>
        <v>3340.13829491045</v>
      </c>
      <c r="H17" s="19" t="n">
        <f aca="false">G21</f>
        <v>2474.35674760688</v>
      </c>
      <c r="I17" s="19" t="n">
        <f aca="false">H21</f>
        <v>1204.78886667911</v>
      </c>
      <c r="J17" s="19" t="n">
        <f aca="false">I21</f>
        <v>0</v>
      </c>
    </row>
    <row r="18" customFormat="false" ht="15" hidden="false" customHeight="true" outlineLevel="0" collapsed="false">
      <c r="B18" s="1" t="s">
        <v>218</v>
      </c>
      <c r="D18" s="19" t="n">
        <f aca="false">D17*Assumptions!$E$20</f>
        <v>374.97495</v>
      </c>
      <c r="E18" s="19" t="n">
        <f aca="false">E17*Assumptions!$E$20</f>
        <v>360.4255393125</v>
      </c>
      <c r="F18" s="19" t="n">
        <f aca="false">F17*Assumptions!$E$20</f>
        <v>331.748210526885</v>
      </c>
      <c r="G18" s="19" t="n">
        <f aca="false">G17*Assumptions!$E$20</f>
        <v>283.911755067389</v>
      </c>
      <c r="H18" s="19" t="n">
        <f aca="false">H17*Assumptions!$E$20</f>
        <v>210.320323546585</v>
      </c>
      <c r="I18" s="19" t="n">
        <f aca="false">I17*Assumptions!$E$20</f>
        <v>102.407053667724</v>
      </c>
      <c r="J18" s="19" t="n">
        <f aca="false">J17*Assumptions!$E$20</f>
        <v>0</v>
      </c>
    </row>
    <row r="19" customFormat="false" ht="15" hidden="false" customHeight="true" outlineLevel="0" collapsed="false">
      <c r="B19" s="1" t="s">
        <v>219</v>
      </c>
      <c r="D19" s="19" t="n">
        <f aca="false">MIN(D17,'Sources &amp; Uses'!$F$6*Assumptions!$E$21)</f>
        <v>44.1147</v>
      </c>
      <c r="E19" s="19" t="n">
        <f aca="false">MIN(E17,'Sources &amp; Uses'!$F$6*Assumptions!$E$21)</f>
        <v>44.1147</v>
      </c>
      <c r="F19" s="19" t="n">
        <f aca="false">MIN(F17,'Sources &amp; Uses'!$F$6*Assumptions!$E$21)</f>
        <v>44.1147</v>
      </c>
      <c r="G19" s="19" t="n">
        <f aca="false">MIN(G17,'Sources &amp; Uses'!$F$6*Assumptions!$E$21)</f>
        <v>44.1147</v>
      </c>
      <c r="H19" s="19" t="n">
        <f aca="false">MIN(H17,'Sources &amp; Uses'!$F$6*Assumptions!$E$21)</f>
        <v>44.1147</v>
      </c>
      <c r="I19" s="19" t="n">
        <f aca="false">MIN(I17,'Sources &amp; Uses'!$F$6*Assumptions!$E$21)</f>
        <v>44.1147</v>
      </c>
      <c r="J19" s="19" t="n">
        <f aca="false">MIN(J17,'Sources &amp; Uses'!$F$6*Assumptions!$E$21)</f>
        <v>0</v>
      </c>
    </row>
    <row r="20" customFormat="false" ht="15" hidden="false" customHeight="true" outlineLevel="0" collapsed="false">
      <c r="B20" s="31" t="s">
        <v>220</v>
      </c>
      <c r="C20" s="32" t="n">
        <f aca="false">'Sources &amp; Uses'!F7</f>
        <v>945.315</v>
      </c>
      <c r="D20" s="32" t="n">
        <f aca="false">D11</f>
        <v>127.0548375</v>
      </c>
      <c r="E20" s="32" t="n">
        <f aca="false">E11</f>
        <v>293.265638654297</v>
      </c>
      <c r="F20" s="32" t="n">
        <f aca="false">F11</f>
        <v>518.667128935248</v>
      </c>
      <c r="G20" s="32" t="n">
        <f aca="false">G11</f>
        <v>821.666847303575</v>
      </c>
      <c r="H20" s="32" t="n">
        <f aca="false">H11</f>
        <v>1225.45318092777</v>
      </c>
      <c r="I20" s="32" t="n">
        <f aca="false">I11</f>
        <v>1160.67416667911</v>
      </c>
      <c r="J20" s="32" t="n">
        <f aca="false">J11</f>
        <v>0</v>
      </c>
    </row>
    <row r="21" customFormat="false" ht="15" hidden="false" customHeight="true" outlineLevel="0" collapsed="false">
      <c r="B21" s="1" t="s">
        <v>221</v>
      </c>
      <c r="C21" s="19" t="n">
        <f aca="false">C17</f>
        <v>4411.47</v>
      </c>
      <c r="D21" s="19" t="n">
        <f aca="false">MAX(0,D17-D19-D20)</f>
        <v>4240.3004625</v>
      </c>
      <c r="E21" s="19" t="n">
        <f aca="false">MAX(0,E17-E19-E20)</f>
        <v>3902.9201238457</v>
      </c>
      <c r="F21" s="19" t="n">
        <f aca="false">MAX(0,F17-F19-F20)</f>
        <v>3340.13829491045</v>
      </c>
      <c r="G21" s="19" t="n">
        <f aca="false">MAX(0,G17-G19-G20)</f>
        <v>2474.35674760688</v>
      </c>
      <c r="H21" s="19" t="n">
        <f aca="false">MAX(0,H17-H19-H20)</f>
        <v>1204.78886667911</v>
      </c>
      <c r="I21" s="19" t="n">
        <f aca="false">MAX(0,I17-I19-I20)</f>
        <v>0</v>
      </c>
      <c r="J21" s="19" t="n">
        <f aca="false">MAX(0,J17-J19-J20)</f>
        <v>0</v>
      </c>
    </row>
    <row r="22" customFormat="false" ht="15" hidden="false" customHeight="true" outlineLevel="0" collapsed="false">
      <c r="B22" s="1" t="s">
        <v>222</v>
      </c>
      <c r="C22" s="19" t="n">
        <f aca="false">'Sources &amp; Uses'!F7</f>
        <v>945.315</v>
      </c>
      <c r="D22" s="19" t="n">
        <f aca="false">C26</f>
        <v>945.315</v>
      </c>
      <c r="E22" s="19" t="n">
        <f aca="false">D26</f>
        <v>941.910740625</v>
      </c>
      <c r="F22" s="19" t="n">
        <f aca="false">E26</f>
        <v>896.851653180176</v>
      </c>
      <c r="G22" s="19" t="n">
        <f aca="false">F26</f>
        <v>794.090420541769</v>
      </c>
      <c r="H22" s="19" t="n">
        <f aca="false">G26</f>
        <v>612.496421332129</v>
      </c>
      <c r="I22" s="19" t="n">
        <f aca="false">H26</f>
        <v>324.508018740149</v>
      </c>
      <c r="J22" s="19" t="n">
        <f aca="false">I26</f>
        <v>0</v>
      </c>
    </row>
    <row r="23" customFormat="false" ht="15" hidden="false" customHeight="true" outlineLevel="0" collapsed="false">
      <c r="B23" s="1" t="s">
        <v>223</v>
      </c>
      <c r="D23" s="19" t="n">
        <f aca="false">D22*Assumptions!$E$23</f>
        <v>103.98465</v>
      </c>
      <c r="E23" s="19" t="n">
        <f aca="false">E22*Assumptions!$E$23</f>
        <v>103.61018146875</v>
      </c>
      <c r="F23" s="19" t="n">
        <f aca="false">F22*Assumptions!$E$23</f>
        <v>98.6536818498193</v>
      </c>
      <c r="G23" s="19" t="n">
        <f aca="false">G22*Assumptions!$E$23</f>
        <v>87.3499462595946</v>
      </c>
      <c r="H23" s="19" t="n">
        <f aca="false">H22*Assumptions!$E$23</f>
        <v>67.3746063465341</v>
      </c>
      <c r="I23" s="19" t="n">
        <f aca="false">I22*Assumptions!$E$23</f>
        <v>35.6958820614164</v>
      </c>
      <c r="J23" s="19" t="n">
        <f aca="false">J22*Assumptions!$E$23</f>
        <v>0</v>
      </c>
    </row>
    <row r="24" customFormat="false" ht="15" hidden="false" customHeight="true" outlineLevel="0" collapsed="false">
      <c r="B24" s="31" t="s">
        <v>224</v>
      </c>
      <c r="C24" s="32"/>
      <c r="D24" s="32" t="n">
        <f aca="false">D22*Assumptions!$E$24</f>
        <v>28.35945</v>
      </c>
      <c r="E24" s="32" t="n">
        <f aca="false">E22*Assumptions!$E$24</f>
        <v>28.25732221875</v>
      </c>
      <c r="F24" s="32" t="n">
        <f aca="false">F22*Assumptions!$E$24</f>
        <v>26.9055495954053</v>
      </c>
      <c r="G24" s="32" t="n">
        <f aca="false">G22*Assumptions!$E$24</f>
        <v>23.8227126162531</v>
      </c>
      <c r="H24" s="32" t="n">
        <f aca="false">H22*Assumptions!$E$24</f>
        <v>18.3748926399639</v>
      </c>
      <c r="I24" s="32" t="n">
        <f aca="false">I22*Assumptions!$E$24</f>
        <v>9.73524056220447</v>
      </c>
      <c r="J24" s="32" t="n">
        <f aca="false">J22*Assumptions!$E$24</f>
        <v>0</v>
      </c>
    </row>
    <row r="25" customFormat="false" ht="15" hidden="false" customHeight="true" outlineLevel="0" collapsed="false">
      <c r="B25" s="31" t="s">
        <v>225</v>
      </c>
      <c r="C25" s="32" t="n">
        <f aca="false">SUM(C16,C20,C13)</f>
        <v>965.315</v>
      </c>
      <c r="D25" s="32" t="n">
        <f aca="false">D12</f>
        <v>31.763709375</v>
      </c>
      <c r="E25" s="32" t="n">
        <f aca="false">E12</f>
        <v>73.3164096635743</v>
      </c>
      <c r="F25" s="32" t="n">
        <f aca="false">F12</f>
        <v>129.666782233812</v>
      </c>
      <c r="G25" s="32" t="n">
        <f aca="false">G12</f>
        <v>205.416711825894</v>
      </c>
      <c r="H25" s="32" t="n">
        <f aca="false">H12</f>
        <v>306.363295231944</v>
      </c>
      <c r="I25" s="32" t="n">
        <f aca="false">I12</f>
        <v>334.243259302353</v>
      </c>
      <c r="J25" s="32" t="n">
        <f aca="false">J12</f>
        <v>0</v>
      </c>
    </row>
    <row r="26" customFormat="false" ht="15" hidden="false" customHeight="true" outlineLevel="0" collapsed="false">
      <c r="B26" s="31" t="s">
        <v>226</v>
      </c>
      <c r="C26" s="32" t="n">
        <f aca="false">C22</f>
        <v>945.315</v>
      </c>
      <c r="D26" s="32" t="n">
        <f aca="false">MAX(0,D22+D24-D25)</f>
        <v>941.910740625</v>
      </c>
      <c r="E26" s="32" t="n">
        <f aca="false">MAX(0,E22+E24-E25)</f>
        <v>896.851653180176</v>
      </c>
      <c r="F26" s="32" t="n">
        <f aca="false">MAX(0,F22+F24-F25)</f>
        <v>794.090420541769</v>
      </c>
      <c r="G26" s="32" t="n">
        <f aca="false">MAX(0,G22+G24-G25)</f>
        <v>612.496421332129</v>
      </c>
      <c r="H26" s="32" t="n">
        <f aca="false">MAX(0,H22+H24-H25)</f>
        <v>324.508018740149</v>
      </c>
      <c r="I26" s="32" t="n">
        <f aca="false">MAX(0,I22+I24-I25)</f>
        <v>0</v>
      </c>
      <c r="J26" s="32" t="n">
        <f aca="false">MAX(0,J22+J24-J25)</f>
        <v>0</v>
      </c>
    </row>
    <row r="27" customFormat="false" ht="15" hidden="false" customHeight="true" outlineLevel="0" collapsed="false">
      <c r="B27" s="1" t="s">
        <v>227</v>
      </c>
      <c r="C27" s="19" t="n">
        <f aca="false">SUM(C16,C21,C26)</f>
        <v>5356.785</v>
      </c>
      <c r="D27" s="19" t="n">
        <f aca="false">SUM(D16,D21,D26)</f>
        <v>5182.211203125</v>
      </c>
      <c r="E27" s="19" t="n">
        <f aca="false">SUM(E16,E21,E26)</f>
        <v>4799.77177702588</v>
      </c>
      <c r="F27" s="19" t="n">
        <f aca="false">SUM(F16,F21,F26)</f>
        <v>4134.22871545222</v>
      </c>
      <c r="G27" s="19" t="n">
        <f aca="false">SUM(G16,G21,G26)</f>
        <v>3086.85316893901</v>
      </c>
      <c r="H27" s="19" t="n">
        <f aca="false">SUM(H16,H21,H26)</f>
        <v>1529.29688541926</v>
      </c>
      <c r="I27" s="19" t="n">
        <f aca="false">SUM(I16,I21,I26)</f>
        <v>0</v>
      </c>
      <c r="J27" s="19" t="n">
        <f aca="false">SUM(J16,J21,J26)</f>
        <v>0</v>
      </c>
    </row>
    <row r="28" customFormat="false" ht="15" hidden="false" customHeight="true" outlineLevel="0" collapsed="false">
      <c r="B28" s="1" t="s">
        <v>228</v>
      </c>
      <c r="C28" s="19" t="n">
        <f aca="false">C27-C13</f>
        <v>5336.785</v>
      </c>
      <c r="D28" s="19" t="n">
        <f aca="false">D27-D13</f>
        <v>5151.6233</v>
      </c>
      <c r="E28" s="19" t="n">
        <f aca="false">E27-E13</f>
        <v>4755.33297380469</v>
      </c>
      <c r="F28" s="19" t="n">
        <f aca="false">F27-F13</f>
        <v>4071.00645470762</v>
      </c>
      <c r="G28" s="19" t="n">
        <f aca="false">G27-G13</f>
        <v>2998.38093166371</v>
      </c>
      <c r="H28" s="19" t="n">
        <f aca="false">H27-H13</f>
        <v>1407.17578700861</v>
      </c>
      <c r="I28" s="19" t="n">
        <f aca="false">I27-I13</f>
        <v>-871.347901347548</v>
      </c>
      <c r="J28" s="19" t="n">
        <f aca="false">J27-J13</f>
        <v>-4005.03764990679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</row>
    <row r="5" customFormat="false" ht="15" hidden="false" customHeight="true" outlineLevel="0" collapsed="false">
      <c r="B5" s="1" t="s">
        <v>231</v>
      </c>
      <c r="C5" s="26" t="n">
        <f aca="false">IFERROR('Debt Schedule'!D25/'Operating Model'!D8,0)</f>
        <v>0.019557233924612</v>
      </c>
      <c r="D5" s="26" t="n">
        <f aca="false">IFERROR('Debt Schedule'!E25/'Operating Model'!E8,0)</f>
        <v>0.0351048514197737</v>
      </c>
      <c r="E5" s="26" t="n">
        <f aca="false">IFERROR('Debt Schedule'!F25/'Operating Model'!F8,0)</f>
        <v>0.0483733502148337</v>
      </c>
      <c r="F5" s="26" t="n">
        <f aca="false">IFERROR('Debt Schedule'!G25/'Operating Model'!G8,0)</f>
        <v>0.0598107609099802</v>
      </c>
      <c r="G5" s="26" t="n">
        <f aca="false">IFERROR('Debt Schedule'!H25/'Operating Model'!H8,0)</f>
        <v>0.0697335597972564</v>
      </c>
      <c r="H5" s="26" t="n">
        <f aca="false">IFERROR('Debt Schedule'!I25/'Operating Model'!I8,0)</f>
        <v>0.0595624061527567</v>
      </c>
      <c r="I5" s="26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232</v>
      </c>
      <c r="C6" s="26" t="n">
        <f aca="false">Assumptions!$E$26</f>
        <v>7</v>
      </c>
      <c r="D6" s="26" t="n">
        <f aca="false">Assumptions!$E$26</f>
        <v>7</v>
      </c>
      <c r="E6" s="26" t="n">
        <f aca="false">Assumptions!$E$26</f>
        <v>7</v>
      </c>
      <c r="F6" s="26" t="n">
        <f aca="false">Assumptions!$E$26</f>
        <v>7</v>
      </c>
      <c r="G6" s="26" t="n">
        <f aca="false">Assumptions!$E$26</f>
        <v>7</v>
      </c>
      <c r="H6" s="26" t="n">
        <f aca="false">Assumptions!$E$26</f>
        <v>7</v>
      </c>
      <c r="I6" s="26" t="n">
        <f aca="false">Assumptions!$E$26</f>
        <v>7</v>
      </c>
    </row>
    <row r="7" customFormat="false" ht="15" hidden="false" customHeight="true" outlineLevel="0" collapsed="false">
      <c r="B7" s="1" t="s">
        <v>233</v>
      </c>
      <c r="C7" s="26" t="n">
        <f aca="false">C6-C5</f>
        <v>6.98044276607539</v>
      </c>
      <c r="D7" s="26" t="n">
        <f aca="false">D6-D5</f>
        <v>6.96489514858023</v>
      </c>
      <c r="E7" s="26" t="n">
        <f aca="false">E6-E5</f>
        <v>6.95162664978517</v>
      </c>
      <c r="F7" s="26" t="n">
        <f aca="false">F6-F5</f>
        <v>6.94018923909002</v>
      </c>
      <c r="G7" s="26" t="n">
        <f aca="false">G6-G5</f>
        <v>6.93026644020274</v>
      </c>
      <c r="H7" s="26" t="n">
        <f aca="false">H6-H5</f>
        <v>6.94043759384724</v>
      </c>
      <c r="I7" s="26" t="n">
        <f aca="false">I6-I5</f>
        <v>7</v>
      </c>
    </row>
    <row r="8" customFormat="false" ht="15" hidden="false" customHeight="true" outlineLevel="0" collapsed="false">
      <c r="B8" s="1" t="s">
        <v>234</v>
      </c>
      <c r="C8" s="26" t="n">
        <f aca="false">IFERROR('Operating Model'!D8/'Debt Schedule'!D7,0)</f>
        <v>3.39097744360902</v>
      </c>
      <c r="D8" s="26" t="n">
        <f aca="false">IFERROR('Operating Model'!E8/'Debt Schedule'!E7,0)</f>
        <v>4.50072664768955</v>
      </c>
      <c r="E8" s="26" t="n">
        <f aca="false">IFERROR('Operating Model'!F8/'Debt Schedule'!F7,0)</f>
        <v>6.22799700381867</v>
      </c>
      <c r="F8" s="26" t="n">
        <f aca="false">IFERROR('Operating Model'!G8/'Debt Schedule'!G7,0)</f>
        <v>9.25073616785526</v>
      </c>
      <c r="G8" s="26" t="n">
        <f aca="false">IFERROR('Operating Model'!H8/'Debt Schedule'!H7,0)</f>
        <v>15.8207455503591</v>
      </c>
      <c r="H8" s="26" t="n">
        <f aca="false">IFERROR('Operating Model'!I8/'Debt Schedule'!I7,0)</f>
        <v>40.6338069711838</v>
      </c>
      <c r="I8" s="26" t="n">
        <f aca="false">IFERROR('Operating Model'!J8/'Debt Schedule'!J7,0)</f>
        <v>0</v>
      </c>
    </row>
    <row r="9" customFormat="false" ht="15" hidden="false" customHeight="true" outlineLevel="0" collapsed="false">
      <c r="B9" s="1" t="s">
        <v>235</v>
      </c>
      <c r="C9" s="26" t="n">
        <f aca="false">Assumptions!$E$27</f>
        <v>1.75</v>
      </c>
      <c r="D9" s="26" t="n">
        <f aca="false">Assumptions!$E$27</f>
        <v>1.75</v>
      </c>
      <c r="E9" s="26" t="n">
        <f aca="false">Assumptions!$E$27</f>
        <v>1.75</v>
      </c>
      <c r="F9" s="26" t="n">
        <f aca="false">Assumptions!$E$27</f>
        <v>1.75</v>
      </c>
      <c r="G9" s="26" t="n">
        <f aca="false">Assumptions!$E$27</f>
        <v>1.75</v>
      </c>
      <c r="H9" s="26" t="n">
        <f aca="false">Assumptions!$E$27</f>
        <v>1.75</v>
      </c>
      <c r="I9" s="26" t="n">
        <f aca="false">Assumptions!$E$27</f>
        <v>1.75</v>
      </c>
    </row>
    <row r="10" customFormat="false" ht="15" hidden="false" customHeight="true" outlineLevel="0" collapsed="false">
      <c r="B10" s="1" t="s">
        <v>236</v>
      </c>
      <c r="C10" s="26" t="n">
        <f aca="false">C8-C9</f>
        <v>1.64097744360902</v>
      </c>
      <c r="D10" s="26" t="n">
        <f aca="false">D8-D9</f>
        <v>2.75072664768955</v>
      </c>
      <c r="E10" s="26" t="n">
        <f aca="false">E8-E9</f>
        <v>4.47799700381867</v>
      </c>
      <c r="F10" s="26" t="n">
        <f aca="false">F8-F9</f>
        <v>7.50073616785526</v>
      </c>
      <c r="G10" s="26" t="n">
        <f aca="false">G8-G9</f>
        <v>14.0707455503591</v>
      </c>
      <c r="H10" s="26" t="n">
        <f aca="false">H8-H9</f>
        <v>38.8838069711838</v>
      </c>
      <c r="I10" s="26" t="n">
        <f aca="false">I8-I9</f>
        <v>-1.75</v>
      </c>
    </row>
    <row r="11" customFormat="false" ht="15" hidden="false" customHeight="true" outlineLevel="0" collapsed="false">
      <c r="B11" s="1" t="s">
        <v>142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237</v>
      </c>
      <c r="C12" s="19" t="n">
        <f aca="false">'Debt Schedule'!D13-C11</f>
        <v>10.587903125</v>
      </c>
      <c r="D12" s="19" t="n">
        <f aca="false">'Debt Schedule'!E13-D11</f>
        <v>24.4388032211914</v>
      </c>
      <c r="E12" s="19" t="n">
        <f aca="false">'Debt Schedule'!F13-E11</f>
        <v>43.222260744604</v>
      </c>
      <c r="F12" s="19" t="n">
        <f aca="false">'Debt Schedule'!G13-F11</f>
        <v>68.4722372752979</v>
      </c>
      <c r="G12" s="19" t="n">
        <f aca="false">'Debt Schedule'!H13-G11</f>
        <v>102.121098410648</v>
      </c>
      <c r="H12" s="19" t="n">
        <f aca="false">'Debt Schedule'!I13-H11</f>
        <v>851.347901347548</v>
      </c>
      <c r="I12" s="19" t="n">
        <f aca="false">'Debt Schedule'!J13-I11</f>
        <v>3985.03764990679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238</v>
      </c>
      <c r="C2" s="2"/>
      <c r="D2" s="2"/>
      <c r="E2" s="2"/>
    </row>
    <row r="4" customFormat="false" ht="15" hidden="false" customHeight="true" outlineLevel="0" collapsed="false">
      <c r="B4" s="16" t="s">
        <v>230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B5" s="1" t="s">
        <v>242</v>
      </c>
      <c r="C5" s="22" t="n">
        <f aca="false">Assumptions!E30</f>
        <v>0.1</v>
      </c>
      <c r="D5" s="1" t="s">
        <v>130</v>
      </c>
      <c r="E5" s="1" t="s">
        <v>243</v>
      </c>
    </row>
    <row r="6" customFormat="false" ht="15" hidden="false" customHeight="true" outlineLevel="0" collapsed="false">
      <c r="B6" s="1" t="s">
        <v>244</v>
      </c>
      <c r="C6" s="22" t="n">
        <f aca="false">1-C5</f>
        <v>0.9</v>
      </c>
      <c r="D6" s="1" t="s">
        <v>130</v>
      </c>
      <c r="E6" s="1" t="s">
        <v>245</v>
      </c>
    </row>
    <row r="7" customFormat="false" ht="15" hidden="false" customHeight="true" outlineLevel="0" collapsed="false">
      <c r="B7" s="1" t="s">
        <v>246</v>
      </c>
      <c r="C7" s="19" t="n">
        <f aca="false">'Sources &amp; Uses'!F8</f>
        <v>7619.499</v>
      </c>
      <c r="D7" s="1" t="s">
        <v>128</v>
      </c>
      <c r="E7" s="1" t="s">
        <v>247</v>
      </c>
    </row>
    <row r="8" customFormat="false" ht="15" hidden="false" customHeight="true" outlineLevel="0" collapsed="false">
      <c r="B8" s="1" t="s">
        <v>248</v>
      </c>
      <c r="C8" s="19" t="n">
        <f aca="false">C7*(1+Assumptions!E31)^Assumptions!E29</f>
        <v>13058.4823021413</v>
      </c>
      <c r="D8" s="1" t="s">
        <v>128</v>
      </c>
      <c r="E8" s="1" t="s">
        <v>249</v>
      </c>
    </row>
    <row r="9" customFormat="false" ht="15" hidden="false" customHeight="true" outlineLevel="0" collapsed="false">
      <c r="B9" s="1" t="s">
        <v>250</v>
      </c>
      <c r="C9" s="22" t="n">
        <f aca="false">Assumptions!E32</f>
        <v>0.2</v>
      </c>
      <c r="D9" s="1" t="s">
        <v>164</v>
      </c>
      <c r="E9" s="1" t="s">
        <v>251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252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  <c r="J4" s="16" t="s">
        <v>253</v>
      </c>
    </row>
    <row r="5" customFormat="false" ht="15" hidden="false" customHeight="true" outlineLevel="0" collapsed="false">
      <c r="B5" s="1" t="s">
        <v>254</v>
      </c>
      <c r="C5" s="19" t="n">
        <f aca="false">'Operating Model'!D8</f>
        <v>1624.1412</v>
      </c>
      <c r="D5" s="19" t="n">
        <f aca="false">'Operating Model'!E8</f>
        <v>2088.497934</v>
      </c>
      <c r="E5" s="19" t="n">
        <f aca="false">'Operating Model'!F8</f>
        <v>2680.54169616</v>
      </c>
      <c r="F5" s="19" t="n">
        <f aca="false">'Operating Model'!G8</f>
        <v>3434.444048205</v>
      </c>
      <c r="G5" s="19" t="n">
        <f aca="false">'Operating Model'!H8</f>
        <v>4393.34082646384</v>
      </c>
      <c r="H5" s="19" t="n">
        <f aca="false">'Operating Model'!I8</f>
        <v>5611.64803257169</v>
      </c>
      <c r="I5" s="19" t="n">
        <f aca="false">'Operating Model'!J8</f>
        <v>7157.96882376922</v>
      </c>
      <c r="J5" s="19" t="n">
        <f aca="false">INDEX(C5:I5,1,Assumptions!E29)</f>
        <v>7157.96882376922</v>
      </c>
    </row>
    <row r="6" customFormat="false" ht="15" hidden="false" customHeight="true" outlineLevel="0" collapsed="false">
      <c r="B6" s="1" t="s">
        <v>255</v>
      </c>
      <c r="C6" s="26" t="n">
        <f aca="false">Assumptions!$E$28</f>
        <v>10</v>
      </c>
      <c r="D6" s="26" t="n">
        <f aca="false">Assumptions!$E$28</f>
        <v>10</v>
      </c>
      <c r="E6" s="26" t="n">
        <f aca="false">Assumptions!$E$28</f>
        <v>10</v>
      </c>
      <c r="F6" s="26" t="n">
        <f aca="false">Assumptions!$E$28</f>
        <v>10</v>
      </c>
      <c r="G6" s="26" t="n">
        <f aca="false">Assumptions!$E$28</f>
        <v>10</v>
      </c>
      <c r="H6" s="26" t="n">
        <f aca="false">Assumptions!$E$28</f>
        <v>10</v>
      </c>
      <c r="I6" s="26" t="n">
        <f aca="false">Assumptions!$E$28</f>
        <v>10</v>
      </c>
      <c r="J6" s="26" t="n">
        <f aca="false">INDEX(C6:I6,1,Assumptions!E29)</f>
        <v>10</v>
      </c>
    </row>
    <row r="7" customFormat="false" ht="15" hidden="false" customHeight="true" outlineLevel="0" collapsed="false">
      <c r="B7" s="1" t="s">
        <v>256</v>
      </c>
      <c r="C7" s="19" t="n">
        <f aca="false">C5*C6</f>
        <v>16241.412</v>
      </c>
      <c r="D7" s="19" t="n">
        <f aca="false">D5*D6</f>
        <v>20884.97934</v>
      </c>
      <c r="E7" s="19" t="n">
        <f aca="false">E5*E6</f>
        <v>26805.4169616</v>
      </c>
      <c r="F7" s="19" t="n">
        <f aca="false">F5*F6</f>
        <v>34344.44048205</v>
      </c>
      <c r="G7" s="19" t="n">
        <f aca="false">G5*G6</f>
        <v>43933.4082646384</v>
      </c>
      <c r="H7" s="19" t="n">
        <f aca="false">H5*H6</f>
        <v>56116.4803257169</v>
      </c>
      <c r="I7" s="19" t="n">
        <f aca="false">I5*I6</f>
        <v>71579.6882376922</v>
      </c>
      <c r="J7" s="19" t="n">
        <f aca="false">INDEX(C7:I7,1,Assumptions!E29)</f>
        <v>71579.6882376922</v>
      </c>
    </row>
    <row r="8" customFormat="false" ht="15" hidden="false" customHeight="true" outlineLevel="0" collapsed="false">
      <c r="B8" s="1" t="s">
        <v>228</v>
      </c>
      <c r="C8" s="19" t="n">
        <f aca="false">'Debt Schedule'!D28</f>
        <v>5151.6233</v>
      </c>
      <c r="D8" s="19" t="n">
        <f aca="false">'Debt Schedule'!E28</f>
        <v>4755.33297380469</v>
      </c>
      <c r="E8" s="19" t="n">
        <f aca="false">'Debt Schedule'!F28</f>
        <v>4071.00645470762</v>
      </c>
      <c r="F8" s="19" t="n">
        <f aca="false">'Debt Schedule'!G28</f>
        <v>2998.38093166371</v>
      </c>
      <c r="G8" s="19" t="n">
        <f aca="false">'Debt Schedule'!H28</f>
        <v>1407.17578700861</v>
      </c>
      <c r="H8" s="19" t="n">
        <f aca="false">'Debt Schedule'!I28</f>
        <v>-871.347901347548</v>
      </c>
      <c r="I8" s="19" t="n">
        <f aca="false">'Debt Schedule'!J28</f>
        <v>-4005.03764990679</v>
      </c>
      <c r="J8" s="19" t="n">
        <f aca="false">INDEX(C8:I8,1,Assumptions!E29)</f>
        <v>-4005.03764990679</v>
      </c>
    </row>
    <row r="9" customFormat="false" ht="15" hidden="false" customHeight="true" outlineLevel="0" collapsed="false">
      <c r="B9" s="1" t="s">
        <v>257</v>
      </c>
      <c r="C9" s="19" t="n">
        <f aca="false">MAX(0,C7-C8)</f>
        <v>11089.7887</v>
      </c>
      <c r="D9" s="19" t="n">
        <f aca="false">MAX(0,D7-D8)</f>
        <v>16129.6463661953</v>
      </c>
      <c r="E9" s="19" t="n">
        <f aca="false">MAX(0,E7-E8)</f>
        <v>22734.4105068924</v>
      </c>
      <c r="F9" s="19" t="n">
        <f aca="false">MAX(0,F7-F8)</f>
        <v>31346.0595503863</v>
      </c>
      <c r="G9" s="19" t="n">
        <f aca="false">MAX(0,G7-G8)</f>
        <v>42526.2324776298</v>
      </c>
      <c r="H9" s="19" t="n">
        <f aca="false">MAX(0,H7-H8)</f>
        <v>56987.8282270645</v>
      </c>
      <c r="I9" s="19" t="n">
        <f aca="false">MAX(0,I7-I8)</f>
        <v>75584.725887599</v>
      </c>
      <c r="J9" s="19" t="n">
        <f aca="false">INDEX(C9:I9,1,Assumptions!E29)</f>
        <v>75584.725887599</v>
      </c>
    </row>
    <row r="10" customFormat="false" ht="15" hidden="false" customHeight="true" outlineLevel="0" collapsed="false">
      <c r="B10" s="1" t="s">
        <v>162</v>
      </c>
      <c r="C10" s="19" t="n">
        <f aca="false">'Management Equity'!$C$7*(1+Assumptions!$E$31)^1</f>
        <v>8229.05892</v>
      </c>
      <c r="D10" s="19" t="n">
        <f aca="false">'Management Equity'!$C$7*(1+Assumptions!$E$31)^2</f>
        <v>8887.3836336</v>
      </c>
      <c r="E10" s="19" t="n">
        <f aca="false">'Management Equity'!$C$7*(1+Assumptions!$E$31)^3</f>
        <v>9598.374324288</v>
      </c>
      <c r="F10" s="19" t="n">
        <f aca="false">'Management Equity'!$C$7*(1+Assumptions!$E$31)^4</f>
        <v>10366.244270231</v>
      </c>
      <c r="G10" s="19" t="n">
        <f aca="false">'Management Equity'!$C$7*(1+Assumptions!$E$31)^5</f>
        <v>11195.5438118495</v>
      </c>
      <c r="H10" s="19" t="n">
        <f aca="false">'Management Equity'!$C$7*(1+Assumptions!$E$31)^6</f>
        <v>12091.1873167975</v>
      </c>
      <c r="I10" s="19" t="n">
        <f aca="false">'Management Equity'!$C$7*(1+Assumptions!$E$31)^7</f>
        <v>13058.4823021413</v>
      </c>
      <c r="J10" s="19" t="n">
        <f aca="false">INDEX(C10:I10,1,Assumptions!E29)</f>
        <v>13058.4823021413</v>
      </c>
    </row>
    <row r="11" customFormat="false" ht="15" hidden="false" customHeight="true" outlineLevel="0" collapsed="false">
      <c r="B11" s="1" t="s">
        <v>258</v>
      </c>
      <c r="C11" s="19" t="n">
        <f aca="false">MAX(0,C9-C10)</f>
        <v>2860.72978</v>
      </c>
      <c r="D11" s="19" t="n">
        <f aca="false">MAX(0,D9-D10)</f>
        <v>7242.26273259531</v>
      </c>
      <c r="E11" s="19" t="n">
        <f aca="false">MAX(0,E9-E10)</f>
        <v>13136.0361826044</v>
      </c>
      <c r="F11" s="19" t="n">
        <f aca="false">MAX(0,F9-F10)</f>
        <v>20979.8152801552</v>
      </c>
      <c r="G11" s="19" t="n">
        <f aca="false">MAX(0,G9-G10)</f>
        <v>31330.6886657802</v>
      </c>
      <c r="H11" s="19" t="n">
        <f aca="false">MAX(0,H9-H10)</f>
        <v>44896.640910267</v>
      </c>
      <c r="I11" s="19" t="n">
        <f aca="false">MAX(0,I9-I10)</f>
        <v>62526.2435854577</v>
      </c>
      <c r="J11" s="19" t="n">
        <f aca="false">INDEX(C11:I11,1,Assumptions!E29)</f>
        <v>62526.2435854577</v>
      </c>
    </row>
    <row r="12" customFormat="false" ht="15" hidden="false" customHeight="true" outlineLevel="0" collapsed="false">
      <c r="B12" s="1" t="s">
        <v>259</v>
      </c>
      <c r="C12" s="19" t="n">
        <f aca="false">MIN(C9,C9*Assumptions!$E$30+C11*Assumptions!$E$32)</f>
        <v>1681.124826</v>
      </c>
      <c r="D12" s="19" t="n">
        <f aca="false">MIN(D9,D9*Assumptions!$E$30+D11*Assumptions!$E$32)</f>
        <v>3061.41718313859</v>
      </c>
      <c r="E12" s="19" t="n">
        <f aca="false">MIN(E9,E9*Assumptions!$E$30+E11*Assumptions!$E$32)</f>
        <v>4900.64828721011</v>
      </c>
      <c r="F12" s="19" t="n">
        <f aca="false">MIN(F9,F9*Assumptions!$E$30+F11*Assumptions!$E$32)</f>
        <v>7330.56901106968</v>
      </c>
      <c r="G12" s="19" t="n">
        <f aca="false">MIN(G9,G9*Assumptions!$E$30+G11*Assumptions!$E$32)</f>
        <v>10518.760980919</v>
      </c>
      <c r="H12" s="19" t="n">
        <f aca="false">MIN(H9,H9*Assumptions!$E$30+H11*Assumptions!$E$32)</f>
        <v>14678.1110047598</v>
      </c>
      <c r="I12" s="19" t="n">
        <f aca="false">MIN(I9,I9*Assumptions!$E$30+I11*Assumptions!$E$32)</f>
        <v>20063.7213058515</v>
      </c>
      <c r="J12" s="19" t="n">
        <f aca="false">INDEX(C12:I12,1,Assumptions!E29)</f>
        <v>20063.7213058515</v>
      </c>
    </row>
    <row r="13" customFormat="false" ht="15" hidden="false" customHeight="true" outlineLevel="0" collapsed="false">
      <c r="B13" s="1" t="s">
        <v>260</v>
      </c>
      <c r="C13" s="19" t="n">
        <f aca="false">MAX(0,C9-C12)</f>
        <v>9408.663874</v>
      </c>
      <c r="D13" s="19" t="n">
        <f aca="false">MAX(0,D9-D12)</f>
        <v>13068.2291830567</v>
      </c>
      <c r="E13" s="19" t="n">
        <f aca="false">MAX(0,E9-E12)</f>
        <v>17833.7622196823</v>
      </c>
      <c r="F13" s="19" t="n">
        <f aca="false">MAX(0,F9-F12)</f>
        <v>24015.4905393166</v>
      </c>
      <c r="G13" s="19" t="n">
        <f aca="false">MAX(0,G9-G12)</f>
        <v>32007.4714967107</v>
      </c>
      <c r="H13" s="19" t="n">
        <f aca="false">MAX(0,H9-H12)</f>
        <v>42309.7172223046</v>
      </c>
      <c r="I13" s="19" t="n">
        <f aca="false">MAX(0,I9-I12)</f>
        <v>55521.0045817476</v>
      </c>
      <c r="J13" s="19" t="n">
        <f aca="false">INDEX(C13:I13,1,Assumptions!E29)</f>
        <v>55521.0045817476</v>
      </c>
    </row>
    <row r="14" customFormat="false" ht="15" hidden="false" customHeight="true" outlineLevel="0" collapsed="false">
      <c r="B14" s="1" t="s">
        <v>261</v>
      </c>
      <c r="C14" s="26" t="n">
        <f aca="false">IFERROR(C13/'Sources &amp; Uses'!$F$8,0)</f>
        <v>1.23481397845186</v>
      </c>
      <c r="D14" s="26" t="n">
        <f aca="false">IFERROR(D13/'Sources &amp; Uses'!$F$8,0)</f>
        <v>1.71510347111493</v>
      </c>
      <c r="E14" s="26" t="n">
        <f aca="false">IFERROR(E13/'Sources &amp; Uses'!$F$8,0)</f>
        <v>2.34054262881093</v>
      </c>
      <c r="F14" s="26" t="n">
        <f aca="false">IFERROR(F13/'Sources &amp; Uses'!$F$8,0)</f>
        <v>3.15184640608478</v>
      </c>
      <c r="G14" s="26" t="n">
        <f aca="false">IFERROR(G13/'Sources &amp; Uses'!$F$8,0)</f>
        <v>4.20073176684067</v>
      </c>
      <c r="H14" s="26" t="n">
        <f aca="false">IFERROR(H13/'Sources &amp; Uses'!$F$8,0)</f>
        <v>5.55282141546375</v>
      </c>
      <c r="I14" s="26" t="n">
        <f aca="false">IFERROR(I13/'Sources &amp; Uses'!$F$8,0)</f>
        <v>7.28670015991177</v>
      </c>
      <c r="J14" s="26" t="n">
        <f aca="false">INDEX(C14:I14,1,Assumptions!E29)</f>
        <v>7.28670015991177</v>
      </c>
    </row>
    <row r="15" customFormat="false" ht="15" hidden="false" customHeight="true" outlineLevel="0" collapsed="false">
      <c r="B15" s="1" t="s">
        <v>262</v>
      </c>
      <c r="C15" s="24" t="n">
        <f aca="false">IFERROR((C13/'Sources &amp; Uses'!$F$8)^(1/1)-1,0)</f>
        <v>0.234813978451864</v>
      </c>
      <c r="D15" s="24" t="n">
        <f aca="false">IFERROR((D13/'Sources &amp; Uses'!$F$8)^(1/2)-1,0)</f>
        <v>0.30961959023028</v>
      </c>
      <c r="E15" s="24" t="n">
        <f aca="false">IFERROR((E13/'Sources &amp; Uses'!$F$8)^(1/3)-1,0)</f>
        <v>0.327717007672316</v>
      </c>
      <c r="F15" s="24" t="n">
        <f aca="false">IFERROR((F13/'Sources &amp; Uses'!$F$8)^(1/4)-1,0)</f>
        <v>0.332420363366298</v>
      </c>
      <c r="G15" s="24" t="n">
        <f aca="false">IFERROR((G13/'Sources &amp; Uses'!$F$8)^(1/5)-1,0)</f>
        <v>0.332493165631383</v>
      </c>
      <c r="H15" s="24" t="n">
        <f aca="false">IFERROR((H13/'Sources &amp; Uses'!$F$8)^(1/6)-1,0)</f>
        <v>0.330716732399484</v>
      </c>
      <c r="I15" s="24" t="n">
        <f aca="false">IFERROR((I13/'Sources &amp; Uses'!$F$8)^(1/7)-1,0)</f>
        <v>0.328063068824894</v>
      </c>
      <c r="J15" s="24" t="n">
        <f aca="false">INDEX(C15:I15,1,Assumptions!E29)</f>
        <v>0.328063068824894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264</v>
      </c>
      <c r="C4" s="33" t="n">
        <v>7</v>
      </c>
      <c r="D4" s="33" t="n">
        <v>8</v>
      </c>
      <c r="E4" s="33" t="n">
        <v>9</v>
      </c>
      <c r="F4" s="33" t="n">
        <v>10</v>
      </c>
      <c r="G4" s="33" t="n">
        <v>11</v>
      </c>
    </row>
    <row r="5" customFormat="false" ht="15" hidden="false" customHeight="true" outlineLevel="0" collapsed="false">
      <c r="B5" s="26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0.374122876921764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0.41510620198512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0.451827525222293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0.485170538173139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0.515763082703806</v>
      </c>
    </row>
    <row r="6" customFormat="false" ht="15" hidden="false" customHeight="true" outlineLevel="0" collapsed="false">
      <c r="B6" s="26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0.314734075943038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0.353946125251866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0.3890803740039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0.420982321098536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0.450252673437312</v>
      </c>
    </row>
    <row r="7" customFormat="false" ht="15" hidden="false" customHeight="true" outlineLevel="0" collapsed="false">
      <c r="B7" s="26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0.268035698196077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0.305854964641539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0.339741270976853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0.370510084608571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0.398740775775317</v>
      </c>
    </row>
    <row r="8" customFormat="false" ht="15" hidden="false" customHeight="true" outlineLevel="0" collapsed="false">
      <c r="B8" s="26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0.229801341793614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0.266480265491461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0.299344817379774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0.329185876542001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0.35656534379676</v>
      </c>
    </row>
    <row r="9" customFormat="false" ht="15" hidden="false" customHeight="true" outlineLevel="0" collapsed="false">
      <c r="B9" s="26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0.19758478175838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0.23330284396813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0.265306457774039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0.294365783951154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0.321028003451687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265</v>
      </c>
      <c r="C2" s="2"/>
    </row>
    <row r="4" customFormat="false" ht="15" hidden="false" customHeight="true" outlineLevel="0" collapsed="false">
      <c r="B4" s="16" t="s">
        <v>266</v>
      </c>
      <c r="C4" s="16" t="s">
        <v>43</v>
      </c>
    </row>
    <row r="5" customFormat="false" ht="15" hidden="false" customHeight="true" outlineLevel="0" collapsed="false">
      <c r="B5" s="1" t="s">
        <v>267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268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269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270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271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272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273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274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275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276</v>
      </c>
      <c r="C2" s="2"/>
      <c r="D2" s="2"/>
      <c r="E2" s="2"/>
    </row>
    <row r="4" customFormat="false" ht="15" hidden="false" customHeight="true" outlineLevel="0" collapsed="false">
      <c r="B4" s="16" t="s">
        <v>277</v>
      </c>
      <c r="C4" s="16" t="s">
        <v>278</v>
      </c>
      <c r="D4" s="16" t="s">
        <v>106</v>
      </c>
      <c r="E4" s="16" t="s">
        <v>279</v>
      </c>
    </row>
    <row r="5" customFormat="false" ht="15" hidden="false" customHeight="true" outlineLevel="0" collapsed="false">
      <c r="B5" s="34" t="s">
        <v>280</v>
      </c>
      <c r="C5" s="34" t="s">
        <v>281</v>
      </c>
      <c r="D5" s="34" t="s">
        <v>282</v>
      </c>
      <c r="E5" s="34" t="s">
        <v>283</v>
      </c>
    </row>
    <row r="6" customFormat="false" ht="15" hidden="false" customHeight="true" outlineLevel="0" collapsed="false">
      <c r="B6" s="34" t="s">
        <v>284</v>
      </c>
      <c r="C6" s="34" t="s">
        <v>285</v>
      </c>
      <c r="D6" s="34" t="s">
        <v>6</v>
      </c>
      <c r="E6" s="34" t="s">
        <v>286</v>
      </c>
    </row>
    <row r="7" customFormat="false" ht="15" hidden="false" customHeight="true" outlineLevel="0" collapsed="false">
      <c r="B7" s="34" t="s">
        <v>287</v>
      </c>
      <c r="C7" s="34" t="s">
        <v>288</v>
      </c>
      <c r="D7" s="34" t="s">
        <v>6</v>
      </c>
      <c r="E7" s="34" t="s">
        <v>289</v>
      </c>
    </row>
    <row r="8" customFormat="false" ht="15" hidden="false" customHeight="true" outlineLevel="0" collapsed="false">
      <c r="B8" s="34" t="s">
        <v>290</v>
      </c>
      <c r="C8" s="34" t="s">
        <v>291</v>
      </c>
      <c r="D8" s="34" t="s">
        <v>6</v>
      </c>
      <c r="E8" s="34" t="s">
        <v>292</v>
      </c>
    </row>
    <row r="9" customFormat="false" ht="15" hidden="false" customHeight="true" outlineLevel="0" collapsed="false">
      <c r="B9" s="34" t="s">
        <v>293</v>
      </c>
      <c r="C9" s="34" t="s">
        <v>294</v>
      </c>
      <c r="D9" s="34" t="s">
        <v>6</v>
      </c>
      <c r="E9" s="34" t="s">
        <v>295</v>
      </c>
    </row>
    <row r="10" customFormat="false" ht="15" hidden="false" customHeight="false" outlineLevel="0" collapsed="false">
      <c r="B10" s="35" t="s">
        <v>296</v>
      </c>
      <c r="C10" s="35" t="s">
        <v>297</v>
      </c>
      <c r="D10" s="35" t="s">
        <v>8</v>
      </c>
      <c r="E10" s="35" t="s">
        <v>298</v>
      </c>
    </row>
    <row r="11" customFormat="false" ht="15" hidden="false" customHeight="false" outlineLevel="0" collapsed="false">
      <c r="B11" s="35" t="s">
        <v>299</v>
      </c>
      <c r="C11" s="35" t="s">
        <v>300</v>
      </c>
      <c r="D11" s="35" t="s">
        <v>8</v>
      </c>
      <c r="E11" s="35" t="s">
        <v>301</v>
      </c>
    </row>
    <row r="12" customFormat="false" ht="15" hidden="false" customHeight="false" outlineLevel="0" collapsed="false">
      <c r="B12" s="35" t="s">
        <v>302</v>
      </c>
      <c r="C12" s="35" t="s">
        <v>303</v>
      </c>
      <c r="D12" s="35" t="s">
        <v>8</v>
      </c>
      <c r="E12" s="35" t="s">
        <v>304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306</v>
      </c>
      <c r="D4" s="16" t="s">
        <v>307</v>
      </c>
      <c r="E4" s="16" t="s">
        <v>308</v>
      </c>
      <c r="F4" s="16" t="s">
        <v>309</v>
      </c>
      <c r="G4" s="16" t="s">
        <v>310</v>
      </c>
    </row>
    <row r="5" customFormat="false" ht="15" hidden="false" customHeight="true" outlineLevel="0" collapsed="false">
      <c r="B5" s="36" t="s">
        <v>311</v>
      </c>
      <c r="C5" s="36" t="s">
        <v>312</v>
      </c>
      <c r="D5" s="36" t="s">
        <v>300</v>
      </c>
      <c r="E5" s="36" t="s">
        <v>313</v>
      </c>
      <c r="F5" s="36" t="s">
        <v>314</v>
      </c>
      <c r="G5" s="36" t="s">
        <v>315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