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worksheets/sheet1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IS" sheetId="6" state="visible" r:id="rId8"/>
    <sheet name="BS" sheetId="7" state="visible" r:id="rId9"/>
    <sheet name="CF" sheetId="8" state="visible" r:id="rId10"/>
    <sheet name="DCF" sheetId="9" state="visible" r:id="rId11"/>
    <sheet name="Comps" sheetId="10" state="visible" r:id="rId12"/>
    <sheet name="Sensitivity" sheetId="11" state="visible" r:id="rId13"/>
    <sheet name="RefreshLog" sheetId="12" state="visible" r:id="rId14"/>
    <sheet name="Transaction Analysis" sheetId="13" state="visible" r:id="rId15"/>
    <sheet name="Accretion Dilution" sheetId="14" state="visible" r:id="rId16"/>
    <sheet name="Valuation Reconciliation" sheetId="15" state="visible" r:id="rId17"/>
    <sheet name="Decision &amp; Checks" sheetId="16" state="visible" r:id="rId18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<sst xmlns="http://schemas.openxmlformats.org/spreadsheetml/2006/main" count="449" uniqueCount="296">
  <si>
    <t xml:space="preserve">Microsoft acquisition of LinkedIn</t>
  </si>
  <si>
    <t xml:space="preserve">Sector:</t>
  </si>
  <si>
    <t xml:space="preserve">[fill in]</t>
  </si>
  <si>
    <t xml:space="preserve">Coverage started:</t>
  </si>
  <si>
    <t xml:space="preserve">[date]</t>
  </si>
  <si>
    <t xml:space="preserve">Last refreshed:</t>
  </si>
  <si>
    <t xml:space="preserve">2016-12-08</t>
  </si>
  <si>
    <t xml:space="preserve">Next earnings date:</t>
  </si>
  <si>
    <t xml:space="preserve">Refresh cadence:</t>
  </si>
  <si>
    <t xml:space="preserve">Weekly</t>
  </si>
  <si>
    <t xml:space="preserve">Thesis (2-3 sentences):</t>
  </si>
  <si>
    <t xml:space="preserve">COLOR LEGEND</t>
  </si>
  <si>
    <t xml:space="preserve">Blue text</t>
  </si>
  <si>
    <t xml:space="preserve">Hardcoded input / scenario lever — edit freely</t>
  </si>
  <si>
    <t xml:space="preserve">Black text</t>
  </si>
  <si>
    <t xml:space="preserve">Formula — do not overwrite</t>
  </si>
  <si>
    <t xml:space="preserve">Green text</t>
  </si>
  <si>
    <t xml:space="preserve">Link to another sheet in this workbook</t>
  </si>
  <si>
    <t xml:space="preserve">Yellow fill</t>
  </si>
  <si>
    <t xml:space="preserve">Key assumption — review every refresh</t>
  </si>
  <si>
    <t xml:space="preserve">Investment Banking — Institutional Decision Surface</t>
  </si>
  <si>
    <t xml:space="preserve">Model ID</t>
  </si>
  <si>
    <t xml:space="preserve">01</t>
  </si>
  <si>
    <t xml:space="preserve">Domain</t>
  </si>
  <si>
    <t xml:space="preserve">Investment Banking</t>
  </si>
  <si>
    <t xml:space="preserve">Declared maturity</t>
  </si>
  <si>
    <t xml:space="preserve">M2</t>
  </si>
  <si>
    <t xml:space="preserve">Canonical builder</t>
  </si>
  <si>
    <t xml:space="preserve">tools/builders/build_investment_banking_release.py</t>
  </si>
  <si>
    <t xml:space="preserve">Decision arena</t>
  </si>
  <si>
    <t xml:space="preserve">board, special committee, fairness committee and sell-side deal team</t>
  </si>
  <si>
    <t xml:space="preserve">Committee artifact</t>
  </si>
  <si>
    <t xml:space="preserve">board / fairness-book output pack</t>
  </si>
  <si>
    <t xml:space="preserve">Operating cadence</t>
  </si>
  <si>
    <t xml:space="preserve">live deal: daily; watchlist: weekly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</si>
  <si>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</si>
  <si>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</si>
  <si>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</si>
  <si>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</si>
  <si>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</si>
  <si>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</si>
  <si>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enterprise and equity value bridge</t>
  </si>
  <si>
    <t xml:space="preserve">OPEN</t>
  </si>
  <si>
    <t xml:space="preserve">DCF and WACC range</t>
  </si>
  <si>
    <t xml:space="preserve">trading and transaction multiple dispersion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</si>
  <si>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</si>
  <si>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</si>
  <si>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</si>
  <si>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is the unaffected date and why?</t>
  </si>
  <si>
    <t xml:space="preserve">Which bidders can actually finance at the headline price?</t>
  </si>
  <si>
    <t xml:space="preserve">Where do QoE adjustments flow through EBITDA and debt capacity?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</si>
  <si>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</si>
  <si>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</si>
  <si>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</si>
  <si>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revenue/margin miss</t>
  </si>
  <si>
    <t xml:space="preserve">WACC and terminal-value expansion</t>
  </si>
  <si>
    <t xml:space="preserve">multiple compression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</si>
  <si>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</si>
  <si>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</si>
  <si>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</si>
  <si>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quality of earnings</t>
  </si>
  <si>
    <t xml:space="preserve">management projections</t>
  </si>
  <si>
    <t xml:space="preserve">CIM and data-room index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</si>
  <si>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</si>
  <si>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</si>
  <si>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</si>
  <si>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EV-to-equity bridge reconciles</t>
  </si>
  <si>
    <t xml:space="preserve">DCF terminal value share bounded</t>
  </si>
  <si>
    <t xml:space="preserve">comps screening is reproducible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</si>
  <si>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</si>
  <si>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</si>
  <si>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</si>
  <si>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mixing announcement-date and unaffected-date prices</t>
  </si>
  <si>
    <t xml:space="preserve">using seller projections without QoE challenge</t>
  </si>
  <si>
    <t xml:space="preserve">double-counting synergies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</si>
  <si>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</si>
  <si>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</si>
  <si>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</si>
  <si>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</si>
  <si>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</si>
  <si>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</si>
  <si>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</si>
  <si>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</si>
  <si>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</si>
  <si>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</si>
  <si>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</si>
  <si>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</si>
  <si>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SEC Rule 2a-5</t>
  </si>
  <si>
    <t xml:space="preserve">fair-value governance and testing</t>
  </si>
  <si>
    <t xml:space="preserve">https://www.sec.gov/files/rules/final/2020/ic-34128.pdf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</si>
  <si>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</si>
  <si>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</si>
  <si>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</si>
  <si>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</si>
  <si>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</si>
  <si>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</si>
  <si>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</si>
  <si>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</si>
  <si>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</si>
  <si>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</si>
  <si>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</si>
  <si>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</si>
  <si>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</si>
  <si>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</si>
  <si>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</si>
  <si>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</si>
  <si>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company reporting</t>
  </si>
  <si>
    <t xml:space="preserve">monthly/quarterly</t>
  </si>
  <si>
    <t xml:space="preserve">tie to filed or management financials</t>
  </si>
  <si>
    <t xml:space="preserve">TO MAP</t>
  </si>
  <si>
    <t xml:space="preserve">market data</t>
  </si>
  <si>
    <t xml:space="preserve">daily</t>
  </si>
  <si>
    <t xml:space="preserve">timestamp and security identifier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</si>
  <si>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</si>
  <si>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</si>
  <si>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</si>
  <si>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</si>
  <si>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</si>
  <si>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</si>
  <si>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Assumptions</t>
  </si>
  <si>
    <t xml:space="preserve">Driver</t>
  </si>
  <si>
    <t xml:space="preserve">FY1</t>
  </si>
  <si>
    <t xml:space="preserve">FY2</t>
  </si>
  <si>
    <t xml:space="preserve">FY3</t>
  </si>
  <si>
    <t xml:space="preserve">FY4</t>
  </si>
  <si>
    <t xml:space="preserve">FY5</t>
  </si>
  <si>
    <t xml:space="preserve">Source / notes</t>
  </si>
  <si>
    <t xml:space="preserve">Revenue growth %</t>
  </si>
  <si>
    <t xml:space="preserve">Source: [10-K/10-Q cite or user estimate]</t>
  </si>
  <si>
    <t xml:space="preserve">Gross margin %</t>
  </si>
  <si>
    <t xml:space="preserve">Opex % of revenue</t>
  </si>
  <si>
    <t xml:space="preserve">Tax rate %</t>
  </si>
  <si>
    <t xml:space="preserve">D&amp;A % of capex</t>
  </si>
  <si>
    <t xml:space="preserve">Capex % of revenue</t>
  </si>
  <si>
    <t xml:space="preserve">NWC % of revenue chg</t>
  </si>
  <si>
    <t xml:space="preserve">Shares outstanding (mm)</t>
  </si>
  <si>
    <t xml:space="preserve">WACC %</t>
  </si>
  <si>
    <t xml:space="preserve">Terminal growth %</t>
  </si>
  <si>
    <t xml:space="preserve">Income Statement ($mm)</t>
  </si>
  <si>
    <t xml:space="preserve">Line item</t>
  </si>
  <si>
    <t xml:space="preserve">FY-2A</t>
  </si>
  <si>
    <t xml:space="preserve">FY-1A</t>
  </si>
  <si>
    <t xml:space="preserve">FY0A</t>
  </si>
  <si>
    <t xml:space="preserve">FY1E</t>
  </si>
  <si>
    <t xml:space="preserve">FY2E</t>
  </si>
  <si>
    <t xml:space="preserve">FY3E</t>
  </si>
  <si>
    <t xml:space="preserve">FY4E</t>
  </si>
  <si>
    <t xml:space="preserve">Revenue</t>
  </si>
  <si>
    <t xml:space="preserve">COGS</t>
  </si>
  <si>
    <t xml:space="preserve">Gross profit</t>
  </si>
  <si>
    <t xml:space="preserve">Opex</t>
  </si>
  <si>
    <t xml:space="preserve">EBITDA</t>
  </si>
  <si>
    <t xml:space="preserve">EBITDA margin %</t>
  </si>
  <si>
    <t xml:space="preserve">D&amp;A</t>
  </si>
  <si>
    <t xml:space="preserve">EBIT</t>
  </si>
  <si>
    <t xml:space="preserve">Interest expense</t>
  </si>
  <si>
    <t xml:space="preserve">Pre-tax income</t>
  </si>
  <si>
    <t xml:space="preserve">Tax</t>
  </si>
  <si>
    <t xml:space="preserve">Net income</t>
  </si>
  <si>
    <t xml:space="preserve">Diluted shares</t>
  </si>
  <si>
    <t xml:space="preserve">Diluted EPS</t>
  </si>
  <si>
    <t xml:space="preserve">Balance Sheet ($mm)</t>
  </si>
  <si>
    <t xml:space="preserve">Cash &amp; equivalents</t>
  </si>
  <si>
    <t xml:space="preserve">Accounts receivable</t>
  </si>
  <si>
    <t xml:space="preserve">Inventory</t>
  </si>
  <si>
    <t xml:space="preserve">Total current assets</t>
  </si>
  <si>
    <t xml:space="preserve">PP&amp;E net</t>
  </si>
  <si>
    <t xml:space="preserve">Goodwill &amp; intangibles</t>
  </si>
  <si>
    <t xml:space="preserve">Total assets</t>
  </si>
  <si>
    <t xml:space="preserve">Accounts payable</t>
  </si>
  <si>
    <t xml:space="preserve">Debt (current)</t>
  </si>
  <si>
    <t xml:space="preserve">Total current liabilities</t>
  </si>
  <si>
    <t xml:space="preserve">Long-term debt</t>
  </si>
  <si>
    <t xml:space="preserve">Total liabilities</t>
  </si>
  <si>
    <t xml:space="preserve">Total equity</t>
  </si>
  <si>
    <t xml:space="preserve">Balance check (Total assets - Total liabilities - Total equity, should = 0)</t>
  </si>
  <si>
    <t xml:space="preserve">Cash Flow ($mm)</t>
  </si>
  <si>
    <t xml:space="preserve">+ D&amp;A</t>
  </si>
  <si>
    <t xml:space="preserve">+/- Change in NWC</t>
  </si>
  <si>
    <t xml:space="preserve">Cash flow from operations</t>
  </si>
  <si>
    <t xml:space="preserve">Capex</t>
  </si>
  <si>
    <t xml:space="preserve">Free cash flow</t>
  </si>
  <si>
    <t xml:space="preserve">Debt issuance/(repayment)</t>
  </si>
  <si>
    <t xml:space="preserve">Dividends/buybacks</t>
  </si>
  <si>
    <t xml:space="preserve">Net change in cash</t>
  </si>
  <si>
    <t xml:space="preserve">DCF Valuation</t>
  </si>
  <si>
    <t xml:space="preserve">FY5E</t>
  </si>
  <si>
    <t xml:space="preserve">Key outputs</t>
  </si>
  <si>
    <t xml:space="preserve">Unlevered FCF</t>
  </si>
  <si>
    <t xml:space="preserve">WACC</t>
  </si>
  <si>
    <t xml:space="preserve">Discount factor</t>
  </si>
  <si>
    <t xml:space="preserve">Terminal growth</t>
  </si>
  <si>
    <t xml:space="preserve">PV of FCF</t>
  </si>
  <si>
    <t xml:space="preserve">Terminal value</t>
  </si>
  <si>
    <t xml:space="preserve">PV of terminal value</t>
  </si>
  <si>
    <t xml:space="preserve">Sum PV of FCF</t>
  </si>
  <si>
    <t xml:space="preserve">Enterprise value</t>
  </si>
  <si>
    <t xml:space="preserve">Less: net debt</t>
  </si>
  <si>
    <t xml:space="preserve">Equity value</t>
  </si>
  <si>
    <t xml:space="preserve">Diluted shares (mm)</t>
  </si>
  <si>
    <t xml:space="preserve">Implied value/share</t>
  </si>
  <si>
    <t xml:space="preserve">Forecast base (IS!E5)</t>
  </si>
  <si>
    <t xml:space="preserve">Comparable Companies</t>
  </si>
  <si>
    <t xml:space="preserve">Ticker</t>
  </si>
  <si>
    <t xml:space="preserve">Price</t>
  </si>
  <si>
    <t xml:space="preserve">Mkt Cap</t>
  </si>
  <si>
    <t xml:space="preserve">EV</t>
  </si>
  <si>
    <t xml:space="preserve">EV/Rev</t>
  </si>
  <si>
    <t xml:space="preserve">EV/EBITDA</t>
  </si>
  <si>
    <t xml:space="preserve">P/E</t>
  </si>
  <si>
    <t xml:space="preserve">[TICKER]</t>
  </si>
  <si>
    <t xml:space="preserve">Median</t>
  </si>
  <si>
    <t xml:space="preserve">Sensitivity — Implied Value/Share</t>
  </si>
  <si>
    <t xml:space="preserve">WACC \ Term. growth</t>
  </si>
  <si>
    <t xml:space="preserve">[data table — Excel What-If Analysis]</t>
  </si>
  <si>
    <t xml:space="preserve">Refresh Log</t>
  </si>
  <si>
    <t xml:space="preserve">Trigger</t>
  </si>
  <si>
    <t xml:space="preserve">What changed</t>
  </si>
  <si>
    <t xml:space="preserve">Reviewer notes</t>
  </si>
  <si>
    <t xml:space="preserve">Next check</t>
  </si>
  <si>
    <t xml:space="preserve">2026-08-04</t>
  </si>
  <si>
    <t xml:space="preserve">External historical evidence materialization</t>
  </si>
  <si>
    <t xml:space="preserve">Generated public case ib-public-microsoft-linkedin-2016 from canonical release template</t>
  </si>
  <si>
    <t xml:space="preserve">External historical case; human stakeholder approval remains pending</t>
  </si>
  <si>
    <t xml:space="preserve">On source revision, builder change, monitoring breach, or annual review</t>
  </si>
  <si>
    <t xml:space="preserve">Transaction Valuation, Offer Premium, and DCF Reconciliation</t>
  </si>
  <si>
    <t xml:space="preserve">Metric</t>
  </si>
  <si>
    <t xml:space="preserve">Base</t>
  </si>
  <si>
    <t xml:space="preserve">Adversarial</t>
  </si>
  <si>
    <t xml:space="preserve">Units / control</t>
  </si>
  <si>
    <t xml:space="preserve">transaction enterprise value</t>
  </si>
  <si>
    <t xml:space="preserve">Debt</t>
  </si>
  <si>
    <t xml:space="preserve">debt assumed or refinanced</t>
  </si>
  <si>
    <t xml:space="preserve">Cash</t>
  </si>
  <si>
    <t xml:space="preserve">cash retained in equity bridge</t>
  </si>
  <si>
    <t xml:space="preserve">fully diluted shares</t>
  </si>
  <si>
    <t xml:space="preserve">Offer price</t>
  </si>
  <si>
    <t xml:space="preserve">consideration per share</t>
  </si>
  <si>
    <t xml:space="preserve">Discount rate</t>
  </si>
  <si>
    <t xml:space="preserve">WACC / required return</t>
  </si>
  <si>
    <t xml:space="preserve">must remain below discount rate</t>
  </si>
  <si>
    <t xml:space="preserve">FCF Year 1</t>
  </si>
  <si>
    <t xml:space="preserve">unlevered free cash flow</t>
  </si>
  <si>
    <t xml:space="preserve">FCF Year 2</t>
  </si>
  <si>
    <t xml:space="preserve">FCF Year 3</t>
  </si>
  <si>
    <t xml:space="preserve">FCF Year 4</t>
  </si>
  <si>
    <t xml:space="preserve">FCF Year 5</t>
  </si>
  <si>
    <t xml:space="preserve">Offer-premium warning</t>
  </si>
  <si>
    <t xml:space="preserve">maximum premium screen</t>
  </si>
  <si>
    <t xml:space="preserve">Valuation-dispersion warning</t>
  </si>
  <si>
    <t xml:space="preserve">maximum DCF / bridge dispersion</t>
  </si>
  <si>
    <t xml:space="preserve">Bridge value / share</t>
  </si>
  <si>
    <t xml:space="preserve">Offer premium</t>
  </si>
  <si>
    <t xml:space="preserve">PV of forecast FCF</t>
  </si>
  <si>
    <t xml:space="preserve">DCF enterprise value</t>
  </si>
  <si>
    <t xml:space="preserve">DCF equity value</t>
  </si>
  <si>
    <t xml:space="preserve">DCF value / share</t>
  </si>
  <si>
    <t xml:space="preserve">DCF / bridge dispersion</t>
  </si>
  <si>
    <t xml:space="preserve">Terminal value is invalid whenever terminal growth is greater than or equal to the discount rate.</t>
  </si>
  <si>
    <t xml:space="preserve">Pro Forma EPS, Synergy, Financing, and Share Issuance</t>
  </si>
  <si>
    <t xml:space="preserve">Buyer earnings</t>
  </si>
  <si>
    <t xml:space="preserve">Buyer diluted shares</t>
  </si>
  <si>
    <t xml:space="preserve">Target earnings</t>
  </si>
  <si>
    <t xml:space="preserve">After-tax synergies</t>
  </si>
  <si>
    <t xml:space="preserve">Incremental financing cost</t>
  </si>
  <si>
    <t xml:space="preserve">Shares issued</t>
  </si>
  <si>
    <t xml:space="preserve">Minimum accretion</t>
  </si>
  <si>
    <t xml:space="preserve">Standalone EPS</t>
  </si>
  <si>
    <t xml:space="preserve">Pro forma earnings</t>
  </si>
  <si>
    <t xml:space="preserve">Pro forma shares</t>
  </si>
  <si>
    <t xml:space="preserve">Pro forma EPS</t>
  </si>
  <si>
    <t xml:space="preserve">EPS accretion / dilution</t>
  </si>
  <si>
    <t xml:space="preserve">Bridge, DCF, Offer, and Transaction Decision Reconciliation</t>
  </si>
  <si>
    <t xml:space="preserve">Valuation method</t>
  </si>
  <si>
    <t xml:space="preserve">Decision use</t>
  </si>
  <si>
    <t xml:space="preserve">Enterprise-to-equity bridge / share</t>
  </si>
  <si>
    <t xml:space="preserve">capital-structure bridge</t>
  </si>
  <si>
    <t xml:space="preserve">intrinsic value and terminal-value sensitivity</t>
  </si>
  <si>
    <t xml:space="preserve">consideration and premium</t>
  </si>
  <si>
    <t xml:space="preserve">buyer shareholder impact</t>
  </si>
  <si>
    <t xml:space="preserve">Investment Banking Decision Dashboard and Independent Checks</t>
  </si>
  <si>
    <t xml:space="preserve">Check / decision</t>
  </si>
  <si>
    <t xml:space="preserve">Interpretation / action</t>
  </si>
  <si>
    <t xml:space="preserve">Enterprise-to-equity bridge residual</t>
  </si>
  <si>
    <t xml:space="preserve">Enterprise value must reconcile to equity value through debt and cash.</t>
  </si>
  <si>
    <t xml:space="preserve">Per-share residual</t>
  </si>
  <si>
    <t xml:space="preserve">Equity value must equal diluted shares times per-share value.</t>
  </si>
  <si>
    <t xml:space="preserve">Terminal-value validity</t>
  </si>
  <si>
    <t xml:space="preserve">Discount rate must exceed terminal growth.</t>
  </si>
  <si>
    <t xml:space="preserve">Adversarial offer premium</t>
  </si>
  <si>
    <t xml:space="preserve">Escalate premiums above the approved transaction threshold.</t>
  </si>
  <si>
    <t xml:space="preserve">Adversarial EPS accretion</t>
  </si>
  <si>
    <t xml:space="preserve">Transaction economics must not dilute buyer EPS beyond the approved boundary.</t>
  </si>
  <si>
    <t xml:space="preserve">Adversarial valuation dispersion</t>
  </si>
  <si>
    <t xml:space="preserve">Bridge and DCF values require reconciliation before committee use.</t>
  </si>
  <si>
    <t xml:space="preserve">Overall model status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</si>
</sst>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;\(0.0%\);\-"/>
    <numFmt numFmtId="166" formatCode="\$#,##0;&quot;($&quot;#,##0\);\-"/>
    <numFmt numFmtId="167" formatCode="0.000"/>
    <numFmt numFmtId="168" formatCode="0.0\x"/>
    <numFmt numFmtId="169" formatCode="#,##0;\(#,##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D9D9D9"/>
      </patternFill>
    </fill>
    <fill>
      <patternFill patternType="solid">
        <fgColor rgb="FF1F4E78"/>
        <bgColor rgb="FF17365D"/>
      </patternFill>
    </fill>
    <fill>
      <patternFill patternType="solid">
        <fgColor rgb="FFD9D9D9"/>
        <bgColor rgb="FFD9EAF7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7B7B7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4"/>
  </cols>
  <sheetData>
    <row r="2" customFormat="false" ht="19.7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3" t="s">
        <v>4</v>
      </c>
    </row>
    <row r="6" customFormat="false" ht="15" hidden="false" customHeight="false" outlineLevel="0" collapsed="false">
      <c r="B6" s="2" t="s">
        <v>5</v>
      </c>
      <c r="C6" s="4" t="s">
        <v>6</v>
      </c>
    </row>
    <row r="7" customFormat="false" ht="15" hidden="false" customHeight="false" outlineLevel="0" collapsed="false">
      <c r="B7" s="2" t="s">
        <v>7</v>
      </c>
      <c r="C7" s="3" t="s">
        <v>4</v>
      </c>
    </row>
    <row r="8" customFormat="false" ht="15" hidden="false" customHeight="false" outlineLevel="0" collapsed="false">
      <c r="B8" s="2" t="s">
        <v>8</v>
      </c>
      <c r="C8" s="5" t="s">
        <v>9</v>
      </c>
    </row>
    <row r="10" customFormat="false" ht="15" hidden="false" customHeight="false" outlineLevel="0" collapsed="false">
      <c r="B10" s="2" t="s">
        <v>10</v>
      </c>
    </row>
    <row r="11" customFormat="false" ht="15" hidden="false" customHeight="false" outlineLevel="0" collapsed="false">
      <c r="B11" s="6" t="s">
        <v>2</v>
      </c>
      <c r="C11" s="6"/>
      <c r="D11" s="6"/>
    </row>
    <row r="12" customFormat="false" ht="15" hidden="false" customHeight="false" outlineLevel="0" collapsed="false">
      <c r="B12" s="6"/>
      <c r="C12" s="6"/>
      <c r="D12" s="6"/>
    </row>
    <row r="13" customFormat="false" ht="15" hidden="false" customHeight="false" outlineLevel="0" collapsed="false">
      <c r="B13" s="6"/>
      <c r="C13" s="6"/>
      <c r="D13" s="6"/>
    </row>
    <row r="14" customFormat="false" ht="15" hidden="false" customHeight="false" outlineLevel="0" collapsed="false">
      <c r="B14" s="6"/>
      <c r="C14" s="6"/>
      <c r="D14" s="6"/>
    </row>
    <row r="16" customFormat="false" ht="15" hidden="false" customHeight="false" outlineLevel="0" collapsed="false">
      <c r="B16" s="2" t="s">
        <v>11</v>
      </c>
    </row>
    <row r="17" customFormat="false" ht="15" hidden="false" customHeight="false" outlineLevel="0" collapsed="false">
      <c r="B17" s="3" t="s">
        <v>12</v>
      </c>
      <c r="C17" s="5" t="s">
        <v>13</v>
      </c>
    </row>
    <row r="18" customFormat="false" ht="15" hidden="false" customHeight="false" outlineLevel="0" collapsed="false">
      <c r="B18" s="5" t="s">
        <v>14</v>
      </c>
      <c r="C18" s="5" t="s">
        <v>15</v>
      </c>
    </row>
    <row r="19" customFormat="false" ht="15" hidden="false" customHeight="false" outlineLevel="0" collapsed="false">
      <c r="B19" s="7" t="s">
        <v>16</v>
      </c>
      <c r="C19" s="5" t="s">
        <v>17</v>
      </c>
    </row>
    <row r="20" customFormat="false" ht="15" hidden="false" customHeight="false" outlineLevel="0" collapsed="false">
      <c r="B20" s="8" t="s">
        <v>18</v>
      </c>
      <c r="C20" s="5" t="s">
        <v>19</v>
      </c>
    </row>
  </sheetData>
  <mergeCells count="1">
    <mergeCell ref="B11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9" t="s">
        <v>20</v>
      </c>
      <c r="C2" s="9"/>
      <c r="D2" s="9"/>
      <c r="E2" s="9"/>
      <c r="F2" s="9"/>
    </row>
    <row r="4" customFormat="false" ht="15" hidden="false" customHeight="true" outlineLevel="0" collapsed="false">
      <c r="B4" s="10" t="s">
        <v>21</v>
      </c>
      <c r="C4" s="11" t="s">
        <v>22</v>
      </c>
      <c r="D4" s="11"/>
      <c r="E4" s="11"/>
      <c r="F4" s="11"/>
    </row>
    <row r="5" customFormat="false" ht="15" hidden="false" customHeight="true" outlineLevel="0" collapsed="false">
      <c r="B5" s="10" t="s">
        <v>23</v>
      </c>
      <c r="C5" s="11" t="s">
        <v>24</v>
      </c>
      <c r="D5" s="11"/>
      <c r="E5" s="11"/>
      <c r="F5" s="11"/>
    </row>
    <row r="6" customFormat="false" ht="15" hidden="false" customHeight="true" outlineLevel="0" collapsed="false">
      <c r="B6" s="10" t="s">
        <v>25</v>
      </c>
      <c r="C6" s="11" t="s">
        <v>26</v>
      </c>
      <c r="D6" s="11"/>
      <c r="E6" s="11"/>
      <c r="F6" s="11"/>
    </row>
    <row r="7" customFormat="false" ht="15" hidden="false" customHeight="true" outlineLevel="0" collapsed="false">
      <c r="B7" s="10" t="s">
        <v>27</v>
      </c>
      <c r="C7" s="11" t="s">
        <v>28</v>
      </c>
      <c r="D7" s="11"/>
      <c r="E7" s="11"/>
      <c r="F7" s="11"/>
    </row>
    <row r="8" customFormat="false" ht="15" hidden="false" customHeight="true" outlineLevel="0" collapsed="false">
      <c r="B8" s="10" t="s">
        <v>29</v>
      </c>
      <c r="C8" s="11" t="s">
        <v>30</v>
      </c>
      <c r="D8" s="11"/>
      <c r="E8" s="11"/>
      <c r="F8" s="11"/>
    </row>
    <row r="9" customFormat="false" ht="15" hidden="false" customHeight="true" outlineLevel="0" collapsed="false">
      <c r="B9" s="10" t="s">
        <v>31</v>
      </c>
      <c r="C9" s="11" t="s">
        <v>32</v>
      </c>
      <c r="D9" s="11"/>
      <c r="E9" s="11"/>
      <c r="F9" s="11"/>
    </row>
    <row r="10" customFormat="false" ht="15" hidden="false" customHeight="true" outlineLevel="0" collapsed="false">
      <c r="B10" s="10" t="s">
        <v>33</v>
      </c>
      <c r="C10" s="11" t="s">
        <v>34</v>
      </c>
      <c r="D10" s="11"/>
      <c r="E10" s="11"/>
      <c r="F10" s="11"/>
    </row>
    <row r="12" customFormat="false" ht="15" hidden="false" customHeight="false" outlineLevel="0" collapsed="false">
      <c r="B12" s="12" t="s">
        <v>35</v>
      </c>
      <c r="C12" s="12"/>
      <c r="D12" s="12"/>
      <c r="E12" s="12"/>
      <c r="F12" s="12"/>
    </row>
    <row r="13" customFormat="false" ht="15" hidden="false" customHeight="false" outlineLevel="0" collapsed="false">
      <c r="B13" s="13" t="s">
        <v>36</v>
      </c>
      <c r="C13" s="13" t="s">
        <v>37</v>
      </c>
      <c r="D13" s="13" t="s">
        <v>38</v>
      </c>
      <c r="E13" s="13" t="s">
        <v>39</v>
      </c>
      <c r="F13" s="13" t="s">
        <v>40</v>
      </c>
    </row>
    <row r="14" customFormat="false" ht="15" hidden="false" customHeight="false" outlineLevel="0" collapsed="false">
      <c r="B14" s="0" t="n">
        <v>1</v>
      </c>
      <c r="C14" s="0" t="s">
        <v>41</v>
      </c>
      <c r="F14" s="14" t="s">
        <v>42</v>
      </c>
    </row>
    <row r="15" customFormat="false" ht="15" hidden="false" customHeight="false" outlineLevel="0" collapsed="false">
      <c r="B15" s="0" t="n">
        <v>2</v>
      </c>
      <c r="C15" s="0" t="s">
        <v>43</v>
      </c>
      <c r="F15" s="14" t="s">
        <v>42</v>
      </c>
    </row>
    <row r="16" customFormat="false" ht="15" hidden="false" customHeight="false" outlineLevel="0" collapsed="false">
      <c r="B16" s="0" t="n">
        <v>3</v>
      </c>
      <c r="C16" s="0" t="s">
        <v>44</v>
      </c>
      <c r="F16" s="14" t="s">
        <v>42</v>
      </c>
    </row>
    <row r="17" customFormat="false" ht="15" hidden="false" customHeight="false" outlineLevel="0" collapsed="false">
      <c r="B17" s="0" t="n">
        <v>4</v>
      </c>
      <c r="C17" s="0" t="s">
        <v>45</v>
      </c>
      <c r="F17" s="14" t="s">
        <v>42</v>
      </c>
    </row>
    <row r="18" customFormat="false" ht="15" hidden="false" customHeight="false" outlineLevel="0" collapsed="false">
      <c r="B18" s="0" t="n">
        <v>5</v>
      </c>
      <c r="C18" s="0" t="s">
        <v>46</v>
      </c>
      <c r="F18" s="14" t="s">
        <v>42</v>
      </c>
    </row>
    <row r="20" customFormat="false" ht="15" hidden="false" customHeight="false" outlineLevel="0" collapsed="false">
      <c r="B20" s="12" t="s">
        <v>47</v>
      </c>
      <c r="C20" s="12"/>
      <c r="D20" s="12"/>
      <c r="E20" s="12"/>
      <c r="F20" s="12"/>
    </row>
    <row r="21" customFormat="false" ht="15" hidden="false" customHeight="false" outlineLevel="0" collapsed="false">
      <c r="B21" s="13" t="s">
        <v>36</v>
      </c>
      <c r="C21" s="13" t="s">
        <v>37</v>
      </c>
      <c r="D21" s="13" t="s">
        <v>38</v>
      </c>
      <c r="E21" s="13" t="s">
        <v>39</v>
      </c>
      <c r="F21" s="13" t="s">
        <v>40</v>
      </c>
    </row>
    <row r="22" customFormat="false" ht="15" hidden="false" customHeight="false" outlineLevel="0" collapsed="false">
      <c r="B22" s="0" t="n">
        <v>1</v>
      </c>
      <c r="C22" s="0" t="s">
        <v>48</v>
      </c>
      <c r="F22" s="14" t="s">
        <v>42</v>
      </c>
    </row>
    <row r="23" customFormat="false" ht="15" hidden="false" customHeight="false" outlineLevel="0" collapsed="false">
      <c r="B23" s="0" t="n">
        <v>2</v>
      </c>
      <c r="C23" s="0" t="s">
        <v>49</v>
      </c>
      <c r="F23" s="14" t="s">
        <v>42</v>
      </c>
    </row>
    <row r="24" customFormat="false" ht="15" hidden="false" customHeight="false" outlineLevel="0" collapsed="false">
      <c r="B24" s="0" t="n">
        <v>3</v>
      </c>
      <c r="C24" s="0" t="s">
        <v>50</v>
      </c>
      <c r="F24" s="14" t="s">
        <v>42</v>
      </c>
    </row>
    <row r="25" customFormat="false" ht="15" hidden="false" customHeight="false" outlineLevel="0" collapsed="false">
      <c r="B25" s="0" t="n">
        <v>4</v>
      </c>
      <c r="C25" s="0" t="s">
        <v>51</v>
      </c>
      <c r="F25" s="14" t="s">
        <v>42</v>
      </c>
    </row>
    <row r="26" customFormat="false" ht="15" hidden="false" customHeight="false" outlineLevel="0" collapsed="false">
      <c r="B26" s="0" t="n">
        <v>5</v>
      </c>
      <c r="C26" s="0" t="s">
        <v>52</v>
      </c>
      <c r="F26" s="14" t="s">
        <v>42</v>
      </c>
    </row>
    <row r="28" customFormat="false" ht="15" hidden="false" customHeight="false" outlineLevel="0" collapsed="false">
      <c r="B28" s="12" t="s">
        <v>53</v>
      </c>
      <c r="C28" s="12"/>
      <c r="D28" s="12"/>
      <c r="E28" s="12"/>
      <c r="F28" s="12"/>
    </row>
    <row r="29" customFormat="false" ht="15" hidden="false" customHeight="false" outlineLevel="0" collapsed="false">
      <c r="B29" s="13" t="s">
        <v>36</v>
      </c>
      <c r="C29" s="13" t="s">
        <v>37</v>
      </c>
      <c r="D29" s="13" t="s">
        <v>38</v>
      </c>
      <c r="E29" s="13" t="s">
        <v>39</v>
      </c>
      <c r="F29" s="13" t="s">
        <v>40</v>
      </c>
    </row>
    <row r="30" customFormat="false" ht="15" hidden="false" customHeight="false" outlineLevel="0" collapsed="false">
      <c r="B30" s="0" t="n">
        <v>1</v>
      </c>
      <c r="C30" s="0" t="s">
        <v>54</v>
      </c>
      <c r="F30" s="14" t="s">
        <v>42</v>
      </c>
    </row>
    <row r="31" customFormat="false" ht="15" hidden="false" customHeight="false" outlineLevel="0" collapsed="false">
      <c r="B31" s="0" t="n">
        <v>2</v>
      </c>
      <c r="C31" s="0" t="s">
        <v>55</v>
      </c>
      <c r="F31" s="14" t="s">
        <v>42</v>
      </c>
    </row>
    <row r="32" customFormat="false" ht="15" hidden="false" customHeight="false" outlineLevel="0" collapsed="false">
      <c r="B32" s="0" t="n">
        <v>3</v>
      </c>
      <c r="C32" s="0" t="s">
        <v>56</v>
      </c>
      <c r="F32" s="14" t="s">
        <v>42</v>
      </c>
    </row>
    <row r="33" customFormat="false" ht="15" hidden="false" customHeight="false" outlineLevel="0" collapsed="false">
      <c r="B33" s="0" t="n">
        <v>4</v>
      </c>
      <c r="C33" s="0" t="s">
        <v>57</v>
      </c>
      <c r="F33" s="14" t="s">
        <v>42</v>
      </c>
    </row>
    <row r="34" customFormat="false" ht="15" hidden="false" customHeight="false" outlineLevel="0" collapsed="false">
      <c r="B34" s="0" t="n">
        <v>5</v>
      </c>
      <c r="C34" s="0" t="s">
        <v>58</v>
      </c>
      <c r="F34" s="14" t="s">
        <v>42</v>
      </c>
    </row>
    <row r="36" customFormat="false" ht="15" hidden="false" customHeight="false" outlineLevel="0" collapsed="false">
      <c r="B36" s="12" t="s">
        <v>59</v>
      </c>
      <c r="C36" s="12"/>
      <c r="D36" s="12"/>
      <c r="E36" s="12"/>
      <c r="F36" s="12"/>
    </row>
    <row r="37" customFormat="false" ht="15" hidden="false" customHeight="false" outlineLevel="0" collapsed="false">
      <c r="B37" s="13" t="s">
        <v>36</v>
      </c>
      <c r="C37" s="13" t="s">
        <v>37</v>
      </c>
      <c r="D37" s="13" t="s">
        <v>38</v>
      </c>
      <c r="E37" s="13" t="s">
        <v>39</v>
      </c>
      <c r="F37" s="13" t="s">
        <v>40</v>
      </c>
    </row>
    <row r="38" customFormat="false" ht="15" hidden="false" customHeight="false" outlineLevel="0" collapsed="false">
      <c r="B38" s="0" t="n">
        <v>1</v>
      </c>
      <c r="C38" s="0" t="s">
        <v>60</v>
      </c>
      <c r="F38" s="14" t="s">
        <v>42</v>
      </c>
    </row>
    <row r="39" customFormat="false" ht="15" hidden="false" customHeight="false" outlineLevel="0" collapsed="false">
      <c r="B39" s="0" t="n">
        <v>2</v>
      </c>
      <c r="C39" s="0" t="s">
        <v>61</v>
      </c>
      <c r="F39" s="14" t="s">
        <v>42</v>
      </c>
    </row>
    <row r="40" customFormat="false" ht="15" hidden="false" customHeight="false" outlineLevel="0" collapsed="false">
      <c r="B40" s="0" t="n">
        <v>3</v>
      </c>
      <c r="C40" s="0" t="s">
        <v>62</v>
      </c>
      <c r="F40" s="14" t="s">
        <v>42</v>
      </c>
    </row>
    <row r="41" customFormat="false" ht="15" hidden="false" customHeight="false" outlineLevel="0" collapsed="false">
      <c r="B41" s="0" t="n">
        <v>4</v>
      </c>
      <c r="C41" s="0" t="s">
        <v>63</v>
      </c>
      <c r="F41" s="14" t="s">
        <v>42</v>
      </c>
    </row>
    <row r="42" customFormat="false" ht="15" hidden="false" customHeight="false" outlineLevel="0" collapsed="false">
      <c r="B42" s="0" t="n">
        <v>5</v>
      </c>
      <c r="C42" s="0" t="s">
        <v>64</v>
      </c>
      <c r="F42" s="14" t="s">
        <v>42</v>
      </c>
    </row>
    <row r="44" customFormat="false" ht="15" hidden="false" customHeight="false" outlineLevel="0" collapsed="false">
      <c r="B44" s="12" t="s">
        <v>65</v>
      </c>
      <c r="C44" s="12"/>
      <c r="D44" s="12"/>
      <c r="E44" s="12"/>
      <c r="F44" s="12"/>
    </row>
    <row r="45" customFormat="false" ht="15" hidden="false" customHeight="false" outlineLevel="0" collapsed="false">
      <c r="B45" s="13" t="s">
        <v>36</v>
      </c>
      <c r="C45" s="13" t="s">
        <v>37</v>
      </c>
      <c r="D45" s="13" t="s">
        <v>38</v>
      </c>
      <c r="E45" s="13" t="s">
        <v>39</v>
      </c>
      <c r="F45" s="13" t="s">
        <v>40</v>
      </c>
    </row>
    <row r="46" customFormat="false" ht="15" hidden="false" customHeight="false" outlineLevel="0" collapsed="false">
      <c r="B46" s="0" t="n">
        <v>1</v>
      </c>
      <c r="C46" s="0" t="s">
        <v>66</v>
      </c>
      <c r="F46" s="14" t="s">
        <v>42</v>
      </c>
    </row>
    <row r="47" customFormat="false" ht="15" hidden="false" customHeight="false" outlineLevel="0" collapsed="false">
      <c r="B47" s="0" t="n">
        <v>2</v>
      </c>
      <c r="C47" s="0" t="s">
        <v>67</v>
      </c>
      <c r="F47" s="14" t="s">
        <v>42</v>
      </c>
    </row>
    <row r="48" customFormat="false" ht="15" hidden="false" customHeight="false" outlineLevel="0" collapsed="false">
      <c r="B48" s="0" t="n">
        <v>3</v>
      </c>
      <c r="C48" s="0" t="s">
        <v>68</v>
      </c>
      <c r="F48" s="14" t="s">
        <v>42</v>
      </c>
    </row>
    <row r="49" customFormat="false" ht="15" hidden="false" customHeight="false" outlineLevel="0" collapsed="false">
      <c r="B49" s="0" t="n">
        <v>4</v>
      </c>
      <c r="C49" s="0" t="s">
        <v>69</v>
      </c>
      <c r="F49" s="14" t="s">
        <v>42</v>
      </c>
    </row>
    <row r="50" customFormat="false" ht="15" hidden="false" customHeight="false" outlineLevel="0" collapsed="false">
      <c r="B50" s="0" t="n">
        <v>5</v>
      </c>
      <c r="C50" s="0" t="s">
        <v>70</v>
      </c>
      <c r="F50" s="14" t="s">
        <v>42</v>
      </c>
    </row>
    <row r="52" customFormat="false" ht="15" hidden="false" customHeight="false" outlineLevel="0" collapsed="false">
      <c r="B52" s="12" t="s">
        <v>71</v>
      </c>
      <c r="C52" s="12"/>
      <c r="D52" s="12"/>
      <c r="E52" s="12"/>
      <c r="F52" s="12"/>
    </row>
    <row r="53" customFormat="false" ht="15" hidden="false" customHeight="false" outlineLevel="0" collapsed="false">
      <c r="B53" s="13" t="s">
        <v>36</v>
      </c>
      <c r="C53" s="13" t="s">
        <v>37</v>
      </c>
      <c r="D53" s="13" t="s">
        <v>38</v>
      </c>
      <c r="E53" s="13" t="s">
        <v>39</v>
      </c>
      <c r="F53" s="13" t="s">
        <v>40</v>
      </c>
    </row>
    <row r="54" customFormat="false" ht="15" hidden="false" customHeight="false" outlineLevel="0" collapsed="false">
      <c r="B54" s="0" t="n">
        <v>1</v>
      </c>
      <c r="C54" s="0" t="s">
        <v>72</v>
      </c>
      <c r="F54" s="14" t="s">
        <v>42</v>
      </c>
    </row>
    <row r="55" customFormat="false" ht="15" hidden="false" customHeight="false" outlineLevel="0" collapsed="false">
      <c r="B55" s="0" t="n">
        <v>2</v>
      </c>
      <c r="C55" s="0" t="s">
        <v>73</v>
      </c>
      <c r="F55" s="14" t="s">
        <v>42</v>
      </c>
    </row>
    <row r="56" customFormat="false" ht="15" hidden="false" customHeight="false" outlineLevel="0" collapsed="false">
      <c r="B56" s="0" t="n">
        <v>3</v>
      </c>
      <c r="C56" s="0" t="s">
        <v>74</v>
      </c>
      <c r="F56" s="14" t="s">
        <v>42</v>
      </c>
    </row>
    <row r="57" customFormat="false" ht="15" hidden="false" customHeight="false" outlineLevel="0" collapsed="false">
      <c r="B57" s="0" t="n">
        <v>4</v>
      </c>
      <c r="C57" s="0" t="s">
        <v>75</v>
      </c>
      <c r="F57" s="14" t="s">
        <v>42</v>
      </c>
    </row>
    <row r="58" customFormat="false" ht="15" hidden="false" customHeight="false" outlineLevel="0" collapsed="false">
      <c r="B58" s="0" t="n">
        <v>5</v>
      </c>
      <c r="C58" s="0" t="s">
        <v>76</v>
      </c>
      <c r="F58" s="14" t="s">
        <v>42</v>
      </c>
    </row>
    <row r="60" customFormat="false" ht="15" hidden="false" customHeight="false" outlineLevel="0" collapsed="false">
      <c r="B60" s="12" t="s">
        <v>77</v>
      </c>
      <c r="C60" s="12"/>
      <c r="D60" s="12"/>
      <c r="E60" s="12"/>
      <c r="F60" s="12"/>
    </row>
    <row r="61" customFormat="false" ht="15" hidden="false" customHeight="false" outlineLevel="0" collapsed="false">
      <c r="B61" s="13" t="s">
        <v>78</v>
      </c>
      <c r="C61" s="13" t="s">
        <v>79</v>
      </c>
      <c r="D61" s="13" t="s">
        <v>80</v>
      </c>
      <c r="E61" s="13" t="s">
        <v>81</v>
      </c>
      <c r="F61" s="13" t="s">
        <v>82</v>
      </c>
    </row>
    <row r="62" customFormat="false" ht="15" hidden="false" customHeight="false" outlineLevel="0" collapsed="false">
      <c r="B62" s="0" t="s">
        <v>83</v>
      </c>
      <c r="C62" s="0" t="s">
        <v>84</v>
      </c>
      <c r="D62" s="0" t="s">
        <v>85</v>
      </c>
      <c r="E62" s="0" t="s">
        <v>86</v>
      </c>
    </row>
    <row r="63" customFormat="false" ht="15" hidden="false" customHeight="false" outlineLevel="0" collapsed="false">
      <c r="B63" s="0" t="s">
        <v>87</v>
      </c>
      <c r="C63" s="0" t="s">
        <v>88</v>
      </c>
      <c r="D63" s="0" t="s">
        <v>89</v>
      </c>
      <c r="E63" s="0" t="s">
        <v>86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9" t="s">
        <v>90</v>
      </c>
      <c r="C2" s="9"/>
      <c r="D2" s="9"/>
      <c r="E2" s="9"/>
      <c r="F2" s="9"/>
      <c r="G2" s="9"/>
      <c r="H2" s="9"/>
      <c r="I2" s="9"/>
    </row>
    <row r="4" customFormat="false" ht="15" hidden="false" customHeight="false" outlineLevel="0" collapsed="false">
      <c r="B4" s="13" t="s">
        <v>91</v>
      </c>
      <c r="C4" s="13" t="s">
        <v>92</v>
      </c>
      <c r="D4" s="13" t="s">
        <v>93</v>
      </c>
      <c r="E4" s="13" t="s">
        <v>94</v>
      </c>
      <c r="F4" s="13" t="s">
        <v>95</v>
      </c>
      <c r="G4" s="13" t="s">
        <v>96</v>
      </c>
      <c r="H4" s="13" t="s">
        <v>40</v>
      </c>
      <c r="I4" s="13" t="s">
        <v>97</v>
      </c>
    </row>
    <row r="5" customFormat="false" ht="15" hidden="false" customHeight="false" outlineLevel="0" collapsed="false">
      <c r="D5" s="0" t="s">
        <v>66</v>
      </c>
      <c r="H5" s="14" t="s">
        <v>42</v>
      </c>
    </row>
    <row r="6" customFormat="false" ht="15" hidden="false" customHeight="false" outlineLevel="0" collapsed="false">
      <c r="D6" s="0" t="s">
        <v>67</v>
      </c>
      <c r="H6" s="14" t="s">
        <v>42</v>
      </c>
    </row>
    <row r="7" customFormat="false" ht="15" hidden="false" customHeight="false" outlineLevel="0" collapsed="false">
      <c r="D7" s="0" t="s">
        <v>68</v>
      </c>
      <c r="H7" s="14" t="s">
        <v>42</v>
      </c>
    </row>
    <row r="8" customFormat="false" ht="15" hidden="false" customHeight="false" outlineLevel="0" collapsed="false">
      <c r="D8" s="0" t="s">
        <v>69</v>
      </c>
      <c r="H8" s="14" t="s">
        <v>42</v>
      </c>
    </row>
    <row r="9" customFormat="false" ht="15" hidden="false" customHeight="false" outlineLevel="0" collapsed="false">
      <c r="D9" s="0" t="s">
        <v>70</v>
      </c>
      <c r="H9" s="14" t="s">
        <v>42</v>
      </c>
    </row>
    <row r="10" customFormat="false" ht="15" hidden="false" customHeight="false" outlineLevel="0" collapsed="false">
      <c r="H10" s="14"/>
    </row>
    <row r="11" customFormat="false" ht="15" hidden="false" customHeight="false" outlineLevel="0" collapsed="false">
      <c r="H11" s="14"/>
    </row>
    <row r="12" customFormat="false" ht="15" hidden="false" customHeight="false" outlineLevel="0" collapsed="false">
      <c r="H12" s="14"/>
    </row>
    <row r="13" customFormat="false" ht="15" hidden="false" customHeight="false" outlineLevel="0" collapsed="false">
      <c r="H13" s="14"/>
    </row>
    <row r="14" customFormat="false" ht="15" hidden="false" customHeight="false" outlineLevel="0" collapsed="false">
      <c r="H14" s="14"/>
    </row>
    <row r="15" customFormat="false" ht="15" hidden="false" customHeight="false" outlineLevel="0" collapsed="false">
      <c r="H15" s="14"/>
    </row>
    <row r="16" customFormat="false" ht="15" hidden="false" customHeight="false" outlineLevel="0" collapsed="false">
      <c r="H16" s="14"/>
    </row>
    <row r="17" customFormat="false" ht="15" hidden="false" customHeight="false" outlineLevel="0" collapsed="false">
      <c r="H17" s="14"/>
    </row>
    <row r="18" customFormat="false" ht="15" hidden="false" customHeight="false" outlineLevel="0" collapsed="false">
      <c r="H18" s="14"/>
    </row>
    <row r="19" customFormat="false" ht="15" hidden="false" customHeight="false" outlineLevel="0" collapsed="false">
      <c r="H19" s="14"/>
    </row>
    <row r="20" customFormat="false" ht="15" hidden="false" customHeight="false" outlineLevel="0" collapsed="false">
      <c r="H20" s="14"/>
    </row>
    <row r="21" customFormat="false" ht="15" hidden="false" customHeight="false" outlineLevel="0" collapsed="false">
      <c r="H21" s="14"/>
    </row>
    <row r="22" customFormat="false" ht="15" hidden="false" customHeight="false" outlineLevel="0" collapsed="false">
      <c r="H22" s="14"/>
    </row>
    <row r="23" customFormat="false" ht="15" hidden="false" customHeight="false" outlineLevel="0" collapsed="false">
      <c r="H23" s="14"/>
    </row>
    <row r="24" customFormat="false" ht="15" hidden="false" customHeight="false" outlineLevel="0" collapsed="false">
      <c r="H24" s="14"/>
    </row>
    <row r="25" customFormat="false" ht="15" hidden="false" customHeight="false" outlineLevel="0" collapsed="false">
      <c r="H25" s="14"/>
    </row>
    <row r="26" customFormat="false" ht="15" hidden="false" customHeight="false" outlineLevel="0" collapsed="false">
      <c r="H26" s="14"/>
    </row>
    <row r="27" customFormat="false" ht="15" hidden="false" customHeight="false" outlineLevel="0" collapsed="false">
      <c r="H27" s="14"/>
    </row>
    <row r="28" customFormat="false" ht="15" hidden="false" customHeight="false" outlineLevel="0" collapsed="false">
      <c r="H28" s="14"/>
    </row>
    <row r="29" customFormat="false" ht="15" hidden="false" customHeight="false" outlineLevel="0" collapsed="false">
      <c r="H29" s="14"/>
    </row>
    <row r="30" customFormat="false" ht="15" hidden="false" customHeight="false" outlineLevel="0" collapsed="false">
      <c r="H30" s="14"/>
    </row>
    <row r="31" customFormat="false" ht="15" hidden="false" customHeight="false" outlineLevel="0" collapsed="false">
      <c r="H31" s="14"/>
    </row>
    <row r="32" customFormat="false" ht="15" hidden="false" customHeight="false" outlineLevel="0" collapsed="false">
      <c r="H32" s="14"/>
    </row>
    <row r="33" customFormat="false" ht="15" hidden="false" customHeight="false" outlineLevel="0" collapsed="false">
      <c r="H33" s="14"/>
    </row>
    <row r="34" customFormat="false" ht="15" hidden="false" customHeight="false" outlineLevel="0" collapsed="false">
      <c r="H34" s="14"/>
    </row>
    <row r="35" customFormat="false" ht="15" hidden="false" customHeight="false" outlineLevel="0" collapsed="false">
      <c r="H35" s="14"/>
    </row>
    <row r="36" customFormat="false" ht="15" hidden="false" customHeight="false" outlineLevel="0" collapsed="false">
      <c r="H36" s="14"/>
    </row>
    <row r="37" customFormat="false" ht="15" hidden="false" customHeight="false" outlineLevel="0" collapsed="false">
      <c r="H37" s="14"/>
    </row>
    <row r="38" customFormat="false" ht="15" hidden="false" customHeight="false" outlineLevel="0" collapsed="false">
      <c r="H38" s="14"/>
    </row>
    <row r="39" customFormat="false" ht="15" hidden="false" customHeight="false" outlineLevel="0" collapsed="false">
      <c r="H39" s="14"/>
    </row>
    <row r="40" customFormat="false" ht="15" hidden="false" customHeight="false" outlineLevel="0" collapsed="false">
      <c r="H40" s="14"/>
    </row>
    <row r="41" customFormat="false" ht="15" hidden="false" customHeight="false" outlineLevel="0" collapsed="false">
      <c r="H41" s="14"/>
    </row>
    <row r="42" customFormat="false" ht="15" hidden="false" customHeight="false" outlineLevel="0" collapsed="false">
      <c r="H42" s="14"/>
    </row>
    <row r="43" customFormat="false" ht="15" hidden="false" customHeight="false" outlineLevel="0" collapsed="false">
      <c r="H43" s="14"/>
    </row>
    <row r="44" customFormat="false" ht="15" hidden="false" customHeight="false" outlineLevel="0" collapsed="false">
      <c r="H44" s="14"/>
    </row>
    <row r="45" customFormat="false" ht="15" hidden="false" customHeight="false" outlineLevel="0" collapsed="false">
      <c r="H45" s="14"/>
    </row>
    <row r="46" customFormat="false" ht="15" hidden="false" customHeight="false" outlineLevel="0" collapsed="false">
      <c r="H46" s="14"/>
    </row>
    <row r="47" customFormat="false" ht="15" hidden="false" customHeight="false" outlineLevel="0" collapsed="false">
      <c r="H47" s="14"/>
    </row>
    <row r="48" customFormat="false" ht="15" hidden="false" customHeight="false" outlineLevel="0" collapsed="false">
      <c r="H48" s="14"/>
    </row>
    <row r="49" customFormat="false" ht="15" hidden="false" customHeight="false" outlineLevel="0" collapsed="false">
      <c r="H49" s="14"/>
    </row>
    <row r="50" customFormat="false" ht="15" hidden="false" customHeight="false" outlineLevel="0" collapsed="false">
      <c r="H50" s="14"/>
    </row>
    <row r="51" customFormat="false" ht="15" hidden="false" customHeight="false" outlineLevel="0" collapsed="false">
      <c r="H51" s="14"/>
    </row>
    <row r="52" customFormat="false" ht="15" hidden="false" customHeight="false" outlineLevel="0" collapsed="false">
      <c r="H52" s="14"/>
    </row>
    <row r="53" customFormat="false" ht="15" hidden="false" customHeight="false" outlineLevel="0" collapsed="false">
      <c r="H53" s="14"/>
    </row>
    <row r="54" customFormat="false" ht="15" hidden="false" customHeight="false" outlineLevel="0" collapsed="false">
      <c r="H54" s="14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9" t="s">
        <v>98</v>
      </c>
      <c r="C2" s="9"/>
      <c r="D2" s="9"/>
      <c r="E2" s="9"/>
      <c r="F2" s="9"/>
      <c r="G2" s="9"/>
      <c r="H2" s="9"/>
      <c r="I2" s="9"/>
      <c r="J2" s="9"/>
    </row>
    <row r="4" customFormat="false" ht="15" hidden="false" customHeight="false" outlineLevel="0" collapsed="false">
      <c r="B4" s="13" t="s">
        <v>99</v>
      </c>
      <c r="C4" s="13" t="s">
        <v>100</v>
      </c>
      <c r="D4" s="13" t="s">
        <v>101</v>
      </c>
      <c r="E4" s="13" t="s">
        <v>102</v>
      </c>
      <c r="F4" s="13" t="s">
        <v>103</v>
      </c>
      <c r="G4" s="13" t="s">
        <v>38</v>
      </c>
      <c r="H4" s="13" t="s">
        <v>104</v>
      </c>
      <c r="I4" s="13" t="s">
        <v>105</v>
      </c>
      <c r="J4" s="13" t="s">
        <v>40</v>
      </c>
    </row>
    <row r="5" customFormat="false" ht="15" hidden="false" customHeight="false" outlineLevel="0" collapsed="false">
      <c r="B5" s="0" t="s">
        <v>106</v>
      </c>
      <c r="C5" s="0" t="s">
        <v>107</v>
      </c>
      <c r="D5" s="0" t="s">
        <v>108</v>
      </c>
      <c r="J5" s="14" t="s">
        <v>109</v>
      </c>
    </row>
    <row r="6" customFormat="false" ht="15" hidden="false" customHeight="false" outlineLevel="0" collapsed="false">
      <c r="B6" s="0" t="s">
        <v>110</v>
      </c>
      <c r="C6" s="0" t="s">
        <v>111</v>
      </c>
      <c r="D6" s="0" t="s">
        <v>112</v>
      </c>
      <c r="J6" s="14" t="s">
        <v>109</v>
      </c>
    </row>
    <row r="7" customFormat="false" ht="15" hidden="false" customHeight="false" outlineLevel="0" collapsed="false">
      <c r="B7" s="0" t="s">
        <v>113</v>
      </c>
      <c r="C7" s="0" t="s">
        <v>114</v>
      </c>
      <c r="D7" s="0" t="s">
        <v>115</v>
      </c>
      <c r="J7" s="14" t="s">
        <v>109</v>
      </c>
    </row>
    <row r="8" customFormat="false" ht="15" hidden="false" customHeight="false" outlineLevel="0" collapsed="false">
      <c r="B8" s="0" t="s">
        <v>116</v>
      </c>
      <c r="C8" s="0" t="s">
        <v>117</v>
      </c>
      <c r="D8" s="0" t="s">
        <v>118</v>
      </c>
      <c r="J8" s="14" t="s">
        <v>109</v>
      </c>
    </row>
    <row r="9" customFormat="false" ht="15" hidden="false" customHeight="false" outlineLevel="0" collapsed="false">
      <c r="J9" s="14"/>
    </row>
    <row r="10" customFormat="false" ht="15" hidden="false" customHeight="false" outlineLevel="0" collapsed="false">
      <c r="J10" s="14"/>
    </row>
    <row r="11" customFormat="false" ht="15" hidden="false" customHeight="false" outlineLevel="0" collapsed="false">
      <c r="J11" s="14"/>
    </row>
    <row r="12" customFormat="false" ht="15" hidden="false" customHeight="false" outlineLevel="0" collapsed="false">
      <c r="J12" s="14"/>
    </row>
    <row r="13" customFormat="false" ht="15" hidden="false" customHeight="false" outlineLevel="0" collapsed="false">
      <c r="J13" s="14"/>
    </row>
    <row r="14" customFormat="false" ht="15" hidden="false" customHeight="false" outlineLevel="0" collapsed="false">
      <c r="J14" s="14"/>
    </row>
    <row r="15" customFormat="false" ht="15" hidden="false" customHeight="false" outlineLevel="0" collapsed="false">
      <c r="J15" s="14"/>
    </row>
    <row r="16" customFormat="false" ht="15" hidden="false" customHeight="false" outlineLevel="0" collapsed="false">
      <c r="J16" s="14"/>
    </row>
    <row r="17" customFormat="false" ht="15" hidden="false" customHeight="false" outlineLevel="0" collapsed="false">
      <c r="J17" s="14"/>
    </row>
    <row r="18" customFormat="false" ht="15" hidden="false" customHeight="false" outlineLevel="0" collapsed="false">
      <c r="J18" s="14"/>
    </row>
    <row r="19" customFormat="false" ht="15" hidden="false" customHeight="false" outlineLevel="0" collapsed="false">
      <c r="J19" s="14"/>
    </row>
    <row r="20" customFormat="false" ht="15" hidden="false" customHeight="false" outlineLevel="0" collapsed="false">
      <c r="J20" s="14"/>
    </row>
    <row r="21" customFormat="false" ht="15" hidden="false" customHeight="false" outlineLevel="0" collapsed="false">
      <c r="J21" s="14"/>
    </row>
    <row r="22" customFormat="false" ht="15" hidden="false" customHeight="false" outlineLevel="0" collapsed="false">
      <c r="J22" s="14"/>
    </row>
    <row r="23" customFormat="false" ht="15" hidden="false" customHeight="false" outlineLevel="0" collapsed="false">
      <c r="J23" s="14"/>
    </row>
    <row r="24" customFormat="false" ht="15" hidden="false" customHeight="false" outlineLevel="0" collapsed="false">
      <c r="J24" s="14"/>
    </row>
    <row r="25" customFormat="false" ht="15" hidden="false" customHeight="false" outlineLevel="0" collapsed="false">
      <c r="J25" s="14"/>
    </row>
    <row r="26" customFormat="false" ht="15" hidden="false" customHeight="false" outlineLevel="0" collapsed="false">
      <c r="J26" s="14"/>
    </row>
    <row r="27" customFormat="false" ht="15" hidden="false" customHeight="false" outlineLevel="0" collapsed="false">
      <c r="J27" s="14"/>
    </row>
    <row r="28" customFormat="false" ht="15" hidden="false" customHeight="false" outlineLevel="0" collapsed="false">
      <c r="J28" s="14"/>
    </row>
    <row r="29" customFormat="false" ht="15" hidden="false" customHeight="false" outlineLevel="0" collapsed="false">
      <c r="J29" s="14"/>
    </row>
    <row r="30" customFormat="false" ht="15" hidden="false" customHeight="false" outlineLevel="0" collapsed="false">
      <c r="J30" s="14"/>
    </row>
    <row r="31" customFormat="false" ht="15" hidden="false" customHeight="false" outlineLevel="0" collapsed="false">
      <c r="J31" s="14"/>
    </row>
    <row r="32" customFormat="false" ht="15" hidden="false" customHeight="false" outlineLevel="0" collapsed="false">
      <c r="J32" s="14"/>
    </row>
    <row r="33" customFormat="false" ht="15" hidden="false" customHeight="false" outlineLevel="0" collapsed="false">
      <c r="J33" s="14"/>
    </row>
    <row r="34" customFormat="false" ht="15" hidden="false" customHeight="false" outlineLevel="0" collapsed="false">
      <c r="J34" s="14"/>
    </row>
    <row r="35" customFormat="false" ht="15" hidden="false" customHeight="false" outlineLevel="0" collapsed="false">
      <c r="J35" s="14"/>
    </row>
    <row r="36" customFormat="false" ht="15" hidden="false" customHeight="false" outlineLevel="0" collapsed="false">
      <c r="J36" s="14"/>
    </row>
    <row r="37" customFormat="false" ht="15" hidden="false" customHeight="false" outlineLevel="0" collapsed="false">
      <c r="J37" s="14"/>
    </row>
    <row r="38" customFormat="false" ht="15" hidden="false" customHeight="false" outlineLevel="0" collapsed="false">
      <c r="J38" s="14"/>
    </row>
    <row r="39" customFormat="false" ht="15" hidden="false" customHeight="false" outlineLevel="0" collapsed="false">
      <c r="J39" s="14"/>
    </row>
    <row r="40" customFormat="false" ht="15" hidden="false" customHeight="false" outlineLevel="0" collapsed="false">
      <c r="J40" s="14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7" min="3" style="0" width="14"/>
    <col collapsed="false" customWidth="true" hidden="false" outlineLevel="0" max="8" min="8" style="0" width="40"/>
  </cols>
  <sheetData>
    <row r="2" customFormat="false" ht="19.7" hidden="false" customHeight="false" outlineLevel="0" collapsed="false">
      <c r="B2" s="1" t="s">
        <v>119</v>
      </c>
    </row>
    <row r="4" customFormat="false" ht="15" hidden="false" customHeight="false" outlineLevel="0" collapsed="false">
      <c r="A4" s="15"/>
      <c r="B4" s="15" t="s">
        <v>120</v>
      </c>
      <c r="C4" s="15" t="s">
        <v>121</v>
      </c>
      <c r="D4" s="15" t="s">
        <v>122</v>
      </c>
      <c r="E4" s="15" t="s">
        <v>123</v>
      </c>
      <c r="F4" s="15" t="s">
        <v>124</v>
      </c>
      <c r="G4" s="15" t="s">
        <v>125</v>
      </c>
      <c r="H4" s="15" t="s">
        <v>126</v>
      </c>
    </row>
    <row r="5" customFormat="false" ht="15" hidden="false" customHeight="false" outlineLevel="0" collapsed="false">
      <c r="B5" s="5" t="s">
        <v>127</v>
      </c>
      <c r="C5" s="16" t="n">
        <v>0</v>
      </c>
      <c r="D5" s="16" t="n">
        <v>0</v>
      </c>
      <c r="E5" s="16" t="n">
        <v>0</v>
      </c>
      <c r="F5" s="16" t="n">
        <v>0</v>
      </c>
      <c r="G5" s="16" t="n">
        <v>0</v>
      </c>
      <c r="H5" s="17" t="s">
        <v>128</v>
      </c>
    </row>
    <row r="6" customFormat="false" ht="15" hidden="false" customHeight="false" outlineLevel="0" collapsed="false">
      <c r="B6" s="5" t="s">
        <v>129</v>
      </c>
      <c r="C6" s="16" t="n">
        <v>0</v>
      </c>
      <c r="D6" s="16" t="n">
        <v>0</v>
      </c>
      <c r="E6" s="16" t="n">
        <v>0</v>
      </c>
      <c r="F6" s="16" t="n">
        <v>0</v>
      </c>
      <c r="G6" s="16" t="n">
        <v>0</v>
      </c>
      <c r="H6" s="17" t="s">
        <v>128</v>
      </c>
    </row>
    <row r="7" customFormat="false" ht="15" hidden="false" customHeight="false" outlineLevel="0" collapsed="false">
      <c r="B7" s="5" t="s">
        <v>130</v>
      </c>
      <c r="C7" s="16" t="n">
        <v>0</v>
      </c>
      <c r="D7" s="16" t="n">
        <v>0</v>
      </c>
      <c r="E7" s="16" t="n">
        <v>0</v>
      </c>
      <c r="F7" s="16" t="n">
        <v>0</v>
      </c>
      <c r="G7" s="16" t="n">
        <v>0</v>
      </c>
      <c r="H7" s="17" t="s">
        <v>128</v>
      </c>
    </row>
    <row r="8" customFormat="false" ht="15" hidden="false" customHeight="false" outlineLevel="0" collapsed="false">
      <c r="B8" s="5" t="s">
        <v>131</v>
      </c>
      <c r="C8" s="16" t="n">
        <v>0</v>
      </c>
      <c r="D8" s="16" t="n">
        <v>0</v>
      </c>
      <c r="E8" s="16" t="n">
        <v>0</v>
      </c>
      <c r="F8" s="16" t="n">
        <v>0</v>
      </c>
      <c r="G8" s="16" t="n">
        <v>0</v>
      </c>
      <c r="H8" s="17" t="s">
        <v>128</v>
      </c>
    </row>
    <row r="9" customFormat="false" ht="15" hidden="false" customHeight="false" outlineLevel="0" collapsed="false">
      <c r="B9" s="5" t="s">
        <v>132</v>
      </c>
      <c r="C9" s="18" t="n">
        <v>0</v>
      </c>
      <c r="D9" s="18" t="n">
        <v>0</v>
      </c>
      <c r="E9" s="18" t="n">
        <v>0</v>
      </c>
      <c r="F9" s="18" t="n">
        <v>0</v>
      </c>
      <c r="G9" s="18" t="n">
        <v>0</v>
      </c>
      <c r="H9" s="17" t="s">
        <v>128</v>
      </c>
    </row>
    <row r="10" customFormat="false" ht="15" hidden="false" customHeight="false" outlineLevel="0" collapsed="false">
      <c r="B10" s="5" t="s">
        <v>133</v>
      </c>
      <c r="C10" s="18" t="n">
        <v>0</v>
      </c>
      <c r="D10" s="18" t="n">
        <v>0</v>
      </c>
      <c r="E10" s="18" t="n">
        <v>0</v>
      </c>
      <c r="F10" s="18" t="n">
        <v>0</v>
      </c>
      <c r="G10" s="18" t="n">
        <v>0</v>
      </c>
      <c r="H10" s="17" t="s">
        <v>128</v>
      </c>
    </row>
    <row r="11" customFormat="false" ht="15" hidden="false" customHeight="false" outlineLevel="0" collapsed="false">
      <c r="B11" s="5" t="s">
        <v>134</v>
      </c>
      <c r="C11" s="18" t="n">
        <v>0</v>
      </c>
      <c r="D11" s="18" t="n">
        <v>0</v>
      </c>
      <c r="E11" s="18" t="n">
        <v>0</v>
      </c>
      <c r="F11" s="18" t="n">
        <v>0</v>
      </c>
      <c r="G11" s="18" t="n">
        <v>0</v>
      </c>
      <c r="H11" s="17" t="s">
        <v>128</v>
      </c>
    </row>
    <row r="12" customFormat="false" ht="15" hidden="false" customHeight="false" outlineLevel="0" collapsed="false">
      <c r="B12" s="5" t="s">
        <v>135</v>
      </c>
      <c r="C12" s="19" t="n">
        <v>0</v>
      </c>
      <c r="D12" s="19" t="n">
        <v>0</v>
      </c>
      <c r="E12" s="19" t="n">
        <v>0</v>
      </c>
      <c r="F12" s="19" t="n">
        <v>0</v>
      </c>
      <c r="G12" s="19" t="n">
        <v>0</v>
      </c>
      <c r="H12" s="17" t="s">
        <v>128</v>
      </c>
    </row>
    <row r="13" customFormat="false" ht="15" hidden="false" customHeight="false" outlineLevel="0" collapsed="false">
      <c r="B13" s="5" t="s">
        <v>136</v>
      </c>
      <c r="C13" s="16" t="n">
        <v>0</v>
      </c>
      <c r="D13" s="16" t="n">
        <v>0</v>
      </c>
      <c r="E13" s="16" t="n">
        <v>0</v>
      </c>
      <c r="F13" s="16" t="n">
        <v>0</v>
      </c>
      <c r="G13" s="16" t="n">
        <v>0</v>
      </c>
      <c r="H13" s="17" t="s">
        <v>128</v>
      </c>
    </row>
    <row r="14" customFormat="false" ht="15" hidden="false" customHeight="false" outlineLevel="0" collapsed="false">
      <c r="B14" s="5" t="s">
        <v>137</v>
      </c>
      <c r="C14" s="16" t="n">
        <v>0</v>
      </c>
      <c r="D14" s="16" t="n">
        <v>0</v>
      </c>
      <c r="E14" s="16" t="n">
        <v>0</v>
      </c>
      <c r="F14" s="16" t="n">
        <v>0</v>
      </c>
      <c r="G14" s="16" t="n">
        <v>0</v>
      </c>
      <c r="H14" s="17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9" min="3" style="0" width="13"/>
  </cols>
  <sheetData>
    <row r="2" customFormat="false" ht="19.7" hidden="false" customHeight="false" outlineLevel="0" collapsed="false">
      <c r="B2" s="1" t="s">
        <v>138</v>
      </c>
    </row>
    <row r="4" customFormat="false" ht="15" hidden="false" customHeight="false" outlineLevel="0" collapsed="false">
      <c r="A4" s="15"/>
      <c r="B4" s="15" t="s">
        <v>139</v>
      </c>
      <c r="C4" s="15" t="s">
        <v>140</v>
      </c>
      <c r="D4" s="15" t="s">
        <v>141</v>
      </c>
      <c r="E4" s="15" t="s">
        <v>142</v>
      </c>
      <c r="F4" s="15" t="s">
        <v>143</v>
      </c>
      <c r="G4" s="15" t="s">
        <v>144</v>
      </c>
      <c r="H4" s="15" t="s">
        <v>145</v>
      </c>
      <c r="I4" s="15" t="s">
        <v>146</v>
      </c>
    </row>
    <row r="5" customFormat="false" ht="15" hidden="false" customHeight="false" outlineLevel="0" collapsed="false">
      <c r="B5" s="2" t="s">
        <v>147</v>
      </c>
      <c r="C5" s="20"/>
      <c r="D5" s="20"/>
      <c r="E5" s="20"/>
      <c r="F5" s="21" t="n">
        <f aca="false">E5*(1+Assumptions!C5)</f>
        <v>0</v>
      </c>
      <c r="G5" s="21" t="n">
        <f aca="false">F5*(1+Assumptions!D5)</f>
        <v>0</v>
      </c>
      <c r="H5" s="21" t="n">
        <f aca="false">G5*(1+Assumptions!E5)</f>
        <v>0</v>
      </c>
      <c r="I5" s="21" t="n">
        <f aca="false">H5*(1+Assumptions!F5)</f>
        <v>0</v>
      </c>
    </row>
    <row r="6" customFormat="false" ht="15" hidden="false" customHeight="false" outlineLevel="0" collapsed="false">
      <c r="B6" s="5" t="s">
        <v>127</v>
      </c>
      <c r="C6" s="16"/>
      <c r="D6" s="22" t="str">
        <f aca="false">IFERROR(D5/C5-1,"-")</f>
        <v>-</v>
      </c>
      <c r="E6" s="22" t="str">
        <f aca="false">IFERROR(E5/D5-1,"-")</f>
        <v>-</v>
      </c>
      <c r="F6" s="22" t="str">
        <f aca="false">IFERROR(F5/E5-1,"-")</f>
        <v>-</v>
      </c>
      <c r="G6" s="22" t="str">
        <f aca="false">IFERROR(G5/F5-1,"-")</f>
        <v>-</v>
      </c>
      <c r="H6" s="22" t="str">
        <f aca="false">IFERROR(H5/G5-1,"-")</f>
        <v>-</v>
      </c>
      <c r="I6" s="22" t="str">
        <f aca="false">IFERROR(I5/H5-1,"-")</f>
        <v>-</v>
      </c>
    </row>
    <row r="7" customFormat="false" ht="15" hidden="false" customHeight="false" outlineLevel="0" collapsed="false">
      <c r="B7" s="5" t="s">
        <v>148</v>
      </c>
      <c r="C7" s="20"/>
      <c r="D7" s="20"/>
      <c r="E7" s="20"/>
      <c r="F7" s="21" t="n">
        <f aca="false">F5*(1-Assumptions!C6)</f>
        <v>0</v>
      </c>
      <c r="G7" s="21" t="n">
        <f aca="false">G5*(1-Assumptions!D6)</f>
        <v>0</v>
      </c>
      <c r="H7" s="21" t="n">
        <f aca="false">H5*(1-Assumptions!E6)</f>
        <v>0</v>
      </c>
      <c r="I7" s="21" t="n">
        <f aca="false">I5*(1-Assumptions!F6)</f>
        <v>0</v>
      </c>
    </row>
    <row r="8" customFormat="false" ht="15" hidden="false" customHeight="false" outlineLevel="0" collapsed="false">
      <c r="B8" s="2" t="s">
        <v>149</v>
      </c>
      <c r="C8" s="20"/>
      <c r="D8" s="21" t="n">
        <f aca="false">D5-D7</f>
        <v>0</v>
      </c>
      <c r="E8" s="21" t="n">
        <f aca="false">E5-E7</f>
        <v>0</v>
      </c>
      <c r="F8" s="21" t="n">
        <f aca="false">F5-F7</f>
        <v>0</v>
      </c>
      <c r="G8" s="21" t="n">
        <f aca="false">G5-G7</f>
        <v>0</v>
      </c>
      <c r="H8" s="21" t="n">
        <f aca="false">H5-H7</f>
        <v>0</v>
      </c>
      <c r="I8" s="21" t="n">
        <f aca="false">I5-I7</f>
        <v>0</v>
      </c>
    </row>
    <row r="9" customFormat="false" ht="15" hidden="false" customHeight="false" outlineLevel="0" collapsed="false">
      <c r="B9" s="5" t="s">
        <v>129</v>
      </c>
      <c r="C9" s="16"/>
      <c r="D9" s="22" t="str">
        <f aca="false">IFERROR(D8/D5,"-")</f>
        <v>-</v>
      </c>
      <c r="E9" s="22" t="str">
        <f aca="false">IFERROR(E8/E5,"-")</f>
        <v>-</v>
      </c>
      <c r="F9" s="22" t="str">
        <f aca="false">IFERROR(F8/F5,"-")</f>
        <v>-</v>
      </c>
      <c r="G9" s="22" t="str">
        <f aca="false">IFERROR(G8/G5,"-")</f>
        <v>-</v>
      </c>
      <c r="H9" s="22" t="str">
        <f aca="false">IFERROR(H8/H5,"-")</f>
        <v>-</v>
      </c>
      <c r="I9" s="22" t="str">
        <f aca="false">IFERROR(I8/I5,"-")</f>
        <v>-</v>
      </c>
    </row>
    <row r="10" customFormat="false" ht="15" hidden="false" customHeight="false" outlineLevel="0" collapsed="false">
      <c r="B10" s="5" t="s">
        <v>150</v>
      </c>
      <c r="C10" s="20"/>
      <c r="D10" s="20"/>
      <c r="E10" s="20"/>
      <c r="F10" s="21" t="n">
        <f aca="false">F5*Assumptions!C7</f>
        <v>0</v>
      </c>
      <c r="G10" s="21" t="n">
        <f aca="false">G5*Assumptions!D7</f>
        <v>0</v>
      </c>
      <c r="H10" s="21" t="n">
        <f aca="false">H5*Assumptions!E7</f>
        <v>0</v>
      </c>
      <c r="I10" s="21" t="n">
        <f aca="false">I5*Assumptions!F7</f>
        <v>0</v>
      </c>
    </row>
    <row r="11" customFormat="false" ht="15" hidden="false" customHeight="false" outlineLevel="0" collapsed="false">
      <c r="B11" s="2" t="s">
        <v>151</v>
      </c>
      <c r="C11" s="20"/>
      <c r="D11" s="20"/>
      <c r="E11" s="20"/>
      <c r="F11" s="21" t="n">
        <f aca="false">F8-F10</f>
        <v>0</v>
      </c>
      <c r="G11" s="21" t="n">
        <f aca="false">G8-G10</f>
        <v>0</v>
      </c>
      <c r="H11" s="21" t="n">
        <f aca="false">H8-H10</f>
        <v>0</v>
      </c>
      <c r="I11" s="21" t="n">
        <f aca="false">I8-I10</f>
        <v>0</v>
      </c>
    </row>
    <row r="12" customFormat="false" ht="15" hidden="false" customHeight="false" outlineLevel="0" collapsed="false">
      <c r="B12" s="5" t="s">
        <v>152</v>
      </c>
      <c r="C12" s="16"/>
      <c r="D12" s="16"/>
      <c r="E12" s="16"/>
      <c r="F12" s="22" t="str">
        <f aca="false">IFERROR(F11/F5,"-")</f>
        <v>-</v>
      </c>
      <c r="G12" s="22" t="str">
        <f aca="false">IFERROR(G11/G5,"-")</f>
        <v>-</v>
      </c>
      <c r="H12" s="22" t="str">
        <f aca="false">IFERROR(H11/H5,"-")</f>
        <v>-</v>
      </c>
      <c r="I12" s="22" t="str">
        <f aca="false">IFERROR(I11/I5,"-")</f>
        <v>-</v>
      </c>
    </row>
    <row r="13" customFormat="false" ht="15" hidden="false" customHeight="false" outlineLevel="0" collapsed="false">
      <c r="B13" s="5" t="s">
        <v>153</v>
      </c>
      <c r="C13" s="20"/>
      <c r="D13" s="20"/>
      <c r="E13" s="20"/>
      <c r="F13" s="21" t="n">
        <f aca="false">F5*Assumptions!C10*Assumptions!C9</f>
        <v>0</v>
      </c>
      <c r="G13" s="21" t="n">
        <f aca="false">G5*Assumptions!D10*Assumptions!D9</f>
        <v>0</v>
      </c>
      <c r="H13" s="21" t="n">
        <f aca="false">H5*Assumptions!E10*Assumptions!E9</f>
        <v>0</v>
      </c>
      <c r="I13" s="21" t="n">
        <f aca="false">I5*Assumptions!F10*Assumptions!F9</f>
        <v>0</v>
      </c>
    </row>
    <row r="14" customFormat="false" ht="15" hidden="false" customHeight="false" outlineLevel="0" collapsed="false">
      <c r="B14" s="2" t="s">
        <v>154</v>
      </c>
      <c r="C14" s="20"/>
      <c r="D14" s="20"/>
      <c r="E14" s="20"/>
      <c r="F14" s="21" t="n">
        <f aca="false">F11-F13</f>
        <v>0</v>
      </c>
      <c r="G14" s="21" t="n">
        <f aca="false">G11-G13</f>
        <v>0</v>
      </c>
      <c r="H14" s="21" t="n">
        <f aca="false">H11-H13</f>
        <v>0</v>
      </c>
      <c r="I14" s="21" t="n">
        <f aca="false">I11-I13</f>
        <v>0</v>
      </c>
    </row>
    <row r="15" customFormat="false" ht="15" hidden="false" customHeight="false" outlineLevel="0" collapsed="false">
      <c r="B15" s="5" t="s">
        <v>155</v>
      </c>
      <c r="C15" s="20"/>
      <c r="D15" s="20"/>
      <c r="E15" s="20"/>
      <c r="F15" s="21" t="n">
        <f aca="false">$E$15</f>
        <v>0</v>
      </c>
      <c r="G15" s="21" t="n">
        <f aca="false">$E$15</f>
        <v>0</v>
      </c>
      <c r="H15" s="21" t="n">
        <f aca="false">$E$15</f>
        <v>0</v>
      </c>
      <c r="I15" s="21" t="n">
        <f aca="false">$E$15</f>
        <v>0</v>
      </c>
    </row>
    <row r="16" customFormat="false" ht="15" hidden="false" customHeight="false" outlineLevel="0" collapsed="false">
      <c r="B16" s="5" t="s">
        <v>156</v>
      </c>
      <c r="C16" s="20"/>
      <c r="D16" s="20"/>
      <c r="E16" s="20"/>
      <c r="F16" s="21" t="n">
        <f aca="false">F14-F15</f>
        <v>0</v>
      </c>
      <c r="G16" s="21" t="n">
        <f aca="false">G14-G15</f>
        <v>0</v>
      </c>
      <c r="H16" s="21" t="n">
        <f aca="false">H14-H15</f>
        <v>0</v>
      </c>
      <c r="I16" s="21" t="n">
        <f aca="false">I14-I15</f>
        <v>0</v>
      </c>
    </row>
    <row r="17" customFormat="false" ht="15" hidden="false" customHeight="false" outlineLevel="0" collapsed="false">
      <c r="B17" s="5" t="s">
        <v>157</v>
      </c>
      <c r="C17" s="20"/>
      <c r="D17" s="20"/>
      <c r="E17" s="20"/>
      <c r="F17" s="21" t="n">
        <f aca="false">F16*Assumptions!C8</f>
        <v>0</v>
      </c>
      <c r="G17" s="21" t="n">
        <f aca="false">G16*Assumptions!D8</f>
        <v>0</v>
      </c>
      <c r="H17" s="21" t="n">
        <f aca="false">H16*Assumptions!E8</f>
        <v>0</v>
      </c>
      <c r="I17" s="21" t="n">
        <f aca="false">I16*Assumptions!F8</f>
        <v>0</v>
      </c>
    </row>
    <row r="18" customFormat="false" ht="15" hidden="false" customHeight="false" outlineLevel="0" collapsed="false">
      <c r="B18" s="2" t="s">
        <v>158</v>
      </c>
      <c r="C18" s="20"/>
      <c r="D18" s="20"/>
      <c r="E18" s="20"/>
      <c r="F18" s="21" t="n">
        <f aca="false">F16-F17</f>
        <v>0</v>
      </c>
      <c r="G18" s="21" t="n">
        <f aca="false">G16-G17</f>
        <v>0</v>
      </c>
      <c r="H18" s="21" t="n">
        <f aca="false">H16-H17</f>
        <v>0</v>
      </c>
      <c r="I18" s="21" t="n">
        <f aca="false">I16-I17</f>
        <v>0</v>
      </c>
    </row>
    <row r="19" customFormat="false" ht="15" hidden="false" customHeight="false" outlineLevel="0" collapsed="false">
      <c r="B19" s="5" t="s">
        <v>159</v>
      </c>
      <c r="C19" s="20"/>
      <c r="D19" s="20"/>
      <c r="E19" s="20"/>
      <c r="F19" s="21" t="n">
        <f aca="false">Assumptions!C12</f>
        <v>0</v>
      </c>
      <c r="G19" s="21" t="n">
        <f aca="false">Assumptions!D12</f>
        <v>0</v>
      </c>
      <c r="H19" s="21" t="n">
        <f aca="false">Assumptions!E12</f>
        <v>0</v>
      </c>
      <c r="I19" s="21" t="n">
        <f aca="false">Assumptions!F12</f>
        <v>0</v>
      </c>
    </row>
    <row r="20" customFormat="false" ht="15" hidden="false" customHeight="false" outlineLevel="0" collapsed="false">
      <c r="B20" s="5" t="s">
        <v>160</v>
      </c>
      <c r="C20" s="20"/>
      <c r="D20" s="20"/>
      <c r="E20" s="20"/>
      <c r="F20" s="21" t="str">
        <f aca="false">IFERROR(F18/F19,"-")</f>
        <v>-</v>
      </c>
      <c r="G20" s="21" t="str">
        <f aca="false">IFERROR(G18/G19,"-")</f>
        <v>-</v>
      </c>
      <c r="H20" s="21" t="str">
        <f aca="false">IFERROR(H18/H19,"-")</f>
        <v>-</v>
      </c>
      <c r="I20" s="21" t="str">
        <f aca="false">IFERROR(I18/I19,"-")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3"/>
  </cols>
  <sheetData>
    <row r="2" customFormat="false" ht="19.7" hidden="false" customHeight="false" outlineLevel="0" collapsed="false">
      <c r="B2" s="1" t="s">
        <v>161</v>
      </c>
    </row>
    <row r="4" customFormat="false" ht="15" hidden="false" customHeight="false" outlineLevel="0" collapsed="false">
      <c r="A4" s="15"/>
      <c r="B4" s="15" t="s">
        <v>139</v>
      </c>
      <c r="C4" s="15" t="s">
        <v>141</v>
      </c>
      <c r="D4" s="15" t="s">
        <v>142</v>
      </c>
      <c r="E4" s="15" t="s">
        <v>143</v>
      </c>
      <c r="F4" s="15" t="s">
        <v>144</v>
      </c>
      <c r="G4" s="0" t="s">
        <v>145</v>
      </c>
    </row>
    <row r="5" customFormat="false" ht="15" hidden="false" customHeight="false" outlineLevel="0" collapsed="false">
      <c r="B5" s="5" t="s">
        <v>162</v>
      </c>
      <c r="C5" s="21"/>
      <c r="D5" s="21"/>
      <c r="E5" s="21"/>
      <c r="F5" s="21"/>
      <c r="G5" s="21"/>
    </row>
    <row r="6" customFormat="false" ht="15" hidden="false" customHeight="false" outlineLevel="0" collapsed="false">
      <c r="B6" s="5" t="s">
        <v>163</v>
      </c>
      <c r="C6" s="21"/>
      <c r="D6" s="21"/>
      <c r="E6" s="21"/>
      <c r="F6" s="21"/>
      <c r="G6" s="21"/>
    </row>
    <row r="7" customFormat="false" ht="15" hidden="false" customHeight="false" outlineLevel="0" collapsed="false">
      <c r="B7" s="5" t="s">
        <v>164</v>
      </c>
      <c r="C7" s="21"/>
      <c r="D7" s="21"/>
      <c r="E7" s="21"/>
      <c r="F7" s="21"/>
      <c r="G7" s="21"/>
    </row>
    <row r="8" customFormat="false" ht="15" hidden="false" customHeight="false" outlineLevel="0" collapsed="false">
      <c r="B8" s="2" t="s">
        <v>165</v>
      </c>
      <c r="C8" s="21" t="n">
        <f aca="false">C5+C6+C7</f>
        <v>0</v>
      </c>
      <c r="D8" s="21" t="n">
        <f aca="false">D5+D6+D7</f>
        <v>0</v>
      </c>
      <c r="E8" s="21" t="n">
        <f aca="false">E5+E6+E7</f>
        <v>0</v>
      </c>
      <c r="F8" s="21" t="n">
        <f aca="false">F5+F6+F7</f>
        <v>0</v>
      </c>
      <c r="G8" s="21" t="n">
        <f aca="false">G5+G6+G7</f>
        <v>0</v>
      </c>
    </row>
    <row r="9" customFormat="false" ht="15" hidden="false" customHeight="false" outlineLevel="0" collapsed="false">
      <c r="B9" s="5" t="s">
        <v>166</v>
      </c>
      <c r="C9" s="21"/>
      <c r="D9" s="21"/>
      <c r="E9" s="21"/>
      <c r="F9" s="21"/>
      <c r="G9" s="21"/>
    </row>
    <row r="10" customFormat="false" ht="15" hidden="false" customHeight="false" outlineLevel="0" collapsed="false">
      <c r="B10" s="5" t="s">
        <v>167</v>
      </c>
      <c r="C10" s="21"/>
      <c r="D10" s="21"/>
      <c r="E10" s="21"/>
      <c r="F10" s="21"/>
      <c r="G10" s="21"/>
    </row>
    <row r="11" customFormat="false" ht="15" hidden="false" customHeight="false" outlineLevel="0" collapsed="false">
      <c r="B11" s="2" t="s">
        <v>168</v>
      </c>
      <c r="C11" s="21" t="n">
        <f aca="false">C8+C9+C10</f>
        <v>0</v>
      </c>
      <c r="D11" s="21" t="n">
        <f aca="false">D8+D9+D10</f>
        <v>0</v>
      </c>
      <c r="E11" s="21" t="n">
        <f aca="false">E8+E9+E10</f>
        <v>0</v>
      </c>
      <c r="F11" s="21" t="n">
        <f aca="false">F8+F9+F10</f>
        <v>0</v>
      </c>
      <c r="G11" s="21" t="n">
        <f aca="false">G8+G9+G10</f>
        <v>0</v>
      </c>
    </row>
    <row r="12" customFormat="false" ht="15" hidden="false" customHeight="false" outlineLevel="0" collapsed="false">
      <c r="B12" s="5" t="s">
        <v>169</v>
      </c>
      <c r="C12" s="21"/>
      <c r="D12" s="21"/>
      <c r="E12" s="21"/>
      <c r="F12" s="21"/>
      <c r="G12" s="21"/>
    </row>
    <row r="13" customFormat="false" ht="15" hidden="false" customHeight="false" outlineLevel="0" collapsed="false">
      <c r="B13" s="5" t="s">
        <v>170</v>
      </c>
      <c r="C13" s="21"/>
      <c r="D13" s="21"/>
      <c r="E13" s="21"/>
      <c r="F13" s="21"/>
      <c r="G13" s="21"/>
    </row>
    <row r="14" customFormat="false" ht="15" hidden="false" customHeight="false" outlineLevel="0" collapsed="false">
      <c r="B14" s="2" t="s">
        <v>171</v>
      </c>
      <c r="C14" s="21" t="n">
        <f aca="false">C12+C13</f>
        <v>0</v>
      </c>
      <c r="D14" s="21" t="n">
        <f aca="false">D12+D13</f>
        <v>0</v>
      </c>
      <c r="E14" s="21" t="n">
        <f aca="false">E12+E13</f>
        <v>0</v>
      </c>
      <c r="F14" s="21" t="n">
        <f aca="false">F12+F13</f>
        <v>0</v>
      </c>
      <c r="G14" s="21" t="n">
        <f aca="false">G12+G13</f>
        <v>0</v>
      </c>
    </row>
    <row r="15" customFormat="false" ht="15" hidden="false" customHeight="false" outlineLevel="0" collapsed="false">
      <c r="B15" s="5" t="s">
        <v>172</v>
      </c>
      <c r="C15" s="21"/>
      <c r="D15" s="21"/>
      <c r="E15" s="21"/>
      <c r="F15" s="21"/>
      <c r="G15" s="21"/>
    </row>
    <row r="16" customFormat="false" ht="15" hidden="false" customHeight="false" outlineLevel="0" collapsed="false">
      <c r="B16" s="2" t="s">
        <v>173</v>
      </c>
      <c r="C16" s="21" t="n">
        <f aca="false">C14+C15</f>
        <v>0</v>
      </c>
      <c r="D16" s="21" t="n">
        <f aca="false">D14+D15</f>
        <v>0</v>
      </c>
      <c r="E16" s="21" t="n">
        <f aca="false">E14+E15</f>
        <v>0</v>
      </c>
      <c r="F16" s="21" t="n">
        <f aca="false">F14+F15</f>
        <v>0</v>
      </c>
      <c r="G16" s="21" t="n">
        <f aca="false">G14+G15</f>
        <v>0</v>
      </c>
    </row>
    <row r="17" customFormat="false" ht="15" hidden="false" customHeight="false" outlineLevel="0" collapsed="false">
      <c r="B17" s="2" t="s">
        <v>174</v>
      </c>
      <c r="C17" s="21"/>
      <c r="D17" s="21"/>
      <c r="E17" s="21"/>
      <c r="F17" s="21"/>
      <c r="G17" s="21"/>
    </row>
    <row r="19" customFormat="false" ht="15" hidden="false" customHeight="false" outlineLevel="0" collapsed="false">
      <c r="B19" s="23" t="s">
        <v>175</v>
      </c>
      <c r="C19" s="24" t="n">
        <f aca="false">C11-C16-C17</f>
        <v>0</v>
      </c>
      <c r="D19" s="24" t="n">
        <f aca="false">D11-D16-D17</f>
        <v>0</v>
      </c>
      <c r="E19" s="24" t="n">
        <f aca="false">E11-E16-E17</f>
        <v>0</v>
      </c>
      <c r="F19" s="24" t="n">
        <f aca="false">F11-F16-F17</f>
        <v>0</v>
      </c>
      <c r="G19" s="24" t="n">
        <f aca="false">G11-G16-G17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3"/>
  </cols>
  <sheetData>
    <row r="2" customFormat="false" ht="19.7" hidden="false" customHeight="false" outlineLevel="0" collapsed="false">
      <c r="B2" s="1" t="s">
        <v>176</v>
      </c>
    </row>
    <row r="4" customFormat="false" ht="15" hidden="false" customHeight="false" outlineLevel="0" collapsed="false">
      <c r="A4" s="15"/>
      <c r="B4" s="15" t="s">
        <v>139</v>
      </c>
      <c r="C4" s="15" t="s">
        <v>141</v>
      </c>
      <c r="D4" s="15" t="s">
        <v>142</v>
      </c>
      <c r="E4" s="15" t="s">
        <v>143</v>
      </c>
      <c r="F4" s="15" t="s">
        <v>144</v>
      </c>
      <c r="G4" s="0" t="s">
        <v>145</v>
      </c>
    </row>
    <row r="5" customFormat="false" ht="15" hidden="false" customHeight="false" outlineLevel="0" collapsed="false">
      <c r="B5" s="5" t="s">
        <v>158</v>
      </c>
      <c r="C5" s="21"/>
      <c r="D5" s="21"/>
      <c r="E5" s="25" t="n">
        <f aca="false">IS!F18</f>
        <v>0</v>
      </c>
      <c r="F5" s="25" t="n">
        <f aca="false">IS!G18</f>
        <v>0</v>
      </c>
      <c r="G5" s="25" t="n">
        <f aca="false">IS!H18</f>
        <v>0</v>
      </c>
    </row>
    <row r="6" customFormat="false" ht="15" hidden="false" customHeight="false" outlineLevel="0" collapsed="false">
      <c r="B6" s="5" t="s">
        <v>177</v>
      </c>
      <c r="C6" s="21"/>
      <c r="D6" s="21"/>
      <c r="E6" s="25" t="n">
        <f aca="false">IS!F13</f>
        <v>0</v>
      </c>
      <c r="F6" s="25" t="n">
        <f aca="false">IS!G13</f>
        <v>0</v>
      </c>
      <c r="G6" s="25" t="n">
        <f aca="false">IS!H13</f>
        <v>0</v>
      </c>
    </row>
    <row r="7" customFormat="false" ht="15" hidden="false" customHeight="false" outlineLevel="0" collapsed="false">
      <c r="B7" s="5" t="s">
        <v>178</v>
      </c>
      <c r="C7" s="21"/>
      <c r="D7" s="21"/>
      <c r="E7" s="21"/>
      <c r="F7" s="21"/>
      <c r="G7" s="21"/>
    </row>
    <row r="8" customFormat="false" ht="15" hidden="false" customHeight="false" outlineLevel="0" collapsed="false">
      <c r="B8" s="2" t="s">
        <v>179</v>
      </c>
      <c r="C8" s="21" t="n">
        <f aca="false">C5+C6+C7</f>
        <v>0</v>
      </c>
      <c r="D8" s="21" t="n">
        <f aca="false">D5+D6+D7</f>
        <v>0</v>
      </c>
      <c r="E8" s="21" t="n">
        <f aca="false">E5+E6+E7</f>
        <v>0</v>
      </c>
      <c r="F8" s="21" t="n">
        <f aca="false">F5+F6+F7</f>
        <v>0</v>
      </c>
      <c r="G8" s="21" t="n">
        <f aca="false">G5+G6+G7</f>
        <v>0</v>
      </c>
    </row>
    <row r="9" customFormat="false" ht="15" hidden="false" customHeight="false" outlineLevel="0" collapsed="false">
      <c r="B9" s="5" t="s">
        <v>180</v>
      </c>
      <c r="C9" s="21"/>
      <c r="D9" s="21"/>
      <c r="E9" s="21"/>
      <c r="F9" s="21"/>
      <c r="G9" s="21"/>
    </row>
    <row r="10" customFormat="false" ht="15" hidden="false" customHeight="false" outlineLevel="0" collapsed="false">
      <c r="B10" s="2" t="s">
        <v>181</v>
      </c>
      <c r="C10" s="21" t="n">
        <f aca="false">C8+C9</f>
        <v>0</v>
      </c>
      <c r="D10" s="21" t="n">
        <f aca="false">D8+D9</f>
        <v>0</v>
      </c>
      <c r="E10" s="21" t="n">
        <f aca="false">E8+E9</f>
        <v>0</v>
      </c>
      <c r="F10" s="21" t="n">
        <f aca="false">F8+F9</f>
        <v>0</v>
      </c>
      <c r="G10" s="21" t="n">
        <f aca="false">G8+G9</f>
        <v>0</v>
      </c>
    </row>
    <row r="11" customFormat="false" ht="15" hidden="false" customHeight="false" outlineLevel="0" collapsed="false">
      <c r="B11" s="5" t="s">
        <v>182</v>
      </c>
      <c r="C11" s="21"/>
      <c r="D11" s="21"/>
      <c r="E11" s="21"/>
      <c r="F11" s="21"/>
      <c r="G11" s="21"/>
    </row>
    <row r="12" customFormat="false" ht="15" hidden="false" customHeight="false" outlineLevel="0" collapsed="false">
      <c r="B12" s="5" t="s">
        <v>183</v>
      </c>
      <c r="C12" s="21"/>
      <c r="D12" s="21"/>
      <c r="E12" s="21"/>
      <c r="F12" s="21"/>
      <c r="G12" s="21"/>
    </row>
    <row r="13" customFormat="false" ht="15" hidden="false" customHeight="false" outlineLevel="0" collapsed="false">
      <c r="B13" s="5" t="s">
        <v>184</v>
      </c>
      <c r="C13" s="21" t="n">
        <f aca="false">C10+C11+C12</f>
        <v>0</v>
      </c>
      <c r="D13" s="21" t="n">
        <f aca="false">D10+D11+D12</f>
        <v>0</v>
      </c>
      <c r="E13" s="21" t="n">
        <f aca="false">E10+E11+E12</f>
        <v>0</v>
      </c>
      <c r="F13" s="21" t="n">
        <f aca="false">F10+F11+F12</f>
        <v>0</v>
      </c>
      <c r="G13" s="21" t="n">
        <f aca="false">G10+G11+G12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3"/>
    <col collapsed="false" customWidth="true" hidden="false" outlineLevel="0" max="8" min="8" style="0" width="4"/>
    <col collapsed="false" customWidth="true" hidden="false" outlineLevel="0" max="9" min="9" style="0" width="22"/>
    <col collapsed="false" customWidth="true" hidden="false" outlineLevel="0" max="10" min="10" style="0" width="14"/>
  </cols>
  <sheetData>
    <row r="2" customFormat="false" ht="19.7" hidden="false" customHeight="false" outlineLevel="0" collapsed="false">
      <c r="B2" s="1" t="s">
        <v>185</v>
      </c>
    </row>
    <row r="4" customFormat="false" ht="15" hidden="false" customHeight="false" outlineLevel="0" collapsed="false">
      <c r="C4" s="15" t="s">
        <v>143</v>
      </c>
      <c r="D4" s="15" t="s">
        <v>144</v>
      </c>
      <c r="E4" s="15" t="s">
        <v>145</v>
      </c>
      <c r="F4" s="15" t="s">
        <v>146</v>
      </c>
      <c r="G4" s="15" t="s">
        <v>186</v>
      </c>
      <c r="H4" s="2" t="s">
        <v>187</v>
      </c>
    </row>
    <row r="5" customFormat="false" ht="15" hidden="false" customHeight="false" outlineLevel="0" collapsed="false">
      <c r="B5" s="0" t="s">
        <v>188</v>
      </c>
      <c r="C5" s="26" t="n">
        <f aca="false">IS!F14*(1-Assumptions!C8)+IS!F13-IS!F5*Assumptions!C10</f>
        <v>0</v>
      </c>
      <c r="D5" s="26" t="n">
        <f aca="false">IS!G14*(1-Assumptions!D8)+IS!G13-IS!G5*Assumptions!D10</f>
        <v>0</v>
      </c>
      <c r="E5" s="26" t="n">
        <f aca="false">IS!H14*(1-Assumptions!E8)+IS!H13-IS!H5*Assumptions!E10</f>
        <v>0</v>
      </c>
      <c r="F5" s="26" t="n">
        <f aca="false">IS!I14*(1-Assumptions!F8)+IS!I13-IS!I5*Assumptions!F10</f>
        <v>0</v>
      </c>
      <c r="G5" s="26" t="n">
        <f aca="false">F5*(1+Assumptions!G5)</f>
        <v>0</v>
      </c>
      <c r="H5" s="0" t="s">
        <v>189</v>
      </c>
      <c r="I5" s="27" t="n">
        <v>0.1</v>
      </c>
    </row>
    <row r="6" customFormat="false" ht="15" hidden="false" customHeight="false" outlineLevel="0" collapsed="false">
      <c r="B6" s="0" t="s">
        <v>190</v>
      </c>
      <c r="C6" s="28" t="n">
        <f aca="false">1/(1+$I$5)^(1)</f>
        <v>0.909090909090909</v>
      </c>
      <c r="D6" s="28" t="n">
        <f aca="false">1/(1+$I$5)^(2)</f>
        <v>0.826446280991735</v>
      </c>
      <c r="E6" s="28" t="n">
        <f aca="false">1/(1+$I$5)^(3)</f>
        <v>0.751314800901578</v>
      </c>
      <c r="F6" s="28" t="n">
        <f aca="false">1/(1+$I$5)^(4)</f>
        <v>0.683013455365071</v>
      </c>
      <c r="G6" s="28" t="n">
        <f aca="false">1/(1+$I$5)^(5)</f>
        <v>0.620921323059155</v>
      </c>
      <c r="H6" s="0" t="s">
        <v>191</v>
      </c>
      <c r="I6" s="27" t="n">
        <v>0.025</v>
      </c>
    </row>
    <row r="7" customFormat="false" ht="15" hidden="false" customHeight="false" outlineLevel="0" collapsed="false">
      <c r="B7" s="0" t="s">
        <v>192</v>
      </c>
      <c r="C7" s="29" t="n">
        <f aca="false">C5*C6</f>
        <v>0</v>
      </c>
      <c r="D7" s="29" t="n">
        <f aca="false">D5*D6</f>
        <v>0</v>
      </c>
      <c r="E7" s="29" t="n">
        <f aca="false">E5*E6</f>
        <v>0</v>
      </c>
      <c r="F7" s="29" t="n">
        <f aca="false">F5*F6</f>
        <v>0</v>
      </c>
      <c r="G7" s="29" t="n">
        <f aca="false">G5*G6</f>
        <v>0</v>
      </c>
      <c r="H7" s="0" t="s">
        <v>193</v>
      </c>
      <c r="I7" s="29" t="n">
        <f aca="false">G5*(1+I6)/(I5-I6)</f>
        <v>0</v>
      </c>
    </row>
    <row r="8" customFormat="false" ht="15" hidden="false" customHeight="false" outlineLevel="0" collapsed="false">
      <c r="H8" s="0" t="s">
        <v>194</v>
      </c>
      <c r="I8" s="29" t="n">
        <f aca="false">I7*G6</f>
        <v>0</v>
      </c>
    </row>
    <row r="9" customFormat="false" ht="15" hidden="false" customHeight="false" outlineLevel="0" collapsed="false">
      <c r="H9" s="0" t="s">
        <v>195</v>
      </c>
      <c r="I9" s="29" t="n">
        <f aca="false">SUM(C7:G7)</f>
        <v>0</v>
      </c>
    </row>
    <row r="10" customFormat="false" ht="15" hidden="false" customHeight="false" outlineLevel="0" collapsed="false">
      <c r="H10" s="0" t="s">
        <v>196</v>
      </c>
      <c r="I10" s="30" t="n">
        <f aca="false">I8+I9</f>
        <v>0</v>
      </c>
    </row>
    <row r="11" customFormat="false" ht="15" hidden="false" customHeight="false" outlineLevel="0" collapsed="false">
      <c r="H11" s="0" t="s">
        <v>197</v>
      </c>
      <c r="I11" s="31" t="n">
        <v>0</v>
      </c>
    </row>
    <row r="12" customFormat="false" ht="15" hidden="false" customHeight="false" outlineLevel="0" collapsed="false">
      <c r="H12" s="0" t="s">
        <v>198</v>
      </c>
      <c r="I12" s="30" t="n">
        <f aca="false">I10-I11</f>
        <v>0</v>
      </c>
    </row>
    <row r="13" customFormat="false" ht="15" hidden="false" customHeight="false" outlineLevel="0" collapsed="false">
      <c r="H13" s="0" t="s">
        <v>199</v>
      </c>
      <c r="I13" s="31" t="n">
        <v>1</v>
      </c>
    </row>
    <row r="14" customFormat="false" ht="15" hidden="false" customHeight="false" outlineLevel="0" collapsed="false">
      <c r="H14" s="0" t="s">
        <v>200</v>
      </c>
      <c r="I14" s="30" t="str">
        <f aca="false">IF(OR(IS!E5="",IS!E5=0),"n/a - no forecast base",I12/I13)</f>
        <v>n/a - no forecast base</v>
      </c>
    </row>
    <row r="15" customFormat="false" ht="15" hidden="false" customHeight="false" outlineLevel="0" collapsed="false">
      <c r="H15" s="0" t="s">
        <v>201</v>
      </c>
      <c r="I15" s="2" t="str">
        <f aca="false">IF(OR(IS!E5="",IS!E5=0),"MISSING - the DCF cannot value anything","present")</f>
        <v>MISSING - the DCF cannot value anything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8" min="3" style="0" width="12"/>
  </cols>
  <sheetData>
    <row r="2" customFormat="false" ht="19.7" hidden="false" customHeight="false" outlineLevel="0" collapsed="false">
      <c r="B2" s="1" t="s">
        <v>202</v>
      </c>
    </row>
    <row r="4" customFormat="false" ht="15" hidden="false" customHeight="false" outlineLevel="0" collapsed="false">
      <c r="A4" s="15"/>
      <c r="B4" s="15" t="s">
        <v>203</v>
      </c>
      <c r="C4" s="15" t="s">
        <v>204</v>
      </c>
      <c r="D4" s="15" t="s">
        <v>205</v>
      </c>
      <c r="E4" s="15" t="s">
        <v>206</v>
      </c>
      <c r="F4" s="15" t="s">
        <v>207</v>
      </c>
      <c r="G4" s="15" t="s">
        <v>208</v>
      </c>
      <c r="H4" s="15" t="s">
        <v>209</v>
      </c>
    </row>
    <row r="5" customFormat="false" ht="15" hidden="false" customHeight="false" outlineLevel="0" collapsed="false">
      <c r="B5" s="3" t="s">
        <v>210</v>
      </c>
      <c r="C5" s="19" t="n">
        <v>0</v>
      </c>
      <c r="D5" s="19" t="n">
        <v>0</v>
      </c>
      <c r="E5" s="19" t="n">
        <v>0</v>
      </c>
      <c r="F5" s="32" t="n">
        <v>0</v>
      </c>
      <c r="G5" s="32" t="n">
        <v>0</v>
      </c>
      <c r="H5" s="32" t="n">
        <v>0</v>
      </c>
    </row>
    <row r="6" customFormat="false" ht="15" hidden="false" customHeight="false" outlineLevel="0" collapsed="false">
      <c r="B6" s="3" t="s">
        <v>210</v>
      </c>
      <c r="C6" s="19" t="n">
        <v>0</v>
      </c>
      <c r="D6" s="19" t="n">
        <v>0</v>
      </c>
      <c r="E6" s="19" t="n">
        <v>0</v>
      </c>
      <c r="F6" s="32" t="n">
        <v>0</v>
      </c>
      <c r="G6" s="32" t="n">
        <v>0</v>
      </c>
      <c r="H6" s="32" t="n">
        <v>0</v>
      </c>
    </row>
    <row r="7" customFormat="false" ht="15" hidden="false" customHeight="false" outlineLevel="0" collapsed="false">
      <c r="B7" s="3" t="s">
        <v>210</v>
      </c>
      <c r="C7" s="19" t="n">
        <v>0</v>
      </c>
      <c r="D7" s="19" t="n">
        <v>0</v>
      </c>
      <c r="E7" s="19" t="n">
        <v>0</v>
      </c>
      <c r="F7" s="32" t="n">
        <v>0</v>
      </c>
      <c r="G7" s="32" t="n">
        <v>0</v>
      </c>
      <c r="H7" s="32" t="n">
        <v>0</v>
      </c>
    </row>
    <row r="8" customFormat="false" ht="15" hidden="false" customHeight="false" outlineLevel="0" collapsed="false">
      <c r="B8" s="3" t="s">
        <v>210</v>
      </c>
      <c r="C8" s="19" t="n">
        <v>0</v>
      </c>
      <c r="D8" s="19" t="n">
        <v>0</v>
      </c>
      <c r="E8" s="19" t="n">
        <v>0</v>
      </c>
      <c r="F8" s="32" t="n">
        <v>0</v>
      </c>
      <c r="G8" s="32" t="n">
        <v>0</v>
      </c>
      <c r="H8" s="32" t="n">
        <v>0</v>
      </c>
    </row>
    <row r="9" customFormat="false" ht="15" hidden="false" customHeight="false" outlineLevel="0" collapsed="false">
      <c r="B9" s="3" t="s">
        <v>210</v>
      </c>
      <c r="C9" s="19" t="n">
        <v>0</v>
      </c>
      <c r="D9" s="19" t="n">
        <v>0</v>
      </c>
      <c r="E9" s="19" t="n">
        <v>0</v>
      </c>
      <c r="F9" s="32" t="n">
        <v>0</v>
      </c>
      <c r="G9" s="32" t="n">
        <v>0</v>
      </c>
      <c r="H9" s="32" t="n">
        <v>0</v>
      </c>
    </row>
    <row r="10" customFormat="false" ht="15" hidden="false" customHeight="false" outlineLevel="0" collapsed="false">
      <c r="B10" s="3" t="s">
        <v>210</v>
      </c>
      <c r="C10" s="19" t="n">
        <v>0</v>
      </c>
      <c r="D10" s="19" t="n">
        <v>0</v>
      </c>
      <c r="E10" s="19" t="n">
        <v>0</v>
      </c>
      <c r="F10" s="32" t="n">
        <v>0</v>
      </c>
      <c r="G10" s="32" t="n">
        <v>0</v>
      </c>
      <c r="H10" s="32" t="n">
        <v>0</v>
      </c>
    </row>
    <row r="11" customFormat="false" ht="15" hidden="false" customHeight="false" outlineLevel="0" collapsed="false">
      <c r="B11" s="3" t="s">
        <v>210</v>
      </c>
      <c r="C11" s="19" t="n">
        <v>0</v>
      </c>
      <c r="D11" s="19" t="n">
        <v>0</v>
      </c>
      <c r="E11" s="19" t="n">
        <v>0</v>
      </c>
      <c r="F11" s="32" t="n">
        <v>0</v>
      </c>
      <c r="G11" s="32" t="n">
        <v>0</v>
      </c>
      <c r="H11" s="32" t="n">
        <v>0</v>
      </c>
    </row>
    <row r="13" customFormat="false" ht="15" hidden="false" customHeight="false" outlineLevel="0" collapsed="false">
      <c r="B13" s="2" t="s">
        <v>211</v>
      </c>
      <c r="C13" s="30" t="n">
        <f aca="false">MEDIAN(C5:C12)</f>
        <v>0</v>
      </c>
      <c r="D13" s="30" t="n">
        <f aca="false">MEDIAN(D5:D12)</f>
        <v>0</v>
      </c>
      <c r="E13" s="30" t="n">
        <f aca="false">MEDIAN(E5:E12)</f>
        <v>0</v>
      </c>
      <c r="F13" s="33" t="n">
        <f aca="false">MEDIAN(F5:F12)</f>
        <v>0</v>
      </c>
      <c r="G13" s="33" t="n">
        <f aca="false">MEDIAN(G5:G12)</f>
        <v>0</v>
      </c>
      <c r="H13" s="33" t="n">
        <f aca="false">MEDIAN(H5:H12)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8" min="3" style="0" width="12"/>
  </cols>
  <sheetData>
    <row r="2" customFormat="false" ht="19.7" hidden="false" customHeight="false" outlineLevel="0" collapsed="false">
      <c r="B2" s="1" t="s">
        <v>212</v>
      </c>
    </row>
    <row r="4" customFormat="false" ht="15" hidden="false" customHeight="false" outlineLevel="0" collapsed="false">
      <c r="B4" s="34" t="s">
        <v>213</v>
      </c>
      <c r="C4" s="35" t="n">
        <v>0.015</v>
      </c>
      <c r="D4" s="35" t="n">
        <v>0.02</v>
      </c>
      <c r="E4" s="35" t="n">
        <v>0.025</v>
      </c>
      <c r="F4" s="35" t="n">
        <v>0.03</v>
      </c>
      <c r="G4" s="35" t="n">
        <v>0.035</v>
      </c>
    </row>
    <row r="5" customFormat="false" ht="15" hidden="false" customHeight="false" outlineLevel="0" collapsed="false">
      <c r="B5" s="35" t="n">
        <v>0.08</v>
      </c>
      <c r="C5" s="23" t="s">
        <v>214</v>
      </c>
      <c r="D5" s="23" t="s">
        <v>214</v>
      </c>
      <c r="E5" s="23" t="s">
        <v>214</v>
      </c>
      <c r="F5" s="23" t="s">
        <v>214</v>
      </c>
      <c r="G5" s="23" t="s">
        <v>214</v>
      </c>
    </row>
    <row r="6" customFormat="false" ht="15" hidden="false" customHeight="false" outlineLevel="0" collapsed="false">
      <c r="B6" s="35" t="n">
        <v>0.09</v>
      </c>
      <c r="C6" s="23" t="s">
        <v>214</v>
      </c>
      <c r="D6" s="23" t="s">
        <v>214</v>
      </c>
      <c r="E6" s="23" t="s">
        <v>214</v>
      </c>
      <c r="F6" s="23" t="s">
        <v>214</v>
      </c>
      <c r="G6" s="23" t="s">
        <v>214</v>
      </c>
    </row>
    <row r="7" customFormat="false" ht="15" hidden="false" customHeight="false" outlineLevel="0" collapsed="false">
      <c r="B7" s="35" t="n">
        <v>0.1</v>
      </c>
      <c r="C7" s="23" t="s">
        <v>214</v>
      </c>
      <c r="D7" s="23" t="s">
        <v>214</v>
      </c>
      <c r="E7" s="23" t="s">
        <v>214</v>
      </c>
      <c r="F7" s="23" t="s">
        <v>214</v>
      </c>
      <c r="G7" s="23" t="s">
        <v>214</v>
      </c>
    </row>
    <row r="8" customFormat="false" ht="15" hidden="false" customHeight="false" outlineLevel="0" collapsed="false">
      <c r="B8" s="35" t="n">
        <v>0.11</v>
      </c>
      <c r="C8" s="23" t="s">
        <v>214</v>
      </c>
      <c r="D8" s="23" t="s">
        <v>214</v>
      </c>
      <c r="E8" s="23" t="s">
        <v>214</v>
      </c>
      <c r="F8" s="23" t="s">
        <v>214</v>
      </c>
      <c r="G8" s="23" t="s">
        <v>214</v>
      </c>
    </row>
    <row r="9" customFormat="false" ht="15" hidden="false" customHeight="false" outlineLevel="0" collapsed="false">
      <c r="B9" s="35" t="n">
        <v>0.12</v>
      </c>
      <c r="C9" s="23" t="s">
        <v>214</v>
      </c>
      <c r="D9" s="23" t="s">
        <v>214</v>
      </c>
      <c r="E9" s="23" t="s">
        <v>214</v>
      </c>
      <c r="F9" s="23" t="s">
        <v>214</v>
      </c>
      <c r="G9" s="23" t="s">
        <v>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30"/>
    <col collapsed="false" customWidth="true" hidden="false" outlineLevel="0" max="6" min="6" style="0" width="16"/>
  </cols>
  <sheetData>
    <row r="2" customFormat="false" ht="19.7" hidden="false" customHeight="false" outlineLevel="0" collapsed="false">
      <c r="B2" s="1" t="s">
        <v>215</v>
      </c>
    </row>
    <row r="4" customFormat="false" ht="15" hidden="false" customHeight="false" outlineLevel="0" collapsed="false">
      <c r="A4" s="15"/>
      <c r="B4" s="15" t="s">
        <v>91</v>
      </c>
      <c r="C4" s="15" t="s">
        <v>216</v>
      </c>
      <c r="D4" s="15" t="s">
        <v>217</v>
      </c>
      <c r="E4" s="15" t="s">
        <v>218</v>
      </c>
      <c r="F4" s="15" t="s">
        <v>219</v>
      </c>
    </row>
    <row r="5" customFormat="false" ht="15" hidden="false" customHeight="false" outlineLevel="0" collapsed="false">
      <c r="B5" s="36" t="s">
        <v>220</v>
      </c>
      <c r="C5" s="36" t="s">
        <v>221</v>
      </c>
      <c r="D5" s="36" t="s">
        <v>222</v>
      </c>
      <c r="E5" s="36" t="s">
        <v>223</v>
      </c>
      <c r="F5" s="36" t="s">
        <v>224</v>
      </c>
    </row>
    <row r="6" customFormat="false" ht="15" hidden="false" customHeight="false" outlineLevel="0" collapsed="false">
      <c r="B6" s="36"/>
      <c r="C6" s="36"/>
      <c r="D6" s="36"/>
      <c r="E6" s="36"/>
      <c r="F6" s="36"/>
    </row>
    <row r="7" customFormat="false" ht="15" hidden="false" customHeight="false" outlineLevel="0" collapsed="false">
      <c r="B7" s="36"/>
      <c r="C7" s="36"/>
      <c r="D7" s="36"/>
      <c r="E7" s="36"/>
      <c r="F7" s="36"/>
    </row>
    <row r="8" customFormat="false" ht="15" hidden="false" customHeight="false" outlineLevel="0" collapsed="false">
      <c r="B8" s="36"/>
      <c r="C8" s="36"/>
      <c r="D8" s="36"/>
      <c r="E8" s="36"/>
      <c r="F8" s="36"/>
    </row>
    <row r="9" customFormat="false" ht="15" hidden="false" customHeight="false" outlineLevel="0" collapsed="false">
      <c r="B9" s="36"/>
      <c r="C9" s="36"/>
      <c r="D9" s="36"/>
      <c r="E9" s="36"/>
      <c r="F9" s="36"/>
    </row>
    <row r="10" customFormat="false" ht="15" hidden="false" customHeight="false" outlineLevel="0" collapsed="false">
      <c r="B10" s="36"/>
      <c r="C10" s="36"/>
      <c r="D10" s="36"/>
      <c r="E10" s="36"/>
      <c r="F10" s="36"/>
    </row>
    <row r="11" customFormat="false" ht="15" hidden="false" customHeight="false" outlineLevel="0" collapsed="false">
      <c r="B11" s="36"/>
      <c r="C11" s="36"/>
      <c r="D11" s="36"/>
      <c r="E11" s="36"/>
      <c r="F11" s="36"/>
    </row>
    <row r="12" customFormat="false" ht="15" hidden="false" customHeight="false" outlineLevel="0" collapsed="false">
      <c r="B12" s="36"/>
      <c r="C12" s="36"/>
      <c r="D12" s="36"/>
      <c r="E12" s="36"/>
      <c r="F12" s="36"/>
    </row>
    <row r="13" customFormat="false" ht="15" hidden="false" customHeight="false" outlineLevel="0" collapsed="false">
      <c r="B13" s="36"/>
      <c r="C13" s="36"/>
      <c r="D13" s="36"/>
      <c r="E13" s="36"/>
      <c r="F13" s="36"/>
    </row>
    <row r="14" customFormat="false" ht="15" hidden="false" customHeight="false" outlineLevel="0" collapsed="false">
      <c r="B14" s="36"/>
      <c r="C14" s="36"/>
      <c r="D14" s="36"/>
      <c r="E14" s="36"/>
      <c r="F14" s="3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44"/>
  </cols>
  <sheetData>
    <row r="2" customFormat="false" ht="19.7" hidden="false" customHeight="false" outlineLevel="0" collapsed="false">
      <c r="B2" s="1" t="s">
        <v>225</v>
      </c>
    </row>
    <row r="4" customFormat="false" ht="15" hidden="false" customHeight="false" outlineLevel="0" collapsed="false">
      <c r="B4" s="15" t="s">
        <v>226</v>
      </c>
      <c r="C4" s="15" t="s">
        <v>227</v>
      </c>
      <c r="D4" s="15" t="s">
        <v>228</v>
      </c>
      <c r="E4" s="15" t="s">
        <v>229</v>
      </c>
    </row>
    <row r="5" customFormat="false" ht="15" hidden="false" customHeight="false" outlineLevel="0" collapsed="false">
      <c r="B5" s="0" t="s">
        <v>196</v>
      </c>
      <c r="C5" s="20" t="n">
        <v>26200</v>
      </c>
      <c r="D5" s="20" t="n">
        <v>26200</v>
      </c>
      <c r="E5" s="0" t="s">
        <v>230</v>
      </c>
    </row>
    <row r="6" customFormat="false" ht="15" hidden="false" customHeight="false" outlineLevel="0" collapsed="false">
      <c r="B6" s="0" t="s">
        <v>231</v>
      </c>
      <c r="C6" s="20" t="n">
        <v>200</v>
      </c>
      <c r="D6" s="20" t="n">
        <v>200</v>
      </c>
      <c r="E6" s="0" t="s">
        <v>232</v>
      </c>
    </row>
    <row r="7" customFormat="false" ht="15" hidden="false" customHeight="false" outlineLevel="0" collapsed="false">
      <c r="B7" s="0" t="s">
        <v>233</v>
      </c>
      <c r="C7" s="20" t="n">
        <v>100</v>
      </c>
      <c r="D7" s="20" t="n">
        <v>100</v>
      </c>
      <c r="E7" s="0" t="s">
        <v>234</v>
      </c>
    </row>
    <row r="8" customFormat="false" ht="15" hidden="false" customHeight="false" outlineLevel="0" collapsed="false">
      <c r="B8" s="0" t="s">
        <v>159</v>
      </c>
      <c r="C8" s="37" t="n">
        <v>133.673469</v>
      </c>
      <c r="D8" s="37" t="n">
        <v>133.673469</v>
      </c>
      <c r="E8" s="0" t="s">
        <v>235</v>
      </c>
    </row>
    <row r="9" customFormat="false" ht="15" hidden="false" customHeight="false" outlineLevel="0" collapsed="false">
      <c r="B9" s="0" t="s">
        <v>236</v>
      </c>
      <c r="C9" s="20" t="n">
        <v>196</v>
      </c>
      <c r="D9" s="20" t="n">
        <v>196</v>
      </c>
      <c r="E9" s="0" t="s">
        <v>237</v>
      </c>
    </row>
    <row r="10" customFormat="false" ht="15" hidden="false" customHeight="false" outlineLevel="0" collapsed="false">
      <c r="B10" s="0" t="s">
        <v>238</v>
      </c>
      <c r="C10" s="16" t="n">
        <v>0.09</v>
      </c>
      <c r="D10" s="16" t="n">
        <v>0.09</v>
      </c>
      <c r="E10" s="0" t="s">
        <v>239</v>
      </c>
    </row>
    <row r="11" customFormat="false" ht="15" hidden="false" customHeight="false" outlineLevel="0" collapsed="false">
      <c r="B11" s="0" t="s">
        <v>191</v>
      </c>
      <c r="C11" s="16" t="n">
        <v>0.025</v>
      </c>
      <c r="D11" s="16" t="n">
        <v>0.025</v>
      </c>
      <c r="E11" s="0" t="s">
        <v>240</v>
      </c>
    </row>
    <row r="12" customFormat="false" ht="15" hidden="false" customHeight="false" outlineLevel="0" collapsed="false">
      <c r="B12" s="0" t="s">
        <v>241</v>
      </c>
      <c r="C12" s="20" t="n">
        <v>70</v>
      </c>
      <c r="D12" s="20" t="n">
        <v>70</v>
      </c>
      <c r="E12" s="0" t="s">
        <v>242</v>
      </c>
    </row>
    <row r="13" customFormat="false" ht="15" hidden="false" customHeight="false" outlineLevel="0" collapsed="false">
      <c r="B13" s="0" t="s">
        <v>243</v>
      </c>
      <c r="C13" s="20" t="n">
        <v>75</v>
      </c>
      <c r="D13" s="20" t="n">
        <v>65</v>
      </c>
      <c r="E13" s="0" t="s">
        <v>242</v>
      </c>
    </row>
    <row r="14" customFormat="false" ht="15" hidden="false" customHeight="false" outlineLevel="0" collapsed="false">
      <c r="B14" s="0" t="s">
        <v>244</v>
      </c>
      <c r="C14" s="20" t="n">
        <v>80</v>
      </c>
      <c r="D14" s="20" t="n">
        <v>60</v>
      </c>
      <c r="E14" s="0" t="s">
        <v>242</v>
      </c>
    </row>
    <row r="15" customFormat="false" ht="15" hidden="false" customHeight="false" outlineLevel="0" collapsed="false">
      <c r="B15" s="0" t="s">
        <v>245</v>
      </c>
      <c r="C15" s="20" t="n">
        <v>85</v>
      </c>
      <c r="D15" s="20" t="n">
        <v>55</v>
      </c>
      <c r="E15" s="0" t="s">
        <v>242</v>
      </c>
    </row>
    <row r="16" customFormat="false" ht="15" hidden="false" customHeight="false" outlineLevel="0" collapsed="false">
      <c r="B16" s="0" t="s">
        <v>246</v>
      </c>
      <c r="C16" s="20" t="n">
        <v>90</v>
      </c>
      <c r="D16" s="20" t="n">
        <v>50</v>
      </c>
      <c r="E16" s="0" t="s">
        <v>242</v>
      </c>
    </row>
    <row r="17" customFormat="false" ht="15" hidden="false" customHeight="false" outlineLevel="0" collapsed="false">
      <c r="B17" s="0" t="s">
        <v>247</v>
      </c>
      <c r="C17" s="16" t="n">
        <v>0.3</v>
      </c>
      <c r="D17" s="16" t="n">
        <v>0.3</v>
      </c>
      <c r="E17" s="0" t="s">
        <v>248</v>
      </c>
    </row>
    <row r="18" customFormat="false" ht="15" hidden="false" customHeight="false" outlineLevel="0" collapsed="false">
      <c r="B18" s="0" t="s">
        <v>249</v>
      </c>
      <c r="C18" s="16" t="n">
        <v>0.5</v>
      </c>
      <c r="D18" s="16" t="n">
        <v>0.5</v>
      </c>
      <c r="E18" s="0" t="s">
        <v>250</v>
      </c>
    </row>
    <row r="21" customFormat="false" ht="15" hidden="false" customHeight="false" outlineLevel="0" collapsed="false">
      <c r="B21" s="0" t="s">
        <v>198</v>
      </c>
      <c r="C21" s="24" t="n">
        <f aca="false">C5-C6+C7</f>
        <v>26100</v>
      </c>
      <c r="D21" s="24" t="n">
        <f aca="false">D5-D6+D7</f>
        <v>26100</v>
      </c>
    </row>
    <row r="22" customFormat="false" ht="15" hidden="false" customHeight="false" outlineLevel="0" collapsed="false">
      <c r="B22" s="0" t="s">
        <v>251</v>
      </c>
      <c r="C22" s="24" t="n">
        <f aca="false">IFERROR(C21/C8,0)</f>
        <v>195.251908963326</v>
      </c>
      <c r="D22" s="24" t="n">
        <f aca="false">IFERROR(D21/D8,0)</f>
        <v>195.251908963326</v>
      </c>
    </row>
    <row r="23" customFormat="false" ht="15" hidden="false" customHeight="false" outlineLevel="0" collapsed="false">
      <c r="B23" s="0" t="s">
        <v>252</v>
      </c>
      <c r="C23" s="38" t="n">
        <f aca="false">IFERROR(C9/C22-1,0)</f>
        <v>0.0038314147126437</v>
      </c>
      <c r="D23" s="38" t="n">
        <f aca="false">IFERROR(D9/D22-1,0)</f>
        <v>0.0038314147126437</v>
      </c>
    </row>
    <row r="24" customFormat="false" ht="15" hidden="false" customHeight="false" outlineLevel="0" collapsed="false">
      <c r="B24" s="0" t="s">
        <v>253</v>
      </c>
      <c r="C24" s="24" t="n">
        <f aca="false">C12/(1+C10)+C13/(1+C10)^2+C14/(1+C10)^3+C15/(1+C10)^4+C16/(1+C10)^5</f>
        <v>307.830829093508</v>
      </c>
      <c r="D24" s="24" t="n">
        <f aca="false">D12/(1+D10)+D13/(1+D10)^2+D14/(1+D10)^3+D15/(1+D10)^4+D16/(1+D10)^5</f>
        <v>236.720347775732</v>
      </c>
    </row>
    <row r="25" customFormat="false" ht="15" hidden="false" customHeight="false" outlineLevel="0" collapsed="false">
      <c r="B25" s="0" t="s">
        <v>193</v>
      </c>
      <c r="C25" s="24" t="n">
        <f aca="false">IF(C10&lt;=C11,"-",C16*(1+C11)/(C10-C11))</f>
        <v>1419.23076923077</v>
      </c>
      <c r="D25" s="24" t="n">
        <f aca="false">IF(D10&lt;=D11,"-",D16*(1+D11)/(D10-D11))</f>
        <v>788.461538461538</v>
      </c>
    </row>
    <row r="26" customFormat="false" ht="15" hidden="false" customHeight="false" outlineLevel="0" collapsed="false">
      <c r="B26" s="0" t="s">
        <v>194</v>
      </c>
      <c r="C26" s="24" t="n">
        <f aca="false">IF(ISNUMBER(C25),C25/(1+C10)^5,"-")</f>
        <v>922.402621323421</v>
      </c>
      <c r="D26" s="24" t="n">
        <f aca="false">IF(ISNUMBER(D25),D25/(1+D10)^5,"-")</f>
        <v>512.445900735234</v>
      </c>
    </row>
    <row r="27" customFormat="false" ht="15" hidden="false" customHeight="false" outlineLevel="0" collapsed="false">
      <c r="B27" s="0" t="s">
        <v>254</v>
      </c>
      <c r="C27" s="24" t="n">
        <f aca="false">IF(AND(ISNUMBER(C24),ISNUMBER(C26)),C24+C26,"-")</f>
        <v>1230.23345041693</v>
      </c>
      <c r="D27" s="24" t="n">
        <f aca="false">IF(AND(ISNUMBER(D24),ISNUMBER(D26)),D24+D26,"-")</f>
        <v>749.166248510966</v>
      </c>
    </row>
    <row r="28" customFormat="false" ht="15" hidden="false" customHeight="false" outlineLevel="0" collapsed="false">
      <c r="B28" s="0" t="s">
        <v>255</v>
      </c>
      <c r="C28" s="24" t="n">
        <f aca="false">IF(ISNUMBER(C27),C27-C6+C7,"-")</f>
        <v>1130.23345041693</v>
      </c>
      <c r="D28" s="24" t="n">
        <f aca="false">IF(ISNUMBER(D27),D27-D6+D7,"-")</f>
        <v>649.166248510966</v>
      </c>
    </row>
    <row r="29" customFormat="false" ht="15" hidden="false" customHeight="false" outlineLevel="0" collapsed="false">
      <c r="B29" s="0" t="s">
        <v>256</v>
      </c>
      <c r="C29" s="24" t="n">
        <f aca="false">IF(ISNUMBER(C28),C28/C8,"-")</f>
        <v>8.45518156199664</v>
      </c>
      <c r="D29" s="24" t="n">
        <f aca="false">IF(ISNUMBER(D28),D28/D8,"-")</f>
        <v>4.85635820905467</v>
      </c>
    </row>
    <row r="30" customFormat="false" ht="15" hidden="false" customHeight="false" outlineLevel="0" collapsed="false">
      <c r="B30" s="0" t="s">
        <v>257</v>
      </c>
      <c r="C30" s="38" t="n">
        <f aca="false">IF(ISNUMBER(C29),ABS(C29-C22)/MAX(ABS(C22),1),"-")</f>
        <v>0.956696036382493</v>
      </c>
      <c r="D30" s="38" t="n">
        <f aca="false">IF(ISNUMBER(D29),ABS(D29-D22)/MAX(ABS(D22),1),"-")</f>
        <v>0.975127729942109</v>
      </c>
    </row>
    <row r="32" customFormat="false" ht="15" hidden="false" customHeight="false" outlineLevel="0" collapsed="false">
      <c r="B32" s="23" t="s">
        <v>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44"/>
  </cols>
  <sheetData>
    <row r="2" customFormat="false" ht="19.7" hidden="false" customHeight="false" outlineLevel="0" collapsed="false">
      <c r="B2" s="1" t="s">
        <v>259</v>
      </c>
    </row>
    <row r="4" customFormat="false" ht="15" hidden="false" customHeight="false" outlineLevel="0" collapsed="false">
      <c r="B4" s="15" t="s">
        <v>226</v>
      </c>
      <c r="C4" s="15" t="s">
        <v>227</v>
      </c>
      <c r="D4" s="15" t="s">
        <v>228</v>
      </c>
      <c r="E4" s="15" t="s">
        <v>229</v>
      </c>
    </row>
    <row r="5" customFormat="false" ht="15" hidden="false" customHeight="false" outlineLevel="0" collapsed="false">
      <c r="B5" s="0" t="s">
        <v>260</v>
      </c>
      <c r="C5" s="20" t="n">
        <v>16800</v>
      </c>
      <c r="D5" s="20" t="n">
        <v>16800</v>
      </c>
    </row>
    <row r="6" customFormat="false" ht="15" hidden="false" customHeight="false" outlineLevel="0" collapsed="false">
      <c r="B6" s="0" t="s">
        <v>261</v>
      </c>
      <c r="C6" s="37" t="n">
        <v>8000</v>
      </c>
      <c r="D6" s="37" t="n">
        <v>8000</v>
      </c>
    </row>
    <row r="7" customFormat="false" ht="15" hidden="false" customHeight="false" outlineLevel="0" collapsed="false">
      <c r="B7" s="0" t="s">
        <v>262</v>
      </c>
      <c r="C7" s="20" t="n">
        <v>-164.8</v>
      </c>
      <c r="D7" s="20" t="n">
        <v>-164.8</v>
      </c>
    </row>
    <row r="8" customFormat="false" ht="15" hidden="false" customHeight="false" outlineLevel="0" collapsed="false">
      <c r="B8" s="0" t="s">
        <v>263</v>
      </c>
      <c r="C8" s="20" t="n">
        <v>0</v>
      </c>
      <c r="D8" s="20" t="n">
        <v>0</v>
      </c>
    </row>
    <row r="9" customFormat="false" ht="15" hidden="false" customHeight="false" outlineLevel="0" collapsed="false">
      <c r="B9" s="0" t="s">
        <v>264</v>
      </c>
      <c r="C9" s="20" t="n">
        <v>592.5</v>
      </c>
      <c r="D9" s="20" t="n">
        <v>592.5</v>
      </c>
    </row>
    <row r="10" customFormat="false" ht="15" hidden="false" customHeight="false" outlineLevel="0" collapsed="false">
      <c r="B10" s="0" t="s">
        <v>265</v>
      </c>
      <c r="C10" s="37" t="n">
        <v>0</v>
      </c>
      <c r="D10" s="37" t="n">
        <v>0</v>
      </c>
    </row>
    <row r="11" customFormat="false" ht="15" hidden="false" customHeight="false" outlineLevel="0" collapsed="false">
      <c r="B11" s="0" t="s">
        <v>266</v>
      </c>
      <c r="C11" s="16" t="n">
        <v>0</v>
      </c>
      <c r="D11" s="16" t="n">
        <v>0</v>
      </c>
    </row>
    <row r="14" customFormat="false" ht="15" hidden="false" customHeight="false" outlineLevel="0" collapsed="false">
      <c r="B14" s="0" t="s">
        <v>267</v>
      </c>
      <c r="C14" s="24" t="n">
        <f aca="false">IFERROR(C5/C6,0)</f>
        <v>2.1</v>
      </c>
      <c r="D14" s="24" t="n">
        <f aca="false">IFERROR(D5/D6,0)</f>
        <v>2.1</v>
      </c>
    </row>
    <row r="15" customFormat="false" ht="15" hidden="false" customHeight="false" outlineLevel="0" collapsed="false">
      <c r="B15" s="0" t="s">
        <v>268</v>
      </c>
      <c r="C15" s="24" t="n">
        <f aca="false">C5+C7+C8-C9</f>
        <v>16042.7</v>
      </c>
      <c r="D15" s="24" t="n">
        <f aca="false">D5+D7+D8-D9</f>
        <v>16042.7</v>
      </c>
    </row>
    <row r="16" customFormat="false" ht="15" hidden="false" customHeight="false" outlineLevel="0" collapsed="false">
      <c r="B16" s="0" t="s">
        <v>269</v>
      </c>
      <c r="C16" s="24" t="n">
        <f aca="false">C6+C10</f>
        <v>8000</v>
      </c>
      <c r="D16" s="24" t="n">
        <f aca="false">D6+D10</f>
        <v>8000</v>
      </c>
    </row>
    <row r="17" customFormat="false" ht="15" hidden="false" customHeight="false" outlineLevel="0" collapsed="false">
      <c r="B17" s="0" t="s">
        <v>270</v>
      </c>
      <c r="C17" s="24" t="n">
        <f aca="false">IFERROR(C15/C16,0)</f>
        <v>2.0053375</v>
      </c>
      <c r="D17" s="24" t="n">
        <f aca="false">IFERROR(D15/D16,0)</f>
        <v>2.0053375</v>
      </c>
    </row>
    <row r="18" customFormat="false" ht="15" hidden="false" customHeight="false" outlineLevel="0" collapsed="false">
      <c r="B18" s="0" t="s">
        <v>271</v>
      </c>
      <c r="C18" s="38" t="n">
        <f aca="false">IFERROR(C17/C14-1,0)</f>
        <v>-0.045077380952381</v>
      </c>
      <c r="D18" s="38" t="n">
        <f aca="false">IFERROR(D17/D14-1,0)</f>
        <v>-0.045077380952381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4" min="3" style="0" width="18"/>
    <col collapsed="false" customWidth="true" hidden="false" outlineLevel="0" max="5" min="5" style="0" width="48"/>
  </cols>
  <sheetData>
    <row r="2" customFormat="false" ht="19.7" hidden="false" customHeight="false" outlineLevel="0" collapsed="false">
      <c r="B2" s="1" t="s">
        <v>272</v>
      </c>
    </row>
    <row r="4" customFormat="false" ht="15" hidden="false" customHeight="false" outlineLevel="0" collapsed="false">
      <c r="B4" s="15" t="s">
        <v>273</v>
      </c>
      <c r="C4" s="15" t="s">
        <v>227</v>
      </c>
      <c r="D4" s="15" t="s">
        <v>228</v>
      </c>
      <c r="E4" s="15" t="s">
        <v>274</v>
      </c>
    </row>
    <row r="5" customFormat="false" ht="15" hidden="false" customHeight="false" outlineLevel="0" collapsed="false">
      <c r="B5" s="0" t="s">
        <v>275</v>
      </c>
      <c r="C5" s="24" t="n">
        <f aca="false">'Transaction Analysis'!C22</f>
        <v>195.251908963326</v>
      </c>
      <c r="D5" s="24" t="n">
        <f aca="false">'Transaction Analysis'!D22</f>
        <v>195.251908963326</v>
      </c>
      <c r="E5" s="0" t="s">
        <v>276</v>
      </c>
    </row>
    <row r="6" customFormat="false" ht="15" hidden="false" customHeight="false" outlineLevel="0" collapsed="false">
      <c r="B6" s="0" t="s">
        <v>256</v>
      </c>
      <c r="C6" s="24" t="n">
        <f aca="false">'Transaction Analysis'!C29</f>
        <v>8.45518156199664</v>
      </c>
      <c r="D6" s="24" t="n">
        <f aca="false">'Transaction Analysis'!D29</f>
        <v>4.85635820905467</v>
      </c>
      <c r="E6" s="0" t="s">
        <v>277</v>
      </c>
    </row>
    <row r="7" customFormat="false" ht="15" hidden="false" customHeight="false" outlineLevel="0" collapsed="false">
      <c r="B7" s="0" t="s">
        <v>236</v>
      </c>
      <c r="C7" s="24" t="n">
        <f aca="false">'Transaction Analysis'!C9</f>
        <v>196</v>
      </c>
      <c r="D7" s="24" t="n">
        <f aca="false">'Transaction Analysis'!D9</f>
        <v>196</v>
      </c>
      <c r="E7" s="0" t="s">
        <v>278</v>
      </c>
    </row>
    <row r="8" customFormat="false" ht="15" hidden="false" customHeight="false" outlineLevel="0" collapsed="false">
      <c r="B8" s="0" t="s">
        <v>271</v>
      </c>
      <c r="C8" s="38" t="n">
        <f aca="false">'Accretion Dilution'!C18</f>
        <v>-0.045077380952381</v>
      </c>
      <c r="D8" s="38" t="n">
        <f aca="false">'Accretion Dilution'!D18</f>
        <v>-0.045077380952381</v>
      </c>
      <c r="E8" s="0" t="s">
        <v>279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54"/>
  </cols>
  <sheetData>
    <row r="2" customFormat="false" ht="19.7" hidden="false" customHeight="false" outlineLevel="0" collapsed="false">
      <c r="B2" s="1" t="s">
        <v>280</v>
      </c>
    </row>
    <row r="4" customFormat="false" ht="15" hidden="false" customHeight="false" outlineLevel="0" collapsed="false">
      <c r="B4" s="15" t="s">
        <v>281</v>
      </c>
      <c r="C4" s="15" t="s">
        <v>226</v>
      </c>
      <c r="D4" s="15" t="s">
        <v>40</v>
      </c>
      <c r="E4" s="15" t="s">
        <v>282</v>
      </c>
    </row>
    <row r="5" customFormat="false" ht="15" hidden="false" customHeight="false" outlineLevel="0" collapsed="false">
      <c r="B5" s="0" t="s">
        <v>283</v>
      </c>
      <c r="C5" s="39" t="n">
        <f aca="false">'Transaction Analysis'!C5-'Transaction Analysis'!C6+'Transaction Analysis'!C7-'Transaction Analysis'!C21</f>
        <v>0</v>
      </c>
      <c r="D5" s="36" t="str">
        <f aca="false">IF(ABS(C5)&lt;0.01,"PASS","FAIL")</f>
        <v>PASS</v>
      </c>
      <c r="E5" s="0" t="s">
        <v>284</v>
      </c>
    </row>
    <row r="6" customFormat="false" ht="15" hidden="false" customHeight="false" outlineLevel="0" collapsed="false">
      <c r="B6" s="0" t="s">
        <v>285</v>
      </c>
      <c r="C6" s="39" t="n">
        <f aca="false">'Transaction Analysis'!C21-'Transaction Analysis'!C22*'Transaction Analysis'!C8</f>
        <v>0</v>
      </c>
      <c r="D6" s="36" t="str">
        <f aca="false">IF(ABS(C6)&lt;0.01,"PASS","FAIL")</f>
        <v>PASS</v>
      </c>
      <c r="E6" s="0" t="s">
        <v>286</v>
      </c>
    </row>
    <row r="7" customFormat="false" ht="15" hidden="false" customHeight="false" outlineLevel="0" collapsed="false">
      <c r="B7" s="0" t="s">
        <v>287</v>
      </c>
      <c r="C7" s="39" t="n">
        <f aca="false">'Transaction Analysis'!D10-'Transaction Analysis'!D11</f>
        <v>0.065</v>
      </c>
      <c r="D7" s="36" t="str">
        <f aca="false">IF(C7&gt;0,"PASS","BREACH")</f>
        <v>PASS</v>
      </c>
      <c r="E7" s="0" t="s">
        <v>288</v>
      </c>
    </row>
    <row r="8" customFormat="false" ht="15" hidden="false" customHeight="false" outlineLevel="0" collapsed="false">
      <c r="B8" s="0" t="s">
        <v>289</v>
      </c>
      <c r="C8" s="39" t="n">
        <f aca="false">'Transaction Analysis'!D23</f>
        <v>0.0038314147126437</v>
      </c>
      <c r="D8" s="36" t="str">
        <f aca="false">IF(C8&lt;='Transaction Analysis'!D17,"PASS","BREACH")</f>
        <v>PASS</v>
      </c>
      <c r="E8" s="0" t="s">
        <v>290</v>
      </c>
    </row>
    <row r="9" customFormat="false" ht="15" hidden="false" customHeight="false" outlineLevel="0" collapsed="false">
      <c r="B9" s="0" t="s">
        <v>291</v>
      </c>
      <c r="C9" s="39" t="n">
        <f aca="false">'Accretion Dilution'!D18</f>
        <v>-0.045077380952381</v>
      </c>
      <c r="D9" s="36" t="str">
        <f aca="false">IF(C9&gt;='Accretion Dilution'!D11,"PASS","BREACH")</f>
        <v>BREACH</v>
      </c>
      <c r="E9" s="0" t="s">
        <v>292</v>
      </c>
    </row>
    <row r="10" customFormat="false" ht="15" hidden="false" customHeight="false" outlineLevel="0" collapsed="false">
      <c r="B10" s="0" t="s">
        <v>293</v>
      </c>
      <c r="C10" s="39" t="n">
        <f aca="false">'Transaction Analysis'!D30</f>
        <v>0.975127729942109</v>
      </c>
      <c r="D10" s="36" t="str">
        <f aca="false">IF(AND(ISNUMBER(C10),C10&lt;='Transaction Analysis'!D18),"PASS","BREACH")</f>
        <v>BREACH</v>
      </c>
      <c r="E10" s="0" t="s">
        <v>294</v>
      </c>
    </row>
    <row r="12" customFormat="false" ht="15" hidden="false" customHeight="false" outlineLevel="0" collapsed="false">
      <c r="B12" s="2" t="s">
        <v>295</v>
      </c>
      <c r="C12" s="40" t="str">
        <f aca="false">IF(COUNTIF(D5:D10,"FAIL")+COUNTIF(D5:D10,"BREACH")&gt;0,"BREACH",IF(COUNTIF(D5:D10,"REVIEW")&gt;0,"REVIEW","PASS"))</f>
        <v>BREACH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2026-09-07T20:10:10Z</dcterms:created>
  <dc:creator>openpyxl</dc:creator>
  <dc:description/>
  <dc:language>en-US</dc:language>
  <cp:lastModifiedBy/>
  <dcterms:modified xsi:type="dcterms:W3CDTF">2026-09-07T20:11:08Z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