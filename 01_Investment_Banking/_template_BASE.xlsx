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IS" sheetId="6" state="visible" r:id="rId6"/>
    <sheet xmlns:r="http://schemas.openxmlformats.org/officeDocument/2006/relationships" name="BS" sheetId="7" state="visible" r:id="rId7"/>
    <sheet xmlns:r="http://schemas.openxmlformats.org/officeDocument/2006/relationships" name="CF" sheetId="8" state="visible" r:id="rId8"/>
    <sheet xmlns:r="http://schemas.openxmlformats.org/officeDocument/2006/relationships" name="DCF" sheetId="9" state="visible" r:id="rId9"/>
    <sheet xmlns:r="http://schemas.openxmlformats.org/officeDocument/2006/relationships" name="Comp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RefreshLog" sheetId="12" state="visible" r:id="rId12"/>
    <sheet xmlns:r="http://schemas.openxmlformats.org/officeDocument/2006/relationships" name="Transaction Analysis" sheetId="13" state="visible" r:id="rId13"/>
    <sheet xmlns:r="http://schemas.openxmlformats.org/officeDocument/2006/relationships" name="Accretion Dilution" sheetId="14" state="visible" r:id="rId14"/>
    <sheet xmlns:r="http://schemas.openxmlformats.org/officeDocument/2006/relationships" name="Valuation Reconciliation" sheetId="15" state="visible" r:id="rId15"/>
    <sheet xmlns:r="http://schemas.openxmlformats.org/officeDocument/2006/relationships" name="Decision &amp; Checks" sheetId="16" state="visible" r:id="rId16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0.0%;(0.0%);&quot;-&quot;"/>
    <numFmt numFmtId="165" formatCode="$#,##0;($#,##0);&quot;-&quot;"/>
    <numFmt numFmtId="166" formatCode="#,##0.0"/>
    <numFmt numFmtId="167" formatCode="0.000"/>
    <numFmt numFmtId="168" formatCode="0.0x"/>
    <numFmt numFmtId="169" formatCode="#,##0;(#,##0);&quot;-&quot;"/>
  </numFmts>
  <fonts count="12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i val="1"/>
      <color rgb="00808080"/>
      <sz val="9"/>
    </font>
    <font>
      <name val="Arial"/>
      <i val="1"/>
      <color rgb="00808080"/>
      <sz val="8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6" fillId="3" borderId="0" applyAlignment="1" pivotButton="0" quotePrefix="0" xfId="0">
      <alignment horizontal="center"/>
    </xf>
    <xf numFmtId="164" fontId="3" fillId="2" borderId="1" pivotButton="0" quotePrefix="0" xfId="0"/>
    <xf numFmtId="0" fontId="7" fillId="0" borderId="0" pivotButton="0" quotePrefix="0" xfId="0"/>
    <xf numFmtId="164" fontId="3" fillId="0" borderId="1" pivotButton="0" quotePrefix="0" xfId="0"/>
    <xf numFmtId="165" fontId="3" fillId="0" borderId="1" pivotButton="0" quotePrefix="0" xfId="0"/>
    <xf numFmtId="165" fontId="3" fillId="2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6" fontId="3" fillId="2" borderId="1" pivotButton="0" quotePrefix="0" xfId="0"/>
    <xf numFmtId="0" fontId="8" fillId="0" borderId="0" pivotButton="0" quotePrefix="0" xfId="0"/>
    <xf numFmtId="165" fontId="0" fillId="0" borderId="1" pivotButton="0" quotePrefix="0" xfId="0"/>
    <xf numFmtId="165" fontId="5" fillId="0" borderId="1" pivotButton="0" quotePrefix="0" xfId="0"/>
    <xf numFmtId="165" fontId="5" fillId="0" borderId="0" pivotButton="0" quotePrefix="0" xfId="0"/>
    <xf numFmtId="164" fontId="3" fillId="2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5" fontId="3" fillId="0" borderId="0" pivotButton="0" quotePrefix="0" xfId="0"/>
    <xf numFmtId="168" fontId="3" fillId="0" borderId="1" pivotButton="0" quotePrefix="0" xfId="0"/>
    <xf numFmtId="168" fontId="2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0" fillId="0" borderId="1" pivotButton="0" quotePrefix="0" xfId="0"/>
    <xf numFmtId="169" fontId="3" fillId="2" borderId="1" pivotButton="0" quotePrefix="0" xfId="0"/>
    <xf numFmtId="164" fontId="0" fillId="0" borderId="1" pivotButton="0" quotePrefix="0" xfId="0"/>
    <xf numFmtId="169" fontId="0" fillId="0" borderId="1" pivotButton="0" quotePrefix="0" xfId="0"/>
    <xf numFmtId="0" fontId="2" fillId="0" borderId="1" pivotButton="0" quotePrefix="0" xfId="0"/>
    <xf numFmtId="0" fontId="9" fillId="5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11" fillId="5" borderId="0" pivotButton="0" quotePrefix="0" xfId="0"/>
    <xf numFmtId="0" fontId="10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[TICKER] — Company Name</t>
        </is>
      </c>
    </row>
    <row r="4">
      <c r="B4" s="2" t="inlineStr">
        <is>
          <t>Sector:</t>
        </is>
      </c>
      <c r="C4" s="3" t="inlineStr">
        <is>
          <t>[fill in]</t>
        </is>
      </c>
    </row>
    <row r="5">
      <c r="B5" s="2" t="inlineStr">
        <is>
          <t>Coverage started:</t>
        </is>
      </c>
      <c r="C5" s="3" t="inlineStr">
        <is>
          <t>[date]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earnings date: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4" t="inlineStr">
        <is>
          <t>Weekly</t>
        </is>
      </c>
    </row>
    <row r="10">
      <c r="B10" s="2" t="inlineStr">
        <is>
          <t>Thesis (2-3 sentences):</t>
        </is>
      </c>
    </row>
    <row r="11">
      <c r="B11" s="3" t="inlineStr">
        <is>
          <t>[fill in]</t>
        </is>
      </c>
    </row>
    <row r="12"/>
    <row r="13"/>
    <row r="14"/>
    <row r="16">
      <c r="B16" s="2" t="inlineStr">
        <is>
          <t>COLOR LEGEND</t>
        </is>
      </c>
    </row>
    <row r="17">
      <c r="B17" s="3" t="inlineStr">
        <is>
          <t>Blue text</t>
        </is>
      </c>
      <c r="C17" s="4" t="inlineStr">
        <is>
          <t>Hardcoded input / scenario lever — edit freely</t>
        </is>
      </c>
    </row>
    <row r="18">
      <c r="B18" s="4" t="inlineStr">
        <is>
          <t>Black text</t>
        </is>
      </c>
      <c r="C18" s="4" t="inlineStr">
        <is>
          <t>Formula — do not overwrite</t>
        </is>
      </c>
    </row>
    <row r="19">
      <c r="B19" s="5" t="inlineStr">
        <is>
          <t>Green text</t>
        </is>
      </c>
      <c r="C19" s="4" t="inlineStr">
        <is>
          <t>Link to another sheet in this workbook</t>
        </is>
      </c>
    </row>
    <row r="20">
      <c r="B20" s="6" t="inlineStr">
        <is>
          <t>Yellow fill</t>
        </is>
      </c>
      <c r="C20" s="4" t="inlineStr">
        <is>
          <t>Key assumption — review every refresh</t>
        </is>
      </c>
    </row>
  </sheetData>
  <mergeCells count="1">
    <mergeCell ref="B11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4" t="inlineStr">
        <is>
          <t>Investment Banking — Institutional Decision Surface</t>
        </is>
      </c>
    </row>
    <row r="4">
      <c r="B4" s="35" t="inlineStr">
        <is>
          <t>Model ID</t>
        </is>
      </c>
      <c r="C4" s="36" t="inlineStr">
        <is>
          <t>01</t>
        </is>
      </c>
    </row>
    <row r="5">
      <c r="B5" s="35" t="inlineStr">
        <is>
          <t>Domain</t>
        </is>
      </c>
      <c r="C5" s="36" t="inlineStr">
        <is>
          <t>Investment Banking</t>
        </is>
      </c>
    </row>
    <row r="6">
      <c r="B6" s="35" t="inlineStr">
        <is>
          <t>Declared maturity</t>
        </is>
      </c>
      <c r="C6" s="36" t="inlineStr">
        <is>
          <t>M2</t>
        </is>
      </c>
    </row>
    <row r="7">
      <c r="B7" s="35" t="inlineStr">
        <is>
          <t>Canonical builder</t>
        </is>
      </c>
      <c r="C7" s="36" t="inlineStr">
        <is>
          <t>tools/builders/build_investment_banking_release.py</t>
        </is>
      </c>
    </row>
    <row r="8">
      <c r="B8" s="35" t="inlineStr">
        <is>
          <t>Decision arena</t>
        </is>
      </c>
      <c r="C8" s="36" t="inlineStr">
        <is>
          <t>board, special committee, fairness committee and sell-side deal team</t>
        </is>
      </c>
    </row>
    <row r="9">
      <c r="B9" s="35" t="inlineStr">
        <is>
          <t>Committee artifact</t>
        </is>
      </c>
      <c r="C9" s="36" t="inlineStr">
        <is>
          <t>board / fairness-book output pack</t>
        </is>
      </c>
    </row>
    <row r="10">
      <c r="B10" s="35" t="inlineStr">
        <is>
          <t>Operating cadence</t>
        </is>
      </c>
      <c r="C10" s="36" t="inlineStr">
        <is>
          <t>live deal: daily; watchlist: weekly</t>
        </is>
      </c>
    </row>
    <row r="12">
      <c r="B12" s="37" t="inlineStr">
        <is>
          <t>Key decision outputs</t>
        </is>
      </c>
    </row>
    <row r="13">
      <c r="B13" s="38" t="inlineStr">
        <is>
          <t>#</t>
        </is>
      </c>
      <c r="C13" s="38" t="inlineStr">
        <is>
          <t>Requirement</t>
        </is>
      </c>
      <c r="D13" s="38" t="inlineStr">
        <is>
          <t>Owner</t>
        </is>
      </c>
      <c r="E13" s="38" t="inlineStr">
        <is>
          <t>Evidence / location</t>
        </is>
      </c>
      <c r="F13" s="38" t="inlineStr">
        <is>
          <t>Status</t>
        </is>
      </c>
    </row>
    <row r="14">
      <c r="B14" t="n">
        <v>1</v>
      </c>
      <c r="C14" t="inlineStr">
        <is>
          <t>enterprise and equity value bridge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DCF and WACC range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trading and transaction multiple dispersion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7" t="inlineStr">
        <is>
          <t>Insider questions</t>
        </is>
      </c>
    </row>
    <row r="21">
      <c r="B21" s="38" t="inlineStr">
        <is>
          <t>#</t>
        </is>
      </c>
      <c r="C21" s="38" t="inlineStr">
        <is>
          <t>Requirement</t>
        </is>
      </c>
      <c r="D21" s="38" t="inlineStr">
        <is>
          <t>Owner</t>
        </is>
      </c>
      <c r="E21" s="38" t="inlineStr">
        <is>
          <t>Evidence / location</t>
        </is>
      </c>
      <c r="F21" s="38" t="inlineStr">
        <is>
          <t>Status</t>
        </is>
      </c>
    </row>
    <row r="22">
      <c r="B22" t="n">
        <v>1</v>
      </c>
      <c r="C22" t="inlineStr">
        <is>
          <t>What is the unaffected date and why?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bidders can actually finance at the headline price?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Where do QoE adjustments flow through EBITDA and debt capacity?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7" t="inlineStr">
        <is>
          <t>Scenario families</t>
        </is>
      </c>
    </row>
    <row r="29">
      <c r="B29" s="38" t="inlineStr">
        <is>
          <t>#</t>
        </is>
      </c>
      <c r="C29" s="38" t="inlineStr">
        <is>
          <t>Requirement</t>
        </is>
      </c>
      <c r="D29" s="38" t="inlineStr">
        <is>
          <t>Owner</t>
        </is>
      </c>
      <c r="E29" s="38" t="inlineStr">
        <is>
          <t>Evidence / location</t>
        </is>
      </c>
      <c r="F29" s="38" t="inlineStr">
        <is>
          <t>Status</t>
        </is>
      </c>
    </row>
    <row r="30">
      <c r="B30" t="n">
        <v>1</v>
      </c>
      <c r="C30" t="inlineStr">
        <is>
          <t>revenue/margin miss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WACC and terminal-value expansion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multiple compression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7" t="inlineStr">
        <is>
          <t>Primary diligence documents</t>
        </is>
      </c>
    </row>
    <row r="37">
      <c r="B37" s="38" t="inlineStr">
        <is>
          <t>#</t>
        </is>
      </c>
      <c r="C37" s="38" t="inlineStr">
        <is>
          <t>Requirement</t>
        </is>
      </c>
      <c r="D37" s="38" t="inlineStr">
        <is>
          <t>Owner</t>
        </is>
      </c>
      <c r="E37" s="38" t="inlineStr">
        <is>
          <t>Evidence / location</t>
        </is>
      </c>
      <c r="F37" s="38" t="inlineStr">
        <is>
          <t>Status</t>
        </is>
      </c>
    </row>
    <row r="38">
      <c r="B38" t="n">
        <v>1</v>
      </c>
      <c r="C38" t="inlineStr">
        <is>
          <t>quality of earnings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management projections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CIM and data-room index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7" t="inlineStr">
        <is>
          <t>Challenge tests</t>
        </is>
      </c>
    </row>
    <row r="45">
      <c r="B45" s="38" t="inlineStr">
        <is>
          <t>#</t>
        </is>
      </c>
      <c r="C45" s="38" t="inlineStr">
        <is>
          <t>Requirement</t>
        </is>
      </c>
      <c r="D45" s="38" t="inlineStr">
        <is>
          <t>Owner</t>
        </is>
      </c>
      <c r="E45" s="38" t="inlineStr">
        <is>
          <t>Evidence / location</t>
        </is>
      </c>
      <c r="F45" s="38" t="inlineStr">
        <is>
          <t>Status</t>
        </is>
      </c>
    </row>
    <row r="46">
      <c r="B46" t="n">
        <v>1</v>
      </c>
      <c r="C46" t="inlineStr">
        <is>
          <t>EV-to-equity bridge reconciles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DCF terminal value share bounded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comps screening is reproducible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7" t="inlineStr">
        <is>
          <t>Known failure modes</t>
        </is>
      </c>
    </row>
    <row r="53">
      <c r="B53" s="38" t="inlineStr">
        <is>
          <t>#</t>
        </is>
      </c>
      <c r="C53" s="38" t="inlineStr">
        <is>
          <t>Requirement</t>
        </is>
      </c>
      <c r="D53" s="38" t="inlineStr">
        <is>
          <t>Owner</t>
        </is>
      </c>
      <c r="E53" s="38" t="inlineStr">
        <is>
          <t>Evidence / location</t>
        </is>
      </c>
      <c r="F53" s="38" t="inlineStr">
        <is>
          <t>Status</t>
        </is>
      </c>
    </row>
    <row r="54">
      <c r="B54" t="n">
        <v>1</v>
      </c>
      <c r="C54" t="inlineStr">
        <is>
          <t>mixing announcement-date and unaffected-date prices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using seller projections without QoE challenge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double-counting synergies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7" t="inlineStr">
        <is>
          <t>Regulatory / methodological anchors</t>
        </is>
      </c>
    </row>
    <row r="61">
      <c r="B61" s="38" t="inlineStr">
        <is>
          <t>Standard</t>
        </is>
      </c>
      <c r="C61" s="38" t="inlineStr">
        <is>
          <t>Scope</t>
        </is>
      </c>
      <c r="D61" s="38" t="inlineStr">
        <is>
          <t>Source URL</t>
        </is>
      </c>
      <c r="E61" s="38" t="inlineStr">
        <is>
          <t>Applicability</t>
        </is>
      </c>
      <c r="F61" s="38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SEC Rule 2a-5</t>
        </is>
      </c>
      <c r="C63" t="inlineStr">
        <is>
          <t>fair-value governance and testing</t>
        </is>
      </c>
      <c r="D63" t="inlineStr">
        <is>
          <t>https://www.sec.gov/files/rules/final/2020/ic-34128.pdf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4" t="inlineStr">
        <is>
          <t>Independent Challenge, Override and Closure Log</t>
        </is>
      </c>
    </row>
    <row r="4">
      <c r="B4" s="38" t="inlineStr">
        <is>
          <t>Date</t>
        </is>
      </c>
      <c r="C4" s="38" t="inlineStr">
        <is>
          <t>Reviewer</t>
        </is>
      </c>
      <c r="D4" s="38" t="inlineStr">
        <is>
          <t>Challenge</t>
        </is>
      </c>
      <c r="E4" s="38" t="inlineStr">
        <is>
          <t>Owner response</t>
        </is>
      </c>
      <c r="F4" s="38" t="inlineStr">
        <is>
          <t>Evidence</t>
        </is>
      </c>
      <c r="G4" s="38" t="inlineStr">
        <is>
          <t>Impact</t>
        </is>
      </c>
      <c r="H4" s="38" t="inlineStr">
        <is>
          <t>Status</t>
        </is>
      </c>
      <c r="I4" s="38" t="inlineStr">
        <is>
          <t>Closure</t>
        </is>
      </c>
    </row>
    <row r="5">
      <c r="B5" t="inlineStr"/>
      <c r="C5" t="inlineStr"/>
      <c r="D5" t="inlineStr">
        <is>
          <t>EV-to-equity bridge reconciles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DCF terminal value share bounded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comps screening is reproducible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4" t="inlineStr">
        <is>
          <t>Source, Transformation, Ownership and Refresh Map</t>
        </is>
      </c>
    </row>
    <row r="4">
      <c r="B4" s="38" t="inlineStr">
        <is>
          <t>Source class</t>
        </is>
      </c>
      <c r="C4" s="38" t="inlineStr">
        <is>
          <t>Cadence</t>
        </is>
      </c>
      <c r="D4" s="38" t="inlineStr">
        <is>
          <t>Control</t>
        </is>
      </c>
      <c r="E4" s="38" t="inlineStr">
        <is>
          <t>System / provider</t>
        </is>
      </c>
      <c r="F4" s="38" t="inlineStr">
        <is>
          <t>As-of</t>
        </is>
      </c>
      <c r="G4" s="38" t="inlineStr">
        <is>
          <t>Owner</t>
        </is>
      </c>
      <c r="H4" s="38" t="inlineStr">
        <is>
          <t>Transform</t>
        </is>
      </c>
      <c r="I4" s="38" t="inlineStr">
        <is>
          <t>Downstream</t>
        </is>
      </c>
      <c r="J4" s="38" t="inlineStr">
        <is>
          <t>Status</t>
        </is>
      </c>
    </row>
    <row r="5">
      <c r="B5" t="inlineStr">
        <is>
          <t>company reporting</t>
        </is>
      </c>
      <c r="C5" t="inlineStr">
        <is>
          <t>monthly/quarterly</t>
        </is>
      </c>
      <c r="D5" t="inlineStr">
        <is>
          <t>tie to filed or management financials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market data</t>
        </is>
      </c>
      <c r="C6" t="inlineStr">
        <is>
          <t>daily</t>
        </is>
      </c>
      <c r="D6" t="inlineStr">
        <is>
          <t>timestamp and security identifier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2">
      <c r="B2" s="1" t="inlineStr">
        <is>
          <t>Assumptions</t>
        </is>
      </c>
    </row>
    <row r="4">
      <c r="A4" s="7" t="inlineStr"/>
      <c r="B4" s="7" t="inlineStr">
        <is>
          <t>Driver</t>
        </is>
      </c>
      <c r="C4" s="7" t="inlineStr">
        <is>
          <t>FY1</t>
        </is>
      </c>
      <c r="D4" s="7" t="inlineStr">
        <is>
          <t>FY2</t>
        </is>
      </c>
      <c r="E4" s="7" t="inlineStr">
        <is>
          <t>FY3</t>
        </is>
      </c>
      <c r="F4" s="7" t="inlineStr">
        <is>
          <t>FY4</t>
        </is>
      </c>
      <c r="G4" s="7" t="inlineStr">
        <is>
          <t>FY5</t>
        </is>
      </c>
      <c r="H4" s="7" t="inlineStr">
        <is>
          <t>Source / notes</t>
        </is>
      </c>
    </row>
    <row r="5">
      <c r="B5" s="4" t="inlineStr">
        <is>
          <t>Revenue growth %</t>
        </is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9" t="inlineStr">
        <is>
          <t>Source: [10-K/10-Q cite or user estimate]</t>
        </is>
      </c>
    </row>
    <row r="6">
      <c r="B6" s="4" t="inlineStr">
        <is>
          <t>Gross margin %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9" t="inlineStr">
        <is>
          <t>Source: [10-K/10-Q cite or user estimate]</t>
        </is>
      </c>
    </row>
    <row r="7">
      <c r="B7" s="4" t="inlineStr">
        <is>
          <t>Opex % of revenue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9" t="inlineStr">
        <is>
          <t>Source: [10-K/10-Q cite or user estimate]</t>
        </is>
      </c>
    </row>
    <row r="8">
      <c r="B8" s="4" t="inlineStr">
        <is>
          <t>Tax rate %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9" t="inlineStr">
        <is>
          <t>Source: [10-K/10-Q cite or user estimate]</t>
        </is>
      </c>
    </row>
    <row r="9">
      <c r="B9" s="4" t="inlineStr">
        <is>
          <t>D&amp;A % of capex</t>
        </is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9" t="inlineStr">
        <is>
          <t>Source: [10-K/10-Q cite or user estimate]</t>
        </is>
      </c>
    </row>
    <row r="10">
      <c r="B10" s="4" t="inlineStr">
        <is>
          <t>Capex % of revenue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9" t="inlineStr">
        <is>
          <t>Source: [10-K/10-Q cite or user estimate]</t>
        </is>
      </c>
    </row>
    <row r="11">
      <c r="B11" s="4" t="inlineStr">
        <is>
          <t>NWC % of revenue chg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9" t="inlineStr">
        <is>
          <t>Source: [10-K/10-Q cite or user estimate]</t>
        </is>
      </c>
    </row>
    <row r="12">
      <c r="B12" s="4" t="inlineStr">
        <is>
          <t>Shares outstanding (mm)</t>
        </is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9" t="inlineStr">
        <is>
          <t>Source: [10-K/10-Q cite or user estimate]</t>
        </is>
      </c>
    </row>
    <row r="13">
      <c r="B13" s="4" t="inlineStr">
        <is>
          <t>WACC %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9" t="inlineStr">
        <is>
          <t>Source: [10-K/10-Q cite or user estimate]</t>
        </is>
      </c>
    </row>
    <row r="14">
      <c r="B14" s="4" t="inlineStr">
        <is>
          <t>Terminal growth %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9" t="inlineStr">
        <is>
          <t>Source: [10-K/10-Q cite or user estimate]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1" t="inlineStr">
        <is>
          <t>Income Statement ($mm)</t>
        </is>
      </c>
    </row>
    <row r="4">
      <c r="A4" s="7" t="inlineStr"/>
      <c r="B4" s="7" t="inlineStr">
        <is>
          <t>Line item</t>
        </is>
      </c>
      <c r="C4" s="7" t="inlineStr">
        <is>
          <t>FY-2A</t>
        </is>
      </c>
      <c r="D4" s="7" t="inlineStr">
        <is>
          <t>FY-1A</t>
        </is>
      </c>
      <c r="E4" s="7" t="inlineStr">
        <is>
          <t>FY0A</t>
        </is>
      </c>
      <c r="F4" s="7" t="inlineStr">
        <is>
          <t>FY1E</t>
        </is>
      </c>
      <c r="G4" s="7" t="inlineStr">
        <is>
          <t>FY2E</t>
        </is>
      </c>
      <c r="H4" s="7" t="inlineStr">
        <is>
          <t>FY3E</t>
        </is>
      </c>
      <c r="I4" s="7" t="inlineStr">
        <is>
          <t>FY4E</t>
        </is>
      </c>
    </row>
    <row r="5">
      <c r="B5" s="2" t="inlineStr">
        <is>
          <t>Revenue</t>
        </is>
      </c>
      <c r="C5" s="12" t="n"/>
      <c r="D5" s="12" t="n"/>
      <c r="E5" s="12" t="n"/>
      <c r="F5" s="13">
        <f>E5*(1+Assumptions!C5)</f>
        <v/>
      </c>
      <c r="G5" s="13">
        <f>F5*(1+Assumptions!D5)</f>
        <v/>
      </c>
      <c r="H5" s="13">
        <f>G5*(1+Assumptions!E5)</f>
        <v/>
      </c>
      <c r="I5" s="13">
        <f>H5*(1+Assumptions!F5)</f>
        <v/>
      </c>
    </row>
    <row r="6">
      <c r="B6" s="4" t="inlineStr">
        <is>
          <t>Revenue growth %</t>
        </is>
      </c>
      <c r="C6" s="14" t="n"/>
      <c r="D6" s="14">
        <f>IFERROR(D5/C5-1,"-")</f>
        <v/>
      </c>
      <c r="E6" s="14">
        <f>IFERROR(E5/D5-1,"-")</f>
        <v/>
      </c>
      <c r="F6" s="14">
        <f>IFERROR(F5/E5-1,"-")</f>
        <v/>
      </c>
      <c r="G6" s="14">
        <f>IFERROR(G5/F5-1,"-")</f>
        <v/>
      </c>
      <c r="H6" s="14">
        <f>IFERROR(H5/G5-1,"-")</f>
        <v/>
      </c>
      <c r="I6" s="14">
        <f>IFERROR(I5/H5-1,"-")</f>
        <v/>
      </c>
    </row>
    <row r="7">
      <c r="B7" s="4" t="inlineStr">
        <is>
          <t>COGS</t>
        </is>
      </c>
      <c r="C7" s="12" t="n"/>
      <c r="D7" s="12" t="n"/>
      <c r="E7" s="12" t="n"/>
      <c r="F7" s="13">
        <f>F5*(1-Assumptions!C6)</f>
        <v/>
      </c>
      <c r="G7" s="13">
        <f>G5*(1-Assumptions!D6)</f>
        <v/>
      </c>
      <c r="H7" s="13">
        <f>H5*(1-Assumptions!E6)</f>
        <v/>
      </c>
      <c r="I7" s="13">
        <f>I5*(1-Assumptions!F6)</f>
        <v/>
      </c>
    </row>
    <row r="8">
      <c r="B8" s="2" t="inlineStr">
        <is>
          <t>Gross profit</t>
        </is>
      </c>
      <c r="C8" s="13">
        <f>C5-C7</f>
        <v/>
      </c>
      <c r="D8" s="13">
        <f>D5-D7</f>
        <v/>
      </c>
      <c r="E8" s="13">
        <f>E5-E7</f>
        <v/>
      </c>
      <c r="F8" s="13">
        <f>F5-F7</f>
        <v/>
      </c>
      <c r="G8" s="13">
        <f>G5-G7</f>
        <v/>
      </c>
      <c r="H8" s="13">
        <f>H5-H7</f>
        <v/>
      </c>
      <c r="I8" s="13">
        <f>I5-I7</f>
        <v/>
      </c>
    </row>
    <row r="9">
      <c r="B9" s="4" t="inlineStr">
        <is>
          <t>Gross margin %</t>
        </is>
      </c>
      <c r="C9" s="14">
        <f>IFERROR(C8/C5,"-")</f>
        <v/>
      </c>
      <c r="D9" s="14">
        <f>IFERROR(D8/D5,"-")</f>
        <v/>
      </c>
      <c r="E9" s="14">
        <f>IFERROR(E8/E5,"-")</f>
        <v/>
      </c>
      <c r="F9" s="14">
        <f>IFERROR(F8/F5,"-")</f>
        <v/>
      </c>
      <c r="G9" s="14">
        <f>IFERROR(G8/G5,"-")</f>
        <v/>
      </c>
      <c r="H9" s="14">
        <f>IFERROR(H8/H5,"-")</f>
        <v/>
      </c>
      <c r="I9" s="14">
        <f>IFERROR(I8/I5,"-")</f>
        <v/>
      </c>
    </row>
    <row r="10">
      <c r="B10" s="4" t="inlineStr">
        <is>
          <t>Opex</t>
        </is>
      </c>
      <c r="C10" s="12" t="n"/>
      <c r="D10" s="12" t="n"/>
      <c r="E10" s="12" t="n"/>
      <c r="F10" s="13">
        <f>F5*Assumptions!C7</f>
        <v/>
      </c>
      <c r="G10" s="13">
        <f>G5*Assumptions!D7</f>
        <v/>
      </c>
      <c r="H10" s="13">
        <f>H5*Assumptions!E7</f>
        <v/>
      </c>
      <c r="I10" s="13">
        <f>I5*Assumptions!F7</f>
        <v/>
      </c>
    </row>
    <row r="11">
      <c r="B11" s="2" t="inlineStr">
        <is>
          <t>EBITDA</t>
        </is>
      </c>
      <c r="C11" s="13">
        <f>C8-C10</f>
        <v/>
      </c>
      <c r="D11" s="13">
        <f>D8-D10</f>
        <v/>
      </c>
      <c r="E11" s="13">
        <f>E8-E10</f>
        <v/>
      </c>
      <c r="F11" s="13">
        <f>F8-F10</f>
        <v/>
      </c>
      <c r="G11" s="13">
        <f>G8-G10</f>
        <v/>
      </c>
      <c r="H11" s="13">
        <f>H8-H10</f>
        <v/>
      </c>
      <c r="I11" s="13">
        <f>I8-I10</f>
        <v/>
      </c>
    </row>
    <row r="12">
      <c r="B12" s="4" t="inlineStr">
        <is>
          <t>EBITDA margin %</t>
        </is>
      </c>
      <c r="C12" s="14">
        <f>IFERROR(C11/C5,"-")</f>
        <v/>
      </c>
      <c r="D12" s="14">
        <f>IFERROR(D11/D5,"-")</f>
        <v/>
      </c>
      <c r="E12" s="14">
        <f>IFERROR(E11/E5,"-")</f>
        <v/>
      </c>
      <c r="F12" s="14">
        <f>IFERROR(F11/F5,"-")</f>
        <v/>
      </c>
      <c r="G12" s="14">
        <f>IFERROR(G11/G5,"-")</f>
        <v/>
      </c>
      <c r="H12" s="14">
        <f>IFERROR(H11/H5,"-")</f>
        <v/>
      </c>
      <c r="I12" s="14">
        <f>IFERROR(I11/I5,"-")</f>
        <v/>
      </c>
    </row>
    <row r="13">
      <c r="B13" s="4" t="inlineStr">
        <is>
          <t>D&amp;A</t>
        </is>
      </c>
      <c r="C13" s="12" t="n"/>
      <c r="D13" s="12" t="n"/>
      <c r="E13" s="12" t="n"/>
      <c r="F13" s="13">
        <f>F5*Assumptions!C10*Assumptions!C9</f>
        <v/>
      </c>
      <c r="G13" s="13">
        <f>G5*Assumptions!D10*Assumptions!D9</f>
        <v/>
      </c>
      <c r="H13" s="13">
        <f>H5*Assumptions!E10*Assumptions!E9</f>
        <v/>
      </c>
      <c r="I13" s="13">
        <f>I5*Assumptions!F10*Assumptions!F9</f>
        <v/>
      </c>
    </row>
    <row r="14">
      <c r="B14" s="2" t="inlineStr">
        <is>
          <t>EBIT</t>
        </is>
      </c>
      <c r="C14" s="13">
        <f>C11-C13</f>
        <v/>
      </c>
      <c r="D14" s="13">
        <f>D11-D13</f>
        <v/>
      </c>
      <c r="E14" s="13">
        <f>E11-E13</f>
        <v/>
      </c>
      <c r="F14" s="13">
        <f>F11-F13</f>
        <v/>
      </c>
      <c r="G14" s="13">
        <f>G11-G13</f>
        <v/>
      </c>
      <c r="H14" s="13">
        <f>H11-H13</f>
        <v/>
      </c>
      <c r="I14" s="13">
        <f>I11-I13</f>
        <v/>
      </c>
    </row>
    <row r="15">
      <c r="B15" s="4" t="inlineStr">
        <is>
          <t>Interest expense</t>
        </is>
      </c>
      <c r="C15" s="12" t="n"/>
      <c r="D15" s="12" t="n"/>
      <c r="E15" s="12" t="n"/>
      <c r="F15" s="13">
        <f>$E$15</f>
        <v/>
      </c>
      <c r="G15" s="13">
        <f>$E$15</f>
        <v/>
      </c>
      <c r="H15" s="13">
        <f>$E$15</f>
        <v/>
      </c>
      <c r="I15" s="13">
        <f>$E$15</f>
        <v/>
      </c>
    </row>
    <row r="16">
      <c r="B16" s="4" t="inlineStr">
        <is>
          <t>Pre-tax income</t>
        </is>
      </c>
      <c r="C16" s="13">
        <f>C14-C15</f>
        <v/>
      </c>
      <c r="D16" s="13">
        <f>D14-D15</f>
        <v/>
      </c>
      <c r="E16" s="13">
        <f>E14-E15</f>
        <v/>
      </c>
      <c r="F16" s="13">
        <f>F14-F15</f>
        <v/>
      </c>
      <c r="G16" s="13">
        <f>G14-G15</f>
        <v/>
      </c>
      <c r="H16" s="13">
        <f>H14-H15</f>
        <v/>
      </c>
      <c r="I16" s="13">
        <f>I14-I15</f>
        <v/>
      </c>
    </row>
    <row r="17">
      <c r="B17" s="4" t="inlineStr">
        <is>
          <t>Tax</t>
        </is>
      </c>
      <c r="C17" s="12" t="n"/>
      <c r="D17" s="12" t="n"/>
      <c r="E17" s="12" t="n"/>
      <c r="F17" s="13">
        <f>F16*Assumptions!C8</f>
        <v/>
      </c>
      <c r="G17" s="13">
        <f>G16*Assumptions!D8</f>
        <v/>
      </c>
      <c r="H17" s="13">
        <f>H16*Assumptions!E8</f>
        <v/>
      </c>
      <c r="I17" s="13">
        <f>I16*Assumptions!F8</f>
        <v/>
      </c>
    </row>
    <row r="18">
      <c r="B18" s="2" t="inlineStr">
        <is>
          <t>Net income</t>
        </is>
      </c>
      <c r="C18" s="13">
        <f>C16-C17</f>
        <v/>
      </c>
      <c r="D18" s="13">
        <f>D16-D17</f>
        <v/>
      </c>
      <c r="E18" s="13">
        <f>E16-E17</f>
        <v/>
      </c>
      <c r="F18" s="13">
        <f>F16-F17</f>
        <v/>
      </c>
      <c r="G18" s="13">
        <f>G16-G17</f>
        <v/>
      </c>
      <c r="H18" s="13">
        <f>H16-H17</f>
        <v/>
      </c>
      <c r="I18" s="13">
        <f>I16-I17</f>
        <v/>
      </c>
    </row>
    <row r="19">
      <c r="B19" s="4" t="inlineStr">
        <is>
          <t>Diluted shares</t>
        </is>
      </c>
      <c r="C19" s="15" t="n"/>
      <c r="D19" s="15" t="n"/>
      <c r="E19" s="15" t="n"/>
      <c r="F19" s="13">
        <f>Assumptions!C12</f>
        <v/>
      </c>
      <c r="G19" s="13">
        <f>Assumptions!D12</f>
        <v/>
      </c>
      <c r="H19" s="13">
        <f>Assumptions!E12</f>
        <v/>
      </c>
      <c r="I19" s="13">
        <f>Assumptions!F12</f>
        <v/>
      </c>
    </row>
    <row r="20">
      <c r="B20" s="4" t="inlineStr">
        <is>
          <t>Diluted EPS</t>
        </is>
      </c>
      <c r="C20" s="13">
        <f>IFERROR(C18/C19,"-")</f>
        <v/>
      </c>
      <c r="D20" s="13">
        <f>IFERROR(D18/D19,"-")</f>
        <v/>
      </c>
      <c r="E20" s="13">
        <f>IFERROR(E18/E19,"-")</f>
        <v/>
      </c>
      <c r="F20" s="13">
        <f>IFERROR(F18/F19,"-")</f>
        <v/>
      </c>
      <c r="G20" s="13">
        <f>IFERROR(G18/G19,"-")</f>
        <v/>
      </c>
      <c r="H20" s="13">
        <f>IFERROR(H18/H19,"-")</f>
        <v/>
      </c>
      <c r="I20" s="13">
        <f>IFERROR(I18/I19,"-")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G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Balance Sheet ($mm)</t>
        </is>
      </c>
    </row>
    <row r="4">
      <c r="A4" s="7" t="inlineStr"/>
      <c r="B4" s="7" t="inlineStr">
        <is>
          <t>Line item</t>
        </is>
      </c>
      <c r="C4" s="7" t="inlineStr">
        <is>
          <t>FY-1A</t>
        </is>
      </c>
      <c r="D4" s="7" t="inlineStr">
        <is>
          <t>FY0A</t>
        </is>
      </c>
      <c r="E4" s="7" t="inlineStr">
        <is>
          <t>FY1E</t>
        </is>
      </c>
      <c r="F4" s="7" t="inlineStr">
        <is>
          <t>FY2E</t>
        </is>
      </c>
      <c r="G4" t="inlineStr">
        <is>
          <t>FY3E</t>
        </is>
      </c>
    </row>
    <row r="5">
      <c r="B5" s="4" t="inlineStr">
        <is>
          <t>Cash &amp; equivalents</t>
        </is>
      </c>
      <c r="C5" s="13" t="n"/>
      <c r="D5" s="13" t="n"/>
      <c r="E5" s="13" t="n"/>
      <c r="F5" s="13" t="n"/>
      <c r="G5" s="13" t="n"/>
    </row>
    <row r="6">
      <c r="B6" s="4" t="inlineStr">
        <is>
          <t>Accounts receivable</t>
        </is>
      </c>
      <c r="C6" s="13" t="n"/>
      <c r="D6" s="13" t="n"/>
      <c r="E6" s="13" t="n"/>
      <c r="F6" s="13" t="n"/>
      <c r="G6" s="13" t="n"/>
    </row>
    <row r="7">
      <c r="B7" s="4" t="inlineStr">
        <is>
          <t>Inventory</t>
        </is>
      </c>
      <c r="C7" s="13" t="n"/>
      <c r="D7" s="13" t="n"/>
      <c r="E7" s="13" t="n"/>
      <c r="F7" s="13" t="n"/>
      <c r="G7" s="13" t="n"/>
    </row>
    <row r="8">
      <c r="B8" s="2" t="inlineStr">
        <is>
          <t>Total current assets</t>
        </is>
      </c>
      <c r="C8" s="13">
        <f>C5+C6+C7</f>
        <v/>
      </c>
      <c r="D8" s="13">
        <f>D5+D6+D7</f>
        <v/>
      </c>
      <c r="E8" s="13">
        <f>E5+E6+E7</f>
        <v/>
      </c>
      <c r="F8" s="13">
        <f>F5+F6+F7</f>
        <v/>
      </c>
      <c r="G8" s="13">
        <f>G5+G6+G7</f>
        <v/>
      </c>
    </row>
    <row r="9">
      <c r="B9" s="4" t="inlineStr">
        <is>
          <t>PP&amp;E net</t>
        </is>
      </c>
      <c r="C9" s="13" t="n"/>
      <c r="D9" s="13" t="n"/>
      <c r="E9" s="13" t="n"/>
      <c r="F9" s="13" t="n"/>
      <c r="G9" s="13" t="n"/>
    </row>
    <row r="10">
      <c r="B10" s="4" t="inlineStr">
        <is>
          <t>Goodwill &amp; intangibles</t>
        </is>
      </c>
      <c r="C10" s="13" t="n"/>
      <c r="D10" s="13" t="n"/>
      <c r="E10" s="13" t="n"/>
      <c r="F10" s="13" t="n"/>
      <c r="G10" s="13" t="n"/>
    </row>
    <row r="11">
      <c r="B11" s="2" t="inlineStr">
        <is>
          <t>Total assets</t>
        </is>
      </c>
      <c r="C11" s="13">
        <f>C8+C9+C10</f>
        <v/>
      </c>
      <c r="D11" s="13">
        <f>D8+D9+D10</f>
        <v/>
      </c>
      <c r="E11" s="13">
        <f>E8+E9+E10</f>
        <v/>
      </c>
      <c r="F11" s="13">
        <f>F8+F9+F10</f>
        <v/>
      </c>
      <c r="G11" s="13">
        <f>G8+G9+G10</f>
        <v/>
      </c>
    </row>
    <row r="12">
      <c r="B12" s="4" t="inlineStr">
        <is>
          <t>Accounts payable</t>
        </is>
      </c>
      <c r="C12" s="13" t="n"/>
      <c r="D12" s="13" t="n"/>
      <c r="E12" s="13" t="n"/>
      <c r="F12" s="13" t="n"/>
      <c r="G12" s="13" t="n"/>
    </row>
    <row r="13">
      <c r="B13" s="4" t="inlineStr">
        <is>
          <t>Debt (current)</t>
        </is>
      </c>
      <c r="C13" s="13" t="n"/>
      <c r="D13" s="13" t="n"/>
      <c r="E13" s="13" t="n"/>
      <c r="F13" s="13" t="n"/>
      <c r="G13" s="13" t="n"/>
    </row>
    <row r="14">
      <c r="B14" s="2" t="inlineStr">
        <is>
          <t>Total current liabilities</t>
        </is>
      </c>
      <c r="C14" s="13">
        <f>C12+C13</f>
        <v/>
      </c>
      <c r="D14" s="13">
        <f>D12+D13</f>
        <v/>
      </c>
      <c r="E14" s="13">
        <f>E12+E13</f>
        <v/>
      </c>
      <c r="F14" s="13">
        <f>F12+F13</f>
        <v/>
      </c>
      <c r="G14" s="13">
        <f>G12+G13</f>
        <v/>
      </c>
    </row>
    <row r="15">
      <c r="B15" s="4" t="inlineStr">
        <is>
          <t>Long-term debt</t>
        </is>
      </c>
      <c r="C15" s="13" t="n"/>
      <c r="D15" s="13" t="n"/>
      <c r="E15" s="13" t="n"/>
      <c r="F15" s="13" t="n"/>
      <c r="G15" s="13" t="n"/>
    </row>
    <row r="16">
      <c r="B16" s="2" t="inlineStr">
        <is>
          <t>Total liabilities</t>
        </is>
      </c>
      <c r="C16" s="13">
        <f>C14+C15</f>
        <v/>
      </c>
      <c r="D16" s="13">
        <f>D14+D15</f>
        <v/>
      </c>
      <c r="E16" s="13">
        <f>E14+E15</f>
        <v/>
      </c>
      <c r="F16" s="13">
        <f>F14+F15</f>
        <v/>
      </c>
      <c r="G16" s="13">
        <f>G14+G15</f>
        <v/>
      </c>
    </row>
    <row r="17">
      <c r="B17" s="2" t="inlineStr">
        <is>
          <t>Total equity</t>
        </is>
      </c>
      <c r="C17" s="13" t="n"/>
      <c r="D17" s="13" t="n"/>
      <c r="E17" s="13" t="n"/>
      <c r="F17" s="13" t="n"/>
      <c r="G17" s="13" t="n"/>
    </row>
    <row r="19">
      <c r="B19" s="16" t="inlineStr">
        <is>
          <t>Balance check (Total assets - Total liabilities - Total equity, should = 0)</t>
        </is>
      </c>
      <c r="C19" s="17">
        <f>C11-C16-C17</f>
        <v/>
      </c>
      <c r="D19" s="17">
        <f>D11-D16-D17</f>
        <v/>
      </c>
      <c r="E19" s="17">
        <f>E11-E16-E17</f>
        <v/>
      </c>
      <c r="F19" s="17">
        <f>F11-F16-F17</f>
        <v/>
      </c>
      <c r="G19" s="17">
        <f>G11-G16-G17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G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Cash Flow ($mm)</t>
        </is>
      </c>
    </row>
    <row r="4">
      <c r="A4" s="7" t="inlineStr"/>
      <c r="B4" s="7" t="inlineStr">
        <is>
          <t>Line item</t>
        </is>
      </c>
      <c r="C4" s="7" t="inlineStr">
        <is>
          <t>FY-1A</t>
        </is>
      </c>
      <c r="D4" s="7" t="inlineStr">
        <is>
          <t>FY0A</t>
        </is>
      </c>
      <c r="E4" s="7" t="inlineStr">
        <is>
          <t>FY1E</t>
        </is>
      </c>
      <c r="F4" s="7" t="inlineStr">
        <is>
          <t>FY2E</t>
        </is>
      </c>
      <c r="G4" t="inlineStr">
        <is>
          <t>FY3E</t>
        </is>
      </c>
    </row>
    <row r="5">
      <c r="B5" s="4" t="inlineStr">
        <is>
          <t>Net income</t>
        </is>
      </c>
      <c r="C5" s="13" t="n"/>
      <c r="D5" s="13" t="n"/>
      <c r="E5" s="18">
        <f>IS!F18</f>
        <v/>
      </c>
      <c r="F5" s="18">
        <f>IS!G18</f>
        <v/>
      </c>
      <c r="G5" s="18">
        <f>IS!H18</f>
        <v/>
      </c>
    </row>
    <row r="6">
      <c r="B6" s="4" t="inlineStr">
        <is>
          <t>+ D&amp;A</t>
        </is>
      </c>
      <c r="C6" s="13" t="n"/>
      <c r="D6" s="13" t="n"/>
      <c r="E6" s="18">
        <f>IS!F13</f>
        <v/>
      </c>
      <c r="F6" s="18">
        <f>IS!G13</f>
        <v/>
      </c>
      <c r="G6" s="18">
        <f>IS!H13</f>
        <v/>
      </c>
    </row>
    <row r="7">
      <c r="B7" s="4" t="inlineStr">
        <is>
          <t>+/- Change in NWC</t>
        </is>
      </c>
      <c r="C7" s="13" t="n"/>
      <c r="D7" s="13" t="n"/>
      <c r="E7" s="13" t="n"/>
      <c r="F7" s="13" t="n"/>
      <c r="G7" s="13" t="n"/>
    </row>
    <row r="8">
      <c r="B8" s="2" t="inlineStr">
        <is>
          <t>Cash flow from operations</t>
        </is>
      </c>
      <c r="C8" s="13">
        <f>C5+C6+C7</f>
        <v/>
      </c>
      <c r="D8" s="13">
        <f>D5+D6+D7</f>
        <v/>
      </c>
      <c r="E8" s="13">
        <f>E5+E6+E7</f>
        <v/>
      </c>
      <c r="F8" s="13">
        <f>F5+F6+F7</f>
        <v/>
      </c>
      <c r="G8" s="13">
        <f>G5+G6+G7</f>
        <v/>
      </c>
    </row>
    <row r="9">
      <c r="B9" s="4" t="inlineStr">
        <is>
          <t>Capex</t>
        </is>
      </c>
      <c r="C9" s="13" t="n"/>
      <c r="D9" s="13" t="n"/>
      <c r="E9" s="13" t="n"/>
      <c r="F9" s="13" t="n"/>
      <c r="G9" s="13" t="n"/>
    </row>
    <row r="10">
      <c r="B10" s="2" t="inlineStr">
        <is>
          <t>Free cash flow</t>
        </is>
      </c>
      <c r="C10" s="13">
        <f>C8+C9</f>
        <v/>
      </c>
      <c r="D10" s="13">
        <f>D8+D9</f>
        <v/>
      </c>
      <c r="E10" s="13">
        <f>E8+E9</f>
        <v/>
      </c>
      <c r="F10" s="13">
        <f>F8+F9</f>
        <v/>
      </c>
      <c r="G10" s="13">
        <f>G8+G9</f>
        <v/>
      </c>
    </row>
    <row r="11">
      <c r="B11" s="4" t="inlineStr">
        <is>
          <t>Debt issuance/(repayment)</t>
        </is>
      </c>
      <c r="C11" s="13" t="n"/>
      <c r="D11" s="13" t="n"/>
      <c r="E11" s="13" t="n"/>
      <c r="F11" s="13" t="n"/>
      <c r="G11" s="13" t="n"/>
    </row>
    <row r="12">
      <c r="B12" s="4" t="inlineStr">
        <is>
          <t>Dividends/buybacks</t>
        </is>
      </c>
      <c r="C12" s="13" t="n"/>
      <c r="D12" s="13" t="n"/>
      <c r="E12" s="13" t="n"/>
      <c r="F12" s="13" t="n"/>
      <c r="G12" s="13" t="n"/>
    </row>
    <row r="13">
      <c r="B13" s="4" t="inlineStr">
        <is>
          <t>Net change in cash</t>
        </is>
      </c>
      <c r="C13" s="13">
        <f>C10+C11+C12</f>
        <v/>
      </c>
      <c r="D13" s="13">
        <f>D10+D11+D12</f>
        <v/>
      </c>
      <c r="E13" s="13">
        <f>E10+E11+E12</f>
        <v/>
      </c>
      <c r="F13" s="13">
        <f>F10+F11+F12</f>
        <v/>
      </c>
      <c r="G13" s="13">
        <f>G10+G11+G12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" customWidth="1" min="8" max="8"/>
    <col width="22" customWidth="1" min="9" max="9"/>
    <col width="14" customWidth="1" min="10" max="10"/>
  </cols>
  <sheetData>
    <row r="2">
      <c r="B2" s="1" t="inlineStr">
        <is>
          <t>DCF Valuation</t>
        </is>
      </c>
    </row>
    <row r="4">
      <c r="C4" s="7" t="inlineStr">
        <is>
          <t>FY1E</t>
        </is>
      </c>
      <c r="D4" s="7" t="inlineStr">
        <is>
          <t>FY2E</t>
        </is>
      </c>
      <c r="E4" s="7" t="inlineStr">
        <is>
          <t>FY3E</t>
        </is>
      </c>
      <c r="F4" s="7" t="inlineStr">
        <is>
          <t>FY4E</t>
        </is>
      </c>
      <c r="G4" s="7" t="inlineStr">
        <is>
          <t>FY5E</t>
        </is>
      </c>
      <c r="H4" s="2" t="inlineStr">
        <is>
          <t>Key outputs</t>
        </is>
      </c>
    </row>
    <row r="5">
      <c r="B5" t="inlineStr">
        <is>
          <t>Unlevered FCF</t>
        </is>
      </c>
      <c r="C5" s="19">
        <f>IS!F14*(1-Assumptions!C8)+IS!F13-IS!F5*Assumptions!C10</f>
        <v/>
      </c>
      <c r="D5" s="19">
        <f>IS!G14*(1-Assumptions!D8)+IS!G13-IS!G5*Assumptions!D10</f>
        <v/>
      </c>
      <c r="E5" s="19">
        <f>IS!H14*(1-Assumptions!E8)+IS!H13-IS!H5*Assumptions!E10</f>
        <v/>
      </c>
      <c r="F5" s="19">
        <f>IS!I14*(1-Assumptions!F8)+IS!I13-IS!I5*Assumptions!F10</f>
        <v/>
      </c>
      <c r="G5" s="19">
        <f>F5*(1+Assumptions!G5)</f>
        <v/>
      </c>
      <c r="H5" t="inlineStr">
        <is>
          <t>WACC</t>
        </is>
      </c>
      <c r="I5" s="20" t="n">
        <v>0.1</v>
      </c>
    </row>
    <row r="6">
      <c r="B6" t="inlineStr">
        <is>
          <t>Discount factor</t>
        </is>
      </c>
      <c r="C6" s="21">
        <f>1/(1+$I$5)^(1)</f>
        <v/>
      </c>
      <c r="D6" s="21">
        <f>1/(1+$I$5)^(2)</f>
        <v/>
      </c>
      <c r="E6" s="21">
        <f>1/(1+$I$5)^(3)</f>
        <v/>
      </c>
      <c r="F6" s="21">
        <f>1/(1+$I$5)^(4)</f>
        <v/>
      </c>
      <c r="G6" s="21">
        <f>1/(1+$I$5)^(5)</f>
        <v/>
      </c>
      <c r="H6" t="inlineStr">
        <is>
          <t>Terminal growth</t>
        </is>
      </c>
      <c r="I6" s="20" t="n">
        <v>0.025</v>
      </c>
    </row>
    <row r="7">
      <c r="B7" t="inlineStr">
        <is>
          <t>PV of FCF</t>
        </is>
      </c>
      <c r="C7" s="22">
        <f>C5*C6</f>
        <v/>
      </c>
      <c r="D7" s="22">
        <f>D5*D6</f>
        <v/>
      </c>
      <c r="E7" s="22">
        <f>E5*E6</f>
        <v/>
      </c>
      <c r="F7" s="22">
        <f>F5*F6</f>
        <v/>
      </c>
      <c r="G7" s="22">
        <f>G5*G6</f>
        <v/>
      </c>
      <c r="H7" t="inlineStr">
        <is>
          <t>Terminal value</t>
        </is>
      </c>
      <c r="I7" s="22">
        <f>G5*(1+I6)/(I5-I6)</f>
        <v/>
      </c>
    </row>
    <row r="8">
      <c r="H8" t="inlineStr">
        <is>
          <t>PV of terminal value</t>
        </is>
      </c>
      <c r="I8" s="22">
        <f>I7*G6</f>
        <v/>
      </c>
    </row>
    <row r="9">
      <c r="H9" t="inlineStr">
        <is>
          <t>Sum PV of FCF</t>
        </is>
      </c>
      <c r="I9" s="22">
        <f>SUM(C7:G7)</f>
        <v/>
      </c>
    </row>
    <row r="10">
      <c r="H10" t="inlineStr">
        <is>
          <t>Enterprise value</t>
        </is>
      </c>
      <c r="I10" s="23">
        <f>I8+I9</f>
        <v/>
      </c>
    </row>
    <row r="11">
      <c r="H11" t="inlineStr">
        <is>
          <t>Less: net debt</t>
        </is>
      </c>
      <c r="I11" s="24" t="n">
        <v>0</v>
      </c>
    </row>
    <row r="12">
      <c r="H12" t="inlineStr">
        <is>
          <t>Equity value</t>
        </is>
      </c>
      <c r="I12" s="23">
        <f>I10-I11</f>
        <v/>
      </c>
    </row>
    <row r="13">
      <c r="H13" t="inlineStr">
        <is>
          <t>Diluted shares (mm)</t>
        </is>
      </c>
      <c r="I13" s="24" t="n">
        <v>1</v>
      </c>
    </row>
    <row r="14">
      <c r="H14" t="inlineStr">
        <is>
          <t>Implied value/share</t>
        </is>
      </c>
      <c r="I14" s="23">
        <f>I12/I13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Comparable Companies</t>
        </is>
      </c>
    </row>
    <row r="4">
      <c r="A4" s="7" t="inlineStr"/>
      <c r="B4" s="7" t="inlineStr">
        <is>
          <t>Ticker</t>
        </is>
      </c>
      <c r="C4" s="7" t="inlineStr">
        <is>
          <t>Price</t>
        </is>
      </c>
      <c r="D4" s="7" t="inlineStr">
        <is>
          <t>Mkt Cap</t>
        </is>
      </c>
      <c r="E4" s="7" t="inlineStr">
        <is>
          <t>EV</t>
        </is>
      </c>
      <c r="F4" s="7" t="inlineStr">
        <is>
          <t>EV/Rev</t>
        </is>
      </c>
      <c r="G4" s="7" t="inlineStr">
        <is>
          <t>EV/EBITDA</t>
        </is>
      </c>
      <c r="H4" s="7" t="inlineStr">
        <is>
          <t>P/E</t>
        </is>
      </c>
    </row>
    <row r="5">
      <c r="B5" s="3" t="inlineStr">
        <is>
          <t>[TICKER]</t>
        </is>
      </c>
      <c r="C5" s="11" t="n">
        <v>0</v>
      </c>
      <c r="D5" s="11" t="n">
        <v>0</v>
      </c>
      <c r="E5" s="11" t="n">
        <v>0</v>
      </c>
      <c r="F5" s="25" t="n">
        <v>0</v>
      </c>
      <c r="G5" s="25" t="n">
        <v>0</v>
      </c>
      <c r="H5" s="25" t="n">
        <v>0</v>
      </c>
    </row>
    <row r="6">
      <c r="B6" s="3" t="inlineStr">
        <is>
          <t>[TICKER]</t>
        </is>
      </c>
      <c r="C6" s="11" t="n">
        <v>0</v>
      </c>
      <c r="D6" s="11" t="n">
        <v>0</v>
      </c>
      <c r="E6" s="11" t="n">
        <v>0</v>
      </c>
      <c r="F6" s="25" t="n">
        <v>0</v>
      </c>
      <c r="G6" s="25" t="n">
        <v>0</v>
      </c>
      <c r="H6" s="25" t="n">
        <v>0</v>
      </c>
    </row>
    <row r="7">
      <c r="B7" s="3" t="inlineStr">
        <is>
          <t>[TICKER]</t>
        </is>
      </c>
      <c r="C7" s="11" t="n">
        <v>0</v>
      </c>
      <c r="D7" s="11" t="n">
        <v>0</v>
      </c>
      <c r="E7" s="11" t="n">
        <v>0</v>
      </c>
      <c r="F7" s="25" t="n">
        <v>0</v>
      </c>
      <c r="G7" s="25" t="n">
        <v>0</v>
      </c>
      <c r="H7" s="25" t="n">
        <v>0</v>
      </c>
    </row>
    <row r="8">
      <c r="B8" s="3" t="inlineStr">
        <is>
          <t>[TICKER]</t>
        </is>
      </c>
      <c r="C8" s="11" t="n">
        <v>0</v>
      </c>
      <c r="D8" s="11" t="n">
        <v>0</v>
      </c>
      <c r="E8" s="11" t="n">
        <v>0</v>
      </c>
      <c r="F8" s="25" t="n">
        <v>0</v>
      </c>
      <c r="G8" s="25" t="n">
        <v>0</v>
      </c>
      <c r="H8" s="25" t="n">
        <v>0</v>
      </c>
    </row>
    <row r="9">
      <c r="B9" s="3" t="inlineStr">
        <is>
          <t>[TICKER]</t>
        </is>
      </c>
      <c r="C9" s="11" t="n">
        <v>0</v>
      </c>
      <c r="D9" s="11" t="n">
        <v>0</v>
      </c>
      <c r="E9" s="11" t="n">
        <v>0</v>
      </c>
      <c r="F9" s="25" t="n">
        <v>0</v>
      </c>
      <c r="G9" s="25" t="n">
        <v>0</v>
      </c>
      <c r="H9" s="25" t="n">
        <v>0</v>
      </c>
    </row>
    <row r="10">
      <c r="B10" s="3" t="inlineStr">
        <is>
          <t>[TICKER]</t>
        </is>
      </c>
      <c r="C10" s="11" t="n">
        <v>0</v>
      </c>
      <c r="D10" s="11" t="n">
        <v>0</v>
      </c>
      <c r="E10" s="11" t="n">
        <v>0</v>
      </c>
      <c r="F10" s="25" t="n">
        <v>0</v>
      </c>
      <c r="G10" s="25" t="n">
        <v>0</v>
      </c>
      <c r="H10" s="25" t="n">
        <v>0</v>
      </c>
    </row>
    <row r="11">
      <c r="B11" s="3" t="inlineStr">
        <is>
          <t>[TICKER]</t>
        </is>
      </c>
      <c r="C11" s="11" t="n">
        <v>0</v>
      </c>
      <c r="D11" s="11" t="n">
        <v>0</v>
      </c>
      <c r="E11" s="11" t="n">
        <v>0</v>
      </c>
      <c r="F11" s="25" t="n">
        <v>0</v>
      </c>
      <c r="G11" s="25" t="n">
        <v>0</v>
      </c>
      <c r="H11" s="25" t="n">
        <v>0</v>
      </c>
    </row>
    <row r="13">
      <c r="B13" s="2" t="inlineStr">
        <is>
          <t>Median</t>
        </is>
      </c>
      <c r="C13" s="23">
        <f>MEDIAN(C5:C12)</f>
        <v/>
      </c>
      <c r="D13" s="23">
        <f>MEDIAN(D5:D12)</f>
        <v/>
      </c>
      <c r="E13" s="23">
        <f>MEDIAN(E5:E12)</f>
        <v/>
      </c>
      <c r="F13" s="26">
        <f>MEDIAN(F5:F12)</f>
        <v/>
      </c>
      <c r="G13" s="26">
        <f>MEDIAN(G5:G12)</f>
        <v/>
      </c>
      <c r="H13" s="26">
        <f>MEDIAN(H5:H12)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Sensitivity — Implied Value/Share</t>
        </is>
      </c>
    </row>
    <row r="4">
      <c r="B4" s="27" t="inlineStr">
        <is>
          <t>WACC \ Term. growth</t>
        </is>
      </c>
      <c r="C4" s="28" t="n">
        <v>0.015</v>
      </c>
      <c r="D4" s="28" t="n">
        <v>0.02</v>
      </c>
      <c r="E4" s="28" t="n">
        <v>0.025</v>
      </c>
      <c r="F4" s="28" t="n">
        <v>0.03</v>
      </c>
      <c r="G4" s="28" t="n">
        <v>0.035</v>
      </c>
    </row>
    <row r="5">
      <c r="B5" s="28" t="n">
        <v>0.08</v>
      </c>
      <c r="C5" s="16" t="inlineStr">
        <is>
          <t>[data table — Excel What-If Analysis]</t>
        </is>
      </c>
      <c r="D5" s="16" t="inlineStr">
        <is>
          <t>[data table — Excel What-If Analysis]</t>
        </is>
      </c>
      <c r="E5" s="16" t="inlineStr">
        <is>
          <t>[data table — Excel What-If Analysis]</t>
        </is>
      </c>
      <c r="F5" s="16" t="inlineStr">
        <is>
          <t>[data table — Excel What-If Analysis]</t>
        </is>
      </c>
      <c r="G5" s="16" t="inlineStr">
        <is>
          <t>[data table — Excel What-If Analysis]</t>
        </is>
      </c>
    </row>
    <row r="6">
      <c r="B6" s="28" t="n">
        <v>0.09</v>
      </c>
      <c r="C6" s="16" t="inlineStr">
        <is>
          <t>[data table — Excel What-If Analysis]</t>
        </is>
      </c>
      <c r="D6" s="16" t="inlineStr">
        <is>
          <t>[data table — Excel What-If Analysis]</t>
        </is>
      </c>
      <c r="E6" s="16" t="inlineStr">
        <is>
          <t>[data table — Excel What-If Analysis]</t>
        </is>
      </c>
      <c r="F6" s="16" t="inlineStr">
        <is>
          <t>[data table — Excel What-If Analysis]</t>
        </is>
      </c>
      <c r="G6" s="16" t="inlineStr">
        <is>
          <t>[data table — Excel What-If Analysis]</t>
        </is>
      </c>
    </row>
    <row r="7">
      <c r="B7" s="28" t="n">
        <v>0.1</v>
      </c>
      <c r="C7" s="16" t="inlineStr">
        <is>
          <t>[data table — Excel What-If Analysis]</t>
        </is>
      </c>
      <c r="D7" s="16" t="inlineStr">
        <is>
          <t>[data table — Excel What-If Analysis]</t>
        </is>
      </c>
      <c r="E7" s="16" t="inlineStr">
        <is>
          <t>[data table — Excel What-If Analysis]</t>
        </is>
      </c>
      <c r="F7" s="16" t="inlineStr">
        <is>
          <t>[data table — Excel What-If Analysis]</t>
        </is>
      </c>
      <c r="G7" s="16" t="inlineStr">
        <is>
          <t>[data table — Excel What-If Analysis]</t>
        </is>
      </c>
    </row>
    <row r="8">
      <c r="B8" s="28" t="n">
        <v>0.11</v>
      </c>
      <c r="C8" s="16" t="inlineStr">
        <is>
          <t>[data table — Excel What-If Analysis]</t>
        </is>
      </c>
      <c r="D8" s="16" t="inlineStr">
        <is>
          <t>[data table — Excel What-If Analysis]</t>
        </is>
      </c>
      <c r="E8" s="16" t="inlineStr">
        <is>
          <t>[data table — Excel What-If Analysis]</t>
        </is>
      </c>
      <c r="F8" s="16" t="inlineStr">
        <is>
          <t>[data table — Excel What-If Analysis]</t>
        </is>
      </c>
      <c r="G8" s="16" t="inlineStr">
        <is>
          <t>[data table — Excel What-If Analysis]</t>
        </is>
      </c>
    </row>
    <row r="9">
      <c r="B9" s="28" t="n">
        <v>0.12</v>
      </c>
      <c r="C9" s="16" t="inlineStr">
        <is>
          <t>[data table — Excel What-If Analysis]</t>
        </is>
      </c>
      <c r="D9" s="16" t="inlineStr">
        <is>
          <t>[data table — Excel What-If Analysis]</t>
        </is>
      </c>
      <c r="E9" s="16" t="inlineStr">
        <is>
          <t>[data table — Excel What-If Analysis]</t>
        </is>
      </c>
      <c r="F9" s="16" t="inlineStr">
        <is>
          <t>[data table — Excel What-If Analysis]</t>
        </is>
      </c>
      <c r="G9" s="16" t="inlineStr">
        <is>
          <t>[data table — Excel What-If Analysis]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A4" s="7" t="inlineStr"/>
      <c r="B4" s="7" t="inlineStr">
        <is>
          <t>Date</t>
        </is>
      </c>
      <c r="C4" s="7" t="inlineStr">
        <is>
          <t>Trigger</t>
        </is>
      </c>
      <c r="D4" s="7" t="inlineStr">
        <is>
          <t>What changed</t>
        </is>
      </c>
      <c r="E4" s="7" t="inlineStr">
        <is>
          <t>Reviewer notes</t>
        </is>
      </c>
      <c r="F4" s="7" t="inlineStr">
        <is>
          <t>Next check</t>
        </is>
      </c>
    </row>
    <row r="5">
      <c r="B5" s="29" t="n"/>
      <c r="C5" s="29" t="n"/>
      <c r="D5" s="29" t="n"/>
      <c r="E5" s="29" t="n"/>
      <c r="F5" s="29" t="n"/>
    </row>
    <row r="6">
      <c r="B6" s="29" t="n"/>
      <c r="C6" s="29" t="n"/>
      <c r="D6" s="29" t="n"/>
      <c r="E6" s="29" t="n"/>
      <c r="F6" s="29" t="n"/>
    </row>
    <row r="7">
      <c r="B7" s="29" t="n"/>
      <c r="C7" s="29" t="n"/>
      <c r="D7" s="29" t="n"/>
      <c r="E7" s="29" t="n"/>
      <c r="F7" s="29" t="n"/>
    </row>
    <row r="8">
      <c r="B8" s="29" t="n"/>
      <c r="C8" s="29" t="n"/>
      <c r="D8" s="29" t="n"/>
      <c r="E8" s="29" t="n"/>
      <c r="F8" s="29" t="n"/>
    </row>
    <row r="9">
      <c r="B9" s="29" t="n"/>
      <c r="C9" s="29" t="n"/>
      <c r="D9" s="29" t="n"/>
      <c r="E9" s="29" t="n"/>
      <c r="F9" s="29" t="n"/>
    </row>
    <row r="10">
      <c r="B10" s="29" t="n"/>
      <c r="C10" s="29" t="n"/>
      <c r="D10" s="29" t="n"/>
      <c r="E10" s="29" t="n"/>
      <c r="F10" s="29" t="n"/>
    </row>
    <row r="11">
      <c r="B11" s="29" t="n"/>
      <c r="C11" s="29" t="n"/>
      <c r="D11" s="29" t="n"/>
      <c r="E11" s="29" t="n"/>
      <c r="F11" s="29" t="n"/>
    </row>
    <row r="12">
      <c r="B12" s="29" t="n"/>
      <c r="C12" s="29" t="n"/>
      <c r="D12" s="29" t="n"/>
      <c r="E12" s="29" t="n"/>
      <c r="F12" s="29" t="n"/>
    </row>
    <row r="13">
      <c r="B13" s="29" t="n"/>
      <c r="C13" s="29" t="n"/>
      <c r="D13" s="29" t="n"/>
      <c r="E13" s="29" t="n"/>
      <c r="F13" s="29" t="n"/>
    </row>
    <row r="14">
      <c r="B14" s="29" t="n"/>
      <c r="C14" s="29" t="n"/>
      <c r="D14" s="29" t="n"/>
      <c r="E14" s="29" t="n"/>
      <c r="F14" s="2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4" customWidth="1" min="5" max="5"/>
  </cols>
  <sheetData>
    <row r="2">
      <c r="B2" s="1" t="inlineStr">
        <is>
          <t>Transaction Valuation, Offer Premium, and DCF Reconciliation</t>
        </is>
      </c>
    </row>
    <row r="4">
      <c r="B4" s="7" t="inlineStr">
        <is>
          <t>Metric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Units / control</t>
        </is>
      </c>
    </row>
    <row r="5">
      <c r="B5" t="inlineStr">
        <is>
          <t>Enterprise value</t>
        </is>
      </c>
      <c r="C5" s="12" t="n">
        <v>1000</v>
      </c>
      <c r="D5" s="12" t="n">
        <v>1000</v>
      </c>
      <c r="E5" t="inlineStr">
        <is>
          <t>transaction enterprise value</t>
        </is>
      </c>
    </row>
    <row r="6">
      <c r="B6" t="inlineStr">
        <is>
          <t>Debt</t>
        </is>
      </c>
      <c r="C6" s="12" t="n">
        <v>200</v>
      </c>
      <c r="D6" s="12" t="n">
        <v>200</v>
      </c>
      <c r="E6" t="inlineStr">
        <is>
          <t>debt assumed or refinanced</t>
        </is>
      </c>
    </row>
    <row r="7">
      <c r="B7" t="inlineStr">
        <is>
          <t>Cash</t>
        </is>
      </c>
      <c r="C7" s="12" t="n">
        <v>100</v>
      </c>
      <c r="D7" s="12" t="n">
        <v>100</v>
      </c>
      <c r="E7" t="inlineStr">
        <is>
          <t>cash retained in equity bridge</t>
        </is>
      </c>
    </row>
    <row r="8">
      <c r="B8" t="inlineStr">
        <is>
          <t>Diluted shares</t>
        </is>
      </c>
      <c r="C8" s="30" t="n">
        <v>100</v>
      </c>
      <c r="D8" s="30" t="n">
        <v>100</v>
      </c>
      <c r="E8" t="inlineStr">
        <is>
          <t>fully diluted shares</t>
        </is>
      </c>
    </row>
    <row r="9">
      <c r="B9" t="inlineStr">
        <is>
          <t>Offer price</t>
        </is>
      </c>
      <c r="C9" s="12" t="n">
        <v>9.5</v>
      </c>
      <c r="D9" s="12" t="n">
        <v>15</v>
      </c>
      <c r="E9" t="inlineStr">
        <is>
          <t>consideration per share</t>
        </is>
      </c>
    </row>
    <row r="10">
      <c r="B10" t="inlineStr">
        <is>
          <t>Discount rate</t>
        </is>
      </c>
      <c r="C10" s="8" t="n">
        <v>0.1</v>
      </c>
      <c r="D10" s="8" t="n">
        <v>0.05</v>
      </c>
      <c r="E10" t="inlineStr">
        <is>
          <t>WACC / required return</t>
        </is>
      </c>
    </row>
    <row r="11">
      <c r="B11" t="inlineStr">
        <is>
          <t>Terminal growth</t>
        </is>
      </c>
      <c r="C11" s="8" t="n">
        <v>0.03</v>
      </c>
      <c r="D11" s="8" t="n">
        <v>0.06</v>
      </c>
      <c r="E11" t="inlineStr">
        <is>
          <t>must remain below discount rate</t>
        </is>
      </c>
    </row>
    <row r="12">
      <c r="B12" t="inlineStr">
        <is>
          <t>FCF Year 1</t>
        </is>
      </c>
      <c r="C12" s="12" t="n">
        <v>70</v>
      </c>
      <c r="D12" s="12" t="n">
        <v>70</v>
      </c>
      <c r="E12" t="inlineStr">
        <is>
          <t>unlevered free cash flow</t>
        </is>
      </c>
    </row>
    <row r="13">
      <c r="B13" t="inlineStr">
        <is>
          <t>FCF Year 2</t>
        </is>
      </c>
      <c r="C13" s="12" t="n">
        <v>75</v>
      </c>
      <c r="D13" s="12" t="n">
        <v>65</v>
      </c>
      <c r="E13" t="inlineStr">
        <is>
          <t>unlevered free cash flow</t>
        </is>
      </c>
    </row>
    <row r="14">
      <c r="B14" t="inlineStr">
        <is>
          <t>FCF Year 3</t>
        </is>
      </c>
      <c r="C14" s="12" t="n">
        <v>80</v>
      </c>
      <c r="D14" s="12" t="n">
        <v>60</v>
      </c>
      <c r="E14" t="inlineStr">
        <is>
          <t>unlevered free cash flow</t>
        </is>
      </c>
    </row>
    <row r="15">
      <c r="B15" t="inlineStr">
        <is>
          <t>FCF Year 4</t>
        </is>
      </c>
      <c r="C15" s="12" t="n">
        <v>85</v>
      </c>
      <c r="D15" s="12" t="n">
        <v>55</v>
      </c>
      <c r="E15" t="inlineStr">
        <is>
          <t>unlevered free cash flow</t>
        </is>
      </c>
    </row>
    <row r="16">
      <c r="B16" t="inlineStr">
        <is>
          <t>FCF Year 5</t>
        </is>
      </c>
      <c r="C16" s="12" t="n">
        <v>90</v>
      </c>
      <c r="D16" s="12" t="n">
        <v>50</v>
      </c>
      <c r="E16" t="inlineStr">
        <is>
          <t>unlevered free cash flow</t>
        </is>
      </c>
    </row>
    <row r="17">
      <c r="B17" t="inlineStr">
        <is>
          <t>Offer-premium warning</t>
        </is>
      </c>
      <c r="C17" s="8" t="n">
        <v>0.3</v>
      </c>
      <c r="D17" s="8" t="n">
        <v>0.3</v>
      </c>
      <c r="E17" t="inlineStr">
        <is>
          <t>maximum premium screen</t>
        </is>
      </c>
    </row>
    <row r="18">
      <c r="B18" t="inlineStr">
        <is>
          <t>Valuation-dispersion warning</t>
        </is>
      </c>
      <c r="C18" s="8" t="n">
        <v>0.5</v>
      </c>
      <c r="D18" s="8" t="n">
        <v>0.5</v>
      </c>
      <c r="E18" t="inlineStr">
        <is>
          <t>maximum DCF / bridge dispersion</t>
        </is>
      </c>
    </row>
    <row r="21">
      <c r="B21" t="inlineStr">
        <is>
          <t>Equity value</t>
        </is>
      </c>
      <c r="C21" s="17">
        <f>C5-C6+C7</f>
        <v/>
      </c>
      <c r="D21" s="17">
        <f>D5-D6+D7</f>
        <v/>
      </c>
    </row>
    <row r="22">
      <c r="B22" t="inlineStr">
        <is>
          <t>Bridge value / share</t>
        </is>
      </c>
      <c r="C22" s="17">
        <f>IFERROR(C21/C8,0)</f>
        <v/>
      </c>
      <c r="D22" s="17">
        <f>IFERROR(D21/D8,0)</f>
        <v/>
      </c>
    </row>
    <row r="23">
      <c r="B23" t="inlineStr">
        <is>
          <t>Offer premium</t>
        </is>
      </c>
      <c r="C23" s="31">
        <f>IFERROR(C9/C22-1,0)</f>
        <v/>
      </c>
      <c r="D23" s="31">
        <f>IFERROR(D9/D22-1,0)</f>
        <v/>
      </c>
    </row>
    <row r="24">
      <c r="B24" t="inlineStr">
        <is>
          <t>PV of forecast FCF</t>
        </is>
      </c>
      <c r="C24" s="17">
        <f>C12/(1+C10)+C13/(1+C10)^2+C14/(1+C10)^3+C15/(1+C10)^4+C16/(1+C10)^5</f>
        <v/>
      </c>
      <c r="D24" s="17">
        <f>D12/(1+D10)+D13/(1+D10)^2+D14/(1+D10)^3+D15/(1+D10)^4+D16/(1+D10)^5</f>
        <v/>
      </c>
    </row>
    <row r="25">
      <c r="B25" t="inlineStr">
        <is>
          <t>Terminal value</t>
        </is>
      </c>
      <c r="C25" s="17">
        <f>IF(C10&lt;=C11,"-",C16*(1+C11)/(C10-C11))</f>
        <v/>
      </c>
      <c r="D25" s="17">
        <f>IF(D10&lt;=D11,"-",D16*(1+D11)/(D10-D11))</f>
        <v/>
      </c>
    </row>
    <row r="26">
      <c r="B26" t="inlineStr">
        <is>
          <t>PV of terminal value</t>
        </is>
      </c>
      <c r="C26" s="17">
        <f>IF(ISNUMBER(C25),C25/(1+C10)^5,"-")</f>
        <v/>
      </c>
      <c r="D26" s="17">
        <f>IF(ISNUMBER(D25),D25/(1+D10)^5,"-")</f>
        <v/>
      </c>
    </row>
    <row r="27">
      <c r="B27" t="inlineStr">
        <is>
          <t>DCF enterprise value</t>
        </is>
      </c>
      <c r="C27" s="17">
        <f>IF(AND(ISNUMBER(C24),ISNUMBER(C26)),C24+C26,"-")</f>
        <v/>
      </c>
      <c r="D27" s="17">
        <f>IF(AND(ISNUMBER(D24),ISNUMBER(D26)),D24+D26,"-")</f>
        <v/>
      </c>
    </row>
    <row r="28">
      <c r="B28" t="inlineStr">
        <is>
          <t>DCF equity value</t>
        </is>
      </c>
      <c r="C28" s="17">
        <f>IF(ISNUMBER(C27),C27-C6+C7,"-")</f>
        <v/>
      </c>
      <c r="D28" s="17">
        <f>IF(ISNUMBER(D27),D27-D6+D7,"-")</f>
        <v/>
      </c>
    </row>
    <row r="29">
      <c r="B29" t="inlineStr">
        <is>
          <t>DCF value / share</t>
        </is>
      </c>
      <c r="C29" s="17">
        <f>IF(ISNUMBER(C28),C28/C8,"-")</f>
        <v/>
      </c>
      <c r="D29" s="17">
        <f>IF(ISNUMBER(D28),D28/D8,"-")</f>
        <v/>
      </c>
    </row>
    <row r="30">
      <c r="B30" t="inlineStr">
        <is>
          <t>DCF / bridge dispersion</t>
        </is>
      </c>
      <c r="C30" s="31">
        <f>IF(ISNUMBER(C29),ABS(C29-C22)/MAX(ABS(C22),1),"-")</f>
        <v/>
      </c>
      <c r="D30" s="31">
        <f>IF(ISNUMBER(D29),ABS(D29-D22)/MAX(ABS(D22),1),"-")</f>
        <v/>
      </c>
    </row>
    <row r="32">
      <c r="B32" s="16" t="inlineStr">
        <is>
          <t>Terminal value is invalid whenever terminal growth is greater than or equal to the discount rate.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4" customWidth="1" min="5" max="5"/>
  </cols>
  <sheetData>
    <row r="2">
      <c r="B2" s="1" t="inlineStr">
        <is>
          <t>Pro Forma EPS, Synergy, Financing, and Share Issuance</t>
        </is>
      </c>
    </row>
    <row r="4">
      <c r="B4" s="7" t="inlineStr">
        <is>
          <t>Metric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Units / control</t>
        </is>
      </c>
    </row>
    <row r="5">
      <c r="B5" t="inlineStr">
        <is>
          <t>Buyer earnings</t>
        </is>
      </c>
      <c r="C5" s="12" t="n">
        <v>100</v>
      </c>
      <c r="D5" s="12" t="n">
        <v>100</v>
      </c>
    </row>
    <row r="6">
      <c r="B6" t="inlineStr">
        <is>
          <t>Buyer diluted shares</t>
        </is>
      </c>
      <c r="C6" s="30" t="n">
        <v>100</v>
      </c>
      <c r="D6" s="30" t="n">
        <v>100</v>
      </c>
    </row>
    <row r="7">
      <c r="B7" t="inlineStr">
        <is>
          <t>Target earnings</t>
        </is>
      </c>
      <c r="C7" s="12" t="n">
        <v>10</v>
      </c>
      <c r="D7" s="12" t="n">
        <v>5</v>
      </c>
    </row>
    <row r="8">
      <c r="B8" t="inlineStr">
        <is>
          <t>After-tax synergies</t>
        </is>
      </c>
      <c r="C8" s="12" t="n">
        <v>5</v>
      </c>
      <c r="D8" s="12" t="n">
        <v>0</v>
      </c>
    </row>
    <row r="9">
      <c r="B9" t="inlineStr">
        <is>
          <t>Incremental financing cost</t>
        </is>
      </c>
      <c r="C9" s="12" t="n">
        <v>3</v>
      </c>
      <c r="D9" s="12" t="n">
        <v>20</v>
      </c>
    </row>
    <row r="10">
      <c r="B10" t="inlineStr">
        <is>
          <t>Shares issued</t>
        </is>
      </c>
      <c r="C10" s="30" t="n">
        <v>10</v>
      </c>
      <c r="D10" s="30" t="n">
        <v>50</v>
      </c>
    </row>
    <row r="11">
      <c r="B11" t="inlineStr">
        <is>
          <t>Minimum accretion</t>
        </is>
      </c>
      <c r="C11" s="8" t="n">
        <v>0</v>
      </c>
      <c r="D11" s="8" t="n">
        <v>0</v>
      </c>
    </row>
    <row r="14">
      <c r="B14" t="inlineStr">
        <is>
          <t>Standalone EPS</t>
        </is>
      </c>
      <c r="C14" s="17">
        <f>IFERROR(C5/C6,0)</f>
        <v/>
      </c>
      <c r="D14" s="17">
        <f>IFERROR(D5/D6,0)</f>
        <v/>
      </c>
    </row>
    <row r="15">
      <c r="B15" t="inlineStr">
        <is>
          <t>Pro forma earnings</t>
        </is>
      </c>
      <c r="C15" s="17">
        <f>C5+C7+C8-C9</f>
        <v/>
      </c>
      <c r="D15" s="17">
        <f>D5+D7+D8-D9</f>
        <v/>
      </c>
    </row>
    <row r="16">
      <c r="B16" t="inlineStr">
        <is>
          <t>Pro forma shares</t>
        </is>
      </c>
      <c r="C16" s="17">
        <f>C6+C10</f>
        <v/>
      </c>
      <c r="D16" s="17">
        <f>D6+D10</f>
        <v/>
      </c>
    </row>
    <row r="17">
      <c r="B17" t="inlineStr">
        <is>
          <t>Pro forma EPS</t>
        </is>
      </c>
      <c r="C17" s="17">
        <f>IFERROR(C15/C16,0)</f>
        <v/>
      </c>
      <c r="D17" s="17">
        <f>IFERROR(D15/D16,0)</f>
        <v/>
      </c>
    </row>
    <row r="18">
      <c r="B18" t="inlineStr">
        <is>
          <t>EPS accretion / dilution</t>
        </is>
      </c>
      <c r="C18" s="31">
        <f>IFERROR(C17/C14-1,0)</f>
        <v/>
      </c>
      <c r="D18" s="31">
        <f>IFERROR(D17/D14-1,0)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48" customWidth="1" min="5" max="5"/>
  </cols>
  <sheetData>
    <row r="2">
      <c r="B2" s="1" t="inlineStr">
        <is>
          <t>Bridge, DCF, Offer, and Transaction Decision Reconciliation</t>
        </is>
      </c>
    </row>
    <row r="4">
      <c r="B4" s="7" t="inlineStr">
        <is>
          <t>Valuation method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Decision use</t>
        </is>
      </c>
    </row>
    <row r="5">
      <c r="B5" t="inlineStr">
        <is>
          <t>Enterprise-to-equity bridge / share</t>
        </is>
      </c>
      <c r="C5" s="17">
        <f>'Transaction Analysis'!C22</f>
        <v/>
      </c>
      <c r="D5" s="17">
        <f>'Transaction Analysis'!D22</f>
        <v/>
      </c>
      <c r="E5" t="inlineStr">
        <is>
          <t>capital-structure bridge</t>
        </is>
      </c>
    </row>
    <row r="6">
      <c r="B6" t="inlineStr">
        <is>
          <t>DCF value / share</t>
        </is>
      </c>
      <c r="C6" s="17">
        <f>'Transaction Analysis'!C29</f>
        <v/>
      </c>
      <c r="D6" s="17">
        <f>'Transaction Analysis'!D29</f>
        <v/>
      </c>
      <c r="E6" t="inlineStr">
        <is>
          <t>intrinsic value and terminal-value sensitivity</t>
        </is>
      </c>
    </row>
    <row r="7">
      <c r="B7" t="inlineStr">
        <is>
          <t>Offer price</t>
        </is>
      </c>
      <c r="C7" s="17">
        <f>'Transaction Analysis'!C9</f>
        <v/>
      </c>
      <c r="D7" s="17">
        <f>'Transaction Analysis'!D9</f>
        <v/>
      </c>
      <c r="E7" t="inlineStr">
        <is>
          <t>consideration and premium</t>
        </is>
      </c>
    </row>
    <row r="8">
      <c r="B8" t="inlineStr">
        <is>
          <t>EPS accretion / dilution</t>
        </is>
      </c>
      <c r="C8" s="31">
        <f>'Accretion Dilution'!C18</f>
        <v/>
      </c>
      <c r="D8" s="31">
        <f>'Accretion Dilution'!D18</f>
        <v/>
      </c>
      <c r="E8" t="inlineStr">
        <is>
          <t>buyer shareholder impact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4" customWidth="1" min="5" max="5"/>
  </cols>
  <sheetData>
    <row r="2">
      <c r="B2" s="1" t="inlineStr">
        <is>
          <t>Investment Banking Decision Dashboard and Independent Checks</t>
        </is>
      </c>
    </row>
    <row r="4">
      <c r="B4" s="7" t="inlineStr">
        <is>
          <t>Check / decision</t>
        </is>
      </c>
      <c r="C4" s="7" t="inlineStr">
        <is>
          <t>Metric</t>
        </is>
      </c>
      <c r="D4" s="7" t="inlineStr">
        <is>
          <t>Status</t>
        </is>
      </c>
      <c r="E4" s="7" t="inlineStr">
        <is>
          <t>Interpretation / action</t>
        </is>
      </c>
    </row>
    <row r="5">
      <c r="B5" t="inlineStr">
        <is>
          <t>Enterprise-to-equity bridge residual</t>
        </is>
      </c>
      <c r="C5" s="32">
        <f>'Transaction Analysis'!C5-'Transaction Analysis'!C6+'Transaction Analysis'!C7-'Transaction Analysis'!C21</f>
        <v/>
      </c>
      <c r="D5" s="29">
        <f>IF(ABS(C5)&lt;0.01,"PASS","FAIL")</f>
        <v/>
      </c>
      <c r="E5" t="inlineStr">
        <is>
          <t>Enterprise value must reconcile to equity value through debt and cash.</t>
        </is>
      </c>
    </row>
    <row r="6">
      <c r="B6" t="inlineStr">
        <is>
          <t>Per-share residual</t>
        </is>
      </c>
      <c r="C6" s="32">
        <f>'Transaction Analysis'!C21-'Transaction Analysis'!C22*'Transaction Analysis'!C8</f>
        <v/>
      </c>
      <c r="D6" s="29">
        <f>IF(ABS(C6)&lt;0.01,"PASS","FAIL")</f>
        <v/>
      </c>
      <c r="E6" t="inlineStr">
        <is>
          <t>Equity value must equal diluted shares times per-share value.</t>
        </is>
      </c>
    </row>
    <row r="7">
      <c r="B7" t="inlineStr">
        <is>
          <t>Terminal-value validity</t>
        </is>
      </c>
      <c r="C7" s="32">
        <f>'Transaction Analysis'!D10-'Transaction Analysis'!D11</f>
        <v/>
      </c>
      <c r="D7" s="29">
        <f>IF(C7&gt;0,"PASS","BREACH")</f>
        <v/>
      </c>
      <c r="E7" t="inlineStr">
        <is>
          <t>Discount rate must exceed terminal growth.</t>
        </is>
      </c>
    </row>
    <row r="8">
      <c r="B8" t="inlineStr">
        <is>
          <t>Adversarial offer premium</t>
        </is>
      </c>
      <c r="C8" s="32">
        <f>'Transaction Analysis'!D23</f>
        <v/>
      </c>
      <c r="D8" s="29">
        <f>IF(C8&lt;='Transaction Analysis'!D17,"PASS","BREACH")</f>
        <v/>
      </c>
      <c r="E8" t="inlineStr">
        <is>
          <t>Escalate premiums above the approved transaction threshold.</t>
        </is>
      </c>
    </row>
    <row r="9">
      <c r="B9" t="inlineStr">
        <is>
          <t>Adversarial EPS accretion</t>
        </is>
      </c>
      <c r="C9" s="32">
        <f>'Accretion Dilution'!D18</f>
        <v/>
      </c>
      <c r="D9" s="29">
        <f>IF(C9&gt;='Accretion Dilution'!D11,"PASS","BREACH")</f>
        <v/>
      </c>
      <c r="E9" t="inlineStr">
        <is>
          <t>Transaction economics must not dilute buyer EPS beyond the approved boundary.</t>
        </is>
      </c>
    </row>
    <row r="10">
      <c r="B10" t="inlineStr">
        <is>
          <t>Adversarial valuation dispersion</t>
        </is>
      </c>
      <c r="C10" s="32">
        <f>'Transaction Analysis'!D30</f>
        <v/>
      </c>
      <c r="D10" s="29">
        <f>IF(AND(ISNUMBER(C10),C10&lt;='Transaction Analysis'!D18),"PASS","BREACH")</f>
        <v/>
      </c>
      <c r="E10" t="inlineStr">
        <is>
          <t>Bridge and DCF values require reconciliation before committee use.</t>
        </is>
      </c>
    </row>
    <row r="12">
      <c r="B12" s="2" t="inlineStr">
        <is>
          <t>Overall model status</t>
        </is>
      </c>
      <c r="C12" s="33">
        <f>IF(COUNTIF(D5:D10,"FAIL")+COUNTIF(D5:D10,"BREACH")&gt;0,"BREACH",IF(COUNTIF(D5:D10,"REVIEW")&gt;0,"REVIEW","PASS"))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2026-10-01T14:18:31Z</dcterms:created>
  <dcterms:modified xmlns:dcterms="http://purl.org/dc/terms/" xmlns:xsi="http://www.w3.org/2001/XMLSchema-instance" xsi:type="dcterms:W3CDTF">2026-10-01T14:18:32Z</dcterms:modified>
</cp:coreProperties>
</file>