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<sst xmlns="http://schemas.openxmlformats.org/spreadsheetml/2006/main" count="443" uniqueCount="289">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</sst>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19</v>
      </c>
      <c r="C2" s="8"/>
      <c r="D2" s="8"/>
      <c r="E2" s="8"/>
      <c r="F2" s="8"/>
    </row>
    <row r="4" customFormat="false" ht="15" hidden="false" customHeight="true" outlineLevel="0" collapsed="false">
      <c r="B4" s="9" t="s">
        <v>20</v>
      </c>
      <c r="C4" s="10" t="s">
        <v>21</v>
      </c>
      <c r="D4" s="10"/>
      <c r="E4" s="10"/>
      <c r="F4" s="10"/>
    </row>
    <row r="5" customFormat="false" ht="15" hidden="false" customHeight="true" outlineLevel="0" collapsed="false">
      <c r="B5" s="9" t="s">
        <v>22</v>
      </c>
      <c r="C5" s="10" t="s">
        <v>23</v>
      </c>
      <c r="D5" s="10"/>
      <c r="E5" s="10"/>
      <c r="F5" s="10"/>
    </row>
    <row r="6" customFormat="false" ht="15" hidden="false" customHeight="true" outlineLevel="0" collapsed="false">
      <c r="B6" s="9" t="s">
        <v>24</v>
      </c>
      <c r="C6" s="10" t="s">
        <v>25</v>
      </c>
      <c r="D6" s="10"/>
      <c r="E6" s="10"/>
      <c r="F6" s="10"/>
    </row>
    <row r="7" customFormat="false" ht="15" hidden="false" customHeight="true" outlineLevel="0" collapsed="false">
      <c r="B7" s="9" t="s">
        <v>26</v>
      </c>
      <c r="C7" s="10" t="s">
        <v>27</v>
      </c>
      <c r="D7" s="10"/>
      <c r="E7" s="10"/>
      <c r="F7" s="10"/>
    </row>
    <row r="8" customFormat="false" ht="15" hidden="false" customHeight="true" outlineLevel="0" collapsed="false">
      <c r="B8" s="9" t="s">
        <v>28</v>
      </c>
      <c r="C8" s="10" t="s">
        <v>29</v>
      </c>
      <c r="D8" s="10"/>
      <c r="E8" s="10"/>
      <c r="F8" s="10"/>
    </row>
    <row r="9" customFormat="false" ht="15" hidden="false" customHeight="true" outlineLevel="0" collapsed="false">
      <c r="B9" s="9" t="s">
        <v>30</v>
      </c>
      <c r="C9" s="10" t="s">
        <v>31</v>
      </c>
      <c r="D9" s="10"/>
      <c r="E9" s="10"/>
      <c r="F9" s="10"/>
    </row>
    <row r="10" customFormat="false" ht="15" hidden="false" customHeight="true" outlineLevel="0" collapsed="false">
      <c r="B10" s="9" t="s">
        <v>32</v>
      </c>
      <c r="C10" s="10" t="s">
        <v>33</v>
      </c>
      <c r="D10" s="10"/>
      <c r="E10" s="10"/>
      <c r="F10" s="10"/>
    </row>
    <row r="12" customFormat="false" ht="15" hidden="false" customHeight="false" outlineLevel="0" collapsed="false">
      <c r="B12" s="11" t="s">
        <v>34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35</v>
      </c>
      <c r="C13" s="12" t="s">
        <v>36</v>
      </c>
      <c r="D13" s="12" t="s">
        <v>37</v>
      </c>
      <c r="E13" s="12" t="s">
        <v>38</v>
      </c>
      <c r="F13" s="12" t="s">
        <v>39</v>
      </c>
    </row>
    <row r="14" customFormat="false" ht="15" hidden="false" customHeight="false" outlineLevel="0" collapsed="false">
      <c r="B14" s="0" t="n">
        <v>1</v>
      </c>
      <c r="C14" s="0" t="s">
        <v>40</v>
      </c>
      <c r="F14" s="13" t="s">
        <v>41</v>
      </c>
    </row>
    <row r="15" customFormat="false" ht="15" hidden="false" customHeight="false" outlineLevel="0" collapsed="false">
      <c r="B15" s="0" t="n">
        <v>2</v>
      </c>
      <c r="C15" s="0" t="s">
        <v>42</v>
      </c>
      <c r="F15" s="13" t="s">
        <v>41</v>
      </c>
    </row>
    <row r="16" customFormat="false" ht="15" hidden="false" customHeight="false" outlineLevel="0" collapsed="false">
      <c r="B16" s="0" t="n">
        <v>3</v>
      </c>
      <c r="C16" s="0" t="s">
        <v>43</v>
      </c>
      <c r="F16" s="13" t="s">
        <v>41</v>
      </c>
    </row>
    <row r="17" customFormat="false" ht="15" hidden="false" customHeight="false" outlineLevel="0" collapsed="false">
      <c r="B17" s="0" t="n">
        <v>4</v>
      </c>
      <c r="C17" s="0" t="s">
        <v>44</v>
      </c>
      <c r="F17" s="13" t="s">
        <v>41</v>
      </c>
    </row>
    <row r="18" customFormat="false" ht="15" hidden="false" customHeight="false" outlineLevel="0" collapsed="false">
      <c r="B18" s="0" t="n">
        <v>5</v>
      </c>
      <c r="C18" s="0" t="s">
        <v>45</v>
      </c>
      <c r="F18" s="13" t="s">
        <v>41</v>
      </c>
    </row>
    <row r="20" customFormat="false" ht="15" hidden="false" customHeight="false" outlineLevel="0" collapsed="false">
      <c r="B20" s="11" t="s">
        <v>46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35</v>
      </c>
      <c r="C21" s="12" t="s">
        <v>36</v>
      </c>
      <c r="D21" s="12" t="s">
        <v>37</v>
      </c>
      <c r="E21" s="12" t="s">
        <v>38</v>
      </c>
      <c r="F21" s="12" t="s">
        <v>39</v>
      </c>
    </row>
    <row r="22" customFormat="false" ht="15" hidden="false" customHeight="false" outlineLevel="0" collapsed="false">
      <c r="B22" s="0" t="n">
        <v>1</v>
      </c>
      <c r="C22" s="0" t="s">
        <v>47</v>
      </c>
      <c r="F22" s="13" t="s">
        <v>41</v>
      </c>
    </row>
    <row r="23" customFormat="false" ht="15" hidden="false" customHeight="false" outlineLevel="0" collapsed="false">
      <c r="B23" s="0" t="n">
        <v>2</v>
      </c>
      <c r="C23" s="0" t="s">
        <v>48</v>
      </c>
      <c r="F23" s="13" t="s">
        <v>41</v>
      </c>
    </row>
    <row r="24" customFormat="false" ht="15" hidden="false" customHeight="false" outlineLevel="0" collapsed="false">
      <c r="B24" s="0" t="n">
        <v>3</v>
      </c>
      <c r="C24" s="0" t="s">
        <v>49</v>
      </c>
      <c r="F24" s="13" t="s">
        <v>41</v>
      </c>
    </row>
    <row r="25" customFormat="false" ht="15" hidden="false" customHeight="false" outlineLevel="0" collapsed="false">
      <c r="B25" s="0" t="n">
        <v>4</v>
      </c>
      <c r="C25" s="0" t="s">
        <v>50</v>
      </c>
      <c r="F25" s="13" t="s">
        <v>41</v>
      </c>
    </row>
    <row r="26" customFormat="false" ht="15" hidden="false" customHeight="false" outlineLevel="0" collapsed="false">
      <c r="B26" s="0" t="n">
        <v>5</v>
      </c>
      <c r="C26" s="0" t="s">
        <v>51</v>
      </c>
      <c r="F26" s="13" t="s">
        <v>41</v>
      </c>
    </row>
    <row r="28" customFormat="false" ht="15" hidden="false" customHeight="false" outlineLevel="0" collapsed="false">
      <c r="B28" s="11" t="s">
        <v>52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35</v>
      </c>
      <c r="C29" s="12" t="s">
        <v>36</v>
      </c>
      <c r="D29" s="12" t="s">
        <v>37</v>
      </c>
      <c r="E29" s="12" t="s">
        <v>38</v>
      </c>
      <c r="F29" s="12" t="s">
        <v>39</v>
      </c>
    </row>
    <row r="30" customFormat="false" ht="15" hidden="false" customHeight="false" outlineLevel="0" collapsed="false">
      <c r="B30" s="0" t="n">
        <v>1</v>
      </c>
      <c r="C30" s="0" t="s">
        <v>53</v>
      </c>
      <c r="F30" s="13" t="s">
        <v>41</v>
      </c>
    </row>
    <row r="31" customFormat="false" ht="15" hidden="false" customHeight="false" outlineLevel="0" collapsed="false">
      <c r="B31" s="0" t="n">
        <v>2</v>
      </c>
      <c r="C31" s="0" t="s">
        <v>54</v>
      </c>
      <c r="F31" s="13" t="s">
        <v>41</v>
      </c>
    </row>
    <row r="32" customFormat="false" ht="15" hidden="false" customHeight="false" outlineLevel="0" collapsed="false">
      <c r="B32" s="0" t="n">
        <v>3</v>
      </c>
      <c r="C32" s="0" t="s">
        <v>55</v>
      </c>
      <c r="F32" s="13" t="s">
        <v>41</v>
      </c>
    </row>
    <row r="33" customFormat="false" ht="15" hidden="false" customHeight="false" outlineLevel="0" collapsed="false">
      <c r="B33" s="0" t="n">
        <v>4</v>
      </c>
      <c r="C33" s="0" t="s">
        <v>56</v>
      </c>
      <c r="F33" s="13" t="s">
        <v>41</v>
      </c>
    </row>
    <row r="34" customFormat="false" ht="15" hidden="false" customHeight="false" outlineLevel="0" collapsed="false">
      <c r="B34" s="0" t="n">
        <v>5</v>
      </c>
      <c r="C34" s="0" t="s">
        <v>57</v>
      </c>
      <c r="F34" s="13" t="s">
        <v>41</v>
      </c>
    </row>
    <row r="36" customFormat="false" ht="15" hidden="false" customHeight="false" outlineLevel="0" collapsed="false">
      <c r="B36" s="11" t="s">
        <v>58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35</v>
      </c>
      <c r="C37" s="12" t="s">
        <v>36</v>
      </c>
      <c r="D37" s="12" t="s">
        <v>37</v>
      </c>
      <c r="E37" s="12" t="s">
        <v>38</v>
      </c>
      <c r="F37" s="12" t="s">
        <v>39</v>
      </c>
    </row>
    <row r="38" customFormat="false" ht="15" hidden="false" customHeight="false" outlineLevel="0" collapsed="false">
      <c r="B38" s="0" t="n">
        <v>1</v>
      </c>
      <c r="C38" s="0" t="s">
        <v>59</v>
      </c>
      <c r="F38" s="13" t="s">
        <v>41</v>
      </c>
    </row>
    <row r="39" customFormat="false" ht="15" hidden="false" customHeight="false" outlineLevel="0" collapsed="false">
      <c r="B39" s="0" t="n">
        <v>2</v>
      </c>
      <c r="C39" s="0" t="s">
        <v>60</v>
      </c>
      <c r="F39" s="13" t="s">
        <v>41</v>
      </c>
    </row>
    <row r="40" customFormat="false" ht="15" hidden="false" customHeight="false" outlineLevel="0" collapsed="false">
      <c r="B40" s="0" t="n">
        <v>3</v>
      </c>
      <c r="C40" s="0" t="s">
        <v>61</v>
      </c>
      <c r="F40" s="13" t="s">
        <v>41</v>
      </c>
    </row>
    <row r="41" customFormat="false" ht="15" hidden="false" customHeight="false" outlineLevel="0" collapsed="false">
      <c r="B41" s="0" t="n">
        <v>4</v>
      </c>
      <c r="C41" s="0" t="s">
        <v>62</v>
      </c>
      <c r="F41" s="13" t="s">
        <v>41</v>
      </c>
    </row>
    <row r="42" customFormat="false" ht="15" hidden="false" customHeight="false" outlineLevel="0" collapsed="false">
      <c r="B42" s="0" t="n">
        <v>5</v>
      </c>
      <c r="C42" s="0" t="s">
        <v>63</v>
      </c>
      <c r="F42" s="13" t="s">
        <v>41</v>
      </c>
    </row>
    <row r="44" customFormat="false" ht="15" hidden="false" customHeight="false" outlineLevel="0" collapsed="false">
      <c r="B44" s="11" t="s">
        <v>64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35</v>
      </c>
      <c r="C45" s="12" t="s">
        <v>36</v>
      </c>
      <c r="D45" s="12" t="s">
        <v>37</v>
      </c>
      <c r="E45" s="12" t="s">
        <v>38</v>
      </c>
      <c r="F45" s="12" t="s">
        <v>39</v>
      </c>
    </row>
    <row r="46" customFormat="false" ht="15" hidden="false" customHeight="false" outlineLevel="0" collapsed="false">
      <c r="B46" s="0" t="n">
        <v>1</v>
      </c>
      <c r="C46" s="0" t="s">
        <v>65</v>
      </c>
      <c r="F46" s="13" t="s">
        <v>41</v>
      </c>
    </row>
    <row r="47" customFormat="false" ht="15" hidden="false" customHeight="false" outlineLevel="0" collapsed="false">
      <c r="B47" s="0" t="n">
        <v>2</v>
      </c>
      <c r="C47" s="0" t="s">
        <v>66</v>
      </c>
      <c r="F47" s="13" t="s">
        <v>41</v>
      </c>
    </row>
    <row r="48" customFormat="false" ht="15" hidden="false" customHeight="false" outlineLevel="0" collapsed="false">
      <c r="B48" s="0" t="n">
        <v>3</v>
      </c>
      <c r="C48" s="0" t="s">
        <v>67</v>
      </c>
      <c r="F48" s="13" t="s">
        <v>41</v>
      </c>
    </row>
    <row r="49" customFormat="false" ht="15" hidden="false" customHeight="false" outlineLevel="0" collapsed="false">
      <c r="B49" s="0" t="n">
        <v>4</v>
      </c>
      <c r="C49" s="0" t="s">
        <v>68</v>
      </c>
      <c r="F49" s="13" t="s">
        <v>41</v>
      </c>
    </row>
    <row r="50" customFormat="false" ht="15" hidden="false" customHeight="false" outlineLevel="0" collapsed="false">
      <c r="B50" s="0" t="n">
        <v>5</v>
      </c>
      <c r="C50" s="0" t="s">
        <v>69</v>
      </c>
      <c r="F50" s="13" t="s">
        <v>41</v>
      </c>
    </row>
    <row r="52" customFormat="false" ht="15" hidden="false" customHeight="false" outlineLevel="0" collapsed="false">
      <c r="B52" s="11" t="s">
        <v>70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35</v>
      </c>
      <c r="C53" s="12" t="s">
        <v>36</v>
      </c>
      <c r="D53" s="12" t="s">
        <v>37</v>
      </c>
      <c r="E53" s="12" t="s">
        <v>38</v>
      </c>
      <c r="F53" s="12" t="s">
        <v>39</v>
      </c>
    </row>
    <row r="54" customFormat="false" ht="15" hidden="false" customHeight="false" outlineLevel="0" collapsed="false">
      <c r="B54" s="0" t="n">
        <v>1</v>
      </c>
      <c r="C54" s="0" t="s">
        <v>71</v>
      </c>
      <c r="F54" s="13" t="s">
        <v>41</v>
      </c>
    </row>
    <row r="55" customFormat="false" ht="15" hidden="false" customHeight="false" outlineLevel="0" collapsed="false">
      <c r="B55" s="0" t="n">
        <v>2</v>
      </c>
      <c r="C55" s="0" t="s">
        <v>72</v>
      </c>
      <c r="F55" s="13" t="s">
        <v>41</v>
      </c>
    </row>
    <row r="56" customFormat="false" ht="15" hidden="false" customHeight="false" outlineLevel="0" collapsed="false">
      <c r="B56" s="0" t="n">
        <v>3</v>
      </c>
      <c r="C56" s="0" t="s">
        <v>73</v>
      </c>
      <c r="F56" s="13" t="s">
        <v>41</v>
      </c>
    </row>
    <row r="57" customFormat="false" ht="15" hidden="false" customHeight="false" outlineLevel="0" collapsed="false">
      <c r="B57" s="0" t="n">
        <v>4</v>
      </c>
      <c r="C57" s="0" t="s">
        <v>74</v>
      </c>
      <c r="F57" s="13" t="s">
        <v>41</v>
      </c>
    </row>
    <row r="58" customFormat="false" ht="15" hidden="false" customHeight="false" outlineLevel="0" collapsed="false">
      <c r="B58" s="0" t="n">
        <v>5</v>
      </c>
      <c r="C58" s="0" t="s">
        <v>75</v>
      </c>
      <c r="F58" s="13" t="s">
        <v>41</v>
      </c>
    </row>
    <row r="60" customFormat="false" ht="15" hidden="false" customHeight="false" outlineLevel="0" collapsed="false">
      <c r="B60" s="11" t="s">
        <v>76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77</v>
      </c>
      <c r="C61" s="12" t="s">
        <v>78</v>
      </c>
      <c r="D61" s="12" t="s">
        <v>79</v>
      </c>
      <c r="E61" s="12" t="s">
        <v>80</v>
      </c>
      <c r="F61" s="12" t="s">
        <v>81</v>
      </c>
    </row>
    <row r="62" customFormat="false" ht="15" hidden="false" customHeight="false" outlineLevel="0" collapsed="false">
      <c r="B62" s="0" t="s">
        <v>82</v>
      </c>
      <c r="C62" s="0" t="s">
        <v>83</v>
      </c>
      <c r="D62" s="0" t="s">
        <v>84</v>
      </c>
      <c r="E62" s="0" t="s">
        <v>85</v>
      </c>
    </row>
    <row r="63" customFormat="false" ht="15" hidden="false" customHeight="false" outlineLevel="0" collapsed="false">
      <c r="B63" s="0" t="s">
        <v>86</v>
      </c>
      <c r="C63" s="0" t="s">
        <v>87</v>
      </c>
      <c r="D63" s="0" t="s">
        <v>88</v>
      </c>
      <c r="E63" s="0" t="s">
        <v>85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89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90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39</v>
      </c>
      <c r="I4" s="12" t="s">
        <v>96</v>
      </c>
    </row>
    <row r="5" customFormat="false" ht="15" hidden="false" customHeight="false" outlineLevel="0" collapsed="false">
      <c r="D5" s="0" t="s">
        <v>65</v>
      </c>
      <c r="H5" s="13" t="s">
        <v>41</v>
      </c>
    </row>
    <row r="6" customFormat="false" ht="15" hidden="false" customHeight="false" outlineLevel="0" collapsed="false">
      <c r="D6" s="0" t="s">
        <v>66</v>
      </c>
      <c r="H6" s="13" t="s">
        <v>41</v>
      </c>
    </row>
    <row r="7" customFormat="false" ht="15" hidden="false" customHeight="false" outlineLevel="0" collapsed="false">
      <c r="D7" s="0" t="s">
        <v>67</v>
      </c>
      <c r="H7" s="13" t="s">
        <v>41</v>
      </c>
    </row>
    <row r="8" customFormat="false" ht="15" hidden="false" customHeight="false" outlineLevel="0" collapsed="false">
      <c r="D8" s="0" t="s">
        <v>68</v>
      </c>
      <c r="H8" s="13" t="s">
        <v>41</v>
      </c>
    </row>
    <row r="9" customFormat="false" ht="15" hidden="false" customHeight="false" outlineLevel="0" collapsed="false">
      <c r="D9" s="0" t="s">
        <v>69</v>
      </c>
      <c r="H9" s="13" t="s">
        <v>41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97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102</v>
      </c>
      <c r="G4" s="12" t="s">
        <v>37</v>
      </c>
      <c r="H4" s="12" t="s">
        <v>103</v>
      </c>
      <c r="I4" s="12" t="s">
        <v>104</v>
      </c>
      <c r="J4" s="12" t="s">
        <v>39</v>
      </c>
    </row>
    <row r="5" customFormat="false" ht="15" hidden="false" customHeight="false" outlineLevel="0" collapsed="false">
      <c r="B5" s="0" t="s">
        <v>105</v>
      </c>
      <c r="C5" s="0" t="s">
        <v>106</v>
      </c>
      <c r="D5" s="0" t="s">
        <v>107</v>
      </c>
      <c r="J5" s="13" t="s">
        <v>108</v>
      </c>
    </row>
    <row r="6" customFormat="false" ht="15" hidden="false" customHeight="false" outlineLevel="0" collapsed="false">
      <c r="B6" s="0" t="s">
        <v>109</v>
      </c>
      <c r="C6" s="0" t="s">
        <v>110</v>
      </c>
      <c r="D6" s="0" t="s">
        <v>111</v>
      </c>
      <c r="J6" s="13" t="s">
        <v>108</v>
      </c>
    </row>
    <row r="7" customFormat="false" ht="15" hidden="false" customHeight="false" outlineLevel="0" collapsed="false">
      <c r="B7" s="0" t="s">
        <v>112</v>
      </c>
      <c r="C7" s="0" t="s">
        <v>113</v>
      </c>
      <c r="D7" s="0" t="s">
        <v>114</v>
      </c>
      <c r="J7" s="13" t="s">
        <v>108</v>
      </c>
    </row>
    <row r="8" customFormat="false" ht="15" hidden="false" customHeight="false" outlineLevel="0" collapsed="false">
      <c r="B8" s="0" t="s">
        <v>115</v>
      </c>
      <c r="C8" s="0" t="s">
        <v>116</v>
      </c>
      <c r="D8" s="0" t="s">
        <v>117</v>
      </c>
      <c r="J8" s="13" t="s">
        <v>108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A4" s="14"/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</row>
    <row r="5" customFormat="false" ht="15" hidden="false" customHeight="false" outlineLevel="0" collapsed="false">
      <c r="B5" s="4" t="s">
        <v>126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6" t="s">
        <v>127</v>
      </c>
    </row>
    <row r="6" customFormat="false" ht="15" hidden="false" customHeight="false" outlineLevel="0" collapsed="false">
      <c r="B6" s="4" t="s">
        <v>128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6" t="s">
        <v>127</v>
      </c>
    </row>
    <row r="7" customFormat="false" ht="15" hidden="false" customHeight="false" outlineLevel="0" collapsed="false">
      <c r="B7" s="4" t="s">
        <v>129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6" t="s">
        <v>127</v>
      </c>
    </row>
    <row r="8" customFormat="false" ht="15" hidden="false" customHeight="false" outlineLevel="0" collapsed="false">
      <c r="B8" s="4" t="s">
        <v>130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6" t="s">
        <v>127</v>
      </c>
    </row>
    <row r="9" customFormat="false" ht="15" hidden="false" customHeight="false" outlineLevel="0" collapsed="false">
      <c r="B9" s="4" t="s">
        <v>131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6" t="s">
        <v>127</v>
      </c>
    </row>
    <row r="10" customFormat="false" ht="15" hidden="false" customHeight="false" outlineLevel="0" collapsed="false">
      <c r="B10" s="4" t="s">
        <v>132</v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6" t="s">
        <v>127</v>
      </c>
    </row>
    <row r="11" customFormat="false" ht="15" hidden="false" customHeight="false" outlineLevel="0" collapsed="false">
      <c r="B11" s="4" t="s">
        <v>133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6" t="s">
        <v>127</v>
      </c>
    </row>
    <row r="12" customFormat="false" ht="15" hidden="false" customHeight="false" outlineLevel="0" collapsed="false">
      <c r="B12" s="4" t="s">
        <v>134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6" t="s">
        <v>127</v>
      </c>
    </row>
    <row r="13" customFormat="false" ht="15" hidden="false" customHeight="false" outlineLevel="0" collapsed="false">
      <c r="B13" s="4" t="s">
        <v>135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6" t="s">
        <v>127</v>
      </c>
    </row>
    <row r="14" customFormat="false" ht="15" hidden="false" customHeight="false" outlineLevel="0" collapsed="false">
      <c r="B14" s="4" t="s">
        <v>136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A4" s="14"/>
      <c r="B4" s="14" t="s">
        <v>138</v>
      </c>
      <c r="C4" s="14" t="s">
        <v>139</v>
      </c>
      <c r="D4" s="14" t="s">
        <v>140</v>
      </c>
      <c r="E4" s="14" t="s">
        <v>141</v>
      </c>
      <c r="F4" s="14" t="s">
        <v>142</v>
      </c>
      <c r="G4" s="14" t="s">
        <v>143</v>
      </c>
      <c r="H4" s="14" t="s">
        <v>144</v>
      </c>
      <c r="I4" s="14" t="s">
        <v>145</v>
      </c>
    </row>
    <row r="5" customFormat="false" ht="15" hidden="false" customHeight="false" outlineLevel="0" collapsed="false">
      <c r="B5" s="2" t="s">
        <v>146</v>
      </c>
      <c r="C5" s="19"/>
      <c r="D5" s="19"/>
      <c r="E5" s="19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4" t="s">
        <v>126</v>
      </c>
      <c r="C6" s="20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4" t="s">
        <v>147</v>
      </c>
      <c r="C7" s="19"/>
      <c r="D7" s="19"/>
      <c r="E7" s="19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148</v>
      </c>
      <c r="C8" s="19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4" t="s">
        <v>128</v>
      </c>
      <c r="C9" s="20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4" t="s">
        <v>149</v>
      </c>
      <c r="C10" s="19"/>
      <c r="D10" s="19"/>
      <c r="E10" s="19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150</v>
      </c>
      <c r="C11" s="19"/>
      <c r="D11" s="19"/>
      <c r="E11" s="19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4" t="s">
        <v>151</v>
      </c>
      <c r="C12" s="20"/>
      <c r="D12" s="20"/>
      <c r="E12" s="20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4" t="s">
        <v>152</v>
      </c>
      <c r="C13" s="19"/>
      <c r="D13" s="19"/>
      <c r="E13" s="19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153</v>
      </c>
      <c r="C14" s="19"/>
      <c r="D14" s="19"/>
      <c r="E14" s="19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4" t="s">
        <v>154</v>
      </c>
      <c r="C15" s="19"/>
      <c r="D15" s="19"/>
      <c r="E15" s="19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4" t="s">
        <v>155</v>
      </c>
      <c r="C16" s="19"/>
      <c r="D16" s="19"/>
      <c r="E16" s="19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4" t="s">
        <v>156</v>
      </c>
      <c r="C17" s="19"/>
      <c r="D17" s="19"/>
      <c r="E17" s="19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157</v>
      </c>
      <c r="C18" s="19"/>
      <c r="D18" s="19"/>
      <c r="E18" s="19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4" t="s">
        <v>158</v>
      </c>
      <c r="C19" s="19"/>
      <c r="D19" s="19"/>
      <c r="E19" s="19"/>
      <c r="F19" s="19" t="n">
        <f aca="false">Assumptions!C12</f>
        <v>0</v>
      </c>
      <c r="G19" s="19" t="n">
        <f aca="false">Assumptions!D12</f>
        <v>0</v>
      </c>
      <c r="H19" s="19" t="n">
        <f aca="false">Assumptions!E12</f>
        <v>0</v>
      </c>
      <c r="I19" s="19" t="n">
        <f aca="false">Assumptions!F12</f>
        <v>0</v>
      </c>
    </row>
    <row r="20" customFormat="false" ht="15" hidden="false" customHeight="false" outlineLevel="0" collapsed="false">
      <c r="B20" s="4" t="s">
        <v>159</v>
      </c>
      <c r="C20" s="19"/>
      <c r="D20" s="19"/>
      <c r="E20" s="19"/>
      <c r="F20" s="19" t="str">
        <f aca="false">IFERROR(F18/F19,"-")</f>
        <v>-</v>
      </c>
      <c r="G20" s="19" t="str">
        <f aca="false">IFERROR(G18/G19,"-")</f>
        <v>-</v>
      </c>
      <c r="H20" s="19" t="str">
        <f aca="false">IFERROR(H18/H19,"-")</f>
        <v>-</v>
      </c>
      <c r="I20" s="19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161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4" t="s">
        <v>162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4" t="s">
        <v>163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164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165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4" t="s">
        <v>166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167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4" t="s">
        <v>168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169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170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4" t="s">
        <v>171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172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173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174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157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4" t="s">
        <v>176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4" t="s">
        <v>177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178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179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180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4" t="s">
        <v>181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4" t="s">
        <v>182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183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C4" s="14" t="s">
        <v>142</v>
      </c>
      <c r="D4" s="14" t="s">
        <v>143</v>
      </c>
      <c r="E4" s="14" t="s">
        <v>144</v>
      </c>
      <c r="F4" s="14" t="s">
        <v>145</v>
      </c>
      <c r="G4" s="14" t="s">
        <v>185</v>
      </c>
      <c r="H4" s="2" t="s">
        <v>186</v>
      </c>
    </row>
    <row r="5" customFormat="false" ht="15" hidden="false" customHeight="false" outlineLevel="0" collapsed="false">
      <c r="B5" s="0" t="s">
        <v>187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13" t="s">
        <v>188</v>
      </c>
      <c r="I5" s="25" t="n">
        <v>0.1</v>
      </c>
    </row>
    <row r="6" customFormat="false" ht="15" hidden="false" customHeight="false" outlineLevel="0" collapsed="false">
      <c r="B6" s="0" t="s">
        <v>189</v>
      </c>
      <c r="C6" s="26" t="n">
        <f aca="false">1/(1+$I$5)^(1)</f>
        <v>0.909090909090909</v>
      </c>
      <c r="D6" s="26" t="n">
        <f aca="false">1/(1+$I$5)^(2)</f>
        <v>0.826446280991735</v>
      </c>
      <c r="E6" s="26" t="n">
        <f aca="false">1/(1+$I$5)^(3)</f>
        <v>0.751314800901578</v>
      </c>
      <c r="F6" s="26" t="n">
        <f aca="false">1/(1+$I$5)^(4)</f>
        <v>0.683013455365071</v>
      </c>
      <c r="G6" s="26" t="n">
        <f aca="false">1/(1+$I$5)^(5)</f>
        <v>0.620921323059155</v>
      </c>
      <c r="H6" s="13" t="s">
        <v>190</v>
      </c>
      <c r="I6" s="25" t="n">
        <v>0.025</v>
      </c>
    </row>
    <row r="7" customFormat="false" ht="15" hidden="false" customHeight="false" outlineLevel="0" collapsed="false">
      <c r="B7" s="0" t="s">
        <v>191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13" t="s">
        <v>192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193</v>
      </c>
      <c r="I8" s="27" t="n">
        <f aca="false">I7*G6</f>
        <v>0</v>
      </c>
    </row>
    <row r="9" customFormat="false" ht="15" hidden="false" customHeight="false" outlineLevel="0" collapsed="false">
      <c r="H9" s="0" t="s">
        <v>194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195</v>
      </c>
      <c r="I10" s="28" t="n">
        <f aca="false">I8+I9</f>
        <v>0</v>
      </c>
    </row>
    <row r="11" customFormat="false" ht="15" hidden="false" customHeight="false" outlineLevel="0" collapsed="false">
      <c r="H11" s="0" t="s">
        <v>196</v>
      </c>
      <c r="I11" s="29" t="n">
        <v>0</v>
      </c>
    </row>
    <row r="12" customFormat="false" ht="15" hidden="false" customHeight="false" outlineLevel="0" collapsed="false">
      <c r="H12" s="0" t="s">
        <v>197</v>
      </c>
      <c r="I12" s="28" t="n">
        <f aca="false">I10-I11</f>
        <v>0</v>
      </c>
    </row>
    <row r="13" customFormat="false" ht="15" hidden="false" customHeight="false" outlineLevel="0" collapsed="false">
      <c r="H13" s="0" t="s">
        <v>198</v>
      </c>
      <c r="I13" s="29" t="n">
        <v>1</v>
      </c>
    </row>
    <row r="14" customFormat="false" ht="15" hidden="false" customHeight="false" outlineLevel="0" collapsed="false">
      <c r="H14" s="0" t="s">
        <v>199</v>
      </c>
      <c r="I14" s="28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200</v>
      </c>
    </row>
    <row r="4" customFormat="false" ht="15" hidden="false" customHeight="false" outlineLevel="0" collapsed="false">
      <c r="A4" s="14"/>
      <c r="B4" s="14" t="s">
        <v>201</v>
      </c>
      <c r="C4" s="14" t="s">
        <v>202</v>
      </c>
      <c r="D4" s="14" t="s">
        <v>203</v>
      </c>
      <c r="E4" s="14" t="s">
        <v>204</v>
      </c>
      <c r="F4" s="14" t="s">
        <v>205</v>
      </c>
      <c r="G4" s="14" t="s">
        <v>206</v>
      </c>
      <c r="H4" s="14" t="s">
        <v>207</v>
      </c>
    </row>
    <row r="5" customFormat="false" ht="15" hidden="false" customHeight="false" outlineLevel="0" collapsed="false">
      <c r="B5" s="3" t="s">
        <v>208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208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208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208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208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208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208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209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210</v>
      </c>
    </row>
    <row r="4" customFormat="false" ht="15" hidden="false" customHeight="false" outlineLevel="0" collapsed="false">
      <c r="B4" s="32" t="s">
        <v>211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212</v>
      </c>
      <c r="D5" s="21" t="s">
        <v>212</v>
      </c>
      <c r="E5" s="21" t="s">
        <v>212</v>
      </c>
      <c r="F5" s="21" t="s">
        <v>212</v>
      </c>
      <c r="G5" s="21" t="s">
        <v>212</v>
      </c>
    </row>
    <row r="6" customFormat="false" ht="15" hidden="false" customHeight="false" outlineLevel="0" collapsed="false">
      <c r="B6" s="33" t="n">
        <v>0.09</v>
      </c>
      <c r="C6" s="21" t="s">
        <v>212</v>
      </c>
      <c r="D6" s="21" t="s">
        <v>212</v>
      </c>
      <c r="E6" s="21" t="s">
        <v>212</v>
      </c>
      <c r="F6" s="21" t="s">
        <v>212</v>
      </c>
      <c r="G6" s="21" t="s">
        <v>212</v>
      </c>
    </row>
    <row r="7" customFormat="false" ht="15" hidden="false" customHeight="false" outlineLevel="0" collapsed="false">
      <c r="B7" s="33" t="n">
        <v>0.1</v>
      </c>
      <c r="C7" s="21" t="s">
        <v>212</v>
      </c>
      <c r="D7" s="21" t="s">
        <v>212</v>
      </c>
      <c r="E7" s="21" t="s">
        <v>212</v>
      </c>
      <c r="F7" s="21" t="s">
        <v>212</v>
      </c>
      <c r="G7" s="21" t="s">
        <v>212</v>
      </c>
    </row>
    <row r="8" customFormat="false" ht="15" hidden="false" customHeight="false" outlineLevel="0" collapsed="false">
      <c r="B8" s="33" t="n">
        <v>0.11</v>
      </c>
      <c r="C8" s="21" t="s">
        <v>212</v>
      </c>
      <c r="D8" s="21" t="s">
        <v>212</v>
      </c>
      <c r="E8" s="21" t="s">
        <v>212</v>
      </c>
      <c r="F8" s="21" t="s">
        <v>212</v>
      </c>
      <c r="G8" s="21" t="s">
        <v>212</v>
      </c>
    </row>
    <row r="9" customFormat="false" ht="15" hidden="false" customHeight="false" outlineLevel="0" collapsed="false">
      <c r="B9" s="33" t="n">
        <v>0.12</v>
      </c>
      <c r="C9" s="21" t="s">
        <v>212</v>
      </c>
      <c r="D9" s="21" t="s">
        <v>212</v>
      </c>
      <c r="E9" s="21" t="s">
        <v>212</v>
      </c>
      <c r="F9" s="21" t="s">
        <v>212</v>
      </c>
      <c r="G9" s="21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213</v>
      </c>
    </row>
    <row r="4" customFormat="false" ht="15" hidden="false" customHeight="false" outlineLevel="0" collapsed="false">
      <c r="A4" s="14"/>
      <c r="B4" s="14" t="s">
        <v>90</v>
      </c>
      <c r="C4" s="14" t="s">
        <v>214</v>
      </c>
      <c r="D4" s="14" t="s">
        <v>215</v>
      </c>
      <c r="E4" s="14" t="s">
        <v>216</v>
      </c>
      <c r="F4" s="14" t="s">
        <v>217</v>
      </c>
    </row>
    <row r="5" customFormat="false" ht="15" hidden="false" customHeight="false" outlineLevel="0" collapsed="false">
      <c r="B5" s="34"/>
      <c r="C5" s="34"/>
      <c r="D5" s="34"/>
      <c r="E5" s="34"/>
      <c r="F5" s="34"/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195</v>
      </c>
      <c r="C5" s="35" t="n">
        <v>1000</v>
      </c>
      <c r="D5" s="35" t="n">
        <v>1000</v>
      </c>
      <c r="E5" s="13" t="s">
        <v>223</v>
      </c>
    </row>
    <row r="6" customFormat="false" ht="15" hidden="false" customHeight="false" outlineLevel="0" collapsed="false">
      <c r="B6" s="0" t="s">
        <v>224</v>
      </c>
      <c r="C6" s="35" t="n">
        <v>200</v>
      </c>
      <c r="D6" s="35" t="n">
        <v>200</v>
      </c>
      <c r="E6" s="13" t="s">
        <v>225</v>
      </c>
    </row>
    <row r="7" customFormat="false" ht="15" hidden="false" customHeight="false" outlineLevel="0" collapsed="false">
      <c r="B7" s="0" t="s">
        <v>226</v>
      </c>
      <c r="C7" s="35" t="n">
        <v>100</v>
      </c>
      <c r="D7" s="35" t="n">
        <v>100</v>
      </c>
      <c r="E7" s="13" t="s">
        <v>227</v>
      </c>
    </row>
    <row r="8" customFormat="false" ht="15" hidden="false" customHeight="false" outlineLevel="0" collapsed="false">
      <c r="B8" s="0" t="s">
        <v>158</v>
      </c>
      <c r="C8" s="36" t="n">
        <v>100</v>
      </c>
      <c r="D8" s="36" t="n">
        <v>100</v>
      </c>
      <c r="E8" s="13" t="s">
        <v>228</v>
      </c>
    </row>
    <row r="9" customFormat="false" ht="15" hidden="false" customHeight="false" outlineLevel="0" collapsed="false">
      <c r="B9" s="0" t="s">
        <v>229</v>
      </c>
      <c r="C9" s="35" t="n">
        <v>9.5</v>
      </c>
      <c r="D9" s="35" t="n">
        <v>15</v>
      </c>
      <c r="E9" s="13" t="s">
        <v>230</v>
      </c>
    </row>
    <row r="10" customFormat="false" ht="15" hidden="false" customHeight="false" outlineLevel="0" collapsed="false">
      <c r="B10" s="0" t="s">
        <v>231</v>
      </c>
      <c r="C10" s="15" t="n">
        <v>0.1</v>
      </c>
      <c r="D10" s="15" t="n">
        <v>0.05</v>
      </c>
      <c r="E10" s="13" t="s">
        <v>232</v>
      </c>
    </row>
    <row r="11" customFormat="false" ht="15" hidden="false" customHeight="false" outlineLevel="0" collapsed="false">
      <c r="B11" s="0" t="s">
        <v>190</v>
      </c>
      <c r="C11" s="15" t="n">
        <v>0.03</v>
      </c>
      <c r="D11" s="15" t="n">
        <v>0.06</v>
      </c>
      <c r="E11" s="13" t="s">
        <v>233</v>
      </c>
    </row>
    <row r="12" customFormat="false" ht="15" hidden="false" customHeight="false" outlineLevel="0" collapsed="false">
      <c r="B12" s="0" t="s">
        <v>234</v>
      </c>
      <c r="C12" s="35" t="n">
        <v>70</v>
      </c>
      <c r="D12" s="35" t="n">
        <v>70</v>
      </c>
      <c r="E12" s="13" t="s">
        <v>235</v>
      </c>
    </row>
    <row r="13" customFormat="false" ht="15" hidden="false" customHeight="false" outlineLevel="0" collapsed="false">
      <c r="B13" s="0" t="s">
        <v>236</v>
      </c>
      <c r="C13" s="35" t="n">
        <v>75</v>
      </c>
      <c r="D13" s="35" t="n">
        <v>65</v>
      </c>
      <c r="E13" s="13" t="s">
        <v>235</v>
      </c>
    </row>
    <row r="14" customFormat="false" ht="15" hidden="false" customHeight="false" outlineLevel="0" collapsed="false">
      <c r="B14" s="0" t="s">
        <v>237</v>
      </c>
      <c r="C14" s="35" t="n">
        <v>80</v>
      </c>
      <c r="D14" s="35" t="n">
        <v>60</v>
      </c>
      <c r="E14" s="13" t="s">
        <v>235</v>
      </c>
    </row>
    <row r="15" customFormat="false" ht="15" hidden="false" customHeight="false" outlineLevel="0" collapsed="false">
      <c r="B15" s="0" t="s">
        <v>238</v>
      </c>
      <c r="C15" s="35" t="n">
        <v>85</v>
      </c>
      <c r="D15" s="35" t="n">
        <v>55</v>
      </c>
      <c r="E15" s="13" t="s">
        <v>235</v>
      </c>
    </row>
    <row r="16" customFormat="false" ht="15" hidden="false" customHeight="false" outlineLevel="0" collapsed="false">
      <c r="B16" s="0" t="s">
        <v>239</v>
      </c>
      <c r="C16" s="35" t="n">
        <v>90</v>
      </c>
      <c r="D16" s="35" t="n">
        <v>50</v>
      </c>
      <c r="E16" s="13" t="s">
        <v>235</v>
      </c>
    </row>
    <row r="17" customFormat="false" ht="15" hidden="false" customHeight="false" outlineLevel="0" collapsed="false">
      <c r="B17" s="0" t="s">
        <v>240</v>
      </c>
      <c r="C17" s="15" t="n">
        <v>0.3</v>
      </c>
      <c r="D17" s="15" t="n">
        <v>0.3</v>
      </c>
      <c r="E17" s="13" t="s">
        <v>241</v>
      </c>
    </row>
    <row r="18" customFormat="false" ht="15" hidden="false" customHeight="false" outlineLevel="0" collapsed="false">
      <c r="B18" s="0" t="s">
        <v>242</v>
      </c>
      <c r="C18" s="15" t="n">
        <v>0.5</v>
      </c>
      <c r="D18" s="15" t="n">
        <v>0.5</v>
      </c>
      <c r="E18" s="13" t="s">
        <v>243</v>
      </c>
    </row>
    <row r="21" customFormat="false" ht="15" hidden="false" customHeight="false" outlineLevel="0" collapsed="false">
      <c r="B21" s="0" t="s">
        <v>197</v>
      </c>
      <c r="C21" s="22" t="n">
        <f aca="false">C5-C6+C7</f>
        <v>900</v>
      </c>
      <c r="D21" s="22" t="n">
        <f aca="false">D5-D6+D7</f>
        <v>900</v>
      </c>
    </row>
    <row r="22" customFormat="false" ht="15" hidden="false" customHeight="false" outlineLevel="0" collapsed="false">
      <c r="B22" s="0" t="s">
        <v>244</v>
      </c>
      <c r="C22" s="22" t="n">
        <f aca="false">IFERROR(C21/C8,0)</f>
        <v>9</v>
      </c>
      <c r="D22" s="22" t="n">
        <f aca="false">IFERROR(D21/D8,0)</f>
        <v>9</v>
      </c>
    </row>
    <row r="23" customFormat="false" ht="15" hidden="false" customHeight="false" outlineLevel="0" collapsed="false">
      <c r="B23" s="0" t="s">
        <v>245</v>
      </c>
      <c r="C23" s="37" t="n">
        <f aca="false">IFERROR(C9/C22-1,0)</f>
        <v>0.0555555555555556</v>
      </c>
      <c r="D23" s="37" t="n">
        <f aca="false">IFERROR(D9/D22-1,0)</f>
        <v>0.666666666666667</v>
      </c>
    </row>
    <row r="24" customFormat="false" ht="15" hidden="false" customHeight="false" outlineLevel="0" collapsed="false">
      <c r="B24" s="0" t="s">
        <v>246</v>
      </c>
      <c r="C24" s="22" t="n">
        <f aca="false">C12/(1+C10)+C13/(1+C10)^2+C14/(1+C10)^3+C15/(1+C10)^4+C16/(1+C10)^5</f>
        <v>299.664081564225</v>
      </c>
      <c r="D24" s="22" t="n">
        <f aca="false">D12/(1+D10)+D13/(1+D10)^2+D14/(1+D10)^3+D15/(1+D10)^4+D16/(1+D10)^5</f>
        <v>261.878783115305</v>
      </c>
    </row>
    <row r="25" customFormat="false" ht="15" hidden="false" customHeight="false" outlineLevel="0" collapsed="false">
      <c r="B25" s="0" t="s">
        <v>192</v>
      </c>
      <c r="C25" s="22" t="n">
        <f aca="false">IF(C10&lt;=C11,"-",C16*(1+C11)/(C10-C11))</f>
        <v>1324.28571428571</v>
      </c>
      <c r="D25" s="22" t="str">
        <f aca="false">IF(D10&lt;=D11,"-",D16*(1+D11)/(D10-D11))</f>
        <v>-</v>
      </c>
    </row>
    <row r="26" customFormat="false" ht="15" hidden="false" customHeight="false" outlineLevel="0" collapsed="false">
      <c r="B26" s="0" t="s">
        <v>193</v>
      </c>
      <c r="C26" s="22" t="n">
        <f aca="false">IF(ISNUMBER(C25),C25/(1+C10)^5,"-")</f>
        <v>822.277237822624</v>
      </c>
      <c r="D26" s="22" t="str">
        <f aca="false">IF(ISNUMBER(D25),D25/(1+D10)^5,"-")</f>
        <v>-</v>
      </c>
    </row>
    <row r="27" customFormat="false" ht="15" hidden="false" customHeight="false" outlineLevel="0" collapsed="false">
      <c r="B27" s="0" t="s">
        <v>247</v>
      </c>
      <c r="C27" s="22" t="n">
        <f aca="false">IF(AND(ISNUMBER(C24),ISNUMBER(C26)),C24+C26,"-")</f>
        <v>1121.94131938685</v>
      </c>
      <c r="D27" s="22" t="str">
        <f aca="false">IF(AND(ISNUMBER(D24),ISNUMBER(D26)),D24+D26,"-")</f>
        <v>-</v>
      </c>
    </row>
    <row r="28" customFormat="false" ht="15" hidden="false" customHeight="false" outlineLevel="0" collapsed="false">
      <c r="B28" s="0" t="s">
        <v>248</v>
      </c>
      <c r="C28" s="22" t="n">
        <f aca="false">IF(ISNUMBER(C27),C27-C6+C7,"-")</f>
        <v>1021.94131938685</v>
      </c>
      <c r="D28" s="22" t="str">
        <f aca="false">IF(ISNUMBER(D27),D27-D6+D7,"-")</f>
        <v>-</v>
      </c>
    </row>
    <row r="29" customFormat="false" ht="15" hidden="false" customHeight="false" outlineLevel="0" collapsed="false">
      <c r="B29" s="0" t="s">
        <v>249</v>
      </c>
      <c r="C29" s="22" t="n">
        <f aca="false">IF(ISNUMBER(C28),C28/C8,"-")</f>
        <v>10.2194131938685</v>
      </c>
      <c r="D29" s="22" t="str">
        <f aca="false">IF(ISNUMBER(D28),D28/D8,"-")</f>
        <v>-</v>
      </c>
    </row>
    <row r="30" customFormat="false" ht="15" hidden="false" customHeight="false" outlineLevel="0" collapsed="false">
      <c r="B30" s="0" t="s">
        <v>250</v>
      </c>
      <c r="C30" s="37" t="n">
        <f aca="false">IF(ISNUMBER(C29),ABS(C29-C22)/MAX(ABS(C22),1),"-")</f>
        <v>0.135490354874276</v>
      </c>
      <c r="D30" s="37" t="str">
        <f aca="false">IF(ISNUMBER(D29),ABS(D29-D22)/MAX(ABS(D22),1),"-")</f>
        <v>-</v>
      </c>
    </row>
    <row r="32" customFormat="false" ht="15" hidden="false" customHeight="false" outlineLevel="0" collapsed="false">
      <c r="B32" s="21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252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253</v>
      </c>
      <c r="C5" s="35" t="n">
        <v>100</v>
      </c>
      <c r="D5" s="35" t="n">
        <v>100</v>
      </c>
    </row>
    <row r="6" customFormat="false" ht="15" hidden="false" customHeight="false" outlineLevel="0" collapsed="false">
      <c r="B6" s="0" t="s">
        <v>254</v>
      </c>
      <c r="C6" s="36" t="n">
        <v>100</v>
      </c>
      <c r="D6" s="36" t="n">
        <v>100</v>
      </c>
    </row>
    <row r="7" customFormat="false" ht="15" hidden="false" customHeight="false" outlineLevel="0" collapsed="false">
      <c r="B7" s="0" t="s">
        <v>255</v>
      </c>
      <c r="C7" s="35" t="n">
        <v>10</v>
      </c>
      <c r="D7" s="35" t="n">
        <v>5</v>
      </c>
    </row>
    <row r="8" customFormat="false" ht="15" hidden="false" customHeight="false" outlineLevel="0" collapsed="false">
      <c r="B8" s="0" t="s">
        <v>256</v>
      </c>
      <c r="C8" s="35" t="n">
        <v>5</v>
      </c>
      <c r="D8" s="35" t="n">
        <v>0</v>
      </c>
    </row>
    <row r="9" customFormat="false" ht="15" hidden="false" customHeight="false" outlineLevel="0" collapsed="false">
      <c r="B9" s="0" t="s">
        <v>257</v>
      </c>
      <c r="C9" s="35" t="n">
        <v>3</v>
      </c>
      <c r="D9" s="35" t="n">
        <v>20</v>
      </c>
    </row>
    <row r="10" customFormat="false" ht="15" hidden="false" customHeight="false" outlineLevel="0" collapsed="false">
      <c r="B10" s="0" t="s">
        <v>258</v>
      </c>
      <c r="C10" s="36" t="n">
        <v>10</v>
      </c>
      <c r="D10" s="36" t="n">
        <v>50</v>
      </c>
    </row>
    <row r="11" customFormat="false" ht="15" hidden="false" customHeight="false" outlineLevel="0" collapsed="false">
      <c r="B11" s="0" t="s">
        <v>259</v>
      </c>
      <c r="C11" s="15" t="n">
        <v>0</v>
      </c>
      <c r="D11" s="15" t="n">
        <v>0</v>
      </c>
    </row>
    <row r="14" customFormat="false" ht="15" hidden="false" customHeight="false" outlineLevel="0" collapsed="false">
      <c r="B14" s="0" t="s">
        <v>260</v>
      </c>
      <c r="C14" s="22" t="n">
        <f aca="false">IFERROR(C5/C6,0)</f>
        <v>1</v>
      </c>
      <c r="D14" s="22" t="n">
        <f aca="false">IFERROR(D5/D6,0)</f>
        <v>1</v>
      </c>
    </row>
    <row r="15" customFormat="false" ht="15" hidden="false" customHeight="false" outlineLevel="0" collapsed="false">
      <c r="B15" s="0" t="s">
        <v>261</v>
      </c>
      <c r="C15" s="22" t="n">
        <f aca="false">C5+C7+C8-C9</f>
        <v>112</v>
      </c>
      <c r="D15" s="22" t="n">
        <f aca="false">D5+D7+D8-D9</f>
        <v>85</v>
      </c>
    </row>
    <row r="16" customFormat="false" ht="15" hidden="false" customHeight="false" outlineLevel="0" collapsed="false">
      <c r="B16" s="0" t="s">
        <v>262</v>
      </c>
      <c r="C16" s="22" t="n">
        <f aca="false">C6+C10</f>
        <v>110</v>
      </c>
      <c r="D16" s="22" t="n">
        <f aca="false">D6+D10</f>
        <v>150</v>
      </c>
    </row>
    <row r="17" customFormat="false" ht="15" hidden="false" customHeight="false" outlineLevel="0" collapsed="false">
      <c r="B17" s="0" t="s">
        <v>263</v>
      </c>
      <c r="C17" s="22" t="n">
        <f aca="false">IFERROR(C15/C16,0)</f>
        <v>1.01818181818182</v>
      </c>
      <c r="D17" s="22" t="n">
        <f aca="false">IFERROR(D15/D16,0)</f>
        <v>0.566666666666667</v>
      </c>
    </row>
    <row r="18" customFormat="false" ht="15" hidden="false" customHeight="false" outlineLevel="0" collapsed="false">
      <c r="B18" s="0" t="s">
        <v>264</v>
      </c>
      <c r="C18" s="37" t="n">
        <f aca="false">IFERROR(C17/C14-1,0)</f>
        <v>0.0181818181818181</v>
      </c>
      <c r="D18" s="37" t="n">
        <f aca="false">IFERROR(D17/D14-1,0)</f>
        <v>-0.433333333333333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265</v>
      </c>
    </row>
    <row r="4" customFormat="false" ht="15" hidden="false" customHeight="false" outlineLevel="0" collapsed="false">
      <c r="B4" s="14" t="s">
        <v>266</v>
      </c>
      <c r="C4" s="14" t="s">
        <v>220</v>
      </c>
      <c r="D4" s="14" t="s">
        <v>221</v>
      </c>
      <c r="E4" s="14" t="s">
        <v>267</v>
      </c>
    </row>
    <row r="5" customFormat="false" ht="15" hidden="false" customHeight="false" outlineLevel="0" collapsed="false">
      <c r="B5" s="0" t="s">
        <v>268</v>
      </c>
      <c r="C5" s="22" t="n">
        <f aca="false">'Transaction Analysis'!C22</f>
        <v>9</v>
      </c>
      <c r="D5" s="22" t="n">
        <f aca="false">'Transaction Analysis'!D22</f>
        <v>9</v>
      </c>
      <c r="E5" s="13" t="s">
        <v>269</v>
      </c>
    </row>
    <row r="6" customFormat="false" ht="15" hidden="false" customHeight="false" outlineLevel="0" collapsed="false">
      <c r="B6" s="0" t="s">
        <v>249</v>
      </c>
      <c r="C6" s="22" t="n">
        <f aca="false">'Transaction Analysis'!C29</f>
        <v>10.2194131938685</v>
      </c>
      <c r="D6" s="22" t="str">
        <f aca="false">'Transaction Analysis'!D29</f>
        <v>-</v>
      </c>
      <c r="E6" s="13" t="s">
        <v>270</v>
      </c>
    </row>
    <row r="7" customFormat="false" ht="15" hidden="false" customHeight="false" outlineLevel="0" collapsed="false">
      <c r="B7" s="0" t="s">
        <v>229</v>
      </c>
      <c r="C7" s="22" t="n">
        <f aca="false">'Transaction Analysis'!C9</f>
        <v>9.5</v>
      </c>
      <c r="D7" s="22" t="n">
        <f aca="false">'Transaction Analysis'!D9</f>
        <v>15</v>
      </c>
      <c r="E7" s="13" t="s">
        <v>271</v>
      </c>
    </row>
    <row r="8" customFormat="false" ht="15" hidden="false" customHeight="false" outlineLevel="0" collapsed="false">
      <c r="B8" s="0" t="s">
        <v>264</v>
      </c>
      <c r="C8" s="37" t="n">
        <f aca="false">'Accretion Dilution'!C18</f>
        <v>0.0181818181818181</v>
      </c>
      <c r="D8" s="37" t="n">
        <f aca="false">'Accretion Dilution'!D18</f>
        <v>-0.433333333333333</v>
      </c>
      <c r="E8" s="13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273</v>
      </c>
    </row>
    <row r="4" customFormat="false" ht="15" hidden="false" customHeight="false" outlineLevel="0" collapsed="false">
      <c r="B4" s="14" t="s">
        <v>274</v>
      </c>
      <c r="C4" s="14" t="s">
        <v>219</v>
      </c>
      <c r="D4" s="14" t="s">
        <v>39</v>
      </c>
      <c r="E4" s="14" t="s">
        <v>275</v>
      </c>
    </row>
    <row r="5" customFormat="false" ht="15" hidden="false" customHeight="false" outlineLevel="0" collapsed="false">
      <c r="B5" s="0" t="s">
        <v>276</v>
      </c>
      <c r="C5" s="38" t="n">
        <f aca="false">'Transaction Analysis'!C5-'Transaction Analysis'!C6+'Transaction Analysis'!C7-'Transaction Analysis'!C21</f>
        <v>0</v>
      </c>
      <c r="D5" s="34" t="str">
        <f aca="false">IF(ABS(C5)&lt;0.01,"PASS","FAIL")</f>
        <v>PASS</v>
      </c>
      <c r="E5" s="13" t="s">
        <v>277</v>
      </c>
    </row>
    <row r="6" customFormat="false" ht="15" hidden="false" customHeight="false" outlineLevel="0" collapsed="false">
      <c r="B6" s="0" t="s">
        <v>278</v>
      </c>
      <c r="C6" s="38" t="n">
        <f aca="false">'Transaction Analysis'!C21-'Transaction Analysis'!C22*'Transaction Analysis'!C8</f>
        <v>0</v>
      </c>
      <c r="D6" s="34" t="str">
        <f aca="false">IF(ABS(C6)&lt;0.01,"PASS","FAIL")</f>
        <v>PASS</v>
      </c>
      <c r="E6" s="13" t="s">
        <v>279</v>
      </c>
    </row>
    <row r="7" customFormat="false" ht="15" hidden="false" customHeight="false" outlineLevel="0" collapsed="false">
      <c r="B7" s="0" t="s">
        <v>280</v>
      </c>
      <c r="C7" s="38" t="n">
        <f aca="false">'Transaction Analysis'!D10-'Transaction Analysis'!D11</f>
        <v>-0.01</v>
      </c>
      <c r="D7" s="34" t="str">
        <f aca="false">IF(C7&gt;0,"PASS","BREACH")</f>
        <v>BREACH</v>
      </c>
      <c r="E7" s="13" t="s">
        <v>281</v>
      </c>
    </row>
    <row r="8" customFormat="false" ht="15" hidden="false" customHeight="false" outlineLevel="0" collapsed="false">
      <c r="B8" s="0" t="s">
        <v>282</v>
      </c>
      <c r="C8" s="38" t="n">
        <f aca="false">'Transaction Analysis'!D23</f>
        <v>0.666666666666667</v>
      </c>
      <c r="D8" s="34" t="str">
        <f aca="false">IF(C8&lt;='Transaction Analysis'!D17,"PASS","BREACH")</f>
        <v>BREACH</v>
      </c>
      <c r="E8" s="13" t="s">
        <v>283</v>
      </c>
    </row>
    <row r="9" customFormat="false" ht="15" hidden="false" customHeight="false" outlineLevel="0" collapsed="false">
      <c r="B9" s="0" t="s">
        <v>284</v>
      </c>
      <c r="C9" s="38" t="n">
        <f aca="false">'Accretion Dilution'!D18</f>
        <v>-0.433333333333333</v>
      </c>
      <c r="D9" s="34" t="str">
        <f aca="false">IF(C9&gt;='Accretion Dilution'!D11,"PASS","BREACH")</f>
        <v>BREACH</v>
      </c>
      <c r="E9" s="13" t="s">
        <v>285</v>
      </c>
    </row>
    <row r="10" customFormat="false" ht="15" hidden="false" customHeight="false" outlineLevel="0" collapsed="false">
      <c r="B10" s="0" t="s">
        <v>286</v>
      </c>
      <c r="C10" s="38" t="str">
        <f aca="false">'Transaction Analysis'!D30</f>
        <v>-</v>
      </c>
      <c r="D10" s="34" t="str">
        <f aca="false">IF(AND(ISNUMBER(C10),C10&lt;='Transaction Analysis'!D18),"PASS","BREACH")</f>
        <v>BREACH</v>
      </c>
      <c r="E10" s="13" t="s">
        <v>287</v>
      </c>
    </row>
    <row r="12" customFormat="false" ht="15" hidden="false" customHeight="false" outlineLevel="0" collapsed="false">
      <c r="B12" s="2" t="s">
        <v>288</v>
      </c>
      <c r="C12" s="39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2026-08-04T17:27:50Z</dcterms:created>
  <dc:creator>openpyxl</dc:creator>
  <dc:description/>
  <dc:language>en-US</dc:language>
  <cp:lastModifiedBy/>
  <dcterms:modified xsi:type="dcterms:W3CDTF">2026-08-04T17:27:50Z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