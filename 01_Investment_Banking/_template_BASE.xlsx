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IS" sheetId="3" state="visible" r:id="rId5"/>
    <sheet name="BS" sheetId="4" state="visible" r:id="rId6"/>
    <sheet name="CF" sheetId="5" state="visible" r:id="rId7"/>
    <sheet name="DCF" sheetId="6" state="visible" r:id="rId8"/>
    <sheet name="Comps" sheetId="7" state="visible" r:id="rId9"/>
    <sheet name="Sensitivity" sheetId="8" state="visible" r:id="rId10"/>
    <sheet name="RefreshLog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<sst xmlns="http://schemas.openxmlformats.org/spreadsheetml/2006/main" count="180" uniqueCount="119">
  <si>
    <t xml:space="preserve">[TICKER] — Company Name</t>
  </si>
  <si>
    <t xml:space="preserve">Sector:</t>
  </si>
  <si>
    <t xml:space="preserve">[fill in]</t>
  </si>
  <si>
    <t xml:space="preserve">Coverage started:</t>
  </si>
  <si>
    <t xml:space="preserve">[date]</t>
  </si>
  <si>
    <t xml:space="preserve">Last refreshed:</t>
  </si>
  <si>
    <t xml:space="preserve">Next earnings date:</t>
  </si>
  <si>
    <t xml:space="preserve">Refresh cadence:</t>
  </si>
  <si>
    <t xml:space="preserve">Weekly</t>
  </si>
  <si>
    <t xml:space="preserve">Thesis (2-3 sentences):</t>
  </si>
  <si>
    <t xml:space="preserve">COLOR LEGEND</t>
  </si>
  <si>
    <t xml:space="preserve">Blue text</t>
  </si>
  <si>
    <t xml:space="preserve">Hardcoded input / scenario lever — edit freely</t>
  </si>
  <si>
    <t xml:space="preserve">Black text</t>
  </si>
  <si>
    <t xml:space="preserve">Formula — do not overwrite</t>
  </si>
  <si>
    <t xml:space="preserve">Green text</t>
  </si>
  <si>
    <t xml:space="preserve">Link to another sheet in this workbook</t>
  </si>
  <si>
    <t xml:space="preserve">Yellow fill</t>
  </si>
  <si>
    <t xml:space="preserve">Key assumption — review every refresh</t>
  </si>
  <si>
    <t xml:space="preserve">Assumptions</t>
  </si>
  <si>
    <t xml:space="preserve">Driver</t>
  </si>
  <si>
    <t xml:space="preserve">FY1</t>
  </si>
  <si>
    <t xml:space="preserve">FY2</t>
  </si>
  <si>
    <t xml:space="preserve">FY3</t>
  </si>
  <si>
    <t xml:space="preserve">FY4</t>
  </si>
  <si>
    <t xml:space="preserve">FY5</t>
  </si>
  <si>
    <t xml:space="preserve">Source / notes</t>
  </si>
  <si>
    <t xml:space="preserve">Revenue growth %</t>
  </si>
  <si>
    <t xml:space="preserve">Source: [10-K/10-Q cite or user estimate]</t>
  </si>
  <si>
    <t xml:space="preserve">Gross margin %</t>
  </si>
  <si>
    <t xml:space="preserve">Opex % of revenue</t>
  </si>
  <si>
    <t xml:space="preserve">Tax rate %</t>
  </si>
  <si>
    <t xml:space="preserve">D&amp;A % of capex</t>
  </si>
  <si>
    <t xml:space="preserve">Capex % of revenue</t>
  </si>
  <si>
    <t xml:space="preserve">NWC % of revenue chg</t>
  </si>
  <si>
    <t xml:space="preserve">Shares outstanding (mm)</t>
  </si>
  <si>
    <t xml:space="preserve">WACC %</t>
  </si>
  <si>
    <t xml:space="preserve">Terminal growth %</t>
  </si>
  <si>
    <t xml:space="preserve">Income Statement ($mm)</t>
  </si>
  <si>
    <t xml:space="preserve">Line item</t>
  </si>
  <si>
    <t xml:space="preserve">FY-2A</t>
  </si>
  <si>
    <t xml:space="preserve">FY-1A</t>
  </si>
  <si>
    <t xml:space="preserve">FY0A</t>
  </si>
  <si>
    <t xml:space="preserve">FY1E</t>
  </si>
  <si>
    <t xml:space="preserve">FY2E</t>
  </si>
  <si>
    <t xml:space="preserve">FY3E</t>
  </si>
  <si>
    <t xml:space="preserve">FY4E</t>
  </si>
  <si>
    <t xml:space="preserve">Revenue</t>
  </si>
  <si>
    <t xml:space="preserve">COGS</t>
  </si>
  <si>
    <t xml:space="preserve">Gross profit</t>
  </si>
  <si>
    <t xml:space="preserve">Opex</t>
  </si>
  <si>
    <t xml:space="preserve">EBITDA</t>
  </si>
  <si>
    <t xml:space="preserve">EBITDA margin %</t>
  </si>
  <si>
    <t xml:space="preserve">D&amp;A</t>
  </si>
  <si>
    <t xml:space="preserve">EBIT</t>
  </si>
  <si>
    <t xml:space="preserve">Interest expense</t>
  </si>
  <si>
    <t xml:space="preserve">Pre-tax income</t>
  </si>
  <si>
    <t xml:space="preserve">Tax</t>
  </si>
  <si>
    <t xml:space="preserve">Net income</t>
  </si>
  <si>
    <t xml:space="preserve">Diluted shares</t>
  </si>
  <si>
    <t xml:space="preserve">Diluted EPS</t>
  </si>
  <si>
    <t xml:space="preserve">Balance Sheet ($mm)</t>
  </si>
  <si>
    <t xml:space="preserve">Cash &amp; equivalents</t>
  </si>
  <si>
    <t xml:space="preserve">Accounts receivable</t>
  </si>
  <si>
    <t xml:space="preserve">Inventory</t>
  </si>
  <si>
    <t xml:space="preserve">Total current assets</t>
  </si>
  <si>
    <t xml:space="preserve">PP&amp;E net</t>
  </si>
  <si>
    <t xml:space="preserve">Goodwill &amp; intangibles</t>
  </si>
  <si>
    <t xml:space="preserve">Total assets</t>
  </si>
  <si>
    <t xml:space="preserve">Accounts payable</t>
  </si>
  <si>
    <t xml:space="preserve">Debt (current)</t>
  </si>
  <si>
    <t xml:space="preserve">Total current liabilities</t>
  </si>
  <si>
    <t xml:space="preserve">Long-term debt</t>
  </si>
  <si>
    <t xml:space="preserve">Total liabilities</t>
  </si>
  <si>
    <t xml:space="preserve">Total equity</t>
  </si>
  <si>
    <t xml:space="preserve">Cash Flow ($mm)</t>
  </si>
  <si>
    <t xml:space="preserve">+ D&amp;A</t>
  </si>
  <si>
    <t xml:space="preserve">+/- Change in NWC</t>
  </si>
  <si>
    <t xml:space="preserve">Cash flow from operations</t>
  </si>
  <si>
    <t xml:space="preserve">Capex</t>
  </si>
  <si>
    <t xml:space="preserve">Free cash flow</t>
  </si>
  <si>
    <t xml:space="preserve">Debt issuance/(repayment)</t>
  </si>
  <si>
    <t xml:space="preserve">Dividends/buybacks</t>
  </si>
  <si>
    <t xml:space="preserve">Net change in cash</t>
  </si>
  <si>
    <t xml:space="preserve">DCF Valuation</t>
  </si>
  <si>
    <t xml:space="preserve">FY5E</t>
  </si>
  <si>
    <t xml:space="preserve">Key outputs</t>
  </si>
  <si>
    <t xml:space="preserve">Unlevered FCF</t>
  </si>
  <si>
    <t xml:space="preserve">WACC</t>
  </si>
  <si>
    <t xml:space="preserve">Discount factor</t>
  </si>
  <si>
    <t xml:space="preserve">Terminal growth</t>
  </si>
  <si>
    <t xml:space="preserve">PV of FCF</t>
  </si>
  <si>
    <t xml:space="preserve">Terminal value</t>
  </si>
  <si>
    <t xml:space="preserve">PV of terminal value</t>
  </si>
  <si>
    <t xml:space="preserve">Sum PV of FCF</t>
  </si>
  <si>
    <t xml:space="preserve">Enterprise value</t>
  </si>
  <si>
    <t xml:space="preserve">Less: net debt</t>
  </si>
  <si>
    <t xml:space="preserve">Equity value</t>
  </si>
  <si>
    <t xml:space="preserve">Diluted shares (mm)</t>
  </si>
  <si>
    <t xml:space="preserve">Implied value/share</t>
  </si>
  <si>
    <t xml:space="preserve">Comparable Companies</t>
  </si>
  <si>
    <t xml:space="preserve">Ticker</t>
  </si>
  <si>
    <t xml:space="preserve">Price</t>
  </si>
  <si>
    <t xml:space="preserve">Mkt Cap</t>
  </si>
  <si>
    <t xml:space="preserve">EV</t>
  </si>
  <si>
    <t xml:space="preserve">EV/Rev</t>
  </si>
  <si>
    <t xml:space="preserve">EV/EBITDA</t>
  </si>
  <si>
    <t xml:space="preserve">P/E</t>
  </si>
  <si>
    <t xml:space="preserve">[TICKER]</t>
  </si>
  <si>
    <t xml:space="preserve">Median</t>
  </si>
  <si>
    <t xml:space="preserve">Sensitivity — Implied Value/Share</t>
  </si>
  <si>
    <t xml:space="preserve">WACC \ Term. growth</t>
  </si>
  <si>
    <t xml:space="preserve">[data table — Excel What-If Analysis]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</si>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</sst>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%;\(0.0%\);\-"/>
    <numFmt numFmtId="166" formatCode="\$#,##0;&quot;($&quot;#,##0\);\-"/>
    <numFmt numFmtId="167" formatCode="0.000"/>
    <numFmt numFmtId="168" formatCode="0.0\x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FFD9D9D9"/>
        <bgColor rgb="FFBFBFB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4</v>
      </c>
    </row>
    <row r="7" customFormat="false" ht="15" hidden="false" customHeight="false" outlineLevel="0" collapsed="false">
      <c r="B7" s="2" t="s">
        <v>6</v>
      </c>
      <c r="C7" s="3" t="s">
        <v>4</v>
      </c>
    </row>
    <row r="8" customFormat="false" ht="15" hidden="false" customHeight="false" outlineLevel="0" collapsed="false">
      <c r="B8" s="2" t="s">
        <v>7</v>
      </c>
      <c r="C8" s="4" t="s">
        <v>8</v>
      </c>
    </row>
    <row r="10" customFormat="false" ht="15" hidden="false" customHeight="false" outlineLevel="0" collapsed="false">
      <c r="B10" s="2" t="s">
        <v>9</v>
      </c>
    </row>
    <row r="11" customFormat="false" ht="15" hidden="false" customHeight="false" outlineLevel="0" collapsed="false">
      <c r="B11" s="5" t="s">
        <v>2</v>
      </c>
      <c r="C11" s="5"/>
      <c r="D11" s="5"/>
    </row>
    <row r="12" customFormat="false" ht="15" hidden="false" customHeight="false" outlineLevel="0" collapsed="false">
      <c r="B12" s="5"/>
      <c r="C12" s="5"/>
      <c r="D12" s="5"/>
    </row>
    <row r="13" customFormat="false" ht="15" hidden="false" customHeight="false" outlineLevel="0" collapsed="false">
      <c r="B13" s="5"/>
      <c r="C13" s="5"/>
      <c r="D13" s="5"/>
    </row>
    <row r="14" customFormat="false" ht="15" hidden="false" customHeight="false" outlineLevel="0" collapsed="false">
      <c r="B14" s="5"/>
      <c r="C14" s="5"/>
      <c r="D14" s="5"/>
    </row>
    <row r="16" customFormat="false" ht="15" hidden="false" customHeight="false" outlineLevel="0" collapsed="false">
      <c r="B16" s="2" t="s">
        <v>10</v>
      </c>
    </row>
    <row r="17" customFormat="false" ht="15" hidden="false" customHeight="false" outlineLevel="0" collapsed="false">
      <c r="B17" s="3" t="s">
        <v>11</v>
      </c>
      <c r="C17" s="4" t="s">
        <v>12</v>
      </c>
    </row>
    <row r="18" customFormat="false" ht="15" hidden="false" customHeight="false" outlineLevel="0" collapsed="false">
      <c r="B18" s="4" t="s">
        <v>13</v>
      </c>
      <c r="C18" s="4" t="s">
        <v>14</v>
      </c>
    </row>
    <row r="19" customFormat="false" ht="15" hidden="false" customHeight="false" outlineLevel="0" collapsed="false">
      <c r="B19" s="6" t="s">
        <v>15</v>
      </c>
      <c r="C19" s="4" t="s">
        <v>16</v>
      </c>
    </row>
    <row r="20" customFormat="false" ht="15" hidden="false" customHeight="false" outlineLevel="0" collapsed="false">
      <c r="B20" s="7" t="s">
        <v>17</v>
      </c>
      <c r="C20" s="4" t="s">
        <v>18</v>
      </c>
    </row>
  </sheetData>
  <mergeCells count="1">
    <mergeCell ref="B11:D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7" min="3" style="0" width="14"/>
    <col collapsed="false" customWidth="true" hidden="false" outlineLevel="0" max="8" min="8" style="0" width="40"/>
  </cols>
  <sheetData>
    <row r="2" customFormat="false" ht="19.7" hidden="false" customHeight="false" outlineLevel="0" collapsed="false">
      <c r="B2" s="1" t="s">
        <v>19</v>
      </c>
    </row>
    <row r="4" customFormat="false" ht="15" hidden="false" customHeight="false" outlineLevel="0" collapsed="false">
      <c r="A4" s="8"/>
      <c r="B4" s="8" t="s">
        <v>20</v>
      </c>
      <c r="C4" s="8" t="s">
        <v>21</v>
      </c>
      <c r="D4" s="8" t="s">
        <v>22</v>
      </c>
      <c r="E4" s="8" t="s">
        <v>23</v>
      </c>
      <c r="F4" s="8" t="s">
        <v>24</v>
      </c>
      <c r="G4" s="8" t="s">
        <v>25</v>
      </c>
      <c r="H4" s="8" t="s">
        <v>26</v>
      </c>
    </row>
    <row r="5" customFormat="false" ht="15" hidden="false" customHeight="false" outlineLevel="0" collapsed="false">
      <c r="B5" s="4" t="s">
        <v>27</v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10" t="s">
        <v>28</v>
      </c>
    </row>
    <row r="6" customFormat="false" ht="15" hidden="false" customHeight="false" outlineLevel="0" collapsed="false">
      <c r="B6" s="4" t="s">
        <v>29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10" t="s">
        <v>28</v>
      </c>
    </row>
    <row r="7" customFormat="false" ht="15" hidden="false" customHeight="false" outlineLevel="0" collapsed="false">
      <c r="B7" s="4" t="s">
        <v>30</v>
      </c>
      <c r="C7" s="9" t="n">
        <v>0</v>
      </c>
      <c r="D7" s="9" t="n">
        <v>0</v>
      </c>
      <c r="E7" s="9" t="n">
        <v>0</v>
      </c>
      <c r="F7" s="9" t="n">
        <v>0</v>
      </c>
      <c r="G7" s="9" t="n">
        <v>0</v>
      </c>
      <c r="H7" s="10" t="s">
        <v>28</v>
      </c>
    </row>
    <row r="8" customFormat="false" ht="15" hidden="false" customHeight="false" outlineLevel="0" collapsed="false">
      <c r="B8" s="4" t="s">
        <v>31</v>
      </c>
      <c r="C8" s="9" t="n">
        <v>0</v>
      </c>
      <c r="D8" s="9" t="n">
        <v>0</v>
      </c>
      <c r="E8" s="9" t="n">
        <v>0</v>
      </c>
      <c r="F8" s="9" t="n">
        <v>0</v>
      </c>
      <c r="G8" s="9" t="n">
        <v>0</v>
      </c>
      <c r="H8" s="10" t="s">
        <v>28</v>
      </c>
    </row>
    <row r="9" customFormat="false" ht="15" hidden="false" customHeight="false" outlineLevel="0" collapsed="false">
      <c r="B9" s="4" t="s">
        <v>32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0" t="s">
        <v>28</v>
      </c>
    </row>
    <row r="10" customFormat="false" ht="15" hidden="false" customHeight="false" outlineLevel="0" collapsed="false">
      <c r="B10" s="4" t="s">
        <v>33</v>
      </c>
      <c r="C10" s="11" t="n">
        <v>0</v>
      </c>
      <c r="D10" s="11" t="n">
        <v>0</v>
      </c>
      <c r="E10" s="11" t="n">
        <v>0</v>
      </c>
      <c r="F10" s="11" t="n">
        <v>0</v>
      </c>
      <c r="G10" s="11" t="n">
        <v>0</v>
      </c>
      <c r="H10" s="10" t="s">
        <v>28</v>
      </c>
    </row>
    <row r="11" customFormat="false" ht="15" hidden="false" customHeight="false" outlineLevel="0" collapsed="false">
      <c r="B11" s="4" t="s">
        <v>34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0" t="s">
        <v>28</v>
      </c>
    </row>
    <row r="12" customFormat="false" ht="15" hidden="false" customHeight="false" outlineLevel="0" collapsed="false">
      <c r="B12" s="4" t="s">
        <v>35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0" t="s">
        <v>28</v>
      </c>
    </row>
    <row r="13" customFormat="false" ht="15" hidden="false" customHeight="false" outlineLevel="0" collapsed="false">
      <c r="B13" s="4" t="s">
        <v>36</v>
      </c>
      <c r="C13" s="9" t="n">
        <v>0</v>
      </c>
      <c r="D13" s="9" t="n">
        <v>0</v>
      </c>
      <c r="E13" s="9" t="n">
        <v>0</v>
      </c>
      <c r="F13" s="9" t="n">
        <v>0</v>
      </c>
      <c r="G13" s="9" t="n">
        <v>0</v>
      </c>
      <c r="H13" s="10" t="s">
        <v>28</v>
      </c>
    </row>
    <row r="14" customFormat="false" ht="15" hidden="false" customHeight="false" outlineLevel="0" collapsed="false">
      <c r="B14" s="4" t="s">
        <v>37</v>
      </c>
      <c r="C14" s="9" t="n">
        <v>0</v>
      </c>
      <c r="D14" s="9" t="n">
        <v>0</v>
      </c>
      <c r="E14" s="9" t="n">
        <v>0</v>
      </c>
      <c r="F14" s="9" t="n">
        <v>0</v>
      </c>
      <c r="G14" s="9" t="n">
        <v>0</v>
      </c>
      <c r="H14" s="10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9" min="3" style="0" width="13"/>
  </cols>
  <sheetData>
    <row r="2" customFormat="false" ht="19.7" hidden="false" customHeight="false" outlineLevel="0" collapsed="false">
      <c r="B2" s="1" t="s">
        <v>38</v>
      </c>
    </row>
    <row r="4" customFormat="false" ht="15" hidden="false" customHeight="false" outlineLevel="0" collapsed="false">
      <c r="A4" s="8"/>
      <c r="B4" s="8" t="s">
        <v>39</v>
      </c>
      <c r="C4" s="8" t="s">
        <v>40</v>
      </c>
      <c r="D4" s="8" t="s">
        <v>41</v>
      </c>
      <c r="E4" s="8" t="s">
        <v>42</v>
      </c>
      <c r="F4" s="8" t="s">
        <v>43</v>
      </c>
      <c r="G4" s="8" t="s">
        <v>44</v>
      </c>
      <c r="H4" s="8" t="s">
        <v>45</v>
      </c>
      <c r="I4" s="8" t="s">
        <v>46</v>
      </c>
    </row>
    <row r="5" customFormat="false" ht="15" hidden="false" customHeight="false" outlineLevel="0" collapsed="false">
      <c r="B5" s="2" t="s">
        <v>47</v>
      </c>
      <c r="C5" s="13"/>
      <c r="D5" s="13"/>
      <c r="E5" s="13"/>
      <c r="F5" s="13"/>
      <c r="G5" s="13"/>
      <c r="H5" s="13"/>
      <c r="I5" s="13"/>
    </row>
    <row r="6" customFormat="false" ht="15" hidden="false" customHeight="false" outlineLevel="0" collapsed="false">
      <c r="B6" s="4" t="s">
        <v>27</v>
      </c>
      <c r="C6" s="14"/>
      <c r="D6" s="14" t="str">
        <f aca="false">IFERROR(D5/C5-1,"-")</f>
        <v>-</v>
      </c>
      <c r="E6" s="14" t="str">
        <f aca="false">IFERROR(E5/D5-1,"-")</f>
        <v>-</v>
      </c>
      <c r="F6" s="14" t="str">
        <f aca="false">IFERROR(F5/E5-1,"-")</f>
        <v>-</v>
      </c>
      <c r="G6" s="14" t="str">
        <f aca="false">IFERROR(G5/F5-1,"-")</f>
        <v>-</v>
      </c>
      <c r="H6" s="14" t="str">
        <f aca="false">IFERROR(H5/G5-1,"-")</f>
        <v>-</v>
      </c>
      <c r="I6" s="14" t="str">
        <f aca="false">IFERROR(I5/H5-1,"-")</f>
        <v>-</v>
      </c>
    </row>
    <row r="7" customFormat="false" ht="15" hidden="false" customHeight="false" outlineLevel="0" collapsed="false">
      <c r="B7" s="4" t="s">
        <v>48</v>
      </c>
      <c r="C7" s="13"/>
      <c r="D7" s="13"/>
      <c r="E7" s="13"/>
      <c r="F7" s="13"/>
      <c r="G7" s="13"/>
      <c r="H7" s="13"/>
      <c r="I7" s="13"/>
    </row>
    <row r="8" customFormat="false" ht="15" hidden="false" customHeight="false" outlineLevel="0" collapsed="false">
      <c r="B8" s="2" t="s">
        <v>49</v>
      </c>
      <c r="C8" s="13"/>
      <c r="D8" s="13" t="n">
        <f aca="false">D5-D7</f>
        <v>0</v>
      </c>
      <c r="E8" s="13" t="n">
        <f aca="false">E5-E7</f>
        <v>0</v>
      </c>
      <c r="F8" s="13" t="n">
        <f aca="false">F5-F7</f>
        <v>0</v>
      </c>
      <c r="G8" s="13" t="n">
        <f aca="false">G5-G7</f>
        <v>0</v>
      </c>
      <c r="H8" s="13" t="n">
        <f aca="false">H5-H7</f>
        <v>0</v>
      </c>
      <c r="I8" s="13" t="n">
        <f aca="false">I5-I7</f>
        <v>0</v>
      </c>
    </row>
    <row r="9" customFormat="false" ht="15" hidden="false" customHeight="false" outlineLevel="0" collapsed="false">
      <c r="B9" s="4" t="s">
        <v>29</v>
      </c>
      <c r="C9" s="14"/>
      <c r="D9" s="14" t="str">
        <f aca="false">IFERROR(D8/D5,"-")</f>
        <v>-</v>
      </c>
      <c r="E9" s="14" t="str">
        <f aca="false">IFERROR(E8/E5,"-")</f>
        <v>-</v>
      </c>
      <c r="F9" s="14" t="str">
        <f aca="false">IFERROR(F8/F5,"-")</f>
        <v>-</v>
      </c>
      <c r="G9" s="14" t="str">
        <f aca="false">IFERROR(G8/G5,"-")</f>
        <v>-</v>
      </c>
      <c r="H9" s="14" t="str">
        <f aca="false">IFERROR(H8/H5,"-")</f>
        <v>-</v>
      </c>
      <c r="I9" s="14" t="str">
        <f aca="false">IFERROR(I8/I5,"-")</f>
        <v>-</v>
      </c>
    </row>
    <row r="10" customFormat="false" ht="15" hidden="false" customHeight="false" outlineLevel="0" collapsed="false">
      <c r="B10" s="4" t="s">
        <v>50</v>
      </c>
      <c r="C10" s="13"/>
      <c r="D10" s="13"/>
      <c r="E10" s="13"/>
      <c r="F10" s="13"/>
      <c r="G10" s="13"/>
      <c r="H10" s="13"/>
      <c r="I10" s="13"/>
    </row>
    <row r="11" customFormat="false" ht="15" hidden="false" customHeight="false" outlineLevel="0" collapsed="false">
      <c r="B11" s="2" t="s">
        <v>51</v>
      </c>
      <c r="C11" s="13"/>
      <c r="D11" s="13"/>
      <c r="E11" s="13"/>
      <c r="F11" s="13"/>
      <c r="G11" s="13"/>
      <c r="H11" s="13"/>
      <c r="I11" s="13"/>
    </row>
    <row r="12" customFormat="false" ht="15" hidden="false" customHeight="false" outlineLevel="0" collapsed="false">
      <c r="B12" s="4" t="s">
        <v>52</v>
      </c>
      <c r="C12" s="14"/>
      <c r="D12" s="14"/>
      <c r="E12" s="14"/>
      <c r="F12" s="14"/>
      <c r="G12" s="14"/>
      <c r="H12" s="14"/>
      <c r="I12" s="14"/>
    </row>
    <row r="13" customFormat="false" ht="15" hidden="false" customHeight="false" outlineLevel="0" collapsed="false">
      <c r="B13" s="4" t="s">
        <v>53</v>
      </c>
      <c r="C13" s="13"/>
      <c r="D13" s="13"/>
      <c r="E13" s="13"/>
      <c r="F13" s="13"/>
      <c r="G13" s="13"/>
      <c r="H13" s="13"/>
      <c r="I13" s="13"/>
    </row>
    <row r="14" customFormat="false" ht="15" hidden="false" customHeight="false" outlineLevel="0" collapsed="false">
      <c r="B14" s="2" t="s">
        <v>54</v>
      </c>
      <c r="C14" s="13"/>
      <c r="D14" s="13"/>
      <c r="E14" s="13"/>
      <c r="F14" s="13"/>
      <c r="G14" s="13"/>
      <c r="H14" s="13"/>
      <c r="I14" s="13"/>
    </row>
    <row r="15" customFormat="false" ht="15" hidden="false" customHeight="false" outlineLevel="0" collapsed="false">
      <c r="B15" s="4" t="s">
        <v>55</v>
      </c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B16" s="4" t="s">
        <v>56</v>
      </c>
      <c r="C16" s="13"/>
      <c r="D16" s="13"/>
      <c r="E16" s="13"/>
      <c r="F16" s="13"/>
      <c r="G16" s="13"/>
      <c r="H16" s="13"/>
      <c r="I16" s="13"/>
    </row>
    <row r="17" customFormat="false" ht="15" hidden="false" customHeight="false" outlineLevel="0" collapsed="false">
      <c r="B17" s="4" t="s">
        <v>57</v>
      </c>
      <c r="C17" s="13"/>
      <c r="D17" s="13"/>
      <c r="E17" s="13"/>
      <c r="F17" s="13"/>
      <c r="G17" s="13"/>
      <c r="H17" s="13"/>
      <c r="I17" s="13"/>
    </row>
    <row r="18" customFormat="false" ht="15" hidden="false" customHeight="false" outlineLevel="0" collapsed="false">
      <c r="B18" s="2" t="s">
        <v>58</v>
      </c>
      <c r="C18" s="13"/>
      <c r="D18" s="13"/>
      <c r="E18" s="13"/>
      <c r="F18" s="13"/>
      <c r="G18" s="13"/>
      <c r="H18" s="13"/>
      <c r="I18" s="13"/>
    </row>
    <row r="19" customFormat="false" ht="15" hidden="false" customHeight="false" outlineLevel="0" collapsed="false">
      <c r="B19" s="4" t="s">
        <v>59</v>
      </c>
      <c r="C19" s="13"/>
      <c r="D19" s="13"/>
      <c r="E19" s="13"/>
      <c r="F19" s="13"/>
      <c r="G19" s="13"/>
      <c r="H19" s="13"/>
      <c r="I19" s="13"/>
    </row>
    <row r="20" customFormat="false" ht="15" hidden="false" customHeight="false" outlineLevel="0" collapsed="false">
      <c r="B20" s="4" t="s">
        <v>60</v>
      </c>
      <c r="C20" s="13"/>
      <c r="D20" s="13"/>
      <c r="E20" s="13"/>
      <c r="F20" s="13"/>
      <c r="G20" s="13"/>
      <c r="H20" s="13"/>
      <c r="I20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7" min="3" style="0" width="13"/>
  </cols>
  <sheetData>
    <row r="2" customFormat="false" ht="19.7" hidden="false" customHeight="false" outlineLevel="0" collapsed="false">
      <c r="B2" s="1" t="s">
        <v>61</v>
      </c>
    </row>
    <row r="4" customFormat="false" ht="15" hidden="false" customHeight="false" outlineLevel="0" collapsed="false">
      <c r="A4" s="8"/>
      <c r="B4" s="8" t="s">
        <v>39</v>
      </c>
      <c r="C4" s="8" t="s">
        <v>41</v>
      </c>
      <c r="D4" s="8" t="s">
        <v>42</v>
      </c>
      <c r="E4" s="8" t="s">
        <v>43</v>
      </c>
      <c r="F4" s="8" t="s">
        <v>44</v>
      </c>
      <c r="G4" s="15" t="s">
        <v>45</v>
      </c>
    </row>
    <row r="5" customFormat="false" ht="15" hidden="false" customHeight="false" outlineLevel="0" collapsed="false">
      <c r="B5" s="4" t="s">
        <v>62</v>
      </c>
      <c r="C5" s="13"/>
      <c r="D5" s="13"/>
      <c r="E5" s="13"/>
      <c r="F5" s="13"/>
      <c r="G5" s="13"/>
    </row>
    <row r="6" customFormat="false" ht="15" hidden="false" customHeight="false" outlineLevel="0" collapsed="false">
      <c r="B6" s="4" t="s">
        <v>63</v>
      </c>
      <c r="C6" s="13"/>
      <c r="D6" s="13"/>
      <c r="E6" s="13"/>
      <c r="F6" s="13"/>
      <c r="G6" s="13"/>
    </row>
    <row r="7" customFormat="false" ht="15" hidden="false" customHeight="false" outlineLevel="0" collapsed="false">
      <c r="B7" s="4" t="s">
        <v>64</v>
      </c>
      <c r="C7" s="13"/>
      <c r="D7" s="13"/>
      <c r="E7" s="13"/>
      <c r="F7" s="13"/>
      <c r="G7" s="13"/>
    </row>
    <row r="8" customFormat="false" ht="15" hidden="false" customHeight="false" outlineLevel="0" collapsed="false">
      <c r="B8" s="2" t="s">
        <v>65</v>
      </c>
      <c r="C8" s="13"/>
      <c r="D8" s="13"/>
      <c r="E8" s="13"/>
      <c r="F8" s="13"/>
      <c r="G8" s="13"/>
    </row>
    <row r="9" customFormat="false" ht="15" hidden="false" customHeight="false" outlineLevel="0" collapsed="false">
      <c r="B9" s="4" t="s">
        <v>66</v>
      </c>
      <c r="C9" s="13"/>
      <c r="D9" s="13"/>
      <c r="E9" s="13"/>
      <c r="F9" s="13"/>
      <c r="G9" s="13"/>
    </row>
    <row r="10" customFormat="false" ht="15" hidden="false" customHeight="false" outlineLevel="0" collapsed="false">
      <c r="B10" s="4" t="s">
        <v>67</v>
      </c>
      <c r="C10" s="13"/>
      <c r="D10" s="13"/>
      <c r="E10" s="13"/>
      <c r="F10" s="13"/>
      <c r="G10" s="13"/>
    </row>
    <row r="11" customFormat="false" ht="15" hidden="false" customHeight="false" outlineLevel="0" collapsed="false">
      <c r="B11" s="2" t="s">
        <v>68</v>
      </c>
      <c r="C11" s="13"/>
      <c r="D11" s="13"/>
      <c r="E11" s="13"/>
      <c r="F11" s="13"/>
      <c r="G11" s="13"/>
    </row>
    <row r="12" customFormat="false" ht="15" hidden="false" customHeight="false" outlineLevel="0" collapsed="false">
      <c r="B12" s="4" t="s">
        <v>69</v>
      </c>
      <c r="C12" s="13"/>
      <c r="D12" s="13"/>
      <c r="E12" s="13"/>
      <c r="F12" s="13"/>
      <c r="G12" s="13"/>
    </row>
    <row r="13" customFormat="false" ht="15" hidden="false" customHeight="false" outlineLevel="0" collapsed="false">
      <c r="B13" s="4" t="s">
        <v>70</v>
      </c>
      <c r="C13" s="13"/>
      <c r="D13" s="13"/>
      <c r="E13" s="13"/>
      <c r="F13" s="13"/>
      <c r="G13" s="13"/>
    </row>
    <row r="14" customFormat="false" ht="15" hidden="false" customHeight="false" outlineLevel="0" collapsed="false">
      <c r="B14" s="2" t="s">
        <v>71</v>
      </c>
      <c r="C14" s="13"/>
      <c r="D14" s="13"/>
      <c r="E14" s="13"/>
      <c r="F14" s="13"/>
      <c r="G14" s="13"/>
    </row>
    <row r="15" customFormat="false" ht="15" hidden="false" customHeight="false" outlineLevel="0" collapsed="false">
      <c r="B15" s="4" t="s">
        <v>72</v>
      </c>
      <c r="C15" s="13"/>
      <c r="D15" s="13"/>
      <c r="E15" s="13"/>
      <c r="F15" s="13"/>
      <c r="G15" s="13"/>
    </row>
    <row r="16" customFormat="false" ht="15" hidden="false" customHeight="false" outlineLevel="0" collapsed="false">
      <c r="B16" s="2" t="s">
        <v>73</v>
      </c>
      <c r="C16" s="13"/>
      <c r="D16" s="13"/>
      <c r="E16" s="13"/>
      <c r="F16" s="13"/>
      <c r="G16" s="13"/>
    </row>
    <row r="17" customFormat="false" ht="15" hidden="false" customHeight="false" outlineLevel="0" collapsed="false">
      <c r="B17" s="2" t="s">
        <v>74</v>
      </c>
      <c r="C17" s="13"/>
      <c r="D17" s="13"/>
      <c r="E17" s="13"/>
      <c r="F17" s="13"/>
      <c r="G17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7" min="3" style="0" width="13"/>
  </cols>
  <sheetData>
    <row r="2" customFormat="false" ht="19.7" hidden="false" customHeight="false" outlineLevel="0" collapsed="false">
      <c r="B2" s="1" t="s">
        <v>75</v>
      </c>
    </row>
    <row r="4" customFormat="false" ht="15" hidden="false" customHeight="false" outlineLevel="0" collapsed="false">
      <c r="A4" s="8"/>
      <c r="B4" s="8" t="s">
        <v>39</v>
      </c>
      <c r="C4" s="8" t="s">
        <v>41</v>
      </c>
      <c r="D4" s="8" t="s">
        <v>42</v>
      </c>
      <c r="E4" s="8" t="s">
        <v>43</v>
      </c>
      <c r="F4" s="8" t="s">
        <v>44</v>
      </c>
      <c r="G4" s="15" t="s">
        <v>45</v>
      </c>
    </row>
    <row r="5" customFormat="false" ht="15" hidden="false" customHeight="false" outlineLevel="0" collapsed="false">
      <c r="B5" s="4" t="s">
        <v>58</v>
      </c>
      <c r="C5" s="13"/>
      <c r="D5" s="13"/>
      <c r="E5" s="13"/>
      <c r="F5" s="13"/>
      <c r="G5" s="13"/>
    </row>
    <row r="6" customFormat="false" ht="15" hidden="false" customHeight="false" outlineLevel="0" collapsed="false">
      <c r="B6" s="4" t="s">
        <v>76</v>
      </c>
      <c r="C6" s="13"/>
      <c r="D6" s="13"/>
      <c r="E6" s="13"/>
      <c r="F6" s="13"/>
      <c r="G6" s="13"/>
    </row>
    <row r="7" customFormat="false" ht="15" hidden="false" customHeight="false" outlineLevel="0" collapsed="false">
      <c r="B7" s="4" t="s">
        <v>77</v>
      </c>
      <c r="C7" s="13"/>
      <c r="D7" s="13"/>
      <c r="E7" s="13"/>
      <c r="F7" s="13"/>
      <c r="G7" s="13"/>
    </row>
    <row r="8" customFormat="false" ht="15" hidden="false" customHeight="false" outlineLevel="0" collapsed="false">
      <c r="B8" s="2" t="s">
        <v>78</v>
      </c>
      <c r="C8" s="13"/>
      <c r="D8" s="13"/>
      <c r="E8" s="13"/>
      <c r="F8" s="13"/>
      <c r="G8" s="13"/>
    </row>
    <row r="9" customFormat="false" ht="15" hidden="false" customHeight="false" outlineLevel="0" collapsed="false">
      <c r="B9" s="4" t="s">
        <v>79</v>
      </c>
      <c r="C9" s="13"/>
      <c r="D9" s="13"/>
      <c r="E9" s="13"/>
      <c r="F9" s="13"/>
      <c r="G9" s="13"/>
    </row>
    <row r="10" customFormat="false" ht="15" hidden="false" customHeight="false" outlineLevel="0" collapsed="false">
      <c r="B10" s="2" t="s">
        <v>80</v>
      </c>
      <c r="C10" s="13"/>
      <c r="D10" s="13"/>
      <c r="E10" s="13"/>
      <c r="F10" s="13"/>
      <c r="G10" s="13"/>
    </row>
    <row r="11" customFormat="false" ht="15" hidden="false" customHeight="false" outlineLevel="0" collapsed="false">
      <c r="B11" s="4" t="s">
        <v>81</v>
      </c>
      <c r="C11" s="13"/>
      <c r="D11" s="13"/>
      <c r="E11" s="13"/>
      <c r="F11" s="13"/>
      <c r="G11" s="13"/>
    </row>
    <row r="12" customFormat="false" ht="15" hidden="false" customHeight="false" outlineLevel="0" collapsed="false">
      <c r="B12" s="4" t="s">
        <v>82</v>
      </c>
      <c r="C12" s="13"/>
      <c r="D12" s="13"/>
      <c r="E12" s="13"/>
      <c r="F12" s="13"/>
      <c r="G12" s="13"/>
    </row>
    <row r="13" customFormat="false" ht="15" hidden="false" customHeight="false" outlineLevel="0" collapsed="false">
      <c r="B13" s="4" t="s">
        <v>83</v>
      </c>
      <c r="C13" s="13"/>
      <c r="D13" s="13"/>
      <c r="E13" s="13"/>
      <c r="F13" s="13"/>
      <c r="G13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7" min="3" style="0" width="13"/>
    <col collapsed="false" customWidth="true" hidden="false" outlineLevel="0" max="8" min="8" style="0" width="4"/>
    <col collapsed="false" customWidth="true" hidden="false" outlineLevel="0" max="9" min="9" style="0" width="22"/>
    <col collapsed="false" customWidth="true" hidden="false" outlineLevel="0" max="10" min="10" style="0" width="14"/>
  </cols>
  <sheetData>
    <row r="2" customFormat="false" ht="19.7" hidden="false" customHeight="false" outlineLevel="0" collapsed="false">
      <c r="B2" s="1" t="s">
        <v>84</v>
      </c>
    </row>
    <row r="4" customFormat="false" ht="15" hidden="false" customHeight="false" outlineLevel="0" collapsed="false">
      <c r="C4" s="8" t="s">
        <v>43</v>
      </c>
      <c r="D4" s="8" t="s">
        <v>44</v>
      </c>
      <c r="E4" s="8" t="s">
        <v>45</v>
      </c>
      <c r="F4" s="8" t="s">
        <v>46</v>
      </c>
      <c r="G4" s="8" t="s">
        <v>85</v>
      </c>
      <c r="H4" s="2" t="s">
        <v>86</v>
      </c>
    </row>
    <row r="5" customFormat="false" ht="15" hidden="false" customHeight="false" outlineLevel="0" collapsed="false">
      <c r="B5" s="0" t="s">
        <v>87</v>
      </c>
      <c r="C5" s="16"/>
      <c r="D5" s="16"/>
      <c r="E5" s="16"/>
      <c r="F5" s="16"/>
      <c r="G5" s="16"/>
      <c r="H5" s="15" t="s">
        <v>88</v>
      </c>
      <c r="I5" s="17" t="n">
        <v>0.1</v>
      </c>
    </row>
    <row r="6" customFormat="false" ht="15" hidden="false" customHeight="false" outlineLevel="0" collapsed="false">
      <c r="B6" s="0" t="s">
        <v>89</v>
      </c>
      <c r="C6" s="18" t="n">
        <f aca="false">1/(1+$I$5)^(1)</f>
        <v>0.909090909090909</v>
      </c>
      <c r="D6" s="18" t="n">
        <f aca="false">1/(1+$I$5)^(2)</f>
        <v>0.826446280991735</v>
      </c>
      <c r="E6" s="18" t="n">
        <f aca="false">1/(1+$I$5)^(3)</f>
        <v>0.751314800901578</v>
      </c>
      <c r="F6" s="18" t="n">
        <f aca="false">1/(1+$I$5)^(4)</f>
        <v>0.683013455365071</v>
      </c>
      <c r="G6" s="18" t="n">
        <f aca="false">1/(1+$I$5)^(5)</f>
        <v>0.620921323059155</v>
      </c>
      <c r="H6" s="15" t="s">
        <v>90</v>
      </c>
      <c r="I6" s="17" t="n">
        <v>0.025</v>
      </c>
    </row>
    <row r="7" customFormat="false" ht="15" hidden="false" customHeight="false" outlineLevel="0" collapsed="false">
      <c r="B7" s="0" t="s">
        <v>91</v>
      </c>
      <c r="C7" s="19" t="n">
        <f aca="false">C5*C6</f>
        <v>0</v>
      </c>
      <c r="D7" s="19" t="n">
        <f aca="false">D5*D6</f>
        <v>0</v>
      </c>
      <c r="E7" s="19" t="n">
        <f aca="false">E5*E6</f>
        <v>0</v>
      </c>
      <c r="F7" s="19" t="n">
        <f aca="false">F5*F6</f>
        <v>0</v>
      </c>
      <c r="G7" s="19" t="n">
        <f aca="false">G5*G6</f>
        <v>0</v>
      </c>
      <c r="H7" s="15" t="s">
        <v>92</v>
      </c>
      <c r="I7" s="19" t="n">
        <f aca="false">G5*(1+I6)/(I5-I6)</f>
        <v>0</v>
      </c>
    </row>
    <row r="8" customFormat="false" ht="15" hidden="false" customHeight="false" outlineLevel="0" collapsed="false">
      <c r="H8" s="0" t="s">
        <v>93</v>
      </c>
      <c r="I8" s="19" t="n">
        <f aca="false">I7*G6</f>
        <v>0</v>
      </c>
    </row>
    <row r="9" customFormat="false" ht="15" hidden="false" customHeight="false" outlineLevel="0" collapsed="false">
      <c r="H9" s="0" t="s">
        <v>94</v>
      </c>
      <c r="I9" s="19" t="n">
        <f aca="false">SUM(C7:G7)</f>
        <v>0</v>
      </c>
    </row>
    <row r="10" customFormat="false" ht="15" hidden="false" customHeight="false" outlineLevel="0" collapsed="false">
      <c r="H10" s="0" t="s">
        <v>95</v>
      </c>
      <c r="I10" s="20" t="n">
        <f aca="false">I8+I9</f>
        <v>0</v>
      </c>
    </row>
    <row r="11" customFormat="false" ht="15" hidden="false" customHeight="false" outlineLevel="0" collapsed="false">
      <c r="H11" s="0" t="s">
        <v>96</v>
      </c>
      <c r="I11" s="21" t="n">
        <v>0</v>
      </c>
    </row>
    <row r="12" customFormat="false" ht="15" hidden="false" customHeight="false" outlineLevel="0" collapsed="false">
      <c r="H12" s="0" t="s">
        <v>97</v>
      </c>
      <c r="I12" s="20" t="n">
        <f aca="false">I10-I11</f>
        <v>0</v>
      </c>
    </row>
    <row r="13" customFormat="false" ht="15" hidden="false" customHeight="false" outlineLevel="0" collapsed="false">
      <c r="H13" s="0" t="s">
        <v>98</v>
      </c>
      <c r="I13" s="21" t="n">
        <v>1</v>
      </c>
    </row>
    <row r="14" customFormat="false" ht="15" hidden="false" customHeight="false" outlineLevel="0" collapsed="false">
      <c r="H14" s="0" t="s">
        <v>99</v>
      </c>
      <c r="I14" s="20" t="n">
        <f aca="false">I12/I13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8" min="3" style="0" width="12"/>
  </cols>
  <sheetData>
    <row r="2" customFormat="false" ht="19.7" hidden="false" customHeight="false" outlineLevel="0" collapsed="false">
      <c r="B2" s="1" t="s">
        <v>100</v>
      </c>
    </row>
    <row r="4" customFormat="false" ht="15" hidden="false" customHeight="false" outlineLevel="0" collapsed="false">
      <c r="A4" s="8"/>
      <c r="B4" s="8" t="s">
        <v>101</v>
      </c>
      <c r="C4" s="8" t="s">
        <v>102</v>
      </c>
      <c r="D4" s="8" t="s">
        <v>103</v>
      </c>
      <c r="E4" s="8" t="s">
        <v>104</v>
      </c>
      <c r="F4" s="8" t="s">
        <v>105</v>
      </c>
      <c r="G4" s="8" t="s">
        <v>106</v>
      </c>
      <c r="H4" s="8" t="s">
        <v>107</v>
      </c>
    </row>
    <row r="5" customFormat="false" ht="15" hidden="false" customHeight="false" outlineLevel="0" collapsed="false">
      <c r="B5" s="3" t="s">
        <v>108</v>
      </c>
      <c r="C5" s="12" t="n">
        <v>0</v>
      </c>
      <c r="D5" s="12" t="n">
        <v>0</v>
      </c>
      <c r="E5" s="12" t="n">
        <v>0</v>
      </c>
      <c r="F5" s="22" t="n">
        <v>0</v>
      </c>
      <c r="G5" s="22" t="n">
        <v>0</v>
      </c>
      <c r="H5" s="22" t="n">
        <v>0</v>
      </c>
    </row>
    <row r="6" customFormat="false" ht="15" hidden="false" customHeight="false" outlineLevel="0" collapsed="false">
      <c r="B6" s="3" t="s">
        <v>108</v>
      </c>
      <c r="C6" s="12" t="n">
        <v>0</v>
      </c>
      <c r="D6" s="12" t="n">
        <v>0</v>
      </c>
      <c r="E6" s="12" t="n">
        <v>0</v>
      </c>
      <c r="F6" s="22" t="n">
        <v>0</v>
      </c>
      <c r="G6" s="22" t="n">
        <v>0</v>
      </c>
      <c r="H6" s="22" t="n">
        <v>0</v>
      </c>
    </row>
    <row r="7" customFormat="false" ht="15" hidden="false" customHeight="false" outlineLevel="0" collapsed="false">
      <c r="B7" s="3" t="s">
        <v>108</v>
      </c>
      <c r="C7" s="12" t="n">
        <v>0</v>
      </c>
      <c r="D7" s="12" t="n">
        <v>0</v>
      </c>
      <c r="E7" s="12" t="n">
        <v>0</v>
      </c>
      <c r="F7" s="22" t="n">
        <v>0</v>
      </c>
      <c r="G7" s="22" t="n">
        <v>0</v>
      </c>
      <c r="H7" s="22" t="n">
        <v>0</v>
      </c>
    </row>
    <row r="8" customFormat="false" ht="15" hidden="false" customHeight="false" outlineLevel="0" collapsed="false">
      <c r="B8" s="3" t="s">
        <v>108</v>
      </c>
      <c r="C8" s="12" t="n">
        <v>0</v>
      </c>
      <c r="D8" s="12" t="n">
        <v>0</v>
      </c>
      <c r="E8" s="12" t="n">
        <v>0</v>
      </c>
      <c r="F8" s="22" t="n">
        <v>0</v>
      </c>
      <c r="G8" s="22" t="n">
        <v>0</v>
      </c>
      <c r="H8" s="22" t="n">
        <v>0</v>
      </c>
    </row>
    <row r="9" customFormat="false" ht="15" hidden="false" customHeight="false" outlineLevel="0" collapsed="false">
      <c r="B9" s="3" t="s">
        <v>108</v>
      </c>
      <c r="C9" s="12" t="n">
        <v>0</v>
      </c>
      <c r="D9" s="12" t="n">
        <v>0</v>
      </c>
      <c r="E9" s="12" t="n">
        <v>0</v>
      </c>
      <c r="F9" s="22" t="n">
        <v>0</v>
      </c>
      <c r="G9" s="22" t="n">
        <v>0</v>
      </c>
      <c r="H9" s="22" t="n">
        <v>0</v>
      </c>
    </row>
    <row r="10" customFormat="false" ht="15" hidden="false" customHeight="false" outlineLevel="0" collapsed="false">
      <c r="B10" s="3" t="s">
        <v>108</v>
      </c>
      <c r="C10" s="12" t="n">
        <v>0</v>
      </c>
      <c r="D10" s="12" t="n">
        <v>0</v>
      </c>
      <c r="E10" s="12" t="n">
        <v>0</v>
      </c>
      <c r="F10" s="22" t="n">
        <v>0</v>
      </c>
      <c r="G10" s="22" t="n">
        <v>0</v>
      </c>
      <c r="H10" s="22" t="n">
        <v>0</v>
      </c>
    </row>
    <row r="11" customFormat="false" ht="15" hidden="false" customHeight="false" outlineLevel="0" collapsed="false">
      <c r="B11" s="3" t="s">
        <v>108</v>
      </c>
      <c r="C11" s="12" t="n">
        <v>0</v>
      </c>
      <c r="D11" s="12" t="n">
        <v>0</v>
      </c>
      <c r="E11" s="12" t="n">
        <v>0</v>
      </c>
      <c r="F11" s="22" t="n">
        <v>0</v>
      </c>
      <c r="G11" s="22" t="n">
        <v>0</v>
      </c>
      <c r="H11" s="22" t="n">
        <v>0</v>
      </c>
    </row>
    <row r="13" customFormat="false" ht="15" hidden="false" customHeight="false" outlineLevel="0" collapsed="false">
      <c r="B13" s="2" t="s">
        <v>109</v>
      </c>
      <c r="C13" s="20" t="n">
        <f aca="false">MEDIAN(C5:C12)</f>
        <v>0</v>
      </c>
      <c r="D13" s="20" t="n">
        <f aca="false">MEDIAN(D5:D12)</f>
        <v>0</v>
      </c>
      <c r="E13" s="20" t="n">
        <f aca="false">MEDIAN(E5:E12)</f>
        <v>0</v>
      </c>
      <c r="F13" s="23" t="n">
        <f aca="false">MEDIAN(F5:F12)</f>
        <v>0</v>
      </c>
      <c r="G13" s="23" t="n">
        <f aca="false">MEDIAN(G5:G12)</f>
        <v>0</v>
      </c>
      <c r="H13" s="23" t="n">
        <f aca="false">MEDIAN(H5:H12)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8" min="3" style="0" width="12"/>
  </cols>
  <sheetData>
    <row r="2" customFormat="false" ht="19.7" hidden="false" customHeight="false" outlineLevel="0" collapsed="false">
      <c r="B2" s="1" t="s">
        <v>110</v>
      </c>
    </row>
    <row r="4" customFormat="false" ht="15" hidden="false" customHeight="false" outlineLevel="0" collapsed="false">
      <c r="B4" s="24" t="s">
        <v>111</v>
      </c>
      <c r="C4" s="25" t="n">
        <v>0.015</v>
      </c>
      <c r="D4" s="25" t="n">
        <v>0.02</v>
      </c>
      <c r="E4" s="25" t="n">
        <v>0.025</v>
      </c>
      <c r="F4" s="25" t="n">
        <v>0.03</v>
      </c>
      <c r="G4" s="25" t="n">
        <v>0.035</v>
      </c>
    </row>
    <row r="5" customFormat="false" ht="15" hidden="false" customHeight="false" outlineLevel="0" collapsed="false">
      <c r="B5" s="25" t="n">
        <v>0.08</v>
      </c>
      <c r="C5" s="26" t="s">
        <v>112</v>
      </c>
      <c r="D5" s="26" t="s">
        <v>112</v>
      </c>
      <c r="E5" s="26" t="s">
        <v>112</v>
      </c>
      <c r="F5" s="26" t="s">
        <v>112</v>
      </c>
      <c r="G5" s="26" t="s">
        <v>112</v>
      </c>
    </row>
    <row r="6" customFormat="false" ht="15" hidden="false" customHeight="false" outlineLevel="0" collapsed="false">
      <c r="B6" s="25" t="n">
        <v>0.09</v>
      </c>
      <c r="C6" s="26" t="s">
        <v>112</v>
      </c>
      <c r="D6" s="26" t="s">
        <v>112</v>
      </c>
      <c r="E6" s="26" t="s">
        <v>112</v>
      </c>
      <c r="F6" s="26" t="s">
        <v>112</v>
      </c>
      <c r="G6" s="26" t="s">
        <v>112</v>
      </c>
    </row>
    <row r="7" customFormat="false" ht="15" hidden="false" customHeight="false" outlineLevel="0" collapsed="false">
      <c r="B7" s="25" t="n">
        <v>0.1</v>
      </c>
      <c r="C7" s="26" t="s">
        <v>112</v>
      </c>
      <c r="D7" s="26" t="s">
        <v>112</v>
      </c>
      <c r="E7" s="26" t="s">
        <v>112</v>
      </c>
      <c r="F7" s="26" t="s">
        <v>112</v>
      </c>
      <c r="G7" s="26" t="s">
        <v>112</v>
      </c>
    </row>
    <row r="8" customFormat="false" ht="15" hidden="false" customHeight="false" outlineLevel="0" collapsed="false">
      <c r="B8" s="25" t="n">
        <v>0.11</v>
      </c>
      <c r="C8" s="26" t="s">
        <v>112</v>
      </c>
      <c r="D8" s="26" t="s">
        <v>112</v>
      </c>
      <c r="E8" s="26" t="s">
        <v>112</v>
      </c>
      <c r="F8" s="26" t="s">
        <v>112</v>
      </c>
      <c r="G8" s="26" t="s">
        <v>112</v>
      </c>
    </row>
    <row r="9" customFormat="false" ht="15" hidden="false" customHeight="false" outlineLevel="0" collapsed="false">
      <c r="B9" s="25" t="n">
        <v>0.12</v>
      </c>
      <c r="C9" s="26" t="s">
        <v>112</v>
      </c>
      <c r="D9" s="26" t="s">
        <v>112</v>
      </c>
      <c r="E9" s="26" t="s">
        <v>112</v>
      </c>
      <c r="F9" s="26" t="s">
        <v>112</v>
      </c>
      <c r="G9" s="26" t="s">
        <v>112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113</v>
      </c>
    </row>
    <row r="4" customFormat="false" ht="15" hidden="false" customHeight="false" outlineLevel="0" collapsed="false">
      <c r="A4" s="8"/>
      <c r="B4" s="8" t="s">
        <v>114</v>
      </c>
      <c r="C4" s="8" t="s">
        <v>115</v>
      </c>
      <c r="D4" s="8" t="s">
        <v>116</v>
      </c>
      <c r="E4" s="8" t="s">
        <v>117</v>
      </c>
      <c r="F4" s="8" t="s">
        <v>118</v>
      </c>
    </row>
    <row r="5" customFormat="false" ht="15" hidden="false" customHeight="false" outlineLevel="0" collapsed="false">
      <c r="B5" s="27"/>
      <c r="C5" s="27"/>
      <c r="D5" s="27"/>
      <c r="E5" s="27"/>
      <c r="F5" s="27"/>
    </row>
    <row r="6" customFormat="false" ht="15" hidden="false" customHeight="false" outlineLevel="0" collapsed="false">
      <c r="B6" s="27"/>
      <c r="C6" s="27"/>
      <c r="D6" s="27"/>
      <c r="E6" s="27"/>
      <c r="F6" s="27"/>
    </row>
    <row r="7" customFormat="false" ht="15" hidden="false" customHeight="false" outlineLevel="0" collapsed="false">
      <c r="B7" s="27"/>
      <c r="C7" s="27"/>
      <c r="D7" s="27"/>
      <c r="E7" s="27"/>
      <c r="F7" s="27"/>
    </row>
    <row r="8" customFormat="false" ht="15" hidden="false" customHeight="false" outlineLevel="0" collapsed="false">
      <c r="B8" s="27"/>
      <c r="C8" s="27"/>
      <c r="D8" s="27"/>
      <c r="E8" s="27"/>
      <c r="F8" s="27"/>
    </row>
    <row r="9" customFormat="false" ht="15" hidden="false" customHeight="false" outlineLevel="0" collapsed="false">
      <c r="B9" s="27"/>
      <c r="C9" s="27"/>
      <c r="D9" s="27"/>
      <c r="E9" s="27"/>
      <c r="F9" s="27"/>
    </row>
    <row r="10" customFormat="false" ht="15" hidden="false" customHeight="false" outlineLevel="0" collapsed="false">
      <c r="B10" s="27"/>
      <c r="C10" s="27"/>
      <c r="D10" s="27"/>
      <c r="E10" s="27"/>
      <c r="F10" s="27"/>
    </row>
    <row r="11" customFormat="false" ht="15" hidden="false" customHeight="false" outlineLevel="0" collapsed="false">
      <c r="B11" s="27"/>
      <c r="C11" s="27"/>
      <c r="D11" s="27"/>
      <c r="E11" s="27"/>
      <c r="F11" s="27"/>
    </row>
    <row r="12" customFormat="false" ht="15" hidden="false" customHeight="false" outlineLevel="0" collapsed="false">
      <c r="B12" s="27"/>
      <c r="C12" s="27"/>
      <c r="D12" s="27"/>
      <c r="E12" s="27"/>
      <c r="F12" s="27"/>
    </row>
    <row r="13" customFormat="false" ht="15" hidden="false" customHeight="false" outlineLevel="0" collapsed="false">
      <c r="B13" s="27"/>
      <c r="C13" s="27"/>
      <c r="D13" s="27"/>
      <c r="E13" s="27"/>
      <c r="F13" s="27"/>
    </row>
    <row r="14" customFormat="false" ht="15" hidden="false" customHeight="false" outlineLevel="0" collapsed="false">
      <c r="B14" s="27"/>
      <c r="C14" s="27"/>
      <c r="D14" s="27"/>
      <c r="E14" s="27"/>
      <c r="F14" s="2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2026-08-03T15:47:21Z</dcterms:created>
  <dc:creator>openpyxl</dc:creator>
  <dc:description/>
  <dc:language>en-US</dc:language>
  <cp:lastModifiedBy/>
  <dcterms:modified xsi:type="dcterms:W3CDTF">2026-08-03T15:47:21Z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