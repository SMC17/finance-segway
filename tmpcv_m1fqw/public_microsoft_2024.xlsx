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easury &amp; Liquidity" sheetId="13" state="visible" r:id="rId15"/>
    <sheet name="Capital Allocation" sheetId="14" state="visible" r:id="rId16"/>
    <sheet name="Credit Metric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<sst xmlns="http://schemas.openxmlformats.org/spreadsheetml/2006/main" count="434" uniqueCount="277">
  <si>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</si>
  <si>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</si>
  <si>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</si>
  <si>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</si>
  <si>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</si>
  <si>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</si>
  <si>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2024-06-30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</si>
  <si>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</si>
  <si>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</si>
  <si>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</si>
  <si>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</si>
  <si>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</si>
  <si>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</si>
  <si>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</si>
  <si>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</si>
  <si>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</si>
  <si>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</si>
  <si>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</si>
  <si>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</si>
  <si>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</si>
  <si>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Corporate Finance — Institutional Decision Surface</t>
  </si>
  <si>
    <t xml:space="preserve">Model ID</t>
  </si>
  <si>
    <t xml:space="preserve">02</t>
  </si>
  <si>
    <t xml:space="preserve">Domain</t>
  </si>
  <si>
    <t xml:space="preserve">Corporate Finance</t>
  </si>
  <si>
    <t xml:space="preserve">Declared maturity</t>
  </si>
  <si>
    <t xml:space="preserve">M2</t>
  </si>
  <si>
    <t xml:space="preserve">Canonical builder</t>
  </si>
  <si>
    <t xml:space="preserve">tools/builders/build_corporate_finance_release.py</t>
  </si>
  <si>
    <t xml:space="preserve">Decision arena</t>
  </si>
  <si>
    <t xml:space="preserve">treasury, CFO staff, ALCO and board finance committee</t>
  </si>
  <si>
    <t xml:space="preserve">Committee artifact</t>
  </si>
  <si>
    <t xml:space="preserve">liquidity and capital-allocation pack</t>
  </si>
  <si>
    <t xml:space="preserve">Operating cadence</t>
  </si>
  <si>
    <t xml:space="preserve">weekly treasury; monthly ALCO;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</si>
  <si>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</si>
  <si>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</si>
  <si>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</si>
  <si>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</si>
  <si>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</si>
  <si>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</si>
  <si>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runway and minimum liquidity</t>
  </si>
  <si>
    <t xml:space="preserve">OPEN</t>
  </si>
  <si>
    <t xml:space="preserve">debt maturity wall and refinancing need</t>
  </si>
  <si>
    <t xml:space="preserve">WACC and hurdle rates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</si>
  <si>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</si>
  <si>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</si>
  <si>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</si>
  <si>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cash is actually fungible?</t>
  </si>
  <si>
    <t xml:space="preserve">Which covenant becomes binding before headline leverage?</t>
  </si>
  <si>
    <t xml:space="preserve">How much capacity survives a closed market?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</si>
  <si>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</si>
  <si>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</si>
  <si>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</si>
  <si>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rate shocks and basis</t>
  </si>
  <si>
    <t xml:space="preserve">revenue/margin downturn</t>
  </si>
  <si>
    <t xml:space="preserve">working-capital draw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</si>
  <si>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</si>
  <si>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</si>
  <si>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</si>
  <si>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treasury policy</t>
  </si>
  <si>
    <t xml:space="preserve">credit agreements and indentures</t>
  </si>
  <si>
    <t xml:space="preserve">rating-agency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</si>
  <si>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</si>
  <si>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</si>
  <si>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</si>
  <si>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roll-forward balances</t>
  </si>
  <si>
    <t xml:space="preserve">maturity ladder equals debt ledger</t>
  </si>
  <si>
    <t xml:space="preserve">interest expense ties to debt schedule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</si>
  <si>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</si>
  <si>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</si>
  <si>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</si>
  <si>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netting restricted cash</t>
  </si>
  <si>
    <t xml:space="preserve">assuming revolver availability without covenant test</t>
  </si>
  <si>
    <t xml:space="preserve">ignoring trapped cash and tax leakage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</si>
  <si>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</si>
  <si>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</si>
  <si>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</si>
  <si>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</si>
  <si>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</si>
  <si>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</si>
  <si>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</si>
  <si>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</si>
  <si>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</si>
  <si>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</si>
  <si>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</si>
  <si>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</si>
  <si>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</si>
  <si>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</si>
  <si>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</si>
  <si>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</si>
  <si>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</si>
  <si>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</si>
  <si>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</si>
  <si>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</si>
  <si>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</si>
  <si>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</si>
  <si>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</si>
  <si>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</si>
  <si>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</si>
  <si>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</si>
  <si>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</si>
  <si>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</si>
  <si>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</si>
  <si>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</si>
  <si>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</si>
  <si>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and debt positions</t>
  </si>
  <si>
    <t xml:space="preserve">daily/weekly</t>
  </si>
  <si>
    <t xml:space="preserve">bank and trustee reconciliation</t>
  </si>
  <si>
    <t xml:space="preserve">TO MAP</t>
  </si>
  <si>
    <t xml:space="preserve">forecast</t>
  </si>
  <si>
    <t xml:space="preserve">monthly</t>
  </si>
  <si>
    <t xml:space="preserve">actual-to-forecast bridge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</si>
  <si>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</si>
  <si>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</si>
  <si>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</si>
  <si>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</si>
  <si>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</si>
  <si>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</si>
  <si>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</si>
  <si>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</si>
  <si>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</si>
  <si>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</si>
  <si>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</si>
  <si>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</si>
  <si>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</si>
  <si>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</si>
  <si>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</si>
  <si>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</si>
  <si>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</si>
  <si>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</si>
  <si>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</si>
  <si>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</si>
  <si>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</si>
  <si>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</si>
  <si>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</si>
  <si>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</si>
  <si>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</si>
  <si>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</si>
  <si>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</si>
  <si>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</si>
  <si>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</si>
  <si>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</si>
  <si>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</si>
  <si>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</si>
  <si>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</si>
  <si>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</si>
  <si>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</si>
  <si>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</si>
  <si>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</si>
  <si>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</si>
  <si>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</si>
  <si>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</si>
  <si>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</si>
  <si>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</si>
  <si>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</si>
  <si>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</si>
  <si>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</si>
  <si>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</si>
  <si>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</si>
  <si>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</si>
  <si>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</si>
  <si>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</si>
  <si>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</si>
  <si>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</si>
  <si>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</si>
  <si>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</si>
  <si>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</si>
  <si>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</si>
  <si>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</si>
  <si>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</si>
  <si>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</si>
  <si>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</si>
  <si>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</si>
  <si>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</si>
  <si>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</si>
  <si>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</si>
  <si>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</si>
  <si>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</si>
  <si>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</si>
  <si>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</si>
  <si>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</si>
  <si>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</si>
  <si>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</si>
  <si>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</si>
  <si>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</si>
  <si>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</si>
  <si>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</si>
  <si>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</si>
  <si>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</si>
  <si>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</si>
  <si>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</si>
  <si>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</si>
  <si>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</si>
  <si>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</si>
  <si>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</si>
  <si>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</si>
  <si>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</si>
  <si>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</si>
  <si>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</si>
  <si>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</si>
  <si>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</si>
  <si>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</si>
  <si>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</si>
  <si>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</si>
  <si>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</si>
  <si>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</si>
  <si>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</si>
  <si>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</si>
  <si>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</si>
  <si>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</si>
  <si>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</si>
  <si>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</si>
  <si>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</si>
  <si>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</si>
  <si>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</si>
  <si>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</si>
  <si>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</si>
  <si>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</si>
  <si>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</si>
  <si>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</si>
  <si>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corporate-public-microsoft-2024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</si>
  <si>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</si>
  <si>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</si>
  <si>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Cash, Debt, Minimum Liquidity, and Financing Capacity</t>
  </si>
  <si>
    <t xml:space="preserve">Metric</t>
  </si>
  <si>
    <t xml:space="preserve">Base</t>
  </si>
  <si>
    <t xml:space="preserve">Adversarial</t>
  </si>
  <si>
    <t xml:space="preserve">Units / control</t>
  </si>
  <si>
    <t xml:space="preserve">Opening cash</t>
  </si>
  <si>
    <t xml:space="preserve">Operating cash flow</t>
  </si>
  <si>
    <t xml:space="preserve">Capital expenditure</t>
  </si>
  <si>
    <t xml:space="preserve">Dividends</t>
  </si>
  <si>
    <t xml:space="preserve">Buybacks</t>
  </si>
  <si>
    <t xml:space="preserve">Debt issuance</t>
  </si>
  <si>
    <t xml:space="preserve">Debt repayment</t>
  </si>
  <si>
    <t xml:space="preserve">Opening debt</t>
  </si>
  <si>
    <t xml:space="preserve">Cash interest</t>
  </si>
  <si>
    <t xml:space="preserve">Minimum cash</t>
  </si>
  <si>
    <t xml:space="preserve">Maximum net leverage</t>
  </si>
  <si>
    <t xml:space="preserve">Minimum interest coverage</t>
  </si>
  <si>
    <t xml:space="preserve">Ending cash</t>
  </si>
  <si>
    <t xml:space="preserve">Ending debt</t>
  </si>
  <si>
    <t xml:space="preserve">Net debt</t>
  </si>
  <si>
    <t xml:space="preserve">Net leverage</t>
  </si>
  <si>
    <t xml:space="preserve">Interest coverage</t>
  </si>
  <si>
    <t xml:space="preserve">Financing gap</t>
  </si>
  <si>
    <t xml:space="preserve">Post-capex free cash flow</t>
  </si>
  <si>
    <t xml:space="preserve">Shareholder distributions</t>
  </si>
  <si>
    <t xml:space="preserve">Capital Allocation Sources, Uses, and Distribution Funding</t>
  </si>
  <si>
    <t xml:space="preserve">Capital use</t>
  </si>
  <si>
    <t xml:space="preserve">Decision rule</t>
  </si>
  <si>
    <t xml:space="preserve">internal funding source</t>
  </si>
  <si>
    <t xml:space="preserve">maintenance and growth investment</t>
  </si>
  <si>
    <t xml:space="preserve">fund only after minimum liquidity</t>
  </si>
  <si>
    <t xml:space="preserve">deleveraging use</t>
  </si>
  <si>
    <t xml:space="preserve">external funding source</t>
  </si>
  <si>
    <t xml:space="preserve">Distribution funding residual</t>
  </si>
  <si>
    <t xml:space="preserve">Cash rollforward residual</t>
  </si>
  <si>
    <t xml:space="preserve">Leverage, Coverage, Liquidity, and Distribution Capacity</t>
  </si>
  <si>
    <t xml:space="preserve">Threshold / interpretation</t>
  </si>
  <si>
    <t xml:space="preserve">must exceed minimum cash</t>
  </si>
  <si>
    <t xml:space="preserve">must remain below maximum</t>
  </si>
  <si>
    <t xml:space="preserve">must remain above minimum</t>
  </si>
  <si>
    <t xml:space="preserve">must equal zero</t>
  </si>
  <si>
    <t xml:space="preserve">Corporate Finance Decision Dashboard and Independent Checks</t>
  </si>
  <si>
    <t xml:space="preserve">Check / decision</t>
  </si>
  <si>
    <t xml:space="preserve">Interpretation / action</t>
  </si>
  <si>
    <t xml:space="preserve">Cash sources and uses must conserve.</t>
  </si>
  <si>
    <t xml:space="preserve">Debt rollforward residual</t>
  </si>
  <si>
    <t xml:space="preserve">Ending debt must reconcile to issuance and repayment.</t>
  </si>
  <si>
    <t xml:space="preserve">Escalate funding if ending cash falls below the minimum buffer.</t>
  </si>
  <si>
    <t xml:space="preserve">Leverage must remain within the approved capital-structure limit.</t>
  </si>
  <si>
    <t xml:space="preserve">Cash interest must remain covered by operating earnings.</t>
  </si>
  <si>
    <t xml:space="preserve">Distribution funding</t>
  </si>
  <si>
    <t xml:space="preserve">Dividends and buybacks cannot rely on uncovered liquidity.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</si>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</sst>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4</v>
      </c>
    </row>
    <row r="8" customFormat="false" ht="15" hidden="false" customHeight="true" outlineLevel="0" collapsed="false">
      <c r="B8" s="3" t="s">
        <v>8</v>
      </c>
      <c r="C8" s="6" t="s">
        <v>9</v>
      </c>
    </row>
    <row r="10" customFormat="false" ht="15" hidden="false" customHeight="true" outlineLevel="0" collapsed="false">
      <c r="B10" s="3" t="s">
        <v>10</v>
      </c>
    </row>
    <row r="11" customFormat="false" ht="15" hidden="false" customHeight="true" outlineLevel="0" collapsed="false">
      <c r="B11" s="7" t="s">
        <v>2</v>
      </c>
      <c r="C11" s="7"/>
      <c r="D11" s="7"/>
    </row>
    <row r="12" customFormat="false" ht="15" hidden="false" customHeight="true" outlineLevel="0" collapsed="false">
      <c r="B12" s="7"/>
      <c r="C12" s="7"/>
      <c r="D12" s="7"/>
    </row>
    <row r="13" customFormat="false" ht="15" hidden="false" customHeight="true" outlineLevel="0" collapsed="false">
      <c r="B13" s="7"/>
      <c r="C13" s="7"/>
      <c r="D13" s="7"/>
    </row>
    <row r="14" customFormat="false" ht="15" hidden="false" customHeight="true" outlineLevel="0" collapsed="false">
      <c r="B14" s="7"/>
      <c r="C14" s="7"/>
      <c r="D14" s="7"/>
    </row>
    <row r="16" customFormat="false" ht="15" hidden="false" customHeight="true" outlineLevel="0" collapsed="false">
      <c r="B16" s="3" t="s">
        <v>11</v>
      </c>
    </row>
    <row r="17" customFormat="false" ht="15" hidden="false" customHeight="true" outlineLevel="0" collapsed="false">
      <c r="B17" s="4" t="s">
        <v>12</v>
      </c>
      <c r="C17" s="6" t="s">
        <v>13</v>
      </c>
    </row>
    <row r="18" customFormat="false" ht="15" hidden="false" customHeight="true" outlineLevel="0" collapsed="false">
      <c r="B18" s="6" t="s">
        <v>14</v>
      </c>
      <c r="C18" s="6" t="s">
        <v>15</v>
      </c>
    </row>
    <row r="19" customFormat="false" ht="15" hidden="false" customHeight="true" outlineLevel="0" collapsed="false">
      <c r="B19" s="8" t="s">
        <v>16</v>
      </c>
      <c r="C19" s="6" t="s">
        <v>17</v>
      </c>
    </row>
    <row r="20" customFormat="false" ht="15" hidden="false" customHeight="true" outlineLevel="0" collapsed="false">
      <c r="B20" s="9" t="s">
        <v>18</v>
      </c>
      <c r="C20" s="6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20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21</v>
      </c>
      <c r="C4" s="12" t="s">
        <v>22</v>
      </c>
      <c r="D4" s="12"/>
      <c r="E4" s="12"/>
      <c r="F4" s="12"/>
    </row>
    <row r="5" customFormat="false" ht="15" hidden="false" customHeight="true" outlineLevel="0" collapsed="false">
      <c r="B5" s="11" t="s">
        <v>23</v>
      </c>
      <c r="C5" s="12" t="s">
        <v>24</v>
      </c>
      <c r="D5" s="12"/>
      <c r="E5" s="12"/>
      <c r="F5" s="12"/>
    </row>
    <row r="6" customFormat="false" ht="15" hidden="false" customHeight="true" outlineLevel="0" collapsed="false">
      <c r="B6" s="11" t="s">
        <v>25</v>
      </c>
      <c r="C6" s="12" t="s">
        <v>26</v>
      </c>
      <c r="D6" s="12"/>
      <c r="E6" s="12"/>
      <c r="F6" s="12"/>
    </row>
    <row r="7" customFormat="false" ht="15" hidden="false" customHeight="true" outlineLevel="0" collapsed="false">
      <c r="B7" s="11" t="s">
        <v>27</v>
      </c>
      <c r="C7" s="12" t="s">
        <v>28</v>
      </c>
      <c r="D7" s="12"/>
      <c r="E7" s="12"/>
      <c r="F7" s="12"/>
    </row>
    <row r="8" customFormat="false" ht="15" hidden="false" customHeight="true" outlineLevel="0" collapsed="false">
      <c r="B8" s="11" t="s">
        <v>29</v>
      </c>
      <c r="C8" s="12" t="s">
        <v>30</v>
      </c>
      <c r="D8" s="12"/>
      <c r="E8" s="12"/>
      <c r="F8" s="12"/>
    </row>
    <row r="9" customFormat="false" ht="15" hidden="false" customHeight="true" outlineLevel="0" collapsed="false">
      <c r="B9" s="11" t="s">
        <v>31</v>
      </c>
      <c r="C9" s="12" t="s">
        <v>32</v>
      </c>
      <c r="D9" s="12"/>
      <c r="E9" s="12"/>
      <c r="F9" s="12"/>
    </row>
    <row r="10" customFormat="false" ht="15" hidden="false" customHeight="true" outlineLevel="0" collapsed="false">
      <c r="B10" s="11" t="s">
        <v>33</v>
      </c>
      <c r="C10" s="12" t="s">
        <v>34</v>
      </c>
      <c r="D10" s="12"/>
      <c r="E10" s="12"/>
      <c r="F10" s="12"/>
    </row>
    <row r="12" customFormat="false" ht="15" hidden="false" customHeight="true" outlineLevel="0" collapsed="false">
      <c r="B12" s="13" t="s">
        <v>35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36</v>
      </c>
      <c r="C13" s="14" t="s">
        <v>37</v>
      </c>
      <c r="D13" s="14" t="s">
        <v>38</v>
      </c>
      <c r="E13" s="14" t="s">
        <v>39</v>
      </c>
      <c r="F13" s="14" t="s">
        <v>40</v>
      </c>
    </row>
    <row r="14" customFormat="false" ht="15" hidden="false" customHeight="true" outlineLevel="0" collapsed="false">
      <c r="B14" s="1" t="n">
        <v>1</v>
      </c>
      <c r="C14" s="1" t="s">
        <v>41</v>
      </c>
      <c r="F14" s="15" t="s">
        <v>42</v>
      </c>
    </row>
    <row r="15" customFormat="false" ht="15" hidden="false" customHeight="true" outlineLevel="0" collapsed="false">
      <c r="B15" s="1" t="n">
        <v>2</v>
      </c>
      <c r="C15" s="1" t="s">
        <v>43</v>
      </c>
      <c r="F15" s="15" t="s">
        <v>42</v>
      </c>
    </row>
    <row r="16" customFormat="false" ht="15" hidden="false" customHeight="true" outlineLevel="0" collapsed="false">
      <c r="B16" s="1" t="n">
        <v>3</v>
      </c>
      <c r="C16" s="1" t="s">
        <v>44</v>
      </c>
      <c r="F16" s="15" t="s">
        <v>42</v>
      </c>
    </row>
    <row r="17" customFormat="false" ht="15" hidden="false" customHeight="true" outlineLevel="0" collapsed="false">
      <c r="B17" s="1" t="n">
        <v>4</v>
      </c>
      <c r="C17" s="1" t="s">
        <v>45</v>
      </c>
      <c r="F17" s="15" t="s">
        <v>42</v>
      </c>
    </row>
    <row r="18" customFormat="false" ht="15" hidden="false" customHeight="true" outlineLevel="0" collapsed="false">
      <c r="B18" s="1" t="n">
        <v>5</v>
      </c>
      <c r="C18" s="1" t="s">
        <v>46</v>
      </c>
      <c r="F18" s="15" t="s">
        <v>42</v>
      </c>
    </row>
    <row r="20" customFormat="false" ht="15" hidden="false" customHeight="true" outlineLevel="0" collapsed="false">
      <c r="B20" s="13" t="s">
        <v>47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36</v>
      </c>
      <c r="C21" s="14" t="s">
        <v>37</v>
      </c>
      <c r="D21" s="14" t="s">
        <v>38</v>
      </c>
      <c r="E21" s="14" t="s">
        <v>39</v>
      </c>
      <c r="F21" s="14" t="s">
        <v>40</v>
      </c>
    </row>
    <row r="22" customFormat="false" ht="15" hidden="false" customHeight="true" outlineLevel="0" collapsed="false">
      <c r="B22" s="1" t="n">
        <v>1</v>
      </c>
      <c r="C22" s="1" t="s">
        <v>48</v>
      </c>
      <c r="F22" s="15" t="s">
        <v>42</v>
      </c>
    </row>
    <row r="23" customFormat="false" ht="15" hidden="false" customHeight="true" outlineLevel="0" collapsed="false">
      <c r="B23" s="1" t="n">
        <v>2</v>
      </c>
      <c r="C23" s="1" t="s">
        <v>49</v>
      </c>
      <c r="F23" s="15" t="s">
        <v>42</v>
      </c>
    </row>
    <row r="24" customFormat="false" ht="15" hidden="false" customHeight="true" outlineLevel="0" collapsed="false">
      <c r="B24" s="1" t="n">
        <v>3</v>
      </c>
      <c r="C24" s="1" t="s">
        <v>50</v>
      </c>
      <c r="F24" s="15" t="s">
        <v>42</v>
      </c>
    </row>
    <row r="25" customFormat="false" ht="15" hidden="false" customHeight="true" outlineLevel="0" collapsed="false">
      <c r="B25" s="1" t="n">
        <v>4</v>
      </c>
      <c r="C25" s="1" t="s">
        <v>51</v>
      </c>
      <c r="F25" s="15" t="s">
        <v>42</v>
      </c>
    </row>
    <row r="26" customFormat="false" ht="15" hidden="false" customHeight="true" outlineLevel="0" collapsed="false">
      <c r="B26" s="1" t="n">
        <v>5</v>
      </c>
      <c r="C26" s="1" t="s">
        <v>52</v>
      </c>
      <c r="F26" s="15" t="s">
        <v>42</v>
      </c>
    </row>
    <row r="28" customFormat="false" ht="15" hidden="false" customHeight="true" outlineLevel="0" collapsed="false">
      <c r="B28" s="13" t="s">
        <v>53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36</v>
      </c>
      <c r="C29" s="14" t="s">
        <v>37</v>
      </c>
      <c r="D29" s="14" t="s">
        <v>38</v>
      </c>
      <c r="E29" s="14" t="s">
        <v>39</v>
      </c>
      <c r="F29" s="14" t="s">
        <v>40</v>
      </c>
    </row>
    <row r="30" customFormat="false" ht="15" hidden="false" customHeight="true" outlineLevel="0" collapsed="false">
      <c r="B30" s="1" t="n">
        <v>1</v>
      </c>
      <c r="C30" s="1" t="s">
        <v>54</v>
      </c>
      <c r="F30" s="15" t="s">
        <v>42</v>
      </c>
    </row>
    <row r="31" customFormat="false" ht="15" hidden="false" customHeight="true" outlineLevel="0" collapsed="false">
      <c r="B31" s="1" t="n">
        <v>2</v>
      </c>
      <c r="C31" s="1" t="s">
        <v>55</v>
      </c>
      <c r="F31" s="15" t="s">
        <v>42</v>
      </c>
    </row>
    <row r="32" customFormat="false" ht="15" hidden="false" customHeight="true" outlineLevel="0" collapsed="false">
      <c r="B32" s="1" t="n">
        <v>3</v>
      </c>
      <c r="C32" s="1" t="s">
        <v>56</v>
      </c>
      <c r="F32" s="15" t="s">
        <v>42</v>
      </c>
    </row>
    <row r="33" customFormat="false" ht="15" hidden="false" customHeight="true" outlineLevel="0" collapsed="false">
      <c r="B33" s="1" t="n">
        <v>4</v>
      </c>
      <c r="C33" s="1" t="s">
        <v>57</v>
      </c>
      <c r="F33" s="15" t="s">
        <v>42</v>
      </c>
    </row>
    <row r="34" customFormat="false" ht="15" hidden="false" customHeight="true" outlineLevel="0" collapsed="false">
      <c r="B34" s="1" t="n">
        <v>5</v>
      </c>
      <c r="C34" s="1" t="s">
        <v>58</v>
      </c>
      <c r="F34" s="15" t="s">
        <v>42</v>
      </c>
    </row>
    <row r="36" customFormat="false" ht="15" hidden="false" customHeight="true" outlineLevel="0" collapsed="false">
      <c r="B36" s="13" t="s">
        <v>59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36</v>
      </c>
      <c r="C37" s="14" t="s">
        <v>37</v>
      </c>
      <c r="D37" s="14" t="s">
        <v>38</v>
      </c>
      <c r="E37" s="14" t="s">
        <v>39</v>
      </c>
      <c r="F37" s="14" t="s">
        <v>40</v>
      </c>
    </row>
    <row r="38" customFormat="false" ht="15" hidden="false" customHeight="true" outlineLevel="0" collapsed="false">
      <c r="B38" s="1" t="n">
        <v>1</v>
      </c>
      <c r="C38" s="1" t="s">
        <v>60</v>
      </c>
      <c r="F38" s="15" t="s">
        <v>42</v>
      </c>
    </row>
    <row r="39" customFormat="false" ht="15" hidden="false" customHeight="true" outlineLevel="0" collapsed="false">
      <c r="B39" s="1" t="n">
        <v>2</v>
      </c>
      <c r="C39" s="1" t="s">
        <v>61</v>
      </c>
      <c r="F39" s="15" t="s">
        <v>42</v>
      </c>
    </row>
    <row r="40" customFormat="false" ht="15" hidden="false" customHeight="true" outlineLevel="0" collapsed="false">
      <c r="B40" s="1" t="n">
        <v>3</v>
      </c>
      <c r="C40" s="1" t="s">
        <v>62</v>
      </c>
      <c r="F40" s="15" t="s">
        <v>42</v>
      </c>
    </row>
    <row r="41" customFormat="false" ht="15" hidden="false" customHeight="true" outlineLevel="0" collapsed="false">
      <c r="B41" s="1" t="n">
        <v>4</v>
      </c>
      <c r="C41" s="1" t="s">
        <v>63</v>
      </c>
      <c r="F41" s="15" t="s">
        <v>42</v>
      </c>
    </row>
    <row r="42" customFormat="false" ht="15" hidden="false" customHeight="true" outlineLevel="0" collapsed="false">
      <c r="B42" s="1" t="n">
        <v>5</v>
      </c>
      <c r="C42" s="1" t="s">
        <v>64</v>
      </c>
      <c r="F42" s="15" t="s">
        <v>42</v>
      </c>
    </row>
    <row r="44" customFormat="false" ht="15" hidden="false" customHeight="true" outlineLevel="0" collapsed="false">
      <c r="B44" s="13" t="s">
        <v>65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36</v>
      </c>
      <c r="C45" s="14" t="s">
        <v>37</v>
      </c>
      <c r="D45" s="14" t="s">
        <v>38</v>
      </c>
      <c r="E45" s="14" t="s">
        <v>39</v>
      </c>
      <c r="F45" s="14" t="s">
        <v>40</v>
      </c>
    </row>
    <row r="46" customFormat="false" ht="15" hidden="false" customHeight="true" outlineLevel="0" collapsed="false">
      <c r="B46" s="1" t="n">
        <v>1</v>
      </c>
      <c r="C46" s="1" t="s">
        <v>66</v>
      </c>
      <c r="F46" s="15" t="s">
        <v>42</v>
      </c>
    </row>
    <row r="47" customFormat="false" ht="15" hidden="false" customHeight="true" outlineLevel="0" collapsed="false">
      <c r="B47" s="1" t="n">
        <v>2</v>
      </c>
      <c r="C47" s="1" t="s">
        <v>67</v>
      </c>
      <c r="F47" s="15" t="s">
        <v>42</v>
      </c>
    </row>
    <row r="48" customFormat="false" ht="15" hidden="false" customHeight="true" outlineLevel="0" collapsed="false">
      <c r="B48" s="1" t="n">
        <v>3</v>
      </c>
      <c r="C48" s="1" t="s">
        <v>68</v>
      </c>
      <c r="F48" s="15" t="s">
        <v>42</v>
      </c>
    </row>
    <row r="49" customFormat="false" ht="15" hidden="false" customHeight="true" outlineLevel="0" collapsed="false">
      <c r="B49" s="1" t="n">
        <v>4</v>
      </c>
      <c r="C49" s="1" t="s">
        <v>69</v>
      </c>
      <c r="F49" s="15" t="s">
        <v>42</v>
      </c>
    </row>
    <row r="50" customFormat="false" ht="15" hidden="false" customHeight="true" outlineLevel="0" collapsed="false">
      <c r="B50" s="1" t="n">
        <v>5</v>
      </c>
      <c r="C50" s="1" t="s">
        <v>70</v>
      </c>
      <c r="F50" s="15" t="s">
        <v>42</v>
      </c>
    </row>
    <row r="52" customFormat="false" ht="15" hidden="false" customHeight="true" outlineLevel="0" collapsed="false">
      <c r="B52" s="13" t="s">
        <v>71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36</v>
      </c>
      <c r="C53" s="14" t="s">
        <v>37</v>
      </c>
      <c r="D53" s="14" t="s">
        <v>38</v>
      </c>
      <c r="E53" s="14" t="s">
        <v>39</v>
      </c>
      <c r="F53" s="14" t="s">
        <v>40</v>
      </c>
    </row>
    <row r="54" customFormat="false" ht="15" hidden="false" customHeight="true" outlineLevel="0" collapsed="false">
      <c r="B54" s="1" t="n">
        <v>1</v>
      </c>
      <c r="C54" s="1" t="s">
        <v>72</v>
      </c>
      <c r="F54" s="15" t="s">
        <v>42</v>
      </c>
    </row>
    <row r="55" customFormat="false" ht="15" hidden="false" customHeight="true" outlineLevel="0" collapsed="false">
      <c r="B55" s="1" t="n">
        <v>2</v>
      </c>
      <c r="C55" s="1" t="s">
        <v>73</v>
      </c>
      <c r="F55" s="15" t="s">
        <v>42</v>
      </c>
    </row>
    <row r="56" customFormat="false" ht="15" hidden="false" customHeight="true" outlineLevel="0" collapsed="false">
      <c r="B56" s="1" t="n">
        <v>3</v>
      </c>
      <c r="C56" s="1" t="s">
        <v>74</v>
      </c>
      <c r="F56" s="15" t="s">
        <v>42</v>
      </c>
    </row>
    <row r="57" customFormat="false" ht="15" hidden="false" customHeight="true" outlineLevel="0" collapsed="false">
      <c r="B57" s="1" t="n">
        <v>4</v>
      </c>
      <c r="C57" s="1" t="s">
        <v>75</v>
      </c>
      <c r="F57" s="15" t="s">
        <v>42</v>
      </c>
    </row>
    <row r="58" customFormat="false" ht="15" hidden="false" customHeight="true" outlineLevel="0" collapsed="false">
      <c r="B58" s="1" t="n">
        <v>5</v>
      </c>
      <c r="C58" s="1" t="s">
        <v>76</v>
      </c>
      <c r="F58" s="15" t="s">
        <v>42</v>
      </c>
    </row>
    <row r="60" customFormat="false" ht="15" hidden="false" customHeight="true" outlineLevel="0" collapsed="false">
      <c r="B60" s="13" t="s">
        <v>77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78</v>
      </c>
      <c r="C61" s="14" t="s">
        <v>79</v>
      </c>
      <c r="D61" s="14" t="s">
        <v>80</v>
      </c>
      <c r="E61" s="14" t="s">
        <v>81</v>
      </c>
      <c r="F61" s="14" t="s">
        <v>82</v>
      </c>
    </row>
    <row r="62" customFormat="false" ht="15" hidden="false" customHeight="true" outlineLevel="0" collapsed="false">
      <c r="B62" s="1" t="s">
        <v>83</v>
      </c>
      <c r="C62" s="1" t="s">
        <v>84</v>
      </c>
      <c r="D62" s="1" t="s">
        <v>85</v>
      </c>
      <c r="E62" s="1" t="s">
        <v>86</v>
      </c>
    </row>
    <row r="63" customFormat="false" ht="15" hidden="false" customHeight="true" outlineLevel="0" collapsed="false">
      <c r="B63" s="1" t="s">
        <v>87</v>
      </c>
      <c r="C63" s="1" t="s">
        <v>88</v>
      </c>
      <c r="D63" s="1" t="s">
        <v>89</v>
      </c>
      <c r="E63" s="1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90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91</v>
      </c>
      <c r="C4" s="14" t="s">
        <v>92</v>
      </c>
      <c r="D4" s="14" t="s">
        <v>93</v>
      </c>
      <c r="E4" s="14" t="s">
        <v>94</v>
      </c>
      <c r="F4" s="14" t="s">
        <v>95</v>
      </c>
      <c r="G4" s="14" t="s">
        <v>96</v>
      </c>
      <c r="H4" s="14" t="s">
        <v>40</v>
      </c>
      <c r="I4" s="14" t="s">
        <v>97</v>
      </c>
    </row>
    <row r="5" customFormat="false" ht="15" hidden="false" customHeight="true" outlineLevel="0" collapsed="false">
      <c r="D5" s="1" t="s">
        <v>66</v>
      </c>
      <c r="H5" s="15" t="s">
        <v>42</v>
      </c>
    </row>
    <row r="6" customFormat="false" ht="15" hidden="false" customHeight="true" outlineLevel="0" collapsed="false">
      <c r="D6" s="1" t="s">
        <v>67</v>
      </c>
      <c r="H6" s="15" t="s">
        <v>42</v>
      </c>
    </row>
    <row r="7" customFormat="false" ht="15" hidden="false" customHeight="true" outlineLevel="0" collapsed="false">
      <c r="D7" s="1" t="s">
        <v>68</v>
      </c>
      <c r="H7" s="15" t="s">
        <v>42</v>
      </c>
    </row>
    <row r="8" customFormat="false" ht="15" hidden="false" customHeight="true" outlineLevel="0" collapsed="false">
      <c r="D8" s="1" t="s">
        <v>69</v>
      </c>
      <c r="H8" s="15" t="s">
        <v>42</v>
      </c>
    </row>
    <row r="9" customFormat="false" ht="15" hidden="false" customHeight="true" outlineLevel="0" collapsed="false">
      <c r="D9" s="1" t="s">
        <v>70</v>
      </c>
      <c r="H9" s="15" t="s">
        <v>42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98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99</v>
      </c>
      <c r="C4" s="14" t="s">
        <v>100</v>
      </c>
      <c r="D4" s="14" t="s">
        <v>101</v>
      </c>
      <c r="E4" s="14" t="s">
        <v>102</v>
      </c>
      <c r="F4" s="14" t="s">
        <v>103</v>
      </c>
      <c r="G4" s="14" t="s">
        <v>38</v>
      </c>
      <c r="H4" s="14" t="s">
        <v>104</v>
      </c>
      <c r="I4" s="14" t="s">
        <v>105</v>
      </c>
      <c r="J4" s="14" t="s">
        <v>40</v>
      </c>
    </row>
    <row r="5" customFormat="false" ht="15" hidden="false" customHeight="true" outlineLevel="0" collapsed="false">
      <c r="B5" s="1" t="s">
        <v>106</v>
      </c>
      <c r="C5" s="1" t="s">
        <v>107</v>
      </c>
      <c r="D5" s="1" t="s">
        <v>108</v>
      </c>
      <c r="J5" s="15" t="s">
        <v>109</v>
      </c>
    </row>
    <row r="6" customFormat="false" ht="15" hidden="false" customHeight="true" outlineLevel="0" collapsed="false">
      <c r="B6" s="1" t="s">
        <v>110</v>
      </c>
      <c r="C6" s="1" t="s">
        <v>111</v>
      </c>
      <c r="D6" s="1" t="s">
        <v>112</v>
      </c>
      <c r="J6" s="15" t="s">
        <v>109</v>
      </c>
    </row>
    <row r="7" customFormat="false" ht="15" hidden="false" customHeight="true" outlineLevel="0" collapsed="false">
      <c r="B7" s="1" t="s">
        <v>113</v>
      </c>
      <c r="C7" s="1" t="s">
        <v>114</v>
      </c>
      <c r="D7" s="1" t="s">
        <v>115</v>
      </c>
      <c r="J7" s="15" t="s">
        <v>109</v>
      </c>
    </row>
    <row r="8" customFormat="false" ht="15" hidden="false" customHeight="true" outlineLevel="0" collapsed="false">
      <c r="B8" s="1" t="s">
        <v>116</v>
      </c>
      <c r="C8" s="1" t="s">
        <v>117</v>
      </c>
      <c r="D8" s="1" t="s">
        <v>118</v>
      </c>
      <c r="J8" s="15" t="s">
        <v>109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40"/>
  </cols>
  <sheetData>
    <row r="2" customFormat="false" ht="19.5" hidden="false" customHeight="true" outlineLevel="0" collapsed="false">
      <c r="B2" s="2" t="s">
        <v>119</v>
      </c>
    </row>
    <row r="4" customFormat="false" ht="15" hidden="false" customHeight="true" outlineLevel="0" collapsed="false">
      <c r="A4" s="16"/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</row>
    <row r="5" customFormat="false" ht="15" hidden="false" customHeight="true" outlineLevel="0" collapsed="false">
      <c r="B5" s="6" t="s">
        <v>127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8" t="s">
        <v>128</v>
      </c>
    </row>
    <row r="6" customFormat="false" ht="15" hidden="false" customHeight="true" outlineLevel="0" collapsed="false">
      <c r="B6" s="6" t="s">
        <v>129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8" t="s">
        <v>128</v>
      </c>
    </row>
    <row r="7" customFormat="false" ht="15" hidden="false" customHeight="true" outlineLevel="0" collapsed="false">
      <c r="B7" s="6" t="s">
        <v>130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8" t="s">
        <v>128</v>
      </c>
    </row>
    <row r="8" customFormat="false" ht="15" hidden="false" customHeight="true" outlineLevel="0" collapsed="false">
      <c r="B8" s="6" t="s">
        <v>131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8" t="s">
        <v>128</v>
      </c>
    </row>
    <row r="9" customFormat="false" ht="15" hidden="false" customHeight="true" outlineLevel="0" collapsed="false">
      <c r="B9" s="6" t="s">
        <v>132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8" t="s">
        <v>128</v>
      </c>
    </row>
    <row r="10" customFormat="false" ht="15" hidden="false" customHeight="true" outlineLevel="0" collapsed="false">
      <c r="B10" s="6" t="s">
        <v>133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8" t="s">
        <v>128</v>
      </c>
    </row>
    <row r="11" customFormat="false" ht="15" hidden="false" customHeight="true" outlineLevel="0" collapsed="false">
      <c r="B11" s="6" t="s">
        <v>134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8" t="s">
        <v>128</v>
      </c>
    </row>
    <row r="12" customFormat="false" ht="15" hidden="false" customHeight="true" outlineLevel="0" collapsed="false">
      <c r="B12" s="6" t="s">
        <v>135</v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  <c r="H12" s="18" t="s">
        <v>128</v>
      </c>
    </row>
    <row r="13" customFormat="false" ht="15" hidden="false" customHeight="true" outlineLevel="0" collapsed="false">
      <c r="B13" s="6" t="s">
        <v>136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8" t="s">
        <v>128</v>
      </c>
    </row>
    <row r="14" customFormat="false" ht="15" hidden="false" customHeight="true" outlineLevel="0" collapsed="false">
      <c r="B14" s="6" t="s">
        <v>137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8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9" min="3" style="1" width="13"/>
  </cols>
  <sheetData>
    <row r="2" customFormat="false" ht="19.5" hidden="false" customHeight="true" outlineLevel="0" collapsed="false">
      <c r="B2" s="2" t="s">
        <v>138</v>
      </c>
    </row>
    <row r="4" customFormat="false" ht="15" hidden="false" customHeight="true" outlineLevel="0" collapsed="false">
      <c r="A4" s="16"/>
      <c r="B4" s="16" t="s">
        <v>139</v>
      </c>
      <c r="C4" s="16" t="s">
        <v>140</v>
      </c>
      <c r="D4" s="16" t="s">
        <v>141</v>
      </c>
      <c r="E4" s="16" t="s">
        <v>142</v>
      </c>
      <c r="F4" s="16" t="s">
        <v>143</v>
      </c>
      <c r="G4" s="16" t="s">
        <v>144</v>
      </c>
      <c r="H4" s="16" t="s">
        <v>145</v>
      </c>
      <c r="I4" s="16" t="s">
        <v>146</v>
      </c>
    </row>
    <row r="5" customFormat="false" ht="15" hidden="false" customHeight="true" outlineLevel="0" collapsed="false">
      <c r="B5" s="3" t="s">
        <v>147</v>
      </c>
      <c r="C5" s="21"/>
      <c r="D5" s="21"/>
      <c r="E5" s="21"/>
      <c r="F5" s="21" t="n">
        <f aca="false">E5*(1+Assumptions!C5)</f>
        <v>0</v>
      </c>
      <c r="G5" s="21" t="n">
        <f aca="false">F5*(1+Assumptions!D5)</f>
        <v>0</v>
      </c>
      <c r="H5" s="21" t="n">
        <f aca="false">G5*(1+Assumptions!E5)</f>
        <v>0</v>
      </c>
      <c r="I5" s="21" t="n">
        <f aca="false">H5*(1+Assumptions!F5)</f>
        <v>0</v>
      </c>
    </row>
    <row r="6" customFormat="false" ht="15" hidden="false" customHeight="true" outlineLevel="0" collapsed="false">
      <c r="B6" s="6" t="s">
        <v>127</v>
      </c>
      <c r="C6" s="22"/>
      <c r="D6" s="22" t="str">
        <f aca="false">IFERROR(D5/C5-1,"-")</f>
        <v>-</v>
      </c>
      <c r="E6" s="22" t="str">
        <f aca="false">IFERROR(E5/D5-1,"-")</f>
        <v>-</v>
      </c>
      <c r="F6" s="22" t="str">
        <f aca="false">IFERROR(F5/E5-1,"-")</f>
        <v>-</v>
      </c>
      <c r="G6" s="22" t="str">
        <f aca="false">IFERROR(G5/F5-1,"-")</f>
        <v>-</v>
      </c>
      <c r="H6" s="22" t="str">
        <f aca="false">IFERROR(H5/G5-1,"-")</f>
        <v>-</v>
      </c>
      <c r="I6" s="22" t="str">
        <f aca="false">IFERROR(I5/H5-1,"-")</f>
        <v>-</v>
      </c>
    </row>
    <row r="7" customFormat="false" ht="15" hidden="false" customHeight="true" outlineLevel="0" collapsed="false">
      <c r="B7" s="6" t="s">
        <v>148</v>
      </c>
      <c r="C7" s="21"/>
      <c r="D7" s="21"/>
      <c r="E7" s="21"/>
      <c r="F7" s="21" t="n">
        <f aca="false">F5*(1-Assumptions!C6)</f>
        <v>0</v>
      </c>
      <c r="G7" s="21" t="n">
        <f aca="false">G5*(1-Assumptions!D6)</f>
        <v>0</v>
      </c>
      <c r="H7" s="21" t="n">
        <f aca="false">H5*(1-Assumptions!E6)</f>
        <v>0</v>
      </c>
      <c r="I7" s="21" t="n">
        <f aca="false">I5*(1-Assumptions!F6)</f>
        <v>0</v>
      </c>
    </row>
    <row r="8" customFormat="false" ht="15" hidden="false" customHeight="true" outlineLevel="0" collapsed="false">
      <c r="B8" s="3" t="s">
        <v>149</v>
      </c>
      <c r="C8" s="21"/>
      <c r="D8" s="21" t="n">
        <f aca="false">D5-D7</f>
        <v>0</v>
      </c>
      <c r="E8" s="21" t="n">
        <f aca="false">E5-E7</f>
        <v>0</v>
      </c>
      <c r="F8" s="21" t="n">
        <f aca="false">F5-F7</f>
        <v>0</v>
      </c>
      <c r="G8" s="21" t="n">
        <f aca="false">G5-G7</f>
        <v>0</v>
      </c>
      <c r="H8" s="21" t="n">
        <f aca="false">H5-H7</f>
        <v>0</v>
      </c>
      <c r="I8" s="21" t="n">
        <f aca="false">I5-I7</f>
        <v>0</v>
      </c>
    </row>
    <row r="9" customFormat="false" ht="15" hidden="false" customHeight="true" outlineLevel="0" collapsed="false">
      <c r="B9" s="6" t="s">
        <v>129</v>
      </c>
      <c r="C9" s="22"/>
      <c r="D9" s="22" t="str">
        <f aca="false">IFERROR(D8/D5,"-")</f>
        <v>-</v>
      </c>
      <c r="E9" s="22" t="str">
        <f aca="false">IFERROR(E8/E5,"-")</f>
        <v>-</v>
      </c>
      <c r="F9" s="22" t="str">
        <f aca="false">IFERROR(F8/F5,"-")</f>
        <v>-</v>
      </c>
      <c r="G9" s="22" t="str">
        <f aca="false">IFERROR(G8/G5,"-")</f>
        <v>-</v>
      </c>
      <c r="H9" s="22" t="str">
        <f aca="false">IFERROR(H8/H5,"-")</f>
        <v>-</v>
      </c>
      <c r="I9" s="22" t="str">
        <f aca="false">IFERROR(I8/I5,"-")</f>
        <v>-</v>
      </c>
    </row>
    <row r="10" customFormat="false" ht="15" hidden="false" customHeight="true" outlineLevel="0" collapsed="false">
      <c r="B10" s="6" t="s">
        <v>150</v>
      </c>
      <c r="C10" s="21"/>
      <c r="D10" s="21"/>
      <c r="E10" s="21"/>
      <c r="F10" s="21" t="n">
        <f aca="false">F5*Assumptions!C7</f>
        <v>0</v>
      </c>
      <c r="G10" s="21" t="n">
        <f aca="false">G5*Assumptions!D7</f>
        <v>0</v>
      </c>
      <c r="H10" s="21" t="n">
        <f aca="false">H5*Assumptions!E7</f>
        <v>0</v>
      </c>
      <c r="I10" s="21" t="n">
        <f aca="false">I5*Assumptions!F7</f>
        <v>0</v>
      </c>
    </row>
    <row r="11" customFormat="false" ht="15" hidden="false" customHeight="true" outlineLevel="0" collapsed="false">
      <c r="B11" s="3" t="s">
        <v>151</v>
      </c>
      <c r="C11" s="21"/>
      <c r="D11" s="21"/>
      <c r="E11" s="21"/>
      <c r="F11" s="21" t="n">
        <f aca="false">F8-F10</f>
        <v>0</v>
      </c>
      <c r="G11" s="21" t="n">
        <f aca="false">G8-G10</f>
        <v>0</v>
      </c>
      <c r="H11" s="21" t="n">
        <f aca="false">H8-H10</f>
        <v>0</v>
      </c>
      <c r="I11" s="21" t="n">
        <f aca="false">I8-I10</f>
        <v>0</v>
      </c>
    </row>
    <row r="12" customFormat="false" ht="15" hidden="false" customHeight="true" outlineLevel="0" collapsed="false">
      <c r="B12" s="6" t="s">
        <v>152</v>
      </c>
      <c r="C12" s="22"/>
      <c r="D12" s="22"/>
      <c r="E12" s="22"/>
      <c r="F12" s="22" t="str">
        <f aca="false">IFERROR(F11/F5,"-")</f>
        <v>-</v>
      </c>
      <c r="G12" s="22" t="str">
        <f aca="false">IFERROR(G11/G5,"-")</f>
        <v>-</v>
      </c>
      <c r="H12" s="22" t="str">
        <f aca="false">IFERROR(H11/H5,"-")</f>
        <v>-</v>
      </c>
      <c r="I12" s="22" t="str">
        <f aca="false">IFERROR(I11/I5,"-")</f>
        <v>-</v>
      </c>
    </row>
    <row r="13" customFormat="false" ht="15" hidden="false" customHeight="true" outlineLevel="0" collapsed="false">
      <c r="B13" s="6" t="s">
        <v>153</v>
      </c>
      <c r="C13" s="21"/>
      <c r="D13" s="21"/>
      <c r="E13" s="21"/>
      <c r="F13" s="21" t="n">
        <f aca="false">F5*Assumptions!C10*Assumptions!C9</f>
        <v>0</v>
      </c>
      <c r="G13" s="21" t="n">
        <f aca="false">G5*Assumptions!D10*Assumptions!D9</f>
        <v>0</v>
      </c>
      <c r="H13" s="21" t="n">
        <f aca="false">H5*Assumptions!E10*Assumptions!E9</f>
        <v>0</v>
      </c>
      <c r="I13" s="21" t="n">
        <f aca="false">I5*Assumptions!F10*Assumptions!F9</f>
        <v>0</v>
      </c>
    </row>
    <row r="14" customFormat="false" ht="15" hidden="false" customHeight="true" outlineLevel="0" collapsed="false">
      <c r="B14" s="3" t="s">
        <v>154</v>
      </c>
      <c r="C14" s="21"/>
      <c r="D14" s="21"/>
      <c r="E14" s="21"/>
      <c r="F14" s="21" t="n">
        <f aca="false">F11-F13</f>
        <v>0</v>
      </c>
      <c r="G14" s="21" t="n">
        <f aca="false">G11-G13</f>
        <v>0</v>
      </c>
      <c r="H14" s="21" t="n">
        <f aca="false">H11-H13</f>
        <v>0</v>
      </c>
      <c r="I14" s="21" t="n">
        <f aca="false">I11-I13</f>
        <v>0</v>
      </c>
    </row>
    <row r="15" customFormat="false" ht="15" hidden="false" customHeight="true" outlineLevel="0" collapsed="false">
      <c r="B15" s="6" t="s">
        <v>155</v>
      </c>
      <c r="C15" s="21"/>
      <c r="D15" s="21"/>
      <c r="E15" s="21"/>
      <c r="F15" s="21" t="n">
        <f aca="false">$E$15</f>
        <v>0</v>
      </c>
      <c r="G15" s="21" t="n">
        <f aca="false">$E$15</f>
        <v>0</v>
      </c>
      <c r="H15" s="21" t="n">
        <f aca="false">$E$15</f>
        <v>0</v>
      </c>
      <c r="I15" s="21" t="n">
        <f aca="false">$E$15</f>
        <v>0</v>
      </c>
    </row>
    <row r="16" customFormat="false" ht="15" hidden="false" customHeight="true" outlineLevel="0" collapsed="false">
      <c r="B16" s="6" t="s">
        <v>156</v>
      </c>
      <c r="C16" s="21"/>
      <c r="D16" s="21"/>
      <c r="E16" s="21"/>
      <c r="F16" s="21" t="n">
        <f aca="false">F14-F15</f>
        <v>0</v>
      </c>
      <c r="G16" s="21" t="n">
        <f aca="false">G14-G15</f>
        <v>0</v>
      </c>
      <c r="H16" s="21" t="n">
        <f aca="false">H14-H15</f>
        <v>0</v>
      </c>
      <c r="I16" s="21" t="n">
        <f aca="false">I14-I15</f>
        <v>0</v>
      </c>
    </row>
    <row r="17" customFormat="false" ht="15" hidden="false" customHeight="true" outlineLevel="0" collapsed="false">
      <c r="B17" s="6" t="s">
        <v>157</v>
      </c>
      <c r="C17" s="21"/>
      <c r="D17" s="21"/>
      <c r="E17" s="21"/>
      <c r="F17" s="21" t="n">
        <f aca="false">F16*Assumptions!C8</f>
        <v>0</v>
      </c>
      <c r="G17" s="21" t="n">
        <f aca="false">G16*Assumptions!D8</f>
        <v>0</v>
      </c>
      <c r="H17" s="21" t="n">
        <f aca="false">H16*Assumptions!E8</f>
        <v>0</v>
      </c>
      <c r="I17" s="21" t="n">
        <f aca="false">I16*Assumptions!F8</f>
        <v>0</v>
      </c>
    </row>
    <row r="18" customFormat="false" ht="15" hidden="false" customHeight="true" outlineLevel="0" collapsed="false">
      <c r="B18" s="3" t="s">
        <v>158</v>
      </c>
      <c r="C18" s="21"/>
      <c r="D18" s="21"/>
      <c r="E18" s="21"/>
      <c r="F18" s="21" t="n">
        <f aca="false">F16-F17</f>
        <v>0</v>
      </c>
      <c r="G18" s="21" t="n">
        <f aca="false">G16-G17</f>
        <v>0</v>
      </c>
      <c r="H18" s="21" t="n">
        <f aca="false">H16-H17</f>
        <v>0</v>
      </c>
      <c r="I18" s="21" t="n">
        <f aca="false">I16-I17</f>
        <v>0</v>
      </c>
    </row>
    <row r="19" customFormat="false" ht="15" hidden="false" customHeight="true" outlineLevel="0" collapsed="false">
      <c r="B19" s="6" t="s">
        <v>159</v>
      </c>
      <c r="C19" s="21"/>
      <c r="D19" s="21"/>
      <c r="E19" s="21"/>
      <c r="F19" s="21" t="n">
        <f aca="false">Assumptions!C12</f>
        <v>0</v>
      </c>
      <c r="G19" s="21" t="n">
        <f aca="false">Assumptions!D12</f>
        <v>0</v>
      </c>
      <c r="H19" s="21" t="n">
        <f aca="false">Assumptions!E12</f>
        <v>0</v>
      </c>
      <c r="I19" s="21" t="n">
        <f aca="false">Assumptions!F12</f>
        <v>0</v>
      </c>
    </row>
    <row r="20" customFormat="false" ht="15" hidden="false" customHeight="true" outlineLevel="0" collapsed="false">
      <c r="B20" s="6" t="s">
        <v>160</v>
      </c>
      <c r="C20" s="21"/>
      <c r="D20" s="21"/>
      <c r="E20" s="21"/>
      <c r="F20" s="21" t="str">
        <f aca="false">IFERROR(F18/F19,"-")</f>
        <v>-</v>
      </c>
      <c r="G20" s="21" t="str">
        <f aca="false">IFERROR(G18/G19,"-")</f>
        <v>-</v>
      </c>
      <c r="H20" s="21" t="str">
        <f aca="false">IFERROR(H18/H19,"-")</f>
        <v>-</v>
      </c>
      <c r="I20" s="21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161</v>
      </c>
    </row>
    <row r="4" customFormat="false" ht="15" hidden="false" customHeight="true" outlineLevel="0" collapsed="false">
      <c r="A4" s="16"/>
      <c r="B4" s="16" t="s">
        <v>139</v>
      </c>
      <c r="C4" s="16" t="s">
        <v>141</v>
      </c>
      <c r="D4" s="16" t="s">
        <v>142</v>
      </c>
      <c r="E4" s="16" t="s">
        <v>143</v>
      </c>
      <c r="F4" s="16" t="s">
        <v>144</v>
      </c>
      <c r="G4" s="1" t="s">
        <v>145</v>
      </c>
    </row>
    <row r="5" customFormat="false" ht="15" hidden="false" customHeight="true" outlineLevel="0" collapsed="false">
      <c r="B5" s="6" t="s">
        <v>162</v>
      </c>
      <c r="C5" s="21"/>
      <c r="D5" s="21"/>
      <c r="E5" s="21"/>
      <c r="F5" s="21"/>
      <c r="G5" s="21"/>
    </row>
    <row r="6" customFormat="false" ht="15" hidden="false" customHeight="true" outlineLevel="0" collapsed="false">
      <c r="B6" s="6" t="s">
        <v>163</v>
      </c>
      <c r="C6" s="21"/>
      <c r="D6" s="21"/>
      <c r="E6" s="21"/>
      <c r="F6" s="21"/>
      <c r="G6" s="21"/>
    </row>
    <row r="7" customFormat="false" ht="15" hidden="false" customHeight="true" outlineLevel="0" collapsed="false">
      <c r="B7" s="6" t="s">
        <v>164</v>
      </c>
      <c r="C7" s="21"/>
      <c r="D7" s="21"/>
      <c r="E7" s="21"/>
      <c r="F7" s="21"/>
      <c r="G7" s="21"/>
    </row>
    <row r="8" customFormat="false" ht="15" hidden="false" customHeight="true" outlineLevel="0" collapsed="false">
      <c r="B8" s="3" t="s">
        <v>165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true" outlineLevel="0" collapsed="false">
      <c r="B9" s="6" t="s">
        <v>166</v>
      </c>
      <c r="C9" s="21"/>
      <c r="D9" s="21"/>
      <c r="E9" s="21"/>
      <c r="F9" s="21"/>
      <c r="G9" s="21"/>
    </row>
    <row r="10" customFormat="false" ht="15" hidden="false" customHeight="true" outlineLevel="0" collapsed="false">
      <c r="B10" s="6" t="s">
        <v>167</v>
      </c>
      <c r="C10" s="21"/>
      <c r="D10" s="21"/>
      <c r="E10" s="21"/>
      <c r="F10" s="21"/>
      <c r="G10" s="21"/>
    </row>
    <row r="11" customFormat="false" ht="15" hidden="false" customHeight="true" outlineLevel="0" collapsed="false">
      <c r="B11" s="3" t="s">
        <v>168</v>
      </c>
      <c r="C11" s="21" t="n">
        <f aca="false">C8+C9+C10</f>
        <v>0</v>
      </c>
      <c r="D11" s="21" t="n">
        <f aca="false">D8+D9+D10</f>
        <v>0</v>
      </c>
      <c r="E11" s="21" t="n">
        <f aca="false">E8+E9+E10</f>
        <v>0</v>
      </c>
      <c r="F11" s="21" t="n">
        <f aca="false">F8+F9+F10</f>
        <v>0</v>
      </c>
      <c r="G11" s="21" t="n">
        <f aca="false">G8+G9+G10</f>
        <v>0</v>
      </c>
    </row>
    <row r="12" customFormat="false" ht="15" hidden="false" customHeight="true" outlineLevel="0" collapsed="false">
      <c r="B12" s="6" t="s">
        <v>169</v>
      </c>
      <c r="C12" s="21"/>
      <c r="D12" s="21"/>
      <c r="E12" s="21"/>
      <c r="F12" s="21"/>
      <c r="G12" s="21"/>
    </row>
    <row r="13" customFormat="false" ht="15" hidden="false" customHeight="true" outlineLevel="0" collapsed="false">
      <c r="B13" s="6" t="s">
        <v>170</v>
      </c>
      <c r="C13" s="21"/>
      <c r="D13" s="21"/>
      <c r="E13" s="21"/>
      <c r="F13" s="21"/>
      <c r="G13" s="21"/>
    </row>
    <row r="14" customFormat="false" ht="15" hidden="false" customHeight="true" outlineLevel="0" collapsed="false">
      <c r="B14" s="3" t="s">
        <v>171</v>
      </c>
      <c r="C14" s="21" t="n">
        <f aca="false">C12+C13</f>
        <v>0</v>
      </c>
      <c r="D14" s="21" t="n">
        <f aca="false">D12+D13</f>
        <v>0</v>
      </c>
      <c r="E14" s="21" t="n">
        <f aca="false">E12+E13</f>
        <v>0</v>
      </c>
      <c r="F14" s="21" t="n">
        <f aca="false">F12+F13</f>
        <v>0</v>
      </c>
      <c r="G14" s="21" t="n">
        <f aca="false">G12+G13</f>
        <v>0</v>
      </c>
    </row>
    <row r="15" customFormat="false" ht="15" hidden="false" customHeight="true" outlineLevel="0" collapsed="false">
      <c r="B15" s="6" t="s">
        <v>172</v>
      </c>
      <c r="C15" s="21"/>
      <c r="D15" s="21"/>
      <c r="E15" s="21"/>
      <c r="F15" s="21"/>
      <c r="G15" s="21"/>
    </row>
    <row r="16" customFormat="false" ht="15" hidden="false" customHeight="true" outlineLevel="0" collapsed="false">
      <c r="B16" s="3" t="s">
        <v>173</v>
      </c>
      <c r="C16" s="21" t="n">
        <f aca="false">C14+C15</f>
        <v>0</v>
      </c>
      <c r="D16" s="21" t="n">
        <f aca="false">D14+D15</f>
        <v>0</v>
      </c>
      <c r="E16" s="21" t="n">
        <f aca="false">E14+E15</f>
        <v>0</v>
      </c>
      <c r="F16" s="21" t="n">
        <f aca="false">F14+F15</f>
        <v>0</v>
      </c>
      <c r="G16" s="21" t="n">
        <f aca="false">G14+G15</f>
        <v>0</v>
      </c>
    </row>
    <row r="17" customFormat="false" ht="15" hidden="false" customHeight="true" outlineLevel="0" collapsed="false">
      <c r="B17" s="3" t="s">
        <v>174</v>
      </c>
      <c r="C17" s="21"/>
      <c r="D17" s="21"/>
      <c r="E17" s="21"/>
      <c r="F17" s="21"/>
      <c r="G17" s="21"/>
    </row>
    <row r="19" customFormat="false" ht="15" hidden="false" customHeight="true" outlineLevel="0" collapsed="false">
      <c r="B19" s="23" t="s">
        <v>175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176</v>
      </c>
    </row>
    <row r="4" customFormat="false" ht="15" hidden="false" customHeight="true" outlineLevel="0" collapsed="false">
      <c r="A4" s="16"/>
      <c r="B4" s="16" t="s">
        <v>139</v>
      </c>
      <c r="C4" s="16" t="s">
        <v>141</v>
      </c>
      <c r="D4" s="16" t="s">
        <v>142</v>
      </c>
      <c r="E4" s="16" t="s">
        <v>143</v>
      </c>
      <c r="F4" s="16" t="s">
        <v>144</v>
      </c>
      <c r="G4" s="1" t="s">
        <v>145</v>
      </c>
    </row>
    <row r="5" customFormat="false" ht="15" hidden="false" customHeight="true" outlineLevel="0" collapsed="false">
      <c r="B5" s="6" t="s">
        <v>158</v>
      </c>
      <c r="C5" s="21"/>
      <c r="D5" s="21"/>
      <c r="E5" s="25" t="n">
        <f aca="false">IS!F18</f>
        <v>0</v>
      </c>
      <c r="F5" s="25" t="n">
        <f aca="false">IS!G18</f>
        <v>0</v>
      </c>
      <c r="G5" s="25" t="n">
        <f aca="false">IS!H18</f>
        <v>0</v>
      </c>
    </row>
    <row r="6" customFormat="false" ht="15" hidden="false" customHeight="true" outlineLevel="0" collapsed="false">
      <c r="B6" s="6" t="s">
        <v>177</v>
      </c>
      <c r="C6" s="21"/>
      <c r="D6" s="21"/>
      <c r="E6" s="25" t="n">
        <f aca="false">IS!F13</f>
        <v>0</v>
      </c>
      <c r="F6" s="25" t="n">
        <f aca="false">IS!G13</f>
        <v>0</v>
      </c>
      <c r="G6" s="25" t="n">
        <f aca="false">IS!H13</f>
        <v>0</v>
      </c>
    </row>
    <row r="7" customFormat="false" ht="15" hidden="false" customHeight="true" outlineLevel="0" collapsed="false">
      <c r="B7" s="6" t="s">
        <v>178</v>
      </c>
      <c r="C7" s="21"/>
      <c r="D7" s="21"/>
      <c r="E7" s="21"/>
      <c r="F7" s="21"/>
      <c r="G7" s="21"/>
    </row>
    <row r="8" customFormat="false" ht="15" hidden="false" customHeight="true" outlineLevel="0" collapsed="false">
      <c r="B8" s="3" t="s">
        <v>179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true" outlineLevel="0" collapsed="false">
      <c r="B9" s="6" t="s">
        <v>180</v>
      </c>
      <c r="C9" s="21"/>
      <c r="D9" s="21"/>
      <c r="E9" s="21"/>
      <c r="F9" s="21"/>
      <c r="G9" s="21"/>
    </row>
    <row r="10" customFormat="false" ht="15" hidden="false" customHeight="true" outlineLevel="0" collapsed="false">
      <c r="B10" s="3" t="s">
        <v>181</v>
      </c>
      <c r="C10" s="21" t="n">
        <f aca="false">C8+C9</f>
        <v>0</v>
      </c>
      <c r="D10" s="21" t="n">
        <f aca="false">D8+D9</f>
        <v>0</v>
      </c>
      <c r="E10" s="21" t="n">
        <f aca="false">E8+E9</f>
        <v>0</v>
      </c>
      <c r="F10" s="21" t="n">
        <f aca="false">F8+F9</f>
        <v>0</v>
      </c>
      <c r="G10" s="21" t="n">
        <f aca="false">G8+G9</f>
        <v>0</v>
      </c>
    </row>
    <row r="11" customFormat="false" ht="15" hidden="false" customHeight="true" outlineLevel="0" collapsed="false">
      <c r="B11" s="6" t="s">
        <v>182</v>
      </c>
      <c r="C11" s="21"/>
      <c r="D11" s="21"/>
      <c r="E11" s="21"/>
      <c r="F11" s="21"/>
      <c r="G11" s="21"/>
    </row>
    <row r="12" customFormat="false" ht="15" hidden="false" customHeight="true" outlineLevel="0" collapsed="false">
      <c r="B12" s="6" t="s">
        <v>183</v>
      </c>
      <c r="C12" s="21"/>
      <c r="D12" s="21"/>
      <c r="E12" s="21"/>
      <c r="F12" s="21"/>
      <c r="G12" s="21"/>
    </row>
    <row r="13" customFormat="false" ht="15" hidden="false" customHeight="true" outlineLevel="0" collapsed="false">
      <c r="B13" s="6" t="s">
        <v>184</v>
      </c>
      <c r="C13" s="21" t="n">
        <f aca="false">C10+C11+C12</f>
        <v>0</v>
      </c>
      <c r="D13" s="21" t="n">
        <f aca="false">D10+D11+D12</f>
        <v>0</v>
      </c>
      <c r="E13" s="21" t="n">
        <f aca="false">E10+E11+E12</f>
        <v>0</v>
      </c>
      <c r="F13" s="21" t="n">
        <f aca="false">F10+F11+F12</f>
        <v>0</v>
      </c>
      <c r="G13" s="21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  <col collapsed="false" customWidth="true" hidden="false" outlineLevel="0" max="8" min="8" style="1" width="4"/>
    <col collapsed="false" customWidth="true" hidden="false" outlineLevel="0" max="9" min="9" style="1" width="22"/>
    <col collapsed="false" customWidth="true" hidden="false" outlineLevel="0" max="10" min="10" style="1" width="14"/>
  </cols>
  <sheetData>
    <row r="2" customFormat="false" ht="19.5" hidden="false" customHeight="true" outlineLevel="0" collapsed="false">
      <c r="B2" s="2" t="s">
        <v>185</v>
      </c>
    </row>
    <row r="4" customFormat="false" ht="15" hidden="false" customHeight="true" outlineLevel="0" collapsed="false">
      <c r="C4" s="16" t="s">
        <v>143</v>
      </c>
      <c r="D4" s="16" t="s">
        <v>144</v>
      </c>
      <c r="E4" s="16" t="s">
        <v>145</v>
      </c>
      <c r="F4" s="16" t="s">
        <v>146</v>
      </c>
      <c r="G4" s="16" t="s">
        <v>186</v>
      </c>
      <c r="H4" s="3" t="s">
        <v>187</v>
      </c>
    </row>
    <row r="5" customFormat="false" ht="15" hidden="false" customHeight="true" outlineLevel="0" collapsed="false">
      <c r="B5" s="1" t="s">
        <v>188</v>
      </c>
      <c r="C5" s="26" t="n">
        <f aca="false">IS!F14*(1-Assumptions!C8)+IS!F13-IS!F5*Assumptions!C10</f>
        <v>0</v>
      </c>
      <c r="D5" s="26" t="n">
        <f aca="false">IS!G14*(1-Assumptions!D8)+IS!G13-IS!G5*Assumptions!D10</f>
        <v>0</v>
      </c>
      <c r="E5" s="26" t="n">
        <f aca="false">IS!H14*(1-Assumptions!E8)+IS!H13-IS!H5*Assumptions!E10</f>
        <v>0</v>
      </c>
      <c r="F5" s="26" t="n">
        <f aca="false">IS!I14*(1-Assumptions!F8)+IS!I13-IS!I5*Assumptions!F10</f>
        <v>0</v>
      </c>
      <c r="G5" s="26" t="n">
        <f aca="false">F5*(1+Assumptions!G5)</f>
        <v>0</v>
      </c>
      <c r="H5" s="1" t="s">
        <v>189</v>
      </c>
      <c r="I5" s="27" t="n">
        <v>0.1</v>
      </c>
    </row>
    <row r="6" customFormat="false" ht="15" hidden="false" customHeight="true" outlineLevel="0" collapsed="false">
      <c r="B6" s="1" t="s">
        <v>190</v>
      </c>
      <c r="C6" s="28" t="n">
        <f aca="false">1/(1+$I$5)^(1)</f>
        <v>0.909090909090909</v>
      </c>
      <c r="D6" s="28" t="n">
        <f aca="false">1/(1+$I$5)^(2)</f>
        <v>0.826446280991735</v>
      </c>
      <c r="E6" s="28" t="n">
        <f aca="false">1/(1+$I$5)^(3)</f>
        <v>0.751314800901578</v>
      </c>
      <c r="F6" s="28" t="n">
        <f aca="false">1/(1+$I$5)^(4)</f>
        <v>0.683013455365071</v>
      </c>
      <c r="G6" s="28" t="n">
        <f aca="false">1/(1+$I$5)^(5)</f>
        <v>0.620921323059155</v>
      </c>
      <c r="H6" s="1" t="s">
        <v>191</v>
      </c>
      <c r="I6" s="27" t="n">
        <v>0.025</v>
      </c>
    </row>
    <row r="7" customFormat="false" ht="15" hidden="false" customHeight="true" outlineLevel="0" collapsed="false">
      <c r="B7" s="1" t="s">
        <v>192</v>
      </c>
      <c r="C7" s="29" t="n">
        <f aca="false">C5*C6</f>
        <v>0</v>
      </c>
      <c r="D7" s="29" t="n">
        <f aca="false">D5*D6</f>
        <v>0</v>
      </c>
      <c r="E7" s="29" t="n">
        <f aca="false">E5*E6</f>
        <v>0</v>
      </c>
      <c r="F7" s="29" t="n">
        <f aca="false">F5*F6</f>
        <v>0</v>
      </c>
      <c r="G7" s="29" t="n">
        <f aca="false">G5*G6</f>
        <v>0</v>
      </c>
      <c r="H7" s="1" t="s">
        <v>193</v>
      </c>
      <c r="I7" s="29" t="n">
        <f aca="false">G5*(1+I6)/(I5-I6)</f>
        <v>0</v>
      </c>
    </row>
    <row r="8" customFormat="false" ht="15" hidden="false" customHeight="true" outlineLevel="0" collapsed="false">
      <c r="H8" s="1" t="s">
        <v>194</v>
      </c>
      <c r="I8" s="29" t="n">
        <f aca="false">I7*G6</f>
        <v>0</v>
      </c>
    </row>
    <row r="9" customFormat="false" ht="15" hidden="false" customHeight="true" outlineLevel="0" collapsed="false">
      <c r="H9" s="1" t="s">
        <v>195</v>
      </c>
      <c r="I9" s="29" t="n">
        <f aca="false">SUM(C7:G7)</f>
        <v>0</v>
      </c>
    </row>
    <row r="10" customFormat="false" ht="15" hidden="false" customHeight="true" outlineLevel="0" collapsed="false">
      <c r="H10" s="1" t="s">
        <v>196</v>
      </c>
      <c r="I10" s="30" t="n">
        <f aca="false">I8+I9</f>
        <v>0</v>
      </c>
    </row>
    <row r="11" customFormat="false" ht="15" hidden="false" customHeight="true" outlineLevel="0" collapsed="false">
      <c r="H11" s="1" t="s">
        <v>197</v>
      </c>
      <c r="I11" s="31" t="n">
        <v>0</v>
      </c>
    </row>
    <row r="12" customFormat="false" ht="15" hidden="false" customHeight="true" outlineLevel="0" collapsed="false">
      <c r="H12" s="1" t="s">
        <v>198</v>
      </c>
      <c r="I12" s="30" t="n">
        <f aca="false">I10-I11</f>
        <v>0</v>
      </c>
    </row>
    <row r="13" customFormat="false" ht="15" hidden="false" customHeight="true" outlineLevel="0" collapsed="false">
      <c r="H13" s="1" t="s">
        <v>199</v>
      </c>
      <c r="I13" s="31" t="n">
        <v>1</v>
      </c>
    </row>
    <row r="14" customFormat="false" ht="15" hidden="false" customHeight="true" outlineLevel="0" collapsed="false">
      <c r="H14" s="1" t="s">
        <v>200</v>
      </c>
      <c r="I14" s="30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201</v>
      </c>
    </row>
    <row r="4" customFormat="false" ht="15" hidden="false" customHeight="true" outlineLevel="0" collapsed="false">
      <c r="A4" s="16"/>
      <c r="B4" s="16" t="s">
        <v>202</v>
      </c>
      <c r="C4" s="16" t="s">
        <v>203</v>
      </c>
      <c r="D4" s="16" t="s">
        <v>204</v>
      </c>
      <c r="E4" s="16" t="s">
        <v>205</v>
      </c>
      <c r="F4" s="16" t="s">
        <v>206</v>
      </c>
      <c r="G4" s="16" t="s">
        <v>207</v>
      </c>
      <c r="H4" s="16" t="s">
        <v>208</v>
      </c>
    </row>
    <row r="5" customFormat="false" ht="15" hidden="false" customHeight="true" outlineLevel="0" collapsed="false">
      <c r="B5" s="4" t="s">
        <v>209</v>
      </c>
      <c r="C5" s="20" t="n">
        <v>0</v>
      </c>
      <c r="D5" s="20" t="n">
        <v>0</v>
      </c>
      <c r="E5" s="20" t="n">
        <v>0</v>
      </c>
      <c r="F5" s="32" t="n">
        <v>0</v>
      </c>
      <c r="G5" s="32" t="n">
        <v>0</v>
      </c>
      <c r="H5" s="32" t="n">
        <v>0</v>
      </c>
    </row>
    <row r="6" customFormat="false" ht="15" hidden="false" customHeight="true" outlineLevel="0" collapsed="false">
      <c r="B6" s="4" t="s">
        <v>209</v>
      </c>
      <c r="C6" s="20" t="n">
        <v>0</v>
      </c>
      <c r="D6" s="20" t="n">
        <v>0</v>
      </c>
      <c r="E6" s="20" t="n">
        <v>0</v>
      </c>
      <c r="F6" s="32" t="n">
        <v>0</v>
      </c>
      <c r="G6" s="32" t="n">
        <v>0</v>
      </c>
      <c r="H6" s="32" t="n">
        <v>0</v>
      </c>
    </row>
    <row r="7" customFormat="false" ht="15" hidden="false" customHeight="true" outlineLevel="0" collapsed="false">
      <c r="B7" s="4" t="s">
        <v>209</v>
      </c>
      <c r="C7" s="20" t="n">
        <v>0</v>
      </c>
      <c r="D7" s="20" t="n">
        <v>0</v>
      </c>
      <c r="E7" s="20" t="n">
        <v>0</v>
      </c>
      <c r="F7" s="32" t="n">
        <v>0</v>
      </c>
      <c r="G7" s="32" t="n">
        <v>0</v>
      </c>
      <c r="H7" s="32" t="n">
        <v>0</v>
      </c>
    </row>
    <row r="8" customFormat="false" ht="15" hidden="false" customHeight="true" outlineLevel="0" collapsed="false">
      <c r="B8" s="4" t="s">
        <v>209</v>
      </c>
      <c r="C8" s="20" t="n">
        <v>0</v>
      </c>
      <c r="D8" s="20" t="n">
        <v>0</v>
      </c>
      <c r="E8" s="20" t="n">
        <v>0</v>
      </c>
      <c r="F8" s="32" t="n">
        <v>0</v>
      </c>
      <c r="G8" s="32" t="n">
        <v>0</v>
      </c>
      <c r="H8" s="32" t="n">
        <v>0</v>
      </c>
    </row>
    <row r="9" customFormat="false" ht="15" hidden="false" customHeight="true" outlineLevel="0" collapsed="false">
      <c r="B9" s="4" t="s">
        <v>209</v>
      </c>
      <c r="C9" s="20" t="n">
        <v>0</v>
      </c>
      <c r="D9" s="20" t="n">
        <v>0</v>
      </c>
      <c r="E9" s="20" t="n">
        <v>0</v>
      </c>
      <c r="F9" s="32" t="n">
        <v>0</v>
      </c>
      <c r="G9" s="32" t="n">
        <v>0</v>
      </c>
      <c r="H9" s="32" t="n">
        <v>0</v>
      </c>
    </row>
    <row r="10" customFormat="false" ht="15" hidden="false" customHeight="true" outlineLevel="0" collapsed="false">
      <c r="B10" s="4" t="s">
        <v>209</v>
      </c>
      <c r="C10" s="20" t="n">
        <v>0</v>
      </c>
      <c r="D10" s="20" t="n">
        <v>0</v>
      </c>
      <c r="E10" s="20" t="n">
        <v>0</v>
      </c>
      <c r="F10" s="32" t="n">
        <v>0</v>
      </c>
      <c r="G10" s="32" t="n">
        <v>0</v>
      </c>
      <c r="H10" s="32" t="n">
        <v>0</v>
      </c>
    </row>
    <row r="11" customFormat="false" ht="15" hidden="false" customHeight="true" outlineLevel="0" collapsed="false">
      <c r="B11" s="4" t="s">
        <v>209</v>
      </c>
      <c r="C11" s="20" t="n">
        <v>0</v>
      </c>
      <c r="D11" s="20" t="n">
        <v>0</v>
      </c>
      <c r="E11" s="20" t="n">
        <v>0</v>
      </c>
      <c r="F11" s="32" t="n">
        <v>0</v>
      </c>
      <c r="G11" s="32" t="n">
        <v>0</v>
      </c>
      <c r="H11" s="32" t="n">
        <v>0</v>
      </c>
    </row>
    <row r="13" customFormat="false" ht="15" hidden="false" customHeight="true" outlineLevel="0" collapsed="false">
      <c r="B13" s="3" t="s">
        <v>210</v>
      </c>
      <c r="C13" s="30" t="n">
        <f aca="false">MEDIAN(C5:C12)</f>
        <v>0</v>
      </c>
      <c r="D13" s="30" t="n">
        <f aca="false">MEDIAN(D5:D12)</f>
        <v>0</v>
      </c>
      <c r="E13" s="30" t="n">
        <f aca="false">MEDIAN(E5:E12)</f>
        <v>0</v>
      </c>
      <c r="F13" s="33" t="n">
        <f aca="false">MEDIAN(F5:F12)</f>
        <v>0</v>
      </c>
      <c r="G13" s="33" t="n">
        <f aca="false">MEDIAN(G5:G12)</f>
        <v>0</v>
      </c>
      <c r="H13" s="33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211</v>
      </c>
    </row>
    <row r="4" customFormat="false" ht="15" hidden="false" customHeight="true" outlineLevel="0" collapsed="false">
      <c r="B4" s="34" t="s">
        <v>212</v>
      </c>
      <c r="C4" s="35" t="n">
        <v>0.015</v>
      </c>
      <c r="D4" s="35" t="n">
        <v>0.02</v>
      </c>
      <c r="E4" s="35" t="n">
        <v>0.025</v>
      </c>
      <c r="F4" s="35" t="n">
        <v>0.03</v>
      </c>
      <c r="G4" s="35" t="n">
        <v>0.035</v>
      </c>
    </row>
    <row r="5" customFormat="false" ht="15" hidden="false" customHeight="true" outlineLevel="0" collapsed="false">
      <c r="B5" s="35" t="n">
        <v>0.08</v>
      </c>
      <c r="C5" s="23" t="s">
        <v>213</v>
      </c>
      <c r="D5" s="23" t="s">
        <v>213</v>
      </c>
      <c r="E5" s="23" t="s">
        <v>213</v>
      </c>
      <c r="F5" s="23" t="s">
        <v>213</v>
      </c>
      <c r="G5" s="23" t="s">
        <v>213</v>
      </c>
    </row>
    <row r="6" customFormat="false" ht="15" hidden="false" customHeight="true" outlineLevel="0" collapsed="false">
      <c r="B6" s="35" t="n">
        <v>0.09</v>
      </c>
      <c r="C6" s="23" t="s">
        <v>213</v>
      </c>
      <c r="D6" s="23" t="s">
        <v>213</v>
      </c>
      <c r="E6" s="23" t="s">
        <v>213</v>
      </c>
      <c r="F6" s="23" t="s">
        <v>213</v>
      </c>
      <c r="G6" s="23" t="s">
        <v>213</v>
      </c>
    </row>
    <row r="7" customFormat="false" ht="15" hidden="false" customHeight="true" outlineLevel="0" collapsed="false">
      <c r="B7" s="35" t="n">
        <v>0.1</v>
      </c>
      <c r="C7" s="23" t="s">
        <v>213</v>
      </c>
      <c r="D7" s="23" t="s">
        <v>213</v>
      </c>
      <c r="E7" s="23" t="s">
        <v>213</v>
      </c>
      <c r="F7" s="23" t="s">
        <v>213</v>
      </c>
      <c r="G7" s="23" t="s">
        <v>213</v>
      </c>
    </row>
    <row r="8" customFormat="false" ht="15" hidden="false" customHeight="true" outlineLevel="0" collapsed="false">
      <c r="B8" s="35" t="n">
        <v>0.11</v>
      </c>
      <c r="C8" s="23" t="s">
        <v>213</v>
      </c>
      <c r="D8" s="23" t="s">
        <v>213</v>
      </c>
      <c r="E8" s="23" t="s">
        <v>213</v>
      </c>
      <c r="F8" s="23" t="s">
        <v>213</v>
      </c>
      <c r="G8" s="23" t="s">
        <v>213</v>
      </c>
    </row>
    <row r="9" customFormat="false" ht="15" hidden="false" customHeight="true" outlineLevel="0" collapsed="false">
      <c r="B9" s="35" t="n">
        <v>0.12</v>
      </c>
      <c r="C9" s="23" t="s">
        <v>213</v>
      </c>
      <c r="D9" s="23" t="s">
        <v>213</v>
      </c>
      <c r="E9" s="23" t="s">
        <v>213</v>
      </c>
      <c r="F9" s="23" t="s">
        <v>213</v>
      </c>
      <c r="G9" s="2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214</v>
      </c>
    </row>
    <row r="4" customFormat="false" ht="15" hidden="false" customHeight="true" outlineLevel="0" collapsed="false">
      <c r="A4" s="16"/>
      <c r="B4" s="16" t="s">
        <v>91</v>
      </c>
      <c r="C4" s="16" t="s">
        <v>215</v>
      </c>
      <c r="D4" s="16" t="s">
        <v>216</v>
      </c>
      <c r="E4" s="16" t="s">
        <v>217</v>
      </c>
      <c r="F4" s="16" t="s">
        <v>218</v>
      </c>
    </row>
    <row r="5" customFormat="false" ht="15" hidden="false" customHeight="true" outlineLevel="0" collapsed="false">
      <c r="B5" s="36" t="s">
        <v>219</v>
      </c>
      <c r="C5" s="36" t="s">
        <v>220</v>
      </c>
      <c r="D5" s="36" t="s">
        <v>221</v>
      </c>
      <c r="E5" s="36" t="s">
        <v>222</v>
      </c>
      <c r="F5" s="36" t="s">
        <v>223</v>
      </c>
    </row>
    <row r="6" customFormat="false" ht="15" hidden="false" customHeight="true" outlineLevel="0" collapsed="false">
      <c r="B6" s="36"/>
      <c r="C6" s="36"/>
      <c r="D6" s="36"/>
      <c r="E6" s="36"/>
      <c r="F6" s="36"/>
    </row>
    <row r="7" customFormat="false" ht="15" hidden="false" customHeight="true" outlineLevel="0" collapsed="false">
      <c r="B7" s="36"/>
      <c r="C7" s="36"/>
      <c r="D7" s="36"/>
      <c r="E7" s="36"/>
      <c r="F7" s="36"/>
    </row>
    <row r="8" customFormat="false" ht="15" hidden="false" customHeight="true" outlineLevel="0" collapsed="false">
      <c r="B8" s="36"/>
      <c r="C8" s="36"/>
      <c r="D8" s="36"/>
      <c r="E8" s="36"/>
      <c r="F8" s="36"/>
    </row>
    <row r="9" customFormat="false" ht="15" hidden="false" customHeight="true" outlineLevel="0" collapsed="false">
      <c r="B9" s="36"/>
      <c r="C9" s="36"/>
      <c r="D9" s="36"/>
      <c r="E9" s="36"/>
      <c r="F9" s="36"/>
    </row>
    <row r="10" customFormat="false" ht="15" hidden="false" customHeight="true" outlineLevel="0" collapsed="false">
      <c r="B10" s="36"/>
      <c r="C10" s="36"/>
      <c r="D10" s="36"/>
      <c r="E10" s="36"/>
      <c r="F10" s="36"/>
    </row>
    <row r="11" customFormat="false" ht="15" hidden="false" customHeight="true" outlineLevel="0" collapsed="false">
      <c r="B11" s="36"/>
      <c r="C11" s="36"/>
      <c r="D11" s="36"/>
      <c r="E11" s="36"/>
      <c r="F11" s="36"/>
    </row>
    <row r="12" customFormat="false" ht="15" hidden="false" customHeight="true" outlineLevel="0" collapsed="false">
      <c r="B12" s="36"/>
      <c r="C12" s="36"/>
      <c r="D12" s="36"/>
      <c r="E12" s="36"/>
      <c r="F12" s="36"/>
    </row>
    <row r="13" customFormat="false" ht="15" hidden="false" customHeight="true" outlineLevel="0" collapsed="false">
      <c r="B13" s="36"/>
      <c r="C13" s="36"/>
      <c r="D13" s="36"/>
      <c r="E13" s="36"/>
      <c r="F13" s="36"/>
    </row>
    <row r="14" customFormat="false" ht="15" hidden="false" customHeight="tru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6"/>
  </cols>
  <sheetData>
    <row r="2" customFormat="false" ht="19.5" hidden="false" customHeight="true" outlineLevel="0" collapsed="false">
      <c r="B2" s="2" t="s">
        <v>224</v>
      </c>
    </row>
    <row r="4" customFormat="false" ht="15" hidden="false" customHeight="true" outlineLevel="0" collapsed="false">
      <c r="B4" s="16" t="s">
        <v>225</v>
      </c>
      <c r="C4" s="16" t="s">
        <v>226</v>
      </c>
      <c r="D4" s="16" t="s">
        <v>227</v>
      </c>
      <c r="E4" s="16" t="s">
        <v>228</v>
      </c>
    </row>
    <row r="5" customFormat="false" ht="15" hidden="false" customHeight="true" outlineLevel="0" collapsed="false">
      <c r="B5" s="1" t="s">
        <v>229</v>
      </c>
      <c r="C5" s="37" t="n">
        <v>100</v>
      </c>
      <c r="D5" s="37" t="n">
        <v>50</v>
      </c>
    </row>
    <row r="6" customFormat="false" ht="15" hidden="false" customHeight="true" outlineLevel="0" collapsed="false">
      <c r="B6" s="1" t="s">
        <v>230</v>
      </c>
      <c r="C6" s="37" t="n">
        <v>118548</v>
      </c>
      <c r="D6" s="37" t="n">
        <v>118548</v>
      </c>
    </row>
    <row r="7" customFormat="false" ht="15" hidden="false" customHeight="true" outlineLevel="0" collapsed="false">
      <c r="B7" s="1" t="s">
        <v>231</v>
      </c>
      <c r="C7" s="37" t="n">
        <v>44477</v>
      </c>
      <c r="D7" s="37" t="n">
        <v>44477</v>
      </c>
    </row>
    <row r="8" customFormat="false" ht="15" hidden="false" customHeight="true" outlineLevel="0" collapsed="false">
      <c r="B8" s="1" t="s">
        <v>232</v>
      </c>
      <c r="C8" s="37" t="n">
        <v>21771</v>
      </c>
      <c r="D8" s="37" t="n">
        <v>21771</v>
      </c>
    </row>
    <row r="9" customFormat="false" ht="15" hidden="false" customHeight="true" outlineLevel="0" collapsed="false">
      <c r="B9" s="1" t="s">
        <v>233</v>
      </c>
      <c r="C9" s="37" t="n">
        <v>17254</v>
      </c>
      <c r="D9" s="37" t="n">
        <v>17254</v>
      </c>
    </row>
    <row r="10" customFormat="false" ht="15" hidden="false" customHeight="true" outlineLevel="0" collapsed="false">
      <c r="B10" s="1" t="s">
        <v>234</v>
      </c>
      <c r="C10" s="37" t="n">
        <v>24395</v>
      </c>
      <c r="D10" s="37" t="n">
        <v>24395</v>
      </c>
    </row>
    <row r="11" customFormat="false" ht="15" hidden="false" customHeight="true" outlineLevel="0" collapsed="false">
      <c r="B11" s="1" t="s">
        <v>235</v>
      </c>
      <c r="C11" s="37" t="n">
        <v>29070</v>
      </c>
      <c r="D11" s="37" t="n">
        <v>29070</v>
      </c>
    </row>
    <row r="12" customFormat="false" ht="15" hidden="false" customHeight="true" outlineLevel="0" collapsed="false">
      <c r="B12" s="1" t="s">
        <v>236</v>
      </c>
      <c r="C12" s="37" t="n">
        <v>71802</v>
      </c>
      <c r="D12" s="37" t="n">
        <v>71802</v>
      </c>
    </row>
    <row r="13" customFormat="false" ht="15" hidden="false" customHeight="true" outlineLevel="0" collapsed="false">
      <c r="B13" s="1" t="s">
        <v>151</v>
      </c>
      <c r="C13" s="37" t="n">
        <v>109400</v>
      </c>
      <c r="D13" s="37" t="n">
        <v>109400</v>
      </c>
    </row>
    <row r="14" customFormat="false" ht="15" hidden="false" customHeight="true" outlineLevel="0" collapsed="false">
      <c r="B14" s="1" t="s">
        <v>237</v>
      </c>
      <c r="C14" s="37" t="n">
        <v>1700</v>
      </c>
      <c r="D14" s="37" t="n">
        <v>1700</v>
      </c>
    </row>
    <row r="15" customFormat="false" ht="15" hidden="false" customHeight="true" outlineLevel="0" collapsed="false">
      <c r="B15" s="1" t="s">
        <v>238</v>
      </c>
      <c r="C15" s="37" t="n">
        <v>50</v>
      </c>
      <c r="D15" s="37" t="n">
        <v>80</v>
      </c>
    </row>
    <row r="16" customFormat="false" ht="15" hidden="false" customHeight="true" outlineLevel="0" collapsed="false">
      <c r="B16" s="1" t="s">
        <v>239</v>
      </c>
      <c r="C16" s="38" t="n">
        <v>3.5</v>
      </c>
      <c r="D16" s="38" t="n">
        <v>3.5</v>
      </c>
    </row>
    <row r="17" customFormat="false" ht="15" hidden="false" customHeight="true" outlineLevel="0" collapsed="false">
      <c r="B17" s="1" t="s">
        <v>240</v>
      </c>
      <c r="C17" s="38" t="n">
        <v>2</v>
      </c>
      <c r="D17" s="38" t="n">
        <v>2</v>
      </c>
    </row>
    <row r="21" customFormat="false" ht="15" hidden="false" customHeight="true" outlineLevel="0" collapsed="false">
      <c r="B21" s="1" t="s">
        <v>241</v>
      </c>
      <c r="C21" s="24" t="n">
        <f aca="false">C5+C6-C7-C8-C9+C10-C11</f>
        <v>30471</v>
      </c>
      <c r="D21" s="24" t="n">
        <f aca="false">D5+D6-D7-D8-D9+D10-D11</f>
        <v>30421</v>
      </c>
    </row>
    <row r="22" customFormat="false" ht="15" hidden="false" customHeight="true" outlineLevel="0" collapsed="false">
      <c r="B22" s="1" t="s">
        <v>242</v>
      </c>
      <c r="C22" s="24" t="n">
        <f aca="false">C12+C10-C11</f>
        <v>67127</v>
      </c>
      <c r="D22" s="24" t="n">
        <f aca="false">D12+D10-D11</f>
        <v>67127</v>
      </c>
    </row>
    <row r="23" customFormat="false" ht="15" hidden="false" customHeight="true" outlineLevel="0" collapsed="false">
      <c r="B23" s="1" t="s">
        <v>243</v>
      </c>
      <c r="C23" s="24" t="n">
        <f aca="false">C22-C21</f>
        <v>36656</v>
      </c>
      <c r="D23" s="24" t="n">
        <f aca="false">D22-D21</f>
        <v>36706</v>
      </c>
    </row>
    <row r="24" customFormat="false" ht="15" hidden="false" customHeight="true" outlineLevel="0" collapsed="false">
      <c r="B24" s="1" t="s">
        <v>244</v>
      </c>
      <c r="C24" s="39" t="n">
        <f aca="false">IFERROR(C23/C13,0)</f>
        <v>0.335063985374772</v>
      </c>
      <c r="D24" s="39" t="n">
        <f aca="false">IFERROR(D23/D13,0)</f>
        <v>0.335521023765996</v>
      </c>
    </row>
    <row r="25" customFormat="false" ht="15" hidden="false" customHeight="true" outlineLevel="0" collapsed="false">
      <c r="B25" s="1" t="s">
        <v>245</v>
      </c>
      <c r="C25" s="39" t="n">
        <f aca="false">IFERROR(C13/C14,0)</f>
        <v>64.3529411764706</v>
      </c>
      <c r="D25" s="39" t="n">
        <f aca="false">IFERROR(D13/D14,0)</f>
        <v>64.3529411764706</v>
      </c>
    </row>
    <row r="26" customFormat="false" ht="15" hidden="false" customHeight="true" outlineLevel="0" collapsed="false">
      <c r="B26" s="1" t="s">
        <v>246</v>
      </c>
      <c r="C26" s="24" t="n">
        <f aca="false">MAX(0,C15-C21)</f>
        <v>0</v>
      </c>
      <c r="D26" s="24" t="n">
        <f aca="false">MAX(0,D15-D21)</f>
        <v>0</v>
      </c>
    </row>
    <row r="27" customFormat="false" ht="15" hidden="false" customHeight="true" outlineLevel="0" collapsed="false">
      <c r="B27" s="1" t="s">
        <v>247</v>
      </c>
      <c r="C27" s="24" t="n">
        <f aca="false">C6-C7</f>
        <v>74071</v>
      </c>
      <c r="D27" s="24" t="n">
        <f aca="false">D6-D7</f>
        <v>74071</v>
      </c>
    </row>
    <row r="28" customFormat="false" ht="15" hidden="false" customHeight="true" outlineLevel="0" collapsed="false">
      <c r="B28" s="1" t="s">
        <v>248</v>
      </c>
      <c r="C28" s="24" t="n">
        <f aca="false">C8+C9</f>
        <v>39025</v>
      </c>
      <c r="D28" s="24" t="n">
        <f aca="false">D8+D9</f>
        <v>39025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249</v>
      </c>
    </row>
    <row r="4" customFormat="false" ht="15" hidden="false" customHeight="true" outlineLevel="0" collapsed="false">
      <c r="B4" s="16" t="s">
        <v>250</v>
      </c>
      <c r="C4" s="16" t="s">
        <v>226</v>
      </c>
      <c r="D4" s="16" t="s">
        <v>227</v>
      </c>
      <c r="E4" s="16" t="s">
        <v>251</v>
      </c>
    </row>
    <row r="5" customFormat="false" ht="15" hidden="false" customHeight="true" outlineLevel="0" collapsed="false">
      <c r="B5" s="1" t="s">
        <v>230</v>
      </c>
      <c r="C5" s="24" t="n">
        <f aca="false">'Treasury &amp; Liquidity'!C6</f>
        <v>118548</v>
      </c>
      <c r="D5" s="24" t="n">
        <f aca="false">'Treasury &amp; Liquidity'!D6</f>
        <v>118548</v>
      </c>
      <c r="E5" s="1" t="s">
        <v>252</v>
      </c>
    </row>
    <row r="6" customFormat="false" ht="15" hidden="false" customHeight="true" outlineLevel="0" collapsed="false">
      <c r="B6" s="1" t="s">
        <v>231</v>
      </c>
      <c r="C6" s="24" t="n">
        <f aca="false">'Treasury &amp; Liquidity'!C7</f>
        <v>44477</v>
      </c>
      <c r="D6" s="24" t="n">
        <f aca="false">'Treasury &amp; Liquidity'!D7</f>
        <v>44477</v>
      </c>
      <c r="E6" s="1" t="s">
        <v>253</v>
      </c>
    </row>
    <row r="7" customFormat="false" ht="15" hidden="false" customHeight="true" outlineLevel="0" collapsed="false">
      <c r="B7" s="1" t="s">
        <v>232</v>
      </c>
      <c r="C7" s="24" t="n">
        <f aca="false">'Treasury &amp; Liquidity'!C8</f>
        <v>21771</v>
      </c>
      <c r="D7" s="24" t="n">
        <f aca="false">'Treasury &amp; Liquidity'!D8</f>
        <v>21771</v>
      </c>
      <c r="E7" s="1" t="s">
        <v>254</v>
      </c>
    </row>
    <row r="8" customFormat="false" ht="15" hidden="false" customHeight="true" outlineLevel="0" collapsed="false">
      <c r="B8" s="1" t="s">
        <v>233</v>
      </c>
      <c r="C8" s="24" t="n">
        <f aca="false">'Treasury &amp; Liquidity'!C9</f>
        <v>17254</v>
      </c>
      <c r="D8" s="24" t="n">
        <f aca="false">'Treasury &amp; Liquidity'!D9</f>
        <v>17254</v>
      </c>
      <c r="E8" s="1" t="s">
        <v>254</v>
      </c>
    </row>
    <row r="9" customFormat="false" ht="15" hidden="false" customHeight="true" outlineLevel="0" collapsed="false">
      <c r="B9" s="1" t="s">
        <v>235</v>
      </c>
      <c r="C9" s="24" t="n">
        <f aca="false">'Treasury &amp; Liquidity'!C11</f>
        <v>29070</v>
      </c>
      <c r="D9" s="24" t="n">
        <f aca="false">'Treasury &amp; Liquidity'!D11</f>
        <v>29070</v>
      </c>
      <c r="E9" s="1" t="s">
        <v>255</v>
      </c>
    </row>
    <row r="10" customFormat="false" ht="15" hidden="false" customHeight="true" outlineLevel="0" collapsed="false">
      <c r="B10" s="1" t="s">
        <v>234</v>
      </c>
      <c r="C10" s="24" t="n">
        <f aca="false">'Treasury &amp; Liquidity'!C10</f>
        <v>24395</v>
      </c>
      <c r="D10" s="24" t="n">
        <f aca="false">'Treasury &amp; Liquidity'!D10</f>
        <v>24395</v>
      </c>
      <c r="E10" s="1" t="s">
        <v>256</v>
      </c>
    </row>
    <row r="13" customFormat="false" ht="15" hidden="false" customHeight="true" outlineLevel="0" collapsed="false">
      <c r="B13" s="1" t="s">
        <v>257</v>
      </c>
      <c r="C13" s="24" t="n">
        <f aca="false">MAX(0,C7+C8-C5+C6)</f>
        <v>0</v>
      </c>
      <c r="D13" s="24" t="n">
        <f aca="false">MAX(0,D7+D8-D5+D6)</f>
        <v>0</v>
      </c>
    </row>
    <row r="14" customFormat="false" ht="15" hidden="false" customHeight="true" outlineLevel="0" collapsed="false">
      <c r="B14" s="1" t="s">
        <v>258</v>
      </c>
      <c r="C14" s="24" t="n">
        <f aca="false">'Treasury &amp; Liquidity'!C21-('Treasury &amp; Liquidity'!C5+'Treasury &amp; Liquidity'!C6-'Treasury &amp; Liquidity'!C7-'Treasury &amp; Liquidity'!C8-'Treasury &amp; Liquidity'!C9+'Treasury &amp; Liquidity'!C10-'Treasury &amp; Liquidity'!C11)</f>
        <v>0</v>
      </c>
      <c r="D14" s="24" t="n">
        <f aca="false">'Treasury &amp; Liquidity'!D21-('Treasury &amp; Liquidity'!D5+'Treasury &amp; Liquidity'!D6-'Treasury &amp; Liquidity'!D7-'Treasury &amp; Liquidity'!D8-'Treasury &amp; Liquidity'!D9+'Treasury &amp; Liquidity'!D10-'Treasury &amp; Liquidity'!D11)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259</v>
      </c>
    </row>
    <row r="4" customFormat="false" ht="15" hidden="false" customHeight="true" outlineLevel="0" collapsed="false">
      <c r="B4" s="16" t="s">
        <v>225</v>
      </c>
      <c r="C4" s="16" t="s">
        <v>226</v>
      </c>
      <c r="D4" s="16" t="s">
        <v>227</v>
      </c>
      <c r="E4" s="16" t="s">
        <v>260</v>
      </c>
    </row>
    <row r="5" customFormat="false" ht="15" hidden="false" customHeight="true" outlineLevel="0" collapsed="false">
      <c r="B5" s="1" t="s">
        <v>241</v>
      </c>
      <c r="C5" s="24" t="n">
        <f aca="false">'Treasury &amp; Liquidity'!C21</f>
        <v>30471</v>
      </c>
      <c r="D5" s="24" t="n">
        <f aca="false">'Treasury &amp; Liquidity'!D21</f>
        <v>30421</v>
      </c>
      <c r="E5" s="1" t="s">
        <v>261</v>
      </c>
    </row>
    <row r="6" customFormat="false" ht="15" hidden="false" customHeight="true" outlineLevel="0" collapsed="false">
      <c r="B6" s="1" t="s">
        <v>244</v>
      </c>
      <c r="C6" s="39" t="n">
        <f aca="false">'Treasury &amp; Liquidity'!C24</f>
        <v>0.335063985374772</v>
      </c>
      <c r="D6" s="39" t="n">
        <f aca="false">'Treasury &amp; Liquidity'!D24</f>
        <v>0.335521023765996</v>
      </c>
      <c r="E6" s="1" t="s">
        <v>262</v>
      </c>
    </row>
    <row r="7" customFormat="false" ht="15" hidden="false" customHeight="true" outlineLevel="0" collapsed="false">
      <c r="B7" s="1" t="s">
        <v>245</v>
      </c>
      <c r="C7" s="39" t="n">
        <f aca="false">'Treasury &amp; Liquidity'!C25</f>
        <v>64.3529411764706</v>
      </c>
      <c r="D7" s="39" t="n">
        <f aca="false">'Treasury &amp; Liquidity'!D25</f>
        <v>64.3529411764706</v>
      </c>
      <c r="E7" s="1" t="s">
        <v>263</v>
      </c>
    </row>
    <row r="8" customFormat="false" ht="15" hidden="false" customHeight="true" outlineLevel="0" collapsed="false">
      <c r="B8" s="1" t="s">
        <v>246</v>
      </c>
      <c r="C8" s="24" t="n">
        <f aca="false">'Treasury &amp; Liquidity'!C26</f>
        <v>0</v>
      </c>
      <c r="D8" s="24" t="n">
        <f aca="false">'Treasury &amp; Liquidity'!D26</f>
        <v>0</v>
      </c>
      <c r="E8" s="1" t="s">
        <v>264</v>
      </c>
    </row>
    <row r="9" customFormat="false" ht="15" hidden="false" customHeight="true" outlineLevel="0" collapsed="false">
      <c r="B9" s="1" t="s">
        <v>257</v>
      </c>
      <c r="C9" s="24" t="n">
        <f aca="false">'Capital Allocation'!C13</f>
        <v>0</v>
      </c>
      <c r="D9" s="24" t="n">
        <f aca="false">'Capital Allocation'!D13</f>
        <v>0</v>
      </c>
      <c r="E9" s="1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2" t="s">
        <v>265</v>
      </c>
    </row>
    <row r="4" customFormat="false" ht="15" hidden="false" customHeight="true" outlineLevel="0" collapsed="false">
      <c r="B4" s="16" t="s">
        <v>266</v>
      </c>
      <c r="C4" s="16" t="s">
        <v>225</v>
      </c>
      <c r="D4" s="16" t="s">
        <v>40</v>
      </c>
      <c r="E4" s="16" t="s">
        <v>267</v>
      </c>
    </row>
    <row r="5" customFormat="false" ht="15" hidden="false" customHeight="true" outlineLevel="0" collapsed="false">
      <c r="B5" s="1" t="s">
        <v>258</v>
      </c>
      <c r="C5" s="40" t="n">
        <f aca="false">'Capital Allocation'!D14</f>
        <v>0</v>
      </c>
      <c r="D5" s="36" t="str">
        <f aca="false">IF(ABS(C5)&lt;0.01,"PASS","FAIL")</f>
        <v>PASS</v>
      </c>
      <c r="E5" s="1" t="s">
        <v>268</v>
      </c>
    </row>
    <row r="6" customFormat="false" ht="15" hidden="false" customHeight="true" outlineLevel="0" collapsed="false">
      <c r="B6" s="1" t="s">
        <v>269</v>
      </c>
      <c r="C6" s="40" t="n">
        <f aca="false">'Treasury &amp; Liquidity'!D22-('Treasury &amp; Liquidity'!D12+'Treasury &amp; Liquidity'!D10-'Treasury &amp; Liquidity'!D11)</f>
        <v>0</v>
      </c>
      <c r="D6" s="36" t="str">
        <f aca="false">IF(ABS(C6)&lt;0.01,"PASS","FAIL")</f>
        <v>PASS</v>
      </c>
      <c r="E6" s="1" t="s">
        <v>270</v>
      </c>
    </row>
    <row r="7" customFormat="false" ht="15" hidden="false" customHeight="true" outlineLevel="0" collapsed="false">
      <c r="B7" s="1" t="s">
        <v>238</v>
      </c>
      <c r="C7" s="40" t="n">
        <f aca="false">'Treasury &amp; Liquidity'!D21-'Treasury &amp; Liquidity'!D15</f>
        <v>30341</v>
      </c>
      <c r="D7" s="36" t="str">
        <f aca="false">IF(C7&gt;=0,"PASS","BREACH")</f>
        <v>PASS</v>
      </c>
      <c r="E7" s="1" t="s">
        <v>271</v>
      </c>
    </row>
    <row r="8" customFormat="false" ht="15" hidden="false" customHeight="true" outlineLevel="0" collapsed="false">
      <c r="B8" s="1" t="s">
        <v>244</v>
      </c>
      <c r="C8" s="40" t="n">
        <f aca="false">'Treasury &amp; Liquidity'!D24</f>
        <v>0.335521023765996</v>
      </c>
      <c r="D8" s="36" t="str">
        <f aca="false">IF(C8&lt;='Treasury &amp; Liquidity'!D16,"PASS","BREACH")</f>
        <v>PASS</v>
      </c>
      <c r="E8" s="1" t="s">
        <v>272</v>
      </c>
    </row>
    <row r="9" customFormat="false" ht="15" hidden="false" customHeight="true" outlineLevel="0" collapsed="false">
      <c r="B9" s="1" t="s">
        <v>245</v>
      </c>
      <c r="C9" s="40" t="n">
        <f aca="false">'Treasury &amp; Liquidity'!D25</f>
        <v>64.3529411764706</v>
      </c>
      <c r="D9" s="36" t="str">
        <f aca="false">IF(C9&gt;='Treasury &amp; Liquidity'!D17,"PASS","BREACH")</f>
        <v>PASS</v>
      </c>
      <c r="E9" s="1" t="s">
        <v>273</v>
      </c>
    </row>
    <row r="10" customFormat="false" ht="15" hidden="false" customHeight="true" outlineLevel="0" collapsed="false">
      <c r="B10" s="1" t="s">
        <v>274</v>
      </c>
      <c r="C10" s="40" t="n">
        <f aca="false">'Capital Allocation'!D13</f>
        <v>0</v>
      </c>
      <c r="D10" s="36" t="str">
        <f aca="false">IF(C10&lt;0.01,"PASS","BREACH")</f>
        <v>PASS</v>
      </c>
      <c r="E10" s="1" t="s">
        <v>275</v>
      </c>
    </row>
    <row r="12" customFormat="false" ht="15" hidden="false" customHeight="true" outlineLevel="0" collapsed="false">
      <c r="B12" s="3" t="s">
        <v>276</v>
      </c>
      <c r="C12" s="41" t="str">
        <f aca="false">IF(COUNTIF(D5:D10,"FAIL")+COUNTIF(D5:D10,"BREACH")&gt;0,"BREACH",IF(COUNTIF(D5:D10,"REVIEW")&gt;0,"REVIEW","PASS"))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2026-08-05T15:41:02Z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