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<sst xmlns="http://schemas.openxmlformats.org/spreadsheetml/2006/main" count="453" uniqueCount="314">
  <si>
    <t xml:space="preserve">[TARGET] — LBO Underwriting Model</t>
  </si>
  <si>
    <t xml:space="preserve">Target / transaction:</t>
  </si>
  <si>
    <t xml:space="preserve">Macy's, Inc. -- FY2020 pandemic contraction (adversarial case)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</si>
  <si>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</si>
  <si>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</si>
  <si>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</si>
  <si>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</si>
  <si>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</si>
  <si>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2021-03-30</t>
  </si>
  <si>
    <t xml:space="preserve">Next IC / financing event: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</si>
  <si>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</si>
  <si>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</si>
  <si>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</si>
  <si>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</si>
  <si>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</si>
  <si>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</si>
  <si>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</si>
  <si>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</si>
  <si>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</si>
  <si>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</si>
  <si>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</si>
  <si>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</si>
  <si>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</si>
  <si>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Equity — Institutional Decision Surface</t>
  </si>
  <si>
    <t xml:space="preserve">Model ID</t>
  </si>
  <si>
    <t xml:space="preserve">03</t>
  </si>
  <si>
    <t xml:space="preserve">Domain</t>
  </si>
  <si>
    <t xml:space="preserve">Private Equity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</si>
  <si>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</si>
  <si>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</si>
  <si>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</si>
  <si>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</si>
  <si>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</si>
  <si>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deal team, operating partner, financing team, investment committee and LPAC</t>
  </si>
  <si>
    <t xml:space="preserve">Committee artifact</t>
  </si>
  <si>
    <t xml:space="preserve">investment committee underwriting memo</t>
  </si>
  <si>
    <t xml:space="preserve">Operating cadence</t>
  </si>
  <si>
    <t xml:space="preserve">weekly pre-close; monthly portfolio;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</si>
  <si>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</si>
  <si>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</si>
  <si>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</si>
  <si>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</si>
  <si>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</si>
  <si>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</si>
  <si>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sponsor MOIC and IRR</t>
  </si>
  <si>
    <t xml:space="preserve">OPEN</t>
  </si>
  <si>
    <t xml:space="preserve">debt paydown and covenant headroom</t>
  </si>
  <si>
    <t xml:space="preserve">management equity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</si>
  <si>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</si>
  <si>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</si>
  <si>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</si>
  <si>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EBITDA add-backs survive lender diligence?</t>
  </si>
  <si>
    <t xml:space="preserve">Where does the business need cash before it generates cash?</t>
  </si>
  <si>
    <t xml:space="preserve">Which covenant is springing and when?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</si>
  <si>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</si>
  <si>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</si>
  <si>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</si>
  <si>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volume/price/mix miss</t>
  </si>
  <si>
    <t xml:space="preserve">margin plan delay</t>
  </si>
  <si>
    <t xml:space="preserve">working-capital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</si>
  <si>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</si>
  <si>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</si>
  <si>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</si>
  <si>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QoE and net working capital report</t>
  </si>
  <si>
    <t xml:space="preserve">market / commercial diligence</t>
  </si>
  <si>
    <t xml:space="preserve">debt term sheets and commitment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</si>
  <si>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</si>
  <si>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</si>
  <si>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</si>
  <si>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</si>
  <si>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minimum cash never breached without explicit cure</t>
  </si>
  <si>
    <t xml:space="preserve">debt tranches conserve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</si>
  <si>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</si>
  <si>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</si>
  <si>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</si>
  <si>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sizing leverage off adjusted EBITDA that lenders reject</t>
  </si>
  <si>
    <t xml:space="preserve">ignoring seasonal revolver needs</t>
  </si>
  <si>
    <t xml:space="preserve">using annual averages for monthly covenant troughs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</si>
  <si>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</si>
  <si>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</si>
  <si>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</si>
  <si>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</si>
  <si>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</si>
  <si>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</si>
  <si>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</si>
  <si>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</si>
  <si>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</si>
  <si>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</si>
  <si>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</si>
  <si>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</si>
  <si>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</si>
  <si>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</si>
  <si>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</si>
  <si>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</si>
  <si>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</si>
  <si>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</si>
  <si>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</si>
  <si>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</si>
  <si>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</si>
  <si>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</si>
  <si>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</si>
  <si>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</si>
  <si>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</si>
  <si>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</si>
  <si>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</si>
  <si>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</si>
  <si>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</si>
  <si>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</si>
  <si>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</si>
  <si>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operating KPI pack</t>
  </si>
  <si>
    <t xml:space="preserve">monthly</t>
  </si>
  <si>
    <t xml:space="preserve">reported-to-underwritten bridge</t>
  </si>
  <si>
    <t xml:space="preserve">TO MAP</t>
  </si>
  <si>
    <t xml:space="preserve">debt balances</t>
  </si>
  <si>
    <t xml:space="preserve">agent statement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</si>
  <si>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</si>
  <si>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</si>
  <si>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</si>
  <si>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</si>
  <si>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</si>
  <si>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</si>
  <si>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</si>
  <si>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</si>
  <si>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</si>
  <si>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</si>
  <si>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</si>
  <si>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</si>
  <si>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</si>
  <si>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</si>
  <si>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</si>
  <si>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</si>
  <si>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</si>
  <si>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</si>
  <si>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</si>
  <si>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</si>
  <si>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</si>
  <si>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</si>
  <si>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</si>
  <si>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</si>
  <si>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</si>
  <si>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</si>
  <si>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</si>
  <si>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</si>
  <si>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</si>
  <si>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</si>
  <si>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</si>
  <si>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</si>
  <si>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</si>
  <si>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</si>
  <si>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</si>
  <si>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</si>
  <si>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</si>
  <si>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</si>
  <si>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</si>
  <si>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</si>
  <si>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</si>
  <si>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</si>
  <si>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</si>
  <si>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</si>
  <si>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</si>
  <si>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</si>
  <si>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</si>
  <si>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</si>
  <si>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</si>
  <si>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Revolver commitment fee (undrawn balance)</t>
  </si>
  <si>
    <t xml:space="preserve">% p.a.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</si>
  <si>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</si>
  <si>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</si>
  <si>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</si>
  <si>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</si>
  <si>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</si>
  <si>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</si>
  <si>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</si>
  <si>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</si>
  <si>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</si>
  <si>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</si>
  <si>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</si>
  <si>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</si>
  <si>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</si>
  <si>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</si>
  <si>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</si>
  <si>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</si>
  <si>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</si>
  <si>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</si>
  <si>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</si>
  <si>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</si>
  <si>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</si>
  <si>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</si>
  <si>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</si>
  <si>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</si>
  <si>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</si>
  <si>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</si>
  <si>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</si>
  <si>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</si>
  <si>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</si>
  <si>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</si>
  <si>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</si>
  <si>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</si>
  <si>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</si>
  <si>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</si>
  <si>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</si>
  <si>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</si>
  <si>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</si>
  <si>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</si>
  <si>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</si>
  <si>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</si>
  <si>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</si>
  <si>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</si>
  <si>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</si>
  <si>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</si>
  <si>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</si>
  <si>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</si>
  <si>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</si>
  <si>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</si>
  <si>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</si>
  <si>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</si>
  <si>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</si>
  <si>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</si>
  <si>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</si>
  <si>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</si>
  <si>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</si>
  <si>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</si>
  <si>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</si>
  <si>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</si>
  <si>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</si>
  <si>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</si>
  <si>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</si>
  <si>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</si>
  <si>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</si>
  <si>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</si>
  <si>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</si>
  <si>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</si>
  <si>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</si>
  <si>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</si>
  <si>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</si>
  <si>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</si>
  <si>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</si>
  <si>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</si>
  <si>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</si>
  <si>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</si>
  <si>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</si>
  <si>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</si>
  <si>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</si>
  <si>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</si>
  <si>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</si>
  <si>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</si>
  <si>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</si>
  <si>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</si>
  <si>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</si>
  <si>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</si>
  <si>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</si>
  <si>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</si>
  <si>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</si>
  <si>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</si>
  <si>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</si>
  <si>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</si>
  <si>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</si>
  <si>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</si>
  <si>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</si>
  <si>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</si>
  <si>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</si>
  <si>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</si>
  <si>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</si>
  <si>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</si>
  <si>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</si>
  <si>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</si>
  <si>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</si>
  <si>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</si>
  <si>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</si>
  <si>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</si>
  <si>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</si>
  <si>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</si>
  <si>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</si>
  <si>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</si>
  <si>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</si>
  <si>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</si>
  <si>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</si>
  <si>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</si>
  <si>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</si>
  <si>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</si>
  <si>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</si>
  <si>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</si>
  <si>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</si>
  <si>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</si>
  <si>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</si>
  <si>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</si>
  <si>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</si>
  <si>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</si>
  <si>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</si>
  <si>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</si>
  <si>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</si>
  <si>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</si>
  <si>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</si>
  <si>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</si>
  <si>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</si>
  <si>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</si>
  <si>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</si>
  <si>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Macy's 2020 Form 10-K</t>
  </si>
  <si>
    <t xml:space="preserve">https://www.sec.gov/Archives/edgar/data/794367/000079436721000038/m-20210130.htm</t>
  </si>
  <si>
    <t xml:space="preserve">U.S. SEC; frozen curated observation as of case date</t>
  </si>
  <si>
    <t xml:space="preserve">Frozen source snapshot</t>
  </si>
  <si>
    <t xml:space="preserve">repo://03_Private_Equity/sources/snapshots/pe-public-macys-2020.json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</si>
  <si>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</si>
  <si>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</si>
  <si>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</si>
  <si>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</si>
  <si>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</si>
  <si>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</si>
  <si>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</si>
  <si>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</si>
  <si>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</si>
  <si>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pe-public-macys-2020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</si>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</sst>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5" t="s">
        <v>4</v>
      </c>
    </row>
    <row r="6" customFormat="false" ht="15" hidden="false" customHeight="false" outlineLevel="0" collapsed="false">
      <c r="B6" s="3" t="s">
        <v>5</v>
      </c>
      <c r="C6" s="5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5" t="s">
        <v>6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5" t="s">
        <v>13</v>
      </c>
    </row>
    <row r="13" customFormat="false" ht="15" hidden="false" customHeight="fals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false" outlineLevel="0" collapsed="false">
      <c r="B14" s="7" t="s">
        <v>15</v>
      </c>
      <c r="C14" s="8" t="s">
        <v>16</v>
      </c>
    </row>
    <row r="15" customFormat="false" ht="15" hidden="false" customHeight="false" outlineLevel="0" collapsed="false">
      <c r="B15" s="3" t="s">
        <v>17</v>
      </c>
      <c r="C15" s="8" t="s">
        <v>18</v>
      </c>
    </row>
    <row r="16" customFormat="false" ht="15" hidden="false" customHeight="false" outlineLevel="0" collapsed="false">
      <c r="B16" s="9" t="s">
        <v>19</v>
      </c>
      <c r="C16" s="8" t="s">
        <v>20</v>
      </c>
    </row>
    <row r="17" customFormat="false" ht="15" hidden="false" customHeight="fals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D5" s="1" t="s">
        <v>69</v>
      </c>
      <c r="H5" s="15" t="s">
        <v>45</v>
      </c>
    </row>
    <row r="6" customFormat="false" ht="15" hidden="false" customHeight="false" outlineLevel="0" collapsed="false">
      <c r="D6" s="1" t="s">
        <v>70</v>
      </c>
      <c r="H6" s="15" t="s">
        <v>45</v>
      </c>
    </row>
    <row r="7" customFormat="false" ht="15" hidden="false" customHeight="false" outlineLevel="0" collapsed="false">
      <c r="D7" s="1" t="s">
        <v>71</v>
      </c>
      <c r="H7" s="15" t="s">
        <v>45</v>
      </c>
    </row>
    <row r="8" customFormat="false" ht="15" hidden="false" customHeight="false" outlineLevel="0" collapsed="false">
      <c r="D8" s="1" t="s">
        <v>72</v>
      </c>
      <c r="H8" s="15" t="s">
        <v>45</v>
      </c>
    </row>
    <row r="9" customFormat="false" ht="15" hidden="false" customHeight="false" outlineLevel="0" collapsed="false">
      <c r="D9" s="1" t="s">
        <v>73</v>
      </c>
      <c r="H9" s="15" t="s">
        <v>45</v>
      </c>
    </row>
    <row r="10" customFormat="false" ht="15" hidden="false" customHeight="false" outlineLevel="0" collapsed="false">
      <c r="H10" s="15"/>
    </row>
    <row r="11" customFormat="false" ht="15" hidden="false" customHeight="false" outlineLevel="0" collapsed="false">
      <c r="H11" s="15"/>
    </row>
    <row r="12" customFormat="false" ht="15" hidden="false" customHeight="false" outlineLevel="0" collapsed="false">
      <c r="H12" s="15"/>
    </row>
    <row r="13" customFormat="false" ht="15" hidden="false" customHeight="false" outlineLevel="0" collapsed="false">
      <c r="H13" s="15"/>
    </row>
    <row r="14" customFormat="false" ht="15" hidden="false" customHeight="false" outlineLevel="0" collapsed="false">
      <c r="H14" s="15"/>
    </row>
    <row r="15" customFormat="false" ht="15" hidden="false" customHeight="false" outlineLevel="0" collapsed="false">
      <c r="H15" s="15"/>
    </row>
    <row r="16" customFormat="false" ht="15" hidden="false" customHeight="false" outlineLevel="0" collapsed="false">
      <c r="H16" s="15"/>
    </row>
    <row r="17" customFormat="false" ht="15" hidden="false" customHeight="false" outlineLevel="0" collapsed="false">
      <c r="H17" s="15"/>
    </row>
    <row r="18" customFormat="false" ht="15" hidden="false" customHeight="false" outlineLevel="0" collapsed="false">
      <c r="H18" s="15"/>
    </row>
    <row r="19" customFormat="false" ht="15" hidden="false" customHeight="false" outlineLevel="0" collapsed="false">
      <c r="H19" s="15"/>
    </row>
    <row r="20" customFormat="false" ht="15" hidden="false" customHeight="false" outlineLevel="0" collapsed="false">
      <c r="H20" s="15"/>
    </row>
    <row r="21" customFormat="false" ht="15" hidden="false" customHeight="false" outlineLevel="0" collapsed="false">
      <c r="H21" s="15"/>
    </row>
    <row r="22" customFormat="false" ht="15" hidden="false" customHeight="false" outlineLevel="0" collapsed="false">
      <c r="H22" s="15"/>
    </row>
    <row r="23" customFormat="false" ht="15" hidden="false" customHeight="false" outlineLevel="0" collapsed="false">
      <c r="H23" s="15"/>
    </row>
    <row r="24" customFormat="false" ht="15" hidden="false" customHeight="false" outlineLevel="0" collapsed="false">
      <c r="H24" s="15"/>
    </row>
    <row r="25" customFormat="false" ht="15" hidden="false" customHeight="false" outlineLevel="0" collapsed="false">
      <c r="H25" s="15"/>
    </row>
    <row r="26" customFormat="false" ht="15" hidden="false" customHeight="false" outlineLevel="0" collapsed="false">
      <c r="H26" s="15"/>
    </row>
    <row r="27" customFormat="false" ht="15" hidden="false" customHeight="false" outlineLevel="0" collapsed="false">
      <c r="H27" s="15"/>
    </row>
    <row r="28" customFormat="false" ht="15" hidden="false" customHeight="false" outlineLevel="0" collapsed="false">
      <c r="H28" s="15"/>
    </row>
    <row r="29" customFormat="false" ht="15" hidden="false" customHeight="false" outlineLevel="0" collapsed="false">
      <c r="H29" s="15"/>
    </row>
    <row r="30" customFormat="false" ht="15" hidden="false" customHeight="false" outlineLevel="0" collapsed="false">
      <c r="H30" s="15"/>
    </row>
    <row r="31" customFormat="false" ht="15" hidden="false" customHeight="false" outlineLevel="0" collapsed="false">
      <c r="H31" s="15"/>
    </row>
    <row r="32" customFormat="false" ht="15" hidden="false" customHeight="false" outlineLevel="0" collapsed="false">
      <c r="H32" s="15"/>
    </row>
    <row r="33" customFormat="false" ht="15" hidden="false" customHeight="false" outlineLevel="0" collapsed="false">
      <c r="H33" s="15"/>
    </row>
    <row r="34" customFormat="false" ht="15" hidden="false" customHeight="false" outlineLevel="0" collapsed="false">
      <c r="H34" s="15"/>
    </row>
    <row r="35" customFormat="false" ht="15" hidden="false" customHeight="false" outlineLevel="0" collapsed="false">
      <c r="H35" s="15"/>
    </row>
    <row r="36" customFormat="false" ht="15" hidden="false" customHeight="false" outlineLevel="0" collapsed="false">
      <c r="H36" s="15"/>
    </row>
    <row r="37" customFormat="false" ht="15" hidden="false" customHeight="false" outlineLevel="0" collapsed="false">
      <c r="H37" s="15"/>
    </row>
    <row r="38" customFormat="false" ht="15" hidden="false" customHeight="false" outlineLevel="0" collapsed="false">
      <c r="H38" s="15"/>
    </row>
    <row r="39" customFormat="false" ht="15" hidden="false" customHeight="false" outlineLevel="0" collapsed="false">
      <c r="H39" s="15"/>
    </row>
    <row r="40" customFormat="false" ht="15" hidden="false" customHeight="false" outlineLevel="0" collapsed="false">
      <c r="H40" s="15"/>
    </row>
    <row r="41" customFormat="false" ht="15" hidden="false" customHeight="false" outlineLevel="0" collapsed="false">
      <c r="H41" s="15"/>
    </row>
    <row r="42" customFormat="false" ht="15" hidden="false" customHeight="false" outlineLevel="0" collapsed="false">
      <c r="H42" s="15"/>
    </row>
    <row r="43" customFormat="false" ht="15" hidden="false" customHeight="false" outlineLevel="0" collapsed="false">
      <c r="H43" s="15"/>
    </row>
    <row r="44" customFormat="false" ht="15" hidden="false" customHeight="false" outlineLevel="0" collapsed="false">
      <c r="H44" s="15"/>
    </row>
    <row r="45" customFormat="false" ht="15" hidden="false" customHeight="false" outlineLevel="0" collapsed="false">
      <c r="H45" s="15"/>
    </row>
    <row r="46" customFormat="false" ht="15" hidden="false" customHeight="false" outlineLevel="0" collapsed="false">
      <c r="H46" s="15"/>
    </row>
    <row r="47" customFormat="false" ht="15" hidden="false" customHeight="false" outlineLevel="0" collapsed="false">
      <c r="H47" s="15"/>
    </row>
    <row r="48" customFormat="false" ht="15" hidden="false" customHeight="false" outlineLevel="0" collapsed="false">
      <c r="H48" s="15"/>
    </row>
    <row r="49" customFormat="false" ht="15" hidden="false" customHeight="false" outlineLevel="0" collapsed="false">
      <c r="H49" s="15"/>
    </row>
    <row r="50" customFormat="false" ht="15" hidden="false" customHeight="false" outlineLevel="0" collapsed="false">
      <c r="H50" s="15"/>
    </row>
    <row r="51" customFormat="false" ht="15" hidden="false" customHeight="false" outlineLevel="0" collapsed="false">
      <c r="H51" s="15"/>
    </row>
    <row r="52" customFormat="false" ht="15" hidden="false" customHeight="false" outlineLevel="0" collapsed="false">
      <c r="H52" s="15"/>
    </row>
    <row r="53" customFormat="false" ht="15" hidden="false" customHeight="false" outlineLevel="0" collapsed="false">
      <c r="H53" s="15"/>
    </row>
    <row r="54" customFormat="false" ht="15" hidden="false" customHeight="fals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110</v>
      </c>
      <c r="D6" s="1" t="s">
        <v>114</v>
      </c>
      <c r="J6" s="15" t="s">
        <v>112</v>
      </c>
    </row>
    <row r="7" customFormat="false" ht="15" hidden="false" customHeight="false" outlineLevel="0" collapsed="false">
      <c r="B7" s="1" t="s">
        <v>115</v>
      </c>
      <c r="C7" s="1" t="s">
        <v>116</v>
      </c>
      <c r="D7" s="1" t="s">
        <v>117</v>
      </c>
      <c r="J7" s="15" t="s">
        <v>112</v>
      </c>
    </row>
    <row r="8" customFormat="false" ht="15" hidden="false" customHeight="false" outlineLevel="0" collapsed="false">
      <c r="B8" s="1" t="s">
        <v>118</v>
      </c>
      <c r="C8" s="1" t="s">
        <v>119</v>
      </c>
      <c r="D8" s="1" t="s">
        <v>120</v>
      </c>
      <c r="J8" s="15" t="s">
        <v>112</v>
      </c>
    </row>
    <row r="9" customFormat="false" ht="15" hidden="false" customHeight="false" outlineLevel="0" collapsed="false">
      <c r="J9" s="15"/>
    </row>
    <row r="10" customFormat="false" ht="15" hidden="false" customHeight="false" outlineLevel="0" collapsed="false">
      <c r="J10" s="15"/>
    </row>
    <row r="11" customFormat="false" ht="15" hidden="false" customHeight="false" outlineLevel="0" collapsed="false">
      <c r="J11" s="15"/>
    </row>
    <row r="12" customFormat="false" ht="15" hidden="false" customHeight="false" outlineLevel="0" collapsed="false">
      <c r="J12" s="15"/>
    </row>
    <row r="13" customFormat="false" ht="15" hidden="false" customHeight="false" outlineLevel="0" collapsed="false">
      <c r="J13" s="15"/>
    </row>
    <row r="14" customFormat="false" ht="15" hidden="false" customHeight="false" outlineLevel="0" collapsed="false">
      <c r="J14" s="15"/>
    </row>
    <row r="15" customFormat="false" ht="15" hidden="false" customHeight="false" outlineLevel="0" collapsed="false">
      <c r="J15" s="15"/>
    </row>
    <row r="16" customFormat="false" ht="15" hidden="false" customHeight="false" outlineLevel="0" collapsed="false">
      <c r="J16" s="15"/>
    </row>
    <row r="17" customFormat="false" ht="15" hidden="false" customHeight="false" outlineLevel="0" collapsed="false">
      <c r="J17" s="15"/>
    </row>
    <row r="18" customFormat="false" ht="15" hidden="false" customHeight="false" outlineLevel="0" collapsed="false">
      <c r="J18" s="15"/>
    </row>
    <row r="19" customFormat="false" ht="15" hidden="false" customHeight="false" outlineLevel="0" collapsed="false">
      <c r="J19" s="15"/>
    </row>
    <row r="20" customFormat="false" ht="15" hidden="false" customHeight="false" outlineLevel="0" collapsed="false">
      <c r="J20" s="15"/>
    </row>
    <row r="21" customFormat="false" ht="15" hidden="false" customHeight="false" outlineLevel="0" collapsed="false">
      <c r="J21" s="15"/>
    </row>
    <row r="22" customFormat="false" ht="15" hidden="false" customHeight="false" outlineLevel="0" collapsed="false">
      <c r="J22" s="15"/>
    </row>
    <row r="23" customFormat="false" ht="15" hidden="false" customHeight="false" outlineLevel="0" collapsed="false">
      <c r="J23" s="15"/>
    </row>
    <row r="24" customFormat="false" ht="15" hidden="false" customHeight="false" outlineLevel="0" collapsed="false">
      <c r="J24" s="15"/>
    </row>
    <row r="25" customFormat="false" ht="15" hidden="false" customHeight="false" outlineLevel="0" collapsed="false">
      <c r="J25" s="15"/>
    </row>
    <row r="26" customFormat="false" ht="15" hidden="false" customHeight="false" outlineLevel="0" collapsed="false">
      <c r="J26" s="15"/>
    </row>
    <row r="27" customFormat="false" ht="15" hidden="false" customHeight="false" outlineLevel="0" collapsed="false">
      <c r="J27" s="15"/>
    </row>
    <row r="28" customFormat="false" ht="15" hidden="false" customHeight="false" outlineLevel="0" collapsed="false">
      <c r="J28" s="15"/>
    </row>
    <row r="29" customFormat="false" ht="15" hidden="false" customHeight="false" outlineLevel="0" collapsed="false">
      <c r="J29" s="15"/>
    </row>
    <row r="30" customFormat="false" ht="15" hidden="false" customHeight="false" outlineLevel="0" collapsed="false">
      <c r="J30" s="15"/>
    </row>
    <row r="31" customFormat="false" ht="15" hidden="false" customHeight="false" outlineLevel="0" collapsed="false">
      <c r="J31" s="15"/>
    </row>
    <row r="32" customFormat="false" ht="15" hidden="false" customHeight="false" outlineLevel="0" collapsed="false">
      <c r="J32" s="15"/>
    </row>
    <row r="33" customFormat="false" ht="15" hidden="false" customHeight="false" outlineLevel="0" collapsed="false">
      <c r="J33" s="15"/>
    </row>
    <row r="34" customFormat="false" ht="15" hidden="false" customHeight="false" outlineLevel="0" collapsed="false">
      <c r="J34" s="15"/>
    </row>
    <row r="35" customFormat="false" ht="15" hidden="false" customHeight="false" outlineLevel="0" collapsed="false">
      <c r="J35" s="15"/>
    </row>
    <row r="36" customFormat="false" ht="15" hidden="false" customHeight="false" outlineLevel="0" collapsed="false">
      <c r="J36" s="15"/>
    </row>
    <row r="37" customFormat="false" ht="15" hidden="false" customHeight="false" outlineLevel="0" collapsed="false">
      <c r="J37" s="15"/>
    </row>
    <row r="38" customFormat="false" ht="15" hidden="false" customHeight="false" outlineLevel="0" collapsed="false">
      <c r="J38" s="15"/>
    </row>
    <row r="39" customFormat="false" ht="15" hidden="false" customHeight="false" outlineLevel="0" collapsed="false">
      <c r="J39" s="15"/>
    </row>
    <row r="40" customFormat="false" ht="15" hidden="false" customHeight="fals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121</v>
      </c>
      <c r="C2" s="2"/>
      <c r="D2" s="2"/>
      <c r="E2" s="2"/>
      <c r="F2" s="2"/>
    </row>
    <row r="4" customFormat="false" ht="15" hidden="false" customHeight="false" outlineLevel="0" collapsed="false">
      <c r="B4" s="16" t="s">
        <v>122</v>
      </c>
      <c r="C4" s="16" t="s">
        <v>123</v>
      </c>
      <c r="D4" s="16" t="s">
        <v>11</v>
      </c>
      <c r="E4" s="16" t="s">
        <v>124</v>
      </c>
      <c r="F4" s="16" t="s">
        <v>125</v>
      </c>
    </row>
    <row r="5" customFormat="false" ht="15" hidden="false" customHeight="false" outlineLevel="0" collapsed="false">
      <c r="B5" s="1" t="s">
        <v>126</v>
      </c>
      <c r="C5" s="17" t="n">
        <v>600</v>
      </c>
      <c r="D5" s="17" t="n">
        <v>600</v>
      </c>
      <c r="E5" s="18" t="n">
        <f aca="false">IF(Cover!$C$9="Downside",D5,C5)</f>
        <v>600</v>
      </c>
      <c r="F5" s="15" t="s">
        <v>127</v>
      </c>
    </row>
    <row r="6" customFormat="false" ht="15" hidden="false" customHeight="false" outlineLevel="0" collapsed="false">
      <c r="B6" s="1" t="s">
        <v>128</v>
      </c>
      <c r="C6" s="19" t="n">
        <v>0.2</v>
      </c>
      <c r="D6" s="20" t="n">
        <v>0.02</v>
      </c>
      <c r="E6" s="21" t="n">
        <f aca="false">IF(Cover!$C$9="Downside",D6,C6)</f>
        <v>0.02</v>
      </c>
      <c r="F6" s="15" t="s">
        <v>129</v>
      </c>
    </row>
    <row r="7" customFormat="false" ht="15" hidden="false" customHeight="false" outlineLevel="0" collapsed="false">
      <c r="B7" s="1" t="s">
        <v>130</v>
      </c>
      <c r="C7" s="19" t="n">
        <v>0.06</v>
      </c>
      <c r="D7" s="20" t="n">
        <v>-0.291</v>
      </c>
      <c r="E7" s="21" t="n">
        <f aca="false">IF(Cover!$C$9="Downside",D7,C7)</f>
        <v>-0.291</v>
      </c>
      <c r="F7" s="15" t="s">
        <v>129</v>
      </c>
    </row>
    <row r="8" customFormat="false" ht="15" hidden="false" customHeight="false" outlineLevel="0" collapsed="false">
      <c r="B8" s="1" t="s">
        <v>131</v>
      </c>
      <c r="C8" s="22" t="n">
        <v>0.005</v>
      </c>
      <c r="D8" s="22" t="n">
        <v>-0.003</v>
      </c>
      <c r="E8" s="23" t="n">
        <f aca="false">IF(Cover!$C$9="Downside",D8,C8)</f>
        <v>-0.003</v>
      </c>
      <c r="F8" s="15" t="s">
        <v>132</v>
      </c>
    </row>
    <row r="9" customFormat="false" ht="15" hidden="false" customHeight="false" outlineLevel="0" collapsed="false">
      <c r="B9" s="1" t="s">
        <v>133</v>
      </c>
      <c r="C9" s="19" t="n">
        <v>0.025</v>
      </c>
      <c r="D9" s="19" t="n">
        <v>0.025</v>
      </c>
      <c r="E9" s="21" t="n">
        <f aca="false">IF(Cover!$C$9="Downside",D9,C9)</f>
        <v>0.025</v>
      </c>
      <c r="F9" s="15" t="s">
        <v>129</v>
      </c>
    </row>
    <row r="10" customFormat="false" ht="15" hidden="false" customHeight="false" outlineLevel="0" collapsed="false">
      <c r="B10" s="1" t="s">
        <v>134</v>
      </c>
      <c r="C10" s="19" t="n">
        <v>0.035</v>
      </c>
      <c r="D10" s="19" t="n">
        <v>0.045</v>
      </c>
      <c r="E10" s="21" t="n">
        <f aca="false">IF(Cover!$C$9="Downside",D10,C10)</f>
        <v>0.045</v>
      </c>
      <c r="F10" s="15" t="s">
        <v>129</v>
      </c>
    </row>
    <row r="11" customFormat="false" ht="15" hidden="false" customHeight="false" outlineLevel="0" collapsed="false">
      <c r="B11" s="1" t="s">
        <v>135</v>
      </c>
      <c r="C11" s="19" t="n">
        <v>0.08</v>
      </c>
      <c r="D11" s="19" t="n">
        <v>0.1</v>
      </c>
      <c r="E11" s="21" t="n">
        <f aca="false">IF(Cover!$C$9="Downside",D11,C11)</f>
        <v>0.1</v>
      </c>
      <c r="F11" s="15" t="s">
        <v>129</v>
      </c>
    </row>
    <row r="12" customFormat="false" ht="15" hidden="false" customHeight="false" outlineLevel="0" collapsed="false">
      <c r="B12" s="1" t="s">
        <v>136</v>
      </c>
      <c r="C12" s="19" t="n">
        <v>0.25</v>
      </c>
      <c r="D12" s="19" t="n">
        <v>0.2</v>
      </c>
      <c r="E12" s="21" t="n">
        <f aca="false">IF(Cover!$C$9="Downside",D12,C12)</f>
        <v>0.2</v>
      </c>
      <c r="F12" s="15" t="s">
        <v>129</v>
      </c>
    </row>
    <row r="13" customFormat="false" ht="15" hidden="false" customHeight="false" outlineLevel="0" collapsed="false">
      <c r="B13" s="1" t="s">
        <v>137</v>
      </c>
      <c r="C13" s="24" t="n">
        <v>10</v>
      </c>
      <c r="D13" s="24" t="n">
        <v>9</v>
      </c>
      <c r="E13" s="25" t="n">
        <f aca="false">IF(Cover!$C$9="Downside",D13,C13)</f>
        <v>9</v>
      </c>
      <c r="F13" s="15" t="s">
        <v>138</v>
      </c>
    </row>
    <row r="14" customFormat="false" ht="15" hidden="false" customHeight="false" outlineLevel="0" collapsed="false">
      <c r="B14" s="1" t="s">
        <v>139</v>
      </c>
      <c r="C14" s="19" t="n">
        <v>0.02</v>
      </c>
      <c r="D14" s="19" t="n">
        <v>0.025</v>
      </c>
      <c r="E14" s="21" t="n">
        <f aca="false">IF(Cover!$C$9="Downside",D14,C14)</f>
        <v>0.025</v>
      </c>
      <c r="F14" s="15" t="s">
        <v>129</v>
      </c>
    </row>
    <row r="15" customFormat="false" ht="15" hidden="false" customHeight="false" outlineLevel="0" collapsed="false">
      <c r="B15" s="1" t="s">
        <v>140</v>
      </c>
      <c r="C15" s="17" t="n">
        <v>100</v>
      </c>
      <c r="D15" s="17" t="n">
        <v>100</v>
      </c>
      <c r="E15" s="18" t="n">
        <f aca="false">IF(Cover!$C$9="Downside",D15,C15)</f>
        <v>100</v>
      </c>
      <c r="F15" s="15" t="s">
        <v>127</v>
      </c>
    </row>
    <row r="16" customFormat="false" ht="15" hidden="false" customHeight="false" outlineLevel="0" collapsed="false">
      <c r="B16" s="1" t="s">
        <v>141</v>
      </c>
      <c r="C16" s="17" t="n">
        <v>20</v>
      </c>
      <c r="D16" s="17" t="n">
        <v>25</v>
      </c>
      <c r="E16" s="18" t="n">
        <f aca="false">IF(Cover!$C$9="Downside",D16,C16)</f>
        <v>25</v>
      </c>
      <c r="F16" s="15" t="s">
        <v>127</v>
      </c>
    </row>
    <row r="17" customFormat="false" ht="15" hidden="false" customHeight="false" outlineLevel="0" collapsed="false">
      <c r="B17" s="1" t="s">
        <v>142</v>
      </c>
      <c r="C17" s="17" t="n">
        <v>75</v>
      </c>
      <c r="D17" s="17" t="n">
        <v>75</v>
      </c>
      <c r="E17" s="18" t="n">
        <f aca="false">IF(Cover!$C$9="Downside",D17,C17)</f>
        <v>75</v>
      </c>
      <c r="F17" s="15" t="s">
        <v>127</v>
      </c>
    </row>
    <row r="18" customFormat="false" ht="15" hidden="false" customHeight="false" outlineLevel="0" collapsed="false">
      <c r="B18" s="1" t="s">
        <v>143</v>
      </c>
      <c r="C18" s="22" t="n">
        <v>0.09</v>
      </c>
      <c r="D18" s="22" t="n">
        <v>0.115</v>
      </c>
      <c r="E18" s="23" t="n">
        <f aca="false">IF(Cover!$C$9="Downside",D18,C18)</f>
        <v>0.115</v>
      </c>
      <c r="F18" s="15" t="s">
        <v>129</v>
      </c>
    </row>
    <row r="19" customFormat="false" ht="15" hidden="false" customHeight="false" outlineLevel="0" collapsed="false">
      <c r="B19" s="1" t="s">
        <v>144</v>
      </c>
      <c r="C19" s="24" t="n">
        <v>4</v>
      </c>
      <c r="D19" s="24" t="n">
        <v>3.5</v>
      </c>
      <c r="E19" s="25" t="n">
        <f aca="false">IF(Cover!$C$9="Downside",D19,C19)</f>
        <v>3.5</v>
      </c>
      <c r="F19" s="15" t="s">
        <v>145</v>
      </c>
    </row>
    <row r="20" customFormat="false" ht="15" hidden="false" customHeight="false" outlineLevel="0" collapsed="false">
      <c r="B20" s="1" t="s">
        <v>146</v>
      </c>
      <c r="C20" s="22" t="n">
        <v>0.085</v>
      </c>
      <c r="D20" s="22" t="n">
        <v>0.105</v>
      </c>
      <c r="E20" s="23" t="n">
        <f aca="false">IF(Cover!$C$9="Downside",D20,C20)</f>
        <v>0.105</v>
      </c>
      <c r="F20" s="15" t="s">
        <v>129</v>
      </c>
    </row>
    <row r="21" customFormat="false" ht="15" hidden="false" customHeight="false" outlineLevel="0" collapsed="false">
      <c r="B21" s="1" t="s">
        <v>147</v>
      </c>
      <c r="C21" s="19" t="n">
        <v>0.01</v>
      </c>
      <c r="D21" s="19" t="n">
        <v>0.01</v>
      </c>
      <c r="E21" s="21" t="n">
        <f aca="false">IF(Cover!$C$9="Downside",D21,C21)</f>
        <v>0.01</v>
      </c>
      <c r="F21" s="15" t="s">
        <v>148</v>
      </c>
    </row>
    <row r="22" customFormat="false" ht="15" hidden="false" customHeight="false" outlineLevel="0" collapsed="false">
      <c r="B22" s="1" t="s">
        <v>149</v>
      </c>
      <c r="C22" s="24" t="n">
        <v>1.5</v>
      </c>
      <c r="D22" s="24" t="n">
        <v>1</v>
      </c>
      <c r="E22" s="25" t="n">
        <f aca="false">IF(Cover!$C$9="Downside",D22,C22)</f>
        <v>1</v>
      </c>
      <c r="F22" s="15" t="s">
        <v>145</v>
      </c>
    </row>
    <row r="23" customFormat="false" ht="15" hidden="false" customHeight="false" outlineLevel="0" collapsed="false">
      <c r="B23" s="1" t="s">
        <v>150</v>
      </c>
      <c r="C23" s="22" t="n">
        <v>0.11</v>
      </c>
      <c r="D23" s="22" t="n">
        <v>0.13</v>
      </c>
      <c r="E23" s="23" t="n">
        <f aca="false">IF(Cover!$C$9="Downside",D23,C23)</f>
        <v>0.13</v>
      </c>
      <c r="F23" s="15" t="s">
        <v>129</v>
      </c>
    </row>
    <row r="24" customFormat="false" ht="15" hidden="false" customHeight="false" outlineLevel="0" collapsed="false">
      <c r="B24" s="1" t="s">
        <v>151</v>
      </c>
      <c r="C24" s="22" t="n">
        <v>0.03</v>
      </c>
      <c r="D24" s="22" t="n">
        <v>0.05</v>
      </c>
      <c r="E24" s="23" t="n">
        <f aca="false">IF(Cover!$C$9="Downside",D24,C24)</f>
        <v>0.05</v>
      </c>
      <c r="F24" s="15" t="s">
        <v>129</v>
      </c>
    </row>
    <row r="25" customFormat="false" ht="15" hidden="false" customHeight="false" outlineLevel="0" collapsed="false">
      <c r="B25" s="1" t="s">
        <v>152</v>
      </c>
      <c r="C25" s="19" t="n">
        <v>0.75</v>
      </c>
      <c r="D25" s="19" t="n">
        <v>0.5</v>
      </c>
      <c r="E25" s="21" t="n">
        <f aca="false">IF(Cover!$C$9="Downside",D25,C25)</f>
        <v>0.5</v>
      </c>
      <c r="F25" s="15" t="s">
        <v>153</v>
      </c>
    </row>
    <row r="26" customFormat="false" ht="15" hidden="false" customHeight="false" outlineLevel="0" collapsed="false">
      <c r="B26" s="1" t="s">
        <v>154</v>
      </c>
      <c r="C26" s="24" t="n">
        <v>7</v>
      </c>
      <c r="D26" s="24" t="n">
        <v>6.5</v>
      </c>
      <c r="E26" s="25" t="n">
        <f aca="false">IF(Cover!$C$9="Downside",D26,C26)</f>
        <v>6.5</v>
      </c>
      <c r="F26" s="15" t="s">
        <v>138</v>
      </c>
    </row>
    <row r="27" customFormat="false" ht="15" hidden="false" customHeight="false" outlineLevel="0" collapsed="false">
      <c r="B27" s="1" t="s">
        <v>155</v>
      </c>
      <c r="C27" s="24" t="n">
        <v>1.75</v>
      </c>
      <c r="D27" s="24" t="n">
        <v>1.5</v>
      </c>
      <c r="E27" s="25" t="n">
        <f aca="false">IF(Cover!$C$9="Downside",D27,C27)</f>
        <v>1.5</v>
      </c>
      <c r="F27" s="15" t="s">
        <v>138</v>
      </c>
    </row>
    <row r="28" customFormat="false" ht="15" hidden="false" customHeight="false" outlineLevel="0" collapsed="false">
      <c r="B28" s="1" t="s">
        <v>156</v>
      </c>
      <c r="C28" s="24" t="n">
        <v>10</v>
      </c>
      <c r="D28" s="24" t="n">
        <v>8</v>
      </c>
      <c r="E28" s="25" t="n">
        <f aca="false">IF(Cover!$C$9="Downside",D28,C28)</f>
        <v>8</v>
      </c>
      <c r="F28" s="15" t="s">
        <v>138</v>
      </c>
    </row>
    <row r="29" customFormat="false" ht="15" hidden="false" customHeight="false" outlineLevel="0" collapsed="false">
      <c r="B29" s="1" t="s">
        <v>157</v>
      </c>
      <c r="C29" s="26" t="n">
        <v>5</v>
      </c>
      <c r="D29" s="26" t="n">
        <v>5</v>
      </c>
      <c r="E29" s="27" t="n">
        <f aca="false">IF(Cover!$C$9="Downside",D29,C29)</f>
        <v>5</v>
      </c>
      <c r="F29" s="15" t="s">
        <v>158</v>
      </c>
    </row>
    <row r="30" customFormat="false" ht="15" hidden="false" customHeight="false" outlineLevel="0" collapsed="false">
      <c r="B30" s="1" t="s">
        <v>159</v>
      </c>
      <c r="C30" s="19" t="n">
        <v>0.1</v>
      </c>
      <c r="D30" s="19" t="n">
        <v>0.1</v>
      </c>
      <c r="E30" s="21" t="n">
        <f aca="false">IF(Cover!$C$9="Downside",D30,C30)</f>
        <v>0.1</v>
      </c>
      <c r="F30" s="15" t="s">
        <v>160</v>
      </c>
    </row>
    <row r="31" customFormat="false" ht="15" hidden="false" customHeight="false" outlineLevel="0" collapsed="false">
      <c r="B31" s="1" t="s">
        <v>161</v>
      </c>
      <c r="C31" s="19" t="n">
        <v>0.08</v>
      </c>
      <c r="D31" s="19" t="n">
        <v>0.08</v>
      </c>
      <c r="E31" s="21" t="n">
        <f aca="false">IF(Cover!$C$9="Downside",D31,C31)</f>
        <v>0.08</v>
      </c>
      <c r="F31" s="15" t="s">
        <v>129</v>
      </c>
    </row>
    <row r="32" customFormat="false" ht="15" hidden="false" customHeight="false" outlineLevel="0" collapsed="false">
      <c r="B32" s="1" t="s">
        <v>162</v>
      </c>
      <c r="C32" s="19" t="n">
        <v>0.2</v>
      </c>
      <c r="D32" s="19" t="n">
        <v>0.2</v>
      </c>
      <c r="E32" s="21" t="n">
        <f aca="false">IF(Cover!$C$9="Downside",D32,C32)</f>
        <v>0.2</v>
      </c>
      <c r="F32" s="15" t="s">
        <v>163</v>
      </c>
    </row>
    <row r="33" customFormat="false" ht="15" hidden="false" customHeight="false" outlineLevel="0" collapsed="false">
      <c r="B33" s="1" t="s">
        <v>164</v>
      </c>
      <c r="C33" s="22" t="n">
        <v>0.00375</v>
      </c>
      <c r="D33" s="22" t="n">
        <v>0.005</v>
      </c>
      <c r="E33" s="23" t="n">
        <f aca="false">IF(Cover!$C$9="Downside",D33,C33)</f>
        <v>0.005</v>
      </c>
      <c r="F33" s="15" t="s">
        <v>165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166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167</v>
      </c>
      <c r="C4" s="16" t="s">
        <v>168</v>
      </c>
      <c r="D4" s="16"/>
      <c r="E4" s="16" t="s">
        <v>169</v>
      </c>
      <c r="F4" s="16" t="s">
        <v>168</v>
      </c>
      <c r="G4" s="16"/>
    </row>
    <row r="5" customFormat="false" ht="15" hidden="false" customHeight="false" outlineLevel="0" collapsed="false">
      <c r="B5" s="1" t="s">
        <v>170</v>
      </c>
      <c r="C5" s="18" t="n">
        <f aca="false">Assumptions!E5*Assumptions!E6*Assumptions!E13</f>
        <v>108</v>
      </c>
      <c r="E5" s="15" t="s">
        <v>171</v>
      </c>
      <c r="F5" s="17" t="n">
        <v>0</v>
      </c>
    </row>
    <row r="6" customFormat="false" ht="15" hidden="false" customHeight="false" outlineLevel="0" collapsed="false">
      <c r="B6" s="1" t="s">
        <v>172</v>
      </c>
      <c r="C6" s="18" t="n">
        <f aca="false">Assumptions!E15</f>
        <v>100</v>
      </c>
      <c r="E6" s="15" t="s">
        <v>173</v>
      </c>
      <c r="F6" s="18" t="n">
        <f aca="false">Assumptions!E5*Assumptions!E6*Assumptions!E19</f>
        <v>42</v>
      </c>
    </row>
    <row r="7" customFormat="false" ht="15" hidden="false" customHeight="false" outlineLevel="0" collapsed="false">
      <c r="B7" s="1" t="s">
        <v>174</v>
      </c>
      <c r="C7" s="18" t="n">
        <f aca="false">C5*Assumptions!E14</f>
        <v>2.7</v>
      </c>
      <c r="E7" s="15" t="s">
        <v>175</v>
      </c>
      <c r="F7" s="18" t="n">
        <f aca="false">Assumptions!E5*Assumptions!E6*Assumptions!E22</f>
        <v>12</v>
      </c>
    </row>
    <row r="8" customFormat="false" ht="15" hidden="false" customHeight="false" outlineLevel="0" collapsed="false">
      <c r="B8" s="1" t="s">
        <v>176</v>
      </c>
      <c r="C8" s="18" t="n">
        <f aca="false">Assumptions!E16</f>
        <v>25</v>
      </c>
      <c r="E8" s="15" t="s">
        <v>177</v>
      </c>
      <c r="F8" s="18" t="n">
        <f aca="false">C9-SUM(F5:F7)</f>
        <v>181.7</v>
      </c>
    </row>
    <row r="9" customFormat="false" ht="15" hidden="false" customHeight="false" outlineLevel="0" collapsed="false">
      <c r="B9" s="28" t="s">
        <v>178</v>
      </c>
      <c r="C9" s="29" t="n">
        <f aca="false">SUM(C5:C8)</f>
        <v>235.7</v>
      </c>
      <c r="E9" s="28" t="s">
        <v>179</v>
      </c>
      <c r="F9" s="29" t="n">
        <f aca="false">SUM(F5:F8)</f>
        <v>235.7</v>
      </c>
    </row>
    <row r="10" customFormat="false" ht="15" hidden="false" customHeight="false" outlineLevel="0" collapsed="false">
      <c r="E10" s="1" t="s">
        <v>180</v>
      </c>
      <c r="F10" s="18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181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182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190</v>
      </c>
    </row>
    <row r="5" customFormat="false" ht="15" hidden="false" customHeight="false" outlineLevel="0" collapsed="false">
      <c r="B5" s="1" t="s">
        <v>191</v>
      </c>
      <c r="C5" s="18" t="n">
        <f aca="false">Assumptions!E5</f>
        <v>600</v>
      </c>
      <c r="D5" s="18" t="n">
        <f aca="false">C5*(1+Assumptions!$E$7)</f>
        <v>425.4</v>
      </c>
      <c r="E5" s="18" t="n">
        <f aca="false">D5*(1+Assumptions!$E$7)</f>
        <v>301.6086</v>
      </c>
      <c r="F5" s="18" t="n">
        <f aca="false">E5*(1+Assumptions!$E$7)</f>
        <v>213.8404974</v>
      </c>
      <c r="G5" s="18" t="n">
        <f aca="false">F5*(1+Assumptions!$E$7)</f>
        <v>151.6129126566</v>
      </c>
      <c r="H5" s="18" t="n">
        <f aca="false">G5*(1+Assumptions!$E$7)</f>
        <v>107.493555073529</v>
      </c>
      <c r="I5" s="18" t="n">
        <f aca="false">H5*(1+Assumptions!$E$7)</f>
        <v>76.2129305471324</v>
      </c>
      <c r="J5" s="18" t="n">
        <f aca="false">I5*(1+Assumptions!$E$7)</f>
        <v>54.0349677579169</v>
      </c>
    </row>
    <row r="6" customFormat="false" ht="15" hidden="false" customHeight="false" outlineLevel="0" collapsed="false">
      <c r="B6" s="1" t="s">
        <v>192</v>
      </c>
      <c r="D6" s="21" t="n">
        <f aca="false">IFERROR(D5/C5-1,0)</f>
        <v>-0.291</v>
      </c>
      <c r="E6" s="21" t="n">
        <f aca="false">IFERROR(E5/D5-1,0)</f>
        <v>-0.291</v>
      </c>
      <c r="F6" s="21" t="n">
        <f aca="false">IFERROR(F5/E5-1,0)</f>
        <v>-0.291</v>
      </c>
      <c r="G6" s="21" t="n">
        <f aca="false">IFERROR(G5/F5-1,0)</f>
        <v>-0.291</v>
      </c>
      <c r="H6" s="21" t="n">
        <f aca="false">IFERROR(H5/G5-1,0)</f>
        <v>-0.291</v>
      </c>
      <c r="I6" s="21" t="n">
        <f aca="false">IFERROR(I5/H5-1,0)</f>
        <v>-0.291</v>
      </c>
      <c r="J6" s="21" t="n">
        <f aca="false">IFERROR(J5/I5-1,0)</f>
        <v>-0.291</v>
      </c>
    </row>
    <row r="7" customFormat="false" ht="15" hidden="false" customHeight="false" outlineLevel="0" collapsed="false">
      <c r="B7" s="1" t="s">
        <v>193</v>
      </c>
      <c r="C7" s="21" t="n">
        <f aca="false">Assumptions!E6</f>
        <v>0.02</v>
      </c>
      <c r="D7" s="21" t="n">
        <f aca="false">MAX(0,MIN(0.6,C7+Assumptions!$E$8))</f>
        <v>0.017</v>
      </c>
      <c r="E7" s="21" t="n">
        <f aca="false">MAX(0,MIN(0.6,D7+Assumptions!$E$8))</f>
        <v>0.014</v>
      </c>
      <c r="F7" s="21" t="n">
        <f aca="false">MAX(0,MIN(0.6,E7+Assumptions!$E$8))</f>
        <v>0.011</v>
      </c>
      <c r="G7" s="21" t="n">
        <f aca="false">MAX(0,MIN(0.6,F7+Assumptions!$E$8))</f>
        <v>0.008</v>
      </c>
      <c r="H7" s="21" t="n">
        <f aca="false">MAX(0,MIN(0.6,G7+Assumptions!$E$8))</f>
        <v>0.005</v>
      </c>
      <c r="I7" s="21" t="n">
        <f aca="false">MAX(0,MIN(0.6,H7+Assumptions!$E$8))</f>
        <v>0.002</v>
      </c>
      <c r="J7" s="21" t="n">
        <f aca="false">MAX(0,MIN(0.6,I7+Assumptions!$E$8))</f>
        <v>0</v>
      </c>
    </row>
    <row r="8" customFormat="false" ht="15" hidden="false" customHeight="false" outlineLevel="0" collapsed="false">
      <c r="B8" s="28" t="s">
        <v>194</v>
      </c>
      <c r="C8" s="29" t="n">
        <f aca="false">C5*C7</f>
        <v>12</v>
      </c>
      <c r="D8" s="29" t="n">
        <f aca="false">D5*D7</f>
        <v>7.2318</v>
      </c>
      <c r="E8" s="29" t="n">
        <f aca="false">E5*E7</f>
        <v>4.2225204</v>
      </c>
      <c r="F8" s="29" t="n">
        <f aca="false">F5*F7</f>
        <v>2.3522454714</v>
      </c>
      <c r="G8" s="29" t="n">
        <f aca="false">G5*G7</f>
        <v>1.2129033012528</v>
      </c>
      <c r="H8" s="29" t="n">
        <f aca="false">H5*H7</f>
        <v>0.537467775367648</v>
      </c>
      <c r="I8" s="29" t="n">
        <f aca="false">I5*I7</f>
        <v>0.152425861094265</v>
      </c>
      <c r="J8" s="29" t="n">
        <f aca="false">J5*J7</f>
        <v>0</v>
      </c>
    </row>
    <row r="9" customFormat="false" ht="15" hidden="false" customHeight="false" outlineLevel="0" collapsed="false">
      <c r="B9" s="1" t="s">
        <v>195</v>
      </c>
      <c r="C9" s="18" t="n">
        <f aca="false">C5*Assumptions!E9</f>
        <v>15</v>
      </c>
      <c r="D9" s="18" t="n">
        <f aca="false">D5*Assumptions!$E$9</f>
        <v>10.635</v>
      </c>
      <c r="E9" s="18" t="n">
        <f aca="false">E5*Assumptions!$E$9</f>
        <v>7.540215</v>
      </c>
      <c r="F9" s="18" t="n">
        <f aca="false">F5*Assumptions!$E$9</f>
        <v>5.346012435</v>
      </c>
      <c r="G9" s="18" t="n">
        <f aca="false">G5*Assumptions!$E$9</f>
        <v>3.790322816415</v>
      </c>
      <c r="H9" s="18" t="n">
        <f aca="false">H5*Assumptions!$E$9</f>
        <v>2.68733887683824</v>
      </c>
      <c r="I9" s="18" t="n">
        <f aca="false">I5*Assumptions!$E$9</f>
        <v>1.90532326367831</v>
      </c>
      <c r="J9" s="18" t="n">
        <f aca="false">J5*Assumptions!$E$9</f>
        <v>1.35087419394792</v>
      </c>
    </row>
    <row r="10" customFormat="false" ht="15" hidden="false" customHeight="false" outlineLevel="0" collapsed="false">
      <c r="B10" s="1" t="s">
        <v>196</v>
      </c>
      <c r="C10" s="18" t="n">
        <f aca="false">C8-C9</f>
        <v>-3</v>
      </c>
      <c r="D10" s="18" t="n">
        <f aca="false">D8-D9</f>
        <v>-3.4032</v>
      </c>
      <c r="E10" s="18" t="n">
        <f aca="false">E8-E9</f>
        <v>-3.3176946</v>
      </c>
      <c r="F10" s="18" t="n">
        <f aca="false">F8-F9</f>
        <v>-2.9937669636</v>
      </c>
      <c r="G10" s="18" t="n">
        <f aca="false">G8-G9</f>
        <v>-2.5774195151622</v>
      </c>
      <c r="H10" s="18" t="n">
        <f aca="false">H8-H9</f>
        <v>-2.14987110147059</v>
      </c>
      <c r="I10" s="18" t="n">
        <f aca="false">I8-I9</f>
        <v>-1.75289740258405</v>
      </c>
      <c r="J10" s="18" t="n">
        <f aca="false">J8-J9</f>
        <v>-1.35087419394792</v>
      </c>
    </row>
    <row r="11" customFormat="false" ht="15" hidden="false" customHeight="false" outlineLevel="0" collapsed="false">
      <c r="B11" s="1" t="s">
        <v>197</v>
      </c>
      <c r="D11" s="18" t="n">
        <f aca="false">'Debt Schedule'!D7</f>
        <v>6.345</v>
      </c>
      <c r="E11" s="18" t="n">
        <f aca="false">'Debt Schedule'!E7</f>
        <v>6.512682</v>
      </c>
      <c r="F11" s="18" t="n">
        <f aca="false">'Debt Schedule'!F7</f>
        <v>6.979856946</v>
      </c>
      <c r="G11" s="18" t="n">
        <f aca="false">'Debt Schedule'!G7</f>
        <v>7.670050541736</v>
      </c>
      <c r="H11" s="18" t="n">
        <f aca="false">'Debt Schedule'!H7</f>
        <v>8.53871197366192</v>
      </c>
      <c r="I11" s="18" t="n">
        <f aca="false">'Debt Schedule'!I7</f>
        <v>9.56253848717449</v>
      </c>
      <c r="J11" s="18" t="n">
        <f aca="false">'Debt Schedule'!J7</f>
        <v>10.7324679743363</v>
      </c>
    </row>
    <row r="12" customFormat="false" ht="15" hidden="false" customHeight="false" outlineLevel="0" collapsed="false">
      <c r="B12" s="1" t="s">
        <v>198</v>
      </c>
      <c r="D12" s="18" t="n">
        <f aca="false">D10-D11</f>
        <v>-9.7482</v>
      </c>
      <c r="E12" s="18" t="n">
        <f aca="false">E10-E11</f>
        <v>-9.8303766</v>
      </c>
      <c r="F12" s="18" t="n">
        <f aca="false">F10-F11</f>
        <v>-9.9736239096</v>
      </c>
      <c r="G12" s="18" t="n">
        <f aca="false">G10-G11</f>
        <v>-10.2474700568982</v>
      </c>
      <c r="H12" s="18" t="n">
        <f aca="false">H10-H11</f>
        <v>-10.6885830751325</v>
      </c>
      <c r="I12" s="18" t="n">
        <f aca="false">I10-I11</f>
        <v>-11.3154358897585</v>
      </c>
      <c r="J12" s="18" t="n">
        <f aca="false">J10-J11</f>
        <v>-12.0833421682842</v>
      </c>
    </row>
    <row r="13" customFormat="false" ht="15" hidden="false" customHeight="false" outlineLevel="0" collapsed="false">
      <c r="B13" s="1" t="s">
        <v>199</v>
      </c>
      <c r="D13" s="18" t="n">
        <f aca="false">MAX(0,D12*Assumptions!$E$12)</f>
        <v>0</v>
      </c>
      <c r="E13" s="18" t="n">
        <f aca="false">MAX(0,E12*Assumptions!$E$12)</f>
        <v>0</v>
      </c>
      <c r="F13" s="18" t="n">
        <f aca="false">MAX(0,F12*Assumptions!$E$12)</f>
        <v>0</v>
      </c>
      <c r="G13" s="18" t="n">
        <f aca="false">MAX(0,G12*Assumptions!$E$12)</f>
        <v>0</v>
      </c>
      <c r="H13" s="18" t="n">
        <f aca="false">MAX(0,H12*Assumptions!$E$12)</f>
        <v>0</v>
      </c>
      <c r="I13" s="18" t="n">
        <f aca="false">MAX(0,I12*Assumptions!$E$12)</f>
        <v>0</v>
      </c>
      <c r="J13" s="18" t="n">
        <f aca="false">MAX(0,J12*Assumptions!$E$12)</f>
        <v>0</v>
      </c>
    </row>
    <row r="14" customFormat="false" ht="15" hidden="false" customHeight="false" outlineLevel="0" collapsed="false">
      <c r="B14" s="1" t="s">
        <v>200</v>
      </c>
      <c r="D14" s="18" t="n">
        <f aca="false">D12-D13</f>
        <v>-9.7482</v>
      </c>
      <c r="E14" s="18" t="n">
        <f aca="false">E12-E13</f>
        <v>-9.8303766</v>
      </c>
      <c r="F14" s="18" t="n">
        <f aca="false">F12-F13</f>
        <v>-9.9736239096</v>
      </c>
      <c r="G14" s="18" t="n">
        <f aca="false">G12-G13</f>
        <v>-10.2474700568982</v>
      </c>
      <c r="H14" s="18" t="n">
        <f aca="false">H12-H13</f>
        <v>-10.6885830751325</v>
      </c>
      <c r="I14" s="18" t="n">
        <f aca="false">I12-I13</f>
        <v>-11.3154358897585</v>
      </c>
      <c r="J14" s="18" t="n">
        <f aca="false">J12-J13</f>
        <v>-12.0833421682842</v>
      </c>
    </row>
    <row r="15" customFormat="false" ht="15" hidden="false" customHeight="false" outlineLevel="0" collapsed="false">
      <c r="B15" s="1" t="s">
        <v>201</v>
      </c>
      <c r="D15" s="18" t="n">
        <f aca="false">D5*Assumptions!$E$10</f>
        <v>19.143</v>
      </c>
      <c r="E15" s="18" t="n">
        <f aca="false">E5*Assumptions!$E$10</f>
        <v>13.572387</v>
      </c>
      <c r="F15" s="18" t="n">
        <f aca="false">F5*Assumptions!$E$10</f>
        <v>9.622822383</v>
      </c>
      <c r="G15" s="18" t="n">
        <f aca="false">G5*Assumptions!$E$10</f>
        <v>6.822581069547</v>
      </c>
      <c r="H15" s="18" t="n">
        <f aca="false">H5*Assumptions!$E$10</f>
        <v>4.83720997830883</v>
      </c>
      <c r="I15" s="18" t="n">
        <f aca="false">I5*Assumptions!$E$10</f>
        <v>3.42958187462096</v>
      </c>
      <c r="J15" s="18" t="n">
        <f aca="false">J5*Assumptions!$E$10</f>
        <v>2.43157354910626</v>
      </c>
    </row>
    <row r="16" customFormat="false" ht="15" hidden="false" customHeight="false" outlineLevel="0" collapsed="false">
      <c r="B16" s="1" t="s">
        <v>202</v>
      </c>
      <c r="C16" s="18" t="n">
        <f aca="false">C5*Assumptions!E11</f>
        <v>60</v>
      </c>
      <c r="D16" s="18" t="n">
        <f aca="false">D5*Assumptions!$E$11</f>
        <v>42.54</v>
      </c>
      <c r="E16" s="18" t="n">
        <f aca="false">E5*Assumptions!$E$11</f>
        <v>30.16086</v>
      </c>
      <c r="F16" s="18" t="n">
        <f aca="false">F5*Assumptions!$E$11</f>
        <v>21.38404974</v>
      </c>
      <c r="G16" s="18" t="n">
        <f aca="false">G5*Assumptions!$E$11</f>
        <v>15.16129126566</v>
      </c>
      <c r="H16" s="18" t="n">
        <f aca="false">H5*Assumptions!$E$11</f>
        <v>10.7493555073529</v>
      </c>
      <c r="I16" s="18" t="n">
        <f aca="false">I5*Assumptions!$E$11</f>
        <v>7.62129305471324</v>
      </c>
      <c r="J16" s="18" t="n">
        <f aca="false">J5*Assumptions!$E$11</f>
        <v>5.40349677579169</v>
      </c>
    </row>
    <row r="17" customFormat="false" ht="15" hidden="false" customHeight="false" outlineLevel="0" collapsed="false">
      <c r="B17" s="1" t="s">
        <v>203</v>
      </c>
      <c r="D17" s="18" t="n">
        <f aca="false">D16-C16</f>
        <v>-17.46</v>
      </c>
      <c r="E17" s="18" t="n">
        <f aca="false">E16-D16</f>
        <v>-12.37914</v>
      </c>
      <c r="F17" s="18" t="n">
        <f aca="false">F16-E16</f>
        <v>-8.77681026</v>
      </c>
      <c r="G17" s="18" t="n">
        <f aca="false">G16-F16</f>
        <v>-6.22275847434</v>
      </c>
      <c r="H17" s="18" t="n">
        <f aca="false">H16-G16</f>
        <v>-4.41193575830706</v>
      </c>
      <c r="I17" s="18" t="n">
        <f aca="false">I16-H16</f>
        <v>-3.12806245263971</v>
      </c>
      <c r="J17" s="18" t="n">
        <f aca="false">J16-I16</f>
        <v>-2.21779627892155</v>
      </c>
    </row>
    <row r="18" customFormat="false" ht="15" hidden="false" customHeight="false" outlineLevel="0" collapsed="false">
      <c r="B18" s="28" t="s">
        <v>204</v>
      </c>
      <c r="C18" s="29"/>
      <c r="D18" s="29" t="n">
        <f aca="false">D14+D9-D15-D17</f>
        <v>-0.796200000000006</v>
      </c>
      <c r="E18" s="29" t="n">
        <f aca="false">E14+E9-E15-E17</f>
        <v>-3.4834086</v>
      </c>
      <c r="F18" s="29" t="n">
        <f aca="false">F14+F9-F15-F17</f>
        <v>-5.4736235976</v>
      </c>
      <c r="G18" s="29" t="n">
        <f aca="false">G14+G9-G15-G17</f>
        <v>-7.05696983569021</v>
      </c>
      <c r="H18" s="29" t="n">
        <f aca="false">H14+H9-H15-H17</f>
        <v>-8.42651841829604</v>
      </c>
      <c r="I18" s="29" t="n">
        <f aca="false">I14+I9-I15-I17</f>
        <v>-9.71163204806148</v>
      </c>
      <c r="J18" s="29" t="n">
        <f aca="false">J14+J9-J15-J17</f>
        <v>-10.946245244521</v>
      </c>
    </row>
    <row r="19" customFormat="false" ht="15" hidden="false" customHeight="false" outlineLevel="0" collapsed="false">
      <c r="B19" s="28" t="s">
        <v>205</v>
      </c>
      <c r="C19" s="29"/>
      <c r="D19" s="29" t="n">
        <f aca="false">D8-D13-D15-D17</f>
        <v>5.54879999999999</v>
      </c>
      <c r="E19" s="29" t="n">
        <f aca="false">E8-E13-E15-E17</f>
        <v>3.02927339999999</v>
      </c>
      <c r="F19" s="29" t="n">
        <f aca="false">F8-F13-F15-F17</f>
        <v>1.5062333484</v>
      </c>
      <c r="G19" s="29" t="n">
        <f aca="false">G8-G13-G15-G17</f>
        <v>0.613080706045797</v>
      </c>
      <c r="H19" s="29" t="n">
        <f aca="false">H8-H13-H15-H17</f>
        <v>0.112193555365883</v>
      </c>
      <c r="I19" s="29" t="n">
        <f aca="false">I8-I13-I15-I17</f>
        <v>-0.149093560886985</v>
      </c>
      <c r="J19" s="29" t="n">
        <f aca="false">J8-J13-J15-J17</f>
        <v>-0.213777270184707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182</v>
      </c>
      <c r="C4" s="16" t="s">
        <v>207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190</v>
      </c>
    </row>
    <row r="5" customFormat="false" ht="15" hidden="false" customHeight="false" outlineLevel="0" collapsed="false">
      <c r="B5" s="1" t="s">
        <v>208</v>
      </c>
      <c r="C5" s="18" t="n">
        <f aca="false">Assumptions!E16</f>
        <v>25</v>
      </c>
      <c r="D5" s="18" t="n">
        <f aca="false">C13</f>
        <v>25</v>
      </c>
      <c r="E5" s="18" t="n">
        <f aca="false">D13</f>
        <v>25</v>
      </c>
      <c r="F5" s="18" t="n">
        <f aca="false">E13</f>
        <v>25</v>
      </c>
      <c r="G5" s="18" t="n">
        <f aca="false">F13</f>
        <v>25</v>
      </c>
      <c r="H5" s="18" t="n">
        <f aca="false">G13</f>
        <v>25</v>
      </c>
      <c r="I5" s="18" t="n">
        <f aca="false">H13</f>
        <v>25</v>
      </c>
      <c r="J5" s="18" t="n">
        <f aca="false">I13</f>
        <v>25</v>
      </c>
    </row>
    <row r="6" customFormat="false" ht="15" hidden="false" customHeight="false" outlineLevel="0" collapsed="false">
      <c r="B6" s="1" t="s">
        <v>205</v>
      </c>
      <c r="D6" s="18" t="n">
        <f aca="false">'Operating Model'!D19</f>
        <v>5.54879999999999</v>
      </c>
      <c r="E6" s="18" t="n">
        <f aca="false">'Operating Model'!E19</f>
        <v>3.02927339999999</v>
      </c>
      <c r="F6" s="18" t="n">
        <f aca="false">'Operating Model'!F19</f>
        <v>1.5062333484</v>
      </c>
      <c r="G6" s="18" t="n">
        <f aca="false">'Operating Model'!G19</f>
        <v>0.613080706045797</v>
      </c>
      <c r="H6" s="18" t="n">
        <f aca="false">'Operating Model'!H19</f>
        <v>0.112193555365883</v>
      </c>
      <c r="I6" s="18" t="n">
        <f aca="false">'Operating Model'!I19</f>
        <v>-0.149093560886985</v>
      </c>
      <c r="J6" s="18" t="n">
        <f aca="false">'Operating Model'!J19</f>
        <v>-0.213777270184707</v>
      </c>
    </row>
    <row r="7" customFormat="false" ht="15" hidden="false" customHeight="false" outlineLevel="0" collapsed="false">
      <c r="B7" s="1" t="s">
        <v>197</v>
      </c>
      <c r="D7" s="18" t="n">
        <f aca="false">SUM(D15,D18,D23,D29)</f>
        <v>6.345</v>
      </c>
      <c r="E7" s="18" t="n">
        <f aca="false">SUM(E15,E18,E23,E29)</f>
        <v>6.512682</v>
      </c>
      <c r="F7" s="18" t="n">
        <f aca="false">SUM(F15,F18,F23,F29)</f>
        <v>6.979856946</v>
      </c>
      <c r="G7" s="18" t="n">
        <f aca="false">SUM(G15,G18,G23,G29)</f>
        <v>7.670050541736</v>
      </c>
      <c r="H7" s="18" t="n">
        <f aca="false">SUM(H15,H18,H23,H29)</f>
        <v>8.53871197366192</v>
      </c>
      <c r="I7" s="18" t="n">
        <f aca="false">SUM(I15,I18,I23,I29)</f>
        <v>9.56253848717449</v>
      </c>
      <c r="J7" s="18" t="n">
        <f aca="false">SUM(J15,J18,J23,J29)</f>
        <v>10.7324679743363</v>
      </c>
    </row>
    <row r="8" customFormat="false" ht="15" hidden="false" customHeight="false" outlineLevel="0" collapsed="false">
      <c r="B8" s="1" t="s">
        <v>209</v>
      </c>
      <c r="D8" s="18" t="n">
        <f aca="false">D19</f>
        <v>0.42</v>
      </c>
      <c r="E8" s="18" t="n">
        <f aca="false">E19</f>
        <v>0.42</v>
      </c>
      <c r="F8" s="18" t="n">
        <f aca="false">F19</f>
        <v>0.42</v>
      </c>
      <c r="G8" s="18" t="n">
        <f aca="false">G19</f>
        <v>0.42</v>
      </c>
      <c r="H8" s="18" t="n">
        <f aca="false">H19</f>
        <v>0.42</v>
      </c>
      <c r="I8" s="18" t="n">
        <f aca="false">I19</f>
        <v>0.42</v>
      </c>
      <c r="J8" s="18" t="n">
        <f aca="false">J19</f>
        <v>0.42</v>
      </c>
    </row>
    <row r="9" customFormat="false" ht="15" hidden="false" customHeight="false" outlineLevel="0" collapsed="false">
      <c r="B9" s="1" t="s">
        <v>210</v>
      </c>
      <c r="D9" s="18" t="n">
        <f aca="false">D5+D6-D7-D8</f>
        <v>23.7838</v>
      </c>
      <c r="E9" s="18" t="n">
        <f aca="false">E5+E6-E7-E8</f>
        <v>21.0965914</v>
      </c>
      <c r="F9" s="18" t="n">
        <f aca="false">F5+F6-F7-F8</f>
        <v>19.1063764024</v>
      </c>
      <c r="G9" s="18" t="n">
        <f aca="false">G5+G6-G7-G8</f>
        <v>17.5230301643098</v>
      </c>
      <c r="H9" s="18" t="n">
        <f aca="false">H5+H6-H7-H8</f>
        <v>16.153481581704</v>
      </c>
      <c r="I9" s="18" t="n">
        <f aca="false">I5+I6-I7-I8</f>
        <v>14.8683679519385</v>
      </c>
      <c r="J9" s="18" t="n">
        <f aca="false">J5+J6-J7-J8</f>
        <v>13.633754755479</v>
      </c>
    </row>
    <row r="10" customFormat="false" ht="15" hidden="false" customHeight="false" outlineLevel="0" collapsed="false">
      <c r="B10" s="1" t="s">
        <v>211</v>
      </c>
      <c r="D10" s="18" t="n">
        <f aca="false">IF(D9&lt;Assumptions!$E$16,MIN(Assumptions!$E$17-D14,Assumptions!$E$16-D9),-MIN(D14,MAX(0,D9-Assumptions!$E$16)))</f>
        <v>1.21620000000001</v>
      </c>
      <c r="E10" s="18" t="n">
        <f aca="false">IF(E9&lt;Assumptions!$E$16,MIN(Assumptions!$E$17-E14,Assumptions!$E$16-E9),-MIN(E14,MAX(0,E9-Assumptions!$E$16)))</f>
        <v>3.90340860000001</v>
      </c>
      <c r="F10" s="18" t="n">
        <f aca="false">IF(F9&lt;Assumptions!$E$16,MIN(Assumptions!$E$17-F14,Assumptions!$E$16-F9),-MIN(F14,MAX(0,F9-Assumptions!$E$16)))</f>
        <v>5.89362359760001</v>
      </c>
      <c r="G10" s="18" t="n">
        <f aca="false">IF(G9&lt;Assumptions!$E$16,MIN(Assumptions!$E$17-G14,Assumptions!$E$16-G9),-MIN(G14,MAX(0,G9-Assumptions!$E$16)))</f>
        <v>7.47696983569021</v>
      </c>
      <c r="H10" s="18" t="n">
        <f aca="false">IF(H9&lt;Assumptions!$E$16,MIN(Assumptions!$E$17-H14,Assumptions!$E$16-H9),-MIN(H14,MAX(0,H9-Assumptions!$E$16)))</f>
        <v>8.84651841829604</v>
      </c>
      <c r="I10" s="18" t="n">
        <f aca="false">IF(I9&lt;Assumptions!$E$16,MIN(Assumptions!$E$17-I14,Assumptions!$E$16-I9),-MIN(I14,MAX(0,I9-Assumptions!$E$16)))</f>
        <v>10.1316320480615</v>
      </c>
      <c r="J10" s="18" t="n">
        <f aca="false">IF(J9&lt;Assumptions!$E$16,MIN(Assumptions!$E$17-J14,Assumptions!$E$16-J9),-MIN(J14,MAX(0,J9-Assumptions!$E$16)))</f>
        <v>11.366245244521</v>
      </c>
    </row>
    <row r="11" customFormat="false" ht="15" hidden="false" customHeight="false" outlineLevel="0" collapsed="false">
      <c r="B11" s="1" t="s">
        <v>212</v>
      </c>
      <c r="D11" s="18" t="n">
        <f aca="false">MIN(MAX(0,D17-D19),MAX(0,D9+D10-Assumptions!$E$16)*Assumptions!$E$25)</f>
        <v>0</v>
      </c>
      <c r="E11" s="18" t="n">
        <f aca="false">MIN(MAX(0,E17-E19),MAX(0,E9+E10-Assumptions!$E$16)*Assumptions!$E$25)</f>
        <v>0</v>
      </c>
      <c r="F11" s="18" t="n">
        <f aca="false">MIN(MAX(0,F17-F19),MAX(0,F9+F10-Assumptions!$E$16)*Assumptions!$E$25)</f>
        <v>0</v>
      </c>
      <c r="G11" s="18" t="n">
        <f aca="false">MIN(MAX(0,G17-G19),MAX(0,G9+G10-Assumptions!$E$16)*Assumptions!$E$25)</f>
        <v>0</v>
      </c>
      <c r="H11" s="18" t="n">
        <f aca="false">MIN(MAX(0,H17-H19),MAX(0,H9+H10-Assumptions!$E$16)*Assumptions!$E$25)</f>
        <v>0</v>
      </c>
      <c r="I11" s="18" t="n">
        <f aca="false">MIN(MAX(0,I17-I19),MAX(0,I9+I10-Assumptions!$E$16)*Assumptions!$E$25)</f>
        <v>0</v>
      </c>
      <c r="J11" s="18" t="n">
        <f aca="false">MIN(MAX(0,J17-J19),MAX(0,J9+J10-Assumptions!$E$16)*Assumptions!$E$25)</f>
        <v>0</v>
      </c>
    </row>
    <row r="12" customFormat="false" ht="15" hidden="false" customHeight="false" outlineLevel="0" collapsed="false">
      <c r="B12" s="1" t="s">
        <v>213</v>
      </c>
      <c r="D12" s="18" t="n">
        <f aca="false">MIN(MAX(0,D22+D24),MAX(0,D9+D10-D11-Assumptions!$E$16)*Assumptions!$E$25)</f>
        <v>0</v>
      </c>
      <c r="E12" s="18" t="n">
        <f aca="false">MIN(MAX(0,E22+E24),MAX(0,E9+E10-E11-Assumptions!$E$16)*Assumptions!$E$25)</f>
        <v>0</v>
      </c>
      <c r="F12" s="18" t="n">
        <f aca="false">MIN(MAX(0,F22+F24),MAX(0,F9+F10-F11-Assumptions!$E$16)*Assumptions!$E$25)</f>
        <v>0</v>
      </c>
      <c r="G12" s="18" t="n">
        <f aca="false">MIN(MAX(0,G22+G24),MAX(0,G9+G10-G11-Assumptions!$E$16)*Assumptions!$E$25)</f>
        <v>0</v>
      </c>
      <c r="H12" s="18" t="n">
        <f aca="false">MIN(MAX(0,H22+H24),MAX(0,H9+H10-H11-Assumptions!$E$16)*Assumptions!$E$25)</f>
        <v>0</v>
      </c>
      <c r="I12" s="18" t="n">
        <f aca="false">MIN(MAX(0,I22+I24),MAX(0,I9+I10-I11-Assumptions!$E$16)*Assumptions!$E$25)</f>
        <v>0</v>
      </c>
      <c r="J12" s="18" t="n">
        <f aca="false">MIN(MAX(0,J22+J24),MAX(0,J9+J10-J11-Assumptions!$E$16)*Assumptions!$E$25)</f>
        <v>0</v>
      </c>
    </row>
    <row r="13" customFormat="false" ht="15" hidden="false" customHeight="false" outlineLevel="0" collapsed="false">
      <c r="B13" s="28" t="s">
        <v>214</v>
      </c>
      <c r="C13" s="29" t="n">
        <f aca="false">C5</f>
        <v>25</v>
      </c>
      <c r="D13" s="29" t="n">
        <f aca="false">D9+D10-D11-D12</f>
        <v>25</v>
      </c>
      <c r="E13" s="29" t="n">
        <f aca="false">E9+E10-E11-E12</f>
        <v>25</v>
      </c>
      <c r="F13" s="29" t="n">
        <f aca="false">F9+F10-F11-F12</f>
        <v>25</v>
      </c>
      <c r="G13" s="29" t="n">
        <f aca="false">G9+G10-G11-G12</f>
        <v>25</v>
      </c>
      <c r="H13" s="29" t="n">
        <f aca="false">H9+H10-H11-H12</f>
        <v>25</v>
      </c>
      <c r="I13" s="29" t="n">
        <f aca="false">I9+I10-I11-I12</f>
        <v>25</v>
      </c>
      <c r="J13" s="29" t="n">
        <f aca="false">J9+J10-J11-J12</f>
        <v>25</v>
      </c>
    </row>
    <row r="14" customFormat="false" ht="15" hidden="false" customHeight="false" outlineLevel="0" collapsed="false">
      <c r="B14" s="1" t="s">
        <v>215</v>
      </c>
      <c r="C14" s="18" t="n">
        <f aca="false">'Sources &amp; Uses'!F5</f>
        <v>0</v>
      </c>
      <c r="D14" s="18" t="n">
        <f aca="false">C16</f>
        <v>0</v>
      </c>
      <c r="E14" s="18" t="n">
        <f aca="false">D16</f>
        <v>1.21620000000001</v>
      </c>
      <c r="F14" s="18" t="n">
        <f aca="false">E16</f>
        <v>5.11960860000002</v>
      </c>
      <c r="G14" s="18" t="n">
        <f aca="false">F16</f>
        <v>11.0132321976</v>
      </c>
      <c r="H14" s="18" t="n">
        <f aca="false">G16</f>
        <v>18.4902020332902</v>
      </c>
      <c r="I14" s="18" t="n">
        <f aca="false">H16</f>
        <v>27.3367204515863</v>
      </c>
      <c r="J14" s="18" t="n">
        <f aca="false">I16</f>
        <v>37.4683524996477</v>
      </c>
    </row>
    <row r="15" customFormat="false" ht="15" hidden="false" customHeight="false" outlineLevel="0" collapsed="false">
      <c r="B15" s="1" t="s">
        <v>216</v>
      </c>
      <c r="D15" s="18" t="n">
        <f aca="false">D14*Assumptions!$E$18</f>
        <v>0</v>
      </c>
      <c r="E15" s="18" t="n">
        <f aca="false">E14*Assumptions!$E$18</f>
        <v>0.139863000000001</v>
      </c>
      <c r="F15" s="18" t="n">
        <f aca="false">F14*Assumptions!$E$18</f>
        <v>0.588754989000002</v>
      </c>
      <c r="G15" s="18" t="n">
        <f aca="false">G14*Assumptions!$E$18</f>
        <v>1.266521702724</v>
      </c>
      <c r="H15" s="18" t="n">
        <f aca="false">H14*Assumptions!$E$18</f>
        <v>2.12637323382838</v>
      </c>
      <c r="I15" s="18" t="n">
        <f aca="false">I14*Assumptions!$E$18</f>
        <v>3.14372285193242</v>
      </c>
      <c r="J15" s="18" t="n">
        <f aca="false">J14*Assumptions!$E$18</f>
        <v>4.30886053745949</v>
      </c>
    </row>
    <row r="16" customFormat="false" ht="15" hidden="false" customHeight="false" outlineLevel="0" collapsed="false">
      <c r="B16" s="1" t="s">
        <v>217</v>
      </c>
      <c r="C16" s="18" t="n">
        <f aca="false">C14</f>
        <v>0</v>
      </c>
      <c r="D16" s="18" t="n">
        <f aca="false">MAX(0,D14+D10)</f>
        <v>1.21620000000001</v>
      </c>
      <c r="E16" s="18" t="n">
        <f aca="false">MAX(0,E14+E10)</f>
        <v>5.11960860000002</v>
      </c>
      <c r="F16" s="18" t="n">
        <f aca="false">MAX(0,F14+F10)</f>
        <v>11.0132321976</v>
      </c>
      <c r="G16" s="18" t="n">
        <f aca="false">MAX(0,G14+G10)</f>
        <v>18.4902020332902</v>
      </c>
      <c r="H16" s="18" t="n">
        <f aca="false">MAX(0,H14+H10)</f>
        <v>27.3367204515863</v>
      </c>
      <c r="I16" s="18" t="n">
        <f aca="false">MAX(0,I14+I10)</f>
        <v>37.4683524996477</v>
      </c>
      <c r="J16" s="18" t="n">
        <f aca="false">MAX(0,J14+J10)</f>
        <v>48.8345977441687</v>
      </c>
    </row>
    <row r="17" customFormat="false" ht="15" hidden="false" customHeight="false" outlineLevel="0" collapsed="false">
      <c r="B17" s="1" t="s">
        <v>218</v>
      </c>
      <c r="C17" s="18" t="n">
        <f aca="false">'Sources &amp; Uses'!F6</f>
        <v>42</v>
      </c>
      <c r="D17" s="18" t="n">
        <f aca="false">C21</f>
        <v>42</v>
      </c>
      <c r="E17" s="18" t="n">
        <f aca="false">D21</f>
        <v>41.58</v>
      </c>
      <c r="F17" s="18" t="n">
        <f aca="false">E21</f>
        <v>41.16</v>
      </c>
      <c r="G17" s="18" t="n">
        <f aca="false">F21</f>
        <v>40.74</v>
      </c>
      <c r="H17" s="18" t="n">
        <f aca="false">G21</f>
        <v>40.32</v>
      </c>
      <c r="I17" s="18" t="n">
        <f aca="false">H21</f>
        <v>39.9</v>
      </c>
      <c r="J17" s="18" t="n">
        <f aca="false">I21</f>
        <v>39.48</v>
      </c>
    </row>
    <row r="18" customFormat="false" ht="15" hidden="false" customHeight="false" outlineLevel="0" collapsed="false">
      <c r="B18" s="1" t="s">
        <v>219</v>
      </c>
      <c r="D18" s="18" t="n">
        <f aca="false">D17*Assumptions!$E$20</f>
        <v>4.41</v>
      </c>
      <c r="E18" s="18" t="n">
        <f aca="false">E17*Assumptions!$E$20</f>
        <v>4.3659</v>
      </c>
      <c r="F18" s="18" t="n">
        <f aca="false">F17*Assumptions!$E$20</f>
        <v>4.3218</v>
      </c>
      <c r="G18" s="18" t="n">
        <f aca="false">G17*Assumptions!$E$20</f>
        <v>4.2777</v>
      </c>
      <c r="H18" s="18" t="n">
        <f aca="false">H17*Assumptions!$E$20</f>
        <v>4.2336</v>
      </c>
      <c r="I18" s="18" t="n">
        <f aca="false">I17*Assumptions!$E$20</f>
        <v>4.1895</v>
      </c>
      <c r="J18" s="18" t="n">
        <f aca="false">J17*Assumptions!$E$20</f>
        <v>4.1454</v>
      </c>
    </row>
    <row r="19" customFormat="false" ht="15" hidden="false" customHeight="false" outlineLevel="0" collapsed="false">
      <c r="B19" s="1" t="s">
        <v>220</v>
      </c>
      <c r="D19" s="18" t="n">
        <f aca="false">MIN(D17,'Sources &amp; Uses'!$F$6*Assumptions!$E$21)</f>
        <v>0.42</v>
      </c>
      <c r="E19" s="18" t="n">
        <f aca="false">MIN(E17,'Sources &amp; Uses'!$F$6*Assumptions!$E$21)</f>
        <v>0.42</v>
      </c>
      <c r="F19" s="18" t="n">
        <f aca="false">MIN(F17,'Sources &amp; Uses'!$F$6*Assumptions!$E$21)</f>
        <v>0.42</v>
      </c>
      <c r="G19" s="18" t="n">
        <f aca="false">MIN(G17,'Sources &amp; Uses'!$F$6*Assumptions!$E$21)</f>
        <v>0.42</v>
      </c>
      <c r="H19" s="18" t="n">
        <f aca="false">MIN(H17,'Sources &amp; Uses'!$F$6*Assumptions!$E$21)</f>
        <v>0.42</v>
      </c>
      <c r="I19" s="18" t="n">
        <f aca="false">MIN(I17,'Sources &amp; Uses'!$F$6*Assumptions!$E$21)</f>
        <v>0.42</v>
      </c>
      <c r="J19" s="18" t="n">
        <f aca="false">MIN(J17,'Sources &amp; Uses'!$F$6*Assumptions!$E$21)</f>
        <v>0.42</v>
      </c>
    </row>
    <row r="20" customFormat="false" ht="15" hidden="false" customHeight="false" outlineLevel="0" collapsed="false">
      <c r="B20" s="28" t="s">
        <v>221</v>
      </c>
      <c r="C20" s="29" t="n">
        <f aca="false">'Sources &amp; Uses'!F7</f>
        <v>12</v>
      </c>
      <c r="D20" s="29" t="n">
        <f aca="false">D11</f>
        <v>0</v>
      </c>
      <c r="E20" s="29" t="n">
        <f aca="false">E11</f>
        <v>0</v>
      </c>
      <c r="F20" s="29" t="n">
        <f aca="false">F11</f>
        <v>0</v>
      </c>
      <c r="G20" s="29" t="n">
        <f aca="false">G11</f>
        <v>0</v>
      </c>
      <c r="H20" s="29" t="n">
        <f aca="false">H11</f>
        <v>0</v>
      </c>
      <c r="I20" s="29" t="n">
        <f aca="false">I11</f>
        <v>0</v>
      </c>
      <c r="J20" s="29" t="n">
        <f aca="false">J11</f>
        <v>0</v>
      </c>
    </row>
    <row r="21" customFormat="false" ht="15" hidden="false" customHeight="false" outlineLevel="0" collapsed="false">
      <c r="B21" s="1" t="s">
        <v>222</v>
      </c>
      <c r="C21" s="18" t="n">
        <f aca="false">C17</f>
        <v>42</v>
      </c>
      <c r="D21" s="18" t="n">
        <f aca="false">MAX(0,D17-D19-D20)</f>
        <v>41.58</v>
      </c>
      <c r="E21" s="18" t="n">
        <f aca="false">MAX(0,E17-E19-E20)</f>
        <v>41.16</v>
      </c>
      <c r="F21" s="18" t="n">
        <f aca="false">MAX(0,F17-F19-F20)</f>
        <v>40.74</v>
      </c>
      <c r="G21" s="18" t="n">
        <f aca="false">MAX(0,G17-G19-G20)</f>
        <v>40.32</v>
      </c>
      <c r="H21" s="18" t="n">
        <f aca="false">MAX(0,H17-H19-H20)</f>
        <v>39.9</v>
      </c>
      <c r="I21" s="18" t="n">
        <f aca="false">MAX(0,I17-I19-I20)</f>
        <v>39.48</v>
      </c>
      <c r="J21" s="18" t="n">
        <f aca="false">MAX(0,J17-J19-J20)</f>
        <v>39.06</v>
      </c>
    </row>
    <row r="22" customFormat="false" ht="15" hidden="false" customHeight="false" outlineLevel="0" collapsed="false">
      <c r="B22" s="1" t="s">
        <v>223</v>
      </c>
      <c r="C22" s="18" t="n">
        <f aca="false">'Sources &amp; Uses'!F7</f>
        <v>12</v>
      </c>
      <c r="D22" s="18" t="n">
        <f aca="false">C26</f>
        <v>12</v>
      </c>
      <c r="E22" s="18" t="n">
        <f aca="false">D26</f>
        <v>12.6</v>
      </c>
      <c r="F22" s="18" t="n">
        <f aca="false">E26</f>
        <v>13.23</v>
      </c>
      <c r="G22" s="18" t="n">
        <f aca="false">F26</f>
        <v>13.8915</v>
      </c>
      <c r="H22" s="18" t="n">
        <f aca="false">G26</f>
        <v>14.586075</v>
      </c>
      <c r="I22" s="18" t="n">
        <f aca="false">H26</f>
        <v>15.31537875</v>
      </c>
      <c r="J22" s="18" t="n">
        <f aca="false">I26</f>
        <v>16.0811476875</v>
      </c>
    </row>
    <row r="23" customFormat="false" ht="15" hidden="false" customHeight="false" outlineLevel="0" collapsed="false">
      <c r="B23" s="1" t="s">
        <v>224</v>
      </c>
      <c r="D23" s="18" t="n">
        <f aca="false">D22*Assumptions!$E$23</f>
        <v>1.56</v>
      </c>
      <c r="E23" s="18" t="n">
        <f aca="false">E22*Assumptions!$E$23</f>
        <v>1.638</v>
      </c>
      <c r="F23" s="18" t="n">
        <f aca="false">F22*Assumptions!$E$23</f>
        <v>1.7199</v>
      </c>
      <c r="G23" s="18" t="n">
        <f aca="false">G22*Assumptions!$E$23</f>
        <v>1.805895</v>
      </c>
      <c r="H23" s="18" t="n">
        <f aca="false">H22*Assumptions!$E$23</f>
        <v>1.89618975</v>
      </c>
      <c r="I23" s="18" t="n">
        <f aca="false">I22*Assumptions!$E$23</f>
        <v>1.9909992375</v>
      </c>
      <c r="J23" s="18" t="n">
        <f aca="false">J22*Assumptions!$E$23</f>
        <v>2.090549199375</v>
      </c>
    </row>
    <row r="24" customFormat="false" ht="15" hidden="false" customHeight="false" outlineLevel="0" collapsed="false">
      <c r="B24" s="28" t="s">
        <v>225</v>
      </c>
      <c r="C24" s="29"/>
      <c r="D24" s="29" t="n">
        <f aca="false">D22*Assumptions!$E$24</f>
        <v>0.6</v>
      </c>
      <c r="E24" s="29" t="n">
        <f aca="false">E22*Assumptions!$E$24</f>
        <v>0.63</v>
      </c>
      <c r="F24" s="29" t="n">
        <f aca="false">F22*Assumptions!$E$24</f>
        <v>0.6615</v>
      </c>
      <c r="G24" s="29" t="n">
        <f aca="false">G22*Assumptions!$E$24</f>
        <v>0.694575</v>
      </c>
      <c r="H24" s="29" t="n">
        <f aca="false">H22*Assumptions!$E$24</f>
        <v>0.72930375</v>
      </c>
      <c r="I24" s="29" t="n">
        <f aca="false">I22*Assumptions!$E$24</f>
        <v>0.7657689375</v>
      </c>
      <c r="J24" s="29" t="n">
        <f aca="false">J22*Assumptions!$E$24</f>
        <v>0.804057384375</v>
      </c>
    </row>
    <row r="25" customFormat="false" ht="15" hidden="false" customHeight="false" outlineLevel="0" collapsed="false">
      <c r="B25" s="28" t="s">
        <v>226</v>
      </c>
      <c r="C25" s="29" t="n">
        <f aca="false">SUM(C16,C20,C13)</f>
        <v>37</v>
      </c>
      <c r="D25" s="29" t="n">
        <f aca="false">D12</f>
        <v>0</v>
      </c>
      <c r="E25" s="29" t="n">
        <f aca="false">E12</f>
        <v>0</v>
      </c>
      <c r="F25" s="29" t="n">
        <f aca="false">F12</f>
        <v>0</v>
      </c>
      <c r="G25" s="29" t="n">
        <f aca="false">G12</f>
        <v>0</v>
      </c>
      <c r="H25" s="29" t="n">
        <f aca="false">H12</f>
        <v>0</v>
      </c>
      <c r="I25" s="29" t="n">
        <f aca="false">I12</f>
        <v>0</v>
      </c>
      <c r="J25" s="29" t="n">
        <f aca="false">J12</f>
        <v>0</v>
      </c>
    </row>
    <row r="26" customFormat="false" ht="15" hidden="false" customHeight="false" outlineLevel="0" collapsed="false">
      <c r="B26" s="28" t="s">
        <v>227</v>
      </c>
      <c r="C26" s="29" t="n">
        <f aca="false">C22</f>
        <v>12</v>
      </c>
      <c r="D26" s="29" t="n">
        <f aca="false">MAX(0,D22+D24-D25)</f>
        <v>12.6</v>
      </c>
      <c r="E26" s="29" t="n">
        <f aca="false">MAX(0,E22+E24-E25)</f>
        <v>13.23</v>
      </c>
      <c r="F26" s="29" t="n">
        <f aca="false">MAX(0,F22+F24-F25)</f>
        <v>13.8915</v>
      </c>
      <c r="G26" s="29" t="n">
        <f aca="false">MAX(0,G22+G24-G25)</f>
        <v>14.586075</v>
      </c>
      <c r="H26" s="29" t="n">
        <f aca="false">MAX(0,H22+H24-H25)</f>
        <v>15.31537875</v>
      </c>
      <c r="I26" s="29" t="n">
        <f aca="false">MAX(0,I22+I24-I25)</f>
        <v>16.0811476875</v>
      </c>
      <c r="J26" s="29" t="n">
        <f aca="false">MAX(0,J22+J24-J25)</f>
        <v>16.885205071875</v>
      </c>
    </row>
    <row r="27" customFormat="false" ht="15" hidden="false" customHeight="false" outlineLevel="0" collapsed="false">
      <c r="B27" s="1" t="s">
        <v>228</v>
      </c>
      <c r="C27" s="18" t="n">
        <f aca="false">SUM(C16,C21,C26)</f>
        <v>54</v>
      </c>
      <c r="D27" s="18" t="n">
        <f aca="false">SUM(D16,D21,D26)</f>
        <v>55.3962</v>
      </c>
      <c r="E27" s="18" t="n">
        <f aca="false">SUM(E16,E21,E26)</f>
        <v>59.5096086</v>
      </c>
      <c r="F27" s="18" t="n">
        <f aca="false">SUM(F16,F21,F26)</f>
        <v>65.6447321976</v>
      </c>
      <c r="G27" s="18" t="n">
        <f aca="false">SUM(G16,G21,G26)</f>
        <v>73.3962770332902</v>
      </c>
      <c r="H27" s="18" t="n">
        <f aca="false">SUM(H16,H21,H26)</f>
        <v>82.5520992015863</v>
      </c>
      <c r="I27" s="18" t="n">
        <f aca="false">SUM(I16,I21,I26)</f>
        <v>93.0295001871477</v>
      </c>
      <c r="J27" s="18" t="n">
        <f aca="false">SUM(J16,J21,J26)</f>
        <v>104.779802816044</v>
      </c>
    </row>
    <row r="28" customFormat="false" ht="15" hidden="false" customHeight="false" outlineLevel="0" collapsed="false">
      <c r="B28" s="1" t="s">
        <v>229</v>
      </c>
      <c r="C28" s="18" t="n">
        <f aca="false">C27-C13</f>
        <v>29</v>
      </c>
      <c r="D28" s="18" t="n">
        <f aca="false">D27-D13</f>
        <v>30.3962</v>
      </c>
      <c r="E28" s="18" t="n">
        <f aca="false">E27-E13</f>
        <v>34.5096086</v>
      </c>
      <c r="F28" s="18" t="n">
        <f aca="false">F27-F13</f>
        <v>40.6447321976</v>
      </c>
      <c r="G28" s="18" t="n">
        <f aca="false">G27-G13</f>
        <v>48.3962770332902</v>
      </c>
      <c r="H28" s="18" t="n">
        <f aca="false">H27-H13</f>
        <v>57.5520992015863</v>
      </c>
      <c r="I28" s="18" t="n">
        <f aca="false">I27-I13</f>
        <v>68.0295001871477</v>
      </c>
      <c r="J28" s="18" t="n">
        <f aca="false">J27-J13</f>
        <v>79.7798028160437</v>
      </c>
    </row>
    <row r="29" customFormat="false" ht="15" hidden="false" customHeight="false" outlineLevel="0" collapsed="false">
      <c r="B29" s="1" t="s">
        <v>164</v>
      </c>
      <c r="D29" s="18" t="n">
        <f aca="false">MAX(0,Assumptions!$E$17-D14)*Assumptions!$E$33</f>
        <v>0.375</v>
      </c>
      <c r="E29" s="18" t="n">
        <f aca="false">MAX(0,Assumptions!$E$17-E14)*Assumptions!$E$33</f>
        <v>0.368919</v>
      </c>
      <c r="F29" s="18" t="n">
        <f aca="false">MAX(0,Assumptions!$E$17-F14)*Assumptions!$E$33</f>
        <v>0.349401957</v>
      </c>
      <c r="G29" s="18" t="n">
        <f aca="false">MAX(0,Assumptions!$E$17-G14)*Assumptions!$E$33</f>
        <v>0.319933839012</v>
      </c>
      <c r="H29" s="18" t="n">
        <f aca="false">MAX(0,Assumptions!$E$17-H14)*Assumptions!$E$33</f>
        <v>0.282548989833549</v>
      </c>
      <c r="I29" s="18" t="n">
        <f aca="false">MAX(0,Assumptions!$E$17-I14)*Assumptions!$E$33</f>
        <v>0.238316397742069</v>
      </c>
      <c r="J29" s="18" t="n">
        <f aca="false">MAX(0,Assumptions!$E$17-J14)*Assumptions!$E$33</f>
        <v>0.187658237501761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231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</row>
    <row r="5" customFormat="false" ht="15" hidden="false" customHeight="false" outlineLevel="0" collapsed="false">
      <c r="B5" s="1" t="s">
        <v>232</v>
      </c>
      <c r="C5" s="25" t="n">
        <f aca="false">IFERROR('Debt Schedule'!D25/'Operating Model'!D8,0)</f>
        <v>0</v>
      </c>
      <c r="D5" s="25" t="n">
        <f aca="false">IFERROR('Debt Schedule'!E25/'Operating Model'!E8,0)</f>
        <v>0</v>
      </c>
      <c r="E5" s="25" t="n">
        <f aca="false">IFERROR('Debt Schedule'!F25/'Operating Model'!F8,0)</f>
        <v>0</v>
      </c>
      <c r="F5" s="25" t="n">
        <f aca="false">IFERROR('Debt Schedule'!G25/'Operating Model'!G8,0)</f>
        <v>0</v>
      </c>
      <c r="G5" s="25" t="n">
        <f aca="false">IFERROR('Debt Schedule'!H25/'Operating Model'!H8,0)</f>
        <v>0</v>
      </c>
      <c r="H5" s="25" t="n">
        <f aca="false">IFERROR('Debt Schedule'!I25/'Operating Model'!I8,0)</f>
        <v>0</v>
      </c>
      <c r="I5" s="25" t="n">
        <f aca="false">IFERROR('Debt Schedule'!J25/'Operating Model'!J8,0)</f>
        <v>0</v>
      </c>
    </row>
    <row r="6" customFormat="false" ht="15" hidden="false" customHeight="false" outlineLevel="0" collapsed="false">
      <c r="B6" s="1" t="s">
        <v>233</v>
      </c>
      <c r="C6" s="25" t="n">
        <f aca="false">Assumptions!$E$26</f>
        <v>6.5</v>
      </c>
      <c r="D6" s="25" t="n">
        <f aca="false">Assumptions!$E$26</f>
        <v>6.5</v>
      </c>
      <c r="E6" s="25" t="n">
        <f aca="false">Assumptions!$E$26</f>
        <v>6.5</v>
      </c>
      <c r="F6" s="25" t="n">
        <f aca="false">Assumptions!$E$26</f>
        <v>6.5</v>
      </c>
      <c r="G6" s="25" t="n">
        <f aca="false">Assumptions!$E$26</f>
        <v>6.5</v>
      </c>
      <c r="H6" s="25" t="n">
        <f aca="false">Assumptions!$E$26</f>
        <v>6.5</v>
      </c>
      <c r="I6" s="25" t="n">
        <f aca="false">Assumptions!$E$26</f>
        <v>6.5</v>
      </c>
    </row>
    <row r="7" customFormat="false" ht="15" hidden="false" customHeight="false" outlineLevel="0" collapsed="false">
      <c r="B7" s="1" t="s">
        <v>234</v>
      </c>
      <c r="C7" s="25" t="n">
        <f aca="false">C6-C5</f>
        <v>6.5</v>
      </c>
      <c r="D7" s="25" t="n">
        <f aca="false">D6-D5</f>
        <v>6.5</v>
      </c>
      <c r="E7" s="25" t="n">
        <f aca="false">E6-E5</f>
        <v>6.5</v>
      </c>
      <c r="F7" s="25" t="n">
        <f aca="false">F6-F5</f>
        <v>6.5</v>
      </c>
      <c r="G7" s="25" t="n">
        <f aca="false">G6-G5</f>
        <v>6.5</v>
      </c>
      <c r="H7" s="25" t="n">
        <f aca="false">H6-H5</f>
        <v>6.5</v>
      </c>
      <c r="I7" s="25" t="n">
        <f aca="false">I6-I5</f>
        <v>6.5</v>
      </c>
    </row>
    <row r="8" customFormat="false" ht="15" hidden="false" customHeight="false" outlineLevel="0" collapsed="false">
      <c r="B8" s="1" t="s">
        <v>235</v>
      </c>
      <c r="C8" s="25" t="n">
        <f aca="false">IFERROR('Operating Model'!D8/'Debt Schedule'!D7,0)</f>
        <v>1.13976359338061</v>
      </c>
      <c r="D8" s="25" t="n">
        <f aca="false">IFERROR('Operating Model'!E8/'Debt Schedule'!E7,0)</f>
        <v>0.6483535354559</v>
      </c>
      <c r="E8" s="25" t="n">
        <f aca="false">IFERROR('Operating Model'!F8/'Debt Schedule'!F7,0)</f>
        <v>0.337004825399469</v>
      </c>
      <c r="F8" s="25" t="n">
        <f aca="false">IFERROR('Operating Model'!G8/'Debt Schedule'!G7,0)</f>
        <v>0.158134981595347</v>
      </c>
      <c r="G8" s="25" t="n">
        <f aca="false">IFERROR('Operating Model'!H8/'Debt Schedule'!H7,0)</f>
        <v>0.0629448302068852</v>
      </c>
      <c r="H8" s="25" t="n">
        <f aca="false">IFERROR('Operating Model'!I8/'Debt Schedule'!I7,0)</f>
        <v>0.0159398951751883</v>
      </c>
      <c r="I8" s="25" t="n">
        <f aca="false">IFERROR('Operating Model'!J8/'Debt Schedule'!J7,0)</f>
        <v>0</v>
      </c>
    </row>
    <row r="9" customFormat="false" ht="15" hidden="false" customHeight="false" outlineLevel="0" collapsed="false">
      <c r="B9" s="1" t="s">
        <v>236</v>
      </c>
      <c r="C9" s="25" t="n">
        <f aca="false">Assumptions!$E$27</f>
        <v>1.5</v>
      </c>
      <c r="D9" s="25" t="n">
        <f aca="false">Assumptions!$E$27</f>
        <v>1.5</v>
      </c>
      <c r="E9" s="25" t="n">
        <f aca="false">Assumptions!$E$27</f>
        <v>1.5</v>
      </c>
      <c r="F9" s="25" t="n">
        <f aca="false">Assumptions!$E$27</f>
        <v>1.5</v>
      </c>
      <c r="G9" s="25" t="n">
        <f aca="false">Assumptions!$E$27</f>
        <v>1.5</v>
      </c>
      <c r="H9" s="25" t="n">
        <f aca="false">Assumptions!$E$27</f>
        <v>1.5</v>
      </c>
      <c r="I9" s="25" t="n">
        <f aca="false">Assumptions!$E$27</f>
        <v>1.5</v>
      </c>
    </row>
    <row r="10" customFormat="false" ht="15" hidden="false" customHeight="false" outlineLevel="0" collapsed="false">
      <c r="B10" s="1" t="s">
        <v>237</v>
      </c>
      <c r="C10" s="25" t="n">
        <f aca="false">C8-C9</f>
        <v>-0.360236406619385</v>
      </c>
      <c r="D10" s="25" t="n">
        <f aca="false">D8-D9</f>
        <v>-0.8516464645441</v>
      </c>
      <c r="E10" s="25" t="n">
        <f aca="false">E8-E9</f>
        <v>-1.16299517460053</v>
      </c>
      <c r="F10" s="25" t="n">
        <f aca="false">F8-F9</f>
        <v>-1.34186501840465</v>
      </c>
      <c r="G10" s="25" t="n">
        <f aca="false">G8-G9</f>
        <v>-1.43705516979311</v>
      </c>
      <c r="H10" s="25" t="n">
        <f aca="false">H8-H9</f>
        <v>-1.48406010482481</v>
      </c>
      <c r="I10" s="25" t="n">
        <f aca="false">I8-I9</f>
        <v>-1.5</v>
      </c>
    </row>
    <row r="11" customFormat="false" ht="15" hidden="false" customHeight="false" outlineLevel="0" collapsed="false">
      <c r="B11" s="1" t="s">
        <v>141</v>
      </c>
      <c r="C11" s="18" t="n">
        <f aca="false">Assumptions!$E$16</f>
        <v>25</v>
      </c>
      <c r="D11" s="18" t="n">
        <f aca="false">Assumptions!$E$16</f>
        <v>25</v>
      </c>
      <c r="E11" s="18" t="n">
        <f aca="false">Assumptions!$E$16</f>
        <v>25</v>
      </c>
      <c r="F11" s="18" t="n">
        <f aca="false">Assumptions!$E$16</f>
        <v>25</v>
      </c>
      <c r="G11" s="18" t="n">
        <f aca="false">Assumptions!$E$16</f>
        <v>25</v>
      </c>
      <c r="H11" s="18" t="n">
        <f aca="false">Assumptions!$E$16</f>
        <v>25</v>
      </c>
      <c r="I11" s="18" t="n">
        <f aca="false">Assumptions!$E$16</f>
        <v>25</v>
      </c>
    </row>
    <row r="12" customFormat="false" ht="15" hidden="false" customHeight="false" outlineLevel="0" collapsed="false">
      <c r="B12" s="1" t="s">
        <v>238</v>
      </c>
      <c r="C12" s="18" t="n">
        <f aca="false">'Debt Schedule'!D13-C11</f>
        <v>0</v>
      </c>
      <c r="D12" s="18" t="n">
        <f aca="false">'Debt Schedule'!E13-D11</f>
        <v>0</v>
      </c>
      <c r="E12" s="18" t="n">
        <f aca="false">'Debt Schedule'!F13-E11</f>
        <v>0</v>
      </c>
      <c r="F12" s="18" t="n">
        <f aca="false">'Debt Schedule'!G13-F11</f>
        <v>0</v>
      </c>
      <c r="G12" s="18" t="n">
        <f aca="false">'Debt Schedule'!H13-G11</f>
        <v>0</v>
      </c>
      <c r="H12" s="18" t="n">
        <f aca="false">'Debt Schedule'!I13-H11</f>
        <v>0</v>
      </c>
      <c r="I12" s="18" t="n">
        <f aca="false">'Debt Schedule'!J13-I11</f>
        <v>0</v>
      </c>
    </row>
    <row r="13" customFormat="false" ht="15" hidden="false" customHeight="false" outlineLevel="0" collapsed="false">
      <c r="B13" s="1" t="s">
        <v>43</v>
      </c>
      <c r="C13" s="1" t="str">
        <f aca="false">IF(AND(C7&gt;=0,C10&gt;=0,C12&gt;=0),"PASS","BREACH")</f>
        <v>BREACH</v>
      </c>
      <c r="D13" s="1" t="str">
        <f aca="false">IF(AND(D7&gt;=0,D10&gt;=0,D12&gt;=0),"PASS","BREACH")</f>
        <v>BREACH</v>
      </c>
      <c r="E13" s="1" t="str">
        <f aca="false">IF(AND(E7&gt;=0,E10&gt;=0,E12&gt;=0),"PASS","BREACH")</f>
        <v>BREACH</v>
      </c>
      <c r="F13" s="1" t="str">
        <f aca="false">IF(AND(F7&gt;=0,F10&gt;=0,F12&gt;=0),"PASS","BREACH")</f>
        <v>BREACH</v>
      </c>
      <c r="G13" s="1" t="str">
        <f aca="false">IF(AND(G7&gt;=0,G10&gt;=0,G12&gt;=0),"PASS","BREACH")</f>
        <v>BREACH</v>
      </c>
      <c r="H13" s="1" t="str">
        <f aca="false">IF(AND(H7&gt;=0,H10&gt;=0,H12&gt;=0),"PASS","BREACH")</f>
        <v>BREACH</v>
      </c>
      <c r="I13" s="1" t="str">
        <f aca="false">IF(AND(I7&gt;=0,I10&gt;=0,I12&gt;=0),"PASS","BREACH")</f>
        <v>BREACH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239</v>
      </c>
      <c r="C2" s="2"/>
      <c r="D2" s="2"/>
      <c r="E2" s="2"/>
    </row>
    <row r="4" customFormat="false" ht="15" hidden="false" customHeight="false" outlineLevel="0" collapsed="false">
      <c r="B4" s="16" t="s">
        <v>231</v>
      </c>
      <c r="C4" s="16" t="s">
        <v>240</v>
      </c>
      <c r="D4" s="16" t="s">
        <v>241</v>
      </c>
      <c r="E4" s="16" t="s">
        <v>242</v>
      </c>
    </row>
    <row r="5" customFormat="false" ht="15" hidden="false" customHeight="false" outlineLevel="0" collapsed="false">
      <c r="B5" s="1" t="s">
        <v>243</v>
      </c>
      <c r="C5" s="21" t="n">
        <f aca="false">Assumptions!E30</f>
        <v>0.1</v>
      </c>
      <c r="D5" s="15" t="s">
        <v>129</v>
      </c>
      <c r="E5" s="15" t="s">
        <v>244</v>
      </c>
    </row>
    <row r="6" customFormat="false" ht="15" hidden="false" customHeight="false" outlineLevel="0" collapsed="false">
      <c r="B6" s="1" t="s">
        <v>245</v>
      </c>
      <c r="C6" s="21" t="n">
        <f aca="false">1-C5</f>
        <v>0.9</v>
      </c>
      <c r="D6" s="15" t="s">
        <v>129</v>
      </c>
      <c r="E6" s="15" t="s">
        <v>246</v>
      </c>
    </row>
    <row r="7" customFormat="false" ht="15" hidden="false" customHeight="false" outlineLevel="0" collapsed="false">
      <c r="B7" s="1" t="s">
        <v>247</v>
      </c>
      <c r="C7" s="18" t="n">
        <f aca="false">'Sources &amp; Uses'!F8</f>
        <v>181.7</v>
      </c>
      <c r="D7" s="15" t="s">
        <v>127</v>
      </c>
      <c r="E7" s="15" t="s">
        <v>248</v>
      </c>
    </row>
    <row r="8" customFormat="false" ht="15" hidden="false" customHeight="false" outlineLevel="0" collapsed="false">
      <c r="B8" s="1" t="s">
        <v>249</v>
      </c>
      <c r="C8" s="18" t="n">
        <f aca="false">C7*(1+Assumptions!E31)^Assumptions!E29</f>
        <v>266.97691155456</v>
      </c>
      <c r="D8" s="15" t="s">
        <v>127</v>
      </c>
      <c r="E8" s="15" t="s">
        <v>250</v>
      </c>
    </row>
    <row r="9" customFormat="false" ht="15" hidden="false" customHeight="false" outlineLevel="0" collapsed="false">
      <c r="B9" s="1" t="s">
        <v>251</v>
      </c>
      <c r="C9" s="21" t="n">
        <f aca="false">Assumptions!E32</f>
        <v>0.2</v>
      </c>
      <c r="D9" s="15" t="s">
        <v>163</v>
      </c>
      <c r="E9" s="15" t="s">
        <v>252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253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16" t="s">
        <v>231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254</v>
      </c>
    </row>
    <row r="5" customFormat="false" ht="15" hidden="false" customHeight="false" outlineLevel="0" collapsed="false">
      <c r="B5" s="1" t="s">
        <v>255</v>
      </c>
      <c r="C5" s="18" t="n">
        <f aca="false">'Operating Model'!D8</f>
        <v>7.2318</v>
      </c>
      <c r="D5" s="18" t="n">
        <f aca="false">'Operating Model'!E8</f>
        <v>4.2225204</v>
      </c>
      <c r="E5" s="18" t="n">
        <f aca="false">'Operating Model'!F8</f>
        <v>2.3522454714</v>
      </c>
      <c r="F5" s="18" t="n">
        <f aca="false">'Operating Model'!G8</f>
        <v>1.2129033012528</v>
      </c>
      <c r="G5" s="18" t="n">
        <f aca="false">'Operating Model'!H8</f>
        <v>0.537467775367648</v>
      </c>
      <c r="H5" s="18" t="n">
        <f aca="false">'Operating Model'!I8</f>
        <v>0.152425861094265</v>
      </c>
      <c r="I5" s="18" t="n">
        <f aca="false">'Operating Model'!J8</f>
        <v>0</v>
      </c>
      <c r="J5" s="18" t="n">
        <f aca="false">INDEX(C5:I5,1,Assumptions!E29)</f>
        <v>0.537467775367648</v>
      </c>
    </row>
    <row r="6" customFormat="false" ht="15" hidden="false" customHeight="false" outlineLevel="0" collapsed="false">
      <c r="B6" s="1" t="s">
        <v>256</v>
      </c>
      <c r="C6" s="25" t="n">
        <f aca="false">Assumptions!$E$28</f>
        <v>8</v>
      </c>
      <c r="D6" s="25" t="n">
        <f aca="false">Assumptions!$E$28</f>
        <v>8</v>
      </c>
      <c r="E6" s="25" t="n">
        <f aca="false">Assumptions!$E$28</f>
        <v>8</v>
      </c>
      <c r="F6" s="25" t="n">
        <f aca="false">Assumptions!$E$28</f>
        <v>8</v>
      </c>
      <c r="G6" s="25" t="n">
        <f aca="false">Assumptions!$E$28</f>
        <v>8</v>
      </c>
      <c r="H6" s="25" t="n">
        <f aca="false">Assumptions!$E$28</f>
        <v>8</v>
      </c>
      <c r="I6" s="25" t="n">
        <f aca="false">Assumptions!$E$28</f>
        <v>8</v>
      </c>
      <c r="J6" s="25" t="n">
        <f aca="false">INDEX(C6:I6,1,Assumptions!E29)</f>
        <v>8</v>
      </c>
    </row>
    <row r="7" customFormat="false" ht="15" hidden="false" customHeight="false" outlineLevel="0" collapsed="false">
      <c r="B7" s="1" t="s">
        <v>257</v>
      </c>
      <c r="C7" s="18" t="n">
        <f aca="false">C5*C6</f>
        <v>57.8544</v>
      </c>
      <c r="D7" s="18" t="n">
        <f aca="false">D5*D6</f>
        <v>33.7801632</v>
      </c>
      <c r="E7" s="18" t="n">
        <f aca="false">E5*E6</f>
        <v>18.8179637712</v>
      </c>
      <c r="F7" s="18" t="n">
        <f aca="false">F5*F6</f>
        <v>9.70322641002241</v>
      </c>
      <c r="G7" s="18" t="n">
        <f aca="false">G5*G6</f>
        <v>4.29974220294118</v>
      </c>
      <c r="H7" s="18" t="n">
        <f aca="false">H5*H6</f>
        <v>1.21940688875412</v>
      </c>
      <c r="I7" s="18" t="n">
        <f aca="false">I5*I6</f>
        <v>0</v>
      </c>
      <c r="J7" s="18" t="n">
        <f aca="false">INDEX(C7:I7,1,Assumptions!E29)</f>
        <v>4.29974220294118</v>
      </c>
    </row>
    <row r="8" customFormat="false" ht="15" hidden="false" customHeight="false" outlineLevel="0" collapsed="false">
      <c r="B8" s="1" t="s">
        <v>229</v>
      </c>
      <c r="C8" s="18" t="n">
        <f aca="false">'Debt Schedule'!D28</f>
        <v>30.3962</v>
      </c>
      <c r="D8" s="18" t="n">
        <f aca="false">'Debt Schedule'!E28</f>
        <v>34.5096086</v>
      </c>
      <c r="E8" s="18" t="n">
        <f aca="false">'Debt Schedule'!F28</f>
        <v>40.6447321976</v>
      </c>
      <c r="F8" s="18" t="n">
        <f aca="false">'Debt Schedule'!G28</f>
        <v>48.3962770332902</v>
      </c>
      <c r="G8" s="18" t="n">
        <f aca="false">'Debt Schedule'!H28</f>
        <v>57.5520992015863</v>
      </c>
      <c r="H8" s="18" t="n">
        <f aca="false">'Debt Schedule'!I28</f>
        <v>68.0295001871477</v>
      </c>
      <c r="I8" s="18" t="n">
        <f aca="false">'Debt Schedule'!J28</f>
        <v>79.7798028160437</v>
      </c>
      <c r="J8" s="18" t="n">
        <f aca="false">INDEX(C8:I8,1,Assumptions!E29)</f>
        <v>57.5520992015863</v>
      </c>
    </row>
    <row r="9" customFormat="false" ht="15" hidden="false" customHeight="false" outlineLevel="0" collapsed="false">
      <c r="B9" s="1" t="s">
        <v>258</v>
      </c>
      <c r="C9" s="18" t="n">
        <f aca="false">MAX(0,C7-C8)</f>
        <v>27.4582</v>
      </c>
      <c r="D9" s="18" t="n">
        <f aca="false">MAX(0,D7-D8)</f>
        <v>0</v>
      </c>
      <c r="E9" s="18" t="n">
        <f aca="false">MAX(0,E7-E8)</f>
        <v>0</v>
      </c>
      <c r="F9" s="18" t="n">
        <f aca="false">MAX(0,F7-F8)</f>
        <v>0</v>
      </c>
      <c r="G9" s="18" t="n">
        <f aca="false">MAX(0,G7-G8)</f>
        <v>0</v>
      </c>
      <c r="H9" s="18" t="n">
        <f aca="false">MAX(0,H7-H8)</f>
        <v>0</v>
      </c>
      <c r="I9" s="18" t="n">
        <f aca="false">MAX(0,I7-I8)</f>
        <v>0</v>
      </c>
      <c r="J9" s="18" t="n">
        <f aca="false">INDEX(C9:I9,1,Assumptions!E29)</f>
        <v>0</v>
      </c>
    </row>
    <row r="10" customFormat="false" ht="15" hidden="false" customHeight="false" outlineLevel="0" collapsed="false">
      <c r="B10" s="1" t="s">
        <v>161</v>
      </c>
      <c r="C10" s="18" t="n">
        <f aca="false">'Management Equity'!$C$7*(1+Assumptions!$E$31)^1</f>
        <v>196.236</v>
      </c>
      <c r="D10" s="18" t="n">
        <f aca="false">'Management Equity'!$C$7*(1+Assumptions!$E$31)^2</f>
        <v>211.93488</v>
      </c>
      <c r="E10" s="18" t="n">
        <f aca="false">'Management Equity'!$C$7*(1+Assumptions!$E$31)^3</f>
        <v>228.8896704</v>
      </c>
      <c r="F10" s="18" t="n">
        <f aca="false">'Management Equity'!$C$7*(1+Assumptions!$E$31)^4</f>
        <v>247.200844032</v>
      </c>
      <c r="G10" s="18" t="n">
        <f aca="false">'Management Equity'!$C$7*(1+Assumptions!$E$31)^5</f>
        <v>266.97691155456</v>
      </c>
      <c r="H10" s="18" t="n">
        <f aca="false">'Management Equity'!$C$7*(1+Assumptions!$E$31)^6</f>
        <v>288.335064478925</v>
      </c>
      <c r="I10" s="18" t="n">
        <f aca="false">'Management Equity'!$C$7*(1+Assumptions!$E$31)^7</f>
        <v>311.401869637239</v>
      </c>
      <c r="J10" s="18" t="n">
        <f aca="false">INDEX(C10:I10,1,Assumptions!E29)</f>
        <v>266.97691155456</v>
      </c>
    </row>
    <row r="11" customFormat="false" ht="15" hidden="false" customHeight="false" outlineLevel="0" collapsed="false">
      <c r="B11" s="1" t="s">
        <v>259</v>
      </c>
      <c r="C11" s="18" t="n">
        <f aca="false">MAX(0,C9-C10)</f>
        <v>0</v>
      </c>
      <c r="D11" s="18" t="n">
        <f aca="false">MAX(0,D9-D10)</f>
        <v>0</v>
      </c>
      <c r="E11" s="18" t="n">
        <f aca="false">MAX(0,E9-E10)</f>
        <v>0</v>
      </c>
      <c r="F11" s="18" t="n">
        <f aca="false">MAX(0,F9-F10)</f>
        <v>0</v>
      </c>
      <c r="G11" s="18" t="n">
        <f aca="false">MAX(0,G9-G10)</f>
        <v>0</v>
      </c>
      <c r="H11" s="18" t="n">
        <f aca="false">MAX(0,H9-H10)</f>
        <v>0</v>
      </c>
      <c r="I11" s="18" t="n">
        <f aca="false">MAX(0,I9-I10)</f>
        <v>0</v>
      </c>
      <c r="J11" s="18" t="n">
        <f aca="false">INDEX(C11:I11,1,Assumptions!E29)</f>
        <v>0</v>
      </c>
    </row>
    <row r="12" customFormat="false" ht="15" hidden="false" customHeight="false" outlineLevel="0" collapsed="false">
      <c r="B12" s="1" t="s">
        <v>260</v>
      </c>
      <c r="C12" s="18" t="n">
        <f aca="false">MIN(C9,C9*Assumptions!$E$30+C11*Assumptions!$E$32)</f>
        <v>2.74582</v>
      </c>
      <c r="D12" s="18" t="n">
        <f aca="false">MIN(D9,D9*Assumptions!$E$30+D11*Assumptions!$E$32)</f>
        <v>0</v>
      </c>
      <c r="E12" s="18" t="n">
        <f aca="false">MIN(E9,E9*Assumptions!$E$30+E11*Assumptions!$E$32)</f>
        <v>0</v>
      </c>
      <c r="F12" s="18" t="n">
        <f aca="false">MIN(F9,F9*Assumptions!$E$30+F11*Assumptions!$E$32)</f>
        <v>0</v>
      </c>
      <c r="G12" s="18" t="n">
        <f aca="false">MIN(G9,G9*Assumptions!$E$30+G11*Assumptions!$E$32)</f>
        <v>0</v>
      </c>
      <c r="H12" s="18" t="n">
        <f aca="false">MIN(H9,H9*Assumptions!$E$30+H11*Assumptions!$E$32)</f>
        <v>0</v>
      </c>
      <c r="I12" s="18" t="n">
        <f aca="false">MIN(I9,I9*Assumptions!$E$30+I11*Assumptions!$E$32)</f>
        <v>0</v>
      </c>
      <c r="J12" s="18" t="n">
        <f aca="false">INDEX(C12:I12,1,Assumptions!E29)</f>
        <v>0</v>
      </c>
    </row>
    <row r="13" customFormat="false" ht="15" hidden="false" customHeight="false" outlineLevel="0" collapsed="false">
      <c r="B13" s="1" t="s">
        <v>261</v>
      </c>
      <c r="C13" s="18" t="n">
        <f aca="false">MAX(0,C9-C12)</f>
        <v>24.71238</v>
      </c>
      <c r="D13" s="18" t="n">
        <f aca="false">MAX(0,D9-D12)</f>
        <v>0</v>
      </c>
      <c r="E13" s="18" t="n">
        <f aca="false">MAX(0,E9-E12)</f>
        <v>0</v>
      </c>
      <c r="F13" s="18" t="n">
        <f aca="false">MAX(0,F9-F12)</f>
        <v>0</v>
      </c>
      <c r="G13" s="18" t="n">
        <f aca="false">MAX(0,G9-G12)</f>
        <v>0</v>
      </c>
      <c r="H13" s="18" t="n">
        <f aca="false">MAX(0,H9-H12)</f>
        <v>0</v>
      </c>
      <c r="I13" s="18" t="n">
        <f aca="false">MAX(0,I9-I12)</f>
        <v>0</v>
      </c>
      <c r="J13" s="18" t="n">
        <f aca="false">INDEX(C13:I13,1,Assumptions!E29)</f>
        <v>0</v>
      </c>
    </row>
    <row r="14" customFormat="false" ht="15" hidden="false" customHeight="false" outlineLevel="0" collapsed="false">
      <c r="B14" s="1" t="s">
        <v>262</v>
      </c>
      <c r="C14" s="25" t="n">
        <f aca="false">IFERROR(C13/'Sources &amp; Uses'!$F$8,0)</f>
        <v>0.136006494221244</v>
      </c>
      <c r="D14" s="25" t="n">
        <f aca="false">IFERROR(D13/'Sources &amp; Uses'!$F$8,0)</f>
        <v>0</v>
      </c>
      <c r="E14" s="25" t="n">
        <f aca="false">IFERROR(E13/'Sources &amp; Uses'!$F$8,0)</f>
        <v>0</v>
      </c>
      <c r="F14" s="25" t="n">
        <f aca="false">IFERROR(F13/'Sources &amp; Uses'!$F$8,0)</f>
        <v>0</v>
      </c>
      <c r="G14" s="25" t="n">
        <f aca="false">IFERROR(G13/'Sources &amp; Uses'!$F$8,0)</f>
        <v>0</v>
      </c>
      <c r="H14" s="25" t="n">
        <f aca="false">IFERROR(H13/'Sources &amp; Uses'!$F$8,0)</f>
        <v>0</v>
      </c>
      <c r="I14" s="25" t="n">
        <f aca="false">IFERROR(I13/'Sources &amp; Uses'!$F$8,0)</f>
        <v>0</v>
      </c>
      <c r="J14" s="25" t="n">
        <f aca="false">INDEX(C14:I14,1,Assumptions!E29)</f>
        <v>0</v>
      </c>
    </row>
    <row r="15" customFormat="false" ht="15" hidden="false" customHeight="false" outlineLevel="0" collapsed="false">
      <c r="B15" s="1" t="s">
        <v>263</v>
      </c>
      <c r="C15" s="23" t="n">
        <f aca="false">IFERROR((C13/'Sources &amp; Uses'!$F$8)^(1/1)-1,0)</f>
        <v>-0.863993505778756</v>
      </c>
      <c r="D15" s="23" t="n">
        <f aca="false">IFERROR((D13/'Sources &amp; Uses'!$F$8)^(1/2)-1,0)</f>
        <v>-1</v>
      </c>
      <c r="E15" s="23" t="n">
        <f aca="false">IFERROR((E13/'Sources &amp; Uses'!$F$8)^(1/3)-1,0)</f>
        <v>-1</v>
      </c>
      <c r="F15" s="23" t="n">
        <f aca="false">IFERROR((F13/'Sources &amp; Uses'!$F$8)^(1/4)-1,0)</f>
        <v>-1</v>
      </c>
      <c r="G15" s="23" t="n">
        <f aca="false">IFERROR((G13/'Sources &amp; Uses'!$F$8)^(1/5)-1,0)</f>
        <v>-1</v>
      </c>
      <c r="H15" s="23" t="n">
        <f aca="false">IFERROR((H13/'Sources &amp; Uses'!$F$8)^(1/6)-1,0)</f>
        <v>-1</v>
      </c>
      <c r="I15" s="23" t="n">
        <f aca="false">IFERROR((I13/'Sources &amp; Uses'!$F$8)^(1/7)-1,0)</f>
        <v>-1</v>
      </c>
      <c r="J15" s="23" t="n">
        <f aca="false">INDEX(C15:I15,1,Assumptions!E29)</f>
        <v>-1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264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265</v>
      </c>
      <c r="C4" s="30" t="n">
        <v>7</v>
      </c>
      <c r="D4" s="30" t="n">
        <v>8</v>
      </c>
      <c r="E4" s="30" t="n">
        <v>9</v>
      </c>
      <c r="F4" s="30" t="n">
        <v>10</v>
      </c>
      <c r="G4" s="30" t="n">
        <v>11</v>
      </c>
    </row>
    <row r="5" customFormat="false" ht="15" hidden="false" customHeight="false" outlineLevel="0" collapsed="false">
      <c r="B5" s="25" t="n">
        <v>8</v>
      </c>
      <c r="C5" s="21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-1.7496271376916</v>
      </c>
      <c r="D5" s="21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-1.74781302654832</v>
      </c>
      <c r="E5" s="21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-1.74598113932314</v>
      </c>
      <c r="F5" s="21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-1.74413107923615</v>
      </c>
      <c r="G5" s="21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-1.7422624355574</v>
      </c>
    </row>
    <row r="6" customFormat="false" ht="15" hidden="false" customHeight="false" outlineLevel="0" collapsed="false">
      <c r="B6" s="25" t="n">
        <v>9</v>
      </c>
      <c r="C6" s="21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-1.73945318401995</v>
      </c>
      <c r="D6" s="21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-1.73766369402737</v>
      </c>
      <c r="E6" s="21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-1.73585666921022</v>
      </c>
      <c r="F6" s="21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-1.73403171817367</v>
      </c>
      <c r="G6" s="21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-1.73218843576222</v>
      </c>
    </row>
    <row r="7" customFormat="false" ht="15" hidden="false" customHeight="false" outlineLevel="0" collapsed="false">
      <c r="B7" s="25" t="n">
        <v>10</v>
      </c>
      <c r="C7" s="21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-1.73005527724667</v>
      </c>
      <c r="D7" s="21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-1.72828853035735</v>
      </c>
      <c r="E7" s="21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-1.7265044714982</v>
      </c>
      <c r="F7" s="21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-1.72470271424873</v>
      </c>
      <c r="G7" s="21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-1.72288285860267</v>
      </c>
    </row>
    <row r="8" customFormat="false" ht="15" hidden="false" customHeight="false" outlineLevel="0" collapsed="false">
      <c r="B8" s="25" t="n">
        <v>11</v>
      </c>
      <c r="C8" s="21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-1.7213313547071</v>
      </c>
      <c r="D8" s="21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-1.7195857198671</v>
      </c>
      <c r="E8" s="21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-1.71782297992964</v>
      </c>
      <c r="F8" s="21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-1.71604275309187</v>
      </c>
      <c r="G8" s="21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-1.71424464412745</v>
      </c>
    </row>
    <row r="9" customFormat="false" ht="15" hidden="false" customHeight="false" outlineLevel="0" collapsed="false">
      <c r="B9" s="25" t="n">
        <v>12</v>
      </c>
      <c r="C9" s="21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-1.71319778050855</v>
      </c>
      <c r="D9" s="21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-1.71147182906426</v>
      </c>
      <c r="E9" s="21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-1.70972896539584</v>
      </c>
      <c r="F9" s="21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-1.70796881200557</v>
      </c>
      <c r="G9" s="21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-1.70619097812358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266</v>
      </c>
      <c r="C2" s="2"/>
    </row>
    <row r="4" customFormat="false" ht="15" hidden="false" customHeight="false" outlineLevel="0" collapsed="false">
      <c r="B4" s="16" t="s">
        <v>267</v>
      </c>
      <c r="C4" s="16" t="s">
        <v>43</v>
      </c>
    </row>
    <row r="5" customFormat="false" ht="15" hidden="false" customHeight="false" outlineLevel="0" collapsed="false">
      <c r="B5" s="1" t="s">
        <v>268</v>
      </c>
      <c r="C5" s="1" t="str">
        <f aca="false">IF(ABS('Sources &amp; Uses'!F10)&lt;0.000001,"PASS","FAIL")</f>
        <v>PASS</v>
      </c>
    </row>
    <row r="6" customFormat="false" ht="15" hidden="false" customHeight="false" outlineLevel="0" collapsed="false">
      <c r="B6" s="1" t="s">
        <v>269</v>
      </c>
      <c r="C6" s="1" t="str">
        <f aca="false">IF('Sources &amp; Uses'!F8&gt;0,"PASS","FAIL")</f>
        <v>PASS</v>
      </c>
    </row>
    <row r="7" customFormat="false" ht="15" hidden="false" customHeight="false" outlineLevel="0" collapsed="false">
      <c r="B7" s="1" t="s">
        <v>270</v>
      </c>
      <c r="C7" s="1" t="str">
        <f aca="false">IF(MIN('Debt Schedule'!D15:J25)&gt;=0,"PASS","FAIL")</f>
        <v>PASS</v>
      </c>
    </row>
    <row r="8" customFormat="false" ht="15" hidden="false" customHeight="false" outlineLevel="0" collapsed="false">
      <c r="B8" s="1" t="s">
        <v>271</v>
      </c>
      <c r="C8" s="1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1" t="s">
        <v>272</v>
      </c>
      <c r="C9" s="1" t="str">
        <f aca="false">IF(COUNTIF(Covenants!C13:I13,"BREACH")=0,"PASS","REVIEW")</f>
        <v>REVIEW</v>
      </c>
    </row>
    <row r="10" customFormat="false" ht="15" hidden="false" customHeight="false" outlineLevel="0" collapsed="false">
      <c r="B10" s="1" t="s">
        <v>273</v>
      </c>
      <c r="C10" s="1" t="str">
        <f aca="false">IF(MIN('Returns Waterfall'!C9:I9)&gt;=0,"PASS","FAIL")</f>
        <v>PASS</v>
      </c>
    </row>
    <row r="11" customFormat="false" ht="15" hidden="false" customHeight="false" outlineLevel="0" collapsed="false">
      <c r="B11" s="1" t="s">
        <v>274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1" t="s">
        <v>275</v>
      </c>
      <c r="C12" s="1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1" t="s">
        <v>276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277</v>
      </c>
      <c r="C2" s="2"/>
      <c r="D2" s="2"/>
      <c r="E2" s="2"/>
    </row>
    <row r="4" customFormat="false" ht="15" hidden="false" customHeight="false" outlineLevel="0" collapsed="false">
      <c r="B4" s="16" t="s">
        <v>278</v>
      </c>
      <c r="C4" s="16" t="s">
        <v>279</v>
      </c>
      <c r="D4" s="16" t="s">
        <v>106</v>
      </c>
      <c r="E4" s="16" t="s">
        <v>280</v>
      </c>
    </row>
    <row r="5" customFormat="false" ht="15" hidden="false" customHeight="false" outlineLevel="0" collapsed="false">
      <c r="B5" s="31" t="s">
        <v>281</v>
      </c>
      <c r="C5" s="31" t="s">
        <v>282</v>
      </c>
      <c r="D5" s="31" t="s">
        <v>283</v>
      </c>
      <c r="E5" s="31" t="s">
        <v>284</v>
      </c>
    </row>
    <row r="6" customFormat="false" ht="15" hidden="false" customHeight="false" outlineLevel="0" collapsed="false">
      <c r="B6" s="31" t="s">
        <v>285</v>
      </c>
      <c r="C6" s="31" t="s">
        <v>286</v>
      </c>
      <c r="D6" s="31" t="s">
        <v>6</v>
      </c>
      <c r="E6" s="31" t="s">
        <v>287</v>
      </c>
    </row>
    <row r="7" customFormat="false" ht="15" hidden="false" customHeight="false" outlineLevel="0" collapsed="false">
      <c r="B7" s="31" t="s">
        <v>288</v>
      </c>
      <c r="C7" s="31" t="s">
        <v>289</v>
      </c>
      <c r="D7" s="31" t="s">
        <v>6</v>
      </c>
      <c r="E7" s="31" t="s">
        <v>290</v>
      </c>
    </row>
    <row r="8" customFormat="false" ht="15" hidden="false" customHeight="false" outlineLevel="0" collapsed="false">
      <c r="B8" s="31" t="s">
        <v>291</v>
      </c>
      <c r="C8" s="31" t="s">
        <v>292</v>
      </c>
      <c r="D8" s="31" t="s">
        <v>6</v>
      </c>
      <c r="E8" s="31" t="s">
        <v>293</v>
      </c>
    </row>
    <row r="9" customFormat="false" ht="15" hidden="false" customHeight="false" outlineLevel="0" collapsed="false">
      <c r="B9" s="31" t="s">
        <v>294</v>
      </c>
      <c r="C9" s="31" t="s">
        <v>295</v>
      </c>
      <c r="D9" s="31" t="s">
        <v>6</v>
      </c>
      <c r="E9" s="31" t="s">
        <v>296</v>
      </c>
    </row>
    <row r="10" customFormat="false" ht="15" hidden="false" customHeight="false" outlineLevel="0" collapsed="false">
      <c r="B10" s="32" t="s">
        <v>297</v>
      </c>
      <c r="C10" s="32" t="s">
        <v>298</v>
      </c>
      <c r="D10" s="32" t="s">
        <v>8</v>
      </c>
      <c r="E10" s="32" t="s">
        <v>299</v>
      </c>
    </row>
    <row r="11" customFormat="false" ht="15" hidden="false" customHeight="false" outlineLevel="0" collapsed="false">
      <c r="B11" s="32" t="s">
        <v>300</v>
      </c>
      <c r="C11" s="32" t="s">
        <v>301</v>
      </c>
      <c r="D11" s="32" t="s">
        <v>8</v>
      </c>
      <c r="E11" s="32" t="s">
        <v>302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303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94</v>
      </c>
      <c r="C4" s="16" t="s">
        <v>304</v>
      </c>
      <c r="D4" s="16" t="s">
        <v>305</v>
      </c>
      <c r="E4" s="16" t="s">
        <v>306</v>
      </c>
      <c r="F4" s="16" t="s">
        <v>307</v>
      </c>
      <c r="G4" s="16" t="s">
        <v>308</v>
      </c>
    </row>
    <row r="5" customFormat="false" ht="15" hidden="false" customHeight="false" outlineLevel="0" collapsed="false">
      <c r="B5" s="33" t="s">
        <v>309</v>
      </c>
      <c r="C5" s="33" t="s">
        <v>310</v>
      </c>
      <c r="D5" s="33" t="s">
        <v>301</v>
      </c>
      <c r="E5" s="33" t="s">
        <v>311</v>
      </c>
      <c r="F5" s="33" t="s">
        <v>312</v>
      </c>
      <c r="G5" s="33" t="s">
        <v>313</v>
      </c>
    </row>
    <row r="6" customFormat="false" ht="15" hidden="false" customHeight="false" outlineLevel="0" collapsed="false">
      <c r="B6" s="33"/>
      <c r="C6" s="33"/>
      <c r="D6" s="33"/>
      <c r="E6" s="33"/>
      <c r="F6" s="33"/>
      <c r="G6" s="33"/>
    </row>
    <row r="7" customFormat="false" ht="15" hidden="false" customHeight="false" outlineLevel="0" collapsed="false">
      <c r="B7" s="33"/>
      <c r="C7" s="33"/>
      <c r="D7" s="33"/>
      <c r="E7" s="33"/>
      <c r="F7" s="33"/>
      <c r="G7" s="33"/>
    </row>
    <row r="8" customFormat="false" ht="15" hidden="false" customHeight="false" outlineLevel="0" collapsed="false">
      <c r="B8" s="33"/>
      <c r="C8" s="33"/>
      <c r="D8" s="33"/>
      <c r="E8" s="33"/>
      <c r="F8" s="33"/>
      <c r="G8" s="33"/>
    </row>
    <row r="9" customFormat="false" ht="15" hidden="false" customHeight="false" outlineLevel="0" collapsed="false">
      <c r="B9" s="33"/>
      <c r="C9" s="33"/>
      <c r="D9" s="33"/>
      <c r="E9" s="33"/>
      <c r="F9" s="33"/>
      <c r="G9" s="33"/>
    </row>
    <row r="10" customFormat="false" ht="15" hidden="false" customHeight="false" outlineLevel="0" collapsed="false">
      <c r="B10" s="33"/>
      <c r="C10" s="33"/>
      <c r="D10" s="33"/>
      <c r="E10" s="33"/>
      <c r="F10" s="33"/>
      <c r="G10" s="33"/>
    </row>
    <row r="11" customFormat="false" ht="15" hidden="false" customHeight="false" outlineLevel="0" collapsed="false">
      <c r="B11" s="33"/>
      <c r="C11" s="33"/>
      <c r="D11" s="33"/>
      <c r="E11" s="33"/>
      <c r="F11" s="33"/>
      <c r="G11" s="33"/>
    </row>
    <row r="12" customFormat="false" ht="15" hidden="false" customHeight="false" outlineLevel="0" collapsed="false">
      <c r="B12" s="33"/>
      <c r="C12" s="33"/>
      <c r="D12" s="33"/>
      <c r="E12" s="33"/>
      <c r="F12" s="33"/>
      <c r="G12" s="33"/>
    </row>
    <row r="13" customFormat="false" ht="15" hidden="false" customHeight="false" outlineLevel="0" collapsed="false">
      <c r="B13" s="33"/>
      <c r="C13" s="33"/>
      <c r="D13" s="33"/>
      <c r="E13" s="33"/>
      <c r="F13" s="33"/>
      <c r="G13" s="33"/>
    </row>
    <row r="14" customFormat="false" ht="15" hidden="false" customHeight="false" outlineLevel="0" collapsed="false">
      <c r="B14" s="33"/>
      <c r="C14" s="33"/>
      <c r="D14" s="33"/>
      <c r="E14" s="33"/>
      <c r="F14" s="33"/>
      <c r="G14" s="33"/>
    </row>
    <row r="15" customFormat="false" ht="15" hidden="false" customHeight="false" outlineLevel="0" collapsed="false">
      <c r="B15" s="33"/>
      <c r="C15" s="33"/>
      <c r="D15" s="33"/>
      <c r="E15" s="33"/>
      <c r="F15" s="33"/>
      <c r="G15" s="33"/>
    </row>
    <row r="16" customFormat="false" ht="15" hidden="false" customHeight="false" outlineLevel="0" collapsed="false">
      <c r="B16" s="33"/>
      <c r="C16" s="33"/>
      <c r="D16" s="33"/>
      <c r="E16" s="33"/>
      <c r="F16" s="33"/>
      <c r="G16" s="33"/>
    </row>
    <row r="17" customFormat="false" ht="15" hidden="false" customHeight="false" outlineLevel="0" collapsed="false">
      <c r="B17" s="33"/>
      <c r="C17" s="33"/>
      <c r="D17" s="33"/>
      <c r="E17" s="33"/>
      <c r="F17" s="33"/>
      <c r="G17" s="33"/>
    </row>
    <row r="18" customFormat="false" ht="15" hidden="false" customHeight="false" outlineLevel="0" collapsed="false">
      <c r="B18" s="33"/>
      <c r="C18" s="33"/>
      <c r="D18" s="33"/>
      <c r="E18" s="33"/>
      <c r="F18" s="33"/>
      <c r="G18" s="33"/>
    </row>
    <row r="19" customFormat="false" ht="15" hidden="false" customHeight="false" outlineLevel="0" collapsed="false">
      <c r="B19" s="33"/>
      <c r="C19" s="33"/>
      <c r="D19" s="33"/>
      <c r="E19" s="33"/>
      <c r="F19" s="33"/>
      <c r="G19" s="33"/>
    </row>
    <row r="20" customFormat="false" ht="15" hidden="false" customHeight="false" outlineLevel="0" collapsed="false">
      <c r="B20" s="33"/>
      <c r="C20" s="33"/>
      <c r="D20" s="33"/>
      <c r="E20" s="33"/>
      <c r="F20" s="33"/>
      <c r="G20" s="33"/>
    </row>
    <row r="21" customFormat="false" ht="15" hidden="false" customHeight="false" outlineLevel="0" collapsed="false">
      <c r="B21" s="33"/>
      <c r="C21" s="33"/>
      <c r="D21" s="33"/>
      <c r="E21" s="33"/>
      <c r="F21" s="33"/>
      <c r="G21" s="33"/>
    </row>
    <row r="22" customFormat="false" ht="15" hidden="false" customHeight="false" outlineLevel="0" collapsed="false">
      <c r="B22" s="33"/>
      <c r="C22" s="33"/>
      <c r="D22" s="33"/>
      <c r="E22" s="33"/>
      <c r="F22" s="33"/>
      <c r="G22" s="33"/>
    </row>
    <row r="23" customFormat="false" ht="15" hidden="false" customHeight="false" outlineLevel="0" collapsed="false">
      <c r="B23" s="33"/>
      <c r="C23" s="33"/>
      <c r="D23" s="33"/>
      <c r="E23" s="33"/>
      <c r="F23" s="33"/>
      <c r="G23" s="33"/>
    </row>
    <row r="24" customFormat="false" ht="15" hidden="false" customHeight="false" outlineLevel="0" collapsed="false">
      <c r="B24" s="33"/>
      <c r="C24" s="33"/>
      <c r="D24" s="33"/>
      <c r="E24" s="33"/>
      <c r="F24" s="33"/>
      <c r="G24" s="33"/>
    </row>
    <row r="25" customFormat="false" ht="15" hidden="false" customHeight="false" outlineLevel="0" collapsed="false">
      <c r="B25" s="33"/>
      <c r="C25" s="33"/>
      <c r="D25" s="33"/>
      <c r="E25" s="33"/>
      <c r="F25" s="33"/>
      <c r="G25" s="33"/>
    </row>
    <row r="26" customFormat="false" ht="15" hidden="false" customHeight="false" outlineLevel="0" collapsed="false">
      <c r="B26" s="33"/>
      <c r="C26" s="33"/>
      <c r="D26" s="33"/>
      <c r="E26" s="33"/>
      <c r="F26" s="33"/>
      <c r="G26" s="33"/>
    </row>
    <row r="27" customFormat="false" ht="15" hidden="false" customHeight="false" outlineLevel="0" collapsed="false">
      <c r="B27" s="33"/>
      <c r="C27" s="33"/>
      <c r="D27" s="33"/>
      <c r="E27" s="33"/>
      <c r="F27" s="33"/>
      <c r="G27" s="33"/>
    </row>
    <row r="28" customFormat="false" ht="15" hidden="false" customHeight="false" outlineLevel="0" collapsed="false">
      <c r="B28" s="33"/>
      <c r="C28" s="33"/>
      <c r="D28" s="33"/>
      <c r="E28" s="33"/>
      <c r="F28" s="33"/>
      <c r="G28" s="33"/>
    </row>
    <row r="29" customFormat="false" ht="15" hidden="false" customHeight="false" outlineLevel="0" collapsed="false">
      <c r="B29" s="33"/>
      <c r="C29" s="33"/>
      <c r="D29" s="33"/>
      <c r="E29" s="33"/>
      <c r="F29" s="33"/>
      <c r="G29" s="33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2026-08-05T23:19:31Z</dcterms:created>
  <dc:creator>openpyxl</dc:creator>
  <dc:description/>
  <dc:language>en-US</dc:language>
  <cp:lastModifiedBy/>
  <dcterms:modified xsi:type="dcterms:W3CDTF">2026-08-05T23:20:28Z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