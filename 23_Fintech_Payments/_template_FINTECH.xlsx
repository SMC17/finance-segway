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Unit Economics" sheetId="2" state="visible" r:id="rId2"/>
    <sheet name="Cohort Retention" sheetId="3" state="visible" r:id="rId3"/>
    <sheet name="Fraud &amp; Risk" sheetId="4" state="visible" r:id="rId4"/>
    <sheet name="Refresh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&quot;-&quot;"/>
    <numFmt numFmtId="165" formatCode="0.00%;(0.00%);&quot;-&quot;"/>
    <numFmt numFmtId="166" formatCode="0.0%;(0.0%);&quot;-&quot;"/>
    <numFmt numFmtId="167" formatCode="0.0"/>
    <numFmt numFmtId="168" formatCode="0.00x"/>
    <numFmt numFmtId="169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808080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1" pivotButton="0" quotePrefix="0" xfId="0"/>
    <xf numFmtId="165" fontId="3" fillId="2" borderId="1" pivotButton="0" quotePrefix="0" xfId="0"/>
    <xf numFmtId="166" fontId="3" fillId="2" borderId="1" pivotButton="0" quotePrefix="0" xfId="0"/>
    <xf numFmtId="0" fontId="2" fillId="3" borderId="0" pivotButton="0" quotePrefix="0" xfId="0"/>
    <xf numFmtId="164" fontId="0" fillId="0" borderId="1" pivotButton="0" quotePrefix="0" xfId="0"/>
    <xf numFmtId="164" fontId="2" fillId="0" borderId="1" pivotButton="0" quotePrefix="0" xfId="0"/>
    <xf numFmtId="167" fontId="0" fillId="0" borderId="1" pivotButton="0" quotePrefix="0" xfId="0"/>
    <xf numFmtId="168" fontId="2" fillId="0" borderId="1" pivotButton="0" quotePrefix="0" xfId="0"/>
    <xf numFmtId="0" fontId="5" fillId="0" borderId="0" pivotButton="0" quotePrefix="0" xfId="0"/>
    <xf numFmtId="166" fontId="3" fillId="0" borderId="1" pivotButton="0" quotePrefix="0" xfId="0"/>
    <xf numFmtId="166" fontId="2" fillId="0" borderId="1" pivotButton="0" quotePrefix="0" xfId="0"/>
    <xf numFmtId="2" fontId="2" fillId="0" borderId="1" pivotButton="0" quotePrefix="0" xfId="0"/>
    <xf numFmtId="169" fontId="3" fillId="2" borderId="1" pivotButton="0" quotePrefix="0" xfId="0"/>
    <xf numFmtId="166" fontId="2" fillId="2" borderId="1" pivotButton="0" quotePrefix="0" xfId="0"/>
    <xf numFmtId="0" fontId="6" fillId="4" borderId="0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[COMPANY] — Fintech / Payments Model</t>
        </is>
      </c>
    </row>
    <row r="4">
      <c r="B4" s="2" t="inlineStr">
        <is>
          <t>Business model:</t>
        </is>
      </c>
      <c r="C4" s="3" t="inlineStr">
        <is>
          <t>Payments / lending / neobank / infra</t>
        </is>
      </c>
    </row>
    <row r="5">
      <c r="B5" s="2" t="inlineStr">
        <is>
          <t>Last refreshed:</t>
        </is>
      </c>
      <c r="C5" s="3" t="inlineStr">
        <is>
          <t>[date]</t>
        </is>
      </c>
    </row>
    <row r="6">
      <c r="B6" s="2" t="inlineStr">
        <is>
          <t>Refresh cadence:</t>
        </is>
      </c>
      <c r="C6" s="3" t="inlineStr">
        <is>
          <t>Weekly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Unit Economics</t>
        </is>
      </c>
    </row>
    <row r="5">
      <c r="B5" s="4" t="inlineStr">
        <is>
          <t>Total payment volume, TPV ($/mo)</t>
        </is>
      </c>
      <c r="C5" s="5" t="n">
        <v>0</v>
      </c>
    </row>
    <row r="6">
      <c r="B6" s="4" t="inlineStr">
        <is>
          <t>Take rate (%)</t>
        </is>
      </c>
      <c r="C6" s="6" t="n">
        <v>0.025</v>
      </c>
    </row>
    <row r="7">
      <c r="B7" s="4" t="inlineStr">
        <is>
          <t>Interchange/processing cost (% of TPV)</t>
        </is>
      </c>
      <c r="C7" s="6" t="n">
        <v>0.015</v>
      </c>
    </row>
    <row r="8">
      <c r="B8" s="4" t="inlineStr">
        <is>
          <t>CAC ($ per customer)</t>
        </is>
      </c>
      <c r="C8" s="5" t="n">
        <v>0</v>
      </c>
    </row>
    <row r="9">
      <c r="B9" s="4" t="inlineStr">
        <is>
          <t>Avg monthly revenue per customer ($)</t>
        </is>
      </c>
      <c r="C9" s="5" t="n">
        <v>0</v>
      </c>
    </row>
    <row r="10">
      <c r="B10" s="4" t="inlineStr">
        <is>
          <t>Monthly gross margin per customer (%)</t>
        </is>
      </c>
      <c r="C10" s="7" t="n">
        <v>0.6</v>
      </c>
    </row>
    <row r="11">
      <c r="B11" s="4" t="inlineStr">
        <is>
          <t>Monthly churn rate (%)</t>
        </is>
      </c>
      <c r="C11" s="7" t="n">
        <v>0.03</v>
      </c>
    </row>
    <row r="13">
      <c r="B13" s="8" t="inlineStr">
        <is>
          <t>Outputs</t>
        </is>
      </c>
    </row>
    <row r="14">
      <c r="B14" t="inlineStr">
        <is>
          <t>Revenue (take rate x TPV)</t>
        </is>
      </c>
      <c r="C14" s="9">
        <f>C5*C6</f>
        <v/>
      </c>
    </row>
    <row r="15">
      <c r="B15" t="inlineStr">
        <is>
          <t>Processing cost ($)</t>
        </is>
      </c>
      <c r="C15" s="9">
        <f>C5*C7</f>
        <v/>
      </c>
    </row>
    <row r="16">
      <c r="B16" t="inlineStr">
        <is>
          <t>Net revenue after processing cost</t>
        </is>
      </c>
      <c r="C16" s="10">
        <f>C14-C15</f>
        <v/>
      </c>
    </row>
    <row r="17">
      <c r="B17" t="inlineStr">
        <is>
          <t>Customer lifetime (months) = 1/churn</t>
        </is>
      </c>
      <c r="C17" s="11">
        <f>IFERROR(1/C11,"-")</f>
        <v/>
      </c>
    </row>
    <row r="18">
      <c r="B18" t="inlineStr">
        <is>
          <t>LTV = monthly rev x gross margin x lifetime</t>
        </is>
      </c>
      <c r="C18" s="10">
        <f>C9*C10*C17</f>
        <v/>
      </c>
    </row>
    <row r="19">
      <c r="B19" t="inlineStr">
        <is>
          <t>LTV / CAC ratio</t>
        </is>
      </c>
      <c r="C19" s="12">
        <f>IFERROR(C18/C8,"-")</f>
        <v/>
      </c>
      <c r="D19" s="13" t="inlineStr">
        <is>
          <t>Rule of thumb: &gt;3x is healthy, &lt;1x means losing money per customer</t>
        </is>
      </c>
    </row>
    <row r="20">
      <c r="B20" t="inlineStr">
        <is>
          <t>CAC payback period (months)</t>
        </is>
      </c>
      <c r="C20" s="11">
        <f>IFERROR(C8/(C9*C10),"-")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2">
      <c r="B2" s="1" t="inlineStr">
        <is>
          <t>Cohort Retention (% of cohort still active)</t>
        </is>
      </c>
    </row>
    <row r="4">
      <c r="B4" s="8" t="inlineStr">
        <is>
          <t>Cohort</t>
        </is>
      </c>
      <c r="C4" s="8" t="inlineStr">
        <is>
          <t>M0</t>
        </is>
      </c>
      <c r="D4" s="8" t="inlineStr">
        <is>
          <t>M1</t>
        </is>
      </c>
      <c r="E4" s="8" t="inlineStr">
        <is>
          <t>M2</t>
        </is>
      </c>
      <c r="F4" s="8" t="inlineStr">
        <is>
          <t>M3</t>
        </is>
      </c>
      <c r="G4" s="8" t="inlineStr">
        <is>
          <t>M4</t>
        </is>
      </c>
      <c r="H4" s="8" t="inlineStr">
        <is>
          <t>M5</t>
        </is>
      </c>
      <c r="I4" s="8" t="inlineStr">
        <is>
          <t>M6</t>
        </is>
      </c>
      <c r="J4" s="8" t="inlineStr">
        <is>
          <t>M7</t>
        </is>
      </c>
    </row>
    <row r="5">
      <c r="B5" s="2" t="inlineStr">
        <is>
          <t>Jan cohort</t>
        </is>
      </c>
      <c r="C5" s="14" t="n">
        <v>1</v>
      </c>
      <c r="D5" s="14" t="n">
        <v>0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</row>
    <row r="6">
      <c r="B6" s="2" t="inlineStr">
        <is>
          <t>Feb cohort</t>
        </is>
      </c>
      <c r="C6" s="14" t="n">
        <v>1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</row>
    <row r="7">
      <c r="B7" s="2" t="inlineStr">
        <is>
          <t>Mar cohort</t>
        </is>
      </c>
      <c r="C7" s="14" t="n">
        <v>1</v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0</v>
      </c>
    </row>
    <row r="8">
      <c r="B8" s="2" t="inlineStr">
        <is>
          <t>Apr cohort</t>
        </is>
      </c>
      <c r="C8" s="14" t="n">
        <v>1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</row>
    <row r="9">
      <c r="B9" s="2" t="inlineStr">
        <is>
          <t>Average retention</t>
        </is>
      </c>
      <c r="C9" s="15">
        <f>AVERAGE(C5:C8)</f>
        <v/>
      </c>
      <c r="D9" s="15">
        <f>AVERAGE(D5:D8)</f>
        <v/>
      </c>
      <c r="E9" s="15">
        <f>AVERAGE(E5:E8)</f>
        <v/>
      </c>
      <c r="F9" s="15">
        <f>AVERAGE(F5:F8)</f>
        <v/>
      </c>
      <c r="G9" s="15">
        <f>AVERAGE(G5:G8)</f>
        <v/>
      </c>
      <c r="H9" s="15">
        <f>AVERAGE(H5:H8)</f>
        <v/>
      </c>
      <c r="I9" s="15">
        <f>AVERAGE(I5:I8)</f>
        <v/>
      </c>
      <c r="J9" s="15">
        <f>AVERAGE(J5:J8)</f>
        <v/>
      </c>
    </row>
    <row r="10">
      <c r="B10" t="inlineStr">
        <is>
          <t>Curve-implied LTV multiplier (sum of avg retention, M0-M7)</t>
        </is>
      </c>
      <c r="C10" s="16">
        <f>SUM(C9:J9)</f>
        <v/>
      </c>
    </row>
    <row r="11">
      <c r="B11" s="13" t="inlineStr">
        <is>
          <t>M0 always = 100% by definition. Fill subsequent months as cohorts age.</t>
        </is>
      </c>
    </row>
    <row r="12">
      <c r="B12" s="13" t="inlineStr">
        <is>
          <t>Retention-curve LTV = monthly rev x gross margin x this multiplier — compare to the steady-state 1/churn LTV on Unit Economics; a big gap means churn isn't actually constant month to month (usually front-loaded), and the curve number is the more honest one.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44" customWidth="1" min="4" max="4"/>
  </cols>
  <sheetData>
    <row r="2">
      <c r="B2" s="1" t="inlineStr">
        <is>
          <t>Fraud, Chargeback &amp; Credit Loss</t>
        </is>
      </c>
    </row>
    <row r="4">
      <c r="B4" s="8" t="inlineStr">
        <is>
          <t>Inputs</t>
        </is>
      </c>
    </row>
    <row r="5">
      <c r="B5" s="4" t="inlineStr">
        <is>
          <t>Total payment volume, TPV ($/mo)</t>
        </is>
      </c>
      <c r="C5" s="5" t="n">
        <v>0</v>
      </c>
    </row>
    <row r="6">
      <c r="B6" s="4" t="inlineStr">
        <is>
          <t>Fraud loss rate (bps of TPV)</t>
        </is>
      </c>
      <c r="C6" s="17" t="n">
        <v>8</v>
      </c>
    </row>
    <row r="7">
      <c r="B7" s="4" t="inlineStr">
        <is>
          <t>Chargeback count (this period)</t>
        </is>
      </c>
      <c r="C7" s="17" t="n">
        <v>0</v>
      </c>
    </row>
    <row r="8">
      <c r="B8" s="4" t="inlineStr">
        <is>
          <t>Chargeback cost per incident ($, fee + lost goods)</t>
        </is>
      </c>
      <c r="C8" s="5" t="n">
        <v>25</v>
      </c>
    </row>
    <row r="9">
      <c r="B9" s="4" t="inlineStr">
        <is>
          <t>Credit losses — lending book only, if applicable ($)</t>
        </is>
      </c>
      <c r="C9" s="5" t="n">
        <v>0</v>
      </c>
    </row>
    <row r="11">
      <c r="B11" s="8" t="inlineStr">
        <is>
          <t>Outputs</t>
        </is>
      </c>
    </row>
    <row r="12">
      <c r="B12" t="inlineStr">
        <is>
          <t>Fraud loss ($)</t>
        </is>
      </c>
      <c r="C12" s="9">
        <f>C5*C6/10000</f>
        <v/>
      </c>
      <c r="D12" s="13" t="inlineStr">
        <is>
          <t>bps convention: 8 bps = 0.08%</t>
        </is>
      </c>
    </row>
    <row r="13">
      <c r="B13" t="inlineStr">
        <is>
          <t>Chargeback cost ($)</t>
        </is>
      </c>
      <c r="C13" s="9">
        <f>C7*C8</f>
        <v/>
      </c>
    </row>
    <row r="14">
      <c r="B14" t="inlineStr">
        <is>
          <t>Total risk-related loss ($)</t>
        </is>
      </c>
      <c r="C14" s="10">
        <f>C12+C13+C9</f>
        <v/>
      </c>
    </row>
    <row r="15">
      <c r="B15" t="inlineStr">
        <is>
          <t>Total loss as % of net revenue</t>
        </is>
      </c>
      <c r="C15" s="18">
        <f>IFERROR(C14/'Unit Economics'!C16,"-")</f>
        <v/>
      </c>
      <c r="D15" s="13" t="inlineStr">
        <is>
          <t>Card networks typically flag issuers/acquirers above ~90-100bps fraud-to-TPV as a monitoring risk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t="inlineStr"/>
      <c r="B4" s="19" t="inlineStr">
        <is>
          <t>Date</t>
        </is>
      </c>
      <c r="C4" s="19" t="inlineStr">
        <is>
          <t>Trigger</t>
        </is>
      </c>
      <c r="D4" s="19" t="inlineStr">
        <is>
          <t>What changed</t>
        </is>
      </c>
      <c r="E4" s="19" t="inlineStr">
        <is>
          <t>Reviewer notes</t>
        </is>
      </c>
      <c r="F4" s="19" t="inlineStr">
        <is>
          <t>Next check</t>
        </is>
      </c>
    </row>
    <row r="5">
      <c r="B5" s="20" t="n"/>
      <c r="C5" s="20" t="n"/>
      <c r="D5" s="20" t="n"/>
      <c r="E5" s="20" t="n"/>
      <c r="F5" s="20" t="n"/>
    </row>
    <row r="6">
      <c r="B6" s="20" t="n"/>
      <c r="C6" s="20" t="n"/>
      <c r="D6" s="20" t="n"/>
      <c r="E6" s="20" t="n"/>
      <c r="F6" s="20" t="n"/>
    </row>
    <row r="7">
      <c r="B7" s="20" t="n"/>
      <c r="C7" s="20" t="n"/>
      <c r="D7" s="20" t="n"/>
      <c r="E7" s="20" t="n"/>
      <c r="F7" s="20" t="n"/>
    </row>
    <row r="8">
      <c r="B8" s="20" t="n"/>
      <c r="C8" s="20" t="n"/>
      <c r="D8" s="20" t="n"/>
      <c r="E8" s="20" t="n"/>
      <c r="F8" s="20" t="n"/>
    </row>
    <row r="9">
      <c r="B9" s="20" t="n"/>
      <c r="C9" s="20" t="n"/>
      <c r="D9" s="20" t="n"/>
      <c r="E9" s="20" t="n"/>
      <c r="F9" s="20" t="n"/>
    </row>
    <row r="10">
      <c r="B10" s="20" t="n"/>
      <c r="C10" s="20" t="n"/>
      <c r="D10" s="20" t="n"/>
      <c r="E10" s="20" t="n"/>
      <c r="F10" s="20" t="n"/>
    </row>
    <row r="11">
      <c r="B11" s="20" t="n"/>
      <c r="C11" s="20" t="n"/>
      <c r="D11" s="20" t="n"/>
      <c r="E11" s="20" t="n"/>
      <c r="F11" s="20" t="n"/>
    </row>
    <row r="12">
      <c r="B12" s="20" t="n"/>
      <c r="C12" s="20" t="n"/>
      <c r="D12" s="20" t="n"/>
      <c r="E12" s="20" t="n"/>
      <c r="F12" s="20" t="n"/>
    </row>
    <row r="13">
      <c r="B13" s="20" t="n"/>
      <c r="C13" s="20" t="n"/>
      <c r="D13" s="20" t="n"/>
      <c r="E13" s="20" t="n"/>
      <c r="F13" s="20" t="n"/>
    </row>
    <row r="14">
      <c r="B14" s="20" t="n"/>
      <c r="C14" s="20" t="n"/>
      <c r="D14" s="20" t="n"/>
      <c r="E14" s="20" t="n"/>
      <c r="F14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2026-08-03T22:47:58Z</dcterms:created>
  <dcterms:modified xsi:type="dcterms:W3CDTF">2026-08-03T22:47:58Z</dcterms:modified>
</cp:coreProperties>
</file>