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Unit Economics" sheetId="5" state="visible" r:id="rId5"/>
    <sheet xmlns:r="http://schemas.openxmlformats.org/officeDocument/2006/relationships" name="Cohort Retention" sheetId="6" state="visible" r:id="rId6"/>
    <sheet xmlns:r="http://schemas.openxmlformats.org/officeDocument/2006/relationships" name="Network &amp; Cohorts" sheetId="7" state="visible" r:id="rId7"/>
    <sheet xmlns:r="http://schemas.openxmlformats.org/officeDocument/2006/relationships" name="Fraud &amp; Risk" sheetId="8" state="visible" r:id="rId8"/>
    <sheet xmlns:r="http://schemas.openxmlformats.org/officeDocument/2006/relationships" name="Capital &amp; Liquidity" sheetId="9" state="visible" r:id="rId9"/>
    <sheet xmlns:r="http://schemas.openxmlformats.org/officeDocument/2006/relationships" name="Operational Controls" sheetId="10" state="visible" r:id="rId10"/>
    <sheet xmlns:r="http://schemas.openxmlformats.org/officeDocument/2006/relationships" name="Decision &amp; Checks" sheetId="11" state="visible" r:id="rId11"/>
    <sheet xmlns:r="http://schemas.openxmlformats.org/officeDocument/2006/relationships" name="RefreshLog" sheetId="12" state="visible" r:id="rId12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8">
    <numFmt numFmtId="164" formatCode="$#,##0;($#,##0);&quot;-&quot;"/>
    <numFmt numFmtId="165" formatCode="0.00%;(0.00%);&quot;-&quot;"/>
    <numFmt numFmtId="166" formatCode="0.0%;(0.0%);&quot;-&quot;"/>
    <numFmt numFmtId="167" formatCode="0.0"/>
    <numFmt numFmtId="168" formatCode="0.00x"/>
    <numFmt numFmtId="169" formatCode="#,##0;(#,##0);&quot;-&quot;"/>
    <numFmt numFmtId="170" formatCode="0.000000"/>
    <numFmt numFmtId="171" formatCode="0.0x"/>
  </numFmts>
  <fonts count="10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i val="1"/>
      <color rgb="00808080"/>
      <sz val="8"/>
    </font>
    <font>
      <name val="Arial"/>
      <b val="1"/>
      <color rgb="00FFFFFF"/>
      <sz val="11"/>
    </font>
    <font>
      <b val="1"/>
      <color rgb="00FFFFFF"/>
      <sz val="15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1F4E78"/>
        <b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7B7B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3" fillId="2" borderId="1" pivotButton="0" quotePrefix="0" xfId="0"/>
    <xf numFmtId="165" fontId="3" fillId="2" borderId="1" pivotButton="0" quotePrefix="0" xfId="0"/>
    <xf numFmtId="166" fontId="3" fillId="2" borderId="1" pivotButton="0" quotePrefix="0" xfId="0"/>
    <xf numFmtId="0" fontId="2" fillId="3" borderId="0" pivotButton="0" quotePrefix="0" xfId="0"/>
    <xf numFmtId="164" fontId="0" fillId="0" borderId="1" pivotButton="0" quotePrefix="0" xfId="0"/>
    <xf numFmtId="164" fontId="2" fillId="0" borderId="1" pivotButton="0" quotePrefix="0" xfId="0"/>
    <xf numFmtId="167" fontId="0" fillId="0" borderId="1" pivotButton="0" quotePrefix="0" xfId="0"/>
    <xf numFmtId="168" fontId="2" fillId="0" borderId="1" pivotButton="0" quotePrefix="0" xfId="0"/>
    <xf numFmtId="0" fontId="5" fillId="0" borderId="0" pivotButton="0" quotePrefix="0" xfId="0"/>
    <xf numFmtId="166" fontId="3" fillId="0" borderId="1" pivotButton="0" quotePrefix="0" xfId="0"/>
    <xf numFmtId="166" fontId="2" fillId="0" borderId="1" pivotButton="0" quotePrefix="0" xfId="0"/>
    <xf numFmtId="2" fontId="2" fillId="0" borderId="1" pivotButton="0" quotePrefix="0" xfId="0"/>
    <xf numFmtId="169" fontId="3" fillId="2" borderId="1" pivotButton="0" quotePrefix="0" xfId="0"/>
    <xf numFmtId="166" fontId="2" fillId="2" borderId="1" pivotButton="0" quotePrefix="0" xfId="0"/>
    <xf numFmtId="0" fontId="6" fillId="4" borderId="0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169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170" fontId="0" fillId="0" borderId="1" pivotButton="0" quotePrefix="0" xfId="0"/>
    <xf numFmtId="0" fontId="2" fillId="0" borderId="1" pivotButton="0" quotePrefix="0" xfId="0"/>
    <xf numFmtId="171" fontId="3" fillId="2" borderId="1" pivotButton="0" quotePrefix="0" xfId="0"/>
    <xf numFmtId="171" fontId="0" fillId="0" borderId="1" pivotButton="0" quotePrefix="0" xfId="0"/>
    <xf numFmtId="0" fontId="7" fillId="5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5" borderId="0" pivotButton="0" quotePrefix="0" xfId="0"/>
    <xf numFmtId="0" fontId="8" fillId="6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0" customWidth="1" min="3" max="3"/>
    <col width="4" customWidth="1" min="4" max="4"/>
  </cols>
  <sheetData>
    <row r="2">
      <c r="B2" s="1" t="inlineStr">
        <is>
          <t>[COMPANY] — Fintech / Payments Model</t>
        </is>
      </c>
    </row>
    <row r="4">
      <c r="B4" s="2" t="inlineStr">
        <is>
          <t>Business model:</t>
        </is>
      </c>
      <c r="C4" s="3" t="inlineStr">
        <is>
          <t>Payments / lending / neobank / infra</t>
        </is>
      </c>
    </row>
    <row r="5">
      <c r="B5" s="2" t="inlineStr">
        <is>
          <t>Last refreshed:</t>
        </is>
      </c>
      <c r="C5" s="3" t="inlineStr">
        <is>
          <t>[date]</t>
        </is>
      </c>
    </row>
    <row r="6">
      <c r="B6" s="2" t="inlineStr">
        <is>
          <t>Refresh cadence:</t>
        </is>
      </c>
      <c r="C6" s="3" t="inlineStr">
        <is>
          <t>Weekly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30" t="inlineStr">
        <is>
          <t>Fintech &amp; Payments — Institutional Decision Surface</t>
        </is>
      </c>
    </row>
    <row r="4">
      <c r="B4" s="31" t="inlineStr">
        <is>
          <t>Model ID</t>
        </is>
      </c>
      <c r="C4" s="32" t="inlineStr">
        <is>
          <t>23</t>
        </is>
      </c>
    </row>
    <row r="5">
      <c r="B5" s="31" t="inlineStr">
        <is>
          <t>Domain</t>
        </is>
      </c>
      <c r="C5" s="32" t="inlineStr">
        <is>
          <t>Fintech &amp; Payments</t>
        </is>
      </c>
    </row>
    <row r="6">
      <c r="B6" s="31" t="inlineStr">
        <is>
          <t>Declared maturity</t>
        </is>
      </c>
      <c r="C6" s="32" t="inlineStr">
        <is>
          <t>M2</t>
        </is>
      </c>
    </row>
    <row r="7">
      <c r="B7" s="31" t="inlineStr">
        <is>
          <t>Canonical builder</t>
        </is>
      </c>
      <c r="C7" s="32" t="inlineStr">
        <is>
          <t>tools/builders/build_fintech_release.py</t>
        </is>
      </c>
    </row>
    <row r="8">
      <c r="B8" s="31" t="inlineStr">
        <is>
          <t>Decision arena</t>
        </is>
      </c>
      <c r="C8" s="32" t="inlineStr">
        <is>
          <t>product, finance, risk, treasury, operations and regulator</t>
        </is>
      </c>
    </row>
    <row r="9">
      <c r="B9" s="31" t="inlineStr">
        <is>
          <t>Committee artifact</t>
        </is>
      </c>
      <c r="C9" s="32" t="inlineStr">
        <is>
          <t>unit economics, loss and settlement-risk pack</t>
        </is>
      </c>
    </row>
    <row r="10">
      <c r="B10" s="31" t="inlineStr">
        <is>
          <t>Operating cadence</t>
        </is>
      </c>
      <c r="C10" s="32" t="inlineStr">
        <is>
          <t>daily operations and treasury; weekly risk; monthly product finance</t>
        </is>
      </c>
    </row>
    <row r="12">
      <c r="B12" s="33" t="inlineStr">
        <is>
          <t>Key decision outputs</t>
        </is>
      </c>
    </row>
    <row r="13">
      <c r="B13" s="34" t="inlineStr">
        <is>
          <t>#</t>
        </is>
      </c>
      <c r="C13" s="34" t="inlineStr">
        <is>
          <t>Requirement</t>
        </is>
      </c>
      <c r="D13" s="34" t="inlineStr">
        <is>
          <t>Owner</t>
        </is>
      </c>
      <c r="E13" s="34" t="inlineStr">
        <is>
          <t>Evidence / location</t>
        </is>
      </c>
      <c r="F13" s="34" t="inlineStr">
        <is>
          <t>Status</t>
        </is>
      </c>
    </row>
    <row r="14">
      <c r="B14" t="n">
        <v>1</v>
      </c>
      <c r="C14" t="inlineStr">
        <is>
          <t>TPV / volume and take rate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contribution margin and cohort economics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fraud and credit losses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33" t="inlineStr">
        <is>
          <t>Insider questions</t>
        </is>
      </c>
    </row>
    <row r="21">
      <c r="B21" s="34" t="inlineStr">
        <is>
          <t>#</t>
        </is>
      </c>
      <c r="C21" s="34" t="inlineStr">
        <is>
          <t>Requirement</t>
        </is>
      </c>
      <c r="D21" s="34" t="inlineStr">
        <is>
          <t>Owner</t>
        </is>
      </c>
      <c r="E21" s="34" t="inlineStr">
        <is>
          <t>Evidence / location</t>
        </is>
      </c>
      <c r="F21" s="34" t="inlineStr">
        <is>
          <t>Status</t>
        </is>
      </c>
    </row>
    <row r="22">
      <c r="B22" t="n">
        <v>1</v>
      </c>
      <c r="C22" t="inlineStr">
        <is>
          <t>Where does settlement risk sit overnight?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Which partner can reprice or terminate?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What losses are fraud versus credit?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33" t="inlineStr">
        <is>
          <t>Scenario families</t>
        </is>
      </c>
    </row>
    <row r="29">
      <c r="B29" s="34" t="inlineStr">
        <is>
          <t>#</t>
        </is>
      </c>
      <c r="C29" s="34" t="inlineStr">
        <is>
          <t>Requirement</t>
        </is>
      </c>
      <c r="D29" s="34" t="inlineStr">
        <is>
          <t>Owner</t>
        </is>
      </c>
      <c r="E29" s="34" t="inlineStr">
        <is>
          <t>Evidence / location</t>
        </is>
      </c>
      <c r="F29" s="34" t="inlineStr">
        <is>
          <t>Status</t>
        </is>
      </c>
    </row>
    <row r="30">
      <c r="B30" t="n">
        <v>1</v>
      </c>
      <c r="C30" t="inlineStr">
        <is>
          <t>volume and take-rate compression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fraud / chargeback spike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partner-bank failure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33" t="inlineStr">
        <is>
          <t>Primary diligence documents</t>
        </is>
      </c>
    </row>
    <row r="37">
      <c r="B37" s="34" t="inlineStr">
        <is>
          <t>#</t>
        </is>
      </c>
      <c r="C37" s="34" t="inlineStr">
        <is>
          <t>Requirement</t>
        </is>
      </c>
      <c r="D37" s="34" t="inlineStr">
        <is>
          <t>Owner</t>
        </is>
      </c>
      <c r="E37" s="34" t="inlineStr">
        <is>
          <t>Evidence / location</t>
        </is>
      </c>
      <c r="F37" s="34" t="inlineStr">
        <is>
          <t>Status</t>
        </is>
      </c>
    </row>
    <row r="38">
      <c r="B38" t="n">
        <v>1</v>
      </c>
      <c r="C38" t="inlineStr">
        <is>
          <t>processor / network agreements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bank partnership and program agreements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settlement reports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33" t="inlineStr">
        <is>
          <t>Challenge tests</t>
        </is>
      </c>
    </row>
    <row r="45">
      <c r="B45" s="34" t="inlineStr">
        <is>
          <t>#</t>
        </is>
      </c>
      <c r="C45" s="34" t="inlineStr">
        <is>
          <t>Requirement</t>
        </is>
      </c>
      <c r="D45" s="34" t="inlineStr">
        <is>
          <t>Owner</t>
        </is>
      </c>
      <c r="E45" s="34" t="inlineStr">
        <is>
          <t>Evidence / location</t>
        </is>
      </c>
      <c r="F45" s="34" t="inlineStr">
        <is>
          <t>Status</t>
        </is>
      </c>
    </row>
    <row r="46">
      <c r="B46" t="n">
        <v>1</v>
      </c>
      <c r="C46" t="inlineStr">
        <is>
          <t>TPV reconciles to transactions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gross-to-net revenue bridge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loss vintage and cohort denominators consistent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33" t="inlineStr">
        <is>
          <t>Known failure modes</t>
        </is>
      </c>
    </row>
    <row r="53">
      <c r="B53" s="34" t="inlineStr">
        <is>
          <t>#</t>
        </is>
      </c>
      <c r="C53" s="34" t="inlineStr">
        <is>
          <t>Requirement</t>
        </is>
      </c>
      <c r="D53" s="34" t="inlineStr">
        <is>
          <t>Owner</t>
        </is>
      </c>
      <c r="E53" s="34" t="inlineStr">
        <is>
          <t>Evidence / location</t>
        </is>
      </c>
      <c r="F53" s="34" t="inlineStr">
        <is>
          <t>Status</t>
        </is>
      </c>
    </row>
    <row r="54">
      <c r="B54" t="n">
        <v>1</v>
      </c>
      <c r="C54" t="inlineStr">
        <is>
          <t>counting pass-through volume as revenue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using authorization rather than settled volume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ignoring negative working capital reversal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33" t="inlineStr">
        <is>
          <t>Regulatory / methodological anchors</t>
        </is>
      </c>
    </row>
    <row r="61">
      <c r="B61" s="34" t="inlineStr">
        <is>
          <t>Standard</t>
        </is>
      </c>
      <c r="C61" s="34" t="inlineStr">
        <is>
          <t>Scope</t>
        </is>
      </c>
      <c r="D61" s="34" t="inlineStr">
        <is>
          <t>Source URL</t>
        </is>
      </c>
      <c r="E61" s="34" t="inlineStr">
        <is>
          <t>Applicability</t>
        </is>
      </c>
      <c r="F61" s="34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FFIEC Retail Payment Systems</t>
        </is>
      </c>
      <c r="C63" t="inlineStr">
        <is>
          <t>payments, settlement and fraud risk</t>
        </is>
      </c>
      <c r="D63" t="inlineStr">
        <is>
          <t>https://ithandbook.ffiec.gov/it-booklets/retail-payment-systems.aspx</t>
        </is>
      </c>
      <c r="E63" t="inlineStr">
        <is>
          <t>Map explicitly</t>
        </is>
      </c>
      <c r="F63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30" t="inlineStr">
        <is>
          <t>Independent Challenge, Override and Closure Log</t>
        </is>
      </c>
    </row>
    <row r="4">
      <c r="B4" s="34" t="inlineStr">
        <is>
          <t>Date</t>
        </is>
      </c>
      <c r="C4" s="34" t="inlineStr">
        <is>
          <t>Reviewer</t>
        </is>
      </c>
      <c r="D4" s="34" t="inlineStr">
        <is>
          <t>Challenge</t>
        </is>
      </c>
      <c r="E4" s="34" t="inlineStr">
        <is>
          <t>Owner response</t>
        </is>
      </c>
      <c r="F4" s="34" t="inlineStr">
        <is>
          <t>Evidence</t>
        </is>
      </c>
      <c r="G4" s="34" t="inlineStr">
        <is>
          <t>Impact</t>
        </is>
      </c>
      <c r="H4" s="34" t="inlineStr">
        <is>
          <t>Status</t>
        </is>
      </c>
      <c r="I4" s="34" t="inlineStr">
        <is>
          <t>Closure</t>
        </is>
      </c>
    </row>
    <row r="5">
      <c r="B5" t="inlineStr"/>
      <c r="C5" t="inlineStr"/>
      <c r="D5" t="inlineStr">
        <is>
          <t>TPV reconciles to transactions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gross-to-net revenue bridge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loss vintage and cohort denominators consistent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30" t="inlineStr">
        <is>
          <t>Source, Transformation, Ownership and Refresh Map</t>
        </is>
      </c>
    </row>
    <row r="4">
      <c r="B4" s="34" t="inlineStr">
        <is>
          <t>Source class</t>
        </is>
      </c>
      <c r="C4" s="34" t="inlineStr">
        <is>
          <t>Cadence</t>
        </is>
      </c>
      <c r="D4" s="34" t="inlineStr">
        <is>
          <t>Control</t>
        </is>
      </c>
      <c r="E4" s="34" t="inlineStr">
        <is>
          <t>System / provider</t>
        </is>
      </c>
      <c r="F4" s="34" t="inlineStr">
        <is>
          <t>As-of</t>
        </is>
      </c>
      <c r="G4" s="34" t="inlineStr">
        <is>
          <t>Owner</t>
        </is>
      </c>
      <c r="H4" s="34" t="inlineStr">
        <is>
          <t>Transform</t>
        </is>
      </c>
      <c r="I4" s="34" t="inlineStr">
        <is>
          <t>Downstream</t>
        </is>
      </c>
      <c r="J4" s="34" t="inlineStr">
        <is>
          <t>Status</t>
        </is>
      </c>
    </row>
    <row r="5">
      <c r="B5" t="inlineStr">
        <is>
          <t>transactions</t>
        </is>
      </c>
      <c r="C5" t="inlineStr">
        <is>
          <t>intraday/daily</t>
        </is>
      </c>
      <c r="D5" t="inlineStr">
        <is>
          <t>processor-to-ledger reconciliation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settlement</t>
        </is>
      </c>
      <c r="C6" t="inlineStr">
        <is>
          <t>daily</t>
        </is>
      </c>
      <c r="D6" t="inlineStr">
        <is>
          <t>network, bank and cash tie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40" customWidth="1" min="4" max="4"/>
  </cols>
  <sheetData>
    <row r="2">
      <c r="B2" s="1" t="inlineStr">
        <is>
          <t>Unit Economics</t>
        </is>
      </c>
    </row>
    <row r="5">
      <c r="B5" s="4" t="inlineStr">
        <is>
          <t>Total payment volume, TPV ($/mo)</t>
        </is>
      </c>
      <c r="C5" s="5" t="n">
        <v>0</v>
      </c>
    </row>
    <row r="6">
      <c r="B6" s="4" t="inlineStr">
        <is>
          <t>Take rate (%)</t>
        </is>
      </c>
      <c r="C6" s="6" t="n">
        <v>0.025</v>
      </c>
    </row>
    <row r="7">
      <c r="B7" s="4" t="inlineStr">
        <is>
          <t>Interchange/processing cost (% of TPV)</t>
        </is>
      </c>
      <c r="C7" s="6" t="n">
        <v>0.015</v>
      </c>
    </row>
    <row r="8">
      <c r="B8" s="4" t="inlineStr">
        <is>
          <t>CAC ($ per customer)</t>
        </is>
      </c>
      <c r="C8" s="5" t="n">
        <v>0</v>
      </c>
    </row>
    <row r="9">
      <c r="B9" s="4" t="inlineStr">
        <is>
          <t>Avg monthly revenue per customer ($)</t>
        </is>
      </c>
      <c r="C9" s="5" t="n">
        <v>0</v>
      </c>
    </row>
    <row r="10">
      <c r="B10" s="4" t="inlineStr">
        <is>
          <t>Monthly gross margin per customer (%)</t>
        </is>
      </c>
      <c r="C10" s="7" t="n">
        <v>0.6</v>
      </c>
    </row>
    <row r="11">
      <c r="B11" s="4" t="inlineStr">
        <is>
          <t>Monthly churn rate (%)</t>
        </is>
      </c>
      <c r="C11" s="7" t="n">
        <v>0.03</v>
      </c>
    </row>
    <row r="13">
      <c r="B13" s="8" t="inlineStr">
        <is>
          <t>Outputs</t>
        </is>
      </c>
    </row>
    <row r="14">
      <c r="B14" t="inlineStr">
        <is>
          <t>Revenue (take rate x TPV)</t>
        </is>
      </c>
      <c r="C14" s="9">
        <f>C5*C6</f>
        <v/>
      </c>
    </row>
    <row r="15">
      <c r="B15" t="inlineStr">
        <is>
          <t>Processing cost ($)</t>
        </is>
      </c>
      <c r="C15" s="9">
        <f>C5*C7</f>
        <v/>
      </c>
    </row>
    <row r="16">
      <c r="B16" t="inlineStr">
        <is>
          <t>Net revenue after processing cost</t>
        </is>
      </c>
      <c r="C16" s="10">
        <f>C14-C15</f>
        <v/>
      </c>
    </row>
    <row r="17">
      <c r="B17" t="inlineStr">
        <is>
          <t>Customer lifetime (months) = 1/churn</t>
        </is>
      </c>
      <c r="C17" s="11">
        <f>IFERROR(1/C11,"-")</f>
        <v/>
      </c>
    </row>
    <row r="18">
      <c r="B18" t="inlineStr">
        <is>
          <t>LTV = monthly rev x gross margin x lifetime</t>
        </is>
      </c>
      <c r="C18" s="10">
        <f>C9*C10*C17</f>
        <v/>
      </c>
    </row>
    <row r="19">
      <c r="B19" t="inlineStr">
        <is>
          <t>LTV / CAC ratio</t>
        </is>
      </c>
      <c r="C19" s="12">
        <f>IFERROR(C18/C8,"-")</f>
        <v/>
      </c>
      <c r="D19" s="13" t="inlineStr">
        <is>
          <t>Rule of thumb: &gt;3x is healthy, &lt;1x means losing money per customer</t>
        </is>
      </c>
    </row>
    <row r="20">
      <c r="B20" t="inlineStr">
        <is>
          <t>CAC payback period (months)</t>
        </is>
      </c>
      <c r="C20" s="11">
        <f>IFERROR(C8/(C9*C10),"-")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2">
      <c r="B2" s="1" t="inlineStr">
        <is>
          <t>Cohort Retention (% of cohort still active)</t>
        </is>
      </c>
    </row>
    <row r="4">
      <c r="B4" s="8" t="inlineStr">
        <is>
          <t>Cohort</t>
        </is>
      </c>
      <c r="C4" s="8" t="inlineStr">
        <is>
          <t>M0</t>
        </is>
      </c>
      <c r="D4" s="8" t="inlineStr">
        <is>
          <t>M1</t>
        </is>
      </c>
      <c r="E4" s="8" t="inlineStr">
        <is>
          <t>M2</t>
        </is>
      </c>
      <c r="F4" s="8" t="inlineStr">
        <is>
          <t>M3</t>
        </is>
      </c>
      <c r="G4" s="8" t="inlineStr">
        <is>
          <t>M4</t>
        </is>
      </c>
      <c r="H4" s="8" t="inlineStr">
        <is>
          <t>M5</t>
        </is>
      </c>
      <c r="I4" s="8" t="inlineStr">
        <is>
          <t>M6</t>
        </is>
      </c>
      <c r="J4" s="8" t="inlineStr">
        <is>
          <t>M7</t>
        </is>
      </c>
    </row>
    <row r="5">
      <c r="B5" s="2" t="inlineStr">
        <is>
          <t>Jan cohort</t>
        </is>
      </c>
      <c r="C5" s="14" t="n">
        <v>1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</row>
    <row r="6">
      <c r="B6" s="2" t="inlineStr">
        <is>
          <t>Feb cohort</t>
        </is>
      </c>
      <c r="C6" s="14" t="n">
        <v>1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</row>
    <row r="7">
      <c r="B7" s="2" t="inlineStr">
        <is>
          <t>Mar cohort</t>
        </is>
      </c>
      <c r="C7" s="14" t="n">
        <v>1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</row>
    <row r="8">
      <c r="B8" s="2" t="inlineStr">
        <is>
          <t>Apr cohort</t>
        </is>
      </c>
      <c r="C8" s="14" t="n">
        <v>1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</row>
    <row r="9">
      <c r="B9" s="2" t="inlineStr">
        <is>
          <t>Average retention</t>
        </is>
      </c>
      <c r="C9" s="15">
        <f>AVERAGE(C5:C8)</f>
        <v/>
      </c>
      <c r="D9" s="15">
        <f>AVERAGE(D5:D8)</f>
        <v/>
      </c>
      <c r="E9" s="15">
        <f>AVERAGE(E5:E8)</f>
        <v/>
      </c>
      <c r="F9" s="15">
        <f>AVERAGE(F5:F8)</f>
        <v/>
      </c>
      <c r="G9" s="15">
        <f>AVERAGE(G5:G8)</f>
        <v/>
      </c>
      <c r="H9" s="15">
        <f>AVERAGE(H5:H8)</f>
        <v/>
      </c>
      <c r="I9" s="15">
        <f>AVERAGE(I5:I8)</f>
        <v/>
      </c>
      <c r="J9" s="15">
        <f>AVERAGE(J5:J8)</f>
        <v/>
      </c>
    </row>
    <row r="10">
      <c r="B10" t="inlineStr">
        <is>
          <t>Curve-implied LTV multiplier (sum of avg retention, M0-M7)</t>
        </is>
      </c>
      <c r="C10" s="16">
        <f>SUM(C9:J9)</f>
        <v/>
      </c>
    </row>
    <row r="11">
      <c r="B11" s="13" t="inlineStr">
        <is>
          <t>M0 always = 100% by definition. Fill subsequent months as cohorts age.</t>
        </is>
      </c>
    </row>
    <row r="12">
      <c r="B12" s="13" t="inlineStr">
        <is>
          <t>Retention-curve LTV = monthly rev x gross margin x this multiplier — compare to the steady-state 1/churn LTV on Unit Economics; a big gap means churn isn't actually constant month to month (usually front-loaded), and the curve number is the more honest one.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18" customWidth="1" min="4" max="4"/>
    <col width="18" customWidth="1" min="5" max="5"/>
    <col width="42" customWidth="1" min="6" max="6"/>
  </cols>
  <sheetData>
    <row r="2">
      <c r="B2" s="1" t="inlineStr">
        <is>
          <t>Customer, Merchant, and Network Activity Rollforward</t>
        </is>
      </c>
    </row>
    <row r="3">
      <c r="B3" t="inlineStr">
        <is>
          <t>Active scenario</t>
        </is>
      </c>
      <c r="C3" s="21" t="inlineStr">
        <is>
          <t>Base</t>
        </is>
      </c>
    </row>
    <row r="4">
      <c r="B4" s="19" t="inlineStr">
        <is>
          <t>Metric</t>
        </is>
      </c>
      <c r="C4" s="19" t="inlineStr">
        <is>
          <t>Base</t>
        </is>
      </c>
      <c r="D4" s="19" t="inlineStr">
        <is>
          <t>Downside</t>
        </is>
      </c>
      <c r="E4" s="19" t="inlineStr">
        <is>
          <t>Active</t>
        </is>
      </c>
      <c r="F4" s="19" t="inlineStr">
        <is>
          <t>Interpretation</t>
        </is>
      </c>
    </row>
    <row r="5">
      <c r="B5" t="inlineStr">
        <is>
          <t>Starting active users</t>
        </is>
      </c>
      <c r="C5" s="17" t="n">
        <v>100000</v>
      </c>
      <c r="D5" s="17" t="n">
        <v>100000</v>
      </c>
      <c r="E5" s="22">
        <f>IF($C$3="Downside",D5,C5)</f>
        <v/>
      </c>
      <c r="F5" t="inlineStr">
        <is>
          <t>beginning-of-period active customers</t>
        </is>
      </c>
    </row>
    <row r="6">
      <c r="B6" t="inlineStr">
        <is>
          <t>Retention rate</t>
        </is>
      </c>
      <c r="C6" s="7" t="n">
        <v>0.9</v>
      </c>
      <c r="D6" s="7" t="n">
        <v>0.55</v>
      </c>
      <c r="E6" s="23">
        <f>IF($C$3="Downside",D6,C6)</f>
        <v/>
      </c>
      <c r="F6" t="inlineStr">
        <is>
          <t>same-period active retention</t>
        </is>
      </c>
    </row>
    <row r="7">
      <c r="B7" t="inlineStr">
        <is>
          <t>New users</t>
        </is>
      </c>
      <c r="C7" s="17" t="n">
        <v>20000</v>
      </c>
      <c r="D7" s="17" t="n">
        <v>5000</v>
      </c>
      <c r="E7" s="22">
        <f>IF($C$3="Downside",D7,C7)</f>
        <v/>
      </c>
      <c r="F7" t="inlineStr">
        <is>
          <t>newly activated customers</t>
        </is>
      </c>
    </row>
    <row r="8">
      <c r="B8" t="inlineStr">
        <is>
          <t>Starting active merchants</t>
        </is>
      </c>
      <c r="C8" s="17" t="n">
        <v>5000</v>
      </c>
      <c r="D8" s="17" t="n">
        <v>5000</v>
      </c>
      <c r="E8" s="22">
        <f>IF($C$3="Downside",D8,C8)</f>
        <v/>
      </c>
      <c r="F8" t="inlineStr">
        <is>
          <t>beginning merchant base</t>
        </is>
      </c>
    </row>
    <row r="9">
      <c r="B9" t="inlineStr">
        <is>
          <t>Merchant retention rate</t>
        </is>
      </c>
      <c r="C9" s="7" t="n">
        <v>0.9399999999999999</v>
      </c>
      <c r="D9" s="7" t="n">
        <v>0.7</v>
      </c>
      <c r="E9" s="23">
        <f>IF($C$3="Downside",D9,C9)</f>
        <v/>
      </c>
      <c r="F9" t="inlineStr">
        <is>
          <t>merchant-side retention</t>
        </is>
      </c>
    </row>
    <row r="10">
      <c r="B10" t="inlineStr">
        <is>
          <t>New merchants</t>
        </is>
      </c>
      <c r="C10" s="17" t="n">
        <v>750</v>
      </c>
      <c r="D10" s="17" t="n">
        <v>100</v>
      </c>
      <c r="E10" s="22">
        <f>IF($C$3="Downside",D10,C10)</f>
        <v/>
      </c>
      <c r="F10" t="inlineStr">
        <is>
          <t>newly activated merchants</t>
        </is>
      </c>
    </row>
    <row r="11">
      <c r="B11" t="inlineStr">
        <is>
          <t>Transactions</t>
        </is>
      </c>
      <c r="C11" s="17" t="n">
        <v>1500000</v>
      </c>
      <c r="D11" s="17" t="n">
        <v>300000</v>
      </c>
      <c r="E11" s="22">
        <f>IF($C$3="Downside",D11,C11)</f>
        <v/>
      </c>
      <c r="F11" t="inlineStr">
        <is>
          <t>successful transactions in period</t>
        </is>
      </c>
    </row>
    <row r="12">
      <c r="B12" t="inlineStr">
        <is>
          <t>Failed / reversed transactions</t>
        </is>
      </c>
      <c r="C12" s="17" t="n">
        <v>15000</v>
      </c>
      <c r="D12" s="17" t="n">
        <v>45000</v>
      </c>
      <c r="E12" s="22">
        <f>IF($C$3="Downside",D12,C12)</f>
        <v/>
      </c>
      <c r="F12" t="inlineStr">
        <is>
          <t>operational and risk failures</t>
        </is>
      </c>
    </row>
    <row r="15">
      <c r="B15" s="8" t="inlineStr">
        <is>
          <t>Derived outputs</t>
        </is>
      </c>
    </row>
    <row r="16">
      <c r="B16" t="inlineStr">
        <is>
          <t>Ending active users</t>
        </is>
      </c>
      <c r="E16" s="22">
        <f>E5*E6+E7</f>
        <v/>
      </c>
    </row>
    <row r="17">
      <c r="B17" t="inlineStr">
        <is>
          <t>Ending active merchants</t>
        </is>
      </c>
      <c r="E17" s="22">
        <f>E8*E9+E10</f>
        <v/>
      </c>
    </row>
    <row r="18">
      <c r="B18" t="inlineStr">
        <is>
          <t>Transactions per active user</t>
        </is>
      </c>
      <c r="E18" s="24">
        <f>IFERROR(E11/E16,0)</f>
        <v/>
      </c>
    </row>
    <row r="19">
      <c r="B19" t="inlineStr">
        <is>
          <t>Transactions per active merchant</t>
        </is>
      </c>
      <c r="E19" s="24">
        <f>IFERROR(E11/E17,0)</f>
        <v/>
      </c>
    </row>
    <row r="20">
      <c r="B20" t="inlineStr">
        <is>
          <t>Transaction failure rate</t>
        </is>
      </c>
      <c r="E20" s="25">
        <f>IFERROR(E12/(E11+E12),0)</f>
        <v/>
      </c>
    </row>
    <row r="21">
      <c r="B21" t="inlineStr">
        <is>
          <t>Cross-side network density</t>
        </is>
      </c>
      <c r="E21" s="26">
        <f>IFERROR(E11/(E16*E17),0)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44" customWidth="1" min="4" max="4"/>
  </cols>
  <sheetData>
    <row r="2">
      <c r="B2" s="1" t="inlineStr">
        <is>
          <t>Fraud, Chargeback &amp; Credit Loss</t>
        </is>
      </c>
    </row>
    <row r="4">
      <c r="B4" s="8" t="inlineStr">
        <is>
          <t>Inputs</t>
        </is>
      </c>
    </row>
    <row r="5">
      <c r="B5" s="4" t="inlineStr">
        <is>
          <t>Total payment volume, TPV ($/mo)</t>
        </is>
      </c>
      <c r="C5" s="5" t="n">
        <v>0</v>
      </c>
    </row>
    <row r="6">
      <c r="B6" s="4" t="inlineStr">
        <is>
          <t>Fraud loss rate (bps of TPV)</t>
        </is>
      </c>
      <c r="C6" s="17" t="n">
        <v>8</v>
      </c>
    </row>
    <row r="7">
      <c r="B7" s="4" t="inlineStr">
        <is>
          <t>Chargeback count (this period)</t>
        </is>
      </c>
      <c r="C7" s="17" t="n">
        <v>0</v>
      </c>
    </row>
    <row r="8">
      <c r="B8" s="4" t="inlineStr">
        <is>
          <t>Chargeback cost per incident ($, fee + lost goods)</t>
        </is>
      </c>
      <c r="C8" s="5" t="n">
        <v>25</v>
      </c>
    </row>
    <row r="9">
      <c r="B9" s="4" t="inlineStr">
        <is>
          <t>Credit losses — lending book only, if applicable ($)</t>
        </is>
      </c>
      <c r="C9" s="5" t="n">
        <v>0</v>
      </c>
    </row>
    <row r="10">
      <c r="B10" t="inlineStr">
        <is>
          <t>Fraud warning threshold (bps of TPV)</t>
        </is>
      </c>
      <c r="C10" s="17" t="n">
        <v>50</v>
      </c>
    </row>
    <row r="11">
      <c r="B11" s="8" t="inlineStr">
        <is>
          <t>Outputs</t>
        </is>
      </c>
    </row>
    <row r="12">
      <c r="B12" t="inlineStr">
        <is>
          <t>Fraud loss ($)</t>
        </is>
      </c>
      <c r="C12" s="9">
        <f>C5*C6/10000</f>
        <v/>
      </c>
      <c r="D12" s="13" t="inlineStr">
        <is>
          <t>bps convention: 8 bps = 0.08%</t>
        </is>
      </c>
    </row>
    <row r="13">
      <c r="B13" t="inlineStr">
        <is>
          <t>Chargeback cost ($)</t>
        </is>
      </c>
      <c r="C13" s="9">
        <f>C7*C8</f>
        <v/>
      </c>
    </row>
    <row r="14">
      <c r="B14" t="inlineStr">
        <is>
          <t>Total risk-related loss ($)</t>
        </is>
      </c>
      <c r="C14" s="10">
        <f>C12+C13+C9</f>
        <v/>
      </c>
    </row>
    <row r="15">
      <c r="B15" t="inlineStr">
        <is>
          <t>Total loss as % of net revenue</t>
        </is>
      </c>
      <c r="C15" s="18">
        <f>IFERROR(C14/'Unit Economics'!C16,"-")</f>
        <v/>
      </c>
      <c r="D15" s="13" t="inlineStr">
        <is>
          <t>Threshold is model-owned and must be approved for the product, channel, geography, and control environment.</t>
        </is>
      </c>
    </row>
    <row r="16">
      <c r="B16" t="inlineStr">
        <is>
          <t>Fraud threshold status</t>
        </is>
      </c>
      <c r="C16" s="27">
        <f>IF(C6&lt;=C10,"PASS","BREACH")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18" customWidth="1" min="4" max="4"/>
    <col width="44" customWidth="1" min="5" max="5"/>
  </cols>
  <sheetData>
    <row r="2">
      <c r="B2" s="1" t="inlineStr">
        <is>
          <t>Capital, Settlement, and Liquidity Coverage</t>
        </is>
      </c>
    </row>
    <row r="4">
      <c r="B4" s="19" t="inlineStr">
        <is>
          <t>Metric</t>
        </is>
      </c>
      <c r="C4" s="19" t="inlineStr">
        <is>
          <t>Base</t>
        </is>
      </c>
      <c r="D4" s="19" t="inlineStr">
        <is>
          <t>Downside</t>
        </is>
      </c>
      <c r="E4" s="19" t="inlineStr">
        <is>
          <t>Units / control</t>
        </is>
      </c>
    </row>
    <row r="5">
      <c r="B5" t="inlineStr">
        <is>
          <t>Available regulatory / loss-absorbing capital</t>
        </is>
      </c>
      <c r="C5" s="5" t="n">
        <v>20</v>
      </c>
      <c r="D5" s="5" t="n">
        <v>5</v>
      </c>
      <c r="E5" t="inlineStr">
        <is>
          <t>approved eligible capital</t>
        </is>
      </c>
    </row>
    <row r="6">
      <c r="B6" t="inlineStr">
        <is>
          <t>Required capital</t>
        </is>
      </c>
      <c r="C6" s="5" t="n">
        <v>10</v>
      </c>
      <c r="D6" s="5" t="n">
        <v>20</v>
      </c>
      <c r="E6" t="inlineStr">
        <is>
          <t>regulatory or internal risk requirement</t>
        </is>
      </c>
    </row>
    <row r="7">
      <c r="B7" t="inlineStr">
        <is>
          <t>Unrestricted cash and liquid investments</t>
        </is>
      </c>
      <c r="C7" s="5" t="n">
        <v>25</v>
      </c>
      <c r="D7" s="5" t="n">
        <v>8</v>
      </c>
      <c r="E7" t="inlineStr">
        <is>
          <t>same-day or near-cash liquidity</t>
        </is>
      </c>
    </row>
    <row r="8">
      <c r="B8" t="inlineStr">
        <is>
          <t>Thirty-day settlement and operating obligations</t>
        </is>
      </c>
      <c r="C8" s="5" t="n">
        <v>15</v>
      </c>
      <c r="D8" s="5" t="n">
        <v>25</v>
      </c>
      <c r="E8" t="inlineStr">
        <is>
          <t>cash outflows under stress</t>
        </is>
      </c>
    </row>
    <row r="9">
      <c r="B9" t="inlineStr">
        <is>
          <t>Restricted customer / safeguarding funds</t>
        </is>
      </c>
      <c r="C9" s="5" t="n">
        <v>30</v>
      </c>
      <c r="D9" s="5" t="n">
        <v>30</v>
      </c>
      <c r="E9" t="inlineStr">
        <is>
          <t>not available for corporate liquidity</t>
        </is>
      </c>
    </row>
    <row r="10">
      <c r="B10" t="inlineStr">
        <is>
          <t>Minimum capital coverage</t>
        </is>
      </c>
      <c r="C10" s="28" t="n">
        <v>1.2</v>
      </c>
      <c r="D10" s="28" t="n">
        <v>1.2</v>
      </c>
      <c r="E10" t="inlineStr">
        <is>
          <t>available / required</t>
        </is>
      </c>
    </row>
    <row r="11">
      <c r="B11" t="inlineStr">
        <is>
          <t>Minimum liquidity coverage</t>
        </is>
      </c>
      <c r="C11" s="28" t="n">
        <v>1.1</v>
      </c>
      <c r="D11" s="28" t="n">
        <v>1.1</v>
      </c>
      <c r="E11" t="inlineStr">
        <is>
          <t>unrestricted liquidity / obligations</t>
        </is>
      </c>
    </row>
    <row r="14">
      <c r="B14" t="inlineStr">
        <is>
          <t>Capital coverage</t>
        </is>
      </c>
      <c r="C14" s="29">
        <f>IFERROR(C5/C6,0)</f>
        <v/>
      </c>
      <c r="D14" s="29">
        <f>IFERROR(D5/D6,0)</f>
        <v/>
      </c>
    </row>
    <row r="15">
      <c r="B15" t="inlineStr">
        <is>
          <t>Liquidity coverage</t>
        </is>
      </c>
      <c r="C15" s="29">
        <f>IFERROR(C7/C8,0)</f>
        <v/>
      </c>
      <c r="D15" s="29">
        <f>IFERROR(D7/D8,0)</f>
        <v/>
      </c>
    </row>
    <row r="16">
      <c r="B16" t="inlineStr">
        <is>
          <t>Capital headroom</t>
        </is>
      </c>
      <c r="C16" s="9">
        <f>C5-C6</f>
        <v/>
      </c>
      <c r="D16" s="9">
        <f>D5-D6</f>
        <v/>
      </c>
    </row>
    <row r="17">
      <c r="B17" t="inlineStr">
        <is>
          <t>Liquidity headroom</t>
        </is>
      </c>
      <c r="C17" s="9">
        <f>C7-C8</f>
        <v/>
      </c>
      <c r="D17" s="9">
        <f>D7-D8</f>
        <v/>
      </c>
    </row>
    <row r="18">
      <c r="B18" t="inlineStr">
        <is>
          <t>Base status</t>
        </is>
      </c>
      <c r="C18" s="20">
        <f>IF(AND(C14&gt;=C10,C15&gt;=C11),"PASS","BREACH")</f>
        <v/>
      </c>
      <c r="D18" s="20" t="n"/>
    </row>
    <row r="19">
      <c r="B19" t="inlineStr">
        <is>
          <t>Downside status</t>
        </is>
      </c>
      <c r="C19" s="20">
        <f>IF(AND(D14&gt;=D10,D15&gt;=D11),"PASS","BREACH")</f>
        <v/>
      </c>
      <c r="D19" s="20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24" customWidth="1" min="4" max="4"/>
    <col width="22" customWidth="1" min="5" max="5"/>
    <col width="20" customWidth="1" min="6" max="6"/>
    <col width="42" customWidth="1" min="7" max="7"/>
  </cols>
  <sheetData>
    <row r="2">
      <c r="B2" s="1" t="inlineStr">
        <is>
          <t>Payments Endpoint Security and Fraud-Control Register</t>
        </is>
      </c>
    </row>
    <row r="4">
      <c r="B4" s="19" t="inlineStr">
        <is>
          <t>Control</t>
        </is>
      </c>
      <c r="C4" s="19" t="inlineStr">
        <is>
          <t>Owner</t>
        </is>
      </c>
      <c r="D4" s="19" t="inlineStr">
        <is>
          <t>Type</t>
        </is>
      </c>
      <c r="E4" s="19" t="inlineStr">
        <is>
          <t>Metric</t>
        </is>
      </c>
      <c r="F4" s="19" t="inlineStr">
        <is>
          <t>Threshold</t>
        </is>
      </c>
      <c r="G4" s="19" t="inlineStr">
        <is>
          <t>Retained evidence</t>
        </is>
      </c>
    </row>
    <row r="5">
      <c r="B5" s="20" t="inlineStr">
        <is>
          <t>Strong authentication and privileged access</t>
        </is>
      </c>
      <c r="C5" s="20" t="inlineStr">
        <is>
          <t>Security</t>
        </is>
      </c>
      <c r="D5" s="20" t="inlineStr">
        <is>
          <t>Prevent</t>
        </is>
      </c>
      <c r="E5" s="20" t="inlineStr">
        <is>
          <t>Privileged-access exceptions</t>
        </is>
      </c>
      <c r="F5" s="20" t="inlineStr">
        <is>
          <t>0 unresolved</t>
        </is>
      </c>
      <c r="G5" s="20" t="inlineStr">
        <is>
          <t>access review and exception log</t>
        </is>
      </c>
    </row>
    <row r="6">
      <c r="B6" s="20" t="inlineStr">
        <is>
          <t>Payment instruction integrity</t>
        </is>
      </c>
      <c r="C6" s="20" t="inlineStr">
        <is>
          <t>Payments Ops</t>
        </is>
      </c>
      <c r="D6" s="20" t="inlineStr">
        <is>
          <t>Prevent</t>
        </is>
      </c>
      <c r="E6" s="20" t="inlineStr">
        <is>
          <t>Unauthorized instruction rate</t>
        </is>
      </c>
      <c r="F6" s="20" t="inlineStr">
        <is>
          <t>approved threshold</t>
        </is>
      </c>
      <c r="G6" s="20" t="inlineStr">
        <is>
          <t>signed instruction and change history</t>
        </is>
      </c>
    </row>
    <row r="7">
      <c r="B7" s="20" t="inlineStr">
        <is>
          <t>Real-time fraud detection</t>
        </is>
      </c>
      <c r="C7" s="20" t="inlineStr">
        <is>
          <t>Risk</t>
        </is>
      </c>
      <c r="D7" s="20" t="inlineStr">
        <is>
          <t>Detect</t>
        </is>
      </c>
      <c r="E7" s="20" t="inlineStr">
        <is>
          <t>Fraud bps / TPV</t>
        </is>
      </c>
      <c r="F7" s="20" t="inlineStr">
        <is>
          <t>Fraud &amp; Risk!C10</t>
        </is>
      </c>
      <c r="G7" s="20" t="inlineStr">
        <is>
          <t>alert, decision, and loss record</t>
        </is>
      </c>
    </row>
    <row r="8">
      <c r="B8" s="20" t="inlineStr">
        <is>
          <t>Settlement reconciliation</t>
        </is>
      </c>
      <c r="C8" s="20" t="inlineStr">
        <is>
          <t>Finance Ops</t>
        </is>
      </c>
      <c r="D8" s="20" t="inlineStr">
        <is>
          <t>Detect</t>
        </is>
      </c>
      <c r="E8" s="20" t="inlineStr">
        <is>
          <t>Unreconciled settlement items</t>
        </is>
      </c>
      <c r="F8" s="20" t="inlineStr">
        <is>
          <t>0 material</t>
        </is>
      </c>
      <c r="G8" s="20" t="inlineStr">
        <is>
          <t>daily reconciliation evidence</t>
        </is>
      </c>
    </row>
    <row r="9">
      <c r="B9" s="20" t="inlineStr">
        <is>
          <t>Incident response and customer protection</t>
        </is>
      </c>
      <c r="C9" s="20" t="inlineStr">
        <is>
          <t>Operations</t>
        </is>
      </c>
      <c r="D9" s="20" t="inlineStr">
        <is>
          <t>Respond</t>
        </is>
      </c>
      <c r="E9" s="20" t="inlineStr">
        <is>
          <t>Time to contain</t>
        </is>
      </c>
      <c r="F9" s="20" t="inlineStr">
        <is>
          <t>approved SLA</t>
        </is>
      </c>
      <c r="G9" s="20" t="inlineStr">
        <is>
          <t>incident timeline and remediation</t>
        </is>
      </c>
    </row>
    <row r="10">
      <c r="B10" s="20" t="inlineStr">
        <is>
          <t>Recovery and continuity</t>
        </is>
      </c>
      <c r="C10" s="20" t="inlineStr">
        <is>
          <t>Engineering</t>
        </is>
      </c>
      <c r="D10" s="20" t="inlineStr">
        <is>
          <t>Recover</t>
        </is>
      </c>
      <c r="E10" s="20" t="inlineStr">
        <is>
          <t>Recovery test result</t>
        </is>
      </c>
      <c r="F10" s="20" t="inlineStr">
        <is>
          <t>PASS</t>
        </is>
      </c>
      <c r="G10" s="20" t="inlineStr">
        <is>
          <t>dated recovery exercise</t>
        </is>
      </c>
    </row>
    <row r="11">
      <c r="B11" s="20" t="inlineStr">
        <is>
          <t>Third-party endpoint governance</t>
        </is>
      </c>
      <c r="C11" s="20" t="inlineStr">
        <is>
          <t>Vendor Risk</t>
        </is>
      </c>
      <c r="D11" s="20" t="inlineStr">
        <is>
          <t>Govern</t>
        </is>
      </c>
      <c r="E11" s="20" t="inlineStr">
        <is>
          <t>Critical vendors overdue</t>
        </is>
      </c>
      <c r="F11" s="20" t="inlineStr">
        <is>
          <t>0</t>
        </is>
      </c>
      <c r="G11" s="20" t="inlineStr">
        <is>
          <t>assessment and remediation record</t>
        </is>
      </c>
    </row>
    <row r="14">
      <c r="B14" s="13" t="inlineStr">
        <is>
          <t>Controls are an operating register, not a claim of compliance. Owners must replace illustrative thresholds with approved product-specific limits.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18" customWidth="1" min="4" max="4"/>
    <col width="48" customWidth="1" min="5" max="5"/>
  </cols>
  <sheetData>
    <row r="2">
      <c r="B2" s="1" t="inlineStr">
        <is>
          <t>Fintech / Payments Decision Dashboard and Independent Checks</t>
        </is>
      </c>
    </row>
    <row r="4">
      <c r="B4" s="19" t="inlineStr">
        <is>
          <t>Check / decision</t>
        </is>
      </c>
      <c r="C4" s="19" t="inlineStr">
        <is>
          <t>Metric</t>
        </is>
      </c>
      <c r="D4" s="19" t="inlineStr">
        <is>
          <t>Status</t>
        </is>
      </c>
      <c r="E4" s="19" t="inlineStr">
        <is>
          <t>Interpretation / action</t>
        </is>
      </c>
    </row>
    <row r="5">
      <c r="B5" t="inlineStr">
        <is>
          <t>Revenue identity residual</t>
        </is>
      </c>
      <c r="C5" s="20">
        <f>'Unit Economics'!C14-'Unit Economics'!C5*'Unit Economics'!C6</f>
        <v/>
      </c>
      <c r="D5" s="20">
        <f>IF(ABS(C5)&lt;0.01,"PASS","FAIL")</f>
        <v/>
      </c>
      <c r="E5" t="inlineStr">
        <is>
          <t>Revenue must equal TPV multiplied by take rate.</t>
        </is>
      </c>
    </row>
    <row r="6">
      <c r="B6" t="inlineStr">
        <is>
          <t>Processing-cost residual</t>
        </is>
      </c>
      <c r="C6" s="20">
        <f>'Unit Economics'!C15-'Unit Economics'!C5*'Unit Economics'!C7</f>
        <v/>
      </c>
      <c r="D6" s="20">
        <f>IF(ABS(C6)&lt;0.01,"PASS","FAIL")</f>
        <v/>
      </c>
      <c r="E6" t="inlineStr">
        <is>
          <t>Network and processing costs must reconcile to volume and rate.</t>
        </is>
      </c>
    </row>
    <row r="7">
      <c r="B7" t="inlineStr">
        <is>
          <t>Fraud-loss residual</t>
        </is>
      </c>
      <c r="C7" s="20">
        <f>'Fraud &amp; Risk'!C12-'Fraud &amp; Risk'!C5*'Fraud &amp; Risk'!C6/10000</f>
        <v/>
      </c>
      <c r="D7" s="20">
        <f>IF(ABS(C7)&lt;0.01,"PASS","FAIL")</f>
        <v/>
      </c>
      <c r="E7" t="inlineStr">
        <is>
          <t>Fraud loss must reconcile from TPV and the bps convention.</t>
        </is>
      </c>
    </row>
    <row r="8">
      <c r="B8" t="inlineStr">
        <is>
          <t>LTV / CAC</t>
        </is>
      </c>
      <c r="C8" s="20">
        <f>'Unit Economics'!C19</f>
        <v/>
      </c>
      <c r="D8" s="20">
        <f>IF(ISNUMBER(C8),IF(C8&gt;=3,"PASS",IF(C8&gt;=1,"REVIEW","BREACH")),"REVIEW")</f>
        <v/>
      </c>
      <c r="E8" t="inlineStr">
        <is>
          <t>Low unit economics require pricing, retention, channel, or cost remediation.</t>
        </is>
      </c>
    </row>
    <row r="9">
      <c r="B9" t="inlineStr">
        <is>
          <t>Contribution after risk losses</t>
        </is>
      </c>
      <c r="C9" s="20">
        <f>'Unit Economics'!C16-'Fraud &amp; Risk'!C14</f>
        <v/>
      </c>
      <c r="D9" s="20">
        <f>IF(C9&gt;=0,"PASS","BREACH")</f>
        <v/>
      </c>
      <c r="E9" t="inlineStr">
        <is>
          <t>Volume growth is not valuable when processing, fraud, chargeback, and credit losses consume net revenue.</t>
        </is>
      </c>
    </row>
    <row r="10">
      <c r="B10" t="inlineStr">
        <is>
          <t>Maximum retention increase</t>
        </is>
      </c>
      <c r="C10" s="20">
        <f>MAX('Cohort Retention'!D9-'Cohort Retention'!C9,'Cohort Retention'!E9-'Cohort Retention'!D9,'Cohort Retention'!F9-'Cohort Retention'!E9,'Cohort Retention'!G9-'Cohort Retention'!F9,'Cohort Retention'!H9-'Cohort Retention'!G9,'Cohort Retention'!I9-'Cohort Retention'!H9,'Cohort Retention'!J9-'Cohort Retention'!I9)</f>
        <v/>
      </c>
      <c r="D10" s="20">
        <f>IF(C10&lt;=0.000001,"PASS","REVIEW")</f>
        <v/>
      </c>
      <c r="E10" t="inlineStr">
        <is>
          <t>Retention should not improve with age without an explicit reactivation or cohort-definition explanation.</t>
        </is>
      </c>
    </row>
    <row r="11">
      <c r="B11" t="inlineStr">
        <is>
          <t>Fraud threshold</t>
        </is>
      </c>
      <c r="C11" s="20">
        <f>'Fraud &amp; Risk'!C6</f>
        <v/>
      </c>
      <c r="D11" s="20">
        <f>IF(C11&lt;='Fraud &amp; Risk'!C10,"PASS","BREACH")</f>
        <v/>
      </c>
      <c r="E11" t="inlineStr">
        <is>
          <t>Escalate fraud losses above the approved product threshold.</t>
        </is>
      </c>
    </row>
    <row r="12">
      <c r="B12" t="inlineStr">
        <is>
          <t>Downside capital coverage</t>
        </is>
      </c>
      <c r="C12" s="20">
        <f>'Capital &amp; Liquidity'!D14</f>
        <v/>
      </c>
      <c r="D12" s="20">
        <f>IF(C12&gt;='Capital &amp; Liquidity'!D10,"PASS","BREACH")</f>
        <v/>
      </c>
      <c r="E12" t="inlineStr">
        <is>
          <t>Capital must remain above the approved requirement in downside conditions.</t>
        </is>
      </c>
    </row>
    <row r="13">
      <c r="B13" t="inlineStr">
        <is>
          <t>Downside liquidity coverage</t>
        </is>
      </c>
      <c r="C13" s="20">
        <f>'Capital &amp; Liquidity'!D15</f>
        <v/>
      </c>
      <c r="D13" s="20">
        <f>IF(C13&gt;='Capital &amp; Liquidity'!D11,"PASS","BREACH")</f>
        <v/>
      </c>
      <c r="E13" t="inlineStr">
        <is>
          <t>Restricted customer funds may not be counted as corporate liquidity.</t>
        </is>
      </c>
    </row>
    <row r="14">
      <c r="B14" t="inlineStr">
        <is>
          <t>Transaction failure rate</t>
        </is>
      </c>
      <c r="C14" s="20">
        <f>'Network &amp; Cohorts'!E20</f>
        <v/>
      </c>
      <c r="D14" s="20">
        <f>IF(C14&lt;=0.02,"PASS",IF(C14&lt;=0.05,"REVIEW","BREACH"))</f>
        <v/>
      </c>
      <c r="E14" t="inlineStr">
        <is>
          <t>Operational failure degrades retention, unit economics, and network trust.</t>
        </is>
      </c>
    </row>
    <row r="16">
      <c r="B16" s="2" t="inlineStr">
        <is>
          <t>Overall model status</t>
        </is>
      </c>
      <c r="C16" s="27">
        <f>IF(COUNTIF(D5:D14,"FAIL")+COUNTIF(D5:D14,"BREACH")&gt;0,"BREACH",IF(COUNTIF(D5:D14,"REVIEW")&gt;0,"REVIEW","PASS"))</f>
        <v/>
      </c>
    </row>
    <row r="18">
      <c r="B18" s="8" t="inlineStr">
        <is>
          <t>Primary decision outputs</t>
        </is>
      </c>
    </row>
    <row r="19">
      <c r="B19" t="inlineStr">
        <is>
          <t>TPV</t>
        </is>
      </c>
      <c r="C19" s="9">
        <f>'Unit Economics'!C5</f>
        <v/>
      </c>
    </row>
    <row r="20">
      <c r="B20" t="inlineStr">
        <is>
          <t>Net revenue after processing</t>
        </is>
      </c>
      <c r="C20" s="9">
        <f>'Unit Economics'!C16</f>
        <v/>
      </c>
    </row>
    <row r="21">
      <c r="B21" t="inlineStr">
        <is>
          <t>LTV</t>
        </is>
      </c>
      <c r="C21" s="9">
        <f>'Unit Economics'!C18</f>
        <v/>
      </c>
    </row>
    <row r="22">
      <c r="B22" t="inlineStr">
        <is>
          <t>LTV / CAC</t>
        </is>
      </c>
      <c r="C22" s="29">
        <f>'Unit Economics'!C19</f>
        <v/>
      </c>
    </row>
    <row r="23">
      <c r="B23" t="inlineStr">
        <is>
          <t>Total risk-related loss</t>
        </is>
      </c>
      <c r="C23" s="9">
        <f>'Fraud &amp; Risk'!C14</f>
        <v/>
      </c>
    </row>
    <row r="24">
      <c r="B24" t="inlineStr">
        <is>
          <t>Ending active users</t>
        </is>
      </c>
      <c r="C24" s="22">
        <f>'Network &amp; Cohorts'!E16</f>
        <v/>
      </c>
    </row>
    <row r="25">
      <c r="B25" t="inlineStr">
        <is>
          <t>Base capital coverage</t>
        </is>
      </c>
      <c r="C25" s="29">
        <f>'Capital &amp; Liquidity'!C14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Refresh Log</t>
        </is>
      </c>
    </row>
    <row r="4">
      <c r="B4" s="19" t="inlineStr">
        <is>
          <t>Date</t>
        </is>
      </c>
      <c r="C4" s="19" t="inlineStr">
        <is>
          <t>Trigger</t>
        </is>
      </c>
      <c r="D4" s="19" t="inlineStr">
        <is>
          <t>What changed</t>
        </is>
      </c>
      <c r="E4" s="19" t="inlineStr">
        <is>
          <t>Reviewer notes</t>
        </is>
      </c>
      <c r="F4" s="19" t="inlineStr">
        <is>
          <t>Next check</t>
        </is>
      </c>
    </row>
    <row r="5">
      <c r="B5" s="20" t="n"/>
      <c r="C5" s="20" t="n"/>
      <c r="D5" s="20" t="n"/>
      <c r="E5" s="20" t="n"/>
      <c r="F5" s="20" t="n"/>
    </row>
    <row r="6">
      <c r="B6" s="20" t="n"/>
      <c r="C6" s="20" t="n"/>
      <c r="D6" s="20" t="n"/>
      <c r="E6" s="20" t="n"/>
      <c r="F6" s="20" t="n"/>
    </row>
    <row r="7">
      <c r="B7" s="20" t="n"/>
      <c r="C7" s="20" t="n"/>
      <c r="D7" s="20" t="n"/>
      <c r="E7" s="20" t="n"/>
      <c r="F7" s="20" t="n"/>
    </row>
    <row r="8">
      <c r="B8" s="20" t="n"/>
      <c r="C8" s="20" t="n"/>
      <c r="D8" s="20" t="n"/>
      <c r="E8" s="20" t="n"/>
      <c r="F8" s="20" t="n"/>
    </row>
    <row r="9">
      <c r="B9" s="20" t="n"/>
      <c r="C9" s="20" t="n"/>
      <c r="D9" s="20" t="n"/>
      <c r="E9" s="20" t="n"/>
      <c r="F9" s="20" t="n"/>
    </row>
    <row r="10">
      <c r="B10" s="20" t="n"/>
      <c r="C10" s="20" t="n"/>
      <c r="D10" s="20" t="n"/>
      <c r="E10" s="20" t="n"/>
      <c r="F10" s="20" t="n"/>
    </row>
    <row r="11">
      <c r="B11" s="20" t="n"/>
      <c r="C11" s="20" t="n"/>
      <c r="D11" s="20" t="n"/>
      <c r="E11" s="20" t="n"/>
      <c r="F11" s="20" t="n"/>
    </row>
    <row r="12">
      <c r="B12" s="20" t="n"/>
      <c r="C12" s="20" t="n"/>
      <c r="D12" s="20" t="n"/>
      <c r="E12" s="20" t="n"/>
      <c r="F12" s="20" t="n"/>
    </row>
    <row r="13">
      <c r="B13" s="20" t="n"/>
      <c r="C13" s="20" t="n"/>
      <c r="D13" s="20" t="n"/>
      <c r="E13" s="20" t="n"/>
      <c r="F13" s="20" t="n"/>
    </row>
    <row r="14">
      <c r="B14" s="20" t="n"/>
      <c r="C14" s="20" t="n"/>
      <c r="D14" s="20" t="n"/>
      <c r="E14" s="20" t="n"/>
      <c r="F14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2026-09-07T21:00:29Z</dcterms:created>
  <dcterms:modified xmlns:dcterms="http://purl.org/dc/terms/" xmlns:xsi="http://www.w3.org/2001/XMLSchema-instance" xsi:type="dcterms:W3CDTF">2026-09-07T21:00:29Z</dcterms:modified>
</cp:coreProperties>
</file>