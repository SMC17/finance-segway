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Unit Economics" sheetId="5" state="visible" r:id="rId7"/>
    <sheet name="Cohort Retention" sheetId="6" state="visible" r:id="rId8"/>
    <sheet name="Network &amp; Cohorts" sheetId="7" state="visible" r:id="rId9"/>
    <sheet name="Fraud &amp; Risk" sheetId="8" state="visible" r:id="rId10"/>
    <sheet name="Capital &amp; Liquidity" sheetId="9" state="visible" r:id="rId11"/>
    <sheet name="Operational Controls" sheetId="10" state="visible" r:id="rId12"/>
    <sheet name="Decision &amp; Checks" sheetId="11" state="visible" r:id="rId13"/>
    <sheet name="RefreshLog" sheetId="12" state="visible" r:id="rId14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<sst xmlns="http://schemas.openxmlformats.org/spreadsheetml/2006/main" count="379" uniqueCount="289">
  <si>
    <t xml:space="preserve">[COMPANY] — Fintech / Payments Model</t>
  </si>
  <si>
    <t xml:space="preserve">Business model:</t>
  </si>
  <si>
    <t xml:space="preserve">Payments / lending / neobank / infra</t>
  </si>
  <si>
    <t xml:space="preserve">Last refreshed:</t>
  </si>
  <si>
    <t xml:space="preserve">2026-08-04</t>
  </si>
  <si>
    <t xml:space="preserve">Refresh cadence:</t>
  </si>
  <si>
    <t xml:space="preserve">Weekly</t>
  </si>
  <si>
    <t xml:space="preserve">Fintech &amp; Payments — Institutional Decision Surface</t>
  </si>
  <si>
    <t xml:space="preserve">Model ID</t>
  </si>
  <si>
    <t xml:space="preserve">23</t>
  </si>
  <si>
    <t xml:space="preserve">Domain</t>
  </si>
  <si>
    <t xml:space="preserve">Fintech &amp; Payments</t>
  </si>
  <si>
    <t xml:space="preserve">Declared maturity</t>
  </si>
  <si>
    <t xml:space="preserve">M2</t>
  </si>
  <si>
    <t xml:space="preserve">Canonical builder</t>
  </si>
  <si>
    <t xml:space="preserve">tools/builders/build_fintech_release.py</t>
  </si>
  <si>
    <t xml:space="preserve">Decision arena</t>
  </si>
  <si>
    <t xml:space="preserve">product, finance, risk, treasury, operations and regulator</t>
  </si>
  <si>
    <t xml:space="preserve">Committee artifact</t>
  </si>
  <si>
    <t xml:space="preserve">unit economics, loss and settlement-risk pack</t>
  </si>
  <si>
    <t xml:space="preserve">Operating cadence</t>
  </si>
  <si>
    <t xml:space="preserve">daily operations and treasury; weekly risk; monthly product finance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</si>
  <si>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</si>
  <si>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</si>
  <si>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</si>
  <si>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</si>
  <si>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</si>
  <si>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</si>
  <si>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TPV / volume and take rate</t>
  </si>
  <si>
    <t xml:space="preserve">OPEN</t>
  </si>
  <si>
    <t xml:space="preserve">contribution margin and cohort economics</t>
  </si>
  <si>
    <t xml:space="preserve">fraud and credit losses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</si>
  <si>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</si>
  <si>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</si>
  <si>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</si>
  <si>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Where does settlement risk sit overnight?</t>
  </si>
  <si>
    <t xml:space="preserve">Which partner can reprice or terminate?</t>
  </si>
  <si>
    <t xml:space="preserve">What losses are fraud versus credit?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</si>
  <si>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</si>
  <si>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</si>
  <si>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</si>
  <si>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volume and take-rate compression</t>
  </si>
  <si>
    <t xml:space="preserve">fraud / chargeback spike</t>
  </si>
  <si>
    <t xml:space="preserve">partner-bank failure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</si>
  <si>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</si>
  <si>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</si>
  <si>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</si>
  <si>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processor / network agreements</t>
  </si>
  <si>
    <t xml:space="preserve">bank partnership and program agreements</t>
  </si>
  <si>
    <t xml:space="preserve">settlement reports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</si>
  <si>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</si>
  <si>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</si>
  <si>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</si>
  <si>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TPV reconciles to transactions</t>
  </si>
  <si>
    <t xml:space="preserve">gross-to-net revenue bridge</t>
  </si>
  <si>
    <t xml:space="preserve">loss vintage and cohort denominators consistent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</si>
  <si>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</si>
  <si>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</si>
  <si>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</si>
  <si>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counting pass-through volume as revenue</t>
  </si>
  <si>
    <t xml:space="preserve">using authorization rather than settled volume</t>
  </si>
  <si>
    <t xml:space="preserve">ignoring negative working capital reversal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</si>
  <si>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</si>
  <si>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</si>
  <si>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</si>
  <si>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</si>
  <si>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</si>
  <si>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</si>
  <si>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</si>
  <si>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</si>
  <si>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</si>
  <si>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</si>
  <si>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</si>
  <si>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</si>
  <si>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FFIEC Retail Payment Systems</t>
  </si>
  <si>
    <t xml:space="preserve">payments, settlement and fraud risk</t>
  </si>
  <si>
    <t xml:space="preserve">https://ithandbook.ffiec.gov/it-booklets/retail-payment-systems.aspx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</si>
  <si>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</si>
  <si>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</si>
  <si>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</si>
  <si>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</si>
  <si>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</si>
  <si>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</si>
  <si>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</si>
  <si>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</si>
  <si>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</si>
  <si>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</si>
  <si>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</si>
  <si>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</si>
  <si>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</si>
  <si>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</si>
  <si>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</si>
  <si>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</si>
  <si>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transactions</t>
  </si>
  <si>
    <t xml:space="preserve">intraday/daily</t>
  </si>
  <si>
    <t xml:space="preserve">processor-to-ledger reconciliation</t>
  </si>
  <si>
    <t xml:space="preserve">TO MAP</t>
  </si>
  <si>
    <t xml:space="preserve">settlement</t>
  </si>
  <si>
    <t xml:space="preserve">daily</t>
  </si>
  <si>
    <t xml:space="preserve">network, bank and cash tie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</si>
  <si>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</si>
  <si>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</si>
  <si>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</si>
  <si>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</si>
  <si>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</si>
  <si>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</si>
  <si>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Unit Economics</t>
  </si>
  <si>
    <t xml:space="preserve">Total payment volume, TPV ($/mo)</t>
  </si>
  <si>
    <t xml:space="preserve">Take rate (%)</t>
  </si>
  <si>
    <t xml:space="preserve">Interchange/processing cost (% of TPV)</t>
  </si>
  <si>
    <t xml:space="preserve">CAC ($ per customer)</t>
  </si>
  <si>
    <t xml:space="preserve">Avg monthly revenue per customer ($)</t>
  </si>
  <si>
    <t xml:space="preserve">Monthly gross margin per customer (%)</t>
  </si>
  <si>
    <t xml:space="preserve">Monthly churn rate (%)</t>
  </si>
  <si>
    <t xml:space="preserve">Outputs</t>
  </si>
  <si>
    <t xml:space="preserve">Revenue (take rate x TPV)</t>
  </si>
  <si>
    <t xml:space="preserve">Processing cost ($)</t>
  </si>
  <si>
    <t xml:space="preserve">Net revenue after processing cost</t>
  </si>
  <si>
    <t xml:space="preserve">Customer lifetime (months) = 1/churn</t>
  </si>
  <si>
    <t xml:space="preserve">LTV = monthly rev x gross margin x lifetime</t>
  </si>
  <si>
    <t xml:space="preserve">LTV / CAC ratio</t>
  </si>
  <si>
    <t xml:space="preserve">Rule of thumb: &gt;3x is healthy, &lt;1x means losing money per customer</t>
  </si>
  <si>
    <t xml:space="preserve">CAC payback period (months)</t>
  </si>
  <si>
    <t xml:space="preserve">Cohort Retention (% of cohort still active)</t>
  </si>
  <si>
    <t xml:space="preserve">Cohort</t>
  </si>
  <si>
    <t xml:space="preserve">M0</t>
  </si>
  <si>
    <t xml:space="preserve">M1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</si>
  <si>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</si>
  <si>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</si>
  <si>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</si>
  <si>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</si>
  <si>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</si>
  <si>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Jan cohort</t>
  </si>
  <si>
    <t xml:space="preserve">Feb cohort</t>
  </si>
  <si>
    <t xml:space="preserve">Mar cohort</t>
  </si>
  <si>
    <t xml:space="preserve">Apr cohort</t>
  </si>
  <si>
    <t xml:space="preserve">Average retention</t>
  </si>
  <si>
    <t xml:space="preserve">Curve-implied LTV multiplier (sum of avg retention, M0-M7)</t>
  </si>
  <si>
    <t xml:space="preserve">M0 always = 100% by definition. Fill subsequent months as cohorts age.</t>
  </si>
  <si>
    <t xml:space="preserve">Retention-curve LTV = monthly rev x gross margin x this multiplier — compare to the steady-state 1/churn LTV on Unit Economics; a big gap means churn isn't actually constant month to month (usually front-loaded), and the curve number is the more honest one.</t>
  </si>
  <si>
    <t xml:space="preserve">Customer, Merchant, and Network Activity Rollforward</t>
  </si>
  <si>
    <t xml:space="preserve">Active scenario</t>
  </si>
  <si>
    <t xml:space="preserve">Base</t>
  </si>
  <si>
    <t xml:space="preserve">Metric</t>
  </si>
  <si>
    <t xml:space="preserve">Downside</t>
  </si>
  <si>
    <t xml:space="preserve">Active</t>
  </si>
  <si>
    <t xml:space="preserve">Interpretation</t>
  </si>
  <si>
    <t xml:space="preserve">Starting active users</t>
  </si>
  <si>
    <t xml:space="preserve">beginning-of-period active customers</t>
  </si>
  <si>
    <t xml:space="preserve">Retention rate</t>
  </si>
  <si>
    <t xml:space="preserve">same-period active retention</t>
  </si>
  <si>
    <t xml:space="preserve">New users</t>
  </si>
  <si>
    <t xml:space="preserve">newly activated customers</t>
  </si>
  <si>
    <t xml:space="preserve">Starting active merchants</t>
  </si>
  <si>
    <t xml:space="preserve">beginning merchant base</t>
  </si>
  <si>
    <t xml:space="preserve">Merchant retention rate</t>
  </si>
  <si>
    <t xml:space="preserve">merchant-side retention</t>
  </si>
  <si>
    <t xml:space="preserve">New merchants</t>
  </si>
  <si>
    <t xml:space="preserve">newly activated merchants</t>
  </si>
  <si>
    <t xml:space="preserve">Transactions</t>
  </si>
  <si>
    <t xml:space="preserve">successful transactions in period</t>
  </si>
  <si>
    <t xml:space="preserve">Failed / reversed transactions</t>
  </si>
  <si>
    <t xml:space="preserve">operational and risk failures</t>
  </si>
  <si>
    <t xml:space="preserve">Derived outputs</t>
  </si>
  <si>
    <t xml:space="preserve">Ending active users</t>
  </si>
  <si>
    <t xml:space="preserve">Ending active merchants</t>
  </si>
  <si>
    <t xml:space="preserve">Transactions per active user</t>
  </si>
  <si>
    <t xml:space="preserve">Transactions per active merchant</t>
  </si>
  <si>
    <t xml:space="preserve">Transaction failure rate</t>
  </si>
  <si>
    <t xml:space="preserve">Cross-side network density</t>
  </si>
  <si>
    <t xml:space="preserve">Fraud, Chargeback &amp; Credit Loss</t>
  </si>
  <si>
    <t xml:space="preserve">Inputs</t>
  </si>
  <si>
    <t xml:space="preserve">Fraud loss rate (bps of TPV)</t>
  </si>
  <si>
    <t xml:space="preserve">Chargeback count (this period)</t>
  </si>
  <si>
    <t xml:space="preserve">Chargeback cost per incident ($, fee + lost goods)</t>
  </si>
  <si>
    <t xml:space="preserve">Credit losses — lending book only, if applicable ($)</t>
  </si>
  <si>
    <t xml:space="preserve">Fraud warning threshold (bps of TPV)</t>
  </si>
  <si>
    <t xml:space="preserve">Fraud loss ($)</t>
  </si>
  <si>
    <t xml:space="preserve">bps convention: 8 bps = 0.08%</t>
  </si>
  <si>
    <t xml:space="preserve">Chargeback cost ($)</t>
  </si>
  <si>
    <t xml:space="preserve">Total risk-related loss ($)</t>
  </si>
  <si>
    <t xml:space="preserve">Total loss as % of net revenue</t>
  </si>
  <si>
    <t xml:space="preserve">Threshold is model-owned and must be approved for the product, channel, geography, and control environment.</t>
  </si>
  <si>
    <t xml:space="preserve">Fraud threshold status</t>
  </si>
  <si>
    <t xml:space="preserve">Capital, Settlement, and Liquidity Coverage</t>
  </si>
  <si>
    <t xml:space="preserve">Units / control</t>
  </si>
  <si>
    <t xml:space="preserve">Available regulatory / loss-absorbing capital</t>
  </si>
  <si>
    <t xml:space="preserve">approved eligible capital</t>
  </si>
  <si>
    <t xml:space="preserve">Required capital</t>
  </si>
  <si>
    <t xml:space="preserve">regulatory or internal risk requirement</t>
  </si>
  <si>
    <t xml:space="preserve">Unrestricted cash and liquid investments</t>
  </si>
  <si>
    <t xml:space="preserve">same-day or near-cash liquidity</t>
  </si>
  <si>
    <t xml:space="preserve">Thirty-day settlement and operating obligations</t>
  </si>
  <si>
    <t xml:space="preserve">cash outflows under stress</t>
  </si>
  <si>
    <t xml:space="preserve">Restricted customer / safeguarding funds</t>
  </si>
  <si>
    <t xml:space="preserve">not available for corporate liquidity</t>
  </si>
  <si>
    <t xml:space="preserve">Minimum capital coverage</t>
  </si>
  <si>
    <t xml:space="preserve">available / required</t>
  </si>
  <si>
    <t xml:space="preserve">Minimum liquidity coverage</t>
  </si>
  <si>
    <t xml:space="preserve">unrestricted liquidity / obligations</t>
  </si>
  <si>
    <t xml:space="preserve">Capital coverage</t>
  </si>
  <si>
    <t xml:space="preserve">Liquidity coverage</t>
  </si>
  <si>
    <t xml:space="preserve">Capital headroom</t>
  </si>
  <si>
    <t xml:space="preserve">Liquidity headroom</t>
  </si>
  <si>
    <t xml:space="preserve">Base status</t>
  </si>
  <si>
    <t xml:space="preserve">Downside status</t>
  </si>
  <si>
    <t xml:space="preserve">Payments Endpoint Security and Fraud-Control Register</t>
  </si>
  <si>
    <t xml:space="preserve">Type</t>
  </si>
  <si>
    <t xml:space="preserve">Threshold</t>
  </si>
  <si>
    <t xml:space="preserve">Retained evidence</t>
  </si>
  <si>
    <t xml:space="preserve">Strong authentication and privileged access</t>
  </si>
  <si>
    <t xml:space="preserve">Security</t>
  </si>
  <si>
    <t xml:space="preserve">Prevent</t>
  </si>
  <si>
    <t xml:space="preserve">Privileged-access exceptions</t>
  </si>
  <si>
    <t xml:space="preserve">0 unresolved</t>
  </si>
  <si>
    <t xml:space="preserve">access review and exception log</t>
  </si>
  <si>
    <t xml:space="preserve">Payment instruction integrity</t>
  </si>
  <si>
    <t xml:space="preserve">Payments Ops</t>
  </si>
  <si>
    <t xml:space="preserve">Unauthorized instruction rate</t>
  </si>
  <si>
    <t xml:space="preserve">approved threshold</t>
  </si>
  <si>
    <t xml:space="preserve">signed instruction and change history</t>
  </si>
  <si>
    <t xml:space="preserve">Real-time fraud detection</t>
  </si>
  <si>
    <t xml:space="preserve">Risk</t>
  </si>
  <si>
    <t xml:space="preserve">Detect</t>
  </si>
  <si>
    <t xml:space="preserve">Fraud bps / TPV</t>
  </si>
  <si>
    <t xml:space="preserve">Fraud &amp; Risk!C10</t>
  </si>
  <si>
    <t xml:space="preserve">alert, decision, and loss record</t>
  </si>
  <si>
    <t xml:space="preserve">Settlement reconciliation</t>
  </si>
  <si>
    <t xml:space="preserve">Finance Ops</t>
  </si>
  <si>
    <t xml:space="preserve">Unreconciled settlement items</t>
  </si>
  <si>
    <t xml:space="preserve">0 material</t>
  </si>
  <si>
    <t xml:space="preserve">daily reconciliation evidence</t>
  </si>
  <si>
    <t xml:space="preserve">Incident response and customer protection</t>
  </si>
  <si>
    <t xml:space="preserve">Operations</t>
  </si>
  <si>
    <t xml:space="preserve">Respond</t>
  </si>
  <si>
    <t xml:space="preserve">Time to contain</t>
  </si>
  <si>
    <t xml:space="preserve">approved SLA</t>
  </si>
  <si>
    <t xml:space="preserve">incident timeline and remediation</t>
  </si>
  <si>
    <t xml:space="preserve">Recovery and continuity</t>
  </si>
  <si>
    <t xml:space="preserve">Engineering</t>
  </si>
  <si>
    <t xml:space="preserve">Recover</t>
  </si>
  <si>
    <t xml:space="preserve">Recovery test result</t>
  </si>
  <si>
    <t xml:space="preserve">PASS</t>
  </si>
  <si>
    <t xml:space="preserve">dated recovery exercise</t>
  </si>
  <si>
    <t xml:space="preserve">Third-party endpoint governance</t>
  </si>
  <si>
    <t xml:space="preserve">Vendor Risk</t>
  </si>
  <si>
    <t xml:space="preserve">Govern</t>
  </si>
  <si>
    <t xml:space="preserve">Critical vendors overdue</t>
  </si>
  <si>
    <t xml:space="preserve">0</t>
  </si>
  <si>
    <t xml:space="preserve">assessment and remediation record</t>
  </si>
  <si>
    <t xml:space="preserve">Controls are an operating register, not a claim of compliance. Owners must replace illustrative thresholds with approved product-specific limits.</t>
  </si>
  <si>
    <t xml:space="preserve">Fintech / Payments Decision Dashboard and Independent Checks</t>
  </si>
  <si>
    <t xml:space="preserve">Check / decision</t>
  </si>
  <si>
    <t xml:space="preserve">Interpretation / action</t>
  </si>
  <si>
    <t xml:space="preserve">Revenue identity residual</t>
  </si>
  <si>
    <t xml:space="preserve">Revenue must equal TPV multiplied by take rate.</t>
  </si>
  <si>
    <t xml:space="preserve">Processing-cost residual</t>
  </si>
  <si>
    <t xml:space="preserve">Network and processing costs must reconcile to volume and rate.</t>
  </si>
  <si>
    <t xml:space="preserve">Fraud-loss residual</t>
  </si>
  <si>
    <t xml:space="preserve">Fraud loss must reconcile from TPV and the bps convention.</t>
  </si>
  <si>
    <t xml:space="preserve">LTV / CAC</t>
  </si>
  <si>
    <t xml:space="preserve">Low unit economics require pricing, retention, channel, or cost remediation.</t>
  </si>
  <si>
    <t xml:space="preserve">Contribution after risk losses</t>
  </si>
  <si>
    <t xml:space="preserve">Volume growth is not valuable when processing, fraud, chargeback, and credit losses consume net revenue.</t>
  </si>
  <si>
    <t xml:space="preserve">Maximum retention increase</t>
  </si>
  <si>
    <t xml:space="preserve">Retention should not improve with age without an explicit reactivation or cohort-definition explanation.</t>
  </si>
  <si>
    <t xml:space="preserve">Fraud threshold</t>
  </si>
  <si>
    <t xml:space="preserve">Escalate fraud losses above the approved product threshold.</t>
  </si>
  <si>
    <t xml:space="preserve">Downside capital coverage</t>
  </si>
  <si>
    <t xml:space="preserve">Capital must remain above the approved requirement in downside conditions.</t>
  </si>
  <si>
    <t xml:space="preserve">Downside liquidity coverage</t>
  </si>
  <si>
    <t xml:space="preserve">Restricted customer funds may not be counted as corporate liquidity.</t>
  </si>
  <si>
    <t xml:space="preserve">Operational failure degrades retention, unit economics, and network trust.</t>
  </si>
  <si>
    <t xml:space="preserve">Overall model status</t>
  </si>
  <si>
    <t xml:space="preserve">Primary decision outputs</t>
  </si>
  <si>
    <t xml:space="preserve">TPV</t>
  </si>
  <si>
    <t xml:space="preserve">Net revenue after processing</t>
  </si>
  <si>
    <t xml:space="preserve">LTV</t>
  </si>
  <si>
    <t xml:space="preserve">Total risk-related loss</t>
  </si>
  <si>
    <t xml:space="preserve">Base capital coverage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</si>
  <si>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</si>
  <si>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</si>
  <si>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</si>
  <si>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</si>
  <si>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</si>
  <si>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M1-to-M2 domain hardening benchmark</t>
  </si>
  <si>
    <t xml:space="preserve">Generated conventional benchmark fintech-reference-payments from the canonical hardened release template</t>
  </si>
  <si>
    <t xml:space="preserve">Synthetic engineering fixture only; does not count toward M4 or live approval</t>
  </si>
  <si>
    <t xml:space="preserve">On builder, reference-check, formula, or contract change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</si>
</sst>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;&quot;($&quot;#,##0\);\-"/>
    <numFmt numFmtId="166" formatCode="0.00%;\(0.00%\);\-"/>
    <numFmt numFmtId="167" formatCode="0.0%;\(0.0%\);\-"/>
    <numFmt numFmtId="168" formatCode="0.0"/>
    <numFmt numFmtId="169" formatCode="0.00\x"/>
    <numFmt numFmtId="170" formatCode="0.00"/>
    <numFmt numFmtId="171" formatCode="#,##0;\(#,##0\);\-"/>
    <numFmt numFmtId="172" formatCode="0.000000"/>
    <numFmt numFmtId="173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D9D9D9"/>
        <bgColor rgb="FFD9EAF7"/>
      </patternFill>
    </fill>
    <fill>
      <patternFill patternType="solid">
        <fgColor rgb="FF1F4E78"/>
        <bgColor rgb="FF17365D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4" t="s">
        <v>4</v>
      </c>
    </row>
    <row r="6" customFormat="false" ht="15" hidden="false" customHeight="false" outlineLevel="0" collapsed="false">
      <c r="B6" s="2" t="s">
        <v>5</v>
      </c>
      <c r="C6" s="3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5" t="s">
        <v>7</v>
      </c>
      <c r="C2" s="5"/>
      <c r="D2" s="5"/>
      <c r="E2" s="5"/>
      <c r="F2" s="5"/>
    </row>
    <row r="4" customFormat="false" ht="15" hidden="false" customHeight="true" outlineLevel="0" collapsed="false">
      <c r="B4" s="6" t="s">
        <v>8</v>
      </c>
      <c r="C4" s="7" t="s">
        <v>9</v>
      </c>
      <c r="D4" s="7"/>
      <c r="E4" s="7"/>
      <c r="F4" s="7"/>
    </row>
    <row r="5" customFormat="false" ht="15" hidden="false" customHeight="true" outlineLevel="0" collapsed="false">
      <c r="B5" s="6" t="s">
        <v>10</v>
      </c>
      <c r="C5" s="7" t="s">
        <v>11</v>
      </c>
      <c r="D5" s="7"/>
      <c r="E5" s="7"/>
      <c r="F5" s="7"/>
    </row>
    <row r="6" customFormat="false" ht="15" hidden="false" customHeight="true" outlineLevel="0" collapsed="false">
      <c r="B6" s="6" t="s">
        <v>12</v>
      </c>
      <c r="C6" s="7" t="s">
        <v>13</v>
      </c>
      <c r="D6" s="7"/>
      <c r="E6" s="7"/>
      <c r="F6" s="7"/>
    </row>
    <row r="7" customFormat="false" ht="15" hidden="false" customHeight="true" outlineLevel="0" collapsed="false">
      <c r="B7" s="6" t="s">
        <v>14</v>
      </c>
      <c r="C7" s="7" t="s">
        <v>15</v>
      </c>
      <c r="D7" s="7"/>
      <c r="E7" s="7"/>
      <c r="F7" s="7"/>
    </row>
    <row r="8" customFormat="false" ht="15" hidden="false" customHeight="true" outlineLevel="0" collapsed="false">
      <c r="B8" s="6" t="s">
        <v>16</v>
      </c>
      <c r="C8" s="7" t="s">
        <v>17</v>
      </c>
      <c r="D8" s="7"/>
      <c r="E8" s="7"/>
      <c r="F8" s="7"/>
    </row>
    <row r="9" customFormat="false" ht="15" hidden="false" customHeight="true" outlineLevel="0" collapsed="false">
      <c r="B9" s="6" t="s">
        <v>18</v>
      </c>
      <c r="C9" s="7" t="s">
        <v>19</v>
      </c>
      <c r="D9" s="7"/>
      <c r="E9" s="7"/>
      <c r="F9" s="7"/>
    </row>
    <row r="10" customFormat="false" ht="15" hidden="false" customHeight="true" outlineLevel="0" collapsed="false">
      <c r="B10" s="6" t="s">
        <v>20</v>
      </c>
      <c r="C10" s="7" t="s">
        <v>21</v>
      </c>
      <c r="D10" s="7"/>
      <c r="E10" s="7"/>
      <c r="F10" s="7"/>
    </row>
    <row r="12" customFormat="false" ht="15" hidden="false" customHeight="false" outlineLevel="0" collapsed="false">
      <c r="B12" s="8" t="s">
        <v>22</v>
      </c>
      <c r="C12" s="8"/>
      <c r="D12" s="8"/>
      <c r="E12" s="8"/>
      <c r="F12" s="8"/>
    </row>
    <row r="13" customFormat="false" ht="15" hidden="false" customHeight="false" outlineLevel="0" collapsed="false">
      <c r="B13" s="9" t="s">
        <v>23</v>
      </c>
      <c r="C13" s="9" t="s">
        <v>24</v>
      </c>
      <c r="D13" s="9" t="s">
        <v>25</v>
      </c>
      <c r="E13" s="9" t="s">
        <v>26</v>
      </c>
      <c r="F13" s="9" t="s">
        <v>27</v>
      </c>
    </row>
    <row r="14" customFormat="false" ht="15" hidden="false" customHeight="false" outlineLevel="0" collapsed="false">
      <c r="B14" s="0" t="n">
        <v>1</v>
      </c>
      <c r="C14" s="0" t="s">
        <v>28</v>
      </c>
      <c r="F14" s="10" t="s">
        <v>29</v>
      </c>
    </row>
    <row r="15" customFormat="false" ht="15" hidden="false" customHeight="false" outlineLevel="0" collapsed="false">
      <c r="B15" s="0" t="n">
        <v>2</v>
      </c>
      <c r="C15" s="0" t="s">
        <v>30</v>
      </c>
      <c r="F15" s="10" t="s">
        <v>29</v>
      </c>
    </row>
    <row r="16" customFormat="false" ht="15" hidden="false" customHeight="false" outlineLevel="0" collapsed="false">
      <c r="B16" s="0" t="n">
        <v>3</v>
      </c>
      <c r="C16" s="0" t="s">
        <v>31</v>
      </c>
      <c r="F16" s="10" t="s">
        <v>29</v>
      </c>
    </row>
    <row r="17" customFormat="false" ht="15" hidden="false" customHeight="false" outlineLevel="0" collapsed="false">
      <c r="B17" s="0" t="n">
        <v>4</v>
      </c>
      <c r="C17" s="0" t="s">
        <v>32</v>
      </c>
      <c r="F17" s="10" t="s">
        <v>29</v>
      </c>
    </row>
    <row r="18" customFormat="false" ht="15" hidden="false" customHeight="false" outlineLevel="0" collapsed="false">
      <c r="B18" s="0" t="n">
        <v>5</v>
      </c>
      <c r="C18" s="0" t="s">
        <v>33</v>
      </c>
      <c r="F18" s="10" t="s">
        <v>29</v>
      </c>
    </row>
    <row r="20" customFormat="false" ht="15" hidden="false" customHeight="false" outlineLevel="0" collapsed="false">
      <c r="B20" s="8" t="s">
        <v>34</v>
      </c>
      <c r="C20" s="8"/>
      <c r="D20" s="8"/>
      <c r="E20" s="8"/>
      <c r="F20" s="8"/>
    </row>
    <row r="21" customFormat="false" ht="15" hidden="false" customHeight="false" outlineLevel="0" collapsed="false">
      <c r="B21" s="9" t="s">
        <v>23</v>
      </c>
      <c r="C21" s="9" t="s">
        <v>24</v>
      </c>
      <c r="D21" s="9" t="s">
        <v>25</v>
      </c>
      <c r="E21" s="9" t="s">
        <v>26</v>
      </c>
      <c r="F21" s="9" t="s">
        <v>27</v>
      </c>
    </row>
    <row r="22" customFormat="false" ht="15" hidden="false" customHeight="false" outlineLevel="0" collapsed="false">
      <c r="B22" s="0" t="n">
        <v>1</v>
      </c>
      <c r="C22" s="0" t="s">
        <v>35</v>
      </c>
      <c r="F22" s="10" t="s">
        <v>29</v>
      </c>
    </row>
    <row r="23" customFormat="false" ht="15" hidden="false" customHeight="false" outlineLevel="0" collapsed="false">
      <c r="B23" s="0" t="n">
        <v>2</v>
      </c>
      <c r="C23" s="0" t="s">
        <v>36</v>
      </c>
      <c r="F23" s="10" t="s">
        <v>29</v>
      </c>
    </row>
    <row r="24" customFormat="false" ht="15" hidden="false" customHeight="false" outlineLevel="0" collapsed="false">
      <c r="B24" s="0" t="n">
        <v>3</v>
      </c>
      <c r="C24" s="0" t="s">
        <v>37</v>
      </c>
      <c r="F24" s="10" t="s">
        <v>29</v>
      </c>
    </row>
    <row r="25" customFormat="false" ht="15" hidden="false" customHeight="false" outlineLevel="0" collapsed="false">
      <c r="B25" s="0" t="n">
        <v>4</v>
      </c>
      <c r="C25" s="0" t="s">
        <v>38</v>
      </c>
      <c r="F25" s="10" t="s">
        <v>29</v>
      </c>
    </row>
    <row r="26" customFormat="false" ht="15" hidden="false" customHeight="false" outlineLevel="0" collapsed="false">
      <c r="B26" s="0" t="n">
        <v>5</v>
      </c>
      <c r="C26" s="0" t="s">
        <v>39</v>
      </c>
      <c r="F26" s="10" t="s">
        <v>29</v>
      </c>
    </row>
    <row r="28" customFormat="false" ht="15" hidden="false" customHeight="false" outlineLevel="0" collapsed="false">
      <c r="B28" s="8" t="s">
        <v>40</v>
      </c>
      <c r="C28" s="8"/>
      <c r="D28" s="8"/>
      <c r="E28" s="8"/>
      <c r="F28" s="8"/>
    </row>
    <row r="29" customFormat="false" ht="15" hidden="false" customHeight="false" outlineLevel="0" collapsed="false">
      <c r="B29" s="9" t="s">
        <v>23</v>
      </c>
      <c r="C29" s="9" t="s">
        <v>24</v>
      </c>
      <c r="D29" s="9" t="s">
        <v>25</v>
      </c>
      <c r="E29" s="9" t="s">
        <v>26</v>
      </c>
      <c r="F29" s="9" t="s">
        <v>27</v>
      </c>
    </row>
    <row r="30" customFormat="false" ht="15" hidden="false" customHeight="false" outlineLevel="0" collapsed="false">
      <c r="B30" s="0" t="n">
        <v>1</v>
      </c>
      <c r="C30" s="0" t="s">
        <v>41</v>
      </c>
      <c r="F30" s="10" t="s">
        <v>29</v>
      </c>
    </row>
    <row r="31" customFormat="false" ht="15" hidden="false" customHeight="false" outlineLevel="0" collapsed="false">
      <c r="B31" s="0" t="n">
        <v>2</v>
      </c>
      <c r="C31" s="0" t="s">
        <v>42</v>
      </c>
      <c r="F31" s="10" t="s">
        <v>29</v>
      </c>
    </row>
    <row r="32" customFormat="false" ht="15" hidden="false" customHeight="false" outlineLevel="0" collapsed="false">
      <c r="B32" s="0" t="n">
        <v>3</v>
      </c>
      <c r="C32" s="0" t="s">
        <v>43</v>
      </c>
      <c r="F32" s="10" t="s">
        <v>29</v>
      </c>
    </row>
    <row r="33" customFormat="false" ht="15" hidden="false" customHeight="false" outlineLevel="0" collapsed="false">
      <c r="B33" s="0" t="n">
        <v>4</v>
      </c>
      <c r="C33" s="0" t="s">
        <v>44</v>
      </c>
      <c r="F33" s="10" t="s">
        <v>29</v>
      </c>
    </row>
    <row r="34" customFormat="false" ht="15" hidden="false" customHeight="false" outlineLevel="0" collapsed="false">
      <c r="B34" s="0" t="n">
        <v>5</v>
      </c>
      <c r="C34" s="0" t="s">
        <v>45</v>
      </c>
      <c r="F34" s="10" t="s">
        <v>29</v>
      </c>
    </row>
    <row r="36" customFormat="false" ht="15" hidden="false" customHeight="false" outlineLevel="0" collapsed="false">
      <c r="B36" s="8" t="s">
        <v>46</v>
      </c>
      <c r="C36" s="8"/>
      <c r="D36" s="8"/>
      <c r="E36" s="8"/>
      <c r="F36" s="8"/>
    </row>
    <row r="37" customFormat="false" ht="15" hidden="false" customHeight="false" outlineLevel="0" collapsed="false">
      <c r="B37" s="9" t="s">
        <v>23</v>
      </c>
      <c r="C37" s="9" t="s">
        <v>24</v>
      </c>
      <c r="D37" s="9" t="s">
        <v>25</v>
      </c>
      <c r="E37" s="9" t="s">
        <v>26</v>
      </c>
      <c r="F37" s="9" t="s">
        <v>27</v>
      </c>
    </row>
    <row r="38" customFormat="false" ht="15" hidden="false" customHeight="false" outlineLevel="0" collapsed="false">
      <c r="B38" s="0" t="n">
        <v>1</v>
      </c>
      <c r="C38" s="0" t="s">
        <v>47</v>
      </c>
      <c r="F38" s="10" t="s">
        <v>29</v>
      </c>
    </row>
    <row r="39" customFormat="false" ht="15" hidden="false" customHeight="false" outlineLevel="0" collapsed="false">
      <c r="B39" s="0" t="n">
        <v>2</v>
      </c>
      <c r="C39" s="0" t="s">
        <v>48</v>
      </c>
      <c r="F39" s="10" t="s">
        <v>29</v>
      </c>
    </row>
    <row r="40" customFormat="false" ht="15" hidden="false" customHeight="false" outlineLevel="0" collapsed="false">
      <c r="B40" s="0" t="n">
        <v>3</v>
      </c>
      <c r="C40" s="0" t="s">
        <v>49</v>
      </c>
      <c r="F40" s="10" t="s">
        <v>29</v>
      </c>
    </row>
    <row r="41" customFormat="false" ht="15" hidden="false" customHeight="false" outlineLevel="0" collapsed="false">
      <c r="B41" s="0" t="n">
        <v>4</v>
      </c>
      <c r="C41" s="0" t="s">
        <v>50</v>
      </c>
      <c r="F41" s="10" t="s">
        <v>29</v>
      </c>
    </row>
    <row r="42" customFormat="false" ht="15" hidden="false" customHeight="false" outlineLevel="0" collapsed="false">
      <c r="B42" s="0" t="n">
        <v>5</v>
      </c>
      <c r="C42" s="0" t="s">
        <v>51</v>
      </c>
      <c r="F42" s="10" t="s">
        <v>29</v>
      </c>
    </row>
    <row r="44" customFormat="false" ht="15" hidden="false" customHeight="false" outlineLevel="0" collapsed="false">
      <c r="B44" s="8" t="s">
        <v>52</v>
      </c>
      <c r="C44" s="8"/>
      <c r="D44" s="8"/>
      <c r="E44" s="8"/>
      <c r="F44" s="8"/>
    </row>
    <row r="45" customFormat="false" ht="15" hidden="false" customHeight="false" outlineLevel="0" collapsed="false">
      <c r="B45" s="9" t="s">
        <v>23</v>
      </c>
      <c r="C45" s="9" t="s">
        <v>24</v>
      </c>
      <c r="D45" s="9" t="s">
        <v>25</v>
      </c>
      <c r="E45" s="9" t="s">
        <v>26</v>
      </c>
      <c r="F45" s="9" t="s">
        <v>27</v>
      </c>
    </row>
    <row r="46" customFormat="false" ht="15" hidden="false" customHeight="false" outlineLevel="0" collapsed="false">
      <c r="B46" s="0" t="n">
        <v>1</v>
      </c>
      <c r="C46" s="0" t="s">
        <v>53</v>
      </c>
      <c r="F46" s="10" t="s">
        <v>29</v>
      </c>
    </row>
    <row r="47" customFormat="false" ht="15" hidden="false" customHeight="false" outlineLevel="0" collapsed="false">
      <c r="B47" s="0" t="n">
        <v>2</v>
      </c>
      <c r="C47" s="0" t="s">
        <v>54</v>
      </c>
      <c r="F47" s="10" t="s">
        <v>29</v>
      </c>
    </row>
    <row r="48" customFormat="false" ht="15" hidden="false" customHeight="false" outlineLevel="0" collapsed="false">
      <c r="B48" s="0" t="n">
        <v>3</v>
      </c>
      <c r="C48" s="0" t="s">
        <v>55</v>
      </c>
      <c r="F48" s="10" t="s">
        <v>29</v>
      </c>
    </row>
    <row r="49" customFormat="false" ht="15" hidden="false" customHeight="false" outlineLevel="0" collapsed="false">
      <c r="B49" s="0" t="n">
        <v>4</v>
      </c>
      <c r="C49" s="0" t="s">
        <v>56</v>
      </c>
      <c r="F49" s="10" t="s">
        <v>29</v>
      </c>
    </row>
    <row r="50" customFormat="false" ht="15" hidden="false" customHeight="false" outlineLevel="0" collapsed="false">
      <c r="B50" s="0" t="n">
        <v>5</v>
      </c>
      <c r="C50" s="0" t="s">
        <v>57</v>
      </c>
      <c r="F50" s="10" t="s">
        <v>29</v>
      </c>
    </row>
    <row r="52" customFormat="false" ht="15" hidden="false" customHeight="false" outlineLevel="0" collapsed="false">
      <c r="B52" s="8" t="s">
        <v>58</v>
      </c>
      <c r="C52" s="8"/>
      <c r="D52" s="8"/>
      <c r="E52" s="8"/>
      <c r="F52" s="8"/>
    </row>
    <row r="53" customFormat="false" ht="15" hidden="false" customHeight="false" outlineLevel="0" collapsed="false">
      <c r="B53" s="9" t="s">
        <v>23</v>
      </c>
      <c r="C53" s="9" t="s">
        <v>24</v>
      </c>
      <c r="D53" s="9" t="s">
        <v>25</v>
      </c>
      <c r="E53" s="9" t="s">
        <v>26</v>
      </c>
      <c r="F53" s="9" t="s">
        <v>27</v>
      </c>
    </row>
    <row r="54" customFormat="false" ht="15" hidden="false" customHeight="false" outlineLevel="0" collapsed="false">
      <c r="B54" s="0" t="n">
        <v>1</v>
      </c>
      <c r="C54" s="0" t="s">
        <v>59</v>
      </c>
      <c r="F54" s="10" t="s">
        <v>29</v>
      </c>
    </row>
    <row r="55" customFormat="false" ht="15" hidden="false" customHeight="false" outlineLevel="0" collapsed="false">
      <c r="B55" s="0" t="n">
        <v>2</v>
      </c>
      <c r="C55" s="0" t="s">
        <v>60</v>
      </c>
      <c r="F55" s="10" t="s">
        <v>29</v>
      </c>
    </row>
    <row r="56" customFormat="false" ht="15" hidden="false" customHeight="false" outlineLevel="0" collapsed="false">
      <c r="B56" s="0" t="n">
        <v>3</v>
      </c>
      <c r="C56" s="0" t="s">
        <v>61</v>
      </c>
      <c r="F56" s="10" t="s">
        <v>29</v>
      </c>
    </row>
    <row r="57" customFormat="false" ht="15" hidden="false" customHeight="false" outlineLevel="0" collapsed="false">
      <c r="B57" s="0" t="n">
        <v>4</v>
      </c>
      <c r="C57" s="0" t="s">
        <v>62</v>
      </c>
      <c r="F57" s="10" t="s">
        <v>29</v>
      </c>
    </row>
    <row r="58" customFormat="false" ht="15" hidden="false" customHeight="false" outlineLevel="0" collapsed="false">
      <c r="B58" s="0" t="n">
        <v>5</v>
      </c>
      <c r="C58" s="0" t="s">
        <v>63</v>
      </c>
      <c r="F58" s="10" t="s">
        <v>29</v>
      </c>
    </row>
    <row r="60" customFormat="false" ht="15" hidden="false" customHeight="false" outlineLevel="0" collapsed="false">
      <c r="B60" s="8" t="s">
        <v>64</v>
      </c>
      <c r="C60" s="8"/>
      <c r="D60" s="8"/>
      <c r="E60" s="8"/>
      <c r="F60" s="8"/>
    </row>
    <row r="61" customFormat="false" ht="15" hidden="false" customHeight="false" outlineLevel="0" collapsed="false">
      <c r="B61" s="9" t="s">
        <v>65</v>
      </c>
      <c r="C61" s="9" t="s">
        <v>66</v>
      </c>
      <c r="D61" s="9" t="s">
        <v>67</v>
      </c>
      <c r="E61" s="9" t="s">
        <v>68</v>
      </c>
      <c r="F61" s="9" t="s">
        <v>69</v>
      </c>
    </row>
    <row r="62" customFormat="false" ht="15" hidden="false" customHeight="false" outlineLevel="0" collapsed="false">
      <c r="B62" s="0" t="s">
        <v>70</v>
      </c>
      <c r="C62" s="0" t="s">
        <v>71</v>
      </c>
      <c r="D62" s="0" t="s">
        <v>72</v>
      </c>
      <c r="E62" s="0" t="s">
        <v>73</v>
      </c>
    </row>
    <row r="63" customFormat="false" ht="15" hidden="false" customHeight="false" outlineLevel="0" collapsed="false">
      <c r="B63" s="0" t="s">
        <v>74</v>
      </c>
      <c r="C63" s="0" t="s">
        <v>75</v>
      </c>
      <c r="D63" s="0" t="s">
        <v>76</v>
      </c>
      <c r="E63" s="0" t="s">
        <v>73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5" t="s">
        <v>77</v>
      </c>
      <c r="C2" s="5"/>
      <c r="D2" s="5"/>
      <c r="E2" s="5"/>
      <c r="F2" s="5"/>
      <c r="G2" s="5"/>
      <c r="H2" s="5"/>
      <c r="I2" s="5"/>
    </row>
    <row r="4" customFormat="false" ht="15" hidden="false" customHeight="false" outlineLevel="0" collapsed="false">
      <c r="B4" s="9" t="s">
        <v>78</v>
      </c>
      <c r="C4" s="9" t="s">
        <v>79</v>
      </c>
      <c r="D4" s="9" t="s">
        <v>80</v>
      </c>
      <c r="E4" s="9" t="s">
        <v>81</v>
      </c>
      <c r="F4" s="9" t="s">
        <v>82</v>
      </c>
      <c r="G4" s="9" t="s">
        <v>83</v>
      </c>
      <c r="H4" s="9" t="s">
        <v>27</v>
      </c>
      <c r="I4" s="9" t="s">
        <v>84</v>
      </c>
    </row>
    <row r="5" customFormat="false" ht="15" hidden="false" customHeight="false" outlineLevel="0" collapsed="false">
      <c r="D5" s="0" t="s">
        <v>53</v>
      </c>
      <c r="H5" s="10" t="s">
        <v>29</v>
      </c>
    </row>
    <row r="6" customFormat="false" ht="15" hidden="false" customHeight="false" outlineLevel="0" collapsed="false">
      <c r="D6" s="0" t="s">
        <v>54</v>
      </c>
      <c r="H6" s="10" t="s">
        <v>29</v>
      </c>
    </row>
    <row r="7" customFormat="false" ht="15" hidden="false" customHeight="false" outlineLevel="0" collapsed="false">
      <c r="D7" s="0" t="s">
        <v>55</v>
      </c>
      <c r="H7" s="10" t="s">
        <v>29</v>
      </c>
    </row>
    <row r="8" customFormat="false" ht="15" hidden="false" customHeight="false" outlineLevel="0" collapsed="false">
      <c r="D8" s="0" t="s">
        <v>56</v>
      </c>
      <c r="H8" s="10" t="s">
        <v>29</v>
      </c>
    </row>
    <row r="9" customFormat="false" ht="15" hidden="false" customHeight="false" outlineLevel="0" collapsed="false">
      <c r="D9" s="0" t="s">
        <v>57</v>
      </c>
      <c r="H9" s="10" t="s">
        <v>29</v>
      </c>
    </row>
    <row r="10" customFormat="false" ht="15" hidden="false" customHeight="false" outlineLevel="0" collapsed="false">
      <c r="H10" s="10"/>
    </row>
    <row r="11" customFormat="false" ht="15" hidden="false" customHeight="false" outlineLevel="0" collapsed="false">
      <c r="H11" s="10"/>
    </row>
    <row r="12" customFormat="false" ht="15" hidden="false" customHeight="false" outlineLevel="0" collapsed="false">
      <c r="H12" s="10"/>
    </row>
    <row r="13" customFormat="false" ht="15" hidden="false" customHeight="false" outlineLevel="0" collapsed="false">
      <c r="H13" s="10"/>
    </row>
    <row r="14" customFormat="false" ht="15" hidden="false" customHeight="false" outlineLevel="0" collapsed="false">
      <c r="H14" s="10"/>
    </row>
    <row r="15" customFormat="false" ht="15" hidden="false" customHeight="false" outlineLevel="0" collapsed="false">
      <c r="H15" s="10"/>
    </row>
    <row r="16" customFormat="false" ht="15" hidden="false" customHeight="false" outlineLevel="0" collapsed="false">
      <c r="H16" s="10"/>
    </row>
    <row r="17" customFormat="false" ht="15" hidden="false" customHeight="false" outlineLevel="0" collapsed="false">
      <c r="H17" s="10"/>
    </row>
    <row r="18" customFormat="false" ht="15" hidden="false" customHeight="false" outlineLevel="0" collapsed="false">
      <c r="H18" s="10"/>
    </row>
    <row r="19" customFormat="false" ht="15" hidden="false" customHeight="false" outlineLevel="0" collapsed="false">
      <c r="H19" s="10"/>
    </row>
    <row r="20" customFormat="false" ht="15" hidden="false" customHeight="false" outlineLevel="0" collapsed="false">
      <c r="H20" s="10"/>
    </row>
    <row r="21" customFormat="false" ht="15" hidden="false" customHeight="false" outlineLevel="0" collapsed="false">
      <c r="H21" s="10"/>
    </row>
    <row r="22" customFormat="false" ht="15" hidden="false" customHeight="false" outlineLevel="0" collapsed="false">
      <c r="H22" s="10"/>
    </row>
    <row r="23" customFormat="false" ht="15" hidden="false" customHeight="false" outlineLevel="0" collapsed="false">
      <c r="H23" s="10"/>
    </row>
    <row r="24" customFormat="false" ht="15" hidden="false" customHeight="false" outlineLevel="0" collapsed="false">
      <c r="H24" s="10"/>
    </row>
    <row r="25" customFormat="false" ht="15" hidden="false" customHeight="false" outlineLevel="0" collapsed="false">
      <c r="H25" s="10"/>
    </row>
    <row r="26" customFormat="false" ht="15" hidden="false" customHeight="false" outlineLevel="0" collapsed="false">
      <c r="H26" s="10"/>
    </row>
    <row r="27" customFormat="false" ht="15" hidden="false" customHeight="false" outlineLevel="0" collapsed="false">
      <c r="H27" s="10"/>
    </row>
    <row r="28" customFormat="false" ht="15" hidden="false" customHeight="false" outlineLevel="0" collapsed="false">
      <c r="H28" s="10"/>
    </row>
    <row r="29" customFormat="false" ht="15" hidden="false" customHeight="false" outlineLevel="0" collapsed="false">
      <c r="H29" s="10"/>
    </row>
    <row r="30" customFormat="false" ht="15" hidden="false" customHeight="false" outlineLevel="0" collapsed="false">
      <c r="H30" s="10"/>
    </row>
    <row r="31" customFormat="false" ht="15" hidden="false" customHeight="false" outlineLevel="0" collapsed="false">
      <c r="H31" s="10"/>
    </row>
    <row r="32" customFormat="false" ht="15" hidden="false" customHeight="false" outlineLevel="0" collapsed="false">
      <c r="H32" s="10"/>
    </row>
    <row r="33" customFormat="false" ht="15" hidden="false" customHeight="false" outlineLevel="0" collapsed="false">
      <c r="H33" s="10"/>
    </row>
    <row r="34" customFormat="false" ht="15" hidden="false" customHeight="false" outlineLevel="0" collapsed="false">
      <c r="H34" s="10"/>
    </row>
    <row r="35" customFormat="false" ht="15" hidden="false" customHeight="false" outlineLevel="0" collapsed="false">
      <c r="H35" s="10"/>
    </row>
    <row r="36" customFormat="false" ht="15" hidden="false" customHeight="false" outlineLevel="0" collapsed="false">
      <c r="H36" s="10"/>
    </row>
    <row r="37" customFormat="false" ht="15" hidden="false" customHeight="false" outlineLevel="0" collapsed="false">
      <c r="H37" s="10"/>
    </row>
    <row r="38" customFormat="false" ht="15" hidden="false" customHeight="false" outlineLevel="0" collapsed="false">
      <c r="H38" s="10"/>
    </row>
    <row r="39" customFormat="false" ht="15" hidden="false" customHeight="false" outlineLevel="0" collapsed="false">
      <c r="H39" s="10"/>
    </row>
    <row r="40" customFormat="false" ht="15" hidden="false" customHeight="false" outlineLevel="0" collapsed="false">
      <c r="H40" s="10"/>
    </row>
    <row r="41" customFormat="false" ht="15" hidden="false" customHeight="false" outlineLevel="0" collapsed="false">
      <c r="H41" s="10"/>
    </row>
    <row r="42" customFormat="false" ht="15" hidden="false" customHeight="false" outlineLevel="0" collapsed="false">
      <c r="H42" s="10"/>
    </row>
    <row r="43" customFormat="false" ht="15" hidden="false" customHeight="false" outlineLevel="0" collapsed="false">
      <c r="H43" s="10"/>
    </row>
    <row r="44" customFormat="false" ht="15" hidden="false" customHeight="false" outlineLevel="0" collapsed="false">
      <c r="H44" s="10"/>
    </row>
    <row r="45" customFormat="false" ht="15" hidden="false" customHeight="false" outlineLevel="0" collapsed="false">
      <c r="H45" s="10"/>
    </row>
    <row r="46" customFormat="false" ht="15" hidden="false" customHeight="false" outlineLevel="0" collapsed="false">
      <c r="H46" s="10"/>
    </row>
    <row r="47" customFormat="false" ht="15" hidden="false" customHeight="false" outlineLevel="0" collapsed="false">
      <c r="H47" s="10"/>
    </row>
    <row r="48" customFormat="false" ht="15" hidden="false" customHeight="false" outlineLevel="0" collapsed="false">
      <c r="H48" s="10"/>
    </row>
    <row r="49" customFormat="false" ht="15" hidden="false" customHeight="false" outlineLevel="0" collapsed="false">
      <c r="H49" s="10"/>
    </row>
    <row r="50" customFormat="false" ht="15" hidden="false" customHeight="false" outlineLevel="0" collapsed="false">
      <c r="H50" s="10"/>
    </row>
    <row r="51" customFormat="false" ht="15" hidden="false" customHeight="false" outlineLevel="0" collapsed="false">
      <c r="H51" s="10"/>
    </row>
    <row r="52" customFormat="false" ht="15" hidden="false" customHeight="false" outlineLevel="0" collapsed="false">
      <c r="H52" s="10"/>
    </row>
    <row r="53" customFormat="false" ht="15" hidden="false" customHeight="false" outlineLevel="0" collapsed="false">
      <c r="H53" s="10"/>
    </row>
    <row r="54" customFormat="false" ht="15" hidden="false" customHeight="false" outlineLevel="0" collapsed="false">
      <c r="H54" s="10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5" t="s">
        <v>85</v>
      </c>
      <c r="C2" s="5"/>
      <c r="D2" s="5"/>
      <c r="E2" s="5"/>
      <c r="F2" s="5"/>
      <c r="G2" s="5"/>
      <c r="H2" s="5"/>
      <c r="I2" s="5"/>
      <c r="J2" s="5"/>
    </row>
    <row r="4" customFormat="false" ht="15" hidden="false" customHeight="false" outlineLevel="0" collapsed="false">
      <c r="B4" s="9" t="s">
        <v>86</v>
      </c>
      <c r="C4" s="9" t="s">
        <v>87</v>
      </c>
      <c r="D4" s="9" t="s">
        <v>88</v>
      </c>
      <c r="E4" s="9" t="s">
        <v>89</v>
      </c>
      <c r="F4" s="9" t="s">
        <v>90</v>
      </c>
      <c r="G4" s="9" t="s">
        <v>25</v>
      </c>
      <c r="H4" s="9" t="s">
        <v>91</v>
      </c>
      <c r="I4" s="9" t="s">
        <v>92</v>
      </c>
      <c r="J4" s="9" t="s">
        <v>27</v>
      </c>
    </row>
    <row r="5" customFormat="false" ht="15" hidden="false" customHeight="false" outlineLevel="0" collapsed="false">
      <c r="B5" s="0" t="s">
        <v>93</v>
      </c>
      <c r="C5" s="0" t="s">
        <v>94</v>
      </c>
      <c r="D5" s="0" t="s">
        <v>95</v>
      </c>
      <c r="J5" s="10" t="s">
        <v>96</v>
      </c>
    </row>
    <row r="6" customFormat="false" ht="15" hidden="false" customHeight="false" outlineLevel="0" collapsed="false">
      <c r="B6" s="0" t="s">
        <v>97</v>
      </c>
      <c r="C6" s="0" t="s">
        <v>98</v>
      </c>
      <c r="D6" s="0" t="s">
        <v>99</v>
      </c>
      <c r="J6" s="10" t="s">
        <v>96</v>
      </c>
    </row>
    <row r="7" customFormat="false" ht="15" hidden="false" customHeight="false" outlineLevel="0" collapsed="false">
      <c r="B7" s="0" t="s">
        <v>100</v>
      </c>
      <c r="C7" s="0" t="s">
        <v>101</v>
      </c>
      <c r="D7" s="0" t="s">
        <v>102</v>
      </c>
      <c r="J7" s="10" t="s">
        <v>96</v>
      </c>
    </row>
    <row r="8" customFormat="false" ht="15" hidden="false" customHeight="false" outlineLevel="0" collapsed="false">
      <c r="B8" s="0" t="s">
        <v>103</v>
      </c>
      <c r="C8" s="0" t="s">
        <v>104</v>
      </c>
      <c r="D8" s="0" t="s">
        <v>105</v>
      </c>
      <c r="J8" s="10" t="s">
        <v>96</v>
      </c>
    </row>
    <row r="9" customFormat="false" ht="15" hidden="false" customHeight="false" outlineLevel="0" collapsed="false">
      <c r="J9" s="10"/>
    </row>
    <row r="10" customFormat="false" ht="15" hidden="false" customHeight="false" outlineLevel="0" collapsed="false">
      <c r="J10" s="10"/>
    </row>
    <row r="11" customFormat="false" ht="15" hidden="false" customHeight="false" outlineLevel="0" collapsed="false">
      <c r="J11" s="10"/>
    </row>
    <row r="12" customFormat="false" ht="15" hidden="false" customHeight="false" outlineLevel="0" collapsed="false">
      <c r="J12" s="10"/>
    </row>
    <row r="13" customFormat="false" ht="15" hidden="false" customHeight="false" outlineLevel="0" collapsed="false">
      <c r="J13" s="10"/>
    </row>
    <row r="14" customFormat="false" ht="15" hidden="false" customHeight="false" outlineLevel="0" collapsed="false">
      <c r="J14" s="10"/>
    </row>
    <row r="15" customFormat="false" ht="15" hidden="false" customHeight="false" outlineLevel="0" collapsed="false">
      <c r="J15" s="10"/>
    </row>
    <row r="16" customFormat="false" ht="15" hidden="false" customHeight="false" outlineLevel="0" collapsed="false">
      <c r="J16" s="10"/>
    </row>
    <row r="17" customFormat="false" ht="15" hidden="false" customHeight="false" outlineLevel="0" collapsed="false">
      <c r="J17" s="10"/>
    </row>
    <row r="18" customFormat="false" ht="15" hidden="false" customHeight="false" outlineLevel="0" collapsed="false">
      <c r="J18" s="10"/>
    </row>
    <row r="19" customFormat="false" ht="15" hidden="false" customHeight="false" outlineLevel="0" collapsed="false">
      <c r="J19" s="10"/>
    </row>
    <row r="20" customFormat="false" ht="15" hidden="false" customHeight="false" outlineLevel="0" collapsed="false">
      <c r="J20" s="10"/>
    </row>
    <row r="21" customFormat="false" ht="15" hidden="false" customHeight="false" outlineLevel="0" collapsed="false">
      <c r="J21" s="10"/>
    </row>
    <row r="22" customFormat="false" ht="15" hidden="false" customHeight="false" outlineLevel="0" collapsed="false">
      <c r="J22" s="10"/>
    </row>
    <row r="23" customFormat="false" ht="15" hidden="false" customHeight="false" outlineLevel="0" collapsed="false">
      <c r="J23" s="10"/>
    </row>
    <row r="24" customFormat="false" ht="15" hidden="false" customHeight="false" outlineLevel="0" collapsed="false">
      <c r="J24" s="10"/>
    </row>
    <row r="25" customFormat="false" ht="15" hidden="false" customHeight="false" outlineLevel="0" collapsed="false">
      <c r="J25" s="10"/>
    </row>
    <row r="26" customFormat="false" ht="15" hidden="false" customHeight="false" outlineLevel="0" collapsed="false">
      <c r="J26" s="10"/>
    </row>
    <row r="27" customFormat="false" ht="15" hidden="false" customHeight="false" outlineLevel="0" collapsed="false">
      <c r="J27" s="10"/>
    </row>
    <row r="28" customFormat="false" ht="15" hidden="false" customHeight="false" outlineLevel="0" collapsed="false">
      <c r="J28" s="10"/>
    </row>
    <row r="29" customFormat="false" ht="15" hidden="false" customHeight="false" outlineLevel="0" collapsed="false">
      <c r="J29" s="10"/>
    </row>
    <row r="30" customFormat="false" ht="15" hidden="false" customHeight="false" outlineLevel="0" collapsed="false">
      <c r="J30" s="10"/>
    </row>
    <row r="31" customFormat="false" ht="15" hidden="false" customHeight="false" outlineLevel="0" collapsed="false">
      <c r="J31" s="10"/>
    </row>
    <row r="32" customFormat="false" ht="15" hidden="false" customHeight="false" outlineLevel="0" collapsed="false">
      <c r="J32" s="10"/>
    </row>
    <row r="33" customFormat="false" ht="15" hidden="false" customHeight="false" outlineLevel="0" collapsed="false">
      <c r="J33" s="10"/>
    </row>
    <row r="34" customFormat="false" ht="15" hidden="false" customHeight="false" outlineLevel="0" collapsed="false">
      <c r="J34" s="10"/>
    </row>
    <row r="35" customFormat="false" ht="15" hidden="false" customHeight="false" outlineLevel="0" collapsed="false">
      <c r="J35" s="10"/>
    </row>
    <row r="36" customFormat="false" ht="15" hidden="false" customHeight="false" outlineLevel="0" collapsed="false">
      <c r="J36" s="10"/>
    </row>
    <row r="37" customFormat="false" ht="15" hidden="false" customHeight="false" outlineLevel="0" collapsed="false">
      <c r="J37" s="10"/>
    </row>
    <row r="38" customFormat="false" ht="15" hidden="false" customHeight="false" outlineLevel="0" collapsed="false">
      <c r="J38" s="10"/>
    </row>
    <row r="39" customFormat="false" ht="15" hidden="false" customHeight="false" outlineLevel="0" collapsed="false">
      <c r="J39" s="10"/>
    </row>
    <row r="40" customFormat="false" ht="15" hidden="false" customHeight="false" outlineLevel="0" collapsed="false">
      <c r="J40" s="10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106</v>
      </c>
    </row>
    <row r="5" customFormat="false" ht="15" hidden="false" customHeight="false" outlineLevel="0" collapsed="false">
      <c r="B5" s="11" t="s">
        <v>107</v>
      </c>
      <c r="C5" s="12" t="n">
        <v>1000</v>
      </c>
    </row>
    <row r="6" customFormat="false" ht="15" hidden="false" customHeight="false" outlineLevel="0" collapsed="false">
      <c r="B6" s="11" t="s">
        <v>108</v>
      </c>
      <c r="C6" s="13" t="n">
        <v>0.025</v>
      </c>
    </row>
    <row r="7" customFormat="false" ht="15" hidden="false" customHeight="false" outlineLevel="0" collapsed="false">
      <c r="B7" s="11" t="s">
        <v>109</v>
      </c>
      <c r="C7" s="13" t="n">
        <v>0.008</v>
      </c>
    </row>
    <row r="8" customFormat="false" ht="15" hidden="false" customHeight="false" outlineLevel="0" collapsed="false">
      <c r="B8" s="11" t="s">
        <v>110</v>
      </c>
      <c r="C8" s="12" t="n">
        <v>4</v>
      </c>
    </row>
    <row r="9" customFormat="false" ht="15" hidden="false" customHeight="false" outlineLevel="0" collapsed="false">
      <c r="B9" s="11" t="s">
        <v>111</v>
      </c>
      <c r="C9" s="12" t="n">
        <v>2</v>
      </c>
    </row>
    <row r="10" customFormat="false" ht="15" hidden="false" customHeight="false" outlineLevel="0" collapsed="false">
      <c r="B10" s="11" t="s">
        <v>112</v>
      </c>
      <c r="C10" s="14" t="n">
        <v>20</v>
      </c>
    </row>
    <row r="11" customFormat="false" ht="15" hidden="false" customHeight="false" outlineLevel="0" collapsed="false">
      <c r="B11" s="11" t="s">
        <v>113</v>
      </c>
      <c r="C11" s="14" t="n">
        <v>30</v>
      </c>
    </row>
    <row r="12" customFormat="false" ht="15" hidden="false" customHeight="false" outlineLevel="0" collapsed="false">
      <c r="C12" s="4" t="n">
        <v>8</v>
      </c>
    </row>
    <row r="13" customFormat="false" ht="15" hidden="false" customHeight="false" outlineLevel="0" collapsed="false">
      <c r="B13" s="15" t="s">
        <v>114</v>
      </c>
      <c r="C13" s="4" t="n">
        <v>0.6</v>
      </c>
    </row>
    <row r="14" customFormat="false" ht="15" hidden="false" customHeight="false" outlineLevel="0" collapsed="false">
      <c r="B14" s="0" t="s">
        <v>115</v>
      </c>
      <c r="C14" s="16" t="n">
        <f aca="false">C5*C6</f>
        <v>25</v>
      </c>
    </row>
    <row r="15" customFormat="false" ht="15" hidden="false" customHeight="false" outlineLevel="0" collapsed="false">
      <c r="B15" s="0" t="s">
        <v>116</v>
      </c>
      <c r="C15" s="16" t="n">
        <f aca="false">C5*C7</f>
        <v>8</v>
      </c>
    </row>
    <row r="16" customFormat="false" ht="15" hidden="false" customHeight="false" outlineLevel="0" collapsed="false">
      <c r="B16" s="0" t="s">
        <v>117</v>
      </c>
      <c r="C16" s="17" t="n">
        <f aca="false">C14-C15</f>
        <v>17</v>
      </c>
    </row>
    <row r="17" customFormat="false" ht="15" hidden="false" customHeight="false" outlineLevel="0" collapsed="false">
      <c r="B17" s="0" t="s">
        <v>118</v>
      </c>
      <c r="C17" s="18" t="n">
        <f aca="false">IFERROR(1/C11,"-")</f>
        <v>0.0333333333333333</v>
      </c>
    </row>
    <row r="18" customFormat="false" ht="15" hidden="false" customHeight="false" outlineLevel="0" collapsed="false">
      <c r="B18" s="0" t="s">
        <v>119</v>
      </c>
      <c r="C18" s="17" t="n">
        <f aca="false">C9*C10*C17</f>
        <v>1.33333333333333</v>
      </c>
    </row>
    <row r="19" customFormat="false" ht="15" hidden="false" customHeight="false" outlineLevel="0" collapsed="false">
      <c r="B19" s="0" t="s">
        <v>120</v>
      </c>
      <c r="C19" s="19" t="n">
        <f aca="false">IFERROR(C18/C8,"-")</f>
        <v>0.333333333333333</v>
      </c>
      <c r="D19" s="20" t="s">
        <v>121</v>
      </c>
    </row>
    <row r="20" customFormat="false" ht="15" hidden="false" customHeight="false" outlineLevel="0" collapsed="false">
      <c r="B20" s="0" t="s">
        <v>122</v>
      </c>
      <c r="C20" s="18" t="n">
        <f aca="false">IFERROR(C8/(C9*C10),"-")</f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10" min="3" style="0" width="10"/>
  </cols>
  <sheetData>
    <row r="2" customFormat="false" ht="19.7" hidden="false" customHeight="false" outlineLevel="0" collapsed="false">
      <c r="B2" s="1" t="s">
        <v>123</v>
      </c>
    </row>
    <row r="4" customFormat="false" ht="15" hidden="false" customHeight="false" outlineLevel="0" collapsed="false">
      <c r="B4" s="15" t="s">
        <v>124</v>
      </c>
      <c r="C4" s="15" t="s">
        <v>125</v>
      </c>
      <c r="D4" s="15" t="s">
        <v>126</v>
      </c>
      <c r="E4" s="15" t="s">
        <v>13</v>
      </c>
      <c r="F4" s="15" t="s">
        <v>127</v>
      </c>
      <c r="G4" s="15" t="s">
        <v>128</v>
      </c>
      <c r="H4" s="15" t="s">
        <v>129</v>
      </c>
      <c r="I4" s="15" t="s">
        <v>130</v>
      </c>
      <c r="J4" s="15" t="s">
        <v>131</v>
      </c>
    </row>
    <row r="5" customFormat="false" ht="15" hidden="false" customHeight="false" outlineLevel="0" collapsed="false">
      <c r="B5" s="2" t="s">
        <v>132</v>
      </c>
      <c r="C5" s="21" t="n">
        <v>1</v>
      </c>
      <c r="D5" s="21" t="n">
        <v>0</v>
      </c>
      <c r="E5" s="21" t="n">
        <v>0</v>
      </c>
      <c r="F5" s="21" t="n">
        <v>0</v>
      </c>
      <c r="G5" s="21" t="n">
        <v>0</v>
      </c>
      <c r="H5" s="21" t="n">
        <v>0</v>
      </c>
      <c r="I5" s="21" t="n">
        <v>0</v>
      </c>
      <c r="J5" s="21" t="n">
        <v>0</v>
      </c>
    </row>
    <row r="6" customFormat="false" ht="15" hidden="false" customHeight="false" outlineLevel="0" collapsed="false">
      <c r="B6" s="2" t="s">
        <v>133</v>
      </c>
      <c r="C6" s="21" t="n">
        <v>1</v>
      </c>
      <c r="D6" s="21" t="n">
        <v>0</v>
      </c>
      <c r="E6" s="21" t="n">
        <v>0</v>
      </c>
      <c r="F6" s="21" t="n">
        <v>0</v>
      </c>
      <c r="G6" s="21" t="n">
        <v>0</v>
      </c>
      <c r="H6" s="21" t="n">
        <v>0</v>
      </c>
      <c r="I6" s="21" t="n">
        <v>0</v>
      </c>
      <c r="J6" s="21" t="n">
        <v>0</v>
      </c>
    </row>
    <row r="7" customFormat="false" ht="15" hidden="false" customHeight="false" outlineLevel="0" collapsed="false">
      <c r="B7" s="2" t="s">
        <v>134</v>
      </c>
      <c r="C7" s="21" t="n">
        <v>1</v>
      </c>
      <c r="D7" s="21" t="n">
        <v>0</v>
      </c>
      <c r="E7" s="21" t="n">
        <v>0</v>
      </c>
      <c r="F7" s="21" t="n">
        <v>0</v>
      </c>
      <c r="G7" s="21" t="n">
        <v>0</v>
      </c>
      <c r="H7" s="21" t="n">
        <v>0</v>
      </c>
      <c r="I7" s="21" t="n">
        <v>0</v>
      </c>
      <c r="J7" s="21" t="n">
        <v>0</v>
      </c>
    </row>
    <row r="8" customFormat="false" ht="15" hidden="false" customHeight="false" outlineLevel="0" collapsed="false">
      <c r="B8" s="2" t="s">
        <v>135</v>
      </c>
      <c r="C8" s="21" t="n">
        <v>1</v>
      </c>
      <c r="D8" s="21" t="n">
        <v>0</v>
      </c>
      <c r="E8" s="21" t="n">
        <v>0</v>
      </c>
      <c r="F8" s="21" t="n">
        <v>0</v>
      </c>
      <c r="G8" s="21" t="n">
        <v>0</v>
      </c>
      <c r="H8" s="21" t="n">
        <v>0</v>
      </c>
      <c r="I8" s="21" t="n">
        <v>0</v>
      </c>
      <c r="J8" s="21" t="n">
        <v>0</v>
      </c>
    </row>
    <row r="9" customFormat="false" ht="15" hidden="false" customHeight="false" outlineLevel="0" collapsed="false">
      <c r="B9" s="2" t="s">
        <v>136</v>
      </c>
      <c r="C9" s="22" t="n">
        <f aca="false">AVERAGE(C5:C8)</f>
        <v>1</v>
      </c>
      <c r="D9" s="22" t="n">
        <f aca="false">AVERAGE(D5:D8)</f>
        <v>0</v>
      </c>
      <c r="E9" s="22" t="n">
        <f aca="false">AVERAGE(E5:E8)</f>
        <v>0</v>
      </c>
      <c r="F9" s="22" t="n">
        <f aca="false">AVERAGE(F5:F8)</f>
        <v>0</v>
      </c>
      <c r="G9" s="22" t="n">
        <f aca="false">AVERAGE(G5:G8)</f>
        <v>0</v>
      </c>
      <c r="H9" s="22" t="n">
        <f aca="false">AVERAGE(H5:H8)</f>
        <v>0</v>
      </c>
      <c r="I9" s="22" t="n">
        <f aca="false">AVERAGE(I5:I8)</f>
        <v>0</v>
      </c>
      <c r="J9" s="22" t="n">
        <f aca="false">AVERAGE(J5:J8)</f>
        <v>0</v>
      </c>
    </row>
    <row r="10" customFormat="false" ht="15" hidden="false" customHeight="false" outlineLevel="0" collapsed="false">
      <c r="B10" s="0" t="s">
        <v>137</v>
      </c>
      <c r="C10" s="23" t="n">
        <f aca="false">SUM(C9:J9)</f>
        <v>1</v>
      </c>
    </row>
    <row r="11" customFormat="false" ht="15" hidden="false" customHeight="false" outlineLevel="0" collapsed="false">
      <c r="B11" s="20" t="s">
        <v>138</v>
      </c>
    </row>
    <row r="12" customFormat="false" ht="15" hidden="false" customHeight="false" outlineLevel="0" collapsed="false">
      <c r="B12" s="20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5" min="3" style="0" width="18"/>
    <col collapsed="false" customWidth="true" hidden="false" outlineLevel="0" max="6" min="6" style="0" width="42"/>
  </cols>
  <sheetData>
    <row r="2" customFormat="false" ht="19.7" hidden="false" customHeight="false" outlineLevel="0" collapsed="false">
      <c r="B2" s="1" t="s">
        <v>140</v>
      </c>
    </row>
    <row r="3" customFormat="false" ht="15" hidden="false" customHeight="false" outlineLevel="0" collapsed="false">
      <c r="B3" s="0" t="s">
        <v>141</v>
      </c>
      <c r="C3" s="24" t="s">
        <v>142</v>
      </c>
    </row>
    <row r="4" customFormat="false" ht="15" hidden="false" customHeight="false" outlineLevel="0" collapsed="false">
      <c r="B4" s="25" t="s">
        <v>143</v>
      </c>
      <c r="C4" s="25" t="s">
        <v>142</v>
      </c>
      <c r="D4" s="25" t="s">
        <v>144</v>
      </c>
      <c r="E4" s="25" t="s">
        <v>145</v>
      </c>
      <c r="F4" s="25" t="s">
        <v>146</v>
      </c>
    </row>
    <row r="5" customFormat="false" ht="15" hidden="false" customHeight="false" outlineLevel="0" collapsed="false">
      <c r="B5" s="0" t="s">
        <v>147</v>
      </c>
      <c r="C5" s="26" t="n">
        <v>100000</v>
      </c>
      <c r="D5" s="26" t="n">
        <v>100000</v>
      </c>
      <c r="E5" s="27" t="n">
        <f aca="false">IF($C$3="Downside",D5,C5)</f>
        <v>100000</v>
      </c>
      <c r="F5" s="10" t="s">
        <v>148</v>
      </c>
    </row>
    <row r="6" customFormat="false" ht="15" hidden="false" customHeight="false" outlineLevel="0" collapsed="false">
      <c r="B6" s="0" t="s">
        <v>149</v>
      </c>
      <c r="C6" s="14" t="n">
        <v>0.9</v>
      </c>
      <c r="D6" s="14" t="n">
        <v>0.55</v>
      </c>
      <c r="E6" s="28" t="n">
        <f aca="false">IF($C$3="Downside",D6,C6)</f>
        <v>0.9</v>
      </c>
      <c r="F6" s="10" t="s">
        <v>150</v>
      </c>
    </row>
    <row r="7" customFormat="false" ht="15" hidden="false" customHeight="false" outlineLevel="0" collapsed="false">
      <c r="B7" s="0" t="s">
        <v>151</v>
      </c>
      <c r="C7" s="26" t="n">
        <v>20000</v>
      </c>
      <c r="D7" s="26" t="n">
        <v>5000</v>
      </c>
      <c r="E7" s="27" t="n">
        <f aca="false">IF($C$3="Downside",D7,C7)</f>
        <v>20000</v>
      </c>
      <c r="F7" s="10" t="s">
        <v>152</v>
      </c>
    </row>
    <row r="8" customFormat="false" ht="15" hidden="false" customHeight="false" outlineLevel="0" collapsed="false">
      <c r="B8" s="0" t="s">
        <v>153</v>
      </c>
      <c r="C8" s="26" t="n">
        <v>5000</v>
      </c>
      <c r="D8" s="26" t="n">
        <v>5000</v>
      </c>
      <c r="E8" s="27" t="n">
        <f aca="false">IF($C$3="Downside",D8,C8)</f>
        <v>5000</v>
      </c>
      <c r="F8" s="10" t="s">
        <v>154</v>
      </c>
    </row>
    <row r="9" customFormat="false" ht="15" hidden="false" customHeight="false" outlineLevel="0" collapsed="false">
      <c r="B9" s="0" t="s">
        <v>155</v>
      </c>
      <c r="C9" s="14" t="n">
        <v>0.94</v>
      </c>
      <c r="D9" s="14" t="n">
        <v>0.7</v>
      </c>
      <c r="E9" s="28" t="n">
        <f aca="false">IF($C$3="Downside",D9,C9)</f>
        <v>0.94</v>
      </c>
      <c r="F9" s="10" t="s">
        <v>156</v>
      </c>
    </row>
    <row r="10" customFormat="false" ht="15" hidden="false" customHeight="false" outlineLevel="0" collapsed="false">
      <c r="B10" s="0" t="s">
        <v>157</v>
      </c>
      <c r="C10" s="26" t="n">
        <v>750</v>
      </c>
      <c r="D10" s="26" t="n">
        <v>100</v>
      </c>
      <c r="E10" s="27" t="n">
        <f aca="false">IF($C$3="Downside",D10,C10)</f>
        <v>750</v>
      </c>
      <c r="F10" s="10" t="s">
        <v>158</v>
      </c>
    </row>
    <row r="11" customFormat="false" ht="15" hidden="false" customHeight="false" outlineLevel="0" collapsed="false">
      <c r="B11" s="0" t="s">
        <v>159</v>
      </c>
      <c r="C11" s="26" t="n">
        <v>1500000</v>
      </c>
      <c r="D11" s="26" t="n">
        <v>300000</v>
      </c>
      <c r="E11" s="27" t="n">
        <f aca="false">IF($C$3="Downside",D11,C11)</f>
        <v>1500000</v>
      </c>
      <c r="F11" s="10" t="s">
        <v>160</v>
      </c>
    </row>
    <row r="12" customFormat="false" ht="15" hidden="false" customHeight="false" outlineLevel="0" collapsed="false">
      <c r="B12" s="0" t="s">
        <v>161</v>
      </c>
      <c r="C12" s="26" t="n">
        <v>15000</v>
      </c>
      <c r="D12" s="26" t="n">
        <v>45000</v>
      </c>
      <c r="E12" s="27" t="n">
        <f aca="false">IF($C$3="Downside",D12,C12)</f>
        <v>15000</v>
      </c>
      <c r="F12" s="10" t="s">
        <v>162</v>
      </c>
    </row>
    <row r="15" customFormat="false" ht="15" hidden="false" customHeight="false" outlineLevel="0" collapsed="false">
      <c r="B15" s="15" t="s">
        <v>163</v>
      </c>
    </row>
    <row r="16" customFormat="false" ht="15" hidden="false" customHeight="false" outlineLevel="0" collapsed="false">
      <c r="B16" s="0" t="s">
        <v>164</v>
      </c>
      <c r="E16" s="27" t="n">
        <f aca="false">E5*E6+E7</f>
        <v>110000</v>
      </c>
    </row>
    <row r="17" customFormat="false" ht="15" hidden="false" customHeight="false" outlineLevel="0" collapsed="false">
      <c r="B17" s="0" t="s">
        <v>165</v>
      </c>
      <c r="E17" s="27" t="n">
        <f aca="false">E8*E9+E10</f>
        <v>5450</v>
      </c>
    </row>
    <row r="18" customFormat="false" ht="15" hidden="false" customHeight="false" outlineLevel="0" collapsed="false">
      <c r="B18" s="0" t="s">
        <v>166</v>
      </c>
      <c r="E18" s="29" t="n">
        <f aca="false">IFERROR(E11/E16,0)</f>
        <v>13.6363636363636</v>
      </c>
    </row>
    <row r="19" customFormat="false" ht="15" hidden="false" customHeight="false" outlineLevel="0" collapsed="false">
      <c r="B19" s="0" t="s">
        <v>167</v>
      </c>
      <c r="E19" s="29" t="n">
        <f aca="false">IFERROR(E11/E17,0)</f>
        <v>275.229357798165</v>
      </c>
    </row>
    <row r="20" customFormat="false" ht="15" hidden="false" customHeight="false" outlineLevel="0" collapsed="false">
      <c r="B20" s="0" t="s">
        <v>168</v>
      </c>
      <c r="E20" s="30" t="n">
        <f aca="false">IFERROR(E12/(E11+E12),0)</f>
        <v>0.0099009900990099</v>
      </c>
    </row>
    <row r="21" customFormat="false" ht="15" hidden="false" customHeight="false" outlineLevel="0" collapsed="false">
      <c r="B21" s="0" t="s">
        <v>169</v>
      </c>
      <c r="E21" s="31" t="n">
        <f aca="false">IFERROR(E11/(E16*E17),0)</f>
        <v>0.00250208507089241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44"/>
  </cols>
  <sheetData>
    <row r="2" customFormat="false" ht="19.7" hidden="false" customHeight="false" outlineLevel="0" collapsed="false">
      <c r="B2" s="1" t="s">
        <v>170</v>
      </c>
    </row>
    <row r="4" customFormat="false" ht="15" hidden="false" customHeight="false" outlineLevel="0" collapsed="false">
      <c r="B4" s="15" t="s">
        <v>171</v>
      </c>
    </row>
    <row r="5" customFormat="false" ht="15" hidden="false" customHeight="false" outlineLevel="0" collapsed="false">
      <c r="B5" s="11" t="s">
        <v>107</v>
      </c>
      <c r="C5" s="12" t="n">
        <v>1000</v>
      </c>
    </row>
    <row r="6" customFormat="false" ht="15" hidden="false" customHeight="false" outlineLevel="0" collapsed="false">
      <c r="B6" s="11" t="s">
        <v>172</v>
      </c>
      <c r="C6" s="26" t="n">
        <v>10</v>
      </c>
    </row>
    <row r="7" customFormat="false" ht="15" hidden="false" customHeight="false" outlineLevel="0" collapsed="false">
      <c r="B7" s="11" t="s">
        <v>173</v>
      </c>
      <c r="C7" s="26" t="n">
        <v>5</v>
      </c>
    </row>
    <row r="8" customFormat="false" ht="15" hidden="false" customHeight="false" outlineLevel="0" collapsed="false">
      <c r="B8" s="11" t="s">
        <v>174</v>
      </c>
      <c r="C8" s="12" t="n">
        <v>2</v>
      </c>
    </row>
    <row r="9" customFormat="false" ht="15" hidden="false" customHeight="false" outlineLevel="0" collapsed="false">
      <c r="B9" s="11" t="s">
        <v>175</v>
      </c>
      <c r="C9" s="12" t="n">
        <v>1</v>
      </c>
    </row>
    <row r="10" customFormat="false" ht="15" hidden="false" customHeight="false" outlineLevel="0" collapsed="false">
      <c r="B10" s="0" t="s">
        <v>176</v>
      </c>
      <c r="C10" s="26" t="n">
        <v>50</v>
      </c>
    </row>
    <row r="11" customFormat="false" ht="15" hidden="false" customHeight="false" outlineLevel="0" collapsed="false">
      <c r="B11" s="15" t="s">
        <v>114</v>
      </c>
    </row>
    <row r="12" customFormat="false" ht="15" hidden="false" customHeight="false" outlineLevel="0" collapsed="false">
      <c r="B12" s="0" t="s">
        <v>177</v>
      </c>
      <c r="C12" s="16" t="n">
        <f aca="false">C5*C6/10000</f>
        <v>1</v>
      </c>
      <c r="D12" s="20" t="s">
        <v>178</v>
      </c>
    </row>
    <row r="13" customFormat="false" ht="15" hidden="false" customHeight="false" outlineLevel="0" collapsed="false">
      <c r="B13" s="0" t="s">
        <v>179</v>
      </c>
      <c r="C13" s="16" t="n">
        <f aca="false">C7*C8</f>
        <v>10</v>
      </c>
    </row>
    <row r="14" customFormat="false" ht="15" hidden="false" customHeight="false" outlineLevel="0" collapsed="false">
      <c r="B14" s="0" t="s">
        <v>180</v>
      </c>
      <c r="C14" s="17" t="n">
        <f aca="false">C12+C13+C9</f>
        <v>12</v>
      </c>
    </row>
    <row r="15" customFormat="false" ht="15" hidden="false" customHeight="false" outlineLevel="0" collapsed="false">
      <c r="B15" s="0" t="s">
        <v>181</v>
      </c>
      <c r="C15" s="32" t="n">
        <f aca="false">IFERROR(C14/'Unit Economics'!C16,"-")</f>
        <v>0.705882352941177</v>
      </c>
      <c r="D15" s="20" t="s">
        <v>182</v>
      </c>
    </row>
    <row r="16" customFormat="false" ht="15" hidden="false" customHeight="false" outlineLevel="0" collapsed="false">
      <c r="B16" s="0" t="s">
        <v>183</v>
      </c>
      <c r="C16" s="33" t="str">
        <f aca="false">IF(C6&lt;=C10,"PASS","BREACH")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44"/>
  </cols>
  <sheetData>
    <row r="2" customFormat="false" ht="19.7" hidden="false" customHeight="false" outlineLevel="0" collapsed="false">
      <c r="B2" s="1" t="s">
        <v>184</v>
      </c>
    </row>
    <row r="4" customFormat="false" ht="15" hidden="false" customHeight="false" outlineLevel="0" collapsed="false">
      <c r="B4" s="25" t="s">
        <v>143</v>
      </c>
      <c r="C4" s="25" t="s">
        <v>142</v>
      </c>
      <c r="D4" s="25" t="s">
        <v>144</v>
      </c>
      <c r="E4" s="25" t="s">
        <v>185</v>
      </c>
    </row>
    <row r="5" customFormat="false" ht="15" hidden="false" customHeight="false" outlineLevel="0" collapsed="false">
      <c r="B5" s="0" t="s">
        <v>186</v>
      </c>
      <c r="C5" s="12" t="n">
        <v>20</v>
      </c>
      <c r="D5" s="12" t="n">
        <v>5</v>
      </c>
      <c r="E5" s="10" t="s">
        <v>187</v>
      </c>
    </row>
    <row r="6" customFormat="false" ht="15" hidden="false" customHeight="false" outlineLevel="0" collapsed="false">
      <c r="B6" s="0" t="s">
        <v>188</v>
      </c>
      <c r="C6" s="12" t="n">
        <v>10</v>
      </c>
      <c r="D6" s="12" t="n">
        <v>20</v>
      </c>
      <c r="E6" s="10" t="s">
        <v>189</v>
      </c>
    </row>
    <row r="7" customFormat="false" ht="15" hidden="false" customHeight="false" outlineLevel="0" collapsed="false">
      <c r="B7" s="0" t="s">
        <v>190</v>
      </c>
      <c r="C7" s="12" t="n">
        <v>25</v>
      </c>
      <c r="D7" s="12" t="n">
        <v>8</v>
      </c>
      <c r="E7" s="10" t="s">
        <v>191</v>
      </c>
    </row>
    <row r="8" customFormat="false" ht="15" hidden="false" customHeight="false" outlineLevel="0" collapsed="false">
      <c r="B8" s="0" t="s">
        <v>192</v>
      </c>
      <c r="C8" s="12" t="n">
        <v>15</v>
      </c>
      <c r="D8" s="12" t="n">
        <v>25</v>
      </c>
      <c r="E8" s="10" t="s">
        <v>193</v>
      </c>
    </row>
    <row r="9" customFormat="false" ht="15" hidden="false" customHeight="false" outlineLevel="0" collapsed="false">
      <c r="B9" s="0" t="s">
        <v>194</v>
      </c>
      <c r="C9" s="12" t="n">
        <v>30</v>
      </c>
      <c r="D9" s="12" t="n">
        <v>30</v>
      </c>
      <c r="E9" s="10" t="s">
        <v>195</v>
      </c>
    </row>
    <row r="10" customFormat="false" ht="15" hidden="false" customHeight="false" outlineLevel="0" collapsed="false">
      <c r="B10" s="0" t="s">
        <v>196</v>
      </c>
      <c r="C10" s="34" t="n">
        <v>1.2</v>
      </c>
      <c r="D10" s="34" t="n">
        <v>1.2</v>
      </c>
      <c r="E10" s="10" t="s">
        <v>197</v>
      </c>
    </row>
    <row r="11" customFormat="false" ht="15" hidden="false" customHeight="false" outlineLevel="0" collapsed="false">
      <c r="B11" s="0" t="s">
        <v>198</v>
      </c>
      <c r="C11" s="34" t="n">
        <v>1.1</v>
      </c>
      <c r="D11" s="34" t="n">
        <v>1.1</v>
      </c>
      <c r="E11" s="10" t="s">
        <v>199</v>
      </c>
    </row>
    <row r="14" customFormat="false" ht="15" hidden="false" customHeight="false" outlineLevel="0" collapsed="false">
      <c r="B14" s="0" t="s">
        <v>200</v>
      </c>
      <c r="C14" s="35" t="n">
        <f aca="false">IFERROR(C5/C6,0)</f>
        <v>2</v>
      </c>
      <c r="D14" s="35" t="n">
        <f aca="false">IFERROR(D5/D6,0)</f>
        <v>0.25</v>
      </c>
    </row>
    <row r="15" customFormat="false" ht="15" hidden="false" customHeight="false" outlineLevel="0" collapsed="false">
      <c r="B15" s="0" t="s">
        <v>201</v>
      </c>
      <c r="C15" s="35" t="n">
        <f aca="false">IFERROR(C7/C8,0)</f>
        <v>1.66666666666667</v>
      </c>
      <c r="D15" s="35" t="n">
        <f aca="false">IFERROR(D7/D8,0)</f>
        <v>0.32</v>
      </c>
    </row>
    <row r="16" customFormat="false" ht="15" hidden="false" customHeight="false" outlineLevel="0" collapsed="false">
      <c r="B16" s="0" t="s">
        <v>202</v>
      </c>
      <c r="C16" s="16" t="n">
        <f aca="false">C5-C6</f>
        <v>10</v>
      </c>
      <c r="D16" s="16" t="n">
        <f aca="false">D5-D6</f>
        <v>-15</v>
      </c>
    </row>
    <row r="17" customFormat="false" ht="15" hidden="false" customHeight="false" outlineLevel="0" collapsed="false">
      <c r="B17" s="0" t="s">
        <v>203</v>
      </c>
      <c r="C17" s="16" t="n">
        <f aca="false">C7-C8</f>
        <v>10</v>
      </c>
      <c r="D17" s="16" t="n">
        <f aca="false">D7-D8</f>
        <v>-17</v>
      </c>
    </row>
    <row r="18" customFormat="false" ht="15" hidden="false" customHeight="false" outlineLevel="0" collapsed="false">
      <c r="B18" s="0" t="s">
        <v>204</v>
      </c>
      <c r="C18" s="36" t="str">
        <f aca="false">IF(AND(C14&gt;=C10,C15&gt;=C11),"PASS","BREACH")</f>
        <v>PASS</v>
      </c>
      <c r="D18" s="36"/>
    </row>
    <row r="19" customFormat="false" ht="15" hidden="false" customHeight="false" outlineLevel="0" collapsed="false">
      <c r="B19" s="0" t="s">
        <v>205</v>
      </c>
      <c r="C19" s="36" t="str">
        <f aca="false">IF(AND(D14&gt;=D10,D15&gt;=D11),"PASS","BREACH")</f>
        <v>BREACH</v>
      </c>
      <c r="D19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42"/>
  </cols>
  <sheetData>
    <row r="2" customFormat="false" ht="19.7" hidden="false" customHeight="false" outlineLevel="0" collapsed="false">
      <c r="B2" s="1" t="s">
        <v>206</v>
      </c>
    </row>
    <row r="4" customFormat="false" ht="15" hidden="false" customHeight="false" outlineLevel="0" collapsed="false">
      <c r="B4" s="25" t="s">
        <v>88</v>
      </c>
      <c r="C4" s="25" t="s">
        <v>25</v>
      </c>
      <c r="D4" s="25" t="s">
        <v>207</v>
      </c>
      <c r="E4" s="25" t="s">
        <v>143</v>
      </c>
      <c r="F4" s="25" t="s">
        <v>208</v>
      </c>
      <c r="G4" s="25" t="s">
        <v>209</v>
      </c>
    </row>
    <row r="5" customFormat="false" ht="15" hidden="false" customHeight="false" outlineLevel="0" collapsed="false">
      <c r="B5" s="36" t="s">
        <v>210</v>
      </c>
      <c r="C5" s="36" t="s">
        <v>211</v>
      </c>
      <c r="D5" s="36" t="s">
        <v>212</v>
      </c>
      <c r="E5" s="36" t="s">
        <v>213</v>
      </c>
      <c r="F5" s="36" t="s">
        <v>214</v>
      </c>
      <c r="G5" s="36" t="s">
        <v>215</v>
      </c>
    </row>
    <row r="6" customFormat="false" ht="15" hidden="false" customHeight="false" outlineLevel="0" collapsed="false">
      <c r="B6" s="36" t="s">
        <v>216</v>
      </c>
      <c r="C6" s="36" t="s">
        <v>217</v>
      </c>
      <c r="D6" s="36" t="s">
        <v>212</v>
      </c>
      <c r="E6" s="36" t="s">
        <v>218</v>
      </c>
      <c r="F6" s="36" t="s">
        <v>219</v>
      </c>
      <c r="G6" s="36" t="s">
        <v>220</v>
      </c>
    </row>
    <row r="7" customFormat="false" ht="15" hidden="false" customHeight="false" outlineLevel="0" collapsed="false">
      <c r="B7" s="36" t="s">
        <v>221</v>
      </c>
      <c r="C7" s="36" t="s">
        <v>222</v>
      </c>
      <c r="D7" s="36" t="s">
        <v>223</v>
      </c>
      <c r="E7" s="36" t="s">
        <v>224</v>
      </c>
      <c r="F7" s="36" t="s">
        <v>225</v>
      </c>
      <c r="G7" s="36" t="s">
        <v>226</v>
      </c>
    </row>
    <row r="8" customFormat="false" ht="15" hidden="false" customHeight="false" outlineLevel="0" collapsed="false">
      <c r="B8" s="36" t="s">
        <v>227</v>
      </c>
      <c r="C8" s="36" t="s">
        <v>228</v>
      </c>
      <c r="D8" s="36" t="s">
        <v>223</v>
      </c>
      <c r="E8" s="36" t="s">
        <v>229</v>
      </c>
      <c r="F8" s="36" t="s">
        <v>230</v>
      </c>
      <c r="G8" s="36" t="s">
        <v>231</v>
      </c>
    </row>
    <row r="9" customFormat="false" ht="15" hidden="false" customHeight="false" outlineLevel="0" collapsed="false">
      <c r="B9" s="36" t="s">
        <v>232</v>
      </c>
      <c r="C9" s="36" t="s">
        <v>233</v>
      </c>
      <c r="D9" s="36" t="s">
        <v>234</v>
      </c>
      <c r="E9" s="36" t="s">
        <v>235</v>
      </c>
      <c r="F9" s="36" t="s">
        <v>236</v>
      </c>
      <c r="G9" s="36" t="s">
        <v>237</v>
      </c>
    </row>
    <row r="10" customFormat="false" ht="15" hidden="false" customHeight="false" outlineLevel="0" collapsed="false">
      <c r="B10" s="36" t="s">
        <v>238</v>
      </c>
      <c r="C10" s="36" t="s">
        <v>239</v>
      </c>
      <c r="D10" s="36" t="s">
        <v>240</v>
      </c>
      <c r="E10" s="36" t="s">
        <v>241</v>
      </c>
      <c r="F10" s="36" t="s">
        <v>242</v>
      </c>
      <c r="G10" s="36" t="s">
        <v>243</v>
      </c>
    </row>
    <row r="11" customFormat="false" ht="15" hidden="false" customHeight="false" outlineLevel="0" collapsed="false">
      <c r="B11" s="36" t="s">
        <v>244</v>
      </c>
      <c r="C11" s="36" t="s">
        <v>245</v>
      </c>
      <c r="D11" s="36" t="s">
        <v>246</v>
      </c>
      <c r="E11" s="36" t="s">
        <v>247</v>
      </c>
      <c r="F11" s="36" t="s">
        <v>248</v>
      </c>
      <c r="G11" s="36" t="s">
        <v>249</v>
      </c>
    </row>
    <row r="14" customFormat="false" ht="15" hidden="false" customHeight="false" outlineLevel="0" collapsed="false">
      <c r="B14" s="20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4" min="3" style="0" width="18"/>
    <col collapsed="false" customWidth="true" hidden="false" outlineLevel="0" max="5" min="5" style="0" width="48"/>
  </cols>
  <sheetData>
    <row r="2" customFormat="false" ht="19.7" hidden="false" customHeight="false" outlineLevel="0" collapsed="false">
      <c r="B2" s="1" t="s">
        <v>251</v>
      </c>
    </row>
    <row r="4" customFormat="false" ht="15" hidden="false" customHeight="false" outlineLevel="0" collapsed="false">
      <c r="B4" s="25" t="s">
        <v>252</v>
      </c>
      <c r="C4" s="25" t="s">
        <v>143</v>
      </c>
      <c r="D4" s="25" t="s">
        <v>27</v>
      </c>
      <c r="E4" s="25" t="s">
        <v>253</v>
      </c>
    </row>
    <row r="5" customFormat="false" ht="15" hidden="false" customHeight="false" outlineLevel="0" collapsed="false">
      <c r="B5" s="0" t="s">
        <v>254</v>
      </c>
      <c r="C5" s="36" t="n">
        <f aca="false">'Unit Economics'!C14-'Unit Economics'!C5*'Unit Economics'!C6</f>
        <v>0</v>
      </c>
      <c r="D5" s="36" t="str">
        <f aca="false">IF(ABS(C5)&lt;0.01,"PASS","FAIL")</f>
        <v>PASS</v>
      </c>
      <c r="E5" s="10" t="s">
        <v>255</v>
      </c>
    </row>
    <row r="6" customFormat="false" ht="15" hidden="false" customHeight="false" outlineLevel="0" collapsed="false">
      <c r="B6" s="0" t="s">
        <v>256</v>
      </c>
      <c r="C6" s="36" t="n">
        <f aca="false">'Unit Economics'!C15-'Unit Economics'!C5*'Unit Economics'!C7</f>
        <v>0</v>
      </c>
      <c r="D6" s="36" t="str">
        <f aca="false">IF(ABS(C6)&lt;0.01,"PASS","FAIL")</f>
        <v>PASS</v>
      </c>
      <c r="E6" s="10" t="s">
        <v>257</v>
      </c>
    </row>
    <row r="7" customFormat="false" ht="15" hidden="false" customHeight="false" outlineLevel="0" collapsed="false">
      <c r="B7" s="0" t="s">
        <v>258</v>
      </c>
      <c r="C7" s="36" t="n">
        <f aca="false">'Fraud &amp; Risk'!C12-'Fraud &amp; Risk'!C5*'Fraud &amp; Risk'!C6/10000</f>
        <v>0</v>
      </c>
      <c r="D7" s="36" t="str">
        <f aca="false">IF(ABS(C7)&lt;0.01,"PASS","FAIL")</f>
        <v>PASS</v>
      </c>
      <c r="E7" s="10" t="s">
        <v>259</v>
      </c>
    </row>
    <row r="8" customFormat="false" ht="15" hidden="false" customHeight="false" outlineLevel="0" collapsed="false">
      <c r="B8" s="0" t="s">
        <v>260</v>
      </c>
      <c r="C8" s="37" t="n">
        <f aca="false">'Unit Economics'!C19</f>
        <v>0.333333333333333</v>
      </c>
      <c r="D8" s="36" t="str">
        <f aca="false">IF(C8&gt;=3,"PASS",IF(C8&gt;=1,"REVIEW","BREACH"))</f>
        <v>BREACH</v>
      </c>
      <c r="E8" s="10" t="s">
        <v>261</v>
      </c>
    </row>
    <row r="9" customFormat="false" ht="15" hidden="false" customHeight="false" outlineLevel="0" collapsed="false">
      <c r="B9" s="0" t="s">
        <v>262</v>
      </c>
      <c r="C9" s="36" t="n">
        <f aca="false">'Unit Economics'!C16-'Fraud &amp; Risk'!C14</f>
        <v>5</v>
      </c>
      <c r="D9" s="36" t="str">
        <f aca="false">IF(C9&gt;=0,"PASS","BREACH")</f>
        <v>PASS</v>
      </c>
      <c r="E9" s="10" t="s">
        <v>263</v>
      </c>
    </row>
    <row r="10" customFormat="false" ht="15" hidden="false" customHeight="false" outlineLevel="0" collapsed="false">
      <c r="B10" s="0" t="s">
        <v>264</v>
      </c>
      <c r="C10" s="36" t="n">
        <f aca="false">MAX('Cohort Retention'!D9-'Cohort Retention'!C9,'Cohort Retention'!E9-'Cohort Retention'!D9,'Cohort Retention'!F9-'Cohort Retention'!E9,'Cohort Retention'!G9-'Cohort Retention'!F9,'Cohort Retention'!H9-'Cohort Retention'!G9,'Cohort Retention'!I9-'Cohort Retention'!H9,'Cohort Retention'!J9-'Cohort Retention'!I9)</f>
        <v>0</v>
      </c>
      <c r="D10" s="36" t="str">
        <f aca="false">IF(C10&lt;=0.000001,"PASS","REVIEW")</f>
        <v>PASS</v>
      </c>
      <c r="E10" s="10" t="s">
        <v>265</v>
      </c>
    </row>
    <row r="11" customFormat="false" ht="15" hidden="false" customHeight="false" outlineLevel="0" collapsed="false">
      <c r="B11" s="0" t="s">
        <v>266</v>
      </c>
      <c r="C11" s="27" t="n">
        <f aca="false">'Fraud &amp; Risk'!C6</f>
        <v>10</v>
      </c>
      <c r="D11" s="36" t="str">
        <f aca="false">IF(C11&lt;='Fraud &amp; Risk'!C10,"PASS","BREACH")</f>
        <v>PASS</v>
      </c>
      <c r="E11" s="10" t="s">
        <v>267</v>
      </c>
    </row>
    <row r="12" customFormat="false" ht="15" hidden="false" customHeight="false" outlineLevel="0" collapsed="false">
      <c r="B12" s="0" t="s">
        <v>268</v>
      </c>
      <c r="C12" s="35" t="n">
        <f aca="false">'Capital &amp; Liquidity'!D14</f>
        <v>0.25</v>
      </c>
      <c r="D12" s="36" t="str">
        <f aca="false">IF(C12&gt;='Capital &amp; Liquidity'!D10,"PASS","BREACH")</f>
        <v>BREACH</v>
      </c>
      <c r="E12" s="10" t="s">
        <v>269</v>
      </c>
    </row>
    <row r="13" customFormat="false" ht="15" hidden="false" customHeight="false" outlineLevel="0" collapsed="false">
      <c r="B13" s="0" t="s">
        <v>270</v>
      </c>
      <c r="C13" s="35" t="n">
        <f aca="false">'Capital &amp; Liquidity'!D15</f>
        <v>0.32</v>
      </c>
      <c r="D13" s="36" t="str">
        <f aca="false">IF(C13&gt;='Capital &amp; Liquidity'!D11,"PASS","BREACH")</f>
        <v>BREACH</v>
      </c>
      <c r="E13" s="10" t="s">
        <v>271</v>
      </c>
    </row>
    <row r="14" customFormat="false" ht="15" hidden="false" customHeight="false" outlineLevel="0" collapsed="false">
      <c r="B14" s="0" t="s">
        <v>168</v>
      </c>
      <c r="C14" s="30" t="n">
        <f aca="false">'Network &amp; Cohorts'!E20</f>
        <v>0.0099009900990099</v>
      </c>
      <c r="D14" s="36" t="str">
        <f aca="false">IF(C14&lt;=0.02,"PASS",IF(C14&lt;=0.05,"REVIEW","BREACH"))</f>
        <v>PASS</v>
      </c>
      <c r="E14" s="10" t="s">
        <v>272</v>
      </c>
    </row>
    <row r="16" customFormat="false" ht="15" hidden="false" customHeight="false" outlineLevel="0" collapsed="false">
      <c r="B16" s="2" t="s">
        <v>273</v>
      </c>
      <c r="C16" s="33" t="str">
        <f aca="false">IF(COUNTIF(D5:D14,"FAIL")+COUNTIF(D5:D14,"BREACH")&gt;0,"BREACH",IF(COUNTIF(D5:D14,"REVIEW")&gt;0,"REVIEW","PASS"))</f>
        <v>BREACH</v>
      </c>
    </row>
    <row r="18" customFormat="false" ht="15" hidden="false" customHeight="false" outlineLevel="0" collapsed="false">
      <c r="B18" s="15" t="s">
        <v>274</v>
      </c>
    </row>
    <row r="19" customFormat="false" ht="15" hidden="false" customHeight="false" outlineLevel="0" collapsed="false">
      <c r="B19" s="0" t="s">
        <v>275</v>
      </c>
      <c r="C19" s="16" t="n">
        <f aca="false">'Unit Economics'!C5</f>
        <v>1000</v>
      </c>
    </row>
    <row r="20" customFormat="false" ht="15" hidden="false" customHeight="false" outlineLevel="0" collapsed="false">
      <c r="B20" s="0" t="s">
        <v>276</v>
      </c>
      <c r="C20" s="16" t="n">
        <f aca="false">'Unit Economics'!C16</f>
        <v>17</v>
      </c>
    </row>
    <row r="21" customFormat="false" ht="15" hidden="false" customHeight="false" outlineLevel="0" collapsed="false">
      <c r="B21" s="0" t="s">
        <v>277</v>
      </c>
      <c r="C21" s="16" t="n">
        <f aca="false">'Unit Economics'!C18</f>
        <v>1.33333333333333</v>
      </c>
    </row>
    <row r="22" customFormat="false" ht="15" hidden="false" customHeight="false" outlineLevel="0" collapsed="false">
      <c r="B22" s="0" t="s">
        <v>260</v>
      </c>
      <c r="C22" s="35" t="n">
        <f aca="false">'Unit Economics'!C19</f>
        <v>0.333333333333333</v>
      </c>
    </row>
    <row r="23" customFormat="false" ht="15" hidden="false" customHeight="false" outlineLevel="0" collapsed="false">
      <c r="B23" s="0" t="s">
        <v>278</v>
      </c>
      <c r="C23" s="16" t="n">
        <f aca="false">'Fraud &amp; Risk'!C14</f>
        <v>12</v>
      </c>
    </row>
    <row r="24" customFormat="false" ht="15" hidden="false" customHeight="false" outlineLevel="0" collapsed="false">
      <c r="B24" s="0" t="s">
        <v>164</v>
      </c>
      <c r="C24" s="27" t="n">
        <f aca="false">'Network &amp; Cohorts'!E16</f>
        <v>110000</v>
      </c>
    </row>
    <row r="25" customFormat="false" ht="15" hidden="false" customHeight="false" outlineLevel="0" collapsed="false">
      <c r="B25" s="0" t="s">
        <v>279</v>
      </c>
      <c r="C25" s="35" t="n">
        <f aca="false">'Capital &amp; Liquidity'!C14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280</v>
      </c>
    </row>
    <row r="4" customFormat="false" ht="15" hidden="false" customHeight="false" outlineLevel="0" collapsed="false">
      <c r="B4" s="25" t="s">
        <v>78</v>
      </c>
      <c r="C4" s="25" t="s">
        <v>281</v>
      </c>
      <c r="D4" s="25" t="s">
        <v>282</v>
      </c>
      <c r="E4" s="25" t="s">
        <v>283</v>
      </c>
      <c r="F4" s="25" t="s">
        <v>284</v>
      </c>
    </row>
    <row r="5" customFormat="false" ht="15" hidden="false" customHeight="false" outlineLevel="0" collapsed="false">
      <c r="B5" s="36" t="s">
        <v>4</v>
      </c>
      <c r="C5" s="36" t="s">
        <v>285</v>
      </c>
      <c r="D5" s="36" t="s">
        <v>286</v>
      </c>
      <c r="E5" s="36" t="s">
        <v>287</v>
      </c>
      <c r="F5" s="36" t="s">
        <v>288</v>
      </c>
    </row>
    <row r="6" customFormat="false" ht="15" hidden="false" customHeight="false" outlineLevel="0" collapsed="false">
      <c r="B6" s="36"/>
      <c r="C6" s="36"/>
      <c r="D6" s="36"/>
      <c r="E6" s="36"/>
      <c r="F6" s="36"/>
    </row>
    <row r="7" customFormat="false" ht="15" hidden="false" customHeight="false" outlineLevel="0" collapsed="false">
      <c r="B7" s="36"/>
      <c r="C7" s="36"/>
      <c r="D7" s="36"/>
      <c r="E7" s="36"/>
      <c r="F7" s="36"/>
    </row>
    <row r="8" customFormat="false" ht="15" hidden="false" customHeight="false" outlineLevel="0" collapsed="false">
      <c r="B8" s="36"/>
      <c r="C8" s="36"/>
      <c r="D8" s="36"/>
      <c r="E8" s="36"/>
      <c r="F8" s="36"/>
    </row>
    <row r="9" customFormat="false" ht="15" hidden="false" customHeight="false" outlineLevel="0" collapsed="false">
      <c r="B9" s="36"/>
      <c r="C9" s="36"/>
      <c r="D9" s="36"/>
      <c r="E9" s="36"/>
      <c r="F9" s="36"/>
    </row>
    <row r="10" customFormat="false" ht="15" hidden="false" customHeight="false" outlineLevel="0" collapsed="false">
      <c r="B10" s="36"/>
      <c r="C10" s="36"/>
      <c r="D10" s="36"/>
      <c r="E10" s="36"/>
      <c r="F10" s="36"/>
    </row>
    <row r="11" customFormat="false" ht="15" hidden="false" customHeight="false" outlineLevel="0" collapsed="false">
      <c r="B11" s="36"/>
      <c r="C11" s="36"/>
      <c r="D11" s="36"/>
      <c r="E11" s="36"/>
      <c r="F11" s="36"/>
    </row>
    <row r="12" customFormat="false" ht="15" hidden="false" customHeight="false" outlineLevel="0" collapsed="false">
      <c r="B12" s="36"/>
      <c r="C12" s="36"/>
      <c r="D12" s="36"/>
      <c r="E12" s="36"/>
      <c r="F12" s="36"/>
    </row>
    <row r="13" customFormat="false" ht="15" hidden="false" customHeight="false" outlineLevel="0" collapsed="false">
      <c r="B13" s="36"/>
      <c r="C13" s="36"/>
      <c r="D13" s="36"/>
      <c r="E13" s="36"/>
      <c r="F13" s="36"/>
    </row>
    <row r="14" customFormat="false" ht="15" hidden="false" customHeight="false" outlineLevel="0" collapsed="false">
      <c r="B14" s="36"/>
      <c r="C14" s="36"/>
      <c r="D14" s="36"/>
      <c r="E14" s="36"/>
      <c r="F14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2026-08-04T15:32:30Z</dcterms:created>
  <dc:creator>openpyxl</dc:creator>
  <dc:description/>
  <dc:language>en-US</dc:language>
  <cp:lastModifiedBy/>
  <dcterms:modified xsi:type="dcterms:W3CDTF">2026-08-04T15:32:33Z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