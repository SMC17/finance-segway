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Unit Economics" sheetId="5" state="visible" r:id="rId5"/>
    <sheet xmlns:r="http://schemas.openxmlformats.org/officeDocument/2006/relationships" name="Cohort Retention" sheetId="6" state="visible" r:id="rId6"/>
    <sheet xmlns:r="http://schemas.openxmlformats.org/officeDocument/2006/relationships" name="Network &amp; Cohorts" sheetId="7" state="visible" r:id="rId7"/>
    <sheet xmlns:r="http://schemas.openxmlformats.org/officeDocument/2006/relationships" name="Fraud &amp; Risk" sheetId="8" state="visible" r:id="rId8"/>
    <sheet xmlns:r="http://schemas.openxmlformats.org/officeDocument/2006/relationships" name="Capital &amp; Liquidity" sheetId="9" state="visible" r:id="rId9"/>
    <sheet xmlns:r="http://schemas.openxmlformats.org/officeDocument/2006/relationships" name="Operational Controls" sheetId="10" state="visible" r:id="rId10"/>
    <sheet xmlns:r="http://schemas.openxmlformats.org/officeDocument/2006/relationships" name="Decision &amp; Checks" sheetId="11" state="visible" r:id="rId11"/>
    <sheet xmlns:r="http://schemas.openxmlformats.org/officeDocument/2006/relationships" name="RefreshLog" sheetId="12" state="visible" r:id="rId12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\$#,##0;&quot;($&quot;#,##0\);\-"/>
    <numFmt numFmtId="165" formatCode="0.00%;\(0.00%\);\-"/>
    <numFmt numFmtId="166" formatCode="0.0%;\(0.0%\);\-"/>
    <numFmt numFmtId="167" formatCode="0.0"/>
    <numFmt numFmtId="168" formatCode="0.00\x"/>
    <numFmt numFmtId="169" formatCode="#,##0;\(#,##0\);\-"/>
    <numFmt numFmtId="170" formatCode="0.000000"/>
    <numFmt numFmtId="171" formatCode="0.0\x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808080"/>
      <sz val="8"/>
    </font>
    <font>
      <name val="Arial"/>
      <charset val="1"/>
      <family val="0"/>
      <b val="1"/>
      <color rgb="FFFFFFFF"/>
      <sz val="11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AF7"/>
      </patternFill>
    </fill>
    <fill>
      <patternFill patternType="solid">
        <fgColor rgb="FF1F4E78"/>
        <bgColor rgb="FF17365D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6" fillId="4" borderId="2" applyAlignment="1" pivotButton="0" quotePrefix="0" xfId="0">
      <alignment horizontal="general" vertical="bottom"/>
    </xf>
    <xf numFmtId="165" fontId="6" fillId="4" borderId="2" applyAlignment="1" pivotButton="0" quotePrefix="0" xfId="0">
      <alignment horizontal="general" vertical="bottom"/>
    </xf>
    <xf numFmtId="166" fontId="6" fillId="4" borderId="2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8" fontId="5" fillId="0" borderId="2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6" fontId="6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2" fontId="5" fillId="0" borderId="2" applyAlignment="1" pivotButton="0" quotePrefix="0" xfId="0">
      <alignment horizontal="general" vertical="bottom"/>
    </xf>
    <xf numFmtId="0" fontId="6" fillId="4" borderId="2" applyAlignment="1" pivotButton="0" quotePrefix="0" xfId="0">
      <alignment horizontal="general" vertical="bottom"/>
    </xf>
    <xf numFmtId="0" fontId="12" fillId="6" borderId="0" applyAlignment="1" pivotButton="0" quotePrefix="0" xfId="0">
      <alignment horizontal="center" vertical="bottom"/>
    </xf>
    <xf numFmtId="169" fontId="6" fillId="4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2" fontId="0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70" fontId="0" fillId="0" borderId="2" applyAlignment="1" pivotButton="0" quotePrefix="0" xfId="0">
      <alignment horizontal="general" vertical="bottom"/>
    </xf>
    <xf numFmtId="166" fontId="5" fillId="4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71" fontId="6" fillId="4" borderId="2" applyAlignment="1" pivotButton="0" quotePrefix="0" xfId="0">
      <alignment horizontal="general" vertical="bottom"/>
    </xf>
    <xf numFmtId="171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164" fontId="6" fillId="4" borderId="2" applyAlignment="1" pivotButton="0" quotePrefix="0" xfId="0">
      <alignment horizontal="general" vertical="bottom"/>
    </xf>
    <xf numFmtId="165" fontId="6" fillId="4" borderId="2" applyAlignment="1" pivotButton="0" quotePrefix="0" xfId="0">
      <alignment horizontal="general" vertical="bottom"/>
    </xf>
    <xf numFmtId="166" fontId="6" fillId="4" borderId="2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8" fontId="5" fillId="0" borderId="2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6" fontId="6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2" fontId="5" fillId="0" borderId="2" applyAlignment="1" pivotButton="0" quotePrefix="0" xfId="0">
      <alignment horizontal="general" vertical="bottom"/>
    </xf>
    <xf numFmtId="0" fontId="6" fillId="4" borderId="2" applyAlignment="1" pivotButton="0" quotePrefix="0" xfId="0">
      <alignment horizontal="general" vertical="bottom"/>
    </xf>
    <xf numFmtId="0" fontId="12" fillId="6" borderId="0" applyAlignment="1" pivotButton="0" quotePrefix="0" xfId="0">
      <alignment horizontal="center" vertical="bottom"/>
    </xf>
    <xf numFmtId="169" fontId="6" fillId="4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2" fontId="0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70" fontId="0" fillId="0" borderId="2" applyAlignment="1" pivotButton="0" quotePrefix="0" xfId="0">
      <alignment horizontal="general" vertical="bottom"/>
    </xf>
    <xf numFmtId="166" fontId="5" fillId="4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13" fillId="7" borderId="2" applyAlignment="1" pivotButton="0" quotePrefix="0" xfId="0">
      <alignment horizontal="general" vertical="bottom"/>
    </xf>
    <xf numFmtId="171" fontId="6" fillId="4" borderId="2" applyAlignment="1" pivotButton="0" quotePrefix="0" xfId="0">
      <alignment horizontal="general" vertical="bottom"/>
    </xf>
    <xf numFmtId="171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6" min="1" max="1"/>
    <col width="30" customWidth="1" style="36" min="2" max="2"/>
    <col width="40" customWidth="1" style="36" min="3" max="3"/>
    <col width="4" customWidth="1" style="36" min="4" max="4"/>
  </cols>
  <sheetData>
    <row r="2" ht="19.7" customHeight="1" s="37">
      <c r="B2" s="38" t="inlineStr">
        <is>
          <t>[COMPANY] — Fintech / Payments Model</t>
        </is>
      </c>
    </row>
    <row r="4" ht="15" customHeight="1" s="37">
      <c r="B4" s="39" t="inlineStr">
        <is>
          <t>Business model:</t>
        </is>
      </c>
      <c r="C4" s="40" t="inlineStr">
        <is>
          <t>Payments / lending / neobank / infra</t>
        </is>
      </c>
    </row>
    <row r="5" ht="15" customHeight="1" s="37">
      <c r="B5" s="39" t="inlineStr">
        <is>
          <t>Last refreshed:</t>
        </is>
      </c>
      <c r="C5" s="41" t="inlineStr">
        <is>
          <t>2023-12-31</t>
        </is>
      </c>
    </row>
    <row r="6" ht="15" customHeight="1" s="37">
      <c r="B6" s="39" t="inlineStr">
        <is>
          <t>Refresh cadence:</t>
        </is>
      </c>
      <c r="C6" s="40" t="inlineStr">
        <is>
          <t>Weekly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6" min="2" max="2"/>
    <col width="48" customWidth="1" style="36" min="3" max="3"/>
    <col width="24" customWidth="1" style="36" min="4" max="4"/>
    <col width="34" customWidth="1" style="36" min="5" max="5"/>
    <col width="20" customWidth="1" style="36" min="6" max="6"/>
  </cols>
  <sheetData>
    <row r="2" ht="18.55" customHeight="1" s="37">
      <c r="B2" s="42" t="inlineStr">
        <is>
          <t>Fintech &amp; Payments — Institutional Decision Surface</t>
        </is>
      </c>
    </row>
    <row r="4" ht="15" customHeight="1" s="37">
      <c r="B4" s="43" t="inlineStr">
        <is>
          <t>Model ID</t>
        </is>
      </c>
      <c r="C4" s="44" t="inlineStr">
        <is>
          <t>23</t>
        </is>
      </c>
    </row>
    <row r="5" ht="15" customHeight="1" s="37">
      <c r="B5" s="43" t="inlineStr">
        <is>
          <t>Domain</t>
        </is>
      </c>
      <c r="C5" s="44" t="inlineStr">
        <is>
          <t>Fintech &amp; Payments</t>
        </is>
      </c>
    </row>
    <row r="6" ht="15" customHeight="1" s="37">
      <c r="B6" s="43" t="inlineStr">
        <is>
          <t>Declared maturity</t>
        </is>
      </c>
      <c r="C6" s="44" t="inlineStr">
        <is>
          <t>M2</t>
        </is>
      </c>
    </row>
    <row r="7" ht="15" customHeight="1" s="37">
      <c r="B7" s="43" t="inlineStr">
        <is>
          <t>Canonical builder</t>
        </is>
      </c>
      <c r="C7" s="44" t="inlineStr">
        <is>
          <t>tools/builders/build_fintech_release.py</t>
        </is>
      </c>
    </row>
    <row r="8" ht="15" customHeight="1" s="37">
      <c r="B8" s="43" t="inlineStr">
        <is>
          <t>Decision arena</t>
        </is>
      </c>
      <c r="C8" s="44" t="inlineStr">
        <is>
          <t>product, finance, risk, treasury, operations and regulator</t>
        </is>
      </c>
    </row>
    <row r="9" ht="15" customHeight="1" s="37">
      <c r="B9" s="43" t="inlineStr">
        <is>
          <t>Committee artifact</t>
        </is>
      </c>
      <c r="C9" s="44" t="inlineStr">
        <is>
          <t>unit economics, loss and settlement-risk pack</t>
        </is>
      </c>
    </row>
    <row r="10" ht="15" customHeight="1" s="37">
      <c r="B10" s="43" t="inlineStr">
        <is>
          <t>Operating cadence</t>
        </is>
      </c>
      <c r="C10" s="44" t="inlineStr">
        <is>
          <t>daily operations and treasury; weekly risk; monthly product finance</t>
        </is>
      </c>
    </row>
    <row r="12" ht="15" customHeight="1" s="37">
      <c r="B12" s="45" t="inlineStr">
        <is>
          <t>Key decision outputs</t>
        </is>
      </c>
    </row>
    <row r="13" ht="15" customHeight="1" s="37">
      <c r="B13" s="46" t="inlineStr">
        <is>
          <t>#</t>
        </is>
      </c>
      <c r="C13" s="46" t="inlineStr">
        <is>
          <t>Requirement</t>
        </is>
      </c>
      <c r="D13" s="46" t="inlineStr">
        <is>
          <t>Owner</t>
        </is>
      </c>
      <c r="E13" s="46" t="inlineStr">
        <is>
          <t>Evidence / location</t>
        </is>
      </c>
      <c r="F13" s="46" t="inlineStr">
        <is>
          <t>Status</t>
        </is>
      </c>
    </row>
    <row r="14" ht="15" customHeight="1" s="37">
      <c r="B14" s="36" t="n">
        <v>1</v>
      </c>
      <c r="C14" s="36" t="inlineStr">
        <is>
          <t>TPV / volume and take rate</t>
        </is>
      </c>
      <c r="F14" s="36" t="inlineStr">
        <is>
          <t>OPEN</t>
        </is>
      </c>
    </row>
    <row r="15" ht="15" customHeight="1" s="37">
      <c r="B15" s="36" t="n">
        <v>2</v>
      </c>
      <c r="C15" s="36" t="inlineStr">
        <is>
          <t>contribution margin and cohort economics</t>
        </is>
      </c>
      <c r="F15" s="36" t="inlineStr">
        <is>
          <t>OPEN</t>
        </is>
      </c>
    </row>
    <row r="16" ht="15" customHeight="1" s="37">
      <c r="B16" s="36" t="n">
        <v>3</v>
      </c>
      <c r="C16" s="36" t="inlineStr">
        <is>
          <t>fraud and credit losses</t>
        </is>
      </c>
      <c r="F16" s="36" t="inlineStr">
        <is>
          <t>OPEN</t>
        </is>
      </c>
    </row>
    <row r="17" ht="15" customHeight="1" s="37">
      <c r="B17" s="36" t="n">
        <v>4</v>
      </c>
      <c r="C17" s="36" t="inlineStr">
        <is>
          <t>base, downside and break-even outputs</t>
        </is>
      </c>
      <c r="F17" s="36" t="inlineStr">
        <is>
          <t>OPEN</t>
        </is>
      </c>
    </row>
    <row r="18" ht="15" customHeight="1" s="37">
      <c r="B18" s="36" t="n">
        <v>5</v>
      </c>
      <c r="C18" s="36" t="inlineStr">
        <is>
          <t>liquidity / funding requirement and binding constraint</t>
        </is>
      </c>
      <c r="F18" s="36" t="inlineStr">
        <is>
          <t>OPEN</t>
        </is>
      </c>
    </row>
    <row r="20" ht="15" customHeight="1" s="37">
      <c r="B20" s="45" t="inlineStr">
        <is>
          <t>Insider questions</t>
        </is>
      </c>
    </row>
    <row r="21" ht="15" customHeight="1" s="37">
      <c r="B21" s="46" t="inlineStr">
        <is>
          <t>#</t>
        </is>
      </c>
      <c r="C21" s="46" t="inlineStr">
        <is>
          <t>Requirement</t>
        </is>
      </c>
      <c r="D21" s="46" t="inlineStr">
        <is>
          <t>Owner</t>
        </is>
      </c>
      <c r="E21" s="46" t="inlineStr">
        <is>
          <t>Evidence / location</t>
        </is>
      </c>
      <c r="F21" s="46" t="inlineStr">
        <is>
          <t>Status</t>
        </is>
      </c>
    </row>
    <row r="22" ht="15" customHeight="1" s="37">
      <c r="B22" s="36" t="n">
        <v>1</v>
      </c>
      <c r="C22" s="36" t="inlineStr">
        <is>
          <t>Where does settlement risk sit overnight?</t>
        </is>
      </c>
      <c r="F22" s="36" t="inlineStr">
        <is>
          <t>OPEN</t>
        </is>
      </c>
    </row>
    <row r="23" ht="15" customHeight="1" s="37">
      <c r="B23" s="36" t="n">
        <v>2</v>
      </c>
      <c r="C23" s="36" t="inlineStr">
        <is>
          <t>Which partner can reprice or terminate?</t>
        </is>
      </c>
      <c r="F23" s="36" t="inlineStr">
        <is>
          <t>OPEN</t>
        </is>
      </c>
    </row>
    <row r="24" ht="15" customHeight="1" s="37">
      <c r="B24" s="36" t="n">
        <v>3</v>
      </c>
      <c r="C24" s="36" t="inlineStr">
        <is>
          <t>What losses are fraud versus credit?</t>
        </is>
      </c>
      <c r="F24" s="36" t="inlineStr">
        <is>
          <t>OPEN</t>
        </is>
      </c>
    </row>
    <row r="25" ht="15" customHeight="1" s="37">
      <c r="B25" s="36" t="n">
        <v>4</v>
      </c>
      <c r="C25" s="36" t="inlineStr">
        <is>
          <t>Which assumption is owner-approved versus modeler judgement?</t>
        </is>
      </c>
      <c r="F25" s="36" t="inlineStr">
        <is>
          <t>OPEN</t>
        </is>
      </c>
    </row>
    <row r="26" ht="15" customHeight="1" s="37">
      <c r="B26" s="36" t="n">
        <v>5</v>
      </c>
      <c r="C26" s="36" t="inlineStr">
        <is>
          <t>What fails first and who must act?</t>
        </is>
      </c>
      <c r="F26" s="36" t="inlineStr">
        <is>
          <t>OPEN</t>
        </is>
      </c>
    </row>
    <row r="28" ht="15" customHeight="1" s="37">
      <c r="B28" s="45" t="inlineStr">
        <is>
          <t>Scenario families</t>
        </is>
      </c>
    </row>
    <row r="29" ht="15" customHeight="1" s="37">
      <c r="B29" s="46" t="inlineStr">
        <is>
          <t>#</t>
        </is>
      </c>
      <c r="C29" s="46" t="inlineStr">
        <is>
          <t>Requirement</t>
        </is>
      </c>
      <c r="D29" s="46" t="inlineStr">
        <is>
          <t>Owner</t>
        </is>
      </c>
      <c r="E29" s="46" t="inlineStr">
        <is>
          <t>Evidence / location</t>
        </is>
      </c>
      <c r="F29" s="46" t="inlineStr">
        <is>
          <t>Status</t>
        </is>
      </c>
    </row>
    <row r="30" ht="15" customHeight="1" s="37">
      <c r="B30" s="36" t="n">
        <v>1</v>
      </c>
      <c r="C30" s="36" t="inlineStr">
        <is>
          <t>volume and take-rate compression</t>
        </is>
      </c>
      <c r="F30" s="36" t="inlineStr">
        <is>
          <t>OPEN</t>
        </is>
      </c>
    </row>
    <row r="31" ht="15" customHeight="1" s="37">
      <c r="B31" s="36" t="n">
        <v>2</v>
      </c>
      <c r="C31" s="36" t="inlineStr">
        <is>
          <t>fraud / chargeback spike</t>
        </is>
      </c>
      <c r="F31" s="36" t="inlineStr">
        <is>
          <t>OPEN</t>
        </is>
      </c>
    </row>
    <row r="32" ht="15" customHeight="1" s="37">
      <c r="B32" s="36" t="n">
        <v>3</v>
      </c>
      <c r="C32" s="36" t="inlineStr">
        <is>
          <t>partner-bank failure</t>
        </is>
      </c>
      <c r="F32" s="36" t="inlineStr">
        <is>
          <t>OPEN</t>
        </is>
      </c>
    </row>
    <row r="33" ht="15" customHeight="1" s="37">
      <c r="B33" s="36" t="n">
        <v>4</v>
      </c>
      <c r="C33" s="36" t="inlineStr">
        <is>
          <t>data freshness / source failure</t>
        </is>
      </c>
      <c r="F33" s="36" t="inlineStr">
        <is>
          <t>OPEN</t>
        </is>
      </c>
    </row>
    <row r="34" ht="15" customHeight="1" s="37">
      <c r="B34" s="36" t="n">
        <v>5</v>
      </c>
      <c r="C34" s="36" t="inlineStr">
        <is>
          <t>combined severe-but-plausible downside</t>
        </is>
      </c>
      <c r="F34" s="36" t="inlineStr">
        <is>
          <t>OPEN</t>
        </is>
      </c>
    </row>
    <row r="36" ht="15" customHeight="1" s="37">
      <c r="B36" s="45" t="inlineStr">
        <is>
          <t>Primary diligence documents</t>
        </is>
      </c>
    </row>
    <row r="37" ht="15" customHeight="1" s="37">
      <c r="B37" s="46" t="inlineStr">
        <is>
          <t>#</t>
        </is>
      </c>
      <c r="C37" s="46" t="inlineStr">
        <is>
          <t>Requirement</t>
        </is>
      </c>
      <c r="D37" s="46" t="inlineStr">
        <is>
          <t>Owner</t>
        </is>
      </c>
      <c r="E37" s="46" t="inlineStr">
        <is>
          <t>Evidence / location</t>
        </is>
      </c>
      <c r="F37" s="46" t="inlineStr">
        <is>
          <t>Status</t>
        </is>
      </c>
    </row>
    <row r="38" ht="15" customHeight="1" s="37">
      <c r="B38" s="36" t="n">
        <v>1</v>
      </c>
      <c r="C38" s="36" t="inlineStr">
        <is>
          <t>processor / network agreements</t>
        </is>
      </c>
      <c r="F38" s="36" t="inlineStr">
        <is>
          <t>OPEN</t>
        </is>
      </c>
    </row>
    <row r="39" ht="15" customHeight="1" s="37">
      <c r="B39" s="36" t="n">
        <v>2</v>
      </c>
      <c r="C39" s="36" t="inlineStr">
        <is>
          <t>bank partnership and program agreements</t>
        </is>
      </c>
      <c r="F39" s="36" t="inlineStr">
        <is>
          <t>OPEN</t>
        </is>
      </c>
    </row>
    <row r="40" ht="15" customHeight="1" s="37">
      <c r="B40" s="36" t="n">
        <v>3</v>
      </c>
      <c r="C40" s="36" t="inlineStr">
        <is>
          <t>settlement reports</t>
        </is>
      </c>
      <c r="F40" s="36" t="inlineStr">
        <is>
          <t>OPEN</t>
        </is>
      </c>
    </row>
    <row r="41" ht="15" customHeight="1" s="37">
      <c r="B41" s="36" t="n">
        <v>4</v>
      </c>
      <c r="C41" s="36" t="inlineStr">
        <is>
          <t>approved model card and assumption register</t>
        </is>
      </c>
      <c r="F41" s="36" t="inlineStr">
        <is>
          <t>OPEN</t>
        </is>
      </c>
    </row>
    <row r="42" ht="15" customHeight="1" s="37">
      <c r="B42" s="36" t="n">
        <v>5</v>
      </c>
      <c r="C42" s="36" t="inlineStr">
        <is>
          <t>independent validation and challenge record</t>
        </is>
      </c>
      <c r="F42" s="36" t="inlineStr">
        <is>
          <t>OPEN</t>
        </is>
      </c>
    </row>
    <row r="44" ht="15" customHeight="1" s="37">
      <c r="B44" s="45" t="inlineStr">
        <is>
          <t>Challenge tests</t>
        </is>
      </c>
    </row>
    <row r="45" ht="15" customHeight="1" s="37">
      <c r="B45" s="46" t="inlineStr">
        <is>
          <t>#</t>
        </is>
      </c>
      <c r="C45" s="46" t="inlineStr">
        <is>
          <t>Requirement</t>
        </is>
      </c>
      <c r="D45" s="46" t="inlineStr">
        <is>
          <t>Owner</t>
        </is>
      </c>
      <c r="E45" s="46" t="inlineStr">
        <is>
          <t>Evidence / location</t>
        </is>
      </c>
      <c r="F45" s="46" t="inlineStr">
        <is>
          <t>Status</t>
        </is>
      </c>
    </row>
    <row r="46" ht="15" customHeight="1" s="37">
      <c r="B46" s="36" t="n">
        <v>1</v>
      </c>
      <c r="C46" s="36" t="inlineStr">
        <is>
          <t>TPV reconciles to transactions</t>
        </is>
      </c>
      <c r="F46" s="36" t="inlineStr">
        <is>
          <t>OPEN</t>
        </is>
      </c>
    </row>
    <row r="47" ht="15" customHeight="1" s="37">
      <c r="B47" s="36" t="n">
        <v>2</v>
      </c>
      <c r="C47" s="36" t="inlineStr">
        <is>
          <t>gross-to-net revenue bridge</t>
        </is>
      </c>
      <c r="F47" s="36" t="inlineStr">
        <is>
          <t>OPEN</t>
        </is>
      </c>
    </row>
    <row r="48" ht="15" customHeight="1" s="37">
      <c r="B48" s="36" t="n">
        <v>3</v>
      </c>
      <c r="C48" s="36" t="inlineStr">
        <is>
          <t>loss vintage and cohort denominators consistent</t>
        </is>
      </c>
      <c r="F48" s="36" t="inlineStr">
        <is>
          <t>OPEN</t>
        </is>
      </c>
    </row>
    <row r="49" ht="15" customHeight="1" s="37">
      <c r="B49" s="36" t="n">
        <v>4</v>
      </c>
      <c r="C49" s="36" t="inlineStr">
        <is>
          <t>source-to-model lineage is reproducible</t>
        </is>
      </c>
      <c r="F49" s="36" t="inlineStr">
        <is>
          <t>OPEN</t>
        </is>
      </c>
    </row>
    <row r="50" ht="15" customHeight="1" s="37">
      <c r="B50" s="36" t="n">
        <v>5</v>
      </c>
      <c r="C50" s="36" t="inlineStr">
        <is>
          <t>units, signs, dates and legal definitions reconcile</t>
        </is>
      </c>
      <c r="F50" s="36" t="inlineStr">
        <is>
          <t>OPEN</t>
        </is>
      </c>
    </row>
    <row r="52" ht="15" customHeight="1" s="37">
      <c r="B52" s="45" t="inlineStr">
        <is>
          <t>Known failure modes</t>
        </is>
      </c>
    </row>
    <row r="53" ht="15" customHeight="1" s="37">
      <c r="B53" s="46" t="inlineStr">
        <is>
          <t>#</t>
        </is>
      </c>
      <c r="C53" s="46" t="inlineStr">
        <is>
          <t>Requirement</t>
        </is>
      </c>
      <c r="D53" s="46" t="inlineStr">
        <is>
          <t>Owner</t>
        </is>
      </c>
      <c r="E53" s="46" t="inlineStr">
        <is>
          <t>Evidence / location</t>
        </is>
      </c>
      <c r="F53" s="46" t="inlineStr">
        <is>
          <t>Status</t>
        </is>
      </c>
    </row>
    <row r="54" ht="15" customHeight="1" s="37">
      <c r="B54" s="36" t="n">
        <v>1</v>
      </c>
      <c r="C54" s="36" t="inlineStr">
        <is>
          <t>counting pass-through volume as revenue</t>
        </is>
      </c>
      <c r="F54" s="36" t="inlineStr">
        <is>
          <t>OPEN</t>
        </is>
      </c>
    </row>
    <row r="55" ht="15" customHeight="1" s="37">
      <c r="B55" s="36" t="n">
        <v>2</v>
      </c>
      <c r="C55" s="36" t="inlineStr">
        <is>
          <t>using authorization rather than settled volume</t>
        </is>
      </c>
      <c r="F55" s="36" t="inlineStr">
        <is>
          <t>OPEN</t>
        </is>
      </c>
    </row>
    <row r="56" ht="15" customHeight="1" s="37">
      <c r="B56" s="36" t="n">
        <v>3</v>
      </c>
      <c r="C56" s="36" t="inlineStr">
        <is>
          <t>ignoring negative working capital reversal</t>
        </is>
      </c>
      <c r="F56" s="36" t="inlineStr">
        <is>
          <t>OPEN</t>
        </is>
      </c>
    </row>
    <row r="57" ht="15" customHeight="1" s="37">
      <c r="B57" s="36" t="n">
        <v>4</v>
      </c>
      <c r="C57" s="36" t="inlineStr">
        <is>
          <t>stale vintage presented as current</t>
        </is>
      </c>
      <c r="F57" s="36" t="inlineStr">
        <is>
          <t>OPEN</t>
        </is>
      </c>
    </row>
    <row r="58" ht="15" customHeight="1" s="37">
      <c r="B58" s="36" t="n">
        <v>5</v>
      </c>
      <c r="C58" s="36" t="inlineStr">
        <is>
          <t>decision output disconnected from a binding constraint</t>
        </is>
      </c>
      <c r="F58" s="36" t="inlineStr">
        <is>
          <t>OPEN</t>
        </is>
      </c>
    </row>
    <row r="60" ht="15" customHeight="1" s="37">
      <c r="B60" s="45" t="inlineStr">
        <is>
          <t>Regulatory / methodological anchors</t>
        </is>
      </c>
    </row>
    <row r="61" ht="15" customHeight="1" s="37">
      <c r="B61" s="46" t="inlineStr">
        <is>
          <t>Standard</t>
        </is>
      </c>
      <c r="C61" s="46" t="inlineStr">
        <is>
          <t>Scope</t>
        </is>
      </c>
      <c r="D61" s="46" t="inlineStr">
        <is>
          <t>Source URL</t>
        </is>
      </c>
      <c r="E61" s="46" t="inlineStr">
        <is>
          <t>Applicability</t>
        </is>
      </c>
      <c r="F61" s="46" t="inlineStr">
        <is>
          <t>Review note</t>
        </is>
      </c>
    </row>
    <row r="62" ht="15" customHeight="1" s="37">
      <c r="B62" s="36" t="inlineStr">
        <is>
          <t>Federal Reserve SR 26-2 Model Risk Management</t>
        </is>
      </c>
      <c r="C62" s="36" t="inlineStr">
        <is>
          <t>governance, validation, change control, monitoring</t>
        </is>
      </c>
      <c r="D62" s="36" t="inlineStr">
        <is>
          <t>https://www.federalreserve.gov/supervisionreg/srletters/SR2602.htm</t>
        </is>
      </c>
      <c r="E62" s="36" t="inlineStr">
        <is>
          <t>Map explicitly</t>
        </is>
      </c>
    </row>
    <row r="63" ht="15" customHeight="1" s="37">
      <c r="B63" s="36" t="inlineStr">
        <is>
          <t>FFIEC Retail Payment Systems</t>
        </is>
      </c>
      <c r="C63" s="36" t="inlineStr">
        <is>
          <t>payments, settlement and fraud risk</t>
        </is>
      </c>
      <c r="D63" s="36" t="inlineStr">
        <is>
          <t>https://ithandbook.ffiec.gov/it-booklets/retail-payment-systems.aspx</t>
        </is>
      </c>
      <c r="E63" s="36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36" min="2" max="2"/>
    <col width="22" customWidth="1" style="36" min="3" max="3"/>
    <col width="52" customWidth="1" style="36" min="4" max="4"/>
    <col width="46" customWidth="1" style="36" min="5" max="5"/>
    <col width="36" customWidth="1" style="36" min="6" max="6"/>
    <col width="14" customWidth="1" style="36" min="7" max="7"/>
    <col width="18" customWidth="1" style="36" min="8" max="8"/>
    <col width="14" customWidth="1" style="36" min="9" max="9"/>
  </cols>
  <sheetData>
    <row r="2" ht="18.55" customHeight="1" s="37">
      <c r="B2" s="42" t="inlineStr">
        <is>
          <t>Independent Challenge, Override and Closure Log</t>
        </is>
      </c>
    </row>
    <row r="4" ht="15" customHeight="1" s="37">
      <c r="B4" s="46" t="inlineStr">
        <is>
          <t>Date</t>
        </is>
      </c>
      <c r="C4" s="46" t="inlineStr">
        <is>
          <t>Reviewer</t>
        </is>
      </c>
      <c r="D4" s="46" t="inlineStr">
        <is>
          <t>Challenge</t>
        </is>
      </c>
      <c r="E4" s="46" t="inlineStr">
        <is>
          <t>Owner response</t>
        </is>
      </c>
      <c r="F4" s="46" t="inlineStr">
        <is>
          <t>Evidence</t>
        </is>
      </c>
      <c r="G4" s="46" t="inlineStr">
        <is>
          <t>Impact</t>
        </is>
      </c>
      <c r="H4" s="46" t="inlineStr">
        <is>
          <t>Status</t>
        </is>
      </c>
      <c r="I4" s="46" t="inlineStr">
        <is>
          <t>Closure</t>
        </is>
      </c>
    </row>
    <row r="5" ht="15" customHeight="1" s="37">
      <c r="D5" s="36" t="inlineStr">
        <is>
          <t>TPV reconciles to transactions</t>
        </is>
      </c>
      <c r="H5" s="36" t="inlineStr">
        <is>
          <t>OPEN</t>
        </is>
      </c>
    </row>
    <row r="6" ht="15" customHeight="1" s="37">
      <c r="D6" s="36" t="inlineStr">
        <is>
          <t>gross-to-net revenue bridge</t>
        </is>
      </c>
      <c r="H6" s="36" t="inlineStr">
        <is>
          <t>OPEN</t>
        </is>
      </c>
    </row>
    <row r="7" ht="15" customHeight="1" s="37">
      <c r="D7" s="36" t="inlineStr">
        <is>
          <t>loss vintage and cohort denominators consistent</t>
        </is>
      </c>
      <c r="H7" s="36" t="inlineStr">
        <is>
          <t>OPEN</t>
        </is>
      </c>
    </row>
    <row r="8" ht="15" customHeight="1" s="37">
      <c r="D8" s="36" t="inlineStr">
        <is>
          <t>source-to-model lineage is reproducible</t>
        </is>
      </c>
      <c r="H8" s="36" t="inlineStr">
        <is>
          <t>OPEN</t>
        </is>
      </c>
    </row>
    <row r="9" ht="15" customHeight="1" s="37">
      <c r="D9" s="36" t="inlineStr">
        <is>
          <t>units, signs, dates and legal definitions reconcile</t>
        </is>
      </c>
      <c r="H9" s="36" t="inlineStr">
        <is>
          <t>OPEN</t>
        </is>
      </c>
    </row>
    <row r="10" ht="15" customHeight="1" s="37">
      <c r="H10" s="36" t="n"/>
    </row>
    <row r="11" ht="15" customHeight="1" s="37">
      <c r="H11" s="36" t="n"/>
    </row>
    <row r="12" ht="15" customHeight="1" s="37">
      <c r="H12" s="36" t="n"/>
    </row>
    <row r="13" ht="15" customHeight="1" s="37">
      <c r="H13" s="36" t="n"/>
    </row>
    <row r="14" ht="15" customHeight="1" s="37">
      <c r="H14" s="36" t="n"/>
    </row>
    <row r="15" ht="15" customHeight="1" s="37">
      <c r="H15" s="36" t="n"/>
    </row>
    <row r="16" ht="15" customHeight="1" s="37">
      <c r="H16" s="36" t="n"/>
    </row>
    <row r="17" ht="15" customHeight="1" s="37">
      <c r="H17" s="36" t="n"/>
    </row>
    <row r="18" ht="15" customHeight="1" s="37">
      <c r="H18" s="36" t="n"/>
    </row>
    <row r="19" ht="15" customHeight="1" s="37">
      <c r="H19" s="36" t="n"/>
    </row>
    <row r="20" ht="15" customHeight="1" s="37">
      <c r="H20" s="36" t="n"/>
    </row>
    <row r="21" ht="15" customHeight="1" s="37">
      <c r="H21" s="36" t="n"/>
    </row>
    <row r="22" ht="15" customHeight="1" s="37">
      <c r="H22" s="36" t="n"/>
    </row>
    <row r="23" ht="15" customHeight="1" s="37">
      <c r="H23" s="36" t="n"/>
    </row>
    <row r="24" ht="15" customHeight="1" s="37">
      <c r="H24" s="36" t="n"/>
    </row>
    <row r="25" ht="15" customHeight="1" s="37">
      <c r="H25" s="36" t="n"/>
    </row>
    <row r="26" ht="15" customHeight="1" s="37">
      <c r="H26" s="36" t="n"/>
    </row>
    <row r="27" ht="15" customHeight="1" s="37">
      <c r="H27" s="36" t="n"/>
    </row>
    <row r="28" ht="15" customHeight="1" s="37">
      <c r="H28" s="36" t="n"/>
    </row>
    <row r="29" ht="15" customHeight="1" s="37">
      <c r="H29" s="36" t="n"/>
    </row>
    <row r="30" ht="15" customHeight="1" s="37">
      <c r="H30" s="36" t="n"/>
    </row>
    <row r="31" ht="15" customHeight="1" s="37">
      <c r="H31" s="36" t="n"/>
    </row>
    <row r="32" ht="15" customHeight="1" s="37">
      <c r="H32" s="36" t="n"/>
    </row>
    <row r="33" ht="15" customHeight="1" s="37">
      <c r="H33" s="36" t="n"/>
    </row>
    <row r="34" ht="15" customHeight="1" s="37">
      <c r="H34" s="36" t="n"/>
    </row>
    <row r="35" ht="15" customHeight="1" s="37">
      <c r="H35" s="36" t="n"/>
    </row>
    <row r="36" ht="15" customHeight="1" s="37">
      <c r="H36" s="36" t="n"/>
    </row>
    <row r="37" ht="15" customHeight="1" s="37">
      <c r="H37" s="36" t="n"/>
    </row>
    <row r="38" ht="15" customHeight="1" s="37">
      <c r="H38" s="36" t="n"/>
    </row>
    <row r="39" ht="15" customHeight="1" s="37">
      <c r="H39" s="36" t="n"/>
    </row>
    <row r="40" ht="15" customHeight="1" s="37">
      <c r="H40" s="36" t="n"/>
    </row>
    <row r="41" ht="15" customHeight="1" s="37">
      <c r="H41" s="36" t="n"/>
    </row>
    <row r="42" ht="15" customHeight="1" s="37">
      <c r="H42" s="36" t="n"/>
    </row>
    <row r="43" ht="15" customHeight="1" s="37">
      <c r="H43" s="36" t="n"/>
    </row>
    <row r="44" ht="15" customHeight="1" s="37">
      <c r="H44" s="36" t="n"/>
    </row>
    <row r="45" ht="15" customHeight="1" s="37">
      <c r="H45" s="36" t="n"/>
    </row>
    <row r="46" ht="15" customHeight="1" s="37">
      <c r="H46" s="36" t="n"/>
    </row>
    <row r="47" ht="15" customHeight="1" s="37">
      <c r="H47" s="36" t="n"/>
    </row>
    <row r="48" ht="15" customHeight="1" s="37">
      <c r="H48" s="36" t="n"/>
    </row>
    <row r="49" ht="15" customHeight="1" s="37">
      <c r="H49" s="36" t="n"/>
    </row>
    <row r="50" ht="15" customHeight="1" s="37">
      <c r="H50" s="36" t="n"/>
    </row>
    <row r="51" ht="15" customHeight="1" s="37">
      <c r="H51" s="36" t="n"/>
    </row>
    <row r="52" ht="15" customHeight="1" s="37">
      <c r="H52" s="36" t="n"/>
    </row>
    <row r="53" ht="15" customHeight="1" s="37">
      <c r="H53" s="36" t="n"/>
    </row>
    <row r="54" ht="15" customHeight="1" s="37">
      <c r="H54" s="36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36" min="2" max="2"/>
    <col width="18" customWidth="1" style="36" min="3" max="3"/>
    <col width="42" customWidth="1" style="36" min="4" max="4"/>
    <col width="24" customWidth="1" style="36" min="5" max="5"/>
    <col width="18" customWidth="1" style="36" min="6" max="6"/>
    <col width="22" customWidth="1" style="36" min="7" max="7"/>
    <col width="42" customWidth="1" style="36" min="8" max="8"/>
    <col width="30" customWidth="1" style="36" min="9" max="9"/>
    <col width="15" customWidth="1" style="36" min="10" max="10"/>
  </cols>
  <sheetData>
    <row r="2" ht="18.55" customHeight="1" s="37">
      <c r="B2" s="42" t="inlineStr">
        <is>
          <t>Source, Transformation, Ownership and Refresh Map</t>
        </is>
      </c>
    </row>
    <row r="4" ht="15" customHeight="1" s="37">
      <c r="B4" s="46" t="inlineStr">
        <is>
          <t>Source class</t>
        </is>
      </c>
      <c r="C4" s="46" t="inlineStr">
        <is>
          <t>Cadence</t>
        </is>
      </c>
      <c r="D4" s="46" t="inlineStr">
        <is>
          <t>Control</t>
        </is>
      </c>
      <c r="E4" s="46" t="inlineStr">
        <is>
          <t>System / provider</t>
        </is>
      </c>
      <c r="F4" s="46" t="inlineStr">
        <is>
          <t>As-of</t>
        </is>
      </c>
      <c r="G4" s="46" t="inlineStr">
        <is>
          <t>Owner</t>
        </is>
      </c>
      <c r="H4" s="46" t="inlineStr">
        <is>
          <t>Transform</t>
        </is>
      </c>
      <c r="I4" s="46" t="inlineStr">
        <is>
          <t>Downstream</t>
        </is>
      </c>
      <c r="J4" s="46" t="inlineStr">
        <is>
          <t>Status</t>
        </is>
      </c>
    </row>
    <row r="5" ht="15" customHeight="1" s="37">
      <c r="B5" s="36" t="inlineStr">
        <is>
          <t>transactions</t>
        </is>
      </c>
      <c r="C5" s="36" t="inlineStr">
        <is>
          <t>intraday/daily</t>
        </is>
      </c>
      <c r="D5" s="36" t="inlineStr">
        <is>
          <t>processor-to-ledger reconciliation</t>
        </is>
      </c>
      <c r="J5" s="36" t="inlineStr">
        <is>
          <t>TO MAP</t>
        </is>
      </c>
    </row>
    <row r="6" ht="15" customHeight="1" s="37">
      <c r="B6" s="36" t="inlineStr">
        <is>
          <t>settlement</t>
        </is>
      </c>
      <c r="C6" s="36" t="inlineStr">
        <is>
          <t>daily</t>
        </is>
      </c>
      <c r="D6" s="36" t="inlineStr">
        <is>
          <t>network, bank and cash tie</t>
        </is>
      </c>
      <c r="J6" s="36" t="inlineStr">
        <is>
          <t>TO MAP</t>
        </is>
      </c>
    </row>
    <row r="7" ht="15" customHeight="1" s="37">
      <c r="B7" s="36" t="inlineStr">
        <is>
          <t>model governance evidence</t>
        </is>
      </c>
      <c r="C7" s="36" t="inlineStr">
        <is>
          <t>per release</t>
        </is>
      </c>
      <c r="D7" s="36" t="inlineStr">
        <is>
          <t>version, reviewer, sign-off and change log</t>
        </is>
      </c>
      <c r="J7" s="36" t="inlineStr">
        <is>
          <t>TO MAP</t>
        </is>
      </c>
    </row>
    <row r="8" ht="15" customHeight="1" s="37">
      <c r="B8" s="36" t="inlineStr">
        <is>
          <t>decision-use snapshot</t>
        </is>
      </c>
      <c r="C8" s="36" t="inlineStr">
        <is>
          <t>per decision</t>
        </is>
      </c>
      <c r="D8" s="36" t="inlineStr">
        <is>
          <t>immutable as-of date and source receipt</t>
        </is>
      </c>
      <c r="J8" s="36" t="inlineStr">
        <is>
          <t>TO MAP</t>
        </is>
      </c>
    </row>
    <row r="9" ht="15" customHeight="1" s="37">
      <c r="J9" s="36" t="n"/>
    </row>
    <row r="10" ht="15" customHeight="1" s="37">
      <c r="J10" s="36" t="n"/>
    </row>
    <row r="11" ht="15" customHeight="1" s="37">
      <c r="J11" s="36" t="n"/>
    </row>
    <row r="12" ht="15" customHeight="1" s="37">
      <c r="J12" s="36" t="n"/>
    </row>
    <row r="13" ht="15" customHeight="1" s="37">
      <c r="J13" s="36" t="n"/>
    </row>
    <row r="14" ht="15" customHeight="1" s="37">
      <c r="J14" s="36" t="n"/>
    </row>
    <row r="15" ht="15" customHeight="1" s="37">
      <c r="J15" s="36" t="n"/>
    </row>
    <row r="16" ht="15" customHeight="1" s="37">
      <c r="J16" s="36" t="n"/>
    </row>
    <row r="17" ht="15" customHeight="1" s="37">
      <c r="J17" s="36" t="n"/>
    </row>
    <row r="18" ht="15" customHeight="1" s="37">
      <c r="J18" s="36" t="n"/>
    </row>
    <row r="19" ht="15" customHeight="1" s="37">
      <c r="J19" s="36" t="n"/>
    </row>
    <row r="20" ht="15" customHeight="1" s="37">
      <c r="J20" s="36" t="n"/>
    </row>
    <row r="21" ht="15" customHeight="1" s="37">
      <c r="J21" s="36" t="n"/>
    </row>
    <row r="22" ht="15" customHeight="1" s="37">
      <c r="J22" s="36" t="n"/>
    </row>
    <row r="23" ht="15" customHeight="1" s="37">
      <c r="J23" s="36" t="n"/>
    </row>
    <row r="24" ht="15" customHeight="1" s="37">
      <c r="J24" s="36" t="n"/>
    </row>
    <row r="25" ht="15" customHeight="1" s="37">
      <c r="J25" s="36" t="n"/>
    </row>
    <row r="26" ht="15" customHeight="1" s="37">
      <c r="J26" s="36" t="n"/>
    </row>
    <row r="27" ht="15" customHeight="1" s="37">
      <c r="J27" s="36" t="n"/>
    </row>
    <row r="28" ht="15" customHeight="1" s="37">
      <c r="J28" s="36" t="n"/>
    </row>
    <row r="29" ht="15" customHeight="1" s="37">
      <c r="J29" s="36" t="n"/>
    </row>
    <row r="30" ht="15" customHeight="1" s="37">
      <c r="J30" s="36" t="n"/>
    </row>
    <row r="31" ht="15" customHeight="1" s="37">
      <c r="J31" s="36" t="n"/>
    </row>
    <row r="32" ht="15" customHeight="1" s="37">
      <c r="J32" s="36" t="n"/>
    </row>
    <row r="33" ht="15" customHeight="1" s="37">
      <c r="J33" s="36" t="n"/>
    </row>
    <row r="34" ht="15" customHeight="1" s="37">
      <c r="J34" s="36" t="n"/>
    </row>
    <row r="35" ht="15" customHeight="1" s="37">
      <c r="J35" s="36" t="n"/>
    </row>
    <row r="36" ht="15" customHeight="1" s="37">
      <c r="J36" s="36" t="n"/>
    </row>
    <row r="37" ht="15" customHeight="1" s="37">
      <c r="J37" s="36" t="n"/>
    </row>
    <row r="38" ht="15" customHeight="1" s="37">
      <c r="J38" s="36" t="n"/>
    </row>
    <row r="39" ht="15" customHeight="1" s="37">
      <c r="J39" s="36" t="n"/>
    </row>
    <row r="40" ht="15" customHeight="1" s="37">
      <c r="J40" s="36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D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6" min="1" max="1"/>
    <col width="30" customWidth="1" style="36" min="2" max="2"/>
    <col width="16" customWidth="1" style="36" min="3" max="3"/>
    <col width="40" customWidth="1" style="36" min="4" max="4"/>
  </cols>
  <sheetData>
    <row r="2" ht="19.7" customHeight="1" s="37">
      <c r="B2" s="38" t="inlineStr">
        <is>
          <t>Unit Economics</t>
        </is>
      </c>
    </row>
    <row r="5" ht="15" customHeight="1" s="37">
      <c r="B5" s="47" t="inlineStr">
        <is>
          <t>Total payment volume, TPV ($/mo)</t>
        </is>
      </c>
      <c r="C5" s="48" t="n">
        <v>0</v>
      </c>
    </row>
    <row r="6" ht="15" customHeight="1" s="37">
      <c r="B6" s="47" t="inlineStr">
        <is>
          <t>Take rate (%)</t>
        </is>
      </c>
      <c r="C6" s="49" t="n">
        <v>0.025</v>
      </c>
    </row>
    <row r="7" ht="15" customHeight="1" s="37">
      <c r="B7" s="47" t="inlineStr">
        <is>
          <t>Interchange/processing cost (% of TPV)</t>
        </is>
      </c>
      <c r="C7" s="49" t="n">
        <v>0.015</v>
      </c>
    </row>
    <row r="8" ht="15" customHeight="1" s="37">
      <c r="B8" s="47" t="inlineStr">
        <is>
          <t>CAC ($ per customer)</t>
        </is>
      </c>
      <c r="C8" s="48" t="n">
        <v>0</v>
      </c>
    </row>
    <row r="9" ht="15" customHeight="1" s="37">
      <c r="B9" s="47" t="inlineStr">
        <is>
          <t>Avg monthly revenue per customer ($)</t>
        </is>
      </c>
      <c r="C9" s="48" t="n">
        <v>0</v>
      </c>
    </row>
    <row r="10" ht="15" customHeight="1" s="37">
      <c r="B10" s="47" t="inlineStr">
        <is>
          <t>Monthly gross margin per customer (%)</t>
        </is>
      </c>
      <c r="C10" s="50" t="n">
        <v>0.6</v>
      </c>
    </row>
    <row r="11" ht="15" customHeight="1" s="37">
      <c r="B11" s="47" t="inlineStr">
        <is>
          <t>Monthly churn rate (%)</t>
        </is>
      </c>
      <c r="C11" s="50" t="n">
        <v>0.03</v>
      </c>
    </row>
    <row r="13" ht="15" customHeight="1" s="37">
      <c r="B13" s="51" t="inlineStr">
        <is>
          <t>Outputs</t>
        </is>
      </c>
    </row>
    <row r="14" ht="15" customHeight="1" s="37">
      <c r="B14" s="36" t="inlineStr">
        <is>
          <t>Revenue (take rate x TPV)</t>
        </is>
      </c>
      <c r="C14" s="52">
        <f>C5*C6</f>
        <v/>
      </c>
    </row>
    <row r="15" ht="15" customHeight="1" s="37">
      <c r="B15" s="36" t="inlineStr">
        <is>
          <t>Processing cost ($)</t>
        </is>
      </c>
      <c r="C15" s="52">
        <f>C5*C7</f>
        <v/>
      </c>
    </row>
    <row r="16" ht="15" customHeight="1" s="37">
      <c r="B16" s="36" t="inlineStr">
        <is>
          <t>Net revenue after processing cost</t>
        </is>
      </c>
      <c r="C16" s="53">
        <f>C14-C15</f>
        <v/>
      </c>
    </row>
    <row r="17" ht="15" customHeight="1" s="37">
      <c r="B17" s="36" t="inlineStr">
        <is>
          <t>Customer lifetime (months) = 1/churn</t>
        </is>
      </c>
      <c r="C17" s="54">
        <f>IFERROR(1/C11,"-")</f>
        <v/>
      </c>
    </row>
    <row r="18" ht="15" customHeight="1" s="37">
      <c r="B18" s="36" t="inlineStr">
        <is>
          <t>LTV = monthly rev x gross margin x lifetime</t>
        </is>
      </c>
      <c r="C18" s="53">
        <f>C9*C10*C17</f>
        <v/>
      </c>
    </row>
    <row r="19" ht="15" customHeight="1" s="37">
      <c r="B19" s="36" t="inlineStr">
        <is>
          <t>LTV / CAC ratio</t>
        </is>
      </c>
      <c r="C19" s="55">
        <f>IFERROR(C18/C8,"-")</f>
        <v/>
      </c>
      <c r="D19" s="56" t="inlineStr">
        <is>
          <t>Rule of thumb: &gt;3x is healthy, &lt;1x means losing money per customer</t>
        </is>
      </c>
    </row>
    <row r="20" ht="15" customHeight="1" s="37">
      <c r="B20" s="36" t="inlineStr">
        <is>
          <t>CAC payback period (months)</t>
        </is>
      </c>
      <c r="C20" s="54">
        <f>IFERROR(C8/(C9*C10),"-")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J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6" min="1" max="1"/>
    <col width="14" customWidth="1" style="36" min="2" max="2"/>
    <col width="10" customWidth="1" style="36" min="3" max="10"/>
  </cols>
  <sheetData>
    <row r="2" ht="19.7" customHeight="1" s="37">
      <c r="B2" s="38" t="inlineStr">
        <is>
          <t>Cohort Retention (% of cohort still active)</t>
        </is>
      </c>
    </row>
    <row r="4" ht="15" customHeight="1" s="37">
      <c r="B4" s="51" t="inlineStr">
        <is>
          <t>Cohort</t>
        </is>
      </c>
      <c r="C4" s="51" t="inlineStr">
        <is>
          <t>M0</t>
        </is>
      </c>
      <c r="D4" s="51" t="inlineStr">
        <is>
          <t>M1</t>
        </is>
      </c>
      <c r="E4" s="51" t="inlineStr">
        <is>
          <t>M2</t>
        </is>
      </c>
      <c r="F4" s="51" t="inlineStr">
        <is>
          <t>M3</t>
        </is>
      </c>
      <c r="G4" s="51" t="inlineStr">
        <is>
          <t>M4</t>
        </is>
      </c>
      <c r="H4" s="51" t="inlineStr">
        <is>
          <t>M5</t>
        </is>
      </c>
      <c r="I4" s="51" t="inlineStr">
        <is>
          <t>M6</t>
        </is>
      </c>
      <c r="J4" s="51" t="inlineStr">
        <is>
          <t>M7</t>
        </is>
      </c>
    </row>
    <row r="5" ht="15" customHeight="1" s="37">
      <c r="B5" s="39" t="inlineStr">
        <is>
          <t>Jan cohort</t>
        </is>
      </c>
      <c r="C5" s="57" t="n">
        <v>1</v>
      </c>
      <c r="D5" s="57" t="n">
        <v>0</v>
      </c>
      <c r="E5" s="57" t="n">
        <v>0</v>
      </c>
      <c r="F5" s="57" t="n">
        <v>0</v>
      </c>
      <c r="G5" s="57" t="n">
        <v>0</v>
      </c>
      <c r="H5" s="57" t="n">
        <v>0</v>
      </c>
      <c r="I5" s="57" t="n">
        <v>0</v>
      </c>
      <c r="J5" s="57" t="n">
        <v>0</v>
      </c>
    </row>
    <row r="6" ht="15" customHeight="1" s="37">
      <c r="B6" s="39" t="inlineStr">
        <is>
          <t>Feb cohort</t>
        </is>
      </c>
      <c r="C6" s="57" t="n">
        <v>1</v>
      </c>
      <c r="D6" s="57" t="n">
        <v>0</v>
      </c>
      <c r="E6" s="57" t="n">
        <v>0</v>
      </c>
      <c r="F6" s="57" t="n">
        <v>0</v>
      </c>
      <c r="G6" s="57" t="n">
        <v>0</v>
      </c>
      <c r="H6" s="57" t="n">
        <v>0</v>
      </c>
      <c r="I6" s="57" t="n">
        <v>0</v>
      </c>
      <c r="J6" s="57" t="n">
        <v>0</v>
      </c>
    </row>
    <row r="7" ht="15" customHeight="1" s="37">
      <c r="B7" s="39" t="inlineStr">
        <is>
          <t>Mar cohort</t>
        </is>
      </c>
      <c r="C7" s="57" t="n">
        <v>1</v>
      </c>
      <c r="D7" s="57" t="n">
        <v>0</v>
      </c>
      <c r="E7" s="57" t="n">
        <v>0</v>
      </c>
      <c r="F7" s="57" t="n">
        <v>0</v>
      </c>
      <c r="G7" s="57" t="n">
        <v>0</v>
      </c>
      <c r="H7" s="57" t="n">
        <v>0</v>
      </c>
      <c r="I7" s="57" t="n">
        <v>0</v>
      </c>
      <c r="J7" s="57" t="n">
        <v>0</v>
      </c>
    </row>
    <row r="8" ht="15" customHeight="1" s="37">
      <c r="B8" s="39" t="inlineStr">
        <is>
          <t>Apr cohort</t>
        </is>
      </c>
      <c r="C8" s="57" t="n">
        <v>1</v>
      </c>
      <c r="D8" s="57" t="n">
        <v>0</v>
      </c>
      <c r="E8" s="57" t="n">
        <v>0</v>
      </c>
      <c r="F8" s="57" t="n">
        <v>0</v>
      </c>
      <c r="G8" s="57" t="n">
        <v>0</v>
      </c>
      <c r="H8" s="57" t="n">
        <v>0</v>
      </c>
      <c r="I8" s="57" t="n">
        <v>0</v>
      </c>
      <c r="J8" s="57" t="n">
        <v>0</v>
      </c>
    </row>
    <row r="9" ht="15" customHeight="1" s="37">
      <c r="B9" s="39" t="inlineStr">
        <is>
          <t>Average retention</t>
        </is>
      </c>
      <c r="C9" s="58">
        <f>AVERAGE(C5:C8)</f>
        <v/>
      </c>
      <c r="D9" s="58">
        <f>AVERAGE(D5:D8)</f>
        <v/>
      </c>
      <c r="E9" s="58">
        <f>AVERAGE(E5:E8)</f>
        <v/>
      </c>
      <c r="F9" s="58">
        <f>AVERAGE(F5:F8)</f>
        <v/>
      </c>
      <c r="G9" s="58">
        <f>AVERAGE(G5:G8)</f>
        <v/>
      </c>
      <c r="H9" s="58">
        <f>AVERAGE(H5:H8)</f>
        <v/>
      </c>
      <c r="I9" s="58">
        <f>AVERAGE(I5:I8)</f>
        <v/>
      </c>
      <c r="J9" s="58">
        <f>AVERAGE(J5:J8)</f>
        <v/>
      </c>
    </row>
    <row r="10" ht="15" customHeight="1" s="37">
      <c r="B10" s="36" t="inlineStr">
        <is>
          <t>Curve-implied LTV multiplier (sum of avg retention, M0-M7)</t>
        </is>
      </c>
      <c r="C10" s="59">
        <f>SUM(C9:J9)</f>
        <v/>
      </c>
    </row>
    <row r="11" ht="15" customHeight="1" s="37">
      <c r="B11" s="56" t="inlineStr">
        <is>
          <t>M0 always = 100% by definition. Fill subsequent months as cohorts age.</t>
        </is>
      </c>
    </row>
    <row r="12" ht="15" customHeight="1" s="37">
      <c r="B12" s="56" t="inlineStr">
        <is>
          <t>Retention-curve LTV = monthly rev x gross margin x this multiplier — compare to the steady-state 1/churn LTV on Unit Economics; a big gap means churn isn't actually constant month to month (usually front-loaded), and the curve number is the more honest one.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F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6" min="1" max="1"/>
    <col width="38" customWidth="1" style="36" min="2" max="2"/>
    <col width="18" customWidth="1" style="36" min="3" max="5"/>
    <col width="42" customWidth="1" style="36" min="6" max="6"/>
  </cols>
  <sheetData>
    <row r="2" ht="19.7" customHeight="1" s="37">
      <c r="B2" s="38" t="inlineStr">
        <is>
          <t>Customer, Merchant, and Network Activity Rollforward</t>
        </is>
      </c>
    </row>
    <row r="3" ht="15" customHeight="1" s="37">
      <c r="B3" s="36" t="inlineStr">
        <is>
          <t>Active scenario</t>
        </is>
      </c>
      <c r="C3" s="60" t="inlineStr">
        <is>
          <t>Base</t>
        </is>
      </c>
    </row>
    <row r="4" ht="15" customHeight="1" s="37">
      <c r="B4" s="61" t="inlineStr">
        <is>
          <t>Metric</t>
        </is>
      </c>
      <c r="C4" s="61" t="inlineStr">
        <is>
          <t>Base</t>
        </is>
      </c>
      <c r="D4" s="61" t="inlineStr">
        <is>
          <t>Downside</t>
        </is>
      </c>
      <c r="E4" s="61" t="inlineStr">
        <is>
          <t>Active</t>
        </is>
      </c>
      <c r="F4" s="61" t="inlineStr">
        <is>
          <t>Interpretation</t>
        </is>
      </c>
    </row>
    <row r="5" ht="15" customHeight="1" s="37">
      <c r="B5" s="36" t="inlineStr">
        <is>
          <t>Starting active users</t>
        </is>
      </c>
      <c r="C5" s="62" t="n">
        <v>100000</v>
      </c>
      <c r="D5" s="62" t="n">
        <v>100000</v>
      </c>
      <c r="E5" s="63">
        <f>IF($C$3="Downside",D5,C5)</f>
        <v/>
      </c>
      <c r="F5" s="36" t="inlineStr">
        <is>
          <t>beginning-of-period active customers</t>
        </is>
      </c>
    </row>
    <row r="6" ht="15" customHeight="1" s="37">
      <c r="B6" s="36" t="inlineStr">
        <is>
          <t>Retention rate</t>
        </is>
      </c>
      <c r="C6" s="50" t="n">
        <v>0.9</v>
      </c>
      <c r="D6" s="50" t="n">
        <v>0.55</v>
      </c>
      <c r="E6" s="64">
        <f>IF($C$3="Downside",D6,C6)</f>
        <v/>
      </c>
      <c r="F6" s="36" t="inlineStr">
        <is>
          <t>same-period active retention</t>
        </is>
      </c>
    </row>
    <row r="7" ht="15" customHeight="1" s="37">
      <c r="B7" s="36" t="inlineStr">
        <is>
          <t>New users</t>
        </is>
      </c>
      <c r="C7" s="62" t="n">
        <v>20000</v>
      </c>
      <c r="D7" s="62" t="n">
        <v>5000</v>
      </c>
      <c r="E7" s="63">
        <f>IF($C$3="Downside",D7,C7)</f>
        <v/>
      </c>
      <c r="F7" s="36" t="inlineStr">
        <is>
          <t>newly activated customers</t>
        </is>
      </c>
    </row>
    <row r="8" ht="15" customHeight="1" s="37">
      <c r="B8" s="36" t="inlineStr">
        <is>
          <t>Starting active merchants</t>
        </is>
      </c>
      <c r="C8" s="62" t="n">
        <v>5000</v>
      </c>
      <c r="D8" s="62" t="n">
        <v>5000</v>
      </c>
      <c r="E8" s="63">
        <f>IF($C$3="Downside",D8,C8)</f>
        <v/>
      </c>
      <c r="F8" s="36" t="inlineStr">
        <is>
          <t>beginning merchant base</t>
        </is>
      </c>
    </row>
    <row r="9" ht="15" customHeight="1" s="37">
      <c r="B9" s="36" t="inlineStr">
        <is>
          <t>Merchant retention rate</t>
        </is>
      </c>
      <c r="C9" s="50" t="n">
        <v>0.9399999999999999</v>
      </c>
      <c r="D9" s="50" t="n">
        <v>0.7</v>
      </c>
      <c r="E9" s="64">
        <f>IF($C$3="Downside",D9,C9)</f>
        <v/>
      </c>
      <c r="F9" s="36" t="inlineStr">
        <is>
          <t>merchant-side retention</t>
        </is>
      </c>
    </row>
    <row r="10" ht="15" customHeight="1" s="37">
      <c r="B10" s="36" t="inlineStr">
        <is>
          <t>New merchants</t>
        </is>
      </c>
      <c r="C10" s="62" t="n">
        <v>750</v>
      </c>
      <c r="D10" s="62" t="n">
        <v>100</v>
      </c>
      <c r="E10" s="63">
        <f>IF($C$3="Downside",D10,C10)</f>
        <v/>
      </c>
      <c r="F10" s="36" t="inlineStr">
        <is>
          <t>newly activated merchants</t>
        </is>
      </c>
    </row>
    <row r="11" ht="15" customHeight="1" s="37">
      <c r="B11" s="36" t="inlineStr">
        <is>
          <t>Transactions</t>
        </is>
      </c>
      <c r="C11" s="62" t="n">
        <v>1500000</v>
      </c>
      <c r="D11" s="62" t="n">
        <v>300000</v>
      </c>
      <c r="E11" s="63">
        <f>IF($C$3="Downside",D11,C11)</f>
        <v/>
      </c>
      <c r="F11" s="36" t="inlineStr">
        <is>
          <t>successful transactions in period</t>
        </is>
      </c>
    </row>
    <row r="12" ht="15" customHeight="1" s="37">
      <c r="B12" s="36" t="inlineStr">
        <is>
          <t>Failed / reversed transactions</t>
        </is>
      </c>
      <c r="C12" s="62" t="n">
        <v>15000</v>
      </c>
      <c r="D12" s="62" t="n">
        <v>45000</v>
      </c>
      <c r="E12" s="63">
        <f>IF($C$3="Downside",D12,C12)</f>
        <v/>
      </c>
      <c r="F12" s="36" t="inlineStr">
        <is>
          <t>operational and risk failures</t>
        </is>
      </c>
    </row>
    <row r="15" ht="15" customHeight="1" s="37">
      <c r="B15" s="51" t="inlineStr">
        <is>
          <t>Derived outputs</t>
        </is>
      </c>
    </row>
    <row r="16" ht="15" customHeight="1" s="37">
      <c r="B16" s="36" t="inlineStr">
        <is>
          <t>Ending active users</t>
        </is>
      </c>
      <c r="E16" s="63">
        <f>E5*E6+E7</f>
        <v/>
      </c>
    </row>
    <row r="17" ht="15" customHeight="1" s="37">
      <c r="B17" s="36" t="inlineStr">
        <is>
          <t>Ending active merchants</t>
        </is>
      </c>
      <c r="E17" s="63">
        <f>E8*E9+E10</f>
        <v/>
      </c>
    </row>
    <row r="18" ht="15" customHeight="1" s="37">
      <c r="B18" s="36" t="inlineStr">
        <is>
          <t>Transactions per active user</t>
        </is>
      </c>
      <c r="E18" s="65">
        <f>IFERROR(E11/E16,0)</f>
        <v/>
      </c>
    </row>
    <row r="19" ht="15" customHeight="1" s="37">
      <c r="B19" s="36" t="inlineStr">
        <is>
          <t>Transactions per active merchant</t>
        </is>
      </c>
      <c r="E19" s="65">
        <f>IFERROR(E11/E17,0)</f>
        <v/>
      </c>
    </row>
    <row r="20" ht="15" customHeight="1" s="37">
      <c r="B20" s="36" t="inlineStr">
        <is>
          <t>Transaction failure rate</t>
        </is>
      </c>
      <c r="E20" s="66">
        <f>IFERROR(E12/(E11+E12),0)</f>
        <v/>
      </c>
    </row>
    <row r="21" ht="15" customHeight="1" s="37">
      <c r="B21" s="36" t="inlineStr">
        <is>
          <t>Cross-side network density</t>
        </is>
      </c>
      <c r="E21" s="67">
        <f>IFERROR(E11/(E16*E17),0)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6" min="1" max="1"/>
    <col width="34" customWidth="1" style="36" min="2" max="2"/>
    <col width="16" customWidth="1" style="36" min="3" max="3"/>
    <col width="44" customWidth="1" style="36" min="4" max="4"/>
  </cols>
  <sheetData>
    <row r="2" ht="19.7" customHeight="1" s="37">
      <c r="B2" s="38" t="inlineStr">
        <is>
          <t>Fraud, Chargeback &amp; Credit Loss</t>
        </is>
      </c>
    </row>
    <row r="4" ht="15" customHeight="1" s="37">
      <c r="B4" s="51" t="inlineStr">
        <is>
          <t>Inputs</t>
        </is>
      </c>
    </row>
    <row r="5" ht="15" customHeight="1" s="37">
      <c r="B5" s="47" t="inlineStr">
        <is>
          <t>Total payment volume, TPV ($/mo)</t>
        </is>
      </c>
      <c r="C5" s="48" t="n">
        <v>0</v>
      </c>
    </row>
    <row r="6" ht="15" customHeight="1" s="37">
      <c r="B6" s="47" t="inlineStr">
        <is>
          <t>Fraud loss rate (bps of TPV)</t>
        </is>
      </c>
      <c r="C6" s="62" t="n">
        <v>8</v>
      </c>
    </row>
    <row r="7" ht="15" customHeight="1" s="37">
      <c r="B7" s="47" t="inlineStr">
        <is>
          <t>Chargeback count (this period)</t>
        </is>
      </c>
      <c r="C7" s="62" t="n">
        <v>0</v>
      </c>
    </row>
    <row r="8" ht="15" customHeight="1" s="37">
      <c r="B8" s="47" t="inlineStr">
        <is>
          <t>Chargeback cost per incident ($, fee + lost goods)</t>
        </is>
      </c>
      <c r="C8" s="48" t="n">
        <v>25</v>
      </c>
    </row>
    <row r="9" ht="15" customHeight="1" s="37">
      <c r="B9" s="47" t="inlineStr">
        <is>
          <t>Credit losses — lending book only, if applicable ($)</t>
        </is>
      </c>
      <c r="C9" s="48" t="n">
        <v>0</v>
      </c>
    </row>
    <row r="10" ht="15" customHeight="1" s="37">
      <c r="B10" s="36" t="inlineStr">
        <is>
          <t>Fraud warning threshold (bps of TPV)</t>
        </is>
      </c>
      <c r="C10" s="62" t="n">
        <v>50</v>
      </c>
    </row>
    <row r="11" ht="15" customHeight="1" s="37">
      <c r="B11" s="51" t="inlineStr">
        <is>
          <t>Outputs</t>
        </is>
      </c>
    </row>
    <row r="12" ht="15" customHeight="1" s="37">
      <c r="B12" s="36" t="inlineStr">
        <is>
          <t>Fraud loss ($)</t>
        </is>
      </c>
      <c r="C12" s="52">
        <f>C5*C6/10000</f>
        <v/>
      </c>
      <c r="D12" s="56" t="inlineStr">
        <is>
          <t>bps convention: 8 bps = 0.08%</t>
        </is>
      </c>
    </row>
    <row r="13" ht="15" customHeight="1" s="37">
      <c r="B13" s="36" t="inlineStr">
        <is>
          <t>Chargeback cost ($)</t>
        </is>
      </c>
      <c r="C13" s="52">
        <f>C7*C8</f>
        <v/>
      </c>
    </row>
    <row r="14" ht="15" customHeight="1" s="37">
      <c r="B14" s="36" t="inlineStr">
        <is>
          <t>Total risk-related loss ($)</t>
        </is>
      </c>
      <c r="C14" s="53">
        <f>C12+C13+C9</f>
        <v/>
      </c>
    </row>
    <row r="15" ht="15" customHeight="1" s="37">
      <c r="B15" s="36" t="inlineStr">
        <is>
          <t>Total loss as % of net revenue</t>
        </is>
      </c>
      <c r="C15" s="68">
        <f>IFERROR(C14/'Unit Economics'!C16,"-")</f>
        <v/>
      </c>
      <c r="D15" s="56" t="inlineStr">
        <is>
          <t>Threshold is model-owned and must be approved for the product, channel, geography, and control environment.</t>
        </is>
      </c>
    </row>
    <row r="16" ht="15" customHeight="1" s="37">
      <c r="B16" s="36" t="inlineStr">
        <is>
          <t>Fraud threshold status</t>
        </is>
      </c>
      <c r="C16" s="69">
        <f>IF(C6&lt;=C10,"PASS","BREACH")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E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6" min="1" max="1"/>
    <col width="40" customWidth="1" style="36" min="2" max="2"/>
    <col width="18" customWidth="1" style="36" min="3" max="4"/>
    <col width="44" customWidth="1" style="36" min="5" max="5"/>
  </cols>
  <sheetData>
    <row r="2" ht="19.7" customHeight="1" s="37">
      <c r="B2" s="38" t="inlineStr">
        <is>
          <t>Capital, Settlement, and Liquidity Coverage</t>
        </is>
      </c>
    </row>
    <row r="4" ht="15" customHeight="1" s="37">
      <c r="B4" s="61" t="inlineStr">
        <is>
          <t>Metric</t>
        </is>
      </c>
      <c r="C4" s="61" t="inlineStr">
        <is>
          <t>Base</t>
        </is>
      </c>
      <c r="D4" s="61" t="inlineStr">
        <is>
          <t>Downside</t>
        </is>
      </c>
      <c r="E4" s="61" t="inlineStr">
        <is>
          <t>Units / control</t>
        </is>
      </c>
    </row>
    <row r="5" ht="15" customHeight="1" s="37">
      <c r="B5" s="36" t="inlineStr">
        <is>
          <t>Available regulatory / loss-absorbing capital</t>
        </is>
      </c>
      <c r="C5" s="48" t="n">
        <v>20</v>
      </c>
      <c r="D5" s="70" t="n">
        <v>11.7</v>
      </c>
      <c r="E5" s="36" t="inlineStr">
        <is>
          <t>approved eligible capital</t>
        </is>
      </c>
    </row>
    <row r="6" ht="15" customHeight="1" s="37">
      <c r="B6" s="36" t="inlineStr">
        <is>
          <t>Required capital</t>
        </is>
      </c>
      <c r="C6" s="48" t="n">
        <v>10</v>
      </c>
      <c r="D6" s="70" t="n">
        <v>8.699999999999999</v>
      </c>
      <c r="E6" s="36" t="inlineStr">
        <is>
          <t>regulatory or internal risk requirement</t>
        </is>
      </c>
    </row>
    <row r="7" ht="15" customHeight="1" s="37">
      <c r="B7" s="36" t="inlineStr">
        <is>
          <t>Unrestricted cash and liquid investments</t>
        </is>
      </c>
      <c r="C7" s="48" t="n">
        <v>25</v>
      </c>
      <c r="D7" s="48" t="n">
        <v>8</v>
      </c>
      <c r="E7" s="36" t="inlineStr">
        <is>
          <t>same-day or near-cash liquidity</t>
        </is>
      </c>
    </row>
    <row r="8" ht="15" customHeight="1" s="37">
      <c r="B8" s="36" t="inlineStr">
        <is>
          <t>Thirty-day settlement and operating obligations</t>
        </is>
      </c>
      <c r="C8" s="48" t="n">
        <v>15</v>
      </c>
      <c r="D8" s="48" t="n">
        <v>25</v>
      </c>
      <c r="E8" s="36" t="inlineStr">
        <is>
          <t>cash outflows under stress</t>
        </is>
      </c>
    </row>
    <row r="9" ht="15" customHeight="1" s="37">
      <c r="B9" s="36" t="inlineStr">
        <is>
          <t>Restricted customer / safeguarding funds</t>
        </is>
      </c>
      <c r="C9" s="48" t="n">
        <v>30</v>
      </c>
      <c r="D9" s="48" t="n">
        <v>30</v>
      </c>
      <c r="E9" s="36" t="inlineStr">
        <is>
          <t>not available for corporate liquidity</t>
        </is>
      </c>
    </row>
    <row r="10" ht="15" customHeight="1" s="37">
      <c r="B10" s="36" t="inlineStr">
        <is>
          <t>Minimum capital coverage</t>
        </is>
      </c>
      <c r="C10" s="71" t="n">
        <v>1.2</v>
      </c>
      <c r="D10" s="71" t="n">
        <v>1.2</v>
      </c>
      <c r="E10" s="36" t="inlineStr">
        <is>
          <t>available / required</t>
        </is>
      </c>
    </row>
    <row r="11" ht="15" customHeight="1" s="37">
      <c r="B11" s="36" t="inlineStr">
        <is>
          <t>Minimum liquidity coverage</t>
        </is>
      </c>
      <c r="C11" s="71" t="n">
        <v>1.1</v>
      </c>
      <c r="D11" s="71" t="n">
        <v>1.1</v>
      </c>
      <c r="E11" s="36" t="inlineStr">
        <is>
          <t>unrestricted liquidity / obligations</t>
        </is>
      </c>
    </row>
    <row r="14" ht="15" customHeight="1" s="37">
      <c r="B14" s="36" t="inlineStr">
        <is>
          <t>Capital coverage</t>
        </is>
      </c>
      <c r="C14" s="72">
        <f>IFERROR(C5/C6,0)</f>
        <v/>
      </c>
      <c r="D14" s="72">
        <f>IFERROR(D5/D6,0)</f>
        <v/>
      </c>
    </row>
    <row r="15" ht="15" customHeight="1" s="37">
      <c r="B15" s="36" t="inlineStr">
        <is>
          <t>Liquidity coverage</t>
        </is>
      </c>
      <c r="C15" s="72">
        <f>IFERROR(C7/C8,0)</f>
        <v/>
      </c>
      <c r="D15" s="72">
        <f>IFERROR(D7/D8,0)</f>
        <v/>
      </c>
    </row>
    <row r="16" ht="15" customHeight="1" s="37">
      <c r="B16" s="36" t="inlineStr">
        <is>
          <t>Capital headroom</t>
        </is>
      </c>
      <c r="C16" s="52">
        <f>C5-C6</f>
        <v/>
      </c>
      <c r="D16" s="52">
        <f>D5-D6</f>
        <v/>
      </c>
    </row>
    <row r="17" ht="15" customHeight="1" s="37">
      <c r="B17" s="36" t="inlineStr">
        <is>
          <t>Liquidity headroom</t>
        </is>
      </c>
      <c r="C17" s="52">
        <f>C7-C8</f>
        <v/>
      </c>
      <c r="D17" s="52">
        <f>D7-D8</f>
        <v/>
      </c>
    </row>
    <row r="18" ht="15" customHeight="1" s="37">
      <c r="B18" s="36" t="inlineStr">
        <is>
          <t>Base status</t>
        </is>
      </c>
      <c r="C18" s="73">
        <f>IF(AND(C14&gt;=C10,C15&gt;=C11),"PASS","BREACH")</f>
        <v/>
      </c>
      <c r="D18" s="73" t="n"/>
    </row>
    <row r="19" ht="15" customHeight="1" s="37">
      <c r="B19" s="36" t="inlineStr">
        <is>
          <t>Downside status</t>
        </is>
      </c>
      <c r="C19" s="73">
        <f>IF(AND(D14&gt;=D10,D15&gt;=D11),"PASS","BREACH")</f>
        <v/>
      </c>
      <c r="D19" s="7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G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6" min="1" max="1"/>
    <col width="28" customWidth="1" style="36" min="2" max="2"/>
    <col width="18" customWidth="1" style="36" min="3" max="3"/>
    <col width="24" customWidth="1" style="36" min="4" max="4"/>
    <col width="22" customWidth="1" style="36" min="5" max="5"/>
    <col width="20" customWidth="1" style="36" min="6" max="6"/>
    <col width="42" customWidth="1" style="36" min="7" max="7"/>
  </cols>
  <sheetData>
    <row r="2" ht="19.7" customHeight="1" s="37">
      <c r="B2" s="38" t="inlineStr">
        <is>
          <t>Payments Endpoint Security and Fraud-Control Register</t>
        </is>
      </c>
    </row>
    <row r="4" ht="15" customHeight="1" s="37">
      <c r="B4" s="61" t="inlineStr">
        <is>
          <t>Control</t>
        </is>
      </c>
      <c r="C4" s="61" t="inlineStr">
        <is>
          <t>Owner</t>
        </is>
      </c>
      <c r="D4" s="61" t="inlineStr">
        <is>
          <t>Type</t>
        </is>
      </c>
      <c r="E4" s="61" t="inlineStr">
        <is>
          <t>Metric</t>
        </is>
      </c>
      <c r="F4" s="61" t="inlineStr">
        <is>
          <t>Threshold</t>
        </is>
      </c>
      <c r="G4" s="61" t="inlineStr">
        <is>
          <t>Retained evidence</t>
        </is>
      </c>
    </row>
    <row r="5" ht="15" customHeight="1" s="37">
      <c r="B5" s="73" t="inlineStr">
        <is>
          <t>Strong authentication and privileged access</t>
        </is>
      </c>
      <c r="C5" s="73" t="inlineStr">
        <is>
          <t>Security</t>
        </is>
      </c>
      <c r="D5" s="73" t="inlineStr">
        <is>
          <t>Prevent</t>
        </is>
      </c>
      <c r="E5" s="73" t="inlineStr">
        <is>
          <t>Privileged-access exceptions</t>
        </is>
      </c>
      <c r="F5" s="73" t="inlineStr">
        <is>
          <t>0 unresolved</t>
        </is>
      </c>
      <c r="G5" s="73" t="inlineStr">
        <is>
          <t>access review and exception log</t>
        </is>
      </c>
    </row>
    <row r="6" ht="15" customHeight="1" s="37">
      <c r="B6" s="73" t="inlineStr">
        <is>
          <t>Payment instruction integrity</t>
        </is>
      </c>
      <c r="C6" s="73" t="inlineStr">
        <is>
          <t>Payments Ops</t>
        </is>
      </c>
      <c r="D6" s="73" t="inlineStr">
        <is>
          <t>Prevent</t>
        </is>
      </c>
      <c r="E6" s="73" t="inlineStr">
        <is>
          <t>Unauthorized instruction rate</t>
        </is>
      </c>
      <c r="F6" s="73" t="inlineStr">
        <is>
          <t>approved threshold</t>
        </is>
      </c>
      <c r="G6" s="73" t="inlineStr">
        <is>
          <t>signed instruction and change history</t>
        </is>
      </c>
    </row>
    <row r="7" ht="15" customHeight="1" s="37">
      <c r="B7" s="73" t="inlineStr">
        <is>
          <t>Real-time fraud detection</t>
        </is>
      </c>
      <c r="C7" s="73" t="inlineStr">
        <is>
          <t>Risk</t>
        </is>
      </c>
      <c r="D7" s="73" t="inlineStr">
        <is>
          <t>Detect</t>
        </is>
      </c>
      <c r="E7" s="73" t="inlineStr">
        <is>
          <t>Fraud bps / TPV</t>
        </is>
      </c>
      <c r="F7" s="73" t="inlineStr">
        <is>
          <t>Fraud &amp; Risk!C10</t>
        </is>
      </c>
      <c r="G7" s="73" t="inlineStr">
        <is>
          <t>alert, decision, and loss record</t>
        </is>
      </c>
    </row>
    <row r="8" ht="15" customHeight="1" s="37">
      <c r="B8" s="73" t="inlineStr">
        <is>
          <t>Settlement reconciliation</t>
        </is>
      </c>
      <c r="C8" s="73" t="inlineStr">
        <is>
          <t>Finance Ops</t>
        </is>
      </c>
      <c r="D8" s="73" t="inlineStr">
        <is>
          <t>Detect</t>
        </is>
      </c>
      <c r="E8" s="73" t="inlineStr">
        <is>
          <t>Unreconciled settlement items</t>
        </is>
      </c>
      <c r="F8" s="73" t="inlineStr">
        <is>
          <t>0 material</t>
        </is>
      </c>
      <c r="G8" s="73" t="inlineStr">
        <is>
          <t>daily reconciliation evidence</t>
        </is>
      </c>
    </row>
    <row r="9" ht="15" customHeight="1" s="37">
      <c r="B9" s="73" t="inlineStr">
        <is>
          <t>Incident response and customer protection</t>
        </is>
      </c>
      <c r="C9" s="73" t="inlineStr">
        <is>
          <t>Operations</t>
        </is>
      </c>
      <c r="D9" s="73" t="inlineStr">
        <is>
          <t>Respond</t>
        </is>
      </c>
      <c r="E9" s="73" t="inlineStr">
        <is>
          <t>Time to contain</t>
        </is>
      </c>
      <c r="F9" s="73" t="inlineStr">
        <is>
          <t>approved SLA</t>
        </is>
      </c>
      <c r="G9" s="73" t="inlineStr">
        <is>
          <t>incident timeline and remediation</t>
        </is>
      </c>
    </row>
    <row r="10" ht="15" customHeight="1" s="37">
      <c r="B10" s="73" t="inlineStr">
        <is>
          <t>Recovery and continuity</t>
        </is>
      </c>
      <c r="C10" s="73" t="inlineStr">
        <is>
          <t>Engineering</t>
        </is>
      </c>
      <c r="D10" s="73" t="inlineStr">
        <is>
          <t>Recover</t>
        </is>
      </c>
      <c r="E10" s="73" t="inlineStr">
        <is>
          <t>Recovery test result</t>
        </is>
      </c>
      <c r="F10" s="73" t="inlineStr">
        <is>
          <t>PASS</t>
        </is>
      </c>
      <c r="G10" s="73" t="inlineStr">
        <is>
          <t>dated recovery exercise</t>
        </is>
      </c>
    </row>
    <row r="11" ht="15" customHeight="1" s="37">
      <c r="B11" s="73" t="inlineStr">
        <is>
          <t>Third-party endpoint governance</t>
        </is>
      </c>
      <c r="C11" s="73" t="inlineStr">
        <is>
          <t>Vendor Risk</t>
        </is>
      </c>
      <c r="D11" s="73" t="inlineStr">
        <is>
          <t>Govern</t>
        </is>
      </c>
      <c r="E11" s="73" t="inlineStr">
        <is>
          <t>Critical vendors overdue</t>
        </is>
      </c>
      <c r="F11" s="73" t="inlineStr">
        <is>
          <t>0</t>
        </is>
      </c>
      <c r="G11" s="73" t="inlineStr">
        <is>
          <t>assessment and remediation record</t>
        </is>
      </c>
    </row>
    <row r="14" ht="15" customHeight="1" s="37">
      <c r="B14" s="56" t="inlineStr">
        <is>
          <t>Controls are an operating register, not a claim of compliance. Owners must replace illustrative thresholds with approved product-specific limits.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E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6" min="1" max="1"/>
    <col width="38" customWidth="1" style="36" min="2" max="2"/>
    <col width="18" customWidth="1" style="36" min="3" max="4"/>
    <col width="48" customWidth="1" style="36" min="5" max="5"/>
  </cols>
  <sheetData>
    <row r="2" ht="19.7" customHeight="1" s="37">
      <c r="B2" s="38" t="inlineStr">
        <is>
          <t>Fintech / Payments Decision Dashboard and Independent Checks</t>
        </is>
      </c>
    </row>
    <row r="4" ht="15" customHeight="1" s="37">
      <c r="B4" s="61" t="inlineStr">
        <is>
          <t>Check / decision</t>
        </is>
      </c>
      <c r="C4" s="61" t="inlineStr">
        <is>
          <t>Metric</t>
        </is>
      </c>
      <c r="D4" s="61" t="inlineStr">
        <is>
          <t>Status</t>
        </is>
      </c>
      <c r="E4" s="61" t="inlineStr">
        <is>
          <t>Interpretation / action</t>
        </is>
      </c>
    </row>
    <row r="5" ht="15" customHeight="1" s="37">
      <c r="B5" s="36" t="inlineStr">
        <is>
          <t>Revenue identity residual</t>
        </is>
      </c>
      <c r="C5" s="73">
        <f>'Unit Economics'!C14-'Unit Economics'!C5*'Unit Economics'!C6</f>
        <v/>
      </c>
      <c r="D5" s="73">
        <f>IF(ABS(C5)&lt;0.01,"PASS","FAIL")</f>
        <v/>
      </c>
      <c r="E5" s="36" t="inlineStr">
        <is>
          <t>Revenue must equal TPV multiplied by take rate.</t>
        </is>
      </c>
    </row>
    <row r="6" ht="15" customHeight="1" s="37">
      <c r="B6" s="36" t="inlineStr">
        <is>
          <t>Processing-cost residual</t>
        </is>
      </c>
      <c r="C6" s="73">
        <f>'Unit Economics'!C15-'Unit Economics'!C5*'Unit Economics'!C7</f>
        <v/>
      </c>
      <c r="D6" s="73">
        <f>IF(ABS(C6)&lt;0.01,"PASS","FAIL")</f>
        <v/>
      </c>
      <c r="E6" s="36" t="inlineStr">
        <is>
          <t>Network and processing costs must reconcile to volume and rate.</t>
        </is>
      </c>
    </row>
    <row r="7" ht="15" customHeight="1" s="37">
      <c r="B7" s="36" t="inlineStr">
        <is>
          <t>Fraud-loss residual</t>
        </is>
      </c>
      <c r="C7" s="73">
        <f>'Fraud &amp; Risk'!C12-'Fraud &amp; Risk'!C5*'Fraud &amp; Risk'!C6/10000</f>
        <v/>
      </c>
      <c r="D7" s="73">
        <f>IF(ABS(C7)&lt;0.01,"PASS","FAIL")</f>
        <v/>
      </c>
      <c r="E7" s="36" t="inlineStr">
        <is>
          <t>Fraud loss must reconcile from TPV and the bps convention.</t>
        </is>
      </c>
    </row>
    <row r="8" ht="15" customHeight="1" s="37">
      <c r="B8" s="36" t="inlineStr">
        <is>
          <t>LTV / CAC</t>
        </is>
      </c>
      <c r="C8" s="73">
        <f>'Unit Economics'!C19</f>
        <v/>
      </c>
      <c r="D8" s="73">
        <f>IF(C8&gt;=3,"PASS",IF(C8&gt;=1,"REVIEW","BREACH"))</f>
        <v/>
      </c>
      <c r="E8" s="36" t="inlineStr">
        <is>
          <t>Low unit economics require pricing, retention, channel, or cost remediation.</t>
        </is>
      </c>
    </row>
    <row r="9" ht="15" customHeight="1" s="37">
      <c r="B9" s="36" t="inlineStr">
        <is>
          <t>Contribution after risk losses</t>
        </is>
      </c>
      <c r="C9" s="73">
        <f>'Unit Economics'!C16-'Fraud &amp; Risk'!C14</f>
        <v/>
      </c>
      <c r="D9" s="73">
        <f>IF(C9&gt;=0,"PASS","BREACH")</f>
        <v/>
      </c>
      <c r="E9" s="36" t="inlineStr">
        <is>
          <t>Volume growth is not valuable when processing, fraud, chargeback, and credit losses consume net revenue.</t>
        </is>
      </c>
    </row>
    <row r="10" ht="15" customHeight="1" s="37">
      <c r="B10" s="36" t="inlineStr">
        <is>
          <t>Maximum retention increase</t>
        </is>
      </c>
      <c r="C10" s="73">
        <f>MAX('Cohort Retention'!D9-'Cohort Retention'!C9,'Cohort Retention'!E9-'Cohort Retention'!D9,'Cohort Retention'!F9-'Cohort Retention'!E9,'Cohort Retention'!G9-'Cohort Retention'!F9,'Cohort Retention'!H9-'Cohort Retention'!G9,'Cohort Retention'!I9-'Cohort Retention'!H9,'Cohort Retention'!J9-'Cohort Retention'!I9)</f>
        <v/>
      </c>
      <c r="D10" s="73">
        <f>IF(C10&lt;=0.000001,"PASS","REVIEW")</f>
        <v/>
      </c>
      <c r="E10" s="36" t="inlineStr">
        <is>
          <t>Retention should not improve with age without an explicit reactivation or cohort-definition explanation.</t>
        </is>
      </c>
    </row>
    <row r="11" ht="15" customHeight="1" s="37">
      <c r="B11" s="36" t="inlineStr">
        <is>
          <t>Fraud threshold</t>
        </is>
      </c>
      <c r="C11" s="63">
        <f>'Fraud &amp; Risk'!C6</f>
        <v/>
      </c>
      <c r="D11" s="73">
        <f>IF(C11&lt;='Fraud &amp; Risk'!C10,"PASS","BREACH")</f>
        <v/>
      </c>
      <c r="E11" s="36" t="inlineStr">
        <is>
          <t>Escalate fraud losses above the approved product threshold.</t>
        </is>
      </c>
    </row>
    <row r="12" ht="15" customHeight="1" s="37">
      <c r="B12" s="36" t="inlineStr">
        <is>
          <t>Downside capital coverage</t>
        </is>
      </c>
      <c r="C12" s="72">
        <f>'Capital &amp; Liquidity'!D14</f>
        <v/>
      </c>
      <c r="D12" s="73">
        <f>IF(C12&gt;='Capital &amp; Liquidity'!D10,"PASS","BREACH")</f>
        <v/>
      </c>
      <c r="E12" s="36" t="inlineStr">
        <is>
          <t>Capital must remain above the approved requirement in downside conditions.</t>
        </is>
      </c>
    </row>
    <row r="13" ht="15" customHeight="1" s="37">
      <c r="B13" s="36" t="inlineStr">
        <is>
          <t>Downside liquidity coverage</t>
        </is>
      </c>
      <c r="C13" s="72">
        <f>'Capital &amp; Liquidity'!D15</f>
        <v/>
      </c>
      <c r="D13" s="73">
        <f>IF(C13&gt;='Capital &amp; Liquidity'!D11,"PASS","BREACH")</f>
        <v/>
      </c>
      <c r="E13" s="36" t="inlineStr">
        <is>
          <t>Restricted customer funds may not be counted as corporate liquidity.</t>
        </is>
      </c>
    </row>
    <row r="14" ht="15" customHeight="1" s="37">
      <c r="B14" s="36" t="inlineStr">
        <is>
          <t>Transaction failure rate</t>
        </is>
      </c>
      <c r="C14" s="66">
        <f>'Network &amp; Cohorts'!E20</f>
        <v/>
      </c>
      <c r="D14" s="73">
        <f>IF(C14&lt;=0.02,"PASS",IF(C14&lt;=0.05,"REVIEW","BREACH"))</f>
        <v/>
      </c>
      <c r="E14" s="36" t="inlineStr">
        <is>
          <t>Operational failure degrades retention, unit economics, and network trust.</t>
        </is>
      </c>
    </row>
    <row r="16" ht="15" customHeight="1" s="37">
      <c r="B16" s="39" t="inlineStr">
        <is>
          <t>Overall model status</t>
        </is>
      </c>
      <c r="C16" s="69">
        <f>IF(COUNTIF(D5:D14,"FAIL")+COUNTIF(D5:D14,"BREACH")&gt;0,"BREACH",IF(COUNTIF(D5:D14,"REVIEW")&gt;0,"REVIEW","PASS"))</f>
        <v/>
      </c>
    </row>
    <row r="18" ht="15" customHeight="1" s="37">
      <c r="B18" s="51" t="inlineStr">
        <is>
          <t>Primary decision outputs</t>
        </is>
      </c>
    </row>
    <row r="19" ht="15" customHeight="1" s="37">
      <c r="B19" s="36" t="inlineStr">
        <is>
          <t>TPV</t>
        </is>
      </c>
      <c r="C19" s="52">
        <f>'Unit Economics'!C5</f>
        <v/>
      </c>
    </row>
    <row r="20" ht="15" customHeight="1" s="37">
      <c r="B20" s="36" t="inlineStr">
        <is>
          <t>Net revenue after processing</t>
        </is>
      </c>
      <c r="C20" s="52">
        <f>'Unit Economics'!C16</f>
        <v/>
      </c>
    </row>
    <row r="21" ht="15" customHeight="1" s="37">
      <c r="B21" s="36" t="inlineStr">
        <is>
          <t>LTV</t>
        </is>
      </c>
      <c r="C21" s="52">
        <f>'Unit Economics'!C18</f>
        <v/>
      </c>
    </row>
    <row r="22" ht="15" customHeight="1" s="37">
      <c r="B22" s="36" t="inlineStr">
        <is>
          <t>LTV / CAC</t>
        </is>
      </c>
      <c r="C22" s="72">
        <f>'Unit Economics'!C19</f>
        <v/>
      </c>
    </row>
    <row r="23" ht="15" customHeight="1" s="37">
      <c r="B23" s="36" t="inlineStr">
        <is>
          <t>Total risk-related loss</t>
        </is>
      </c>
      <c r="C23" s="52">
        <f>'Fraud &amp; Risk'!C14</f>
        <v/>
      </c>
    </row>
    <row r="24" ht="15" customHeight="1" s="37">
      <c r="B24" s="36" t="inlineStr">
        <is>
          <t>Ending active users</t>
        </is>
      </c>
      <c r="C24" s="63">
        <f>'Network &amp; Cohorts'!E16</f>
        <v/>
      </c>
    </row>
    <row r="25" ht="15" customHeight="1" s="37">
      <c r="B25" s="36" t="inlineStr">
        <is>
          <t>Base capital coverage</t>
        </is>
      </c>
      <c r="C25" s="72">
        <f>'Capital &amp; Liquidity'!C14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6" min="1" max="1"/>
    <col width="14" customWidth="1" style="36" min="2" max="2"/>
    <col width="16" customWidth="1" style="36" min="3" max="3"/>
    <col width="30" customWidth="1" style="36" min="4" max="5"/>
    <col width="16" customWidth="1" style="36" min="6" max="6"/>
  </cols>
  <sheetData>
    <row r="2" ht="19.7" customHeight="1" s="37">
      <c r="B2" s="38" t="inlineStr">
        <is>
          <t>Refresh Log</t>
        </is>
      </c>
    </row>
    <row r="4" ht="15" customHeight="1" s="37">
      <c r="B4" s="61" t="inlineStr">
        <is>
          <t>Date</t>
        </is>
      </c>
      <c r="C4" s="61" t="inlineStr">
        <is>
          <t>Trigger</t>
        </is>
      </c>
      <c r="D4" s="61" t="inlineStr">
        <is>
          <t>What changed</t>
        </is>
      </c>
      <c r="E4" s="61" t="inlineStr">
        <is>
          <t>Reviewer notes</t>
        </is>
      </c>
      <c r="F4" s="61" t="inlineStr">
        <is>
          <t>Next check</t>
        </is>
      </c>
    </row>
    <row r="5" ht="15" customHeight="1" s="37">
      <c r="B5" s="73" t="inlineStr">
        <is>
          <t>2026-08-04</t>
        </is>
      </c>
      <c r="C5" s="73" t="inlineStr">
        <is>
          <t>External historical evidence materialization</t>
        </is>
      </c>
      <c r="D5" s="73" t="inlineStr">
        <is>
          <t>Generated public case fintech-public-fis-worldpay-2023-stress from canonical release template</t>
        </is>
      </c>
      <c r="E5" s="73" t="inlineStr">
        <is>
          <t>External historical case; human stakeholder approval remains pending</t>
        </is>
      </c>
      <c r="F5" s="73" t="inlineStr">
        <is>
          <t>On source revision, builder change, monitoring breach, or annual review</t>
        </is>
      </c>
    </row>
    <row r="6" ht="15" customHeight="1" s="37">
      <c r="B6" s="73" t="n"/>
      <c r="C6" s="73" t="n"/>
      <c r="D6" s="73" t="n"/>
      <c r="E6" s="73" t="n"/>
      <c r="F6" s="73" t="n"/>
    </row>
    <row r="7" ht="15" customHeight="1" s="37">
      <c r="B7" s="73" t="n"/>
      <c r="C7" s="73" t="n"/>
      <c r="D7" s="73" t="n"/>
      <c r="E7" s="73" t="n"/>
      <c r="F7" s="73" t="n"/>
    </row>
    <row r="8" ht="15" customHeight="1" s="37">
      <c r="B8" s="73" t="n"/>
      <c r="C8" s="73" t="n"/>
      <c r="D8" s="73" t="n"/>
      <c r="E8" s="73" t="n"/>
      <c r="F8" s="73" t="n"/>
    </row>
    <row r="9" ht="15" customHeight="1" s="37">
      <c r="B9" s="73" t="n"/>
      <c r="C9" s="73" t="n"/>
      <c r="D9" s="73" t="n"/>
      <c r="E9" s="73" t="n"/>
      <c r="F9" s="73" t="n"/>
    </row>
    <row r="10" ht="15" customHeight="1" s="37">
      <c r="B10" s="73" t="n"/>
      <c r="C10" s="73" t="n"/>
      <c r="D10" s="73" t="n"/>
      <c r="E10" s="73" t="n"/>
      <c r="F10" s="73" t="n"/>
    </row>
    <row r="11" ht="15" customHeight="1" s="37">
      <c r="B11" s="73" t="n"/>
      <c r="C11" s="73" t="n"/>
      <c r="D11" s="73" t="n"/>
      <c r="E11" s="73" t="n"/>
      <c r="F11" s="73" t="n"/>
    </row>
    <row r="12" ht="15" customHeight="1" s="37">
      <c r="B12" s="73" t="n"/>
      <c r="C12" s="73" t="n"/>
      <c r="D12" s="73" t="n"/>
      <c r="E12" s="73" t="n"/>
      <c r="F12" s="73" t="n"/>
    </row>
    <row r="13" ht="15" customHeight="1" s="37">
      <c r="B13" s="73" t="n"/>
      <c r="C13" s="73" t="n"/>
      <c r="D13" s="73" t="n"/>
      <c r="E13" s="73" t="n"/>
      <c r="F13" s="73" t="n"/>
    </row>
    <row r="14" ht="15" customHeight="1" s="37">
      <c r="B14" s="73" t="n"/>
      <c r="C14" s="73" t="n"/>
      <c r="D14" s="73" t="n"/>
      <c r="E14" s="73" t="n"/>
      <c r="F14" s="7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2026-08-04T15:32:30Z</dcterms:created>
  <dcterms:modified xmlns:dcterms="http://purl.org/dc/terms/" xmlns:xsi="http://www.w3.org/2001/XMLSchema-instance" xsi:type="dcterms:W3CDTF">2026-08-04T18:30:41Z</dcterms:modified>
  <cp:revision>0</cp:revision>
</cp:coreProperties>
</file>