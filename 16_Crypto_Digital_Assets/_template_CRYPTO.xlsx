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Tokenomics" sheetId="5" state="visible" r:id="rId5"/>
    <sheet name="Valuation" sheetId="6" state="visible" r:id="rId6"/>
    <sheet name="Staking Yield" sheetId="7" state="visible" r:id="rId7"/>
    <sheet name="Comparable Protocols" sheetId="8" state="visible" r:id="rId8"/>
    <sheet name="Supply Emission Schedule" sheetId="9" state="visible" r:id="rId9"/>
    <sheet name="RefreshLog" sheetId="10" state="visible" r:id="rId10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5">
    <numFmt numFmtId="164" formatCode="#,##0;\(#,##0\);\-"/>
    <numFmt numFmtId="165" formatCode="0.0%;\(0.0%\);\-"/>
    <numFmt numFmtId="166" formatCode="\$#,##0.00;&quot;($&quot;#,##0.00\);\-"/>
    <numFmt numFmtId="167" formatCode="\$#,##0;&quot;($&quot;#,##0\);\-"/>
    <numFmt numFmtId="168" formatCode="0.0\x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808080"/>
      <sz val="8"/>
    </font>
    <font>
      <name val="Arial"/>
      <charset val="1"/>
      <family val="0"/>
      <color rgb="FF008000"/>
      <sz val="10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4" fontId="6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1" applyAlignment="1" pivotButton="0" quotePrefix="0" xfId="0">
      <alignment horizontal="general" vertical="bottom"/>
    </xf>
    <xf numFmtId="168" fontId="0" fillId="0" borderId="1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7" fontId="1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1" fillId="5" borderId="0" pivotButton="0" quotePrefix="0" xfId="0"/>
    <xf numFmtId="0" fontId="12" fillId="0" borderId="0" pivotButton="0" quotePrefix="0" xfId="0"/>
    <xf numFmtId="0" fontId="0" fillId="0" borderId="0" applyAlignment="1" pivotButton="0" quotePrefix="0" xfId="0">
      <alignment wrapText="1"/>
    </xf>
    <xf numFmtId="0" fontId="13" fillId="5" borderId="0" pivotButton="0" quotePrefix="0" xfId="0"/>
    <xf numFmtId="0" fontId="12" fillId="6" borderId="2" applyAlignment="1" pivotButton="0" quotePrefix="0" xfId="0">
      <alignment wrapText="1"/>
    </xf>
    <xf numFmtId="0" fontId="7" fillId="2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4" fontId="6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1" applyAlignment="1" pivotButton="0" quotePrefix="0" xfId="0">
      <alignment horizontal="general" vertical="bottom"/>
    </xf>
    <xf numFmtId="168" fontId="0" fillId="0" borderId="1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7" fontId="1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30" customWidth="1" style="28" min="2" max="2"/>
    <col width="40" customWidth="1" style="28" min="3" max="3"/>
    <col width="4" customWidth="1" style="28" min="4" max="4"/>
  </cols>
  <sheetData>
    <row r="2" ht="19.7" customHeight="1" s="29">
      <c r="B2" s="30" t="inlineStr">
        <is>
          <t>[TOKEN] — Crypto / Digital Asset Model</t>
        </is>
      </c>
    </row>
    <row r="4" ht="15" customHeight="1" s="29">
      <c r="B4" s="31" t="inlineStr">
        <is>
          <t>Protocol:</t>
        </is>
      </c>
      <c r="C4" s="32" t="inlineStr">
        <is>
          <t>[fill in]</t>
        </is>
      </c>
    </row>
    <row r="5" ht="15" customHeight="1" s="29">
      <c r="B5" s="31" t="inlineStr">
        <is>
          <t>Chain / L1-L2:</t>
        </is>
      </c>
      <c r="C5" s="32" t="inlineStr">
        <is>
          <t>[fill in]</t>
        </is>
      </c>
    </row>
    <row r="6" ht="15" customHeight="1" s="29">
      <c r="B6" s="31" t="inlineStr">
        <is>
          <t>Last refreshed:</t>
        </is>
      </c>
      <c r="C6" s="32" t="inlineStr">
        <is>
          <t>[date]</t>
        </is>
      </c>
    </row>
    <row r="7" ht="15" customHeight="1" s="29">
      <c r="B7" s="31" t="inlineStr">
        <is>
          <t>Next unlock/emission event:</t>
        </is>
      </c>
      <c r="C7" s="32" t="inlineStr">
        <is>
          <t>[date]</t>
        </is>
      </c>
    </row>
    <row r="8" ht="15" customHeight="1" s="29">
      <c r="B8" s="31" t="inlineStr">
        <is>
          <t>Refresh cadence:</t>
        </is>
      </c>
      <c r="C8" s="32" t="inlineStr">
        <is>
          <t>Weekly (daily around unlocks)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29" min="2" max="2"/>
    <col width="48" customWidth="1" style="29" min="3" max="3"/>
    <col width="24" customWidth="1" style="29" min="4" max="4"/>
    <col width="34" customWidth="1" style="29" min="5" max="5"/>
    <col width="20" customWidth="1" style="29" min="6" max="6"/>
  </cols>
  <sheetData>
    <row r="2">
      <c r="B2" s="33" t="inlineStr">
        <is>
          <t>Crypto &amp; Digital Assets — Institutional Decision Surface</t>
        </is>
      </c>
    </row>
    <row r="4">
      <c r="B4" s="34" t="inlineStr">
        <is>
          <t>Model ID</t>
        </is>
      </c>
      <c r="C4" s="35" t="inlineStr">
        <is>
          <t>16</t>
        </is>
      </c>
    </row>
    <row r="5">
      <c r="B5" s="34" t="inlineStr">
        <is>
          <t>Domain</t>
        </is>
      </c>
      <c r="C5" s="35" t="inlineStr">
        <is>
          <t>Crypto &amp; Digital Assets</t>
        </is>
      </c>
    </row>
    <row r="6">
      <c r="B6" s="34" t="inlineStr">
        <is>
          <t>Declared maturity</t>
        </is>
      </c>
      <c r="C6" s="35" t="inlineStr">
        <is>
          <t>M1</t>
        </is>
      </c>
    </row>
    <row r="7">
      <c r="B7" s="34" t="inlineStr">
        <is>
          <t>Canonical builder</t>
        </is>
      </c>
      <c r="C7" s="35" t="inlineStr">
        <is>
          <t>tools/builders/build_crypto_template.py</t>
        </is>
      </c>
    </row>
    <row r="8">
      <c r="B8" s="34" t="inlineStr">
        <is>
          <t>Decision arena</t>
        </is>
      </c>
      <c r="C8" s="35" t="inlineStr">
        <is>
          <t>protocol treasury, investment committee, market making, risk and custody</t>
        </is>
      </c>
    </row>
    <row r="9">
      <c r="B9" s="34" t="inlineStr">
        <is>
          <t>Committee artifact</t>
        </is>
      </c>
      <c r="C9" s="35" t="inlineStr">
        <is>
          <t>token economics and treasury risk pack</t>
        </is>
      </c>
    </row>
    <row r="10">
      <c r="B10" s="34" t="inlineStr">
        <is>
          <t>Operating cadence</t>
        </is>
      </c>
      <c r="C10" s="35" t="inlineStr">
        <is>
          <t>intraday liquidity; daily treasury; governance-event driven</t>
        </is>
      </c>
    </row>
    <row r="12">
      <c r="B12" s="36" t="inlineStr">
        <is>
          <t>Key decision outputs</t>
        </is>
      </c>
    </row>
    <row r="13">
      <c r="B13" s="37" t="inlineStr">
        <is>
          <t>#</t>
        </is>
      </c>
      <c r="C13" s="37" t="inlineStr">
        <is>
          <t>Requirement</t>
        </is>
      </c>
      <c r="D13" s="37" t="inlineStr">
        <is>
          <t>Owner</t>
        </is>
      </c>
      <c r="E13" s="37" t="inlineStr">
        <is>
          <t>Evidence / location</t>
        </is>
      </c>
      <c r="F13" s="37" t="inlineStr">
        <is>
          <t>Status</t>
        </is>
      </c>
    </row>
    <row r="14">
      <c r="B14" t="n">
        <v>1</v>
      </c>
      <c r="C14" t="inlineStr">
        <is>
          <t>circulating and fully diluted supply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unlock and sell-pressure schedule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staking yield net of dilution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36" t="inlineStr">
        <is>
          <t>Insider questions</t>
        </is>
      </c>
    </row>
    <row r="21">
      <c r="B21" s="37" t="inlineStr">
        <is>
          <t>#</t>
        </is>
      </c>
      <c r="C21" s="37" t="inlineStr">
        <is>
          <t>Requirement</t>
        </is>
      </c>
      <c r="D21" s="37" t="inlineStr">
        <is>
          <t>Owner</t>
        </is>
      </c>
      <c r="E21" s="37" t="inlineStr">
        <is>
          <t>Evidence / location</t>
        </is>
      </c>
      <c r="F21" s="37" t="inlineStr">
        <is>
          <t>Status</t>
        </is>
      </c>
    </row>
    <row r="22">
      <c r="B22" t="n">
        <v>1</v>
      </c>
      <c r="C22" t="inlineStr">
        <is>
          <t>Who can actually sell at each unlock?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What yield remains after dilution?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Which wallets and bridges are critical dependencies?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36" t="inlineStr">
        <is>
          <t>Scenario families</t>
        </is>
      </c>
    </row>
    <row r="29">
      <c r="B29" s="37" t="inlineStr">
        <is>
          <t>#</t>
        </is>
      </c>
      <c r="C29" s="37" t="inlineStr">
        <is>
          <t>Requirement</t>
        </is>
      </c>
      <c r="D29" s="37" t="inlineStr">
        <is>
          <t>Owner</t>
        </is>
      </c>
      <c r="E29" s="37" t="inlineStr">
        <is>
          <t>Evidence / location</t>
        </is>
      </c>
      <c r="F29" s="37" t="inlineStr">
        <is>
          <t>Status</t>
        </is>
      </c>
    </row>
    <row r="30">
      <c r="B30" t="n">
        <v>1</v>
      </c>
      <c r="C30" t="inlineStr">
        <is>
          <t>unlock cliff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validator / staking shock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depeg or bridge failure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36" t="inlineStr">
        <is>
          <t>Primary diligence documents</t>
        </is>
      </c>
    </row>
    <row r="37">
      <c r="B37" s="37" t="inlineStr">
        <is>
          <t>#</t>
        </is>
      </c>
      <c r="C37" s="37" t="inlineStr">
        <is>
          <t>Requirement</t>
        </is>
      </c>
      <c r="D37" s="37" t="inlineStr">
        <is>
          <t>Owner</t>
        </is>
      </c>
      <c r="E37" s="37" t="inlineStr">
        <is>
          <t>Evidence / location</t>
        </is>
      </c>
      <c r="F37" s="37" t="inlineStr">
        <is>
          <t>Status</t>
        </is>
      </c>
    </row>
    <row r="38">
      <c r="B38" t="n">
        <v>1</v>
      </c>
      <c r="C38" t="inlineStr">
        <is>
          <t>token allocation and vesting contracts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governance proposals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custody and staking agreements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36" t="inlineStr">
        <is>
          <t>Challenge tests</t>
        </is>
      </c>
    </row>
    <row r="45">
      <c r="B45" s="37" t="inlineStr">
        <is>
          <t>#</t>
        </is>
      </c>
      <c r="C45" s="37" t="inlineStr">
        <is>
          <t>Requirement</t>
        </is>
      </c>
      <c r="D45" s="37" t="inlineStr">
        <is>
          <t>Owner</t>
        </is>
      </c>
      <c r="E45" s="37" t="inlineStr">
        <is>
          <t>Evidence / location</t>
        </is>
      </c>
      <c r="F45" s="37" t="inlineStr">
        <is>
          <t>Status</t>
        </is>
      </c>
    </row>
    <row r="46">
      <c r="B46" t="n">
        <v>1</v>
      </c>
      <c r="C46" t="inlineStr">
        <is>
          <t>supply roll-forward conserves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staking yield separates real yield and dilution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treasury wallets reconcile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36" t="inlineStr">
        <is>
          <t>Known failure modes</t>
        </is>
      </c>
    </row>
    <row r="53">
      <c r="B53" s="37" t="inlineStr">
        <is>
          <t>#</t>
        </is>
      </c>
      <c r="C53" s="37" t="inlineStr">
        <is>
          <t>Requirement</t>
        </is>
      </c>
      <c r="D53" s="37" t="inlineStr">
        <is>
          <t>Owner</t>
        </is>
      </c>
      <c r="E53" s="37" t="inlineStr">
        <is>
          <t>Evidence / location</t>
        </is>
      </c>
      <c r="F53" s="37" t="inlineStr">
        <is>
          <t>Status</t>
        </is>
      </c>
    </row>
    <row r="54">
      <c r="B54" t="n">
        <v>1</v>
      </c>
      <c r="C54" t="inlineStr">
        <is>
          <t>using FDV without float dynamics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counting token incentives as revenue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ignoring validator concentration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36" t="inlineStr">
        <is>
          <t>Regulatory / methodological anchors</t>
        </is>
      </c>
    </row>
    <row r="61">
      <c r="B61" s="37" t="inlineStr">
        <is>
          <t>Standard</t>
        </is>
      </c>
      <c r="C61" s="37" t="inlineStr">
        <is>
          <t>Scope</t>
        </is>
      </c>
      <c r="D61" s="37" t="inlineStr">
        <is>
          <t>Source URL</t>
        </is>
      </c>
      <c r="E61" s="37" t="inlineStr">
        <is>
          <t>Applicability</t>
        </is>
      </c>
      <c r="F61" s="37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SEC SAB 122</t>
        </is>
      </c>
      <c r="C63" t="inlineStr">
        <is>
          <t>crypto safeguarding accounting</t>
        </is>
      </c>
      <c r="D63" t="inlineStr">
        <is>
          <t>https://www.sec.gov/rules-regulations/staff-guidance/staff-accounting-bulletins/staff-accounting-bulletin-122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29" min="2" max="2"/>
    <col width="22" customWidth="1" style="29" min="3" max="3"/>
    <col width="52" customWidth="1" style="29" min="4" max="4"/>
    <col width="46" customWidth="1" style="29" min="5" max="5"/>
    <col width="36" customWidth="1" style="29" min="6" max="6"/>
    <col width="14" customWidth="1" style="29" min="7" max="7"/>
    <col width="18" customWidth="1" style="29" min="8" max="8"/>
    <col width="14" customWidth="1" style="29" min="9" max="9"/>
  </cols>
  <sheetData>
    <row r="2">
      <c r="B2" s="33" t="inlineStr">
        <is>
          <t>Independent Challenge, Override and Closure Log</t>
        </is>
      </c>
    </row>
    <row r="4">
      <c r="B4" s="37" t="inlineStr">
        <is>
          <t>Date</t>
        </is>
      </c>
      <c r="C4" s="37" t="inlineStr">
        <is>
          <t>Reviewer</t>
        </is>
      </c>
      <c r="D4" s="37" t="inlineStr">
        <is>
          <t>Challenge</t>
        </is>
      </c>
      <c r="E4" s="37" t="inlineStr">
        <is>
          <t>Owner response</t>
        </is>
      </c>
      <c r="F4" s="37" t="inlineStr">
        <is>
          <t>Evidence</t>
        </is>
      </c>
      <c r="G4" s="37" t="inlineStr">
        <is>
          <t>Impact</t>
        </is>
      </c>
      <c r="H4" s="37" t="inlineStr">
        <is>
          <t>Status</t>
        </is>
      </c>
      <c r="I4" s="37" t="inlineStr">
        <is>
          <t>Closure</t>
        </is>
      </c>
    </row>
    <row r="5">
      <c r="B5" t="inlineStr"/>
      <c r="C5" t="inlineStr"/>
      <c r="D5" t="inlineStr">
        <is>
          <t>supply roll-forward conserves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staking yield separates real yield and dilution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treasury wallets reconcile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style="29" min="2" max="2"/>
    <col width="18" customWidth="1" style="29" min="3" max="3"/>
    <col width="42" customWidth="1" style="29" min="4" max="4"/>
    <col width="24" customWidth="1" style="29" min="5" max="5"/>
    <col width="18" customWidth="1" style="29" min="6" max="6"/>
    <col width="22" customWidth="1" style="29" min="7" max="7"/>
    <col width="42" customWidth="1" style="29" min="8" max="8"/>
    <col width="30" customWidth="1" style="29" min="9" max="9"/>
    <col width="15" customWidth="1" style="29" min="10" max="10"/>
  </cols>
  <sheetData>
    <row r="2">
      <c r="B2" s="33" t="inlineStr">
        <is>
          <t>Source, Transformation, Ownership and Refresh Map</t>
        </is>
      </c>
    </row>
    <row r="4">
      <c r="B4" s="37" t="inlineStr">
        <is>
          <t>Source class</t>
        </is>
      </c>
      <c r="C4" s="37" t="inlineStr">
        <is>
          <t>Cadence</t>
        </is>
      </c>
      <c r="D4" s="37" t="inlineStr">
        <is>
          <t>Control</t>
        </is>
      </c>
      <c r="E4" s="37" t="inlineStr">
        <is>
          <t>System / provider</t>
        </is>
      </c>
      <c r="F4" s="37" t="inlineStr">
        <is>
          <t>As-of</t>
        </is>
      </c>
      <c r="G4" s="37" t="inlineStr">
        <is>
          <t>Owner</t>
        </is>
      </c>
      <c r="H4" s="37" t="inlineStr">
        <is>
          <t>Transform</t>
        </is>
      </c>
      <c r="I4" s="37" t="inlineStr">
        <is>
          <t>Downstream</t>
        </is>
      </c>
      <c r="J4" s="37" t="inlineStr">
        <is>
          <t>Status</t>
        </is>
      </c>
    </row>
    <row r="5">
      <c r="B5" t="inlineStr">
        <is>
          <t>on-chain supply</t>
        </is>
      </c>
      <c r="C5" t="inlineStr">
        <is>
          <t>block/daily</t>
        </is>
      </c>
      <c r="D5" t="inlineStr">
        <is>
          <t>contract and address provenance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exchange liquidity</t>
        </is>
      </c>
      <c r="C6" t="inlineStr">
        <is>
          <t>intraday/daily</t>
        </is>
      </c>
      <c r="D6" t="inlineStr">
        <is>
          <t>venue and pair normalization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2:F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26" customWidth="1" style="28" min="2" max="2"/>
    <col width="14" customWidth="1" style="28" min="3" max="5"/>
    <col width="30" customWidth="1" style="28" min="6" max="6"/>
  </cols>
  <sheetData>
    <row r="2" ht="19.7" customHeight="1" s="29">
      <c r="B2" s="30" t="inlineStr">
        <is>
          <t>Tokenomics — Supply Schedule</t>
        </is>
      </c>
    </row>
    <row r="4" ht="15" customHeight="1" s="29">
      <c r="A4" s="38" t="n"/>
      <c r="B4" s="38" t="inlineStr">
        <is>
          <t>Allocation</t>
        </is>
      </c>
      <c r="C4" s="38" t="inlineStr">
        <is>
          <t>Tokens</t>
        </is>
      </c>
      <c r="D4" s="28" t="inlineStr">
        <is>
          <t>% of max supply</t>
        </is>
      </c>
      <c r="E4" s="28" t="inlineStr">
        <is>
          <t>Unlock start</t>
        </is>
      </c>
      <c r="F4" s="28" t="inlineStr">
        <is>
          <t>Vesting notes</t>
        </is>
      </c>
    </row>
    <row r="5" ht="15" customHeight="1" s="29">
      <c r="B5" s="39" t="inlineStr">
        <is>
          <t>Public / community</t>
        </is>
      </c>
      <c r="C5" s="40" t="n">
        <v>0</v>
      </c>
      <c r="D5" s="41">
        <f>IFERROR(C5/$C$10,"-")</f>
        <v/>
      </c>
      <c r="E5" s="32" t="inlineStr">
        <is>
          <t>[date]</t>
        </is>
      </c>
      <c r="F5" s="42" t="inlineStr">
        <is>
          <t>[cliff / linear vesting terms]</t>
        </is>
      </c>
    </row>
    <row r="6" ht="15" customHeight="1" s="29">
      <c r="B6" s="39" t="inlineStr">
        <is>
          <t>Team &amp; advisors</t>
        </is>
      </c>
      <c r="C6" s="40" t="n">
        <v>0</v>
      </c>
      <c r="D6" s="41">
        <f>IFERROR(C6/$C$10,"-")</f>
        <v/>
      </c>
      <c r="E6" s="32" t="inlineStr">
        <is>
          <t>[date]</t>
        </is>
      </c>
      <c r="F6" s="42" t="inlineStr">
        <is>
          <t>[cliff / linear vesting terms]</t>
        </is>
      </c>
    </row>
    <row r="7" ht="15" customHeight="1" s="29">
      <c r="B7" s="39" t="inlineStr">
        <is>
          <t>Investors (seed/private)</t>
        </is>
      </c>
      <c r="C7" s="40" t="n">
        <v>0</v>
      </c>
      <c r="D7" s="41">
        <f>IFERROR(C7/$C$10,"-")</f>
        <v/>
      </c>
      <c r="E7" s="32" t="inlineStr">
        <is>
          <t>[date]</t>
        </is>
      </c>
      <c r="F7" s="42" t="inlineStr">
        <is>
          <t>[cliff / linear vesting terms]</t>
        </is>
      </c>
    </row>
    <row r="8" ht="15" customHeight="1" s="29">
      <c r="B8" s="39" t="inlineStr">
        <is>
          <t>Treasury / foundation</t>
        </is>
      </c>
      <c r="C8" s="40" t="n">
        <v>0</v>
      </c>
      <c r="D8" s="41">
        <f>IFERROR(C8/$C$10,"-")</f>
        <v/>
      </c>
      <c r="E8" s="32" t="inlineStr">
        <is>
          <t>[date]</t>
        </is>
      </c>
      <c r="F8" s="42" t="inlineStr">
        <is>
          <t>[cliff / linear vesting terms]</t>
        </is>
      </c>
    </row>
    <row r="9" ht="15" customHeight="1" s="29">
      <c r="B9" s="39" t="inlineStr">
        <is>
          <t>Ecosystem incentives / staking rewards</t>
        </is>
      </c>
      <c r="C9" s="40" t="n">
        <v>0</v>
      </c>
      <c r="D9" s="41">
        <f>IFERROR(C9/$C$10,"-")</f>
        <v/>
      </c>
      <c r="E9" s="32" t="inlineStr">
        <is>
          <t>[date]</t>
        </is>
      </c>
      <c r="F9" s="42" t="inlineStr">
        <is>
          <t>[cliff / linear vesting terms]</t>
        </is>
      </c>
    </row>
    <row r="10" ht="15" customHeight="1" s="29">
      <c r="B10" s="31" t="inlineStr">
        <is>
          <t>Max supply</t>
        </is>
      </c>
      <c r="C10" s="43">
        <f>SUM(C5:C9)</f>
        <v/>
      </c>
    </row>
    <row r="12" ht="15" customHeight="1" s="29">
      <c r="B12" s="31" t="inlineStr">
        <is>
          <t>Circulating supply (today)</t>
        </is>
      </c>
      <c r="C12" s="44" t="n">
        <v>0</v>
      </c>
    </row>
    <row r="13" ht="15" customHeight="1" s="29">
      <c r="B13" s="39" t="inlineStr">
        <is>
          <t>Circulating / max supply %</t>
        </is>
      </c>
      <c r="C13" s="41">
        <f>IFERROR(C12/C10,"-")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D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30" customWidth="1" style="28" min="2" max="2"/>
    <col width="16" customWidth="1" style="28" min="3" max="3"/>
    <col width="40" customWidth="1" style="28" min="4" max="4"/>
  </cols>
  <sheetData>
    <row r="2" ht="19.7" customHeight="1" s="29">
      <c r="B2" s="30" t="inlineStr">
        <is>
          <t>On-Chain Valuation Multiples</t>
        </is>
      </c>
    </row>
    <row r="4" ht="15" customHeight="1" s="29">
      <c r="B4" s="45" t="inlineStr">
        <is>
          <t>Inputs</t>
        </is>
      </c>
    </row>
    <row r="5" ht="15" customHeight="1" s="29">
      <c r="B5" s="39" t="inlineStr">
        <is>
          <t>Token price</t>
        </is>
      </c>
      <c r="C5" s="46" t="n">
        <v>0</v>
      </c>
    </row>
    <row r="6" ht="15" customHeight="1" s="29">
      <c r="B6" s="39" t="inlineStr">
        <is>
          <t>Total value locked (TVL, $)</t>
        </is>
      </c>
      <c r="C6" s="47" t="n">
        <v>0</v>
      </c>
    </row>
    <row r="7" ht="15" customHeight="1" s="29">
      <c r="B7" s="39" t="inlineStr">
        <is>
          <t>Annualized protocol revenue/fees ($)</t>
        </is>
      </c>
      <c r="C7" s="47" t="n">
        <v>0</v>
      </c>
    </row>
    <row r="8" ht="15" customHeight="1" s="29">
      <c r="B8" s="39" t="inlineStr">
        <is>
          <t>Daily transaction volume ($, trailing 30d avg)</t>
        </is>
      </c>
      <c r="C8" s="47" t="n">
        <v>0</v>
      </c>
    </row>
    <row r="10" ht="15" customHeight="1" s="29">
      <c r="B10" s="45" t="inlineStr">
        <is>
          <t>Outputs</t>
        </is>
      </c>
    </row>
    <row r="11" ht="15" customHeight="1" s="29">
      <c r="B11" s="28" t="inlineStr">
        <is>
          <t>Market cap (circulating)</t>
        </is>
      </c>
      <c r="C11" s="48">
        <f>C5*Tokenomics!C12</f>
        <v/>
      </c>
    </row>
    <row r="12" ht="15" customHeight="1" s="29">
      <c r="B12" s="28" t="inlineStr">
        <is>
          <t>Fully diluted valuation (FDV)</t>
        </is>
      </c>
      <c r="C12" s="48">
        <f>C5*Tokenomics!C10</f>
        <v/>
      </c>
    </row>
    <row r="13" ht="15" customHeight="1" s="29">
      <c r="B13" s="28" t="inlineStr">
        <is>
          <t>Market cap / TVL</t>
        </is>
      </c>
      <c r="C13" s="49">
        <f>IFERROR(C11/C6,"-")</f>
        <v/>
      </c>
    </row>
    <row r="14" ht="15" customHeight="1" s="29">
      <c r="B14" s="28" t="inlineStr">
        <is>
          <t>FDV / TVL</t>
        </is>
      </c>
      <c r="C14" s="49">
        <f>IFERROR(C12/C6,"-")</f>
        <v/>
      </c>
    </row>
    <row r="15" ht="15" customHeight="1" s="29">
      <c r="B15" s="28" t="inlineStr">
        <is>
          <t>P/S equivalent (Mkt cap / annualized revenue)</t>
        </is>
      </c>
      <c r="C15" s="49">
        <f>IFERROR(C11/C7,"-")</f>
        <v/>
      </c>
    </row>
    <row r="16" ht="15" customHeight="1" s="29">
      <c r="B16" s="28" t="inlineStr">
        <is>
          <t>NVT ratio (Mkt cap / daily volume, annualized)</t>
        </is>
      </c>
      <c r="C16" s="49">
        <f>IFERROR(C11/(C8*365),"-")</f>
        <v/>
      </c>
      <c r="D16" s="42" t="inlineStr">
        <is>
          <t>High NVT = valuation rich relative to network usage (P/E-style read)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30" customWidth="1" style="28" min="2" max="2"/>
    <col width="16" customWidth="1" style="28" min="3" max="3"/>
    <col width="40" customWidth="1" style="28" min="4" max="4"/>
  </cols>
  <sheetData>
    <row r="2" ht="19.7" customHeight="1" s="29">
      <c r="B2" s="30" t="inlineStr">
        <is>
          <t>Staking / Yield Model</t>
        </is>
      </c>
    </row>
    <row r="4" ht="15" customHeight="1" s="29">
      <c r="B4" s="45" t="inlineStr">
        <is>
          <t>Inputs</t>
        </is>
      </c>
    </row>
    <row r="5" ht="15" customHeight="1" s="29">
      <c r="B5" s="39" t="inlineStr">
        <is>
          <t>% of supply staked</t>
        </is>
      </c>
      <c r="C5" s="50" t="n">
        <v>0</v>
      </c>
    </row>
    <row r="6" ht="15" customHeight="1" s="29">
      <c r="B6" s="39" t="inlineStr">
        <is>
          <t>Annual token emissions (new supply, tokens)</t>
        </is>
      </c>
      <c r="C6" s="51" t="n">
        <v>0</v>
      </c>
    </row>
    <row r="7" ht="15" customHeight="1" s="29">
      <c r="B7" s="39" t="inlineStr">
        <is>
          <t>Protocol fee revenue distributed to stakers ($)</t>
        </is>
      </c>
      <c r="C7" s="47" t="n">
        <v>0</v>
      </c>
    </row>
    <row r="8" ht="15" customHeight="1" s="29">
      <c r="B8" s="39" t="inlineStr">
        <is>
          <t>Token price (for $ yield calc)</t>
        </is>
      </c>
      <c r="C8" s="46" t="n">
        <v>0</v>
      </c>
    </row>
    <row r="10" ht="15" customHeight="1" s="29">
      <c r="B10" s="45" t="inlineStr">
        <is>
          <t>Outputs</t>
        </is>
      </c>
    </row>
    <row r="11" ht="15" customHeight="1" s="29">
      <c r="B11" s="28" t="inlineStr">
        <is>
          <t>Tokens staked</t>
        </is>
      </c>
      <c r="C11" s="52">
        <f>C5*Tokenomics!C12</f>
        <v/>
      </c>
    </row>
    <row r="12" ht="15" customHeight="1" s="29">
      <c r="B12" s="28" t="inlineStr">
        <is>
          <t>Inflationary yield (emissions / staked)</t>
        </is>
      </c>
      <c r="C12" s="53">
        <f>IFERROR(C6/C11,"-")</f>
        <v/>
      </c>
    </row>
    <row r="13" ht="15" customHeight="1" s="29">
      <c r="B13" s="28" t="inlineStr">
        <is>
          <t>Real yield (fee revenue / staked value)</t>
        </is>
      </c>
      <c r="C13" s="53">
        <f>IFERROR(C7/(C11*C8),"-")</f>
        <v/>
      </c>
    </row>
    <row r="14" ht="15" customHeight="1" s="29">
      <c r="B14" s="28" t="inlineStr">
        <is>
          <t>Net staking yield (real - inflation dilution)</t>
        </is>
      </c>
      <c r="C14" s="54">
        <f>IFERROR(C13-C12,"-")</f>
        <v/>
      </c>
      <c r="D14" s="42" t="inlineStr">
        <is>
          <t>Negative = staking rewards are pure dilution, not real cash 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2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18" customWidth="1" style="28" min="2" max="2"/>
    <col width="14" customWidth="1" style="28" min="3" max="6"/>
    <col width="12" customWidth="1" style="28" min="7" max="9"/>
  </cols>
  <sheetData>
    <row r="2" ht="19.7" customHeight="1" s="29">
      <c r="B2" s="30" t="inlineStr">
        <is>
          <t>Comparable Protocols</t>
        </is>
      </c>
    </row>
    <row r="4" ht="15" customHeight="1" s="29">
      <c r="A4" s="38" t="n"/>
      <c r="B4" s="38" t="inlineStr">
        <is>
          <t>Protocol</t>
        </is>
      </c>
      <c r="C4" s="38" t="inlineStr">
        <is>
          <t>Mkt cap</t>
        </is>
      </c>
      <c r="D4" s="38" t="inlineStr">
        <is>
          <t>FDV</t>
        </is>
      </c>
      <c r="E4" s="38" t="inlineStr">
        <is>
          <t>TVL</t>
        </is>
      </c>
      <c r="F4" s="38" t="inlineStr">
        <is>
          <t>Daily volume</t>
        </is>
      </c>
      <c r="G4" s="38" t="inlineStr">
        <is>
          <t>Mkt/TVL</t>
        </is>
      </c>
      <c r="H4" s="38" t="inlineStr">
        <is>
          <t>FDV/TVL</t>
        </is>
      </c>
      <c r="I4" s="28" t="inlineStr">
        <is>
          <t>NVT</t>
        </is>
      </c>
    </row>
    <row r="5" ht="15" customHeight="1" s="29">
      <c r="B5" s="31" t="inlineStr">
        <is>
          <t>This protocol</t>
        </is>
      </c>
      <c r="C5" s="55">
        <f>Valuation!C11</f>
        <v/>
      </c>
      <c r="D5" s="55">
        <f>Valuation!C12</f>
        <v/>
      </c>
      <c r="E5" s="55">
        <f>Valuation!C6</f>
        <v/>
      </c>
      <c r="F5" s="55">
        <f>Valuation!C8</f>
        <v/>
      </c>
      <c r="G5" s="49">
        <f>IFERROR(C5/E5,"-")</f>
        <v/>
      </c>
      <c r="H5" s="49">
        <f>IFERROR(D5/E5,"-")</f>
        <v/>
      </c>
      <c r="I5" s="49">
        <f>IFERROR(C5/(F5*365),"-")</f>
        <v/>
      </c>
    </row>
    <row r="6" ht="15" customHeight="1" s="29">
      <c r="B6" s="56" t="inlineStr">
        <is>
          <t>[fill in]</t>
        </is>
      </c>
      <c r="C6" s="57" t="n">
        <v>0</v>
      </c>
      <c r="D6" s="57" t="n">
        <v>0</v>
      </c>
      <c r="E6" s="57" t="n">
        <v>0</v>
      </c>
      <c r="F6" s="57" t="n">
        <v>0</v>
      </c>
      <c r="G6" s="49">
        <f>IFERROR(C6/E6,"-")</f>
        <v/>
      </c>
      <c r="H6" s="49">
        <f>IFERROR(D6/E6,"-")</f>
        <v/>
      </c>
      <c r="I6" s="49">
        <f>IFERROR(C6/(F6*365),"-")</f>
        <v/>
      </c>
    </row>
    <row r="7" ht="15" customHeight="1" s="29">
      <c r="B7" s="56" t="inlineStr">
        <is>
          <t>[fill in]</t>
        </is>
      </c>
      <c r="C7" s="57" t="n">
        <v>0</v>
      </c>
      <c r="D7" s="57" t="n">
        <v>0</v>
      </c>
      <c r="E7" s="57" t="n">
        <v>0</v>
      </c>
      <c r="F7" s="57" t="n">
        <v>0</v>
      </c>
      <c r="G7" s="49">
        <f>IFERROR(C7/E7,"-")</f>
        <v/>
      </c>
      <c r="H7" s="49">
        <f>IFERROR(D7/E7,"-")</f>
        <v/>
      </c>
      <c r="I7" s="49">
        <f>IFERROR(C7/(F7*365),"-")</f>
        <v/>
      </c>
    </row>
    <row r="8" ht="15" customHeight="1" s="29">
      <c r="B8" s="56" t="inlineStr">
        <is>
          <t>[fill in]</t>
        </is>
      </c>
      <c r="C8" s="57" t="n">
        <v>0</v>
      </c>
      <c r="D8" s="57" t="n">
        <v>0</v>
      </c>
      <c r="E8" s="57" t="n">
        <v>0</v>
      </c>
      <c r="F8" s="57" t="n">
        <v>0</v>
      </c>
      <c r="G8" s="49">
        <f>IFERROR(C8/E8,"-")</f>
        <v/>
      </c>
      <c r="H8" s="49">
        <f>IFERROR(D8/E8,"-")</f>
        <v/>
      </c>
      <c r="I8" s="49">
        <f>IFERROR(C8/(F8*365),"-")</f>
        <v/>
      </c>
    </row>
    <row r="9" ht="15" customHeight="1" s="29">
      <c r="B9" s="56" t="inlineStr">
        <is>
          <t>[fill in]</t>
        </is>
      </c>
      <c r="C9" s="57" t="n">
        <v>0</v>
      </c>
      <c r="D9" s="57" t="n">
        <v>0</v>
      </c>
      <c r="E9" s="57" t="n">
        <v>0</v>
      </c>
      <c r="F9" s="57" t="n">
        <v>0</v>
      </c>
      <c r="G9" s="49">
        <f>IFERROR(C9/E9,"-")</f>
        <v/>
      </c>
      <c r="H9" s="49">
        <f>IFERROR(D9/E9,"-")</f>
        <v/>
      </c>
      <c r="I9" s="49">
        <f>IFERROR(C9/(F9*365),"-")</f>
        <v/>
      </c>
    </row>
    <row r="10" ht="15" customHeight="1" s="29">
      <c r="B10" s="56" t="inlineStr">
        <is>
          <t>[fill in]</t>
        </is>
      </c>
      <c r="C10" s="57" t="n">
        <v>0</v>
      </c>
      <c r="D10" s="57" t="n">
        <v>0</v>
      </c>
      <c r="E10" s="57" t="n">
        <v>0</v>
      </c>
      <c r="F10" s="57" t="n">
        <v>0</v>
      </c>
      <c r="G10" s="49">
        <f>IFERROR(C10/E10,"-")</f>
        <v/>
      </c>
      <c r="H10" s="49">
        <f>IFERROR(D10/E10,"-")</f>
        <v/>
      </c>
      <c r="I10" s="49">
        <f>IFERROR(C10/(F10*365),"-")</f>
        <v/>
      </c>
    </row>
    <row r="11" ht="15" customHeight="1" s="29">
      <c r="B11" s="56" t="inlineStr">
        <is>
          <t>[fill in]</t>
        </is>
      </c>
      <c r="C11" s="57" t="n">
        <v>0</v>
      </c>
      <c r="D11" s="57" t="n">
        <v>0</v>
      </c>
      <c r="E11" s="57" t="n">
        <v>0</v>
      </c>
      <c r="F11" s="57" t="n">
        <v>0</v>
      </c>
      <c r="G11" s="49">
        <f>IFERROR(C11/E11,"-")</f>
        <v/>
      </c>
      <c r="H11" s="49">
        <f>IFERROR(D11/E11,"-")</f>
        <v/>
      </c>
      <c r="I11" s="49">
        <f>IFERROR(C11/(F11*365),"-")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G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32" customWidth="1" style="28" min="2" max="2"/>
    <col width="14" customWidth="1" style="28" min="3" max="7"/>
    <col width="40" customWidth="1" style="28" min="8" max="8"/>
  </cols>
  <sheetData>
    <row r="2" ht="19.7" customHeight="1" s="29">
      <c r="B2" s="30" t="inlineStr">
        <is>
          <t>Forward Supply Emission &amp; Dilution</t>
        </is>
      </c>
    </row>
    <row r="4" ht="15" customHeight="1" s="29">
      <c r="B4" s="28" t="inlineStr">
        <is>
          <t>Annual emission rate (% of max supply issued/yr)</t>
        </is>
      </c>
      <c r="C4" s="50" t="n">
        <v>0.05</v>
      </c>
      <c r="D4" s="42" t="inlineStr">
        <is>
          <t>Simplified: assumes a flat schedule. Real unlocks are usually cliff + linear per allocation — treat this as a planning approximation, not a substitute for the actual unlock table.</t>
        </is>
      </c>
    </row>
    <row r="6" ht="15" customHeight="1" s="29">
      <c r="C6" s="38" t="inlineStr">
        <is>
          <t>Period 0</t>
        </is>
      </c>
      <c r="D6" s="38" t="inlineStr">
        <is>
          <t>Period 1</t>
        </is>
      </c>
      <c r="E6" s="38" t="inlineStr">
        <is>
          <t>Period 2</t>
        </is>
      </c>
      <c r="F6" s="38" t="inlineStr">
        <is>
          <t>Period 3</t>
        </is>
      </c>
      <c r="G6" s="38" t="inlineStr">
        <is>
          <t>Period 4</t>
        </is>
      </c>
    </row>
    <row r="7" ht="15" customHeight="1" s="29">
      <c r="B7" s="28" t="inlineStr">
        <is>
          <t>Circulating supply</t>
        </is>
      </c>
      <c r="C7" s="58">
        <f>Tokenomics!C12</f>
        <v/>
      </c>
      <c r="D7" s="52">
        <f>MIN(Tokenomics!$C$10,C7+Tokenomics!$C$10*$C$4)</f>
        <v/>
      </c>
      <c r="E7" s="52">
        <f>MIN(Tokenomics!$C$10,D7+Tokenomics!$C$10*$C$4)</f>
        <v/>
      </c>
      <c r="F7" s="52">
        <f>MIN(Tokenomics!$C$10,E7+Tokenomics!$C$10*$C$4)</f>
        <v/>
      </c>
      <c r="G7" s="52">
        <f>MIN(Tokenomics!$C$10,F7+Tokenomics!$C$10*$C$4)</f>
        <v/>
      </c>
    </row>
    <row r="8" ht="15" customHeight="1" s="29">
      <c r="B8" s="28" t="inlineStr">
        <is>
          <t>Cumulative dilution vs. today</t>
        </is>
      </c>
      <c r="C8" s="53">
        <f>IFERROR(1-$C$7/C7,"-")</f>
        <v/>
      </c>
      <c r="D8" s="53">
        <f>IFERROR(1-$C$7/D7,"-")</f>
        <v/>
      </c>
      <c r="E8" s="53">
        <f>IFERROR(1-$C$7/E7,"-")</f>
        <v/>
      </c>
      <c r="F8" s="53">
        <f>IFERROR(1-$C$7/F7,"-")</f>
        <v/>
      </c>
      <c r="G8" s="53">
        <f>IFERROR(1-$C$7/G7,"-")</f>
        <v/>
      </c>
    </row>
    <row r="9" ht="15" customHeight="1" s="29">
      <c r="B9" s="28" t="inlineStr">
        <is>
          <t>Implied mkt cap at today's price (if price held flat)</t>
        </is>
      </c>
      <c r="C9" s="48">
        <f>Valuation!$C$5*C7</f>
        <v/>
      </c>
      <c r="D9" s="48">
        <f>Valuation!$C$5*D7</f>
        <v/>
      </c>
      <c r="E9" s="48">
        <f>Valuation!$C$5*E7</f>
        <v/>
      </c>
      <c r="F9" s="48">
        <f>Valuation!$C$5*F7</f>
        <v/>
      </c>
      <c r="G9" s="48">
        <f>Valuation!$C$5*G7</f>
        <v/>
      </c>
    </row>
    <row r="10" ht="15" customHeight="1" s="29">
      <c r="B10" s="42" t="inlineStr">
        <is>
          <t>A holder who doesn't add to their position loses this much ownership share to new issuance over time -- the price needs to grow faster than dilution just to keep the position's dollar value from falling.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14" customWidth="1" style="28" min="2" max="2"/>
    <col width="16" customWidth="1" style="28" min="3" max="3"/>
    <col width="30" customWidth="1" style="28" min="4" max="5"/>
    <col width="16" customWidth="1" style="28" min="6" max="6"/>
  </cols>
  <sheetData>
    <row r="2" ht="19.7" customHeight="1" s="29">
      <c r="B2" s="30" t="inlineStr">
        <is>
          <t>Refresh Log</t>
        </is>
      </c>
    </row>
    <row r="4" ht="15" customHeight="1" s="29">
      <c r="B4" s="38" t="inlineStr">
        <is>
          <t>Date</t>
        </is>
      </c>
      <c r="C4" s="38" t="inlineStr">
        <is>
          <t>Trigger</t>
        </is>
      </c>
      <c r="D4" s="38" t="inlineStr">
        <is>
          <t>What changed</t>
        </is>
      </c>
      <c r="E4" s="38" t="inlineStr">
        <is>
          <t>Reviewer notes</t>
        </is>
      </c>
      <c r="F4" s="38" t="inlineStr">
        <is>
          <t>Next check</t>
        </is>
      </c>
    </row>
    <row r="5" ht="15" customHeight="1" s="29">
      <c r="B5" s="59" t="n"/>
      <c r="C5" s="59" t="n"/>
      <c r="D5" s="59" t="n"/>
      <c r="E5" s="59" t="n"/>
      <c r="F5" s="59" t="n"/>
    </row>
    <row r="6" ht="15" customHeight="1" s="29">
      <c r="B6" s="59" t="n"/>
      <c r="C6" s="59" t="n"/>
      <c r="D6" s="59" t="n"/>
      <c r="E6" s="59" t="n"/>
      <c r="F6" s="59" t="n"/>
    </row>
    <row r="7" ht="15" customHeight="1" s="29">
      <c r="B7" s="59" t="n"/>
      <c r="C7" s="59" t="n"/>
      <c r="D7" s="59" t="n"/>
      <c r="E7" s="59" t="n"/>
      <c r="F7" s="59" t="n"/>
    </row>
    <row r="8" ht="15" customHeight="1" s="29">
      <c r="B8" s="59" t="n"/>
      <c r="C8" s="59" t="n"/>
      <c r="D8" s="59" t="n"/>
      <c r="E8" s="59" t="n"/>
      <c r="F8" s="59" t="n"/>
    </row>
    <row r="9" ht="15" customHeight="1" s="29">
      <c r="B9" s="59" t="n"/>
      <c r="C9" s="59" t="n"/>
      <c r="D9" s="59" t="n"/>
      <c r="E9" s="59" t="n"/>
      <c r="F9" s="59" t="n"/>
    </row>
    <row r="10" ht="15" customHeight="1" s="29">
      <c r="B10" s="59" t="n"/>
      <c r="C10" s="59" t="n"/>
      <c r="D10" s="59" t="n"/>
      <c r="E10" s="59" t="n"/>
      <c r="F10" s="59" t="n"/>
    </row>
    <row r="11" ht="15" customHeight="1" s="29">
      <c r="B11" s="59" t="n"/>
      <c r="C11" s="59" t="n"/>
      <c r="D11" s="59" t="n"/>
      <c r="E11" s="59" t="n"/>
      <c r="F11" s="59" t="n"/>
    </row>
    <row r="12" ht="15" customHeight="1" s="29">
      <c r="B12" s="59" t="n"/>
      <c r="C12" s="59" t="n"/>
      <c r="D12" s="59" t="n"/>
      <c r="E12" s="59" t="n"/>
      <c r="F12" s="59" t="n"/>
    </row>
    <row r="13" ht="15" customHeight="1" s="29">
      <c r="B13" s="59" t="n"/>
      <c r="C13" s="59" t="n"/>
      <c r="D13" s="59" t="n"/>
      <c r="E13" s="59" t="n"/>
      <c r="F13" s="59" t="n"/>
    </row>
    <row r="14" ht="15" customHeight="1" s="29">
      <c r="B14" s="59" t="n"/>
      <c r="C14" s="59" t="n"/>
      <c r="D14" s="59" t="n"/>
      <c r="E14" s="59" t="n"/>
      <c r="F14" s="5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2026-08-03T22:58:02Z</dcterms:created>
  <dcterms:modified xsi:type="dcterms:W3CDTF">2026-08-04T03:48:34Z</dcterms:modified>
  <cp:revision>0</cp:revision>
</cp:coreProperties>
</file>