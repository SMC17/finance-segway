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Tokenomics" sheetId="5" state="visible" r:id="rId5"/>
    <sheet xmlns:r="http://schemas.openxmlformats.org/officeDocument/2006/relationships" name="Supply Rollforward &amp; Unlock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reasury &amp; Runway" sheetId="8" state="visible" r:id="rId8"/>
    <sheet xmlns:r="http://schemas.openxmlformats.org/officeDocument/2006/relationships" name="Custody &amp; Liquidity" sheetId="9" state="visible" r:id="rId9"/>
    <sheet xmlns:r="http://schemas.openxmlformats.org/officeDocument/2006/relationships" name="Decision &amp; Checks" sheetId="10" state="visible" r:id="rId10"/>
    <sheet xmlns:r="http://schemas.openxmlformats.org/officeDocument/2006/relationships" name="Staking Yield" sheetId="11" state="visible" r:id="rId11"/>
    <sheet xmlns:r="http://schemas.openxmlformats.org/officeDocument/2006/relationships" name="Comparable Protocols" sheetId="12" state="visible" r:id="rId12"/>
    <sheet xmlns:r="http://schemas.openxmlformats.org/officeDocument/2006/relationships" name="Supply Emission Schedule" sheetId="13" state="visible" r:id="rId13"/>
    <sheet xmlns:r="http://schemas.openxmlformats.org/officeDocument/2006/relationships" name="RefreshLog" sheetId="14" state="visible" r:id="rId14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$#,##0.00;($#,##0.00);&quot;-&quot;"/>
    <numFmt numFmtId="167" formatCode="$#,##0;($#,##0);&quot;-&quot;"/>
    <numFmt numFmtId="168" formatCode="0.0x"/>
    <numFmt numFmtId="169" formatCode="0.0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808080"/>
      <sz val="8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3" fillId="0" borderId="1" pivotButton="0" quotePrefix="0" xfId="0"/>
    <xf numFmtId="165" fontId="0" fillId="0" borderId="0" pivotButton="0" quotePrefix="0" xfId="0"/>
    <xf numFmtId="0" fontId="6" fillId="0" borderId="0" pivotButton="0" quotePrefix="0" xfId="0"/>
    <xf numFmtId="164" fontId="2" fillId="0" borderId="0" pivotButton="0" quotePrefix="0" xfId="0"/>
    <xf numFmtId="164" fontId="3" fillId="3" borderId="0" pivotButton="0" quotePrefix="0" xfId="0"/>
    <xf numFmtId="0" fontId="2" fillId="4" borderId="0" pivotButton="0" quotePrefix="0" xfId="0"/>
    <xf numFmtId="166" fontId="3" fillId="3" borderId="1" pivotButton="0" quotePrefix="0" xfId="0"/>
    <xf numFmtId="167" fontId="3" fillId="3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5" fontId="3" fillId="3" borderId="1" pivotButton="0" quotePrefix="0" xfId="0"/>
    <xf numFmtId="164" fontId="3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2" fillId="0" borderId="1" pivotButton="0" quotePrefix="0" xfId="0"/>
    <xf numFmtId="167" fontId="7" fillId="0" borderId="1" pivotButton="0" quotePrefix="0" xfId="0"/>
    <xf numFmtId="0" fontId="3" fillId="0" borderId="1" pivotButton="0" quotePrefix="0" xfId="0"/>
    <xf numFmtId="167" fontId="3" fillId="0" borderId="1" pivotButton="0" quotePrefix="0" xfId="0"/>
    <xf numFmtId="164" fontId="7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169" fontId="3" fillId="3" borderId="1" pivotButton="0" quotePrefix="0" xfId="0"/>
    <xf numFmtId="168" fontId="3" fillId="3" borderId="1" pivotButton="0" quotePrefix="0" xfId="0"/>
    <xf numFmtId="169" fontId="0" fillId="0" borderId="1" pivotButton="0" quotePrefix="0" xfId="0"/>
    <xf numFmtId="2" fontId="3" fillId="3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[TOKEN] — Crypto / Digital Asset Model</t>
        </is>
      </c>
    </row>
    <row r="4">
      <c r="B4" s="2" t="inlineStr">
        <is>
          <t>Protocol:</t>
        </is>
      </c>
      <c r="C4" s="3" t="inlineStr">
        <is>
          <t>[fill in]</t>
        </is>
      </c>
    </row>
    <row r="5">
      <c r="B5" s="2" t="inlineStr">
        <is>
          <t>Chain / L1-L2:</t>
        </is>
      </c>
      <c r="C5" s="3" t="inlineStr">
        <is>
          <t>[fill in]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unlock/emission event: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 (daily around unlocks)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2" t="inlineStr">
        <is>
          <t>Crypto &amp; Digital Assets — Institutional Decision Surface</t>
        </is>
      </c>
    </row>
    <row r="4">
      <c r="B4" s="33" t="inlineStr">
        <is>
          <t>Model ID</t>
        </is>
      </c>
      <c r="C4" s="34" t="inlineStr">
        <is>
          <t>16</t>
        </is>
      </c>
    </row>
    <row r="5">
      <c r="B5" s="33" t="inlineStr">
        <is>
          <t>Domain</t>
        </is>
      </c>
      <c r="C5" s="34" t="inlineStr">
        <is>
          <t>Crypto &amp; Digital Assets</t>
        </is>
      </c>
    </row>
    <row r="6">
      <c r="B6" s="33" t="inlineStr">
        <is>
          <t>Declared maturity</t>
        </is>
      </c>
      <c r="C6" s="34" t="inlineStr">
        <is>
          <t>M2</t>
        </is>
      </c>
    </row>
    <row r="7">
      <c r="B7" s="33" t="inlineStr">
        <is>
          <t>Canonical builder</t>
        </is>
      </c>
      <c r="C7" s="34" t="inlineStr">
        <is>
          <t>tools/builders/build_crypto_release.py</t>
        </is>
      </c>
    </row>
    <row r="8">
      <c r="B8" s="33" t="inlineStr">
        <is>
          <t>Decision arena</t>
        </is>
      </c>
      <c r="C8" s="34" t="inlineStr">
        <is>
          <t>protocol treasury, investment committee, market making, risk and custody</t>
        </is>
      </c>
    </row>
    <row r="9">
      <c r="B9" s="33" t="inlineStr">
        <is>
          <t>Committee artifact</t>
        </is>
      </c>
      <c r="C9" s="34" t="inlineStr">
        <is>
          <t>token economics and treasury risk pack</t>
        </is>
      </c>
    </row>
    <row r="10">
      <c r="B10" s="33" t="inlineStr">
        <is>
          <t>Operating cadence</t>
        </is>
      </c>
      <c r="C10" s="34" t="inlineStr">
        <is>
          <t>intraday liquidity; daily treasury; governance-event driven</t>
        </is>
      </c>
    </row>
    <row r="12">
      <c r="B12" s="35" t="inlineStr">
        <is>
          <t>Key decision outputs</t>
        </is>
      </c>
    </row>
    <row r="13">
      <c r="B13" s="36" t="inlineStr">
        <is>
          <t>#</t>
        </is>
      </c>
      <c r="C13" s="36" t="inlineStr">
        <is>
          <t>Requirement</t>
        </is>
      </c>
      <c r="D13" s="36" t="inlineStr">
        <is>
          <t>Owner</t>
        </is>
      </c>
      <c r="E13" s="36" t="inlineStr">
        <is>
          <t>Evidence / location</t>
        </is>
      </c>
      <c r="F13" s="36" t="inlineStr">
        <is>
          <t>Status</t>
        </is>
      </c>
    </row>
    <row r="14">
      <c r="B14" t="n">
        <v>1</v>
      </c>
      <c r="C14" t="inlineStr">
        <is>
          <t>circulating and fully diluted supply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unlock and sell-pressure schedule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staking yield net of dilution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5" t="inlineStr">
        <is>
          <t>Insider questions</t>
        </is>
      </c>
    </row>
    <row r="21">
      <c r="B21" s="36" t="inlineStr">
        <is>
          <t>#</t>
        </is>
      </c>
      <c r="C21" s="36" t="inlineStr">
        <is>
          <t>Requirement</t>
        </is>
      </c>
      <c r="D21" s="36" t="inlineStr">
        <is>
          <t>Owner</t>
        </is>
      </c>
      <c r="E21" s="36" t="inlineStr">
        <is>
          <t>Evidence / location</t>
        </is>
      </c>
      <c r="F21" s="36" t="inlineStr">
        <is>
          <t>Status</t>
        </is>
      </c>
    </row>
    <row r="22">
      <c r="B22" t="n">
        <v>1</v>
      </c>
      <c r="C22" t="inlineStr">
        <is>
          <t>Who can actually sell at each unlock?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What yield remains after dilution?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wallets and bridges are critical dependencies?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5" t="inlineStr">
        <is>
          <t>Scenario families</t>
        </is>
      </c>
    </row>
    <row r="29">
      <c r="B29" s="36" t="inlineStr">
        <is>
          <t>#</t>
        </is>
      </c>
      <c r="C29" s="36" t="inlineStr">
        <is>
          <t>Requirement</t>
        </is>
      </c>
      <c r="D29" s="36" t="inlineStr">
        <is>
          <t>Owner</t>
        </is>
      </c>
      <c r="E29" s="36" t="inlineStr">
        <is>
          <t>Evidence / location</t>
        </is>
      </c>
      <c r="F29" s="36" t="inlineStr">
        <is>
          <t>Status</t>
        </is>
      </c>
    </row>
    <row r="30">
      <c r="B30" t="n">
        <v>1</v>
      </c>
      <c r="C30" t="inlineStr">
        <is>
          <t>unlock cliff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validator / staking shock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depeg or bridge failure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5" t="inlineStr">
        <is>
          <t>Primary diligence documents</t>
        </is>
      </c>
    </row>
    <row r="37">
      <c r="B37" s="36" t="inlineStr">
        <is>
          <t>#</t>
        </is>
      </c>
      <c r="C37" s="36" t="inlineStr">
        <is>
          <t>Requirement</t>
        </is>
      </c>
      <c r="D37" s="36" t="inlineStr">
        <is>
          <t>Owner</t>
        </is>
      </c>
      <c r="E37" s="36" t="inlineStr">
        <is>
          <t>Evidence / location</t>
        </is>
      </c>
      <c r="F37" s="36" t="inlineStr">
        <is>
          <t>Status</t>
        </is>
      </c>
    </row>
    <row r="38">
      <c r="B38" t="n">
        <v>1</v>
      </c>
      <c r="C38" t="inlineStr">
        <is>
          <t>token allocation and vesting contracts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governance proposals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custody and staking agreements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5" t="inlineStr">
        <is>
          <t>Challenge tests</t>
        </is>
      </c>
    </row>
    <row r="45">
      <c r="B45" s="36" t="inlineStr">
        <is>
          <t>#</t>
        </is>
      </c>
      <c r="C45" s="36" t="inlineStr">
        <is>
          <t>Requirement</t>
        </is>
      </c>
      <c r="D45" s="36" t="inlineStr">
        <is>
          <t>Owner</t>
        </is>
      </c>
      <c r="E45" s="36" t="inlineStr">
        <is>
          <t>Evidence / location</t>
        </is>
      </c>
      <c r="F45" s="36" t="inlineStr">
        <is>
          <t>Status</t>
        </is>
      </c>
    </row>
    <row r="46">
      <c r="B46" t="n">
        <v>1</v>
      </c>
      <c r="C46" t="inlineStr">
        <is>
          <t>supply roll-forward conserves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staking yield separates real yield and dilution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treasury wallets reconcile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5" t="inlineStr">
        <is>
          <t>Known failure modes</t>
        </is>
      </c>
    </row>
    <row r="53">
      <c r="B53" s="36" t="inlineStr">
        <is>
          <t>#</t>
        </is>
      </c>
      <c r="C53" s="36" t="inlineStr">
        <is>
          <t>Requirement</t>
        </is>
      </c>
      <c r="D53" s="36" t="inlineStr">
        <is>
          <t>Owner</t>
        </is>
      </c>
      <c r="E53" s="36" t="inlineStr">
        <is>
          <t>Evidence / location</t>
        </is>
      </c>
      <c r="F53" s="36" t="inlineStr">
        <is>
          <t>Status</t>
        </is>
      </c>
    </row>
    <row r="54">
      <c r="B54" t="n">
        <v>1</v>
      </c>
      <c r="C54" t="inlineStr">
        <is>
          <t>using FDV without float dynamics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counting token incentives as revenue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validator concentration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5" t="inlineStr">
        <is>
          <t>Regulatory / methodological anchors</t>
        </is>
      </c>
    </row>
    <row r="61">
      <c r="B61" s="36" t="inlineStr">
        <is>
          <t>Standard</t>
        </is>
      </c>
      <c r="C61" s="36" t="inlineStr">
        <is>
          <t>Scope</t>
        </is>
      </c>
      <c r="D61" s="36" t="inlineStr">
        <is>
          <t>Source URL</t>
        </is>
      </c>
      <c r="E61" s="36" t="inlineStr">
        <is>
          <t>Applicability</t>
        </is>
      </c>
      <c r="F61" s="36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SAB 122</t>
        </is>
      </c>
      <c r="C63" t="inlineStr">
        <is>
          <t>crypto safeguarding accounting</t>
        </is>
      </c>
      <c r="D63" t="inlineStr">
        <is>
          <t>https://www.sec.gov/rules-regulations/staff-guidance/staff-accounting-bulletins/staff-accounting-bulletin-122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2" t="inlineStr">
        <is>
          <t>Independent Challenge, Override and Closure Log</t>
        </is>
      </c>
    </row>
    <row r="4">
      <c r="B4" s="36" t="inlineStr">
        <is>
          <t>Date</t>
        </is>
      </c>
      <c r="C4" s="36" t="inlineStr">
        <is>
          <t>Reviewer</t>
        </is>
      </c>
      <c r="D4" s="36" t="inlineStr">
        <is>
          <t>Challenge</t>
        </is>
      </c>
      <c r="E4" s="36" t="inlineStr">
        <is>
          <t>Owner response</t>
        </is>
      </c>
      <c r="F4" s="36" t="inlineStr">
        <is>
          <t>Evidence</t>
        </is>
      </c>
      <c r="G4" s="36" t="inlineStr">
        <is>
          <t>Impact</t>
        </is>
      </c>
      <c r="H4" s="36" t="inlineStr">
        <is>
          <t>Status</t>
        </is>
      </c>
      <c r="I4" s="36" t="inlineStr">
        <is>
          <t>Closure</t>
        </is>
      </c>
    </row>
    <row r="5">
      <c r="B5" t="inlineStr"/>
      <c r="C5" t="inlineStr"/>
      <c r="D5" t="inlineStr">
        <is>
          <t>supply roll-forward conserves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staking yield separates real yield and dilution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treasury wallets reconcile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2" t="inlineStr">
        <is>
          <t>Source, Transformation, Ownership and Refresh Map</t>
        </is>
      </c>
    </row>
    <row r="4">
      <c r="B4" s="36" t="inlineStr">
        <is>
          <t>Source class</t>
        </is>
      </c>
      <c r="C4" s="36" t="inlineStr">
        <is>
          <t>Cadence</t>
        </is>
      </c>
      <c r="D4" s="36" t="inlineStr">
        <is>
          <t>Control</t>
        </is>
      </c>
      <c r="E4" s="36" t="inlineStr">
        <is>
          <t>System / provider</t>
        </is>
      </c>
      <c r="F4" s="36" t="inlineStr">
        <is>
          <t>As-of</t>
        </is>
      </c>
      <c r="G4" s="36" t="inlineStr">
        <is>
          <t>Owner</t>
        </is>
      </c>
      <c r="H4" s="36" t="inlineStr">
        <is>
          <t>Transform</t>
        </is>
      </c>
      <c r="I4" s="36" t="inlineStr">
        <is>
          <t>Downstream</t>
        </is>
      </c>
      <c r="J4" s="36" t="inlineStr">
        <is>
          <t>Status</t>
        </is>
      </c>
    </row>
    <row r="5">
      <c r="B5" t="inlineStr">
        <is>
          <t>on-chain supply</t>
        </is>
      </c>
      <c r="C5" t="inlineStr">
        <is>
          <t>block/daily</t>
        </is>
      </c>
      <c r="D5" t="inlineStr">
        <is>
          <t>contract and address provenance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exchange liquidity</t>
        </is>
      </c>
      <c r="C6" t="inlineStr">
        <is>
          <t>intraday/daily</t>
        </is>
      </c>
      <c r="D6" t="inlineStr">
        <is>
          <t>venue and pair normalization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>
      <c r="B2" s="1" t="inlineStr">
        <is>
          <t>Tokenomics — Supply Schedule</t>
        </is>
      </c>
    </row>
    <row r="4">
      <c r="A4" s="4" t="inlineStr"/>
      <c r="B4" s="4" t="inlineStr">
        <is>
          <t>Allocation</t>
        </is>
      </c>
      <c r="C4" s="4" t="inlineStr">
        <is>
          <t>Tokens</t>
        </is>
      </c>
      <c r="D4" t="inlineStr">
        <is>
          <t>% of max supply</t>
        </is>
      </c>
      <c r="E4" t="inlineStr">
        <is>
          <t>Unlock start</t>
        </is>
      </c>
      <c r="F4" t="inlineStr">
        <is>
          <t>Vesting notes</t>
        </is>
      </c>
    </row>
    <row r="5">
      <c r="B5" s="5" t="inlineStr">
        <is>
          <t>Public / community</t>
        </is>
      </c>
      <c r="C5" s="6" t="n">
        <v>0</v>
      </c>
      <c r="D5" s="7">
        <f>IFERROR(C5/$C$10,"-")</f>
        <v/>
      </c>
      <c r="E5" s="3" t="inlineStr">
        <is>
          <t>[date]</t>
        </is>
      </c>
      <c r="F5" s="8" t="inlineStr">
        <is>
          <t>[cliff / linear vesting terms]</t>
        </is>
      </c>
    </row>
    <row r="6">
      <c r="B6" s="5" t="inlineStr">
        <is>
          <t>Team &amp; advisors</t>
        </is>
      </c>
      <c r="C6" s="6" t="n">
        <v>0</v>
      </c>
      <c r="D6" s="7">
        <f>IFERROR(C6/$C$10,"-")</f>
        <v/>
      </c>
      <c r="E6" s="3" t="inlineStr">
        <is>
          <t>[date]</t>
        </is>
      </c>
      <c r="F6" s="8" t="inlineStr">
        <is>
          <t>[cliff / linear vesting terms]</t>
        </is>
      </c>
    </row>
    <row r="7">
      <c r="B7" s="5" t="inlineStr">
        <is>
          <t>Investors (seed/private)</t>
        </is>
      </c>
      <c r="C7" s="6" t="n">
        <v>0</v>
      </c>
      <c r="D7" s="7">
        <f>IFERROR(C7/$C$10,"-")</f>
        <v/>
      </c>
      <c r="E7" s="3" t="inlineStr">
        <is>
          <t>[date]</t>
        </is>
      </c>
      <c r="F7" s="8" t="inlineStr">
        <is>
          <t>[cliff / linear vesting terms]</t>
        </is>
      </c>
    </row>
    <row r="8">
      <c r="B8" s="5" t="inlineStr">
        <is>
          <t>Treasury / foundation</t>
        </is>
      </c>
      <c r="C8" s="6" t="n">
        <v>0</v>
      </c>
      <c r="D8" s="7">
        <f>IFERROR(C8/$C$10,"-")</f>
        <v/>
      </c>
      <c r="E8" s="3" t="inlineStr">
        <is>
          <t>[date]</t>
        </is>
      </c>
      <c r="F8" s="8" t="inlineStr">
        <is>
          <t>[cliff / linear vesting terms]</t>
        </is>
      </c>
    </row>
    <row r="9">
      <c r="B9" s="5" t="inlineStr">
        <is>
          <t>Ecosystem incentives / staking rewards</t>
        </is>
      </c>
      <c r="C9" s="6" t="n">
        <v>0</v>
      </c>
      <c r="D9" s="7">
        <f>IFERROR(C9/$C$10,"-")</f>
        <v/>
      </c>
      <c r="E9" s="3" t="inlineStr">
        <is>
          <t>[date]</t>
        </is>
      </c>
      <c r="F9" s="8" t="inlineStr">
        <is>
          <t>[cliff / linear vesting terms]</t>
        </is>
      </c>
    </row>
    <row r="10">
      <c r="B10" s="2" t="inlineStr">
        <is>
          <t>Max supply</t>
        </is>
      </c>
      <c r="C10" s="9">
        <f>SUM(C5:C9)</f>
        <v/>
      </c>
    </row>
    <row r="12">
      <c r="B12" s="2" t="inlineStr">
        <is>
          <t>Circulating supply (today)</t>
        </is>
      </c>
      <c r="C12" s="10" t="n">
        <v>0</v>
      </c>
    </row>
    <row r="13">
      <c r="B13" s="5" t="inlineStr">
        <is>
          <t>Circulating / max supply %</t>
        </is>
      </c>
      <c r="C13" s="7">
        <f>IFERROR(C12/C10,"-")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2">
      <c r="B2" s="1" t="inlineStr">
        <is>
          <t>Token Supply Conservation, Unlocks, and Dilution</t>
        </is>
      </c>
    </row>
    <row r="3">
      <c r="B3" t="inlineStr">
        <is>
          <t>Active scenario</t>
        </is>
      </c>
      <c r="C3" s="26" t="inlineStr">
        <is>
          <t>Base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Downside</t>
        </is>
      </c>
      <c r="E4" s="4" t="inlineStr">
        <is>
          <t>Active</t>
        </is>
      </c>
      <c r="F4" s="4" t="inlineStr">
        <is>
          <t>Owner / interpretation</t>
        </is>
      </c>
    </row>
    <row r="5">
      <c r="B5" t="inlineStr">
        <is>
          <t>Beginning total supply</t>
        </is>
      </c>
      <c r="C5" s="17" t="n">
        <v>1000</v>
      </c>
      <c r="D5" s="17" t="n">
        <v>1000</v>
      </c>
      <c r="E5" s="18">
        <f>IF($C$3="Downside",D5,C5)</f>
        <v/>
      </c>
      <c r="F5" t="inlineStr">
        <is>
          <t>opening on-chain total supply</t>
        </is>
      </c>
    </row>
    <row r="6">
      <c r="B6" t="inlineStr">
        <is>
          <t>Protocol issuance</t>
        </is>
      </c>
      <c r="C6" s="17" t="n">
        <v>20</v>
      </c>
      <c r="D6" s="17" t="n">
        <v>50</v>
      </c>
      <c r="E6" s="18">
        <f>IF($C$3="Downside",D6,C6)</f>
        <v/>
      </c>
      <c r="F6" t="inlineStr">
        <is>
          <t>newly minted non-staking issuance</t>
        </is>
      </c>
    </row>
    <row r="7">
      <c r="B7" t="inlineStr">
        <is>
          <t>Scheduled token unlocks</t>
        </is>
      </c>
      <c r="C7" s="17" t="n">
        <v>30</v>
      </c>
      <c r="D7" s="17" t="n">
        <v>250</v>
      </c>
      <c r="E7" s="18">
        <f>IF($C$3="Downside",D7,C7)</f>
        <v/>
      </c>
      <c r="F7" t="inlineStr">
        <is>
          <t>vested tokens becoming transferable</t>
        </is>
      </c>
    </row>
    <row r="8">
      <c r="B8" t="inlineStr">
        <is>
          <t>Staking / validator rewards</t>
        </is>
      </c>
      <c r="C8" s="17" t="n">
        <v>10</v>
      </c>
      <c r="D8" s="17" t="n">
        <v>40</v>
      </c>
      <c r="E8" s="18">
        <f>IF($C$3="Downside",D8,C8)</f>
        <v/>
      </c>
      <c r="F8" t="inlineStr">
        <is>
          <t>inflationary security rewards</t>
        </is>
      </c>
    </row>
    <row r="9">
      <c r="B9" t="inlineStr">
        <is>
          <t>Burns</t>
        </is>
      </c>
      <c r="C9" s="17" t="n">
        <v>5</v>
      </c>
      <c r="D9" s="17" t="n">
        <v>0</v>
      </c>
      <c r="E9" s="18">
        <f>IF($C$3="Downside",D9,C9)</f>
        <v/>
      </c>
      <c r="F9" t="inlineStr">
        <is>
          <t>verifiably destroyed supply</t>
        </is>
      </c>
    </row>
    <row r="10">
      <c r="B10" t="inlineStr">
        <is>
          <t>Locked / non-circulating supply</t>
        </is>
      </c>
      <c r="C10" s="17" t="n">
        <v>300</v>
      </c>
      <c r="D10" s="17" t="n">
        <v>100</v>
      </c>
      <c r="E10" s="18">
        <f>IF($C$3="Downside",D10,C10)</f>
        <v/>
      </c>
      <c r="F10" t="inlineStr">
        <is>
          <t>contractually or technically restricted</t>
        </is>
      </c>
    </row>
    <row r="11">
      <c r="B11" t="inlineStr">
        <is>
          <t>Maximum one-period unlock rate</t>
        </is>
      </c>
      <c r="C11" s="16" t="n">
        <v>0.1</v>
      </c>
      <c r="D11" s="16" t="n">
        <v>0.1</v>
      </c>
      <c r="E11" s="19">
        <f>IF($C$3="Downside",D11,C11)</f>
        <v/>
      </c>
      <c r="F11" t="inlineStr">
        <is>
          <t>unlocks / beginning supply</t>
        </is>
      </c>
    </row>
    <row r="12">
      <c r="B12" t="inlineStr">
        <is>
          <t>Maximum annualized staking dilution</t>
        </is>
      </c>
      <c r="C12" s="16" t="n">
        <v>0.08</v>
      </c>
      <c r="D12" s="16" t="n">
        <v>0.08</v>
      </c>
      <c r="E12" s="19">
        <f>IF($C$3="Downside",D12,C12)</f>
        <v/>
      </c>
      <c r="F12" t="inlineStr">
        <is>
          <t>staking rewards / pre-reward circulating supply</t>
        </is>
      </c>
    </row>
    <row r="15">
      <c r="B15" s="11" t="inlineStr">
        <is>
          <t>Derived outputs</t>
        </is>
      </c>
    </row>
    <row r="16">
      <c r="B16" t="inlineStr">
        <is>
          <t>Ending total supply</t>
        </is>
      </c>
      <c r="E16" s="18">
        <f>E5+E6+E7+E8-E9</f>
        <v/>
      </c>
    </row>
    <row r="17">
      <c r="B17" t="inlineStr">
        <is>
          <t>Circulating supply</t>
        </is>
      </c>
      <c r="E17" s="18">
        <f>E16-E10</f>
        <v/>
      </c>
    </row>
    <row r="18">
      <c r="B18" t="inlineStr">
        <is>
          <t>Unlock rate</t>
        </is>
      </c>
      <c r="E18" s="19">
        <f>IFERROR(E7/E5,0)</f>
        <v/>
      </c>
    </row>
    <row r="19">
      <c r="B19" t="inlineStr">
        <is>
          <t>Staking dilution</t>
        </is>
      </c>
      <c r="E19" s="19">
        <f>IFERROR(E8/MAX(E17-E8,0.000001),0)</f>
        <v/>
      </c>
    </row>
    <row r="20">
      <c r="B20" t="inlineStr">
        <is>
          <t>Locked supply %</t>
        </is>
      </c>
      <c r="E20" s="19">
        <f>IFERROR(E10/E16,0)</f>
        <v/>
      </c>
    </row>
    <row r="21">
      <c r="B21" t="inlineStr">
        <is>
          <t>Net supply growth</t>
        </is>
      </c>
      <c r="E21" s="19">
        <f>IFERROR(E16/E5-1,0)</f>
        <v/>
      </c>
    </row>
    <row r="23">
      <c r="B23" s="8" t="inlineStr">
        <is>
          <t>Unlocks are a transferability event, not new issuance. They still create float, liquidity, governance, and price-pressure risk and must remain separate from minting.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On-Chain Valuation Multiples</t>
        </is>
      </c>
    </row>
    <row r="4">
      <c r="B4" s="11" t="inlineStr">
        <is>
          <t>Inputs</t>
        </is>
      </c>
    </row>
    <row r="5">
      <c r="B5" s="5" t="inlineStr">
        <is>
          <t>Token price</t>
        </is>
      </c>
      <c r="C5" s="12" t="n">
        <v>0</v>
      </c>
    </row>
    <row r="6">
      <c r="B6" s="5" t="inlineStr">
        <is>
          <t>Total value locked (TVL, $)</t>
        </is>
      </c>
      <c r="C6" s="13" t="n">
        <v>0</v>
      </c>
    </row>
    <row r="7">
      <c r="B7" s="5" t="inlineStr">
        <is>
          <t>Annualized protocol revenue/fees ($)</t>
        </is>
      </c>
      <c r="C7" s="13" t="n">
        <v>0</v>
      </c>
    </row>
    <row r="8">
      <c r="B8" s="5" t="inlineStr">
        <is>
          <t>Daily transaction volume ($, trailing 30d avg)</t>
        </is>
      </c>
      <c r="C8" s="13" t="n">
        <v>0</v>
      </c>
    </row>
    <row r="10">
      <c r="B10" s="11" t="inlineStr">
        <is>
          <t>Outputs</t>
        </is>
      </c>
    </row>
    <row r="11">
      <c r="B11" t="inlineStr">
        <is>
          <t>Market cap (circulating)</t>
        </is>
      </c>
      <c r="C11" s="14">
        <f>C5*Tokenomics!C12</f>
        <v/>
      </c>
    </row>
    <row r="12">
      <c r="B12" t="inlineStr">
        <is>
          <t>Fully diluted valuation (FDV)</t>
        </is>
      </c>
      <c r="C12" s="14">
        <f>C5*Tokenomics!C10</f>
        <v/>
      </c>
    </row>
    <row r="13">
      <c r="B13" t="inlineStr">
        <is>
          <t>Market cap / TVL</t>
        </is>
      </c>
      <c r="C13" s="15">
        <f>IFERROR(C11/C6,"-")</f>
        <v/>
      </c>
    </row>
    <row r="14">
      <c r="B14" t="inlineStr">
        <is>
          <t>FDV / TVL</t>
        </is>
      </c>
      <c r="C14" s="15">
        <f>IFERROR(C12/C6,"-")</f>
        <v/>
      </c>
    </row>
    <row r="15">
      <c r="B15" t="inlineStr">
        <is>
          <t>P/S equivalent (Mkt cap / annualized revenue)</t>
        </is>
      </c>
      <c r="C15" s="15">
        <f>IFERROR(C11/C7,"-")</f>
        <v/>
      </c>
    </row>
    <row r="16">
      <c r="B16" t="inlineStr">
        <is>
          <t>Network value / annualized transaction volume</t>
        </is>
      </c>
      <c r="C16" s="15">
        <f>IFERROR(C11/(C8*365),"-")</f>
        <v/>
      </c>
      <c r="D16" s="8" t="inlineStr">
        <is>
          <t>Market cap divided by trailing daily transaction volume annualized; this is a valuation-to-usage ratio, not transaction velocity.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Treasury Composition, Operating Runway, and Obligations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Downside</t>
        </is>
      </c>
      <c r="E4" s="4" t="inlineStr">
        <is>
          <t>Control / interpretation</t>
        </is>
      </c>
    </row>
    <row r="5">
      <c r="B5" t="inlineStr">
        <is>
          <t>Cash and insured deposits</t>
        </is>
      </c>
      <c r="C5" s="13" t="n">
        <v>30</v>
      </c>
      <c r="D5" s="13" t="n">
        <v>10</v>
      </c>
      <c r="E5" t="inlineStr">
        <is>
          <t>unrestricted operating cash</t>
        </is>
      </c>
    </row>
    <row r="6">
      <c r="B6" t="inlineStr">
        <is>
          <t>High-quality stablecoins</t>
        </is>
      </c>
      <c r="C6" s="13" t="n">
        <v>10</v>
      </c>
      <c r="D6" s="13" t="n">
        <v>3</v>
      </c>
      <c r="E6" t="inlineStr">
        <is>
          <t>haircut for issuer, reserve, and redemption risk</t>
        </is>
      </c>
    </row>
    <row r="7">
      <c r="B7" t="inlineStr">
        <is>
          <t>Native / treasury token value</t>
        </is>
      </c>
      <c r="C7" s="13" t="n">
        <v>80</v>
      </c>
      <c r="D7" s="13" t="n">
        <v>20</v>
      </c>
      <c r="E7" t="inlineStr">
        <is>
          <t>mark separately from liquid operating resources</t>
        </is>
      </c>
    </row>
    <row r="8">
      <c r="B8" t="inlineStr">
        <is>
          <t>Other liquid digital assets</t>
        </is>
      </c>
      <c r="C8" s="13" t="n">
        <v>10</v>
      </c>
      <c r="D8" s="13" t="n">
        <v>2</v>
      </c>
      <c r="E8" t="inlineStr">
        <is>
          <t>haircut for volatility and market depth</t>
        </is>
      </c>
    </row>
    <row r="9">
      <c r="B9" t="inlineStr">
        <is>
          <t>Restricted / earmarked assets</t>
        </is>
      </c>
      <c r="C9" s="13" t="n">
        <v>20</v>
      </c>
      <c r="D9" s="13" t="n">
        <v>20</v>
      </c>
      <c r="E9" t="inlineStr">
        <is>
          <t>not available for general operations</t>
        </is>
      </c>
    </row>
    <row r="10">
      <c r="B10" t="inlineStr">
        <is>
          <t>Monthly operating burn</t>
        </is>
      </c>
      <c r="C10" s="13" t="n">
        <v>5</v>
      </c>
      <c r="D10" s="13" t="n">
        <v>7</v>
      </c>
      <c r="E10" t="inlineStr">
        <is>
          <t>cash operating outflow</t>
        </is>
      </c>
    </row>
    <row r="11">
      <c r="B11" t="inlineStr">
        <is>
          <t>Thirty-day contractual obligations</t>
        </is>
      </c>
      <c r="C11" s="13" t="n">
        <v>20</v>
      </c>
      <c r="D11" s="13" t="n">
        <v>25</v>
      </c>
      <c r="E11" t="inlineStr">
        <is>
          <t>payroll, vendors, debt, grants, and settlement</t>
        </is>
      </c>
    </row>
    <row r="12">
      <c r="B12" t="inlineStr">
        <is>
          <t>Minimum cash runway (months)</t>
        </is>
      </c>
      <c r="C12" s="27" t="n">
        <v>18</v>
      </c>
      <c r="D12" s="27" t="n">
        <v>18</v>
      </c>
      <c r="E12" t="inlineStr">
        <is>
          <t>approved warning threshold</t>
        </is>
      </c>
    </row>
    <row r="13">
      <c r="B13" t="inlineStr">
        <is>
          <t>Minimum liquid coverage</t>
        </is>
      </c>
      <c r="C13" s="28" t="n">
        <v>1.25</v>
      </c>
      <c r="D13" s="28" t="n">
        <v>1.25</v>
      </c>
      <c r="E13" t="inlineStr">
        <is>
          <t>liquid resources / thirty-day obligations</t>
        </is>
      </c>
    </row>
    <row r="14">
      <c r="B14" t="inlineStr">
        <is>
          <t>Stablecoin haircut</t>
        </is>
      </c>
      <c r="C14" s="16" t="n">
        <v>0.15</v>
      </c>
      <c r="D14" s="16" t="n">
        <v>0.35</v>
      </c>
      <c r="E14" t="inlineStr">
        <is>
          <t>issuer and redemption stress</t>
        </is>
      </c>
    </row>
    <row r="15">
      <c r="B15" t="inlineStr">
        <is>
          <t>Other digital-asset haircut</t>
        </is>
      </c>
      <c r="C15" s="16" t="n">
        <v>0.35</v>
      </c>
      <c r="D15" s="16" t="n">
        <v>0.65</v>
      </c>
      <c r="E15" t="inlineStr">
        <is>
          <t>market-depth and volatility stress</t>
        </is>
      </c>
    </row>
    <row r="18">
      <c r="B18" t="inlineStr">
        <is>
          <t>Haircut-adjusted liquid resources</t>
        </is>
      </c>
      <c r="C18" s="14">
        <f>C5+C6*(1-C14)+C8*(1-C15)</f>
        <v/>
      </c>
      <c r="D18" s="14">
        <f>D5+D6*(1-D14)+D8*(1-D15)</f>
        <v/>
      </c>
    </row>
    <row r="19">
      <c r="B19" t="inlineStr">
        <is>
          <t>Operating runway (months)</t>
        </is>
      </c>
      <c r="C19" s="29">
        <f>IFERROR(C18/C10,0)</f>
        <v/>
      </c>
      <c r="D19" s="29">
        <f>IFERROR(D18/D10,0)</f>
        <v/>
      </c>
    </row>
    <row r="20">
      <c r="B20" t="inlineStr">
        <is>
          <t>Thirty-day liquid coverage</t>
        </is>
      </c>
      <c r="C20" s="15">
        <f>IFERROR(C18/C11,0)</f>
        <v/>
      </c>
      <c r="D20" s="15">
        <f>IFERROR(D18/D11,0)</f>
        <v/>
      </c>
    </row>
    <row r="21">
      <c r="B21" t="inlineStr">
        <is>
          <t>Treasury-token concentration</t>
        </is>
      </c>
      <c r="C21" s="19">
        <f>IFERROR(C7/SUM(C5:C9),0)</f>
        <v/>
      </c>
      <c r="D21" s="19">
        <f>IFERROR(D7/SUM(D5:D9),0)</f>
        <v/>
      </c>
    </row>
    <row r="22">
      <c r="B22" t="inlineStr">
        <is>
          <t>Downside status</t>
        </is>
      </c>
      <c r="C22" s="25">
        <f>IF(AND(D19&gt;=D12,D20&gt;=D13),"PASS","BREACH")</f>
        <v/>
      </c>
      <c r="D22" s="25" t="n"/>
    </row>
    <row r="24">
      <c r="B24" s="8" t="inlineStr">
        <is>
          <t>Native-token marks may support long-horizon optionality but are excluded from operating runway unless monetization capacity and governance authority are documented.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Custody, Key Management, Counterparty, and Market-Liquidity Controls</t>
        </is>
      </c>
    </row>
    <row r="4">
      <c r="B4" s="4" t="inlineStr">
        <is>
          <t>Control / metric</t>
        </is>
      </c>
      <c r="C4" s="4" t="inlineStr">
        <is>
          <t>Input</t>
        </is>
      </c>
      <c r="D4" s="4" t="inlineStr">
        <is>
          <t>Status</t>
        </is>
      </c>
      <c r="E4" s="4" t="inlineStr">
        <is>
          <t>Evidence / action</t>
        </is>
      </c>
    </row>
    <row r="5">
      <c r="B5" t="inlineStr">
        <is>
          <t>Material wallets using approved multi-party authorization (%)</t>
        </is>
      </c>
      <c r="C5" s="16" t="n">
        <v>1</v>
      </c>
      <c r="D5" s="25">
        <f>IF(C5=1,"PASS","BREACH")</f>
        <v/>
      </c>
      <c r="E5" t="inlineStr">
        <is>
          <t>retain signer policy, quorum, key rotation, and recovery evidence</t>
        </is>
      </c>
    </row>
    <row r="6">
      <c r="B6" t="inlineStr">
        <is>
          <t>Private-key recovery exercise completed within policy period</t>
        </is>
      </c>
      <c r="C6" s="16" t="n">
        <v>1</v>
      </c>
      <c r="D6" s="25">
        <f>IF(C6=1,"PASS","BREACH")</f>
        <v/>
      </c>
      <c r="E6" t="inlineStr">
        <is>
          <t>1=yes; retain dated recovery test</t>
        </is>
      </c>
    </row>
    <row r="7">
      <c r="B7" t="inlineStr">
        <is>
          <t>Assets held with unapproved custodians / exchanges (%)</t>
        </is>
      </c>
      <c r="C7" s="16" t="n">
        <v>0</v>
      </c>
      <c r="D7" s="25">
        <f>IF(C7=0,"PASS","BREACH")</f>
        <v/>
      </c>
      <c r="E7" t="inlineStr">
        <is>
          <t>separate custody, venue, settlement, and rehypothecation exposure</t>
        </is>
      </c>
    </row>
    <row r="8">
      <c r="B8" t="inlineStr">
        <is>
          <t>Largest custodian / venue concentration (%)</t>
        </is>
      </c>
      <c r="C8" s="16" t="n">
        <v>0.25</v>
      </c>
      <c r="D8" s="25">
        <f>IF(C8&lt;=0.40,"PASS","REVIEW")</f>
        <v/>
      </c>
      <c r="E8" t="inlineStr">
        <is>
          <t>review legal entity, jurisdiction, segregation, and withdrawal capacity</t>
        </is>
      </c>
    </row>
    <row r="9">
      <c r="B9" t="inlineStr">
        <is>
          <t>Thirty-day unlocks / trailing daily market volume</t>
        </is>
      </c>
      <c r="C9" s="30" t="n">
        <v>5</v>
      </c>
      <c r="D9" s="25">
        <f>IF(C9&lt;=10,"PASS",IF(C9&lt;=25,"REVIEW","BREACH"))</f>
        <v/>
      </c>
      <c r="E9" t="inlineStr">
        <is>
          <t>days of volume before haircut, participation, and price impact</t>
        </is>
      </c>
    </row>
    <row r="10">
      <c r="B10" t="inlineStr">
        <is>
          <t>Smart-contract / bridge concentration (%)</t>
        </is>
      </c>
      <c r="C10" s="16" t="n">
        <v>0.2</v>
      </c>
      <c r="D10" s="25">
        <f>IF(C10&lt;=0.35,"PASS","REVIEW")</f>
        <v/>
      </c>
      <c r="E10" t="inlineStr">
        <is>
          <t>measure assets dependent on a single contract, oracle, bridge, or admin key</t>
        </is>
      </c>
    </row>
    <row r="11">
      <c r="B11" t="inlineStr">
        <is>
          <t>Stablecoin issuer concentration (%)</t>
        </is>
      </c>
      <c r="C11" s="16" t="n">
        <v>0.3</v>
      </c>
      <c r="D11" s="25">
        <f>IF(C11&lt;=0.50,"PASS","REVIEW")</f>
        <v/>
      </c>
      <c r="E11" t="inlineStr">
        <is>
          <t>look through issuer, reserve, banking, and redemption dependencies</t>
        </is>
      </c>
    </row>
    <row r="12">
      <c r="B12" t="inlineStr">
        <is>
          <t>Critical incident remediation overdue</t>
        </is>
      </c>
      <c r="C12" s="30" t="n">
        <v>0</v>
      </c>
      <c r="D12" s="25">
        <f>IF(C12=0,"PASS","BREACH")</f>
        <v/>
      </c>
      <c r="E12" t="inlineStr">
        <is>
          <t>retain owner, severity, containment, remediation, and verification</t>
        </is>
      </c>
    </row>
    <row r="14">
      <c r="B14" s="8" t="inlineStr">
        <is>
          <t>Control completion must be supported by retained operational evidence. This sheet is not a representation of regulatory compliance or asset safety.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Crypto / Digital Asset Decision Dashboard and Independent Checks</t>
        </is>
      </c>
    </row>
    <row r="4">
      <c r="B4" s="4" t="inlineStr">
        <is>
          <t>Check / decision</t>
        </is>
      </c>
      <c r="C4" s="4" t="inlineStr">
        <is>
          <t>Metric</t>
        </is>
      </c>
      <c r="D4" s="4" t="inlineStr">
        <is>
          <t>Status</t>
        </is>
      </c>
      <c r="E4" s="4" t="inlineStr">
        <is>
          <t>Interpretation / action</t>
        </is>
      </c>
    </row>
    <row r="5">
      <c r="B5" t="inlineStr">
        <is>
          <t>Supply-conservation residual</t>
        </is>
      </c>
      <c r="C5" s="25">
        <f>'Supply Rollforward &amp; Unlocks'!E16-('Supply Rollforward &amp; Unlocks'!E5+'Supply Rollforward &amp; Unlocks'!E6+'Supply Rollforward &amp; Unlocks'!E7+'Supply Rollforward &amp; Unlocks'!E8-'Supply Rollforward &amp; Unlocks'!E9)</f>
        <v/>
      </c>
      <c r="D5" s="25">
        <f>IF(ABS(C5)&lt;0.000001,"PASS","FAIL")</f>
        <v/>
      </c>
      <c r="E5" t="inlineStr">
        <is>
          <t>Total supply must reconcile across issuance, unlocks, rewards, and burns.</t>
        </is>
      </c>
    </row>
    <row r="6">
      <c r="B6" t="inlineStr">
        <is>
          <t>Locked-supply bound</t>
        </is>
      </c>
      <c r="C6" s="25">
        <f>'Supply Rollforward &amp; Unlocks'!E16-'Supply Rollforward &amp; Unlocks'!E10</f>
        <v/>
      </c>
      <c r="D6" s="25">
        <f>IF(C6&gt;=0,"PASS","FAIL")</f>
        <v/>
      </c>
      <c r="E6" t="inlineStr">
        <is>
          <t>Locked supply may not exceed ending total supply.</t>
        </is>
      </c>
    </row>
    <row r="7">
      <c r="B7" t="inlineStr">
        <is>
          <t>Unlock rate</t>
        </is>
      </c>
      <c r="C7" s="25">
        <f>'Supply Rollforward &amp; Unlocks'!E18</f>
        <v/>
      </c>
      <c r="D7" s="25">
        <f>IF(C7&lt;='Supply Rollforward &amp; Unlocks'!E11,"PASS","BREACH")</f>
        <v/>
      </c>
      <c r="E7" t="inlineStr">
        <is>
          <t>Escalate unlock cliffs and market-liquidity mismatch.</t>
        </is>
      </c>
    </row>
    <row r="8">
      <c r="B8" t="inlineStr">
        <is>
          <t>Staking dilution</t>
        </is>
      </c>
      <c r="C8" s="25">
        <f>'Supply Rollforward &amp; Unlocks'!E19</f>
        <v/>
      </c>
      <c r="D8" s="25">
        <f>IF(C8&lt;='Supply Rollforward &amp; Unlocks'!E12,"PASS","REVIEW")</f>
        <v/>
      </c>
      <c r="E8" t="inlineStr">
        <is>
          <t>Inflationary staking yield is not equivalent to real economic yield.</t>
        </is>
      </c>
    </row>
    <row r="9">
      <c r="B9" t="inlineStr">
        <is>
          <t>Net staking yield</t>
        </is>
      </c>
      <c r="C9" s="25">
        <f>'Staking Yield'!C14</f>
        <v/>
      </c>
      <c r="D9" s="25">
        <f>IF(ISNUMBER(C9),IF(C9&gt;=0,"PASS","REVIEW"),"REVIEW")</f>
        <v/>
      </c>
      <c r="E9" t="inlineStr">
        <is>
          <t>Separate fee-funded yield from dilution and price risk.</t>
        </is>
      </c>
    </row>
    <row r="10">
      <c r="B10" t="inlineStr">
        <is>
          <t>Downside operating runway</t>
        </is>
      </c>
      <c r="C10" s="25">
        <f>'Treasury &amp; Runway'!D19</f>
        <v/>
      </c>
      <c r="D10" s="25">
        <f>IF(C10&gt;='Treasury &amp; Runway'!D12,"PASS","BREACH")</f>
        <v/>
      </c>
      <c r="E10" t="inlineStr">
        <is>
          <t>Treasury-token marks and restricted funds do not fund payroll or obligations by themselves.</t>
        </is>
      </c>
    </row>
    <row r="11">
      <c r="B11" t="inlineStr">
        <is>
          <t>Downside liquid coverage</t>
        </is>
      </c>
      <c r="C11" s="25">
        <f>'Treasury &amp; Runway'!D20</f>
        <v/>
      </c>
      <c r="D11" s="25">
        <f>IF(C11&gt;='Treasury &amp; Runway'!D13,"PASS","BREACH")</f>
        <v/>
      </c>
      <c r="E11" t="inlineStr">
        <is>
          <t>Haircut-adjusted liquid resources must cover near-term obligations.</t>
        </is>
      </c>
    </row>
    <row r="12">
      <c r="B12" t="inlineStr">
        <is>
          <t>Custody / liquidity exceptions</t>
        </is>
      </c>
      <c r="C12" s="25">
        <f>COUNTIF('Custody &amp; Liquidity'!D5:D12,"&lt;&gt;PASS")</f>
        <v/>
      </c>
      <c r="D12" s="25">
        <f>IF(C12=0,"PASS","REVIEW")</f>
        <v/>
      </c>
      <c r="E12" t="inlineStr">
        <is>
          <t>Valuation and tokenomics do not override unresolved key, venue, bridge, or incident risk.</t>
        </is>
      </c>
    </row>
    <row r="13">
      <c r="B13" t="inlineStr">
        <is>
          <t>FDV / circulating market cap</t>
        </is>
      </c>
      <c r="C13" s="25">
        <f>IFERROR(Valuation!C12/Valuation!C11,"-")</f>
        <v/>
      </c>
      <c r="D13" s="25">
        <f>IF(ISNUMBER(C13),IF(C13&lt;=2,"PASS",IF(C13&lt;=5,"REVIEW","BREACH")),"REVIEW")</f>
        <v/>
      </c>
      <c r="E13" t="inlineStr">
        <is>
          <t>Large FDV overhang requires explicit unlock, liquidity, and incentive analysis.</t>
        </is>
      </c>
    </row>
    <row r="15">
      <c r="B15" s="2" t="inlineStr">
        <is>
          <t>Overall model status</t>
        </is>
      </c>
      <c r="C15" s="31">
        <f>IF(COUNTIF(D5:D13,"FAIL")+COUNTIF(D5:D13,"BREACH")&gt;0,"BREACH",IF(COUNTIF(D5:D13,"REVIEW")&gt;0,"REVIEW","PASS"))</f>
        <v/>
      </c>
    </row>
    <row r="17">
      <c r="B17" s="11" t="inlineStr">
        <is>
          <t>Primary decision outputs</t>
        </is>
      </c>
    </row>
    <row r="18">
      <c r="B18" t="inlineStr">
        <is>
          <t>Ending total supply</t>
        </is>
      </c>
      <c r="C18" s="18">
        <f>'Supply Rollforward &amp; Unlocks'!E16</f>
        <v/>
      </c>
    </row>
    <row r="19">
      <c r="B19" t="inlineStr">
        <is>
          <t>Circulating supply</t>
        </is>
      </c>
      <c r="C19" s="18">
        <f>'Supply Rollforward &amp; Unlocks'!E17</f>
        <v/>
      </c>
    </row>
    <row r="20">
      <c r="B20" t="inlineStr">
        <is>
          <t>Unlock rate</t>
        </is>
      </c>
      <c r="C20" s="19">
        <f>'Supply Rollforward &amp; Unlocks'!E18</f>
        <v/>
      </c>
    </row>
    <row r="21">
      <c r="B21" t="inlineStr">
        <is>
          <t>Circulating market cap</t>
        </is>
      </c>
      <c r="C21" s="14">
        <f>Valuation!C11</f>
        <v/>
      </c>
    </row>
    <row r="22">
      <c r="B22" t="inlineStr">
        <is>
          <t>Fully diluted valuation</t>
        </is>
      </c>
      <c r="C22" s="14">
        <f>Valuation!C12</f>
        <v/>
      </c>
    </row>
    <row r="23">
      <c r="B23" t="inlineStr">
        <is>
          <t>Net staking yield</t>
        </is>
      </c>
      <c r="C23" s="19">
        <f>'Staking Yield'!C14</f>
        <v/>
      </c>
    </row>
    <row r="24">
      <c r="B24" t="inlineStr">
        <is>
          <t>Downside runway</t>
        </is>
      </c>
      <c r="C24" s="29">
        <f>'Treasury &amp; Runway'!D19</f>
        <v/>
      </c>
    </row>
    <row r="25">
      <c r="B25" t="inlineStr">
        <is>
          <t>Downside liquid coverage</t>
        </is>
      </c>
      <c r="C25" s="15">
        <f>'Treasury &amp; Runway'!D20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Staking / Yield Model</t>
        </is>
      </c>
    </row>
    <row r="4">
      <c r="B4" s="11" t="inlineStr">
        <is>
          <t>Inputs</t>
        </is>
      </c>
    </row>
    <row r="5">
      <c r="B5" s="5" t="inlineStr">
        <is>
          <t>% of supply staked</t>
        </is>
      </c>
      <c r="C5" s="16" t="n">
        <v>0</v>
      </c>
    </row>
    <row r="6">
      <c r="B6" s="5" t="inlineStr">
        <is>
          <t>Annual token emissions (new supply, tokens)</t>
        </is>
      </c>
      <c r="C6" s="17" t="n">
        <v>0</v>
      </c>
    </row>
    <row r="7">
      <c r="B7" s="5" t="inlineStr">
        <is>
          <t>Protocol fee revenue distributed to stakers ($)</t>
        </is>
      </c>
      <c r="C7" s="13" t="n">
        <v>0</v>
      </c>
    </row>
    <row r="8">
      <c r="B8" s="5" t="inlineStr">
        <is>
          <t>Token price (for $ yield calc)</t>
        </is>
      </c>
      <c r="C8" s="12" t="n">
        <v>0</v>
      </c>
    </row>
    <row r="10">
      <c r="B10" s="11" t="inlineStr">
        <is>
          <t>Outputs</t>
        </is>
      </c>
    </row>
    <row r="11">
      <c r="B11" t="inlineStr">
        <is>
          <t>Tokens staked</t>
        </is>
      </c>
      <c r="C11" s="18">
        <f>C5*Tokenomics!C12</f>
        <v/>
      </c>
    </row>
    <row r="12">
      <c r="B12" t="inlineStr">
        <is>
          <t>Inflationary yield (emissions / staked)</t>
        </is>
      </c>
      <c r="C12" s="19">
        <f>IFERROR(C6/C11,"-")</f>
        <v/>
      </c>
    </row>
    <row r="13">
      <c r="B13" t="inlineStr">
        <is>
          <t>Real yield (fee revenue / staked value)</t>
        </is>
      </c>
      <c r="C13" s="19">
        <f>IFERROR(C7/(C11*C8),"-")</f>
        <v/>
      </c>
    </row>
    <row r="14">
      <c r="B14" t="inlineStr">
        <is>
          <t>Net staking yield (real - inflation dilution)</t>
        </is>
      </c>
      <c r="C14" s="20">
        <f>IFERROR(C13-C12,"-")</f>
        <v/>
      </c>
      <c r="D14" s="8" t="inlineStr">
        <is>
          <t>Negative = staking rewards are pure dilution, not real cash flow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I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Comparable Protocols</t>
        </is>
      </c>
    </row>
    <row r="4">
      <c r="A4" s="4" t="inlineStr"/>
      <c r="B4" s="4" t="inlineStr">
        <is>
          <t>Protocol</t>
        </is>
      </c>
      <c r="C4" s="4" t="inlineStr">
        <is>
          <t>Mkt cap</t>
        </is>
      </c>
      <c r="D4" s="4" t="inlineStr">
        <is>
          <t>FDV</t>
        </is>
      </c>
      <c r="E4" s="4" t="inlineStr">
        <is>
          <t>TVL</t>
        </is>
      </c>
      <c r="F4" s="4" t="inlineStr">
        <is>
          <t>Daily volume</t>
        </is>
      </c>
      <c r="G4" s="4" t="inlineStr">
        <is>
          <t>Mkt/TVL</t>
        </is>
      </c>
      <c r="H4" s="4" t="inlineStr">
        <is>
          <t>FDV/TVL</t>
        </is>
      </c>
      <c r="I4" t="inlineStr">
        <is>
          <t>NVT</t>
        </is>
      </c>
    </row>
    <row r="5">
      <c r="B5" s="2" t="inlineStr">
        <is>
          <t>This protocol</t>
        </is>
      </c>
      <c r="C5" s="21">
        <f>Valuation!C11</f>
        <v/>
      </c>
      <c r="D5" s="21">
        <f>Valuation!C12</f>
        <v/>
      </c>
      <c r="E5" s="21">
        <f>Valuation!C6</f>
        <v/>
      </c>
      <c r="F5" s="21">
        <f>Valuation!C8</f>
        <v/>
      </c>
      <c r="G5" s="15">
        <f>IFERROR(C5/E5,"-")</f>
        <v/>
      </c>
      <c r="H5" s="15">
        <f>IFERROR(D5/E5,"-")</f>
        <v/>
      </c>
      <c r="I5" s="15">
        <f>IFERROR(C5/(F5*365),"-")</f>
        <v/>
      </c>
    </row>
    <row r="6">
      <c r="B6" s="22" t="inlineStr">
        <is>
          <t>[fill in]</t>
        </is>
      </c>
      <c r="C6" s="23" t="n">
        <v>0</v>
      </c>
      <c r="D6" s="23" t="n">
        <v>0</v>
      </c>
      <c r="E6" s="23" t="n">
        <v>0</v>
      </c>
      <c r="F6" s="23" t="n">
        <v>0</v>
      </c>
      <c r="G6" s="15">
        <f>IFERROR(C6/E6,"-")</f>
        <v/>
      </c>
      <c r="H6" s="15">
        <f>IFERROR(D6/E6,"-")</f>
        <v/>
      </c>
      <c r="I6" s="15">
        <f>IFERROR(C6/(F6*365),"-")</f>
        <v/>
      </c>
    </row>
    <row r="7">
      <c r="B7" s="22" t="inlineStr">
        <is>
          <t>[fill in]</t>
        </is>
      </c>
      <c r="C7" s="23" t="n">
        <v>0</v>
      </c>
      <c r="D7" s="23" t="n">
        <v>0</v>
      </c>
      <c r="E7" s="23" t="n">
        <v>0</v>
      </c>
      <c r="F7" s="23" t="n">
        <v>0</v>
      </c>
      <c r="G7" s="15">
        <f>IFERROR(C7/E7,"-")</f>
        <v/>
      </c>
      <c r="H7" s="15">
        <f>IFERROR(D7/E7,"-")</f>
        <v/>
      </c>
      <c r="I7" s="15">
        <f>IFERROR(C7/(F7*365),"-")</f>
        <v/>
      </c>
    </row>
    <row r="8">
      <c r="B8" s="22" t="inlineStr">
        <is>
          <t>[fill in]</t>
        </is>
      </c>
      <c r="C8" s="23" t="n">
        <v>0</v>
      </c>
      <c r="D8" s="23" t="n">
        <v>0</v>
      </c>
      <c r="E8" s="23" t="n">
        <v>0</v>
      </c>
      <c r="F8" s="23" t="n">
        <v>0</v>
      </c>
      <c r="G8" s="15">
        <f>IFERROR(C8/E8,"-")</f>
        <v/>
      </c>
      <c r="H8" s="15">
        <f>IFERROR(D8/E8,"-")</f>
        <v/>
      </c>
      <c r="I8" s="15">
        <f>IFERROR(C8/(F8*365),"-")</f>
        <v/>
      </c>
    </row>
    <row r="9">
      <c r="B9" s="22" t="inlineStr">
        <is>
          <t>[fill in]</t>
        </is>
      </c>
      <c r="C9" s="23" t="n">
        <v>0</v>
      </c>
      <c r="D9" s="23" t="n">
        <v>0</v>
      </c>
      <c r="E9" s="23" t="n">
        <v>0</v>
      </c>
      <c r="F9" s="23" t="n">
        <v>0</v>
      </c>
      <c r="G9" s="15">
        <f>IFERROR(C9/E9,"-")</f>
        <v/>
      </c>
      <c r="H9" s="15">
        <f>IFERROR(D9/E9,"-")</f>
        <v/>
      </c>
      <c r="I9" s="15">
        <f>IFERROR(C9/(F9*365),"-")</f>
        <v/>
      </c>
    </row>
    <row r="10">
      <c r="B10" s="22" t="inlineStr">
        <is>
          <t>[fill in]</t>
        </is>
      </c>
      <c r="C10" s="23" t="n">
        <v>0</v>
      </c>
      <c r="D10" s="23" t="n">
        <v>0</v>
      </c>
      <c r="E10" s="23" t="n">
        <v>0</v>
      </c>
      <c r="F10" s="23" t="n">
        <v>0</v>
      </c>
      <c r="G10" s="15">
        <f>IFERROR(C10/E10,"-")</f>
        <v/>
      </c>
      <c r="H10" s="15">
        <f>IFERROR(D10/E10,"-")</f>
        <v/>
      </c>
      <c r="I10" s="15">
        <f>IFERROR(C10/(F10*365),"-")</f>
        <v/>
      </c>
    </row>
    <row r="11">
      <c r="B11" s="22" t="inlineStr">
        <is>
          <t>[fill in]</t>
        </is>
      </c>
      <c r="C11" s="23" t="n">
        <v>0</v>
      </c>
      <c r="D11" s="23" t="n">
        <v>0</v>
      </c>
      <c r="E11" s="23" t="n">
        <v>0</v>
      </c>
      <c r="F11" s="23" t="n">
        <v>0</v>
      </c>
      <c r="G11" s="15">
        <f>IFERROR(C11/E11,"-")</f>
        <v/>
      </c>
      <c r="H11" s="15">
        <f>IFERROR(D11/E11,"-")</f>
        <v/>
      </c>
      <c r="I11" s="15">
        <f>IFERROR(C11/(F11*365),"-")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Forward Supply Emission &amp; Dilution</t>
        </is>
      </c>
    </row>
    <row r="4">
      <c r="B4" t="inlineStr">
        <is>
          <t>Annual emission rate (% of max supply issued/yr)</t>
        </is>
      </c>
      <c r="C4" s="16" t="n">
        <v>0.05</v>
      </c>
      <c r="D4" s="8" t="inlineStr">
        <is>
          <t>Simplified: assumes a flat schedule. Real unlocks are usually cliff + linear per allocation — treat this as a planning approximation, not a substitute for the actual unlock table.</t>
        </is>
      </c>
    </row>
    <row r="6">
      <c r="C6" s="4" t="inlineStr">
        <is>
          <t>Period 0</t>
        </is>
      </c>
      <c r="D6" s="4" t="inlineStr">
        <is>
          <t>Period 1</t>
        </is>
      </c>
      <c r="E6" s="4" t="inlineStr">
        <is>
          <t>Period 2</t>
        </is>
      </c>
      <c r="F6" s="4" t="inlineStr">
        <is>
          <t>Period 3</t>
        </is>
      </c>
      <c r="G6" s="4" t="inlineStr">
        <is>
          <t>Period 4</t>
        </is>
      </c>
    </row>
    <row r="7">
      <c r="B7" t="inlineStr">
        <is>
          <t>Circulating supply</t>
        </is>
      </c>
      <c r="C7" s="24">
        <f>Tokenomics!C12</f>
        <v/>
      </c>
      <c r="D7" s="18">
        <f>MIN(Tokenomics!$C$10,C7+Tokenomics!$C$10*$C$4)</f>
        <v/>
      </c>
      <c r="E7" s="18">
        <f>MIN(Tokenomics!$C$10,D7+Tokenomics!$C$10*$C$4)</f>
        <v/>
      </c>
      <c r="F7" s="18">
        <f>MIN(Tokenomics!$C$10,E7+Tokenomics!$C$10*$C$4)</f>
        <v/>
      </c>
      <c r="G7" s="18">
        <f>MIN(Tokenomics!$C$10,F7+Tokenomics!$C$10*$C$4)</f>
        <v/>
      </c>
    </row>
    <row r="8">
      <c r="B8" t="inlineStr">
        <is>
          <t>Cumulative dilution vs. today</t>
        </is>
      </c>
      <c r="C8" s="19">
        <f>IFERROR(1-$C$7/C7,"-")</f>
        <v/>
      </c>
      <c r="D8" s="19">
        <f>IFERROR(1-$C$7/D7,"-")</f>
        <v/>
      </c>
      <c r="E8" s="19">
        <f>IFERROR(1-$C$7/E7,"-")</f>
        <v/>
      </c>
      <c r="F8" s="19">
        <f>IFERROR(1-$C$7/F7,"-")</f>
        <v/>
      </c>
      <c r="G8" s="19">
        <f>IFERROR(1-$C$7/G7,"-")</f>
        <v/>
      </c>
    </row>
    <row r="9">
      <c r="B9" t="inlineStr">
        <is>
          <t>Implied mkt cap at today's price (if price held flat)</t>
        </is>
      </c>
      <c r="C9" s="14">
        <f>Valuation!$C$5*C7</f>
        <v/>
      </c>
      <c r="D9" s="14">
        <f>Valuation!$C$5*D7</f>
        <v/>
      </c>
      <c r="E9" s="14">
        <f>Valuation!$C$5*E7</f>
        <v/>
      </c>
      <c r="F9" s="14">
        <f>Valuation!$C$5*F7</f>
        <v/>
      </c>
      <c r="G9" s="14">
        <f>Valuation!$C$5*G7</f>
        <v/>
      </c>
    </row>
    <row r="10">
      <c r="B10" s="8" t="inlineStr">
        <is>
          <t>A holder who doesn't add to their position loses this much ownership share to new issuance over time -- the price needs to grow faster than dilution just to keep the position's dollar value from falling.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4" t="inlineStr">
        <is>
          <t>Date</t>
        </is>
      </c>
      <c r="C4" s="4" t="inlineStr">
        <is>
          <t>Trigger</t>
        </is>
      </c>
      <c r="D4" s="4" t="inlineStr">
        <is>
          <t>What changed</t>
        </is>
      </c>
      <c r="E4" s="4" t="inlineStr">
        <is>
          <t>Reviewer notes</t>
        </is>
      </c>
      <c r="F4" s="4" t="inlineStr">
        <is>
          <t>Next check</t>
        </is>
      </c>
    </row>
    <row r="5">
      <c r="B5" s="25" t="n"/>
      <c r="C5" s="25" t="n"/>
      <c r="D5" s="25" t="n"/>
      <c r="E5" s="25" t="n"/>
      <c r="F5" s="25" t="n"/>
    </row>
    <row r="6">
      <c r="B6" s="25" t="n"/>
      <c r="C6" s="25" t="n"/>
      <c r="D6" s="25" t="n"/>
      <c r="E6" s="25" t="n"/>
      <c r="F6" s="25" t="n"/>
    </row>
    <row r="7">
      <c r="B7" s="25" t="n"/>
      <c r="C7" s="25" t="n"/>
      <c r="D7" s="25" t="n"/>
      <c r="E7" s="25" t="n"/>
      <c r="F7" s="25" t="n"/>
    </row>
    <row r="8">
      <c r="B8" s="25" t="n"/>
      <c r="C8" s="25" t="n"/>
      <c r="D8" s="25" t="n"/>
      <c r="E8" s="25" t="n"/>
      <c r="F8" s="25" t="n"/>
    </row>
    <row r="9">
      <c r="B9" s="25" t="n"/>
      <c r="C9" s="25" t="n"/>
      <c r="D9" s="25" t="n"/>
      <c r="E9" s="25" t="n"/>
      <c r="F9" s="25" t="n"/>
    </row>
    <row r="10">
      <c r="B10" s="25" t="n"/>
      <c r="C10" s="25" t="n"/>
      <c r="D10" s="25" t="n"/>
      <c r="E10" s="25" t="n"/>
      <c r="F10" s="25" t="n"/>
    </row>
    <row r="11">
      <c r="B11" s="25" t="n"/>
      <c r="C11" s="25" t="n"/>
      <c r="D11" s="25" t="n"/>
      <c r="E11" s="25" t="n"/>
      <c r="F11" s="25" t="n"/>
    </row>
    <row r="12">
      <c r="B12" s="25" t="n"/>
      <c r="C12" s="25" t="n"/>
      <c r="D12" s="25" t="n"/>
      <c r="E12" s="25" t="n"/>
      <c r="F12" s="25" t="n"/>
    </row>
    <row r="13">
      <c r="B13" s="25" t="n"/>
      <c r="C13" s="25" t="n"/>
      <c r="D13" s="25" t="n"/>
      <c r="E13" s="25" t="n"/>
      <c r="F13" s="25" t="n"/>
    </row>
    <row r="14">
      <c r="B14" s="25" t="n"/>
      <c r="C14" s="25" t="n"/>
      <c r="D14" s="25" t="n"/>
      <c r="E14" s="25" t="n"/>
      <c r="F14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2026-09-07T21:00:28Z</dcterms:created>
  <dcterms:modified xmlns:dcterms="http://purl.org/dc/terms/" xmlns:xsi="http://www.w3.org/2001/XMLSchema-instance" xsi:type="dcterms:W3CDTF">2026-09-07T21:00:28Z</dcterms:modified>
</cp:coreProperties>
</file>