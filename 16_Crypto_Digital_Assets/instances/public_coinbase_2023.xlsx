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stitutional Surface" sheetId="2" state="visible" r:id="rId2"/>
    <sheet xmlns:r="http://schemas.openxmlformats.org/officeDocument/2006/relationships" name="Challenge Log" sheetId="3" state="visible" r:id="rId3"/>
    <sheet xmlns:r="http://schemas.openxmlformats.org/officeDocument/2006/relationships" name="Lineage Map" sheetId="4" state="visible" r:id="rId4"/>
    <sheet xmlns:r="http://schemas.openxmlformats.org/officeDocument/2006/relationships" name="Tokenomics" sheetId="5" state="visible" r:id="rId5"/>
    <sheet xmlns:r="http://schemas.openxmlformats.org/officeDocument/2006/relationships" name="Supply Rollforward &amp; Unlocks" sheetId="6" state="visible" r:id="rId6"/>
    <sheet xmlns:r="http://schemas.openxmlformats.org/officeDocument/2006/relationships" name="Valuation" sheetId="7" state="visible" r:id="rId7"/>
    <sheet xmlns:r="http://schemas.openxmlformats.org/officeDocument/2006/relationships" name="Treasury &amp; Runway" sheetId="8" state="visible" r:id="rId8"/>
    <sheet xmlns:r="http://schemas.openxmlformats.org/officeDocument/2006/relationships" name="Custody &amp; Liquidity" sheetId="9" state="visible" r:id="rId9"/>
    <sheet xmlns:r="http://schemas.openxmlformats.org/officeDocument/2006/relationships" name="Decision &amp; Checks" sheetId="10" state="visible" r:id="rId10"/>
    <sheet xmlns:r="http://schemas.openxmlformats.org/officeDocument/2006/relationships" name="Staking Yield" sheetId="11" state="visible" r:id="rId11"/>
    <sheet xmlns:r="http://schemas.openxmlformats.org/officeDocument/2006/relationships" name="Comparable Protocols" sheetId="12" state="visible" r:id="rId12"/>
    <sheet xmlns:r="http://schemas.openxmlformats.org/officeDocument/2006/relationships" name="Supply Emission Schedule" sheetId="13" state="visible" r:id="rId13"/>
    <sheet xmlns:r="http://schemas.openxmlformats.org/officeDocument/2006/relationships" name="RefreshLog" sheetId="14" state="visible" r:id="rId14"/>
  </sheets>
  <definedNames>
    <definedName name="FS_DOMAIN" hidden="0" function="0" vbProcedure="0">'Institutional Surface'!$C$5</definedName>
    <definedName name="FS_MATURITY" hidden="0" function="0" vbProcedure="0">'Institutional Surface'!$C$6</definedName>
    <definedName name="FS_MODEL_ID" hidden="0" function="0" vbProcedure="0">'Institutional Surface'!$C$4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#,##0;\(#,##0\);\-"/>
    <numFmt numFmtId="165" formatCode="0.0%;\(0.0%\);\-"/>
    <numFmt numFmtId="166" formatCode="\$#,##0.00;&quot;($&quot;#,##0.00\);\-"/>
    <numFmt numFmtId="167" formatCode="\$#,##0;&quot;($&quot;#,##0\);\-"/>
    <numFmt numFmtId="168" formatCode="0.0\x"/>
    <numFmt numFmtId="169" formatCode="0.0"/>
  </numFmts>
  <fonts count="1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6"/>
    </font>
    <font>
      <name val="Arial"/>
      <charset val="1"/>
      <family val="0"/>
      <b val="1"/>
      <sz val="10"/>
    </font>
    <font>
      <name val="Arial"/>
      <charset val="1"/>
      <family val="0"/>
      <color rgb="FF0000FF"/>
      <sz val="10"/>
    </font>
    <font>
      <name val="Cambria"/>
      <charset val="1"/>
      <family val="0"/>
      <b val="1"/>
      <color rgb="FFFFFFFF"/>
      <sz val="15"/>
    </font>
    <font>
      <name val="Cambria"/>
      <charset val="1"/>
      <family val="0"/>
      <b val="1"/>
      <sz val="11"/>
    </font>
    <font>
      <name val="Cambria"/>
      <charset val="1"/>
      <family val="0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00"/>
      <sz val="10"/>
    </font>
    <font>
      <name val="Arial"/>
      <charset val="1"/>
      <family val="0"/>
      <i val="1"/>
      <color rgb="FF808080"/>
      <sz val="8"/>
    </font>
    <font>
      <name val="Arial"/>
      <charset val="1"/>
      <family val="0"/>
      <color rgb="FF008000"/>
      <sz val="10"/>
    </font>
    <font>
      <name val="Arial"/>
      <color rgb="000000FF"/>
      <sz val="10"/>
    </font>
  </fonts>
  <fills count="8">
    <fill>
      <patternFill/>
    </fill>
    <fill>
      <patternFill patternType="gray125"/>
    </fill>
    <fill>
      <patternFill patternType="solid">
        <fgColor rgb="FF17365D"/>
        <bgColor rgb="FF333333"/>
      </patternFill>
    </fill>
    <fill>
      <patternFill patternType="solid">
        <fgColor rgb="FFD9EAF7"/>
        <bgColor rgb="FFD9D9D9"/>
      </patternFill>
    </fill>
    <fill>
      <patternFill patternType="solid">
        <fgColor rgb="FF1F4E78"/>
        <bgColor rgb="FF17365D"/>
      </patternFill>
    </fill>
    <fill>
      <patternFill patternType="solid">
        <fgColor rgb="FFFFFF00"/>
        <bgColor rgb="FFFFFF00"/>
      </patternFill>
    </fill>
    <fill>
      <patternFill patternType="solid">
        <fgColor rgb="FFD9D9D9"/>
        <bgColor rgb="FFD9EAF7"/>
      </patternFill>
    </fill>
    <fill>
      <patternFill patternType="solid">
        <fgColor rgb="00FFFF00"/>
      </patternFill>
    </fill>
  </fills>
  <borders count="3">
    <border>
      <left/>
      <right/>
      <top/>
      <bottom/>
      <diagonal/>
    </border>
    <border>
      <left/>
      <right/>
      <top/>
      <bottom style="thin">
        <color rgb="FFB7B7B7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9" fillId="2" borderId="0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general" vertical="bottom"/>
    </xf>
    <xf numFmtId="0" fontId="10" fillId="4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general" vertical="bottom"/>
    </xf>
    <xf numFmtId="164" fontId="6" fillId="0" borderId="2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4" fontId="6" fillId="5" borderId="0" applyAlignment="1" pivotButton="0" quotePrefix="0" xfId="0">
      <alignment horizontal="general" vertical="bottom"/>
    </xf>
    <xf numFmtId="0" fontId="6" fillId="5" borderId="2" applyAlignment="1" pivotButton="0" quotePrefix="0" xfId="0">
      <alignment horizontal="general" vertical="bottom"/>
    </xf>
    <xf numFmtId="164" fontId="6" fillId="5" borderId="2" applyAlignment="1" pivotButton="0" quotePrefix="0" xfId="0">
      <alignment horizontal="general" vertical="bottom"/>
    </xf>
    <xf numFmtId="164" fontId="0" fillId="0" borderId="2" applyAlignment="1" pivotButton="0" quotePrefix="0" xfId="0">
      <alignment horizontal="general" vertical="bottom"/>
    </xf>
    <xf numFmtId="165" fontId="6" fillId="5" borderId="2" applyAlignment="1" pivotButton="0" quotePrefix="0" xfId="0">
      <alignment horizontal="general" vertical="bottom"/>
    </xf>
    <xf numFmtId="165" fontId="0" fillId="0" borderId="2" applyAlignment="1" pivotButton="0" quotePrefix="0" xfId="0">
      <alignment horizontal="general" vertical="bottom"/>
    </xf>
    <xf numFmtId="0" fontId="5" fillId="6" borderId="0" applyAlignment="1" pivotButton="0" quotePrefix="0" xfId="0">
      <alignment horizontal="general" vertical="bottom"/>
    </xf>
    <xf numFmtId="166" fontId="6" fillId="5" borderId="2" applyAlignment="1" pivotButton="0" quotePrefix="0" xfId="0">
      <alignment horizontal="general" vertical="bottom"/>
    </xf>
    <xf numFmtId="167" fontId="6" fillId="5" borderId="2" applyAlignment="1" pivotButton="0" quotePrefix="0" xfId="0">
      <alignment horizontal="general" vertical="bottom"/>
    </xf>
    <xf numFmtId="167" fontId="0" fillId="0" borderId="2" applyAlignment="1" pivotButton="0" quotePrefix="0" xfId="0">
      <alignment horizontal="general" vertical="bottom"/>
    </xf>
    <xf numFmtId="168" fontId="0" fillId="0" borderId="2" applyAlignment="1" pivotButton="0" quotePrefix="0" xfId="0">
      <alignment horizontal="general" vertical="bottom"/>
    </xf>
    <xf numFmtId="169" fontId="6" fillId="5" borderId="2" applyAlignment="1" pivotButton="0" quotePrefix="0" xfId="0">
      <alignment horizontal="general" vertical="bottom"/>
    </xf>
    <xf numFmtId="168" fontId="6" fillId="5" borderId="2" applyAlignment="1" pivotButton="0" quotePrefix="0" xfId="0">
      <alignment horizontal="general" vertical="bottom"/>
    </xf>
    <xf numFmtId="169" fontId="0" fillId="0" borderId="2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2" fontId="6" fillId="5" borderId="2" applyAlignment="1" pivotButton="0" quotePrefix="0" xfId="0">
      <alignment horizontal="general" vertical="bottom"/>
    </xf>
    <xf numFmtId="0" fontId="5" fillId="0" borderId="2" applyAlignment="1" pivotButton="0" quotePrefix="0" xfId="0">
      <alignment horizontal="general" vertical="bottom"/>
    </xf>
    <xf numFmtId="165" fontId="5" fillId="0" borderId="2" applyAlignment="1" pivotButton="0" quotePrefix="0" xfId="0">
      <alignment horizontal="general" vertical="bottom"/>
    </xf>
    <xf numFmtId="167" fontId="13" fillId="0" borderId="2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167" fontId="6" fillId="0" borderId="2" applyAlignment="1" pivotButton="0" quotePrefix="0" xfId="0">
      <alignment horizontal="general" vertical="bottom"/>
    </xf>
    <xf numFmtId="164" fontId="13" fillId="0" borderId="2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4" fillId="7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9" fillId="2" borderId="0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 wrapText="1"/>
    </xf>
    <xf numFmtId="0" fontId="10" fillId="4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general" vertical="bottom"/>
    </xf>
    <xf numFmtId="164" fontId="6" fillId="0" borderId="2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4" fontId="6" fillId="5" borderId="0" applyAlignment="1" pivotButton="0" quotePrefix="0" xfId="0">
      <alignment horizontal="general" vertical="bottom"/>
    </xf>
    <xf numFmtId="0" fontId="6" fillId="5" borderId="2" applyAlignment="1" pivotButton="0" quotePrefix="0" xfId="0">
      <alignment horizontal="general" vertical="bottom"/>
    </xf>
    <xf numFmtId="164" fontId="6" fillId="5" borderId="2" applyAlignment="1" pivotButton="0" quotePrefix="0" xfId="0">
      <alignment horizontal="general" vertical="bottom"/>
    </xf>
    <xf numFmtId="164" fontId="0" fillId="0" borderId="2" applyAlignment="1" pivotButton="0" quotePrefix="0" xfId="0">
      <alignment horizontal="general" vertical="bottom"/>
    </xf>
    <xf numFmtId="165" fontId="6" fillId="5" borderId="2" applyAlignment="1" pivotButton="0" quotePrefix="0" xfId="0">
      <alignment horizontal="general" vertical="bottom"/>
    </xf>
    <xf numFmtId="165" fontId="0" fillId="0" borderId="2" applyAlignment="1" pivotButton="0" quotePrefix="0" xfId="0">
      <alignment horizontal="general" vertical="bottom"/>
    </xf>
    <xf numFmtId="0" fontId="5" fillId="6" borderId="0" applyAlignment="1" pivotButton="0" quotePrefix="0" xfId="0">
      <alignment horizontal="general" vertical="bottom"/>
    </xf>
    <xf numFmtId="166" fontId="6" fillId="5" borderId="2" applyAlignment="1" pivotButton="0" quotePrefix="0" xfId="0">
      <alignment horizontal="general" vertical="bottom"/>
    </xf>
    <xf numFmtId="167" fontId="14" fillId="7" borderId="2" applyAlignment="1" pivotButton="0" quotePrefix="0" xfId="0">
      <alignment horizontal="general" vertical="bottom"/>
    </xf>
    <xf numFmtId="167" fontId="0" fillId="0" borderId="2" applyAlignment="1" pivotButton="0" quotePrefix="0" xfId="0">
      <alignment horizontal="general" vertical="bottom"/>
    </xf>
    <xf numFmtId="168" fontId="0" fillId="0" borderId="2" applyAlignment="1" pivotButton="0" quotePrefix="0" xfId="0">
      <alignment horizontal="general" vertical="bottom"/>
    </xf>
    <xf numFmtId="167" fontId="6" fillId="5" borderId="2" applyAlignment="1" pivotButton="0" quotePrefix="0" xfId="0">
      <alignment horizontal="general" vertical="bottom"/>
    </xf>
    <xf numFmtId="169" fontId="6" fillId="5" borderId="2" applyAlignment="1" pivotButton="0" quotePrefix="0" xfId="0">
      <alignment horizontal="general" vertical="bottom"/>
    </xf>
    <xf numFmtId="168" fontId="6" fillId="5" borderId="2" applyAlignment="1" pivotButton="0" quotePrefix="0" xfId="0">
      <alignment horizontal="general" vertical="bottom"/>
    </xf>
    <xf numFmtId="169" fontId="0" fillId="0" borderId="2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2" fontId="6" fillId="5" borderId="2" applyAlignment="1" pivotButton="0" quotePrefix="0" xfId="0">
      <alignment horizontal="general" vertical="bottom"/>
    </xf>
    <xf numFmtId="0" fontId="5" fillId="0" borderId="2" applyAlignment="1" pivotButton="0" quotePrefix="0" xfId="0">
      <alignment horizontal="general" vertical="bottom"/>
    </xf>
    <xf numFmtId="164" fontId="14" fillId="7" borderId="2" applyAlignment="1" pivotButton="0" quotePrefix="0" xfId="0">
      <alignment horizontal="general" vertical="bottom"/>
    </xf>
    <xf numFmtId="165" fontId="5" fillId="0" borderId="2" applyAlignment="1" pivotButton="0" quotePrefix="0" xfId="0">
      <alignment horizontal="general" vertical="bottom"/>
    </xf>
    <xf numFmtId="167" fontId="13" fillId="0" borderId="2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167" fontId="6" fillId="0" borderId="2" applyAlignment="1" pivotButton="0" quotePrefix="0" xfId="0">
      <alignment horizontal="general" vertical="bottom"/>
    </xf>
    <xf numFmtId="164" fontId="13" fillId="0" borderId="2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9EA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7B7B7"/>
      <rgbColor rgb="FF17365D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C8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8" min="1" max="1"/>
    <col width="30" customWidth="1" style="38" min="2" max="2"/>
    <col width="40" customWidth="1" style="38" min="3" max="3"/>
    <col width="4" customWidth="1" style="38" min="4" max="4"/>
  </cols>
  <sheetData>
    <row r="2" ht="19.7" customHeight="1" s="39">
      <c r="B2" s="40" t="inlineStr">
        <is>
          <t>[TOKEN] — Crypto / Digital Asset Model</t>
        </is>
      </c>
    </row>
    <row r="4" ht="15" customHeight="1" s="39">
      <c r="B4" s="41" t="inlineStr">
        <is>
          <t>Protocol:</t>
        </is>
      </c>
      <c r="C4" s="42" t="inlineStr">
        <is>
          <t>[fill in]</t>
        </is>
      </c>
    </row>
    <row r="5" ht="15" customHeight="1" s="39">
      <c r="B5" s="41" t="inlineStr">
        <is>
          <t>Chain / L1-L2:</t>
        </is>
      </c>
      <c r="C5" s="42" t="inlineStr">
        <is>
          <t>[fill in]</t>
        </is>
      </c>
    </row>
    <row r="6" ht="15" customHeight="1" s="39">
      <c r="B6" s="41" t="inlineStr">
        <is>
          <t>Last refreshed:</t>
        </is>
      </c>
      <c r="C6" s="43" t="inlineStr">
        <is>
          <t>2023-12-31</t>
        </is>
      </c>
    </row>
    <row r="7" ht="15" customHeight="1" s="39">
      <c r="B7" s="41" t="inlineStr">
        <is>
          <t>Next unlock/emission event:</t>
        </is>
      </c>
      <c r="C7" s="42" t="inlineStr">
        <is>
          <t>[date]</t>
        </is>
      </c>
    </row>
    <row r="8" ht="15" customHeight="1" s="39">
      <c r="B8" s="41" t="inlineStr">
        <is>
          <t>Refresh cadence:</t>
        </is>
      </c>
      <c r="C8" s="42" t="inlineStr">
        <is>
          <t>Weekly (daily around unlocks)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B2:F6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26" customWidth="1" style="38" min="2" max="2"/>
    <col width="48" customWidth="1" style="38" min="3" max="3"/>
    <col width="24" customWidth="1" style="38" min="4" max="4"/>
    <col width="34" customWidth="1" style="38" min="5" max="5"/>
    <col width="20" customWidth="1" style="38" min="6" max="6"/>
  </cols>
  <sheetData>
    <row r="2" ht="18.55" customHeight="1" s="39">
      <c r="B2" s="44" t="inlineStr">
        <is>
          <t>Crypto &amp; Digital Assets — Institutional Decision Surface</t>
        </is>
      </c>
    </row>
    <row r="4" ht="15" customHeight="1" s="39">
      <c r="B4" s="45" t="inlineStr">
        <is>
          <t>Model ID</t>
        </is>
      </c>
      <c r="C4" s="46" t="inlineStr">
        <is>
          <t>16</t>
        </is>
      </c>
    </row>
    <row r="5" ht="15" customHeight="1" s="39">
      <c r="B5" s="45" t="inlineStr">
        <is>
          <t>Domain</t>
        </is>
      </c>
      <c r="C5" s="46" t="inlineStr">
        <is>
          <t>Crypto &amp; Digital Assets</t>
        </is>
      </c>
    </row>
    <row r="6" ht="15" customHeight="1" s="39">
      <c r="B6" s="45" t="inlineStr">
        <is>
          <t>Declared maturity</t>
        </is>
      </c>
      <c r="C6" s="46" t="inlineStr">
        <is>
          <t>M2</t>
        </is>
      </c>
    </row>
    <row r="7" ht="15" customHeight="1" s="39">
      <c r="B7" s="45" t="inlineStr">
        <is>
          <t>Canonical builder</t>
        </is>
      </c>
      <c r="C7" s="46" t="inlineStr">
        <is>
          <t>tools/builders/build_crypto_release.py</t>
        </is>
      </c>
    </row>
    <row r="8" ht="15" customHeight="1" s="39">
      <c r="B8" s="45" t="inlineStr">
        <is>
          <t>Decision arena</t>
        </is>
      </c>
      <c r="C8" s="46" t="inlineStr">
        <is>
          <t>protocol treasury, investment committee, market making, risk and custody</t>
        </is>
      </c>
    </row>
    <row r="9" ht="15" customHeight="1" s="39">
      <c r="B9" s="45" t="inlineStr">
        <is>
          <t>Committee artifact</t>
        </is>
      </c>
      <c r="C9" s="46" t="inlineStr">
        <is>
          <t>token economics and treasury risk pack</t>
        </is>
      </c>
    </row>
    <row r="10" ht="15" customHeight="1" s="39">
      <c r="B10" s="45" t="inlineStr">
        <is>
          <t>Operating cadence</t>
        </is>
      </c>
      <c r="C10" s="46" t="inlineStr">
        <is>
          <t>intraday liquidity; daily treasury; governance-event driven</t>
        </is>
      </c>
    </row>
    <row r="12" ht="15" customHeight="1" s="39">
      <c r="B12" s="47" t="inlineStr">
        <is>
          <t>Key decision outputs</t>
        </is>
      </c>
    </row>
    <row r="13" ht="15" customHeight="1" s="39">
      <c r="B13" s="48" t="inlineStr">
        <is>
          <t>#</t>
        </is>
      </c>
      <c r="C13" s="48" t="inlineStr">
        <is>
          <t>Requirement</t>
        </is>
      </c>
      <c r="D13" s="48" t="inlineStr">
        <is>
          <t>Owner</t>
        </is>
      </c>
      <c r="E13" s="48" t="inlineStr">
        <is>
          <t>Evidence / location</t>
        </is>
      </c>
      <c r="F13" s="48" t="inlineStr">
        <is>
          <t>Status</t>
        </is>
      </c>
    </row>
    <row r="14" ht="15" customHeight="1" s="39">
      <c r="B14" s="38" t="n">
        <v>1</v>
      </c>
      <c r="C14" s="38" t="inlineStr">
        <is>
          <t>circulating and fully diluted supply</t>
        </is>
      </c>
      <c r="F14" s="38" t="inlineStr">
        <is>
          <t>OPEN</t>
        </is>
      </c>
    </row>
    <row r="15" ht="15" customHeight="1" s="39">
      <c r="B15" s="38" t="n">
        <v>2</v>
      </c>
      <c r="C15" s="38" t="inlineStr">
        <is>
          <t>unlock and sell-pressure schedule</t>
        </is>
      </c>
      <c r="F15" s="38" t="inlineStr">
        <is>
          <t>OPEN</t>
        </is>
      </c>
    </row>
    <row r="16" ht="15" customHeight="1" s="39">
      <c r="B16" s="38" t="n">
        <v>3</v>
      </c>
      <c r="C16" s="38" t="inlineStr">
        <is>
          <t>staking yield net of dilution</t>
        </is>
      </c>
      <c r="F16" s="38" t="inlineStr">
        <is>
          <t>OPEN</t>
        </is>
      </c>
    </row>
    <row r="17" ht="15" customHeight="1" s="39">
      <c r="B17" s="38" t="n">
        <v>4</v>
      </c>
      <c r="C17" s="38" t="inlineStr">
        <is>
          <t>base, downside and break-even outputs</t>
        </is>
      </c>
      <c r="F17" s="38" t="inlineStr">
        <is>
          <t>OPEN</t>
        </is>
      </c>
    </row>
    <row r="18" ht="15" customHeight="1" s="39">
      <c r="B18" s="38" t="n">
        <v>5</v>
      </c>
      <c r="C18" s="38" t="inlineStr">
        <is>
          <t>liquidity / funding requirement and binding constraint</t>
        </is>
      </c>
      <c r="F18" s="38" t="inlineStr">
        <is>
          <t>OPEN</t>
        </is>
      </c>
    </row>
    <row r="20" ht="15" customHeight="1" s="39">
      <c r="B20" s="47" t="inlineStr">
        <is>
          <t>Insider questions</t>
        </is>
      </c>
    </row>
    <row r="21" ht="15" customHeight="1" s="39">
      <c r="B21" s="48" t="inlineStr">
        <is>
          <t>#</t>
        </is>
      </c>
      <c r="C21" s="48" t="inlineStr">
        <is>
          <t>Requirement</t>
        </is>
      </c>
      <c r="D21" s="48" t="inlineStr">
        <is>
          <t>Owner</t>
        </is>
      </c>
      <c r="E21" s="48" t="inlineStr">
        <is>
          <t>Evidence / location</t>
        </is>
      </c>
      <c r="F21" s="48" t="inlineStr">
        <is>
          <t>Status</t>
        </is>
      </c>
    </row>
    <row r="22" ht="15" customHeight="1" s="39">
      <c r="B22" s="38" t="n">
        <v>1</v>
      </c>
      <c r="C22" s="38" t="inlineStr">
        <is>
          <t>Who can actually sell at each unlock?</t>
        </is>
      </c>
      <c r="F22" s="38" t="inlineStr">
        <is>
          <t>OPEN</t>
        </is>
      </c>
    </row>
    <row r="23" ht="15" customHeight="1" s="39">
      <c r="B23" s="38" t="n">
        <v>2</v>
      </c>
      <c r="C23" s="38" t="inlineStr">
        <is>
          <t>What yield remains after dilution?</t>
        </is>
      </c>
      <c r="F23" s="38" t="inlineStr">
        <is>
          <t>OPEN</t>
        </is>
      </c>
    </row>
    <row r="24" ht="15" customHeight="1" s="39">
      <c r="B24" s="38" t="n">
        <v>3</v>
      </c>
      <c r="C24" s="38" t="inlineStr">
        <is>
          <t>Which wallets and bridges are critical dependencies?</t>
        </is>
      </c>
      <c r="F24" s="38" t="inlineStr">
        <is>
          <t>OPEN</t>
        </is>
      </c>
    </row>
    <row r="25" ht="15" customHeight="1" s="39">
      <c r="B25" s="38" t="n">
        <v>4</v>
      </c>
      <c r="C25" s="38" t="inlineStr">
        <is>
          <t>Which assumption is owner-approved versus modeler judgement?</t>
        </is>
      </c>
      <c r="F25" s="38" t="inlineStr">
        <is>
          <t>OPEN</t>
        </is>
      </c>
    </row>
    <row r="26" ht="15" customHeight="1" s="39">
      <c r="B26" s="38" t="n">
        <v>5</v>
      </c>
      <c r="C26" s="38" t="inlineStr">
        <is>
          <t>What fails first and who must act?</t>
        </is>
      </c>
      <c r="F26" s="38" t="inlineStr">
        <is>
          <t>OPEN</t>
        </is>
      </c>
    </row>
    <row r="28" ht="15" customHeight="1" s="39">
      <c r="B28" s="47" t="inlineStr">
        <is>
          <t>Scenario families</t>
        </is>
      </c>
    </row>
    <row r="29" ht="15" customHeight="1" s="39">
      <c r="B29" s="48" t="inlineStr">
        <is>
          <t>#</t>
        </is>
      </c>
      <c r="C29" s="48" t="inlineStr">
        <is>
          <t>Requirement</t>
        </is>
      </c>
      <c r="D29" s="48" t="inlineStr">
        <is>
          <t>Owner</t>
        </is>
      </c>
      <c r="E29" s="48" t="inlineStr">
        <is>
          <t>Evidence / location</t>
        </is>
      </c>
      <c r="F29" s="48" t="inlineStr">
        <is>
          <t>Status</t>
        </is>
      </c>
    </row>
    <row r="30" ht="15" customHeight="1" s="39">
      <c r="B30" s="38" t="n">
        <v>1</v>
      </c>
      <c r="C30" s="38" t="inlineStr">
        <is>
          <t>unlock cliff</t>
        </is>
      </c>
      <c r="F30" s="38" t="inlineStr">
        <is>
          <t>OPEN</t>
        </is>
      </c>
    </row>
    <row r="31" ht="15" customHeight="1" s="39">
      <c r="B31" s="38" t="n">
        <v>2</v>
      </c>
      <c r="C31" s="38" t="inlineStr">
        <is>
          <t>validator / staking shock</t>
        </is>
      </c>
      <c r="F31" s="38" t="inlineStr">
        <is>
          <t>OPEN</t>
        </is>
      </c>
    </row>
    <row r="32" ht="15" customHeight="1" s="39">
      <c r="B32" s="38" t="n">
        <v>3</v>
      </c>
      <c r="C32" s="38" t="inlineStr">
        <is>
          <t>depeg or bridge failure</t>
        </is>
      </c>
      <c r="F32" s="38" t="inlineStr">
        <is>
          <t>OPEN</t>
        </is>
      </c>
    </row>
    <row r="33" ht="15" customHeight="1" s="39">
      <c r="B33" s="38" t="n">
        <v>4</v>
      </c>
      <c r="C33" s="38" t="inlineStr">
        <is>
          <t>data freshness / source failure</t>
        </is>
      </c>
      <c r="F33" s="38" t="inlineStr">
        <is>
          <t>OPEN</t>
        </is>
      </c>
    </row>
    <row r="34" ht="15" customHeight="1" s="39">
      <c r="B34" s="38" t="n">
        <v>5</v>
      </c>
      <c r="C34" s="38" t="inlineStr">
        <is>
          <t>combined severe-but-plausible downside</t>
        </is>
      </c>
      <c r="F34" s="38" t="inlineStr">
        <is>
          <t>OPEN</t>
        </is>
      </c>
    </row>
    <row r="36" ht="15" customHeight="1" s="39">
      <c r="B36" s="47" t="inlineStr">
        <is>
          <t>Primary diligence documents</t>
        </is>
      </c>
    </row>
    <row r="37" ht="15" customHeight="1" s="39">
      <c r="B37" s="48" t="inlineStr">
        <is>
          <t>#</t>
        </is>
      </c>
      <c r="C37" s="48" t="inlineStr">
        <is>
          <t>Requirement</t>
        </is>
      </c>
      <c r="D37" s="48" t="inlineStr">
        <is>
          <t>Owner</t>
        </is>
      </c>
      <c r="E37" s="48" t="inlineStr">
        <is>
          <t>Evidence / location</t>
        </is>
      </c>
      <c r="F37" s="48" t="inlineStr">
        <is>
          <t>Status</t>
        </is>
      </c>
    </row>
    <row r="38" ht="15" customHeight="1" s="39">
      <c r="B38" s="38" t="n">
        <v>1</v>
      </c>
      <c r="C38" s="38" t="inlineStr">
        <is>
          <t>token allocation and vesting contracts</t>
        </is>
      </c>
      <c r="F38" s="38" t="inlineStr">
        <is>
          <t>OPEN</t>
        </is>
      </c>
    </row>
    <row r="39" ht="15" customHeight="1" s="39">
      <c r="B39" s="38" t="n">
        <v>2</v>
      </c>
      <c r="C39" s="38" t="inlineStr">
        <is>
          <t>governance proposals</t>
        </is>
      </c>
      <c r="F39" s="38" t="inlineStr">
        <is>
          <t>OPEN</t>
        </is>
      </c>
    </row>
    <row r="40" ht="15" customHeight="1" s="39">
      <c r="B40" s="38" t="n">
        <v>3</v>
      </c>
      <c r="C40" s="38" t="inlineStr">
        <is>
          <t>custody and staking agreements</t>
        </is>
      </c>
      <c r="F40" s="38" t="inlineStr">
        <is>
          <t>OPEN</t>
        </is>
      </c>
    </row>
    <row r="41" ht="15" customHeight="1" s="39">
      <c r="B41" s="38" t="n">
        <v>4</v>
      </c>
      <c r="C41" s="38" t="inlineStr">
        <is>
          <t>approved model card and assumption register</t>
        </is>
      </c>
      <c r="F41" s="38" t="inlineStr">
        <is>
          <t>OPEN</t>
        </is>
      </c>
    </row>
    <row r="42" ht="15" customHeight="1" s="39">
      <c r="B42" s="38" t="n">
        <v>5</v>
      </c>
      <c r="C42" s="38" t="inlineStr">
        <is>
          <t>independent validation and challenge record</t>
        </is>
      </c>
      <c r="F42" s="38" t="inlineStr">
        <is>
          <t>OPEN</t>
        </is>
      </c>
    </row>
    <row r="44" ht="15" customHeight="1" s="39">
      <c r="B44" s="47" t="inlineStr">
        <is>
          <t>Challenge tests</t>
        </is>
      </c>
    </row>
    <row r="45" ht="15" customHeight="1" s="39">
      <c r="B45" s="48" t="inlineStr">
        <is>
          <t>#</t>
        </is>
      </c>
      <c r="C45" s="48" t="inlineStr">
        <is>
          <t>Requirement</t>
        </is>
      </c>
      <c r="D45" s="48" t="inlineStr">
        <is>
          <t>Owner</t>
        </is>
      </c>
      <c r="E45" s="48" t="inlineStr">
        <is>
          <t>Evidence / location</t>
        </is>
      </c>
      <c r="F45" s="48" t="inlineStr">
        <is>
          <t>Status</t>
        </is>
      </c>
    </row>
    <row r="46" ht="15" customHeight="1" s="39">
      <c r="B46" s="38" t="n">
        <v>1</v>
      </c>
      <c r="C46" s="38" t="inlineStr">
        <is>
          <t>supply roll-forward conserves</t>
        </is>
      </c>
      <c r="F46" s="38" t="inlineStr">
        <is>
          <t>OPEN</t>
        </is>
      </c>
    </row>
    <row r="47" ht="15" customHeight="1" s="39">
      <c r="B47" s="38" t="n">
        <v>2</v>
      </c>
      <c r="C47" s="38" t="inlineStr">
        <is>
          <t>staking yield separates real yield and dilution</t>
        </is>
      </c>
      <c r="F47" s="38" t="inlineStr">
        <is>
          <t>OPEN</t>
        </is>
      </c>
    </row>
    <row r="48" ht="15" customHeight="1" s="39">
      <c r="B48" s="38" t="n">
        <v>3</v>
      </c>
      <c r="C48" s="38" t="inlineStr">
        <is>
          <t>treasury wallets reconcile</t>
        </is>
      </c>
      <c r="F48" s="38" t="inlineStr">
        <is>
          <t>OPEN</t>
        </is>
      </c>
    </row>
    <row r="49" ht="15" customHeight="1" s="39">
      <c r="B49" s="38" t="n">
        <v>4</v>
      </c>
      <c r="C49" s="38" t="inlineStr">
        <is>
          <t>source-to-model lineage is reproducible</t>
        </is>
      </c>
      <c r="F49" s="38" t="inlineStr">
        <is>
          <t>OPEN</t>
        </is>
      </c>
    </row>
    <row r="50" ht="15" customHeight="1" s="39">
      <c r="B50" s="38" t="n">
        <v>5</v>
      </c>
      <c r="C50" s="38" t="inlineStr">
        <is>
          <t>units, signs, dates and legal definitions reconcile</t>
        </is>
      </c>
      <c r="F50" s="38" t="inlineStr">
        <is>
          <t>OPEN</t>
        </is>
      </c>
    </row>
    <row r="52" ht="15" customHeight="1" s="39">
      <c r="B52" s="47" t="inlineStr">
        <is>
          <t>Known failure modes</t>
        </is>
      </c>
    </row>
    <row r="53" ht="15" customHeight="1" s="39">
      <c r="B53" s="48" t="inlineStr">
        <is>
          <t>#</t>
        </is>
      </c>
      <c r="C53" s="48" t="inlineStr">
        <is>
          <t>Requirement</t>
        </is>
      </c>
      <c r="D53" s="48" t="inlineStr">
        <is>
          <t>Owner</t>
        </is>
      </c>
      <c r="E53" s="48" t="inlineStr">
        <is>
          <t>Evidence / location</t>
        </is>
      </c>
      <c r="F53" s="48" t="inlineStr">
        <is>
          <t>Status</t>
        </is>
      </c>
    </row>
    <row r="54" ht="15" customHeight="1" s="39">
      <c r="B54" s="38" t="n">
        <v>1</v>
      </c>
      <c r="C54" s="38" t="inlineStr">
        <is>
          <t>using FDV without float dynamics</t>
        </is>
      </c>
      <c r="F54" s="38" t="inlineStr">
        <is>
          <t>OPEN</t>
        </is>
      </c>
    </row>
    <row r="55" ht="15" customHeight="1" s="39">
      <c r="B55" s="38" t="n">
        <v>2</v>
      </c>
      <c r="C55" s="38" t="inlineStr">
        <is>
          <t>counting token incentives as revenue</t>
        </is>
      </c>
      <c r="F55" s="38" t="inlineStr">
        <is>
          <t>OPEN</t>
        </is>
      </c>
    </row>
    <row r="56" ht="15" customHeight="1" s="39">
      <c r="B56" s="38" t="n">
        <v>3</v>
      </c>
      <c r="C56" s="38" t="inlineStr">
        <is>
          <t>ignoring validator concentration</t>
        </is>
      </c>
      <c r="F56" s="38" t="inlineStr">
        <is>
          <t>OPEN</t>
        </is>
      </c>
    </row>
    <row r="57" ht="15" customHeight="1" s="39">
      <c r="B57" s="38" t="n">
        <v>4</v>
      </c>
      <c r="C57" s="38" t="inlineStr">
        <is>
          <t>stale vintage presented as current</t>
        </is>
      </c>
      <c r="F57" s="38" t="inlineStr">
        <is>
          <t>OPEN</t>
        </is>
      </c>
    </row>
    <row r="58" ht="15" customHeight="1" s="39">
      <c r="B58" s="38" t="n">
        <v>5</v>
      </c>
      <c r="C58" s="38" t="inlineStr">
        <is>
          <t>decision output disconnected from a binding constraint</t>
        </is>
      </c>
      <c r="F58" s="38" t="inlineStr">
        <is>
          <t>OPEN</t>
        </is>
      </c>
    </row>
    <row r="60" ht="15" customHeight="1" s="39">
      <c r="B60" s="47" t="inlineStr">
        <is>
          <t>Regulatory / methodological anchors</t>
        </is>
      </c>
    </row>
    <row r="61" ht="15" customHeight="1" s="39">
      <c r="B61" s="48" t="inlineStr">
        <is>
          <t>Standard</t>
        </is>
      </c>
      <c r="C61" s="48" t="inlineStr">
        <is>
          <t>Scope</t>
        </is>
      </c>
      <c r="D61" s="48" t="inlineStr">
        <is>
          <t>Source URL</t>
        </is>
      </c>
      <c r="E61" s="48" t="inlineStr">
        <is>
          <t>Applicability</t>
        </is>
      </c>
      <c r="F61" s="48" t="inlineStr">
        <is>
          <t>Review note</t>
        </is>
      </c>
    </row>
    <row r="62" ht="15" customHeight="1" s="39">
      <c r="B62" s="38" t="inlineStr">
        <is>
          <t>Federal Reserve SR 26-2 Model Risk Management</t>
        </is>
      </c>
      <c r="C62" s="38" t="inlineStr">
        <is>
          <t>governance, validation, change control, monitoring</t>
        </is>
      </c>
      <c r="D62" s="38" t="inlineStr">
        <is>
          <t>https://www.federalreserve.gov/supervisionreg/srletters/SR2602.htm</t>
        </is>
      </c>
      <c r="E62" s="38" t="inlineStr">
        <is>
          <t>Map explicitly</t>
        </is>
      </c>
    </row>
    <row r="63" ht="15" customHeight="1" s="39">
      <c r="B63" s="38" t="inlineStr">
        <is>
          <t>SEC SAB 122</t>
        </is>
      </c>
      <c r="C63" s="38" t="inlineStr">
        <is>
          <t>crypto safeguarding accounting</t>
        </is>
      </c>
      <c r="D63" s="38" t="inlineStr">
        <is>
          <t>https://www.sec.gov/rules-regulations/staff-guidance/staff-accounting-bulletins/staff-accounting-bulletin-122</t>
        </is>
      </c>
      <c r="E63" s="38" t="inlineStr">
        <is>
          <t>Map explicitly</t>
        </is>
      </c>
    </row>
  </sheetData>
  <mergeCells count="15">
    <mergeCell ref="B44:F44"/>
    <mergeCell ref="C9:F9"/>
    <mergeCell ref="B12:F12"/>
    <mergeCell ref="B2:F2"/>
    <mergeCell ref="C8:F8"/>
    <mergeCell ref="C4:F4"/>
    <mergeCell ref="B20:F20"/>
    <mergeCell ref="B28:F28"/>
    <mergeCell ref="C6:F6"/>
    <mergeCell ref="C7:F7"/>
    <mergeCell ref="B60:F60"/>
    <mergeCell ref="B36:F36"/>
    <mergeCell ref="C10:F10"/>
    <mergeCell ref="C5:F5"/>
    <mergeCell ref="B52:F52"/>
  </mergeCells>
  <dataValidations count="6">
    <dataValidation sqref="F14:F18" showDropDown="0" showInputMessage="0" showErrorMessage="0" allowBlank="0" type="list" errorStyle="stop" operator="between">
      <formula1>"OPEN,IN REVIEW,CLOSED,NOT APPLICABLE"</formula1>
      <formula2>0</formula2>
    </dataValidation>
    <dataValidation sqref="F22:F26" showDropDown="0" showInputMessage="0" showErrorMessage="0" allowBlank="0" type="list" errorStyle="stop" operator="between">
      <formula1>"OPEN,IN REVIEW,CLOSED,NOT APPLICABLE"</formula1>
      <formula2>0</formula2>
    </dataValidation>
    <dataValidation sqref="F30:F34" showDropDown="0" showInputMessage="0" showErrorMessage="0" allowBlank="0" type="list" errorStyle="stop" operator="between">
      <formula1>"OPEN,IN REVIEW,CLOSED,NOT APPLICABLE"</formula1>
      <formula2>0</formula2>
    </dataValidation>
    <dataValidation sqref="F38:F42" showDropDown="0" showInputMessage="0" showErrorMessage="0" allowBlank="0" type="list" errorStyle="stop" operator="between">
      <formula1>"OPEN,IN REVIEW,CLOSED,NOT APPLICABLE"</formula1>
      <formula2>0</formula2>
    </dataValidation>
    <dataValidation sqref="F46:F50" showDropDown="0" showInputMessage="0" showErrorMessage="0" allowBlank="0" type="list" errorStyle="stop" operator="between">
      <formula1>"OPEN,IN REVIEW,CLOSED,NOT APPLICABLE"</formula1>
      <formula2>0</formula2>
    </dataValidation>
    <dataValidation sqref="F54:F58" showDropDown="0" showInputMessage="0" showErrorMessage="0" allowBlank="0" type="list" errorStyle="stop" operator="between">
      <formula1>"OPEN,IN REVIEW,CLOSED,NOT APPLICABLE"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B2:I5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13" customWidth="1" style="38" min="2" max="2"/>
    <col width="22" customWidth="1" style="38" min="3" max="3"/>
    <col width="52" customWidth="1" style="38" min="4" max="4"/>
    <col width="46" customWidth="1" style="38" min="5" max="5"/>
    <col width="36" customWidth="1" style="38" min="6" max="6"/>
    <col width="14" customWidth="1" style="38" min="7" max="7"/>
    <col width="18" customWidth="1" style="38" min="8" max="8"/>
    <col width="14" customWidth="1" style="38" min="9" max="9"/>
  </cols>
  <sheetData>
    <row r="2" ht="18.55" customHeight="1" s="39">
      <c r="B2" s="44" t="inlineStr">
        <is>
          <t>Independent Challenge, Override and Closure Log</t>
        </is>
      </c>
    </row>
    <row r="4" ht="15" customHeight="1" s="39">
      <c r="B4" s="48" t="inlineStr">
        <is>
          <t>Date</t>
        </is>
      </c>
      <c r="C4" s="48" t="inlineStr">
        <is>
          <t>Reviewer</t>
        </is>
      </c>
      <c r="D4" s="48" t="inlineStr">
        <is>
          <t>Challenge</t>
        </is>
      </c>
      <c r="E4" s="48" t="inlineStr">
        <is>
          <t>Owner response</t>
        </is>
      </c>
      <c r="F4" s="48" t="inlineStr">
        <is>
          <t>Evidence</t>
        </is>
      </c>
      <c r="G4" s="48" t="inlineStr">
        <is>
          <t>Impact</t>
        </is>
      </c>
      <c r="H4" s="48" t="inlineStr">
        <is>
          <t>Status</t>
        </is>
      </c>
      <c r="I4" s="48" t="inlineStr">
        <is>
          <t>Closure</t>
        </is>
      </c>
    </row>
    <row r="5" ht="15" customHeight="1" s="39">
      <c r="D5" s="38" t="inlineStr">
        <is>
          <t>supply roll-forward conserves</t>
        </is>
      </c>
      <c r="H5" s="38" t="inlineStr">
        <is>
          <t>OPEN</t>
        </is>
      </c>
    </row>
    <row r="6" ht="15" customHeight="1" s="39">
      <c r="D6" s="38" t="inlineStr">
        <is>
          <t>staking yield separates real yield and dilution</t>
        </is>
      </c>
      <c r="H6" s="38" t="inlineStr">
        <is>
          <t>OPEN</t>
        </is>
      </c>
    </row>
    <row r="7" ht="15" customHeight="1" s="39">
      <c r="D7" s="38" t="inlineStr">
        <is>
          <t>treasury wallets reconcile</t>
        </is>
      </c>
      <c r="H7" s="38" t="inlineStr">
        <is>
          <t>OPEN</t>
        </is>
      </c>
    </row>
    <row r="8" ht="15" customHeight="1" s="39">
      <c r="D8" s="38" t="inlineStr">
        <is>
          <t>source-to-model lineage is reproducible</t>
        </is>
      </c>
      <c r="H8" s="38" t="inlineStr">
        <is>
          <t>OPEN</t>
        </is>
      </c>
    </row>
    <row r="9" ht="15" customHeight="1" s="39">
      <c r="D9" s="38" t="inlineStr">
        <is>
          <t>units, signs, dates and legal definitions reconcile</t>
        </is>
      </c>
      <c r="H9" s="38" t="inlineStr">
        <is>
          <t>OPEN</t>
        </is>
      </c>
    </row>
    <row r="10" ht="15" customHeight="1" s="39">
      <c r="H10" s="38" t="n"/>
    </row>
    <row r="11" ht="15" customHeight="1" s="39">
      <c r="H11" s="38" t="n"/>
    </row>
    <row r="12" ht="15" customHeight="1" s="39">
      <c r="H12" s="38" t="n"/>
    </row>
    <row r="13" ht="15" customHeight="1" s="39">
      <c r="H13" s="38" t="n"/>
    </row>
    <row r="14" ht="15" customHeight="1" s="39">
      <c r="H14" s="38" t="n"/>
    </row>
    <row r="15" ht="15" customHeight="1" s="39">
      <c r="H15" s="38" t="n"/>
    </row>
    <row r="16" ht="15" customHeight="1" s="39">
      <c r="H16" s="38" t="n"/>
    </row>
    <row r="17" ht="15" customHeight="1" s="39">
      <c r="H17" s="38" t="n"/>
    </row>
    <row r="18" ht="15" customHeight="1" s="39">
      <c r="H18" s="38" t="n"/>
    </row>
    <row r="19" ht="15" customHeight="1" s="39">
      <c r="H19" s="38" t="n"/>
    </row>
    <row r="20" ht="15" customHeight="1" s="39">
      <c r="H20" s="38" t="n"/>
    </row>
    <row r="21" ht="15" customHeight="1" s="39">
      <c r="H21" s="38" t="n"/>
    </row>
    <row r="22" ht="15" customHeight="1" s="39">
      <c r="H22" s="38" t="n"/>
    </row>
    <row r="23" ht="15" customHeight="1" s="39">
      <c r="H23" s="38" t="n"/>
    </row>
    <row r="24" ht="15" customHeight="1" s="39">
      <c r="H24" s="38" t="n"/>
    </row>
    <row r="25" ht="15" customHeight="1" s="39">
      <c r="H25" s="38" t="n"/>
    </row>
    <row r="26" ht="15" customHeight="1" s="39">
      <c r="H26" s="38" t="n"/>
    </row>
    <row r="27" ht="15" customHeight="1" s="39">
      <c r="H27" s="38" t="n"/>
    </row>
    <row r="28" ht="15" customHeight="1" s="39">
      <c r="H28" s="38" t="n"/>
    </row>
    <row r="29" ht="15" customHeight="1" s="39">
      <c r="H29" s="38" t="n"/>
    </row>
    <row r="30" ht="15" customHeight="1" s="39">
      <c r="H30" s="38" t="n"/>
    </row>
    <row r="31" ht="15" customHeight="1" s="39">
      <c r="H31" s="38" t="n"/>
    </row>
    <row r="32" ht="15" customHeight="1" s="39">
      <c r="H32" s="38" t="n"/>
    </row>
    <row r="33" ht="15" customHeight="1" s="39">
      <c r="H33" s="38" t="n"/>
    </row>
    <row r="34" ht="15" customHeight="1" s="39">
      <c r="H34" s="38" t="n"/>
    </row>
    <row r="35" ht="15" customHeight="1" s="39">
      <c r="H35" s="38" t="n"/>
    </row>
    <row r="36" ht="15" customHeight="1" s="39">
      <c r="H36" s="38" t="n"/>
    </row>
    <row r="37" ht="15" customHeight="1" s="39">
      <c r="H37" s="38" t="n"/>
    </row>
    <row r="38" ht="15" customHeight="1" s="39">
      <c r="H38" s="38" t="n"/>
    </row>
    <row r="39" ht="15" customHeight="1" s="39">
      <c r="H39" s="38" t="n"/>
    </row>
    <row r="40" ht="15" customHeight="1" s="39">
      <c r="H40" s="38" t="n"/>
    </row>
    <row r="41" ht="15" customHeight="1" s="39">
      <c r="H41" s="38" t="n"/>
    </row>
    <row r="42" ht="15" customHeight="1" s="39">
      <c r="H42" s="38" t="n"/>
    </row>
    <row r="43" ht="15" customHeight="1" s="39">
      <c r="H43" s="38" t="n"/>
    </row>
    <row r="44" ht="15" customHeight="1" s="39">
      <c r="H44" s="38" t="n"/>
    </row>
    <row r="45" ht="15" customHeight="1" s="39">
      <c r="H45" s="38" t="n"/>
    </row>
    <row r="46" ht="15" customHeight="1" s="39">
      <c r="H46" s="38" t="n"/>
    </row>
    <row r="47" ht="15" customHeight="1" s="39">
      <c r="H47" s="38" t="n"/>
    </row>
    <row r="48" ht="15" customHeight="1" s="39">
      <c r="H48" s="38" t="n"/>
    </row>
    <row r="49" ht="15" customHeight="1" s="39">
      <c r="H49" s="38" t="n"/>
    </row>
    <row r="50" ht="15" customHeight="1" s="39">
      <c r="H50" s="38" t="n"/>
    </row>
    <row r="51" ht="15" customHeight="1" s="39">
      <c r="H51" s="38" t="n"/>
    </row>
    <row r="52" ht="15" customHeight="1" s="39">
      <c r="H52" s="38" t="n"/>
    </row>
    <row r="53" ht="15" customHeight="1" s="39">
      <c r="H53" s="38" t="n"/>
    </row>
    <row r="54" ht="15" customHeight="1" s="39">
      <c r="H54" s="38" t="n"/>
    </row>
  </sheetData>
  <mergeCells count="1">
    <mergeCell ref="B2:I2"/>
  </mergeCells>
  <dataValidations count="2">
    <dataValidation sqref="H5:H54" showDropDown="0" showInputMessage="0" showErrorMessage="0" allowBlank="0" type="list" errorStyle="stop" operator="between">
      <formula1>"OPEN,IN REVIEW,REMEDIATED,ACCEPTED RISK,CLOSED"</formula1>
      <formula2>0</formula2>
    </dataValidation>
    <dataValidation sqref="G5:G54" showDropDown="0" showInputMessage="0" showErrorMessage="0" allowBlank="0" type="list" errorStyle="stop" operator="between">
      <formula1>"LOW,MEDIUM,HIGH,CRITICAL"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B2:J4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24" customWidth="1" style="38" min="2" max="2"/>
    <col width="18" customWidth="1" style="38" min="3" max="3"/>
    <col width="42" customWidth="1" style="38" min="4" max="4"/>
    <col width="24" customWidth="1" style="38" min="5" max="5"/>
    <col width="18" customWidth="1" style="38" min="6" max="6"/>
    <col width="22" customWidth="1" style="38" min="7" max="7"/>
    <col width="42" customWidth="1" style="38" min="8" max="8"/>
    <col width="30" customWidth="1" style="38" min="9" max="9"/>
    <col width="15" customWidth="1" style="38" min="10" max="10"/>
  </cols>
  <sheetData>
    <row r="2" ht="18.55" customHeight="1" s="39">
      <c r="B2" s="44" t="inlineStr">
        <is>
          <t>Source, Transformation, Ownership and Refresh Map</t>
        </is>
      </c>
    </row>
    <row r="4" ht="15" customHeight="1" s="39">
      <c r="B4" s="48" t="inlineStr">
        <is>
          <t>Source class</t>
        </is>
      </c>
      <c r="C4" s="48" t="inlineStr">
        <is>
          <t>Cadence</t>
        </is>
      </c>
      <c r="D4" s="48" t="inlineStr">
        <is>
          <t>Control</t>
        </is>
      </c>
      <c r="E4" s="48" t="inlineStr">
        <is>
          <t>System / provider</t>
        </is>
      </c>
      <c r="F4" s="48" t="inlineStr">
        <is>
          <t>As-of</t>
        </is>
      </c>
      <c r="G4" s="48" t="inlineStr">
        <is>
          <t>Owner</t>
        </is>
      </c>
      <c r="H4" s="48" t="inlineStr">
        <is>
          <t>Transform</t>
        </is>
      </c>
      <c r="I4" s="48" t="inlineStr">
        <is>
          <t>Downstream</t>
        </is>
      </c>
      <c r="J4" s="48" t="inlineStr">
        <is>
          <t>Status</t>
        </is>
      </c>
    </row>
    <row r="5" ht="15" customHeight="1" s="39">
      <c r="B5" s="38" t="inlineStr">
        <is>
          <t>on-chain supply</t>
        </is>
      </c>
      <c r="C5" s="38" t="inlineStr">
        <is>
          <t>block/daily</t>
        </is>
      </c>
      <c r="D5" s="38" t="inlineStr">
        <is>
          <t>contract and address provenance</t>
        </is>
      </c>
      <c r="J5" s="38" t="inlineStr">
        <is>
          <t>TO MAP</t>
        </is>
      </c>
    </row>
    <row r="6" ht="15" customHeight="1" s="39">
      <c r="B6" s="38" t="inlineStr">
        <is>
          <t>exchange liquidity</t>
        </is>
      </c>
      <c r="C6" s="38" t="inlineStr">
        <is>
          <t>intraday/daily</t>
        </is>
      </c>
      <c r="D6" s="38" t="inlineStr">
        <is>
          <t>venue and pair normalization</t>
        </is>
      </c>
      <c r="J6" s="38" t="inlineStr">
        <is>
          <t>TO MAP</t>
        </is>
      </c>
    </row>
    <row r="7" ht="15" customHeight="1" s="39">
      <c r="B7" s="38" t="inlineStr">
        <is>
          <t>model governance evidence</t>
        </is>
      </c>
      <c r="C7" s="38" t="inlineStr">
        <is>
          <t>per release</t>
        </is>
      </c>
      <c r="D7" s="38" t="inlineStr">
        <is>
          <t>version, reviewer, sign-off and change log</t>
        </is>
      </c>
      <c r="J7" s="38" t="inlineStr">
        <is>
          <t>TO MAP</t>
        </is>
      </c>
    </row>
    <row r="8" ht="15" customHeight="1" s="39">
      <c r="B8" s="38" t="inlineStr">
        <is>
          <t>decision-use snapshot</t>
        </is>
      </c>
      <c r="C8" s="38" t="inlineStr">
        <is>
          <t>per decision</t>
        </is>
      </c>
      <c r="D8" s="38" t="inlineStr">
        <is>
          <t>immutable as-of date and source receipt</t>
        </is>
      </c>
      <c r="J8" s="38" t="inlineStr">
        <is>
          <t>TO MAP</t>
        </is>
      </c>
    </row>
    <row r="9" ht="15" customHeight="1" s="39">
      <c r="J9" s="38" t="n"/>
    </row>
    <row r="10" ht="15" customHeight="1" s="39">
      <c r="J10" s="38" t="n"/>
    </row>
    <row r="11" ht="15" customHeight="1" s="39">
      <c r="J11" s="38" t="n"/>
    </row>
    <row r="12" ht="15" customHeight="1" s="39">
      <c r="J12" s="38" t="n"/>
    </row>
    <row r="13" ht="15" customHeight="1" s="39">
      <c r="J13" s="38" t="n"/>
    </row>
    <row r="14" ht="15" customHeight="1" s="39">
      <c r="J14" s="38" t="n"/>
    </row>
    <row r="15" ht="15" customHeight="1" s="39">
      <c r="J15" s="38" t="n"/>
    </row>
    <row r="16" ht="15" customHeight="1" s="39">
      <c r="J16" s="38" t="n"/>
    </row>
    <row r="17" ht="15" customHeight="1" s="39">
      <c r="J17" s="38" t="n"/>
    </row>
    <row r="18" ht="15" customHeight="1" s="39">
      <c r="J18" s="38" t="n"/>
    </row>
    <row r="19" ht="15" customHeight="1" s="39">
      <c r="J19" s="38" t="n"/>
    </row>
    <row r="20" ht="15" customHeight="1" s="39">
      <c r="J20" s="38" t="n"/>
    </row>
    <row r="21" ht="15" customHeight="1" s="39">
      <c r="J21" s="38" t="n"/>
    </row>
    <row r="22" ht="15" customHeight="1" s="39">
      <c r="J22" s="38" t="n"/>
    </row>
    <row r="23" ht="15" customHeight="1" s="39">
      <c r="J23" s="38" t="n"/>
    </row>
    <row r="24" ht="15" customHeight="1" s="39">
      <c r="J24" s="38" t="n"/>
    </row>
    <row r="25" ht="15" customHeight="1" s="39">
      <c r="J25" s="38" t="n"/>
    </row>
    <row r="26" ht="15" customHeight="1" s="39">
      <c r="J26" s="38" t="n"/>
    </row>
    <row r="27" ht="15" customHeight="1" s="39">
      <c r="J27" s="38" t="n"/>
    </row>
    <row r="28" ht="15" customHeight="1" s="39">
      <c r="J28" s="38" t="n"/>
    </row>
    <row r="29" ht="15" customHeight="1" s="39">
      <c r="J29" s="38" t="n"/>
    </row>
    <row r="30" ht="15" customHeight="1" s="39">
      <c r="J30" s="38" t="n"/>
    </row>
    <row r="31" ht="15" customHeight="1" s="39">
      <c r="J31" s="38" t="n"/>
    </row>
    <row r="32" ht="15" customHeight="1" s="39">
      <c r="J32" s="38" t="n"/>
    </row>
    <row r="33" ht="15" customHeight="1" s="39">
      <c r="J33" s="38" t="n"/>
    </row>
    <row r="34" ht="15" customHeight="1" s="39">
      <c r="J34" s="38" t="n"/>
    </row>
    <row r="35" ht="15" customHeight="1" s="39">
      <c r="J35" s="38" t="n"/>
    </row>
    <row r="36" ht="15" customHeight="1" s="39">
      <c r="J36" s="38" t="n"/>
    </row>
    <row r="37" ht="15" customHeight="1" s="39">
      <c r="J37" s="38" t="n"/>
    </row>
    <row r="38" ht="15" customHeight="1" s="39">
      <c r="J38" s="38" t="n"/>
    </row>
    <row r="39" ht="15" customHeight="1" s="39">
      <c r="J39" s="38" t="n"/>
    </row>
    <row r="40" ht="15" customHeight="1" s="39">
      <c r="J40" s="38" t="n"/>
    </row>
  </sheetData>
  <mergeCells count="1">
    <mergeCell ref="B2:J2"/>
  </mergeCells>
  <dataValidations count="1">
    <dataValidation sqref="J5:J40" showDropDown="0" showInputMessage="0" showErrorMessage="0" allowBlank="0" type="list" errorStyle="stop" operator="between">
      <formula1>"TO MAP,ACTIVE,STALE,EXCEPTION,RETIRED"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2:F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8" min="1" max="1"/>
    <col width="26" customWidth="1" style="38" min="2" max="2"/>
    <col width="14" customWidth="1" style="38" min="3" max="5"/>
    <col width="30" customWidth="1" style="38" min="6" max="6"/>
  </cols>
  <sheetData>
    <row r="2" ht="19.7" customHeight="1" s="39">
      <c r="B2" s="40" t="inlineStr">
        <is>
          <t>Tokenomics — Supply Schedule</t>
        </is>
      </c>
    </row>
    <row r="4" ht="15" customHeight="1" s="39">
      <c r="A4" s="49" t="n"/>
      <c r="B4" s="49" t="inlineStr">
        <is>
          <t>Allocation</t>
        </is>
      </c>
      <c r="C4" s="49" t="inlineStr">
        <is>
          <t>Tokens</t>
        </is>
      </c>
      <c r="D4" s="38" t="inlineStr">
        <is>
          <t>% of max supply</t>
        </is>
      </c>
      <c r="E4" s="38" t="inlineStr">
        <is>
          <t>Unlock start</t>
        </is>
      </c>
      <c r="F4" s="38" t="inlineStr">
        <is>
          <t>Vesting notes</t>
        </is>
      </c>
    </row>
    <row r="5" ht="15" customHeight="1" s="39">
      <c r="B5" s="50" t="inlineStr">
        <is>
          <t>Public / community</t>
        </is>
      </c>
      <c r="C5" s="51" t="n">
        <v>0</v>
      </c>
      <c r="D5" s="52">
        <f>IFERROR(C5/$C$10,"-")</f>
        <v/>
      </c>
      <c r="E5" s="42" t="inlineStr">
        <is>
          <t>[date]</t>
        </is>
      </c>
      <c r="F5" s="53" t="inlineStr">
        <is>
          <t>[cliff / linear vesting terms]</t>
        </is>
      </c>
    </row>
    <row r="6" ht="15" customHeight="1" s="39">
      <c r="B6" s="50" t="inlineStr">
        <is>
          <t>Team &amp; advisors</t>
        </is>
      </c>
      <c r="C6" s="51" t="n">
        <v>0</v>
      </c>
      <c r="D6" s="52">
        <f>IFERROR(C6/$C$10,"-")</f>
        <v/>
      </c>
      <c r="E6" s="42" t="inlineStr">
        <is>
          <t>[date]</t>
        </is>
      </c>
      <c r="F6" s="53" t="inlineStr">
        <is>
          <t>[cliff / linear vesting terms]</t>
        </is>
      </c>
    </row>
    <row r="7" ht="15" customHeight="1" s="39">
      <c r="B7" s="50" t="inlineStr">
        <is>
          <t>Investors (seed/private)</t>
        </is>
      </c>
      <c r="C7" s="51" t="n">
        <v>0</v>
      </c>
      <c r="D7" s="52">
        <f>IFERROR(C7/$C$10,"-")</f>
        <v/>
      </c>
      <c r="E7" s="42" t="inlineStr">
        <is>
          <t>[date]</t>
        </is>
      </c>
      <c r="F7" s="53" t="inlineStr">
        <is>
          <t>[cliff / linear vesting terms]</t>
        </is>
      </c>
    </row>
    <row r="8" ht="15" customHeight="1" s="39">
      <c r="B8" s="50" t="inlineStr">
        <is>
          <t>Treasury / foundation</t>
        </is>
      </c>
      <c r="C8" s="51" t="n">
        <v>0</v>
      </c>
      <c r="D8" s="52">
        <f>IFERROR(C8/$C$10,"-")</f>
        <v/>
      </c>
      <c r="E8" s="42" t="inlineStr">
        <is>
          <t>[date]</t>
        </is>
      </c>
      <c r="F8" s="53" t="inlineStr">
        <is>
          <t>[cliff / linear vesting terms]</t>
        </is>
      </c>
    </row>
    <row r="9" ht="15" customHeight="1" s="39">
      <c r="B9" s="50" t="inlineStr">
        <is>
          <t>Ecosystem incentives / staking rewards</t>
        </is>
      </c>
      <c r="C9" s="51" t="n">
        <v>0</v>
      </c>
      <c r="D9" s="52">
        <f>IFERROR(C9/$C$10,"-")</f>
        <v/>
      </c>
      <c r="E9" s="42" t="inlineStr">
        <is>
          <t>[date]</t>
        </is>
      </c>
      <c r="F9" s="53" t="inlineStr">
        <is>
          <t>[cliff / linear vesting terms]</t>
        </is>
      </c>
    </row>
    <row r="10" ht="15" customHeight="1" s="39">
      <c r="B10" s="41" t="inlineStr">
        <is>
          <t>Max supply</t>
        </is>
      </c>
      <c r="C10" s="54">
        <f>SUM(C5:C9)</f>
        <v/>
      </c>
    </row>
    <row r="12" ht="15" customHeight="1" s="39">
      <c r="B12" s="41" t="inlineStr">
        <is>
          <t>Circulating supply (today)</t>
        </is>
      </c>
      <c r="C12" s="55" t="n">
        <v>0</v>
      </c>
    </row>
    <row r="13" ht="15" customHeight="1" s="39">
      <c r="B13" s="50" t="inlineStr">
        <is>
          <t>Circulating / max supply %</t>
        </is>
      </c>
      <c r="C13" s="52">
        <f>IFERROR(C12/C10,"-")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B2:F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4" customWidth="1" style="38" min="1" max="1"/>
    <col width="42" customWidth="1" style="38" min="2" max="2"/>
    <col width="18" customWidth="1" style="38" min="3" max="5"/>
    <col width="46" customWidth="1" style="38" min="6" max="6"/>
  </cols>
  <sheetData>
    <row r="2" ht="19.7" customHeight="1" s="39">
      <c r="B2" s="40" t="inlineStr">
        <is>
          <t>Token Supply Conservation, Unlocks, and Dilution</t>
        </is>
      </c>
    </row>
    <row r="3" ht="15" customHeight="1" s="39">
      <c r="B3" s="38" t="inlineStr">
        <is>
          <t>Active scenario</t>
        </is>
      </c>
      <c r="C3" s="56" t="inlineStr">
        <is>
          <t>Base</t>
        </is>
      </c>
    </row>
    <row r="4" ht="15" customHeight="1" s="39">
      <c r="B4" s="49" t="inlineStr">
        <is>
          <t>Metric</t>
        </is>
      </c>
      <c r="C4" s="49" t="inlineStr">
        <is>
          <t>Base</t>
        </is>
      </c>
      <c r="D4" s="49" t="inlineStr">
        <is>
          <t>Downside</t>
        </is>
      </c>
      <c r="E4" s="49" t="inlineStr">
        <is>
          <t>Active</t>
        </is>
      </c>
      <c r="F4" s="49" t="inlineStr">
        <is>
          <t>Owner / interpretation</t>
        </is>
      </c>
    </row>
    <row r="5" ht="15" customHeight="1" s="39">
      <c r="B5" s="38" t="inlineStr">
        <is>
          <t>Beginning total supply</t>
        </is>
      </c>
      <c r="C5" s="57" t="n">
        <v>1000</v>
      </c>
      <c r="D5" s="57" t="n">
        <v>1000</v>
      </c>
      <c r="E5" s="58">
        <f>IF($C$3="Downside",D5,C5)</f>
        <v/>
      </c>
      <c r="F5" s="38" t="inlineStr">
        <is>
          <t>opening on-chain total supply</t>
        </is>
      </c>
    </row>
    <row r="6" ht="15" customHeight="1" s="39">
      <c r="B6" s="38" t="inlineStr">
        <is>
          <t>Protocol issuance</t>
        </is>
      </c>
      <c r="C6" s="57" t="n">
        <v>20</v>
      </c>
      <c r="D6" s="57" t="n">
        <v>50</v>
      </c>
      <c r="E6" s="58">
        <f>IF($C$3="Downside",D6,C6)</f>
        <v/>
      </c>
      <c r="F6" s="38" t="inlineStr">
        <is>
          <t>newly minted non-staking issuance</t>
        </is>
      </c>
    </row>
    <row r="7" ht="15" customHeight="1" s="39">
      <c r="B7" s="38" t="inlineStr">
        <is>
          <t>Scheduled token unlocks</t>
        </is>
      </c>
      <c r="C7" s="57" t="n">
        <v>30</v>
      </c>
      <c r="D7" s="57" t="n">
        <v>250</v>
      </c>
      <c r="E7" s="58">
        <f>IF($C$3="Downside",D7,C7)</f>
        <v/>
      </c>
      <c r="F7" s="38" t="inlineStr">
        <is>
          <t>vested tokens becoming transferable</t>
        </is>
      </c>
    </row>
    <row r="8" ht="15" customHeight="1" s="39">
      <c r="B8" s="38" t="inlineStr">
        <is>
          <t>Staking / validator rewards</t>
        </is>
      </c>
      <c r="C8" s="57" t="n">
        <v>10</v>
      </c>
      <c r="D8" s="57" t="n">
        <v>40</v>
      </c>
      <c r="E8" s="58">
        <f>IF($C$3="Downside",D8,C8)</f>
        <v/>
      </c>
      <c r="F8" s="38" t="inlineStr">
        <is>
          <t>inflationary security rewards</t>
        </is>
      </c>
    </row>
    <row r="9" ht="15" customHeight="1" s="39">
      <c r="B9" s="38" t="inlineStr">
        <is>
          <t>Burns</t>
        </is>
      </c>
      <c r="C9" s="57" t="n">
        <v>5</v>
      </c>
      <c r="D9" s="57" t="n">
        <v>0</v>
      </c>
      <c r="E9" s="58">
        <f>IF($C$3="Downside",D9,C9)</f>
        <v/>
      </c>
      <c r="F9" s="38" t="inlineStr">
        <is>
          <t>verifiably destroyed supply</t>
        </is>
      </c>
    </row>
    <row r="10" ht="15" customHeight="1" s="39">
      <c r="B10" s="38" t="inlineStr">
        <is>
          <t>Locked / non-circulating supply</t>
        </is>
      </c>
      <c r="C10" s="57" t="n">
        <v>300</v>
      </c>
      <c r="D10" s="57" t="n">
        <v>100</v>
      </c>
      <c r="E10" s="58">
        <f>IF($C$3="Downside",D10,C10)</f>
        <v/>
      </c>
      <c r="F10" s="38" t="inlineStr">
        <is>
          <t>contractually or technically restricted</t>
        </is>
      </c>
    </row>
    <row r="11" ht="15" customHeight="1" s="39">
      <c r="B11" s="38" t="inlineStr">
        <is>
          <t>Maximum one-period unlock rate</t>
        </is>
      </c>
      <c r="C11" s="59" t="n">
        <v>0.1</v>
      </c>
      <c r="D11" s="59" t="n">
        <v>0.1</v>
      </c>
      <c r="E11" s="60">
        <f>IF($C$3="Downside",D11,C11)</f>
        <v/>
      </c>
      <c r="F11" s="38" t="inlineStr">
        <is>
          <t>unlocks / beginning supply</t>
        </is>
      </c>
    </row>
    <row r="12" ht="15" customHeight="1" s="39">
      <c r="B12" s="38" t="inlineStr">
        <is>
          <t>Maximum annualized staking dilution</t>
        </is>
      </c>
      <c r="C12" s="59" t="n">
        <v>0.08</v>
      </c>
      <c r="D12" s="59" t="n">
        <v>0.08</v>
      </c>
      <c r="E12" s="60">
        <f>IF($C$3="Downside",D12,C12)</f>
        <v/>
      </c>
      <c r="F12" s="38" t="inlineStr">
        <is>
          <t>staking rewards / pre-reward circulating supply</t>
        </is>
      </c>
    </row>
    <row r="15" ht="15" customHeight="1" s="39">
      <c r="B15" s="61" t="inlineStr">
        <is>
          <t>Derived outputs</t>
        </is>
      </c>
    </row>
    <row r="16" ht="15" customHeight="1" s="39">
      <c r="B16" s="38" t="inlineStr">
        <is>
          <t>Ending total supply</t>
        </is>
      </c>
      <c r="E16" s="58">
        <f>E5+E6+E7+E8-E9</f>
        <v/>
      </c>
    </row>
    <row r="17" ht="15" customHeight="1" s="39">
      <c r="B17" s="38" t="inlineStr">
        <is>
          <t>Circulating supply</t>
        </is>
      </c>
      <c r="E17" s="58">
        <f>E16-E10</f>
        <v/>
      </c>
    </row>
    <row r="18" ht="15" customHeight="1" s="39">
      <c r="B18" s="38" t="inlineStr">
        <is>
          <t>Unlock rate</t>
        </is>
      </c>
      <c r="E18" s="60">
        <f>IFERROR(E7/E5,0)</f>
        <v/>
      </c>
    </row>
    <row r="19" ht="15" customHeight="1" s="39">
      <c r="B19" s="38" t="inlineStr">
        <is>
          <t>Staking dilution</t>
        </is>
      </c>
      <c r="E19" s="60">
        <f>IFERROR(E8/MAX(E17-E8,0.000001),0)</f>
        <v/>
      </c>
    </row>
    <row r="20" ht="15" customHeight="1" s="39">
      <c r="B20" s="38" t="inlineStr">
        <is>
          <t>Locked supply %</t>
        </is>
      </c>
      <c r="E20" s="60">
        <f>IFERROR(E10/E16,0)</f>
        <v/>
      </c>
    </row>
    <row r="21" ht="15" customHeight="1" s="39">
      <c r="B21" s="38" t="inlineStr">
        <is>
          <t>Net supply growth</t>
        </is>
      </c>
      <c r="E21" s="60">
        <f>IFERROR(E16/E5-1,0)</f>
        <v/>
      </c>
    </row>
    <row r="23" ht="15" customHeight="1" s="39">
      <c r="B23" s="53" t="inlineStr">
        <is>
          <t>Unlocks are a transferability event, not new issuance. They still create float, liquidity, governance, and price-pressure risk and must remain separate from minting.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B2:D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8" min="1" max="1"/>
    <col width="30" customWidth="1" style="38" min="2" max="2"/>
    <col width="16" customWidth="1" style="38" min="3" max="3"/>
    <col width="40" customWidth="1" style="38" min="4" max="4"/>
  </cols>
  <sheetData>
    <row r="2" ht="19.7" customHeight="1" s="39">
      <c r="B2" s="40" t="inlineStr">
        <is>
          <t>On-Chain Valuation Multiples</t>
        </is>
      </c>
    </row>
    <row r="4" ht="15" customHeight="1" s="39">
      <c r="B4" s="61" t="inlineStr">
        <is>
          <t>Inputs</t>
        </is>
      </c>
    </row>
    <row r="5" ht="15" customHeight="1" s="39">
      <c r="B5" s="50" t="inlineStr">
        <is>
          <t>Token price</t>
        </is>
      </c>
      <c r="C5" s="62" t="n">
        <v>0</v>
      </c>
    </row>
    <row r="6" ht="15" customHeight="1" s="39">
      <c r="B6" s="50" t="inlineStr">
        <is>
          <t>Total value locked (TVL, $)</t>
        </is>
      </c>
      <c r="C6" s="63" t="n">
        <v>197.154</v>
      </c>
    </row>
    <row r="7" ht="15" customHeight="1" s="39">
      <c r="B7" s="50" t="inlineStr">
        <is>
          <t>Annualized protocol revenue/fees ($)</t>
        </is>
      </c>
      <c r="C7" s="63" t="n">
        <v>4.571</v>
      </c>
    </row>
    <row r="8" ht="15" customHeight="1" s="39">
      <c r="B8" s="50" t="inlineStr">
        <is>
          <t>Daily transaction volume ($, trailing 30d avg)</t>
        </is>
      </c>
      <c r="C8" s="63" t="n">
        <v>16.8</v>
      </c>
    </row>
    <row r="10" ht="15" customHeight="1" s="39">
      <c r="B10" s="61" t="inlineStr">
        <is>
          <t>Outputs</t>
        </is>
      </c>
    </row>
    <row r="11" ht="15" customHeight="1" s="39">
      <c r="B11" s="38" t="inlineStr">
        <is>
          <t>Market cap (circulating)</t>
        </is>
      </c>
      <c r="C11" s="64">
        <f>C5*Tokenomics!C12</f>
        <v/>
      </c>
    </row>
    <row r="12" ht="15" customHeight="1" s="39">
      <c r="B12" s="38" t="inlineStr">
        <is>
          <t>Fully diluted valuation (FDV)</t>
        </is>
      </c>
      <c r="C12" s="64">
        <f>C5*Tokenomics!C10</f>
        <v/>
      </c>
    </row>
    <row r="13" ht="15" customHeight="1" s="39">
      <c r="B13" s="38" t="inlineStr">
        <is>
          <t>Market cap / TVL</t>
        </is>
      </c>
      <c r="C13" s="65">
        <f>IFERROR(C11/C6,"-")</f>
        <v/>
      </c>
    </row>
    <row r="14" ht="15" customHeight="1" s="39">
      <c r="B14" s="38" t="inlineStr">
        <is>
          <t>FDV / TVL</t>
        </is>
      </c>
      <c r="C14" s="65">
        <f>IFERROR(C12/C6,"-")</f>
        <v/>
      </c>
    </row>
    <row r="15" ht="15" customHeight="1" s="39">
      <c r="B15" s="38" t="inlineStr">
        <is>
          <t>P/S equivalent (Mkt cap / annualized revenue)</t>
        </is>
      </c>
      <c r="C15" s="65">
        <f>IFERROR(C11/C7,"-")</f>
        <v/>
      </c>
    </row>
    <row r="16" ht="15" customHeight="1" s="39">
      <c r="B16" s="38" t="inlineStr">
        <is>
          <t>Network value / annualized transaction volume</t>
        </is>
      </c>
      <c r="C16" s="65">
        <f>IFERROR(C11/(C8*365),"-")</f>
        <v/>
      </c>
      <c r="D16" s="53" t="inlineStr">
        <is>
          <t>Market cap divided by trailing daily transaction volume annualized; this is a valuation-to-usage ratio, not transaction velocity.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B2:E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8" min="1" max="1"/>
    <col width="42" customWidth="1" style="38" min="2" max="2"/>
    <col width="18" customWidth="1" style="38" min="3" max="4"/>
    <col width="46" customWidth="1" style="38" min="5" max="5"/>
  </cols>
  <sheetData>
    <row r="2" ht="19.7" customHeight="1" s="39">
      <c r="B2" s="40" t="inlineStr">
        <is>
          <t>Treasury Composition, Operating Runway, and Obligations</t>
        </is>
      </c>
    </row>
    <row r="4" ht="15" customHeight="1" s="39">
      <c r="B4" s="49" t="inlineStr">
        <is>
          <t>Metric</t>
        </is>
      </c>
      <c r="C4" s="49" t="inlineStr">
        <is>
          <t>Base</t>
        </is>
      </c>
      <c r="D4" s="49" t="inlineStr">
        <is>
          <t>Downside</t>
        </is>
      </c>
      <c r="E4" s="49" t="inlineStr">
        <is>
          <t>Control / interpretation</t>
        </is>
      </c>
    </row>
    <row r="5" ht="15" customHeight="1" s="39">
      <c r="B5" s="38" t="inlineStr">
        <is>
          <t>Cash and insured deposits</t>
        </is>
      </c>
      <c r="C5" s="66" t="n">
        <v>30</v>
      </c>
      <c r="D5" s="66" t="n">
        <v>10</v>
      </c>
      <c r="E5" s="38" t="inlineStr">
        <is>
          <t>unrestricted operating cash</t>
        </is>
      </c>
    </row>
    <row r="6" ht="15" customHeight="1" s="39">
      <c r="B6" s="38" t="inlineStr">
        <is>
          <t>High-quality stablecoins</t>
        </is>
      </c>
      <c r="C6" s="66" t="n">
        <v>10</v>
      </c>
      <c r="D6" s="66" t="n">
        <v>3</v>
      </c>
      <c r="E6" s="38" t="inlineStr">
        <is>
          <t>haircut for issuer, reserve, and redemption risk</t>
        </is>
      </c>
    </row>
    <row r="7" ht="15" customHeight="1" s="39">
      <c r="B7" s="38" t="inlineStr">
        <is>
          <t>Native / treasury token value</t>
        </is>
      </c>
      <c r="C7" s="66" t="n">
        <v>80</v>
      </c>
      <c r="D7" s="66" t="n">
        <v>20</v>
      </c>
      <c r="E7" s="38" t="inlineStr">
        <is>
          <t>mark separately from liquid operating resources</t>
        </is>
      </c>
    </row>
    <row r="8" ht="15" customHeight="1" s="39">
      <c r="B8" s="38" t="inlineStr">
        <is>
          <t>Other liquid digital assets</t>
        </is>
      </c>
      <c r="C8" s="66" t="n">
        <v>10</v>
      </c>
      <c r="D8" s="66" t="n">
        <v>2</v>
      </c>
      <c r="E8" s="38" t="inlineStr">
        <is>
          <t>haircut for volatility and market depth</t>
        </is>
      </c>
    </row>
    <row r="9" ht="15" customHeight="1" s="39">
      <c r="B9" s="38" t="inlineStr">
        <is>
          <t>Restricted / earmarked assets</t>
        </is>
      </c>
      <c r="C9" s="66" t="n">
        <v>20</v>
      </c>
      <c r="D9" s="66" t="n">
        <v>20</v>
      </c>
      <c r="E9" s="38" t="inlineStr">
        <is>
          <t>not available for general operations</t>
        </is>
      </c>
    </row>
    <row r="10" ht="15" customHeight="1" s="39">
      <c r="B10" s="38" t="inlineStr">
        <is>
          <t>Monthly operating burn</t>
        </is>
      </c>
      <c r="C10" s="66" t="n">
        <v>5</v>
      </c>
      <c r="D10" s="66" t="n">
        <v>7</v>
      </c>
      <c r="E10" s="38" t="inlineStr">
        <is>
          <t>cash operating outflow</t>
        </is>
      </c>
    </row>
    <row r="11" ht="15" customHeight="1" s="39">
      <c r="B11" s="38" t="inlineStr">
        <is>
          <t>Thirty-day contractual obligations</t>
        </is>
      </c>
      <c r="C11" s="66" t="n">
        <v>20</v>
      </c>
      <c r="D11" s="66" t="n">
        <v>25</v>
      </c>
      <c r="E11" s="38" t="inlineStr">
        <is>
          <t>payroll, vendors, debt, grants, and settlement</t>
        </is>
      </c>
    </row>
    <row r="12" ht="15" customHeight="1" s="39">
      <c r="B12" s="38" t="inlineStr">
        <is>
          <t>Minimum cash runway (months)</t>
        </is>
      </c>
      <c r="C12" s="67" t="n">
        <v>18</v>
      </c>
      <c r="D12" s="67" t="n">
        <v>18</v>
      </c>
      <c r="E12" s="38" t="inlineStr">
        <is>
          <t>approved warning threshold</t>
        </is>
      </c>
    </row>
    <row r="13" ht="15" customHeight="1" s="39">
      <c r="B13" s="38" t="inlineStr">
        <is>
          <t>Minimum liquid coverage</t>
        </is>
      </c>
      <c r="C13" s="68" t="n">
        <v>1.25</v>
      </c>
      <c r="D13" s="68" t="n">
        <v>1.25</v>
      </c>
      <c r="E13" s="38" t="inlineStr">
        <is>
          <t>liquid resources / thirty-day obligations</t>
        </is>
      </c>
    </row>
    <row r="14" ht="15" customHeight="1" s="39">
      <c r="B14" s="38" t="inlineStr">
        <is>
          <t>Stablecoin haircut</t>
        </is>
      </c>
      <c r="C14" s="59" t="n">
        <v>0.15</v>
      </c>
      <c r="D14" s="59" t="n">
        <v>0.35</v>
      </c>
      <c r="E14" s="38" t="inlineStr">
        <is>
          <t>issuer and redemption stress</t>
        </is>
      </c>
    </row>
    <row r="15" ht="15" customHeight="1" s="39">
      <c r="B15" s="38" t="inlineStr">
        <is>
          <t>Other digital-asset haircut</t>
        </is>
      </c>
      <c r="C15" s="59" t="n">
        <v>0.35</v>
      </c>
      <c r="D15" s="59" t="n">
        <v>0.65</v>
      </c>
      <c r="E15" s="38" t="inlineStr">
        <is>
          <t>market-depth and volatility stress</t>
        </is>
      </c>
    </row>
    <row r="18" ht="15" customHeight="1" s="39">
      <c r="B18" s="38" t="inlineStr">
        <is>
          <t>Haircut-adjusted liquid resources</t>
        </is>
      </c>
      <c r="C18" s="64">
        <f>C5+C6*(1-C14)+C8*(1-C15)</f>
        <v/>
      </c>
      <c r="D18" s="64">
        <f>D5+D6*(1-D14)+D8*(1-D15)</f>
        <v/>
      </c>
    </row>
    <row r="19" ht="15" customHeight="1" s="39">
      <c r="B19" s="38" t="inlineStr">
        <is>
          <t>Operating runway (months)</t>
        </is>
      </c>
      <c r="C19" s="69">
        <f>IFERROR(C18/C10,0)</f>
        <v/>
      </c>
      <c r="D19" s="69">
        <f>IFERROR(D18/D10,0)</f>
        <v/>
      </c>
    </row>
    <row r="20" ht="15" customHeight="1" s="39">
      <c r="B20" s="38" t="inlineStr">
        <is>
          <t>Thirty-day liquid coverage</t>
        </is>
      </c>
      <c r="C20" s="65">
        <f>IFERROR(C18/C11,0)</f>
        <v/>
      </c>
      <c r="D20" s="65">
        <f>IFERROR(D18/D11,0)</f>
        <v/>
      </c>
    </row>
    <row r="21" ht="15" customHeight="1" s="39">
      <c r="B21" s="38" t="inlineStr">
        <is>
          <t>Treasury-token concentration</t>
        </is>
      </c>
      <c r="C21" s="60">
        <f>IFERROR(C7/SUM(C5:C9),0)</f>
        <v/>
      </c>
      <c r="D21" s="60">
        <f>IFERROR(D7/SUM(D5:D9),0)</f>
        <v/>
      </c>
    </row>
    <row r="22" ht="15" customHeight="1" s="39">
      <c r="B22" s="38" t="inlineStr">
        <is>
          <t>Downside status</t>
        </is>
      </c>
      <c r="C22" s="70">
        <f>IF(AND(D19&gt;=D12,D20&gt;=D13),"PASS","BREACH")</f>
        <v/>
      </c>
      <c r="D22" s="70" t="n"/>
    </row>
    <row r="24" ht="15" customHeight="1" s="39">
      <c r="B24" s="53" t="inlineStr">
        <is>
          <t>Native-token marks may support long-horizon optionality but are excluded from operating runway unless monetization capacity and governance authority are documented.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B2:E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4" customWidth="1" style="38" min="1" max="1"/>
    <col width="42" customWidth="1" style="38" min="2" max="2"/>
    <col width="18" customWidth="1" style="38" min="3" max="4"/>
    <col width="50" customWidth="1" style="38" min="5" max="5"/>
  </cols>
  <sheetData>
    <row r="2" ht="19.7" customHeight="1" s="39">
      <c r="B2" s="40" t="inlineStr">
        <is>
          <t>Custody, Key Management, Counterparty, and Market-Liquidity Controls</t>
        </is>
      </c>
    </row>
    <row r="4" ht="15" customHeight="1" s="39">
      <c r="B4" s="49" t="inlineStr">
        <is>
          <t>Control / metric</t>
        </is>
      </c>
      <c r="C4" s="49" t="inlineStr">
        <is>
          <t>Input</t>
        </is>
      </c>
      <c r="D4" s="49" t="inlineStr">
        <is>
          <t>Status</t>
        </is>
      </c>
      <c r="E4" s="49" t="inlineStr">
        <is>
          <t>Evidence / action</t>
        </is>
      </c>
    </row>
    <row r="5" ht="15" customHeight="1" s="39">
      <c r="B5" s="38" t="inlineStr">
        <is>
          <t>Material wallets using approved multi-party authorization (%)</t>
        </is>
      </c>
      <c r="C5" s="59" t="n">
        <v>1</v>
      </c>
      <c r="D5" s="70">
        <f>IF(C5=1,"PASS","BREACH")</f>
        <v/>
      </c>
      <c r="E5" s="38" t="inlineStr">
        <is>
          <t>retain signer policy, quorum, key rotation, and recovery evidence</t>
        </is>
      </c>
    </row>
    <row r="6" ht="15" customHeight="1" s="39">
      <c r="B6" s="38" t="inlineStr">
        <is>
          <t>Private-key recovery exercise completed within policy period</t>
        </is>
      </c>
      <c r="C6" s="59" t="n">
        <v>1</v>
      </c>
      <c r="D6" s="70">
        <f>IF(C6=1,"PASS","BREACH")</f>
        <v/>
      </c>
      <c r="E6" s="38" t="inlineStr">
        <is>
          <t>1=yes; retain dated recovery test</t>
        </is>
      </c>
    </row>
    <row r="7" ht="15" customHeight="1" s="39">
      <c r="B7" s="38" t="inlineStr">
        <is>
          <t>Assets held with unapproved custodians / exchanges (%)</t>
        </is>
      </c>
      <c r="C7" s="59" t="n">
        <v>0</v>
      </c>
      <c r="D7" s="70">
        <f>IF(C7=0,"PASS","BREACH")</f>
        <v/>
      </c>
      <c r="E7" s="38" t="inlineStr">
        <is>
          <t>separate custody, venue, settlement, and rehypothecation exposure</t>
        </is>
      </c>
    </row>
    <row r="8" ht="15" customHeight="1" s="39">
      <c r="B8" s="38" t="inlineStr">
        <is>
          <t>Largest custodian / venue concentration (%)</t>
        </is>
      </c>
      <c r="C8" s="59" t="n">
        <v>0.25</v>
      </c>
      <c r="D8" s="70">
        <f>IF(C8&lt;=0.4,"PASS","REVIEW")</f>
        <v/>
      </c>
      <c r="E8" s="38" t="inlineStr">
        <is>
          <t>review legal entity, jurisdiction, segregation, and withdrawal capacity</t>
        </is>
      </c>
    </row>
    <row r="9" ht="15" customHeight="1" s="39">
      <c r="B9" s="38" t="inlineStr">
        <is>
          <t>Thirty-day unlocks / trailing daily market volume</t>
        </is>
      </c>
      <c r="C9" s="71" t="n">
        <v>5</v>
      </c>
      <c r="D9" s="70">
        <f>IF(C9&lt;=10,"PASS",IF(C9&lt;=25,"REVIEW","BREACH"))</f>
        <v/>
      </c>
      <c r="E9" s="38" t="inlineStr">
        <is>
          <t>days of volume before haircut, participation, and price impact</t>
        </is>
      </c>
    </row>
    <row r="10" ht="15" customHeight="1" s="39">
      <c r="B10" s="38" t="inlineStr">
        <is>
          <t>Smart-contract / bridge concentration (%)</t>
        </is>
      </c>
      <c r="C10" s="59" t="n">
        <v>0.2</v>
      </c>
      <c r="D10" s="70">
        <f>IF(C10&lt;=0.35,"PASS","REVIEW")</f>
        <v/>
      </c>
      <c r="E10" s="38" t="inlineStr">
        <is>
          <t>measure assets dependent on a single contract, oracle, bridge, or admin key</t>
        </is>
      </c>
    </row>
    <row r="11" ht="15" customHeight="1" s="39">
      <c r="B11" s="38" t="inlineStr">
        <is>
          <t>Stablecoin issuer concentration (%)</t>
        </is>
      </c>
      <c r="C11" s="59" t="n">
        <v>0.3</v>
      </c>
      <c r="D11" s="70">
        <f>IF(C11&lt;=0.5,"PASS","REVIEW")</f>
        <v/>
      </c>
      <c r="E11" s="38" t="inlineStr">
        <is>
          <t>look through issuer, reserve, banking, and redemption dependencies</t>
        </is>
      </c>
    </row>
    <row r="12" ht="15" customHeight="1" s="39">
      <c r="B12" s="38" t="inlineStr">
        <is>
          <t>Critical incident remediation overdue</t>
        </is>
      </c>
      <c r="C12" s="71" t="n">
        <v>0</v>
      </c>
      <c r="D12" s="70">
        <f>IF(C12=0,"PASS","BREACH")</f>
        <v/>
      </c>
      <c r="E12" s="38" t="inlineStr">
        <is>
          <t>retain owner, severity, containment, remediation, and verification</t>
        </is>
      </c>
    </row>
    <row r="14" ht="15" customHeight="1" s="39">
      <c r="B14" s="53" t="inlineStr">
        <is>
          <t>Control completion must be supported by retained operational evidence. This sheet is not a representation of regulatory compliance or asset safety.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B2:E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4" customWidth="1" style="38" min="1" max="1"/>
    <col width="42" customWidth="1" style="38" min="2" max="2"/>
    <col width="18" customWidth="1" style="38" min="3" max="4"/>
    <col width="50" customWidth="1" style="38" min="5" max="5"/>
  </cols>
  <sheetData>
    <row r="2" ht="19.7" customHeight="1" s="39">
      <c r="B2" s="40" t="inlineStr">
        <is>
          <t>Crypto / Digital Asset Decision Dashboard and Independent Checks</t>
        </is>
      </c>
    </row>
    <row r="4" ht="15" customHeight="1" s="39">
      <c r="B4" s="49" t="inlineStr">
        <is>
          <t>Check / decision</t>
        </is>
      </c>
      <c r="C4" s="49" t="inlineStr">
        <is>
          <t>Metric</t>
        </is>
      </c>
      <c r="D4" s="49" t="inlineStr">
        <is>
          <t>Status</t>
        </is>
      </c>
      <c r="E4" s="49" t="inlineStr">
        <is>
          <t>Interpretation / action</t>
        </is>
      </c>
    </row>
    <row r="5" ht="15" customHeight="1" s="39">
      <c r="B5" s="38" t="inlineStr">
        <is>
          <t>Supply-conservation residual</t>
        </is>
      </c>
      <c r="C5" s="70">
        <f>'Supply Rollforward &amp; Unlocks'!E16-('Supply Rollforward &amp; Unlocks'!E5+'Supply Rollforward &amp; Unlocks'!E6+'Supply Rollforward &amp; Unlocks'!E7+'Supply Rollforward &amp; Unlocks'!E8-'Supply Rollforward &amp; Unlocks'!E9)</f>
        <v/>
      </c>
      <c r="D5" s="70">
        <f>IF(ABS(C5)&lt;0.000001,"PASS","FAIL")</f>
        <v/>
      </c>
      <c r="E5" s="38" t="inlineStr">
        <is>
          <t>Total supply must reconcile across issuance, unlocks, rewards, and burns.</t>
        </is>
      </c>
    </row>
    <row r="6" ht="15" customHeight="1" s="39">
      <c r="B6" s="38" t="inlineStr">
        <is>
          <t>Locked-supply bound</t>
        </is>
      </c>
      <c r="C6" s="70">
        <f>'Supply Rollforward &amp; Unlocks'!E16-'Supply Rollforward &amp; Unlocks'!E10</f>
        <v/>
      </c>
      <c r="D6" s="70">
        <f>IF(C6&gt;=0,"PASS","FAIL")</f>
        <v/>
      </c>
      <c r="E6" s="38" t="inlineStr">
        <is>
          <t>Locked supply may not exceed ending total supply.</t>
        </is>
      </c>
    </row>
    <row r="7" ht="15" customHeight="1" s="39">
      <c r="B7" s="38" t="inlineStr">
        <is>
          <t>Unlock rate</t>
        </is>
      </c>
      <c r="C7" s="60">
        <f>'Supply Rollforward &amp; Unlocks'!E18</f>
        <v/>
      </c>
      <c r="D7" s="70">
        <f>IF(C7&lt;='Supply Rollforward &amp; Unlocks'!E11,"PASS","BREACH")</f>
        <v/>
      </c>
      <c r="E7" s="38" t="inlineStr">
        <is>
          <t>Escalate unlock cliffs and market-liquidity mismatch.</t>
        </is>
      </c>
    </row>
    <row r="8" ht="15" customHeight="1" s="39">
      <c r="B8" s="38" t="inlineStr">
        <is>
          <t>Staking dilution</t>
        </is>
      </c>
      <c r="C8" s="60">
        <f>'Supply Rollforward &amp; Unlocks'!E19</f>
        <v/>
      </c>
      <c r="D8" s="70">
        <f>IF(C8&lt;='Supply Rollforward &amp; Unlocks'!E12,"PASS","REVIEW")</f>
        <v/>
      </c>
      <c r="E8" s="38" t="inlineStr">
        <is>
          <t>Inflationary staking yield is not equivalent to real economic yield.</t>
        </is>
      </c>
    </row>
    <row r="9" ht="15" customHeight="1" s="39">
      <c r="B9" s="38" t="inlineStr">
        <is>
          <t>Net staking yield</t>
        </is>
      </c>
      <c r="C9" s="70">
        <f>'Staking Yield'!C14</f>
        <v/>
      </c>
      <c r="D9" s="70">
        <f>IF(ISNUMBER(C9),IF(C9&gt;=0,"PASS","REVIEW"),"REVIEW")</f>
        <v/>
      </c>
      <c r="E9" s="38" t="inlineStr">
        <is>
          <t>Separate fee-funded yield from dilution and price risk.</t>
        </is>
      </c>
    </row>
    <row r="10" ht="15" customHeight="1" s="39">
      <c r="B10" s="38" t="inlineStr">
        <is>
          <t>Downside operating runway</t>
        </is>
      </c>
      <c r="C10" s="69">
        <f>'Treasury &amp; Runway'!D19</f>
        <v/>
      </c>
      <c r="D10" s="70">
        <f>IF(C10&gt;='Treasury &amp; Runway'!D12,"PASS","BREACH")</f>
        <v/>
      </c>
      <c r="E10" s="38" t="inlineStr">
        <is>
          <t>Treasury-token marks and restricted funds do not fund payroll or obligations by themselves.</t>
        </is>
      </c>
    </row>
    <row r="11" ht="15" customHeight="1" s="39">
      <c r="B11" s="38" t="inlineStr">
        <is>
          <t>Downside liquid coverage</t>
        </is>
      </c>
      <c r="C11" s="65">
        <f>'Treasury &amp; Runway'!D20</f>
        <v/>
      </c>
      <c r="D11" s="70">
        <f>IF(C11&gt;='Treasury &amp; Runway'!D13,"PASS","BREACH")</f>
        <v/>
      </c>
      <c r="E11" s="38" t="inlineStr">
        <is>
          <t>Haircut-adjusted liquid resources must cover near-term obligations.</t>
        </is>
      </c>
    </row>
    <row r="12" ht="15" customHeight="1" s="39">
      <c r="B12" s="38" t="inlineStr">
        <is>
          <t>Custody / liquidity exceptions</t>
        </is>
      </c>
      <c r="C12" s="70">
        <f>COUNTIF('Custody &amp; Liquidity'!D5:D12,"&lt;&gt;PASS")</f>
        <v/>
      </c>
      <c r="D12" s="70">
        <f>IF(C12=0,"PASS","REVIEW")</f>
        <v/>
      </c>
      <c r="E12" s="38" t="inlineStr">
        <is>
          <t>Valuation and tokenomics do not override unresolved key, venue, bridge, or incident risk.</t>
        </is>
      </c>
    </row>
    <row r="13" ht="15" customHeight="1" s="39">
      <c r="B13" s="38" t="inlineStr">
        <is>
          <t>FDV / circulating market cap</t>
        </is>
      </c>
      <c r="C13" s="70">
        <f>IFERROR(Valuation!C12/Valuation!C11,0)</f>
        <v/>
      </c>
      <c r="D13" s="70">
        <f>IF(C13&lt;=2,"PASS",IF(C13&lt;=5,"REVIEW","BREACH"))</f>
        <v/>
      </c>
      <c r="E13" s="38" t="inlineStr">
        <is>
          <t>Large FDV overhang requires explicit unlock, liquidity, and incentive analysis.</t>
        </is>
      </c>
    </row>
    <row r="15" ht="15" customHeight="1" s="39">
      <c r="B15" s="41" t="inlineStr">
        <is>
          <t>Overall model status</t>
        </is>
      </c>
      <c r="C15" s="72">
        <f>IF(COUNTIF(D5:D13,"FAIL")+COUNTIF(D5:D13,"BREACH")&gt;0,"BREACH",IF(COUNTIF(D5:D13,"REVIEW")&gt;0,"REVIEW","PASS"))</f>
        <v/>
      </c>
    </row>
    <row r="17" ht="15" customHeight="1" s="39">
      <c r="B17" s="61" t="inlineStr">
        <is>
          <t>Primary decision outputs</t>
        </is>
      </c>
    </row>
    <row r="18" ht="15" customHeight="1" s="39">
      <c r="B18" s="38" t="inlineStr">
        <is>
          <t>Ending total supply</t>
        </is>
      </c>
      <c r="C18" s="58">
        <f>'Supply Rollforward &amp; Unlocks'!E16</f>
        <v/>
      </c>
    </row>
    <row r="19" ht="15" customHeight="1" s="39">
      <c r="B19" s="38" t="inlineStr">
        <is>
          <t>Circulating supply</t>
        </is>
      </c>
      <c r="C19" s="58">
        <f>'Supply Rollforward &amp; Unlocks'!E17</f>
        <v/>
      </c>
    </row>
    <row r="20" ht="15" customHeight="1" s="39">
      <c r="B20" s="38" t="inlineStr">
        <is>
          <t>Unlock rate</t>
        </is>
      </c>
      <c r="C20" s="60">
        <f>'Supply Rollforward &amp; Unlocks'!E18</f>
        <v/>
      </c>
    </row>
    <row r="21" ht="15" customHeight="1" s="39">
      <c r="B21" s="38" t="inlineStr">
        <is>
          <t>Circulating market cap</t>
        </is>
      </c>
      <c r="C21" s="64">
        <f>Valuation!C11</f>
        <v/>
      </c>
    </row>
    <row r="22" ht="15" customHeight="1" s="39">
      <c r="B22" s="38" t="inlineStr">
        <is>
          <t>Fully diluted valuation</t>
        </is>
      </c>
      <c r="C22" s="64">
        <f>Valuation!C12</f>
        <v/>
      </c>
    </row>
    <row r="23" ht="15" customHeight="1" s="39">
      <c r="B23" s="38" t="inlineStr">
        <is>
          <t>Net staking yield</t>
        </is>
      </c>
      <c r="C23" s="60">
        <f>'Staking Yield'!C14</f>
        <v/>
      </c>
    </row>
    <row r="24" ht="15" customHeight="1" s="39">
      <c r="B24" s="38" t="inlineStr">
        <is>
          <t>Downside runway</t>
        </is>
      </c>
      <c r="C24" s="69">
        <f>'Treasury &amp; Runway'!D19</f>
        <v/>
      </c>
    </row>
    <row r="25" ht="15" customHeight="1" s="39">
      <c r="B25" s="38" t="inlineStr">
        <is>
          <t>Downside liquid coverage</t>
        </is>
      </c>
      <c r="C25" s="65">
        <f>'Treasury &amp; Runway'!D20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B2:D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8" min="1" max="1"/>
    <col width="30" customWidth="1" style="38" min="2" max="2"/>
    <col width="16" customWidth="1" style="38" min="3" max="3"/>
    <col width="40" customWidth="1" style="38" min="4" max="4"/>
  </cols>
  <sheetData>
    <row r="2" ht="19.7" customHeight="1" s="39">
      <c r="B2" s="40" t="inlineStr">
        <is>
          <t>Staking / Yield Model</t>
        </is>
      </c>
    </row>
    <row r="4" ht="15" customHeight="1" s="39">
      <c r="B4" s="61" t="inlineStr">
        <is>
          <t>Inputs</t>
        </is>
      </c>
    </row>
    <row r="5" ht="15" customHeight="1" s="39">
      <c r="B5" s="50" t="inlineStr">
        <is>
          <t>% of supply staked</t>
        </is>
      </c>
      <c r="C5" s="59" t="n">
        <v>0</v>
      </c>
    </row>
    <row r="6" ht="15" customHeight="1" s="39">
      <c r="B6" s="50" t="inlineStr">
        <is>
          <t>Annual token emissions (new supply, tokens)</t>
        </is>
      </c>
      <c r="C6" s="73" t="n">
        <v>16.8</v>
      </c>
    </row>
    <row r="7" ht="15" customHeight="1" s="39">
      <c r="B7" s="50" t="inlineStr">
        <is>
          <t>Protocol fee revenue distributed to stakers ($)</t>
        </is>
      </c>
      <c r="C7" s="66" t="n">
        <v>0</v>
      </c>
    </row>
    <row r="8" ht="15" customHeight="1" s="39">
      <c r="B8" s="50" t="inlineStr">
        <is>
          <t>Token price (for $ yield calc)</t>
        </is>
      </c>
      <c r="C8" s="62" t="n">
        <v>0</v>
      </c>
    </row>
    <row r="10" ht="15" customHeight="1" s="39">
      <c r="B10" s="61" t="inlineStr">
        <is>
          <t>Outputs</t>
        </is>
      </c>
    </row>
    <row r="11" ht="15" customHeight="1" s="39">
      <c r="B11" s="38" t="inlineStr">
        <is>
          <t>Tokens staked</t>
        </is>
      </c>
      <c r="C11" s="58">
        <f>C5*Tokenomics!C12</f>
        <v/>
      </c>
    </row>
    <row r="12" ht="15" customHeight="1" s="39">
      <c r="B12" s="38" t="inlineStr">
        <is>
          <t>Inflationary yield (emissions / staked)</t>
        </is>
      </c>
      <c r="C12" s="60">
        <f>IFERROR(C6/C11,"-")</f>
        <v/>
      </c>
    </row>
    <row r="13" ht="15" customHeight="1" s="39">
      <c r="B13" s="38" t="inlineStr">
        <is>
          <t>Real yield (fee revenue / staked value)</t>
        </is>
      </c>
      <c r="C13" s="60">
        <f>IFERROR(C7/(C11*C8),"-")</f>
        <v/>
      </c>
    </row>
    <row r="14" ht="15" customHeight="1" s="39">
      <c r="B14" s="38" t="inlineStr">
        <is>
          <t>Net staking yield (real - inflation dilution)</t>
        </is>
      </c>
      <c r="C14" s="74">
        <f>IFERROR(C13-C12,"-")</f>
        <v/>
      </c>
      <c r="D14" s="53" t="inlineStr">
        <is>
          <t>Negative = staking rewards are pure dilution, not real cash flow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2:I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8" min="1" max="1"/>
    <col width="18" customWidth="1" style="38" min="2" max="2"/>
    <col width="14" customWidth="1" style="38" min="3" max="6"/>
    <col width="12" customWidth="1" style="38" min="7" max="9"/>
  </cols>
  <sheetData>
    <row r="2" ht="19.7" customHeight="1" s="39">
      <c r="B2" s="40" t="inlineStr">
        <is>
          <t>Comparable Protocols</t>
        </is>
      </c>
    </row>
    <row r="4" ht="15" customHeight="1" s="39">
      <c r="A4" s="49" t="n"/>
      <c r="B4" s="49" t="inlineStr">
        <is>
          <t>Protocol</t>
        </is>
      </c>
      <c r="C4" s="49" t="inlineStr">
        <is>
          <t>Mkt cap</t>
        </is>
      </c>
      <c r="D4" s="49" t="inlineStr">
        <is>
          <t>FDV</t>
        </is>
      </c>
      <c r="E4" s="49" t="inlineStr">
        <is>
          <t>TVL</t>
        </is>
      </c>
      <c r="F4" s="49" t="inlineStr">
        <is>
          <t>Daily volume</t>
        </is>
      </c>
      <c r="G4" s="49" t="inlineStr">
        <is>
          <t>Mkt/TVL</t>
        </is>
      </c>
      <c r="H4" s="49" t="inlineStr">
        <is>
          <t>FDV/TVL</t>
        </is>
      </c>
      <c r="I4" s="38" t="inlineStr">
        <is>
          <t>NVT</t>
        </is>
      </c>
    </row>
    <row r="5" ht="15" customHeight="1" s="39">
      <c r="B5" s="41" t="inlineStr">
        <is>
          <t>This protocol</t>
        </is>
      </c>
      <c r="C5" s="75">
        <f>Valuation!C11</f>
        <v/>
      </c>
      <c r="D5" s="75">
        <f>Valuation!C12</f>
        <v/>
      </c>
      <c r="E5" s="75">
        <f>Valuation!C6</f>
        <v/>
      </c>
      <c r="F5" s="75">
        <f>Valuation!C8</f>
        <v/>
      </c>
      <c r="G5" s="65">
        <f>IFERROR(C5/E5,"-")</f>
        <v/>
      </c>
      <c r="H5" s="65">
        <f>IFERROR(D5/E5,"-")</f>
        <v/>
      </c>
      <c r="I5" s="65">
        <f>IFERROR(C5/(F5*365),"-")</f>
        <v/>
      </c>
    </row>
    <row r="6" ht="15" customHeight="1" s="39">
      <c r="B6" s="76" t="inlineStr">
        <is>
          <t>[fill in]</t>
        </is>
      </c>
      <c r="C6" s="77" t="n">
        <v>0</v>
      </c>
      <c r="D6" s="77" t="n">
        <v>0</v>
      </c>
      <c r="E6" s="77" t="n">
        <v>0</v>
      </c>
      <c r="F6" s="77" t="n">
        <v>0</v>
      </c>
      <c r="G6" s="65">
        <f>IFERROR(C6/E6,"-")</f>
        <v/>
      </c>
      <c r="H6" s="65">
        <f>IFERROR(D6/E6,"-")</f>
        <v/>
      </c>
      <c r="I6" s="65">
        <f>IFERROR(C6/(F6*365),"-")</f>
        <v/>
      </c>
    </row>
    <row r="7" ht="15" customHeight="1" s="39">
      <c r="B7" s="76" t="inlineStr">
        <is>
          <t>[fill in]</t>
        </is>
      </c>
      <c r="C7" s="77" t="n">
        <v>0</v>
      </c>
      <c r="D7" s="77" t="n">
        <v>0</v>
      </c>
      <c r="E7" s="77" t="n">
        <v>0</v>
      </c>
      <c r="F7" s="77" t="n">
        <v>0</v>
      </c>
      <c r="G7" s="65">
        <f>IFERROR(C7/E7,"-")</f>
        <v/>
      </c>
      <c r="H7" s="65">
        <f>IFERROR(D7/E7,"-")</f>
        <v/>
      </c>
      <c r="I7" s="65">
        <f>IFERROR(C7/(F7*365),"-")</f>
        <v/>
      </c>
    </row>
    <row r="8" ht="15" customHeight="1" s="39">
      <c r="B8" s="76" t="inlineStr">
        <is>
          <t>[fill in]</t>
        </is>
      </c>
      <c r="C8" s="77" t="n">
        <v>0</v>
      </c>
      <c r="D8" s="77" t="n">
        <v>0</v>
      </c>
      <c r="E8" s="77" t="n">
        <v>0</v>
      </c>
      <c r="F8" s="77" t="n">
        <v>0</v>
      </c>
      <c r="G8" s="65">
        <f>IFERROR(C8/E8,"-")</f>
        <v/>
      </c>
      <c r="H8" s="65">
        <f>IFERROR(D8/E8,"-")</f>
        <v/>
      </c>
      <c r="I8" s="65">
        <f>IFERROR(C8/(F8*365),"-")</f>
        <v/>
      </c>
    </row>
    <row r="9" ht="15" customHeight="1" s="39">
      <c r="B9" s="76" t="inlineStr">
        <is>
          <t>[fill in]</t>
        </is>
      </c>
      <c r="C9" s="77" t="n">
        <v>0</v>
      </c>
      <c r="D9" s="77" t="n">
        <v>0</v>
      </c>
      <c r="E9" s="77" t="n">
        <v>0</v>
      </c>
      <c r="F9" s="77" t="n">
        <v>0</v>
      </c>
      <c r="G9" s="65">
        <f>IFERROR(C9/E9,"-")</f>
        <v/>
      </c>
      <c r="H9" s="65">
        <f>IFERROR(D9/E9,"-")</f>
        <v/>
      </c>
      <c r="I9" s="65">
        <f>IFERROR(C9/(F9*365),"-")</f>
        <v/>
      </c>
    </row>
    <row r="10" ht="15" customHeight="1" s="39">
      <c r="B10" s="76" t="inlineStr">
        <is>
          <t>[fill in]</t>
        </is>
      </c>
      <c r="C10" s="77" t="n">
        <v>0</v>
      </c>
      <c r="D10" s="77" t="n">
        <v>0</v>
      </c>
      <c r="E10" s="77" t="n">
        <v>0</v>
      </c>
      <c r="F10" s="77" t="n">
        <v>0</v>
      </c>
      <c r="G10" s="65">
        <f>IFERROR(C10/E10,"-")</f>
        <v/>
      </c>
      <c r="H10" s="65">
        <f>IFERROR(D10/E10,"-")</f>
        <v/>
      </c>
      <c r="I10" s="65">
        <f>IFERROR(C10/(F10*365),"-")</f>
        <v/>
      </c>
    </row>
    <row r="11" ht="15" customHeight="1" s="39">
      <c r="B11" s="76" t="inlineStr">
        <is>
          <t>[fill in]</t>
        </is>
      </c>
      <c r="C11" s="77" t="n">
        <v>0</v>
      </c>
      <c r="D11" s="77" t="n">
        <v>0</v>
      </c>
      <c r="E11" s="77" t="n">
        <v>0</v>
      </c>
      <c r="F11" s="77" t="n">
        <v>0</v>
      </c>
      <c r="G11" s="65">
        <f>IFERROR(C11/E11,"-")</f>
        <v/>
      </c>
      <c r="H11" s="65">
        <f>IFERROR(D11/E11,"-")</f>
        <v/>
      </c>
      <c r="I11" s="65">
        <f>IFERROR(C11/(F11*365),"-")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B2:G1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8" min="1" max="1"/>
    <col width="32" customWidth="1" style="38" min="2" max="2"/>
    <col width="14" customWidth="1" style="38" min="3" max="7"/>
    <col width="40" customWidth="1" style="38" min="8" max="8"/>
  </cols>
  <sheetData>
    <row r="2" ht="19.7" customHeight="1" s="39">
      <c r="B2" s="40" t="inlineStr">
        <is>
          <t>Forward Supply Emission &amp; Dilution</t>
        </is>
      </c>
    </row>
    <row r="4" ht="15" customHeight="1" s="39">
      <c r="B4" s="38" t="inlineStr">
        <is>
          <t>Annual emission rate (% of max supply issued/yr)</t>
        </is>
      </c>
      <c r="C4" s="59" t="n">
        <v>0.05</v>
      </c>
      <c r="D4" s="53" t="inlineStr">
        <is>
          <t>Simplified: assumes a flat schedule. Real unlocks are usually cliff + linear per allocation — treat this as a planning approximation, not a substitute for the actual unlock table.</t>
        </is>
      </c>
    </row>
    <row r="6" ht="15" customHeight="1" s="39">
      <c r="C6" s="49" t="inlineStr">
        <is>
          <t>Period 0</t>
        </is>
      </c>
      <c r="D6" s="49" t="inlineStr">
        <is>
          <t>Period 1</t>
        </is>
      </c>
      <c r="E6" s="49" t="inlineStr">
        <is>
          <t>Period 2</t>
        </is>
      </c>
      <c r="F6" s="49" t="inlineStr">
        <is>
          <t>Period 3</t>
        </is>
      </c>
      <c r="G6" s="49" t="inlineStr">
        <is>
          <t>Period 4</t>
        </is>
      </c>
    </row>
    <row r="7" ht="15" customHeight="1" s="39">
      <c r="B7" s="38" t="inlineStr">
        <is>
          <t>Circulating supply</t>
        </is>
      </c>
      <c r="C7" s="78">
        <f>Tokenomics!C12</f>
        <v/>
      </c>
      <c r="D7" s="58">
        <f>MIN(Tokenomics!$C$10,C7+Tokenomics!$C$10*$C$4)</f>
        <v/>
      </c>
      <c r="E7" s="58">
        <f>MIN(Tokenomics!$C$10,D7+Tokenomics!$C$10*$C$4)</f>
        <v/>
      </c>
      <c r="F7" s="58">
        <f>MIN(Tokenomics!$C$10,E7+Tokenomics!$C$10*$C$4)</f>
        <v/>
      </c>
      <c r="G7" s="58">
        <f>MIN(Tokenomics!$C$10,F7+Tokenomics!$C$10*$C$4)</f>
        <v/>
      </c>
    </row>
    <row r="8" ht="15" customHeight="1" s="39">
      <c r="B8" s="38" t="inlineStr">
        <is>
          <t>Cumulative dilution vs. today</t>
        </is>
      </c>
      <c r="C8" s="60">
        <f>IFERROR(1-$C$7/C7,"-")</f>
        <v/>
      </c>
      <c r="D8" s="60">
        <f>IFERROR(1-$C$7/D7,"-")</f>
        <v/>
      </c>
      <c r="E8" s="60">
        <f>IFERROR(1-$C$7/E7,"-")</f>
        <v/>
      </c>
      <c r="F8" s="60">
        <f>IFERROR(1-$C$7/F7,"-")</f>
        <v/>
      </c>
      <c r="G8" s="60">
        <f>IFERROR(1-$C$7/G7,"-")</f>
        <v/>
      </c>
    </row>
    <row r="9" ht="15" customHeight="1" s="39">
      <c r="B9" s="38" t="inlineStr">
        <is>
          <t>Implied mkt cap at today's price (if price held flat)</t>
        </is>
      </c>
      <c r="C9" s="64">
        <f>Valuation!$C$5*C7</f>
        <v/>
      </c>
      <c r="D9" s="64">
        <f>Valuation!$C$5*D7</f>
        <v/>
      </c>
      <c r="E9" s="64">
        <f>Valuation!$C$5*E7</f>
        <v/>
      </c>
      <c r="F9" s="64">
        <f>Valuation!$C$5*F7</f>
        <v/>
      </c>
      <c r="G9" s="64">
        <f>Valuation!$C$5*G7</f>
        <v/>
      </c>
    </row>
    <row r="10" ht="15" customHeight="1" s="39">
      <c r="B10" s="53" t="inlineStr">
        <is>
          <t>A holder who doesn't add to their position loses this much ownership share to new issuance over time -- the price needs to grow faster than dilution just to keep the position's dollar value from falling.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B2:F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38" min="1" max="1"/>
    <col width="14" customWidth="1" style="38" min="2" max="2"/>
    <col width="16" customWidth="1" style="38" min="3" max="3"/>
    <col width="30" customWidth="1" style="38" min="4" max="5"/>
    <col width="16" customWidth="1" style="38" min="6" max="6"/>
  </cols>
  <sheetData>
    <row r="2" ht="19.7" customHeight="1" s="39">
      <c r="B2" s="40" t="inlineStr">
        <is>
          <t>Refresh Log</t>
        </is>
      </c>
    </row>
    <row r="4" ht="15" customHeight="1" s="39">
      <c r="B4" s="49" t="inlineStr">
        <is>
          <t>Date</t>
        </is>
      </c>
      <c r="C4" s="49" t="inlineStr">
        <is>
          <t>Trigger</t>
        </is>
      </c>
      <c r="D4" s="49" t="inlineStr">
        <is>
          <t>What changed</t>
        </is>
      </c>
      <c r="E4" s="49" t="inlineStr">
        <is>
          <t>Reviewer notes</t>
        </is>
      </c>
      <c r="F4" s="49" t="inlineStr">
        <is>
          <t>Next check</t>
        </is>
      </c>
    </row>
    <row r="5" ht="15" customHeight="1" s="39">
      <c r="B5" s="70" t="inlineStr">
        <is>
          <t>2026-08-04</t>
        </is>
      </c>
      <c r="C5" s="70" t="inlineStr">
        <is>
          <t>External historical evidence materialization</t>
        </is>
      </c>
      <c r="D5" s="70" t="inlineStr">
        <is>
          <t>Generated public case crypto-public-coinbase-2023 from canonical release template</t>
        </is>
      </c>
      <c r="E5" s="70" t="inlineStr">
        <is>
          <t>External historical case; human stakeholder approval remains pending</t>
        </is>
      </c>
      <c r="F5" s="70" t="inlineStr">
        <is>
          <t>On source revision, builder change, monitoring breach, or annual review</t>
        </is>
      </c>
    </row>
    <row r="6" ht="15" customHeight="1" s="39">
      <c r="B6" s="70" t="n"/>
      <c r="C6" s="70" t="n"/>
      <c r="D6" s="70" t="n"/>
      <c r="E6" s="70" t="n"/>
      <c r="F6" s="70" t="n"/>
    </row>
    <row r="7" ht="15" customHeight="1" s="39">
      <c r="B7" s="70" t="n"/>
      <c r="C7" s="70" t="n"/>
      <c r="D7" s="70" t="n"/>
      <c r="E7" s="70" t="n"/>
      <c r="F7" s="70" t="n"/>
    </row>
    <row r="8" ht="15" customHeight="1" s="39">
      <c r="B8" s="70" t="n"/>
      <c r="C8" s="70" t="n"/>
      <c r="D8" s="70" t="n"/>
      <c r="E8" s="70" t="n"/>
      <c r="F8" s="70" t="n"/>
    </row>
    <row r="9" ht="15" customHeight="1" s="39">
      <c r="B9" s="70" t="n"/>
      <c r="C9" s="70" t="n"/>
      <c r="D9" s="70" t="n"/>
      <c r="E9" s="70" t="n"/>
      <c r="F9" s="70" t="n"/>
    </row>
    <row r="10" ht="15" customHeight="1" s="39">
      <c r="B10" s="70" t="n"/>
      <c r="C10" s="70" t="n"/>
      <c r="D10" s="70" t="n"/>
      <c r="E10" s="70" t="n"/>
      <c r="F10" s="70" t="n"/>
    </row>
    <row r="11" ht="15" customHeight="1" s="39">
      <c r="B11" s="70" t="n"/>
      <c r="C11" s="70" t="n"/>
      <c r="D11" s="70" t="n"/>
      <c r="E11" s="70" t="n"/>
      <c r="F11" s="70" t="n"/>
    </row>
    <row r="12" ht="15" customHeight="1" s="39">
      <c r="B12" s="70" t="n"/>
      <c r="C12" s="70" t="n"/>
      <c r="D12" s="70" t="n"/>
      <c r="E12" s="70" t="n"/>
      <c r="F12" s="70" t="n"/>
    </row>
    <row r="13" ht="15" customHeight="1" s="39">
      <c r="B13" s="70" t="n"/>
      <c r="C13" s="70" t="n"/>
      <c r="D13" s="70" t="n"/>
      <c r="E13" s="70" t="n"/>
      <c r="F13" s="70" t="n"/>
    </row>
    <row r="14" ht="15" customHeight="1" s="39">
      <c r="B14" s="70" t="n"/>
      <c r="C14" s="70" t="n"/>
      <c r="D14" s="70" t="n"/>
      <c r="E14" s="70" t="n"/>
      <c r="F14" s="70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2026-08-04T15:32:29Z</dcterms:created>
  <dcterms:modified xmlns:dcterms="http://purl.org/dc/terms/" xmlns:xsi="http://www.w3.org/2001/XMLSchema-instance" xsi:type="dcterms:W3CDTF">2026-08-04T18:30:40Z</dcterms:modified>
  <cp:revision>0</cp:revision>
</cp:coreProperties>
</file>