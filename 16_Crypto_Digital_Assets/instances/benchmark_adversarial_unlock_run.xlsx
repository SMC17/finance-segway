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Tokenomics" sheetId="5" state="visible" r:id="rId7"/>
    <sheet name="Supply Rollforward &amp; Unlocks" sheetId="6" state="visible" r:id="rId8"/>
    <sheet name="Valuation" sheetId="7" state="visible" r:id="rId9"/>
    <sheet name="Treasury &amp; Runway" sheetId="8" state="visible" r:id="rId10"/>
    <sheet name="Custody &amp; Liquidity" sheetId="9" state="visible" r:id="rId11"/>
    <sheet name="Decision &amp; Checks" sheetId="10" state="visible" r:id="rId12"/>
    <sheet name="Staking Yield" sheetId="11" state="visible" r:id="rId13"/>
    <sheet name="Comparable Protocols" sheetId="12" state="visible" r:id="rId14"/>
    <sheet name="Supply Emission Schedule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<sst xmlns="http://schemas.openxmlformats.org/spreadsheetml/2006/main" count="390" uniqueCount="284">
  <si>
    <t xml:space="preserve">[TOKEN] — Crypto / Digital Asset Model</t>
  </si>
  <si>
    <t xml:space="preserve">Protocol:</t>
  </si>
  <si>
    <t xml:space="preserve">[fill in]</t>
  </si>
  <si>
    <t xml:space="preserve">Chain / L1-L2:</t>
  </si>
  <si>
    <t xml:space="preserve">Last refreshed:</t>
  </si>
  <si>
    <t xml:space="preserve">2026-08-04</t>
  </si>
  <si>
    <t xml:space="preserve">Next unlock/emission event:</t>
  </si>
  <si>
    <t xml:space="preserve">[date]</t>
  </si>
  <si>
    <t xml:space="preserve">Refresh cadence:</t>
  </si>
  <si>
    <t xml:space="preserve">Weekly (daily around unlocks)</t>
  </si>
  <si>
    <t xml:space="preserve">Crypto &amp; Digital Assets — Institutional Decision Surface</t>
  </si>
  <si>
    <t xml:space="preserve">Model ID</t>
  </si>
  <si>
    <t xml:space="preserve">16</t>
  </si>
  <si>
    <t xml:space="preserve">Domain</t>
  </si>
  <si>
    <t xml:space="preserve">Crypto &amp; Digital Assets</t>
  </si>
  <si>
    <t xml:space="preserve">Declared maturity</t>
  </si>
  <si>
    <t xml:space="preserve">M2</t>
  </si>
  <si>
    <t xml:space="preserve">Canonical builder</t>
  </si>
  <si>
    <t xml:space="preserve">tools/builders/build_crypto_release.py</t>
  </si>
  <si>
    <t xml:space="preserve">Decision arena</t>
  </si>
  <si>
    <t xml:space="preserve">protocol treasury, investment committee, market making, risk and custody</t>
  </si>
  <si>
    <t xml:space="preserve">Committee artifact</t>
  </si>
  <si>
    <t xml:space="preserve">token economics and treasury risk pack</t>
  </si>
  <si>
    <t xml:space="preserve">Operating cadence</t>
  </si>
  <si>
    <t xml:space="preserve">intraday liquidity; daily treasury; governance-event driven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</si>
  <si>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</si>
  <si>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</si>
  <si>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</si>
  <si>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</si>
  <si>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</si>
  <si>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</si>
  <si>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circulating and fully diluted supply</t>
  </si>
  <si>
    <t xml:space="preserve">OPEN</t>
  </si>
  <si>
    <t xml:space="preserve">unlock and sell-pressure schedule</t>
  </si>
  <si>
    <t xml:space="preserve">staking yield net of dilution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</si>
  <si>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</si>
  <si>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</si>
  <si>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</si>
  <si>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Who can actually sell at each unlock?</t>
  </si>
  <si>
    <t xml:space="preserve">What yield remains after dilution?</t>
  </si>
  <si>
    <t xml:space="preserve">Which wallets and bridges are critical dependencies?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</si>
  <si>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</si>
  <si>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</si>
  <si>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</si>
  <si>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unlock cliff</t>
  </si>
  <si>
    <t xml:space="preserve">validator / staking shock</t>
  </si>
  <si>
    <t xml:space="preserve">depeg or bridge failure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</si>
  <si>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</si>
  <si>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</si>
  <si>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</si>
  <si>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token allocation and vesting contracts</t>
  </si>
  <si>
    <t xml:space="preserve">governance proposals</t>
  </si>
  <si>
    <t xml:space="preserve">custody and staking agreements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</si>
  <si>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</si>
  <si>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</si>
  <si>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</si>
  <si>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supply roll-forward conserves</t>
  </si>
  <si>
    <t xml:space="preserve">staking yield separates real yield and dilution</t>
  </si>
  <si>
    <t xml:space="preserve">treasury wallets reconcile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</si>
  <si>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</si>
  <si>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</si>
  <si>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</si>
  <si>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FDV without float dynamics</t>
  </si>
  <si>
    <t xml:space="preserve">counting token incentives as revenue</t>
  </si>
  <si>
    <t xml:space="preserve">ignoring validator concentration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</si>
  <si>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</si>
  <si>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</si>
  <si>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</si>
  <si>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</si>
  <si>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</si>
  <si>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</si>
  <si>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</si>
  <si>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</si>
  <si>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</si>
  <si>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</si>
  <si>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</si>
  <si>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</si>
  <si>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SAB 122</t>
  </si>
  <si>
    <t xml:space="preserve">crypto safeguarding accounting</t>
  </si>
  <si>
    <t xml:space="preserve">https://www.sec.gov/rules-regulations/staff-guidance/staff-accounting-bulletins/staff-accounting-bulletin-122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</si>
  <si>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</si>
  <si>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</si>
  <si>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</si>
  <si>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</si>
  <si>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</si>
  <si>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</si>
  <si>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</si>
  <si>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</si>
  <si>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</si>
  <si>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</si>
  <si>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</si>
  <si>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</si>
  <si>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</si>
  <si>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</si>
  <si>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</si>
  <si>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</si>
  <si>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on-chain supply</t>
  </si>
  <si>
    <t xml:space="preserve">block/daily</t>
  </si>
  <si>
    <t xml:space="preserve">contract and address provenance</t>
  </si>
  <si>
    <t xml:space="preserve">TO MAP</t>
  </si>
  <si>
    <t xml:space="preserve">exchange liquidity</t>
  </si>
  <si>
    <t xml:space="preserve">intraday/daily</t>
  </si>
  <si>
    <t xml:space="preserve">venue and pair normalization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</si>
  <si>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</si>
  <si>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</si>
  <si>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</si>
  <si>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</si>
  <si>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</si>
  <si>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</si>
  <si>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Tokenomics — Supply Schedule</t>
  </si>
  <si>
    <t xml:space="preserve">Allocation</t>
  </si>
  <si>
    <t xml:space="preserve">Tokens</t>
  </si>
  <si>
    <t xml:space="preserve">% of max supply</t>
  </si>
  <si>
    <t xml:space="preserve">Unlock start</t>
  </si>
  <si>
    <t xml:space="preserve">Vesting notes</t>
  </si>
  <si>
    <t xml:space="preserve">Public / community</t>
  </si>
  <si>
    <t xml:space="preserve">[cliff / linear vesting terms]</t>
  </si>
  <si>
    <t xml:space="preserve">Team &amp; advisors</t>
  </si>
  <si>
    <t xml:space="preserve">Investors (seed/private)</t>
  </si>
  <si>
    <t xml:space="preserve">Treasury / foundation</t>
  </si>
  <si>
    <t xml:space="preserve">Ecosystem incentives / staking rewards</t>
  </si>
  <si>
    <t xml:space="preserve">Max supply</t>
  </si>
  <si>
    <t xml:space="preserve">Circulating supply (today)</t>
  </si>
  <si>
    <t xml:space="preserve">Circulating / max supply %</t>
  </si>
  <si>
    <t xml:space="preserve">Token Supply Conservation, Unlocks, and Dilution</t>
  </si>
  <si>
    <t xml:space="preserve">Active scenario</t>
  </si>
  <si>
    <t xml:space="preserve">Downside</t>
  </si>
  <si>
    <t xml:space="preserve">Metric</t>
  </si>
  <si>
    <t xml:space="preserve">Base</t>
  </si>
  <si>
    <t xml:space="preserve">Active</t>
  </si>
  <si>
    <t xml:space="preserve">Owner / interpretation</t>
  </si>
  <si>
    <t xml:space="preserve">Beginning total supply</t>
  </si>
  <si>
    <t xml:space="preserve">opening on-chain total supply</t>
  </si>
  <si>
    <t xml:space="preserve">Protocol issuance</t>
  </si>
  <si>
    <t xml:space="preserve">newly minted non-staking issuance</t>
  </si>
  <si>
    <t xml:space="preserve">Scheduled token unlocks</t>
  </si>
  <si>
    <t xml:space="preserve">vested tokens becoming transferable</t>
  </si>
  <si>
    <t xml:space="preserve">Staking / validator rewards</t>
  </si>
  <si>
    <t xml:space="preserve">inflationary security rewards</t>
  </si>
  <si>
    <t xml:space="preserve">Burns</t>
  </si>
  <si>
    <t xml:space="preserve">verifiably destroyed supply</t>
  </si>
  <si>
    <t xml:space="preserve">Locked / non-circulating supply</t>
  </si>
  <si>
    <t xml:space="preserve">contractually or technically restricted</t>
  </si>
  <si>
    <t xml:space="preserve">Maximum one-period unlock rate</t>
  </si>
  <si>
    <t xml:space="preserve">unlocks / beginning supply</t>
  </si>
  <si>
    <t xml:space="preserve">Maximum annualized staking dilution</t>
  </si>
  <si>
    <t xml:space="preserve">staking rewards / pre-reward circulating supply</t>
  </si>
  <si>
    <t xml:space="preserve">Derived outputs</t>
  </si>
  <si>
    <t xml:space="preserve">Ending total supply</t>
  </si>
  <si>
    <t xml:space="preserve">Circulating supply</t>
  </si>
  <si>
    <t xml:space="preserve">Unlock rate</t>
  </si>
  <si>
    <t xml:space="preserve">Staking dilution</t>
  </si>
  <si>
    <t xml:space="preserve">Locked supply %</t>
  </si>
  <si>
    <t xml:space="preserve">Net supply growth</t>
  </si>
  <si>
    <t xml:space="preserve">Unlocks are a transferability event, not new issuance. They still create float, liquidity, governance, and price-pressure risk and must remain separate from minting.</t>
  </si>
  <si>
    <t xml:space="preserve">On-Chain Valuation Multiples</t>
  </si>
  <si>
    <t xml:space="preserve">Inputs</t>
  </si>
  <si>
    <t xml:space="preserve">Token price</t>
  </si>
  <si>
    <t xml:space="preserve">Total value locked (TVL, $)</t>
  </si>
  <si>
    <t xml:space="preserve">Annualized protocol revenue/fees ($)</t>
  </si>
  <si>
    <t xml:space="preserve">Daily transaction volume ($, trailing 30d avg)</t>
  </si>
  <si>
    <t xml:space="preserve">Outputs</t>
  </si>
  <si>
    <t xml:space="preserve">Market cap (circulating)</t>
  </si>
  <si>
    <t xml:space="preserve">Fully diluted valuation (FDV)</t>
  </si>
  <si>
    <t xml:space="preserve">Market cap / TVL</t>
  </si>
  <si>
    <t xml:space="preserve">FDV / TVL</t>
  </si>
  <si>
    <t xml:space="preserve">P/S equivalent (Mkt cap / annualized revenue)</t>
  </si>
  <si>
    <t xml:space="preserve">Network value / annualized transaction volume</t>
  </si>
  <si>
    <t xml:space="preserve">Market cap divided by trailing daily transaction volume annualized; this is a valuation-to-usage ratio, not transaction velocity.</t>
  </si>
  <si>
    <t xml:space="preserve">Treasury Composition, Operating Runway, and Obligations</t>
  </si>
  <si>
    <t xml:space="preserve">Control / interpretation</t>
  </si>
  <si>
    <t xml:space="preserve">Cash and insured deposits</t>
  </si>
  <si>
    <t xml:space="preserve">unrestricted operating cash</t>
  </si>
  <si>
    <t xml:space="preserve">High-quality stablecoins</t>
  </si>
  <si>
    <t xml:space="preserve">haircut for issuer, reserve, and redemption risk</t>
  </si>
  <si>
    <t xml:space="preserve">Native / treasury token value</t>
  </si>
  <si>
    <t xml:space="preserve">mark separately from liquid operating resources</t>
  </si>
  <si>
    <t xml:space="preserve">Other liquid digital assets</t>
  </si>
  <si>
    <t xml:space="preserve">haircut for volatility and market depth</t>
  </si>
  <si>
    <t xml:space="preserve">Restricted / earmarked assets</t>
  </si>
  <si>
    <t xml:space="preserve">not available for general operations</t>
  </si>
  <si>
    <t xml:space="preserve">Monthly operating burn</t>
  </si>
  <si>
    <t xml:space="preserve">cash operating outflow</t>
  </si>
  <si>
    <t xml:space="preserve">Thirty-day contractual obligations</t>
  </si>
  <si>
    <t xml:space="preserve">payroll, vendors, debt, grants, and settlement</t>
  </si>
  <si>
    <t xml:space="preserve">Minimum cash runway (months)</t>
  </si>
  <si>
    <t xml:space="preserve">approved warning threshold</t>
  </si>
  <si>
    <t xml:space="preserve">Minimum liquid coverage</t>
  </si>
  <si>
    <t xml:space="preserve">liquid resources / thirty-day obligations</t>
  </si>
  <si>
    <t xml:space="preserve">Stablecoin haircut</t>
  </si>
  <si>
    <t xml:space="preserve">issuer and redemption stress</t>
  </si>
  <si>
    <t xml:space="preserve">Other digital-asset haircut</t>
  </si>
  <si>
    <t xml:space="preserve">market-depth and volatility stress</t>
  </si>
  <si>
    <t xml:space="preserve">Haircut-adjusted liquid resources</t>
  </si>
  <si>
    <t xml:space="preserve">Operating runway (months)</t>
  </si>
  <si>
    <t xml:space="preserve">Thirty-day liquid coverage</t>
  </si>
  <si>
    <t xml:space="preserve">Treasury-token concentration</t>
  </si>
  <si>
    <t xml:space="preserve">Downside status</t>
  </si>
  <si>
    <t xml:space="preserve">Native-token marks may support long-horizon optionality but are excluded from operating runway unless monetization capacity and governance authority are documented.</t>
  </si>
  <si>
    <t xml:space="preserve">Custody, Key Management, Counterparty, and Market-Liquidity Controls</t>
  </si>
  <si>
    <t xml:space="preserve">Control / metric</t>
  </si>
  <si>
    <t xml:space="preserve">Input</t>
  </si>
  <si>
    <t xml:space="preserve">Evidence / action</t>
  </si>
  <si>
    <t xml:space="preserve">Material wallets using approved multi-party authorization (%)</t>
  </si>
  <si>
    <t xml:space="preserve">retain signer policy, quorum, key rotation, and recovery evidence</t>
  </si>
  <si>
    <t xml:space="preserve">Private-key recovery exercise completed within policy period</t>
  </si>
  <si>
    <t xml:space="preserve">1=yes; retain dated recovery test</t>
  </si>
  <si>
    <t xml:space="preserve">Assets held with unapproved custodians / exchanges (%)</t>
  </si>
  <si>
    <t xml:space="preserve">separate custody, venue, settlement, and rehypothecation exposure</t>
  </si>
  <si>
    <t xml:space="preserve">Largest custodian / venue concentration (%)</t>
  </si>
  <si>
    <t xml:space="preserve">review legal entity, jurisdiction, segregation, and withdrawal capacity</t>
  </si>
  <si>
    <t xml:space="preserve">Thirty-day unlocks / trailing daily market volume</t>
  </si>
  <si>
    <t xml:space="preserve">days of volume before haircut, participation, and price impact</t>
  </si>
  <si>
    <t xml:space="preserve">Smart-contract / bridge concentration (%)</t>
  </si>
  <si>
    <t xml:space="preserve">measure assets dependent on a single contract, oracle, bridge, or admin key</t>
  </si>
  <si>
    <t xml:space="preserve">Stablecoin issuer concentration (%)</t>
  </si>
  <si>
    <t xml:space="preserve">look through issuer, reserve, banking, and redemption dependencies</t>
  </si>
  <si>
    <t xml:space="preserve">Critical incident remediation overdue</t>
  </si>
  <si>
    <t xml:space="preserve">retain owner, severity, containment, remediation, and verification</t>
  </si>
  <si>
    <t xml:space="preserve">Control completion must be supported by retained operational evidence. This sheet is not a representation of regulatory compliance or asset safety.</t>
  </si>
  <si>
    <t xml:space="preserve">Crypto / Digital Asset Decision Dashboard and Independent Checks</t>
  </si>
  <si>
    <t xml:space="preserve">Check / decision</t>
  </si>
  <si>
    <t xml:space="preserve">Interpretation / action</t>
  </si>
  <si>
    <t xml:space="preserve">Supply-conservation residual</t>
  </si>
  <si>
    <t xml:space="preserve">Total supply must reconcile across issuance, unlocks, rewards, and burns.</t>
  </si>
  <si>
    <t xml:space="preserve">Locked-supply bound</t>
  </si>
  <si>
    <t xml:space="preserve">Locked supply may not exceed ending total supply.</t>
  </si>
  <si>
    <t xml:space="preserve">Escalate unlock cliffs and market-liquidity mismatch.</t>
  </si>
  <si>
    <t xml:space="preserve">Inflationary staking yield is not equivalent to real economic yield.</t>
  </si>
  <si>
    <t xml:space="preserve">Net staking yield</t>
  </si>
  <si>
    <t xml:space="preserve">Separate fee-funded yield from dilution and price risk.</t>
  </si>
  <si>
    <t xml:space="preserve">Downside operating runway</t>
  </si>
  <si>
    <t xml:space="preserve">Treasury-token marks and restricted funds do not fund payroll or obligations by themselves.</t>
  </si>
  <si>
    <t xml:space="preserve">Downside liquid coverage</t>
  </si>
  <si>
    <t xml:space="preserve">Haircut-adjusted liquid resources must cover near-term obligations.</t>
  </si>
  <si>
    <t xml:space="preserve">Custody / liquidity exceptions</t>
  </si>
  <si>
    <t xml:space="preserve">Valuation and tokenomics do not override unresolved key, venue, bridge, or incident risk.</t>
  </si>
  <si>
    <t xml:space="preserve">FDV / circulating market cap</t>
  </si>
  <si>
    <t xml:space="preserve">Large FDV overhang requires explicit unlock, liquidity, and incentive analysis.</t>
  </si>
  <si>
    <t xml:space="preserve">Overall model status</t>
  </si>
  <si>
    <t xml:space="preserve">Primary decision outputs</t>
  </si>
  <si>
    <t xml:space="preserve">Circulating market cap</t>
  </si>
  <si>
    <t xml:space="preserve">Fully diluted valuation</t>
  </si>
  <si>
    <t xml:space="preserve">Downside runway</t>
  </si>
  <si>
    <t xml:space="preserve">Staking / Yield Model</t>
  </si>
  <si>
    <t xml:space="preserve">% of supply staked</t>
  </si>
  <si>
    <t xml:space="preserve">Annual token emissions (new supply, tokens)</t>
  </si>
  <si>
    <t xml:space="preserve">Protocol fee revenue distributed to stakers ($)</t>
  </si>
  <si>
    <t xml:space="preserve">Token price (for $ yield calc)</t>
  </si>
  <si>
    <t xml:space="preserve">Tokens staked</t>
  </si>
  <si>
    <t xml:space="preserve">Inflationary yield (emissions / staked)</t>
  </si>
  <si>
    <t xml:space="preserve">Real yield (fee revenue / staked value)</t>
  </si>
  <si>
    <t xml:space="preserve">Net staking yield (real - inflation dilution)</t>
  </si>
  <si>
    <t xml:space="preserve">Negative = staking rewards are pure dilution, not real cash flow</t>
  </si>
  <si>
    <t xml:space="preserve">Comparable Protocols</t>
  </si>
  <si>
    <t xml:space="preserve">Protocol</t>
  </si>
  <si>
    <t xml:space="preserve">Mkt cap</t>
  </si>
  <si>
    <t xml:space="preserve">FDV</t>
  </si>
  <si>
    <t xml:space="preserve">TVL</t>
  </si>
  <si>
    <t xml:space="preserve">Daily volume</t>
  </si>
  <si>
    <t xml:space="preserve">Mkt/TVL</t>
  </si>
  <si>
    <t xml:space="preserve">FDV/TVL</t>
  </si>
  <si>
    <t xml:space="preserve">NVT</t>
  </si>
  <si>
    <t xml:space="preserve">This protocol</t>
  </si>
  <si>
    <t xml:space="preserve">Forward Supply Emission &amp; Dilution</t>
  </si>
  <si>
    <t xml:space="preserve">Annual emission rate (% of max supply issued/yr)</t>
  </si>
  <si>
    <t xml:space="preserve">Simplified: assumes a flat schedule. Real unlocks are usually cliff + linear per allocation — treat this as a planning approximation, not a substitute for the actual unlock table.</t>
  </si>
  <si>
    <t xml:space="preserve">Period 0</t>
  </si>
  <si>
    <t xml:space="preserve">Period 1</t>
  </si>
  <si>
    <t xml:space="preserve">Period 2</t>
  </si>
  <si>
    <t xml:space="preserve">Period 3</t>
  </si>
  <si>
    <t xml:space="preserve">Period 4</t>
  </si>
  <si>
    <t xml:space="preserve">Cumulative dilution vs. today</t>
  </si>
  <si>
    <t xml:space="preserve">Implied mkt cap at today's price (if price held flat)</t>
  </si>
  <si>
    <t xml:space="preserve">A holder who doesn't add to their position loses this much ownership share to new issuance over time -- the price needs to grow faster than dilution just to keep the position's dollar value from falling.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</si>
  <si>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</si>
  <si>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</si>
  <si>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</si>
  <si>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</si>
  <si>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</si>
  <si>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</si>
  <si>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adversarial benchmark crypto-adversarial-unlock-run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</si>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</sst>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\$#,##0;&quot;($&quot;#,##0\);\-"/>
    <numFmt numFmtId="169" formatCode="0.0\x"/>
    <numFmt numFmtId="170" formatCode="0.0"/>
    <numFmt numFmtId="171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2</v>
      </c>
    </row>
    <row r="6" customFormat="false" ht="15" hidden="false" customHeight="false" outlineLevel="0" collapsed="false">
      <c r="B6" s="2" t="s">
        <v>4</v>
      </c>
      <c r="C6" s="4" t="s">
        <v>5</v>
      </c>
    </row>
    <row r="7" customFormat="false" ht="15" hidden="false" customHeight="false" outlineLevel="0" collapsed="false">
      <c r="B7" s="2" t="s">
        <v>6</v>
      </c>
      <c r="C7" s="3" t="s">
        <v>7</v>
      </c>
    </row>
    <row r="8" customFormat="false" ht="15" hidden="false" customHeight="false" outlineLevel="0" collapsed="false">
      <c r="B8" s="2" t="s">
        <v>8</v>
      </c>
      <c r="C8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10</v>
      </c>
      <c r="C2" s="5"/>
      <c r="D2" s="5"/>
      <c r="E2" s="5"/>
      <c r="F2" s="5"/>
    </row>
    <row r="4" customFormat="false" ht="15" hidden="false" customHeight="true" outlineLevel="0" collapsed="false">
      <c r="B4" s="6" t="s">
        <v>11</v>
      </c>
      <c r="C4" s="7" t="s">
        <v>12</v>
      </c>
      <c r="D4" s="7"/>
      <c r="E4" s="7"/>
      <c r="F4" s="7"/>
    </row>
    <row r="5" customFormat="false" ht="15" hidden="false" customHeight="true" outlineLevel="0" collapsed="false">
      <c r="B5" s="6" t="s">
        <v>13</v>
      </c>
      <c r="C5" s="7" t="s">
        <v>14</v>
      </c>
      <c r="D5" s="7"/>
      <c r="E5" s="7"/>
      <c r="F5" s="7"/>
    </row>
    <row r="6" customFormat="false" ht="15" hidden="false" customHeight="true" outlineLevel="0" collapsed="false">
      <c r="B6" s="6" t="s">
        <v>15</v>
      </c>
      <c r="C6" s="7" t="s">
        <v>16</v>
      </c>
      <c r="D6" s="7"/>
      <c r="E6" s="7"/>
      <c r="F6" s="7"/>
    </row>
    <row r="7" customFormat="false" ht="15" hidden="false" customHeight="true" outlineLevel="0" collapsed="false">
      <c r="B7" s="6" t="s">
        <v>17</v>
      </c>
      <c r="C7" s="7" t="s">
        <v>18</v>
      </c>
      <c r="D7" s="7"/>
      <c r="E7" s="7"/>
      <c r="F7" s="7"/>
    </row>
    <row r="8" customFormat="false" ht="15" hidden="false" customHeight="true" outlineLevel="0" collapsed="false">
      <c r="B8" s="6" t="s">
        <v>19</v>
      </c>
      <c r="C8" s="7" t="s">
        <v>20</v>
      </c>
      <c r="D8" s="7"/>
      <c r="E8" s="7"/>
      <c r="F8" s="7"/>
    </row>
    <row r="9" customFormat="false" ht="15" hidden="false" customHeight="true" outlineLevel="0" collapsed="false">
      <c r="B9" s="6" t="s">
        <v>21</v>
      </c>
      <c r="C9" s="7" t="s">
        <v>22</v>
      </c>
      <c r="D9" s="7"/>
      <c r="E9" s="7"/>
      <c r="F9" s="7"/>
    </row>
    <row r="10" customFormat="false" ht="15" hidden="false" customHeight="true" outlineLevel="0" collapsed="false">
      <c r="B10" s="6" t="s">
        <v>23</v>
      </c>
      <c r="C10" s="7" t="s">
        <v>24</v>
      </c>
      <c r="D10" s="7"/>
      <c r="E10" s="7"/>
      <c r="F10" s="7"/>
    </row>
    <row r="12" customFormat="false" ht="15" hidden="false" customHeight="false" outlineLevel="0" collapsed="false">
      <c r="B12" s="8" t="s">
        <v>25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26</v>
      </c>
      <c r="C13" s="9" t="s">
        <v>27</v>
      </c>
      <c r="D13" s="9" t="s">
        <v>28</v>
      </c>
      <c r="E13" s="9" t="s">
        <v>29</v>
      </c>
      <c r="F13" s="9" t="s">
        <v>30</v>
      </c>
    </row>
    <row r="14" customFormat="false" ht="15" hidden="false" customHeight="false" outlineLevel="0" collapsed="false">
      <c r="B14" s="0" t="n">
        <v>1</v>
      </c>
      <c r="C14" s="0" t="s">
        <v>31</v>
      </c>
      <c r="F14" s="10" t="s">
        <v>32</v>
      </c>
    </row>
    <row r="15" customFormat="false" ht="15" hidden="false" customHeight="false" outlineLevel="0" collapsed="false">
      <c r="B15" s="0" t="n">
        <v>2</v>
      </c>
      <c r="C15" s="0" t="s">
        <v>33</v>
      </c>
      <c r="F15" s="10" t="s">
        <v>32</v>
      </c>
    </row>
    <row r="16" customFormat="false" ht="15" hidden="false" customHeight="false" outlineLevel="0" collapsed="false">
      <c r="B16" s="0" t="n">
        <v>3</v>
      </c>
      <c r="C16" s="0" t="s">
        <v>34</v>
      </c>
      <c r="F16" s="10" t="s">
        <v>32</v>
      </c>
    </row>
    <row r="17" customFormat="false" ht="15" hidden="false" customHeight="false" outlineLevel="0" collapsed="false">
      <c r="B17" s="0" t="n">
        <v>4</v>
      </c>
      <c r="C17" s="0" t="s">
        <v>35</v>
      </c>
      <c r="F17" s="10" t="s">
        <v>32</v>
      </c>
    </row>
    <row r="18" customFormat="false" ht="15" hidden="false" customHeight="false" outlineLevel="0" collapsed="false">
      <c r="B18" s="0" t="n">
        <v>5</v>
      </c>
      <c r="C18" s="0" t="s">
        <v>36</v>
      </c>
      <c r="F18" s="10" t="s">
        <v>32</v>
      </c>
    </row>
    <row r="20" customFormat="false" ht="15" hidden="false" customHeight="false" outlineLevel="0" collapsed="false">
      <c r="B20" s="8" t="s">
        <v>37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26</v>
      </c>
      <c r="C21" s="9" t="s">
        <v>27</v>
      </c>
      <c r="D21" s="9" t="s">
        <v>28</v>
      </c>
      <c r="E21" s="9" t="s">
        <v>29</v>
      </c>
      <c r="F21" s="9" t="s">
        <v>30</v>
      </c>
    </row>
    <row r="22" customFormat="false" ht="15" hidden="false" customHeight="false" outlineLevel="0" collapsed="false">
      <c r="B22" s="0" t="n">
        <v>1</v>
      </c>
      <c r="C22" s="0" t="s">
        <v>38</v>
      </c>
      <c r="F22" s="10" t="s">
        <v>32</v>
      </c>
    </row>
    <row r="23" customFormat="false" ht="15" hidden="false" customHeight="false" outlineLevel="0" collapsed="false">
      <c r="B23" s="0" t="n">
        <v>2</v>
      </c>
      <c r="C23" s="0" t="s">
        <v>39</v>
      </c>
      <c r="F23" s="10" t="s">
        <v>32</v>
      </c>
    </row>
    <row r="24" customFormat="false" ht="15" hidden="false" customHeight="false" outlineLevel="0" collapsed="false">
      <c r="B24" s="0" t="n">
        <v>3</v>
      </c>
      <c r="C24" s="0" t="s">
        <v>40</v>
      </c>
      <c r="F24" s="10" t="s">
        <v>32</v>
      </c>
    </row>
    <row r="25" customFormat="false" ht="15" hidden="false" customHeight="false" outlineLevel="0" collapsed="false">
      <c r="B25" s="0" t="n">
        <v>4</v>
      </c>
      <c r="C25" s="0" t="s">
        <v>41</v>
      </c>
      <c r="F25" s="10" t="s">
        <v>32</v>
      </c>
    </row>
    <row r="26" customFormat="false" ht="15" hidden="false" customHeight="false" outlineLevel="0" collapsed="false">
      <c r="B26" s="0" t="n">
        <v>5</v>
      </c>
      <c r="C26" s="0" t="s">
        <v>42</v>
      </c>
      <c r="F26" s="10" t="s">
        <v>32</v>
      </c>
    </row>
    <row r="28" customFormat="false" ht="15" hidden="false" customHeight="false" outlineLevel="0" collapsed="false">
      <c r="B28" s="8" t="s">
        <v>43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26</v>
      </c>
      <c r="C29" s="9" t="s">
        <v>27</v>
      </c>
      <c r="D29" s="9" t="s">
        <v>28</v>
      </c>
      <c r="E29" s="9" t="s">
        <v>29</v>
      </c>
      <c r="F29" s="9" t="s">
        <v>30</v>
      </c>
    </row>
    <row r="30" customFormat="false" ht="15" hidden="false" customHeight="false" outlineLevel="0" collapsed="false">
      <c r="B30" s="0" t="n">
        <v>1</v>
      </c>
      <c r="C30" s="0" t="s">
        <v>44</v>
      </c>
      <c r="F30" s="10" t="s">
        <v>32</v>
      </c>
    </row>
    <row r="31" customFormat="false" ht="15" hidden="false" customHeight="false" outlineLevel="0" collapsed="false">
      <c r="B31" s="0" t="n">
        <v>2</v>
      </c>
      <c r="C31" s="0" t="s">
        <v>45</v>
      </c>
      <c r="F31" s="10" t="s">
        <v>32</v>
      </c>
    </row>
    <row r="32" customFormat="false" ht="15" hidden="false" customHeight="false" outlineLevel="0" collapsed="false">
      <c r="B32" s="0" t="n">
        <v>3</v>
      </c>
      <c r="C32" s="0" t="s">
        <v>46</v>
      </c>
      <c r="F32" s="10" t="s">
        <v>32</v>
      </c>
    </row>
    <row r="33" customFormat="false" ht="15" hidden="false" customHeight="false" outlineLevel="0" collapsed="false">
      <c r="B33" s="0" t="n">
        <v>4</v>
      </c>
      <c r="C33" s="0" t="s">
        <v>47</v>
      </c>
      <c r="F33" s="10" t="s">
        <v>32</v>
      </c>
    </row>
    <row r="34" customFormat="false" ht="15" hidden="false" customHeight="false" outlineLevel="0" collapsed="false">
      <c r="B34" s="0" t="n">
        <v>5</v>
      </c>
      <c r="C34" s="0" t="s">
        <v>48</v>
      </c>
      <c r="F34" s="10" t="s">
        <v>32</v>
      </c>
    </row>
    <row r="36" customFormat="false" ht="15" hidden="false" customHeight="false" outlineLevel="0" collapsed="false">
      <c r="B36" s="8" t="s">
        <v>49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26</v>
      </c>
      <c r="C37" s="9" t="s">
        <v>27</v>
      </c>
      <c r="D37" s="9" t="s">
        <v>28</v>
      </c>
      <c r="E37" s="9" t="s">
        <v>29</v>
      </c>
      <c r="F37" s="9" t="s">
        <v>30</v>
      </c>
    </row>
    <row r="38" customFormat="false" ht="15" hidden="false" customHeight="false" outlineLevel="0" collapsed="false">
      <c r="B38" s="0" t="n">
        <v>1</v>
      </c>
      <c r="C38" s="0" t="s">
        <v>50</v>
      </c>
      <c r="F38" s="10" t="s">
        <v>32</v>
      </c>
    </row>
    <row r="39" customFormat="false" ht="15" hidden="false" customHeight="false" outlineLevel="0" collapsed="false">
      <c r="B39" s="0" t="n">
        <v>2</v>
      </c>
      <c r="C39" s="0" t="s">
        <v>51</v>
      </c>
      <c r="F39" s="10" t="s">
        <v>32</v>
      </c>
    </row>
    <row r="40" customFormat="false" ht="15" hidden="false" customHeight="false" outlineLevel="0" collapsed="false">
      <c r="B40" s="0" t="n">
        <v>3</v>
      </c>
      <c r="C40" s="0" t="s">
        <v>52</v>
      </c>
      <c r="F40" s="10" t="s">
        <v>32</v>
      </c>
    </row>
    <row r="41" customFormat="false" ht="15" hidden="false" customHeight="false" outlineLevel="0" collapsed="false">
      <c r="B41" s="0" t="n">
        <v>4</v>
      </c>
      <c r="C41" s="0" t="s">
        <v>53</v>
      </c>
      <c r="F41" s="10" t="s">
        <v>32</v>
      </c>
    </row>
    <row r="42" customFormat="false" ht="15" hidden="false" customHeight="false" outlineLevel="0" collapsed="false">
      <c r="B42" s="0" t="n">
        <v>5</v>
      </c>
      <c r="C42" s="0" t="s">
        <v>54</v>
      </c>
      <c r="F42" s="10" t="s">
        <v>32</v>
      </c>
    </row>
    <row r="44" customFormat="false" ht="15" hidden="false" customHeight="false" outlineLevel="0" collapsed="false">
      <c r="B44" s="8" t="s">
        <v>55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26</v>
      </c>
      <c r="C45" s="9" t="s">
        <v>27</v>
      </c>
      <c r="D45" s="9" t="s">
        <v>28</v>
      </c>
      <c r="E45" s="9" t="s">
        <v>29</v>
      </c>
      <c r="F45" s="9" t="s">
        <v>30</v>
      </c>
    </row>
    <row r="46" customFormat="false" ht="15" hidden="false" customHeight="false" outlineLevel="0" collapsed="false">
      <c r="B46" s="0" t="n">
        <v>1</v>
      </c>
      <c r="C46" s="0" t="s">
        <v>56</v>
      </c>
      <c r="F46" s="10" t="s">
        <v>32</v>
      </c>
    </row>
    <row r="47" customFormat="false" ht="15" hidden="false" customHeight="false" outlineLevel="0" collapsed="false">
      <c r="B47" s="0" t="n">
        <v>2</v>
      </c>
      <c r="C47" s="0" t="s">
        <v>57</v>
      </c>
      <c r="F47" s="10" t="s">
        <v>32</v>
      </c>
    </row>
    <row r="48" customFormat="false" ht="15" hidden="false" customHeight="false" outlineLevel="0" collapsed="false">
      <c r="B48" s="0" t="n">
        <v>3</v>
      </c>
      <c r="C48" s="0" t="s">
        <v>58</v>
      </c>
      <c r="F48" s="10" t="s">
        <v>32</v>
      </c>
    </row>
    <row r="49" customFormat="false" ht="15" hidden="false" customHeight="false" outlineLevel="0" collapsed="false">
      <c r="B49" s="0" t="n">
        <v>4</v>
      </c>
      <c r="C49" s="0" t="s">
        <v>59</v>
      </c>
      <c r="F49" s="10" t="s">
        <v>32</v>
      </c>
    </row>
    <row r="50" customFormat="false" ht="15" hidden="false" customHeight="false" outlineLevel="0" collapsed="false">
      <c r="B50" s="0" t="n">
        <v>5</v>
      </c>
      <c r="C50" s="0" t="s">
        <v>60</v>
      </c>
      <c r="F50" s="10" t="s">
        <v>32</v>
      </c>
    </row>
    <row r="52" customFormat="false" ht="15" hidden="false" customHeight="false" outlineLevel="0" collapsed="false">
      <c r="B52" s="8" t="s">
        <v>61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26</v>
      </c>
      <c r="C53" s="9" t="s">
        <v>27</v>
      </c>
      <c r="D53" s="9" t="s">
        <v>28</v>
      </c>
      <c r="E53" s="9" t="s">
        <v>29</v>
      </c>
      <c r="F53" s="9" t="s">
        <v>30</v>
      </c>
    </row>
    <row r="54" customFormat="false" ht="15" hidden="false" customHeight="false" outlineLevel="0" collapsed="false">
      <c r="B54" s="0" t="n">
        <v>1</v>
      </c>
      <c r="C54" s="0" t="s">
        <v>62</v>
      </c>
      <c r="F54" s="10" t="s">
        <v>32</v>
      </c>
    </row>
    <row r="55" customFormat="false" ht="15" hidden="false" customHeight="false" outlineLevel="0" collapsed="false">
      <c r="B55" s="0" t="n">
        <v>2</v>
      </c>
      <c r="C55" s="0" t="s">
        <v>63</v>
      </c>
      <c r="F55" s="10" t="s">
        <v>32</v>
      </c>
    </row>
    <row r="56" customFormat="false" ht="15" hidden="false" customHeight="false" outlineLevel="0" collapsed="false">
      <c r="B56" s="0" t="n">
        <v>3</v>
      </c>
      <c r="C56" s="0" t="s">
        <v>64</v>
      </c>
      <c r="F56" s="10" t="s">
        <v>32</v>
      </c>
    </row>
    <row r="57" customFormat="false" ht="15" hidden="false" customHeight="false" outlineLevel="0" collapsed="false">
      <c r="B57" s="0" t="n">
        <v>4</v>
      </c>
      <c r="C57" s="0" t="s">
        <v>65</v>
      </c>
      <c r="F57" s="10" t="s">
        <v>32</v>
      </c>
    </row>
    <row r="58" customFormat="false" ht="15" hidden="false" customHeight="false" outlineLevel="0" collapsed="false">
      <c r="B58" s="0" t="n">
        <v>5</v>
      </c>
      <c r="C58" s="0" t="s">
        <v>66</v>
      </c>
      <c r="F58" s="10" t="s">
        <v>32</v>
      </c>
    </row>
    <row r="60" customFormat="false" ht="15" hidden="false" customHeight="false" outlineLevel="0" collapsed="false">
      <c r="B60" s="8" t="s">
        <v>67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68</v>
      </c>
      <c r="C61" s="9" t="s">
        <v>69</v>
      </c>
      <c r="D61" s="9" t="s">
        <v>70</v>
      </c>
      <c r="E61" s="9" t="s">
        <v>71</v>
      </c>
      <c r="F61" s="9" t="s">
        <v>72</v>
      </c>
    </row>
    <row r="62" customFormat="false" ht="15" hidden="false" customHeight="false" outlineLevel="0" collapsed="false">
      <c r="B62" s="0" t="s">
        <v>73</v>
      </c>
      <c r="C62" s="0" t="s">
        <v>74</v>
      </c>
      <c r="D62" s="0" t="s">
        <v>75</v>
      </c>
      <c r="E62" s="0" t="s">
        <v>76</v>
      </c>
    </row>
    <row r="63" customFormat="false" ht="15" hidden="false" customHeight="false" outlineLevel="0" collapsed="false">
      <c r="B63" s="0" t="s">
        <v>77</v>
      </c>
      <c r="C63" s="0" t="s">
        <v>78</v>
      </c>
      <c r="D63" s="0" t="s">
        <v>79</v>
      </c>
      <c r="E63" s="0" t="s">
        <v>76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80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81</v>
      </c>
      <c r="C4" s="9" t="s">
        <v>82</v>
      </c>
      <c r="D4" s="9" t="s">
        <v>83</v>
      </c>
      <c r="E4" s="9" t="s">
        <v>84</v>
      </c>
      <c r="F4" s="9" t="s">
        <v>85</v>
      </c>
      <c r="G4" s="9" t="s">
        <v>86</v>
      </c>
      <c r="H4" s="9" t="s">
        <v>30</v>
      </c>
      <c r="I4" s="9" t="s">
        <v>87</v>
      </c>
    </row>
    <row r="5" customFormat="false" ht="15" hidden="false" customHeight="false" outlineLevel="0" collapsed="false">
      <c r="D5" s="0" t="s">
        <v>56</v>
      </c>
      <c r="H5" s="10" t="s">
        <v>32</v>
      </c>
    </row>
    <row r="6" customFormat="false" ht="15" hidden="false" customHeight="false" outlineLevel="0" collapsed="false">
      <c r="D6" s="0" t="s">
        <v>57</v>
      </c>
      <c r="H6" s="10" t="s">
        <v>32</v>
      </c>
    </row>
    <row r="7" customFormat="false" ht="15" hidden="false" customHeight="false" outlineLevel="0" collapsed="false">
      <c r="D7" s="0" t="s">
        <v>58</v>
      </c>
      <c r="H7" s="10" t="s">
        <v>32</v>
      </c>
    </row>
    <row r="8" customFormat="false" ht="15" hidden="false" customHeight="false" outlineLevel="0" collapsed="false">
      <c r="D8" s="0" t="s">
        <v>59</v>
      </c>
      <c r="H8" s="10" t="s">
        <v>32</v>
      </c>
    </row>
    <row r="9" customFormat="false" ht="15" hidden="false" customHeight="false" outlineLevel="0" collapsed="false">
      <c r="D9" s="0" t="s">
        <v>60</v>
      </c>
      <c r="H9" s="10" t="s">
        <v>32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88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89</v>
      </c>
      <c r="C4" s="9" t="s">
        <v>90</v>
      </c>
      <c r="D4" s="9" t="s">
        <v>91</v>
      </c>
      <c r="E4" s="9" t="s">
        <v>92</v>
      </c>
      <c r="F4" s="9" t="s">
        <v>93</v>
      </c>
      <c r="G4" s="9" t="s">
        <v>28</v>
      </c>
      <c r="H4" s="9" t="s">
        <v>94</v>
      </c>
      <c r="I4" s="9" t="s">
        <v>95</v>
      </c>
      <c r="J4" s="9" t="s">
        <v>30</v>
      </c>
    </row>
    <row r="5" customFormat="false" ht="15" hidden="false" customHeight="false" outlineLevel="0" collapsed="false">
      <c r="B5" s="0" t="s">
        <v>96</v>
      </c>
      <c r="C5" s="0" t="s">
        <v>97</v>
      </c>
      <c r="D5" s="0" t="s">
        <v>98</v>
      </c>
      <c r="J5" s="10" t="s">
        <v>99</v>
      </c>
    </row>
    <row r="6" customFormat="false" ht="15" hidden="false" customHeight="false" outlineLevel="0" collapsed="false">
      <c r="B6" s="0" t="s">
        <v>100</v>
      </c>
      <c r="C6" s="0" t="s">
        <v>101</v>
      </c>
      <c r="D6" s="0" t="s">
        <v>102</v>
      </c>
      <c r="J6" s="10" t="s">
        <v>99</v>
      </c>
    </row>
    <row r="7" customFormat="false" ht="15" hidden="false" customHeight="false" outlineLevel="0" collapsed="false">
      <c r="B7" s="0" t="s">
        <v>103</v>
      </c>
      <c r="C7" s="0" t="s">
        <v>104</v>
      </c>
      <c r="D7" s="0" t="s">
        <v>105</v>
      </c>
      <c r="J7" s="10" t="s">
        <v>99</v>
      </c>
    </row>
    <row r="8" customFormat="false" ht="15" hidden="false" customHeight="false" outlineLevel="0" collapsed="false">
      <c r="B8" s="0" t="s">
        <v>106</v>
      </c>
      <c r="C8" s="0" t="s">
        <v>107</v>
      </c>
      <c r="D8" s="0" t="s">
        <v>108</v>
      </c>
      <c r="J8" s="10" t="s">
        <v>99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30"/>
  </cols>
  <sheetData>
    <row r="2" customFormat="false" ht="19.7" hidden="false" customHeight="false" outlineLevel="0" collapsed="false">
      <c r="B2" s="1" t="s">
        <v>109</v>
      </c>
    </row>
    <row r="4" customFormat="false" ht="15" hidden="false" customHeight="false" outlineLevel="0" collapsed="false">
      <c r="A4" s="11"/>
      <c r="B4" s="11" t="s">
        <v>110</v>
      </c>
      <c r="C4" s="11" t="s">
        <v>111</v>
      </c>
      <c r="D4" s="10" t="s">
        <v>112</v>
      </c>
      <c r="E4" s="10" t="s">
        <v>113</v>
      </c>
      <c r="F4" s="10" t="s">
        <v>114</v>
      </c>
    </row>
    <row r="5" customFormat="false" ht="15" hidden="false" customHeight="false" outlineLevel="0" collapsed="false">
      <c r="B5" s="12" t="s">
        <v>115</v>
      </c>
      <c r="C5" s="13" t="n">
        <v>250</v>
      </c>
      <c r="D5" s="14" t="n">
        <f aca="false">IFERROR(C5/$C$10,"-")</f>
        <v>0.25</v>
      </c>
      <c r="E5" s="3" t="s">
        <v>7</v>
      </c>
      <c r="F5" s="15" t="s">
        <v>116</v>
      </c>
    </row>
    <row r="6" customFormat="false" ht="15" hidden="false" customHeight="false" outlineLevel="0" collapsed="false">
      <c r="B6" s="12" t="s">
        <v>117</v>
      </c>
      <c r="C6" s="13" t="n">
        <v>250</v>
      </c>
      <c r="D6" s="14" t="n">
        <f aca="false">IFERROR(C6/$C$10,"-")</f>
        <v>0.25</v>
      </c>
      <c r="E6" s="3" t="s">
        <v>7</v>
      </c>
      <c r="F6" s="15" t="s">
        <v>116</v>
      </c>
    </row>
    <row r="7" customFormat="false" ht="15" hidden="false" customHeight="false" outlineLevel="0" collapsed="false">
      <c r="B7" s="12" t="s">
        <v>118</v>
      </c>
      <c r="C7" s="13" t="n">
        <v>250</v>
      </c>
      <c r="D7" s="14" t="n">
        <f aca="false">IFERROR(C7/$C$10,"-")</f>
        <v>0.25</v>
      </c>
      <c r="E7" s="3" t="s">
        <v>7</v>
      </c>
      <c r="F7" s="15" t="s">
        <v>116</v>
      </c>
    </row>
    <row r="8" customFormat="false" ht="15" hidden="false" customHeight="false" outlineLevel="0" collapsed="false">
      <c r="B8" s="12" t="s">
        <v>119</v>
      </c>
      <c r="C8" s="13" t="n">
        <v>100</v>
      </c>
      <c r="D8" s="14" t="n">
        <f aca="false">IFERROR(C8/$C$10,"-")</f>
        <v>0.1</v>
      </c>
      <c r="E8" s="3" t="s">
        <v>7</v>
      </c>
      <c r="F8" s="15" t="s">
        <v>116</v>
      </c>
    </row>
    <row r="9" customFormat="false" ht="15" hidden="false" customHeight="false" outlineLevel="0" collapsed="false">
      <c r="B9" s="12" t="s">
        <v>120</v>
      </c>
      <c r="C9" s="13" t="n">
        <v>150</v>
      </c>
      <c r="D9" s="14" t="n">
        <f aca="false">IFERROR(C9/$C$10,"-")</f>
        <v>0.15</v>
      </c>
      <c r="E9" s="3" t="s">
        <v>7</v>
      </c>
      <c r="F9" s="15" t="s">
        <v>116</v>
      </c>
    </row>
    <row r="10" customFormat="false" ht="15" hidden="false" customHeight="false" outlineLevel="0" collapsed="false">
      <c r="B10" s="2" t="s">
        <v>121</v>
      </c>
      <c r="C10" s="16" t="n">
        <f aca="false">SUM(C5:C9)</f>
        <v>1000</v>
      </c>
    </row>
    <row r="12" customFormat="false" ht="15" hidden="false" customHeight="false" outlineLevel="0" collapsed="false">
      <c r="B12" s="2" t="s">
        <v>122</v>
      </c>
      <c r="C12" s="17" t="n">
        <v>350</v>
      </c>
    </row>
    <row r="13" customFormat="false" ht="15" hidden="false" customHeight="false" outlineLevel="0" collapsed="false">
      <c r="B13" s="12" t="s">
        <v>123</v>
      </c>
      <c r="C13" s="14" t="n">
        <f aca="false">IFERROR(C12/C10,"-")</f>
        <v>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8"/>
    <col collapsed="false" customWidth="true" hidden="false" outlineLevel="0" max="6" min="6" style="0" width="46"/>
  </cols>
  <sheetData>
    <row r="2" customFormat="false" ht="19.7" hidden="false" customHeight="false" outlineLevel="0" collapsed="false">
      <c r="B2" s="1" t="s">
        <v>124</v>
      </c>
    </row>
    <row r="3" customFormat="false" ht="15" hidden="false" customHeight="false" outlineLevel="0" collapsed="false">
      <c r="B3" s="0" t="s">
        <v>125</v>
      </c>
      <c r="C3" s="18" t="s">
        <v>126</v>
      </c>
    </row>
    <row r="4" customFormat="false" ht="15" hidden="false" customHeight="false" outlineLevel="0" collapsed="false">
      <c r="B4" s="11" t="s">
        <v>127</v>
      </c>
      <c r="C4" s="11" t="s">
        <v>128</v>
      </c>
      <c r="D4" s="11" t="s">
        <v>126</v>
      </c>
      <c r="E4" s="11" t="s">
        <v>129</v>
      </c>
      <c r="F4" s="11" t="s">
        <v>130</v>
      </c>
    </row>
    <row r="5" customFormat="false" ht="15" hidden="false" customHeight="false" outlineLevel="0" collapsed="false">
      <c r="B5" s="0" t="s">
        <v>131</v>
      </c>
      <c r="C5" s="13" t="n">
        <v>1000</v>
      </c>
      <c r="D5" s="13" t="n">
        <v>1000</v>
      </c>
      <c r="E5" s="19" t="n">
        <f aca="false">IF($C$3="Downside",D5,C5)</f>
        <v>1000</v>
      </c>
      <c r="F5" s="10" t="s">
        <v>132</v>
      </c>
    </row>
    <row r="6" customFormat="false" ht="15" hidden="false" customHeight="false" outlineLevel="0" collapsed="false">
      <c r="B6" s="0" t="s">
        <v>133</v>
      </c>
      <c r="C6" s="13" t="n">
        <v>20</v>
      </c>
      <c r="D6" s="13" t="n">
        <v>50</v>
      </c>
      <c r="E6" s="19" t="n">
        <f aca="false">IF($C$3="Downside",D6,C6)</f>
        <v>50</v>
      </c>
      <c r="F6" s="10" t="s">
        <v>134</v>
      </c>
    </row>
    <row r="7" customFormat="false" ht="15" hidden="false" customHeight="false" outlineLevel="0" collapsed="false">
      <c r="B7" s="0" t="s">
        <v>135</v>
      </c>
      <c r="C7" s="13" t="n">
        <v>30</v>
      </c>
      <c r="D7" s="13" t="n">
        <v>250</v>
      </c>
      <c r="E7" s="19" t="n">
        <f aca="false">IF($C$3="Downside",D7,C7)</f>
        <v>250</v>
      </c>
      <c r="F7" s="10" t="s">
        <v>136</v>
      </c>
    </row>
    <row r="8" customFormat="false" ht="15" hidden="false" customHeight="false" outlineLevel="0" collapsed="false">
      <c r="B8" s="0" t="s">
        <v>137</v>
      </c>
      <c r="C8" s="13" t="n">
        <v>10</v>
      </c>
      <c r="D8" s="13" t="n">
        <v>40</v>
      </c>
      <c r="E8" s="19" t="n">
        <f aca="false">IF($C$3="Downside",D8,C8)</f>
        <v>40</v>
      </c>
      <c r="F8" s="10" t="s">
        <v>138</v>
      </c>
    </row>
    <row r="9" customFormat="false" ht="15" hidden="false" customHeight="false" outlineLevel="0" collapsed="false">
      <c r="B9" s="0" t="s">
        <v>139</v>
      </c>
      <c r="C9" s="13" t="n">
        <v>5</v>
      </c>
      <c r="D9" s="13" t="n">
        <v>0</v>
      </c>
      <c r="E9" s="19" t="n">
        <f aca="false">IF($C$3="Downside",D9,C9)</f>
        <v>0</v>
      </c>
      <c r="F9" s="10" t="s">
        <v>140</v>
      </c>
    </row>
    <row r="10" customFormat="false" ht="15" hidden="false" customHeight="false" outlineLevel="0" collapsed="false">
      <c r="B10" s="0" t="s">
        <v>141</v>
      </c>
      <c r="C10" s="13" t="n">
        <v>300</v>
      </c>
      <c r="D10" s="13" t="n">
        <v>100</v>
      </c>
      <c r="E10" s="19" t="n">
        <f aca="false">IF($C$3="Downside",D10,C10)</f>
        <v>100</v>
      </c>
      <c r="F10" s="10" t="s">
        <v>142</v>
      </c>
    </row>
    <row r="11" customFormat="false" ht="15" hidden="false" customHeight="false" outlineLevel="0" collapsed="false">
      <c r="B11" s="0" t="s">
        <v>143</v>
      </c>
      <c r="C11" s="20" t="n">
        <v>0.1</v>
      </c>
      <c r="D11" s="20" t="n">
        <v>0.1</v>
      </c>
      <c r="E11" s="21" t="n">
        <f aca="false">IF($C$3="Downside",D11,C11)</f>
        <v>0.1</v>
      </c>
      <c r="F11" s="10" t="s">
        <v>144</v>
      </c>
    </row>
    <row r="12" customFormat="false" ht="15" hidden="false" customHeight="false" outlineLevel="0" collapsed="false">
      <c r="B12" s="0" t="s">
        <v>145</v>
      </c>
      <c r="C12" s="20" t="n">
        <v>0.08</v>
      </c>
      <c r="D12" s="20" t="n">
        <v>0.08</v>
      </c>
      <c r="E12" s="21" t="n">
        <f aca="false">IF($C$3="Downside",D12,C12)</f>
        <v>0.08</v>
      </c>
      <c r="F12" s="10" t="s">
        <v>146</v>
      </c>
    </row>
    <row r="15" customFormat="false" ht="15" hidden="false" customHeight="false" outlineLevel="0" collapsed="false">
      <c r="B15" s="22" t="s">
        <v>147</v>
      </c>
    </row>
    <row r="16" customFormat="false" ht="15" hidden="false" customHeight="false" outlineLevel="0" collapsed="false">
      <c r="B16" s="0" t="s">
        <v>148</v>
      </c>
      <c r="E16" s="19" t="n">
        <f aca="false">E5+E6+E7+E8-E9</f>
        <v>1340</v>
      </c>
    </row>
    <row r="17" customFormat="false" ht="15" hidden="false" customHeight="false" outlineLevel="0" collapsed="false">
      <c r="B17" s="0" t="s">
        <v>149</v>
      </c>
      <c r="E17" s="19" t="n">
        <f aca="false">E16-E10</f>
        <v>1240</v>
      </c>
    </row>
    <row r="18" customFormat="false" ht="15" hidden="false" customHeight="false" outlineLevel="0" collapsed="false">
      <c r="B18" s="0" t="s">
        <v>150</v>
      </c>
      <c r="E18" s="21" t="n">
        <f aca="false">IFERROR(E7/E5,0)</f>
        <v>0.25</v>
      </c>
    </row>
    <row r="19" customFormat="false" ht="15" hidden="false" customHeight="false" outlineLevel="0" collapsed="false">
      <c r="B19" s="0" t="s">
        <v>151</v>
      </c>
      <c r="E19" s="21" t="n">
        <f aca="false">IFERROR(E8/MAX(E17-E8,0.000001),0)</f>
        <v>0.0333333333333333</v>
      </c>
    </row>
    <row r="20" customFormat="false" ht="15" hidden="false" customHeight="false" outlineLevel="0" collapsed="false">
      <c r="B20" s="0" t="s">
        <v>152</v>
      </c>
      <c r="E20" s="21" t="n">
        <f aca="false">IFERROR(E10/E16,0)</f>
        <v>0.0746268656716418</v>
      </c>
    </row>
    <row r="21" customFormat="false" ht="15" hidden="false" customHeight="false" outlineLevel="0" collapsed="false">
      <c r="B21" s="0" t="s">
        <v>153</v>
      </c>
      <c r="E21" s="21" t="n">
        <f aca="false">IFERROR(E16/E5-1,0)</f>
        <v>0.34</v>
      </c>
    </row>
    <row r="23" customFormat="false" ht="15" hidden="false" customHeight="false" outlineLevel="0" collapsed="false">
      <c r="B23" s="15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155</v>
      </c>
    </row>
    <row r="4" customFormat="false" ht="15" hidden="false" customHeight="false" outlineLevel="0" collapsed="false">
      <c r="B4" s="22" t="s">
        <v>156</v>
      </c>
    </row>
    <row r="5" customFormat="false" ht="15" hidden="false" customHeight="false" outlineLevel="0" collapsed="false">
      <c r="B5" s="12" t="s">
        <v>157</v>
      </c>
      <c r="C5" s="23" t="n">
        <v>0.8</v>
      </c>
    </row>
    <row r="6" customFormat="false" ht="15" hidden="false" customHeight="false" outlineLevel="0" collapsed="false">
      <c r="B6" s="12" t="s">
        <v>158</v>
      </c>
      <c r="C6" s="24" t="n">
        <v>150</v>
      </c>
    </row>
    <row r="7" customFormat="false" ht="15" hidden="false" customHeight="false" outlineLevel="0" collapsed="false">
      <c r="B7" s="12" t="s">
        <v>159</v>
      </c>
      <c r="C7" s="24" t="n">
        <v>10</v>
      </c>
    </row>
    <row r="8" customFormat="false" ht="15" hidden="false" customHeight="false" outlineLevel="0" collapsed="false">
      <c r="B8" s="12" t="s">
        <v>160</v>
      </c>
      <c r="C8" s="24" t="n">
        <v>2</v>
      </c>
    </row>
    <row r="10" customFormat="false" ht="15" hidden="false" customHeight="false" outlineLevel="0" collapsed="false">
      <c r="B10" s="22" t="s">
        <v>161</v>
      </c>
    </row>
    <row r="11" customFormat="false" ht="15" hidden="false" customHeight="false" outlineLevel="0" collapsed="false">
      <c r="B11" s="0" t="s">
        <v>162</v>
      </c>
      <c r="C11" s="25" t="n">
        <f aca="false">C5*Tokenomics!C12</f>
        <v>280</v>
      </c>
    </row>
    <row r="12" customFormat="false" ht="15" hidden="false" customHeight="false" outlineLevel="0" collapsed="false">
      <c r="B12" s="0" t="s">
        <v>163</v>
      </c>
      <c r="C12" s="25" t="n">
        <f aca="false">C5*Tokenomics!C10</f>
        <v>800</v>
      </c>
    </row>
    <row r="13" customFormat="false" ht="15" hidden="false" customHeight="false" outlineLevel="0" collapsed="false">
      <c r="B13" s="0" t="s">
        <v>164</v>
      </c>
      <c r="C13" s="26" t="n">
        <f aca="false">IFERROR(C11/C6,"-")</f>
        <v>1.86666666666667</v>
      </c>
    </row>
    <row r="14" customFormat="false" ht="15" hidden="false" customHeight="false" outlineLevel="0" collapsed="false">
      <c r="B14" s="0" t="s">
        <v>165</v>
      </c>
      <c r="C14" s="26" t="n">
        <f aca="false">IFERROR(C12/C6,"-")</f>
        <v>5.33333333333333</v>
      </c>
    </row>
    <row r="15" customFormat="false" ht="15" hidden="false" customHeight="false" outlineLevel="0" collapsed="false">
      <c r="B15" s="0" t="s">
        <v>166</v>
      </c>
      <c r="C15" s="26" t="n">
        <f aca="false">IFERROR(C11/C7,"-")</f>
        <v>28</v>
      </c>
    </row>
    <row r="16" customFormat="false" ht="15" hidden="false" customHeight="false" outlineLevel="0" collapsed="false">
      <c r="B16" s="0" t="s">
        <v>167</v>
      </c>
      <c r="C16" s="26" t="n">
        <f aca="false">IFERROR(C11/(C8*365),"-")</f>
        <v>0.383561643835616</v>
      </c>
      <c r="D16" s="15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169</v>
      </c>
    </row>
    <row r="4" customFormat="false" ht="15" hidden="false" customHeight="false" outlineLevel="0" collapsed="false">
      <c r="B4" s="11" t="s">
        <v>127</v>
      </c>
      <c r="C4" s="11" t="s">
        <v>128</v>
      </c>
      <c r="D4" s="11" t="s">
        <v>126</v>
      </c>
      <c r="E4" s="11" t="s">
        <v>170</v>
      </c>
    </row>
    <row r="5" customFormat="false" ht="15" hidden="false" customHeight="false" outlineLevel="0" collapsed="false">
      <c r="B5" s="0" t="s">
        <v>171</v>
      </c>
      <c r="C5" s="24" t="n">
        <v>30</v>
      </c>
      <c r="D5" s="24" t="n">
        <v>10</v>
      </c>
      <c r="E5" s="10" t="s">
        <v>172</v>
      </c>
    </row>
    <row r="6" customFormat="false" ht="15" hidden="false" customHeight="false" outlineLevel="0" collapsed="false">
      <c r="B6" s="0" t="s">
        <v>173</v>
      </c>
      <c r="C6" s="24" t="n">
        <v>10</v>
      </c>
      <c r="D6" s="24" t="n">
        <v>3</v>
      </c>
      <c r="E6" s="10" t="s">
        <v>174</v>
      </c>
    </row>
    <row r="7" customFormat="false" ht="15" hidden="false" customHeight="false" outlineLevel="0" collapsed="false">
      <c r="B7" s="0" t="s">
        <v>175</v>
      </c>
      <c r="C7" s="24" t="n">
        <v>80</v>
      </c>
      <c r="D7" s="24" t="n">
        <v>20</v>
      </c>
      <c r="E7" s="10" t="s">
        <v>176</v>
      </c>
    </row>
    <row r="8" customFormat="false" ht="15" hidden="false" customHeight="false" outlineLevel="0" collapsed="false">
      <c r="B8" s="0" t="s">
        <v>177</v>
      </c>
      <c r="C8" s="24" t="n">
        <v>10</v>
      </c>
      <c r="D8" s="24" t="n">
        <v>2</v>
      </c>
      <c r="E8" s="10" t="s">
        <v>178</v>
      </c>
    </row>
    <row r="9" customFormat="false" ht="15" hidden="false" customHeight="false" outlineLevel="0" collapsed="false">
      <c r="B9" s="0" t="s">
        <v>179</v>
      </c>
      <c r="C9" s="24" t="n">
        <v>20</v>
      </c>
      <c r="D9" s="24" t="n">
        <v>20</v>
      </c>
      <c r="E9" s="10" t="s">
        <v>180</v>
      </c>
    </row>
    <row r="10" customFormat="false" ht="15" hidden="false" customHeight="false" outlineLevel="0" collapsed="false">
      <c r="B10" s="0" t="s">
        <v>181</v>
      </c>
      <c r="C10" s="24" t="n">
        <v>5</v>
      </c>
      <c r="D10" s="24" t="n">
        <v>7</v>
      </c>
      <c r="E10" s="10" t="s">
        <v>182</v>
      </c>
    </row>
    <row r="11" customFormat="false" ht="15" hidden="false" customHeight="false" outlineLevel="0" collapsed="false">
      <c r="B11" s="0" t="s">
        <v>183</v>
      </c>
      <c r="C11" s="24" t="n">
        <v>20</v>
      </c>
      <c r="D11" s="24" t="n">
        <v>25</v>
      </c>
      <c r="E11" s="10" t="s">
        <v>184</v>
      </c>
    </row>
    <row r="12" customFormat="false" ht="15" hidden="false" customHeight="false" outlineLevel="0" collapsed="false">
      <c r="B12" s="0" t="s">
        <v>185</v>
      </c>
      <c r="C12" s="27" t="n">
        <v>18</v>
      </c>
      <c r="D12" s="27" t="n">
        <v>18</v>
      </c>
      <c r="E12" s="10" t="s">
        <v>186</v>
      </c>
    </row>
    <row r="13" customFormat="false" ht="15" hidden="false" customHeight="false" outlineLevel="0" collapsed="false">
      <c r="B13" s="0" t="s">
        <v>187</v>
      </c>
      <c r="C13" s="28" t="n">
        <v>1.25</v>
      </c>
      <c r="D13" s="28" t="n">
        <v>1.25</v>
      </c>
      <c r="E13" s="10" t="s">
        <v>188</v>
      </c>
    </row>
    <row r="14" customFormat="false" ht="15" hidden="false" customHeight="false" outlineLevel="0" collapsed="false">
      <c r="B14" s="0" t="s">
        <v>189</v>
      </c>
      <c r="C14" s="20" t="n">
        <v>0.15</v>
      </c>
      <c r="D14" s="20" t="n">
        <v>0.35</v>
      </c>
      <c r="E14" s="10" t="s">
        <v>190</v>
      </c>
    </row>
    <row r="15" customFormat="false" ht="15" hidden="false" customHeight="false" outlineLevel="0" collapsed="false">
      <c r="B15" s="0" t="s">
        <v>191</v>
      </c>
      <c r="C15" s="20" t="n">
        <v>0.35</v>
      </c>
      <c r="D15" s="20" t="n">
        <v>0.65</v>
      </c>
      <c r="E15" s="10" t="s">
        <v>192</v>
      </c>
    </row>
    <row r="18" customFormat="false" ht="15" hidden="false" customHeight="false" outlineLevel="0" collapsed="false">
      <c r="B18" s="0" t="s">
        <v>193</v>
      </c>
      <c r="C18" s="25" t="n">
        <f aca="false">C5+C6*(1-C14)+C8*(1-C15)</f>
        <v>45</v>
      </c>
      <c r="D18" s="25" t="n">
        <f aca="false">D5+D6*(1-D14)+D8*(1-D15)</f>
        <v>12.65</v>
      </c>
    </row>
    <row r="19" customFormat="false" ht="15" hidden="false" customHeight="false" outlineLevel="0" collapsed="false">
      <c r="B19" s="0" t="s">
        <v>194</v>
      </c>
      <c r="C19" s="29" t="n">
        <f aca="false">IFERROR(C18/C10,0)</f>
        <v>9</v>
      </c>
      <c r="D19" s="29" t="n">
        <f aca="false">IFERROR(D18/D10,0)</f>
        <v>1.80714285714286</v>
      </c>
    </row>
    <row r="20" customFormat="false" ht="15" hidden="false" customHeight="false" outlineLevel="0" collapsed="false">
      <c r="B20" s="0" t="s">
        <v>195</v>
      </c>
      <c r="C20" s="26" t="n">
        <f aca="false">IFERROR(C18/C11,0)</f>
        <v>2.25</v>
      </c>
      <c r="D20" s="26" t="n">
        <f aca="false">IFERROR(D18/D11,0)</f>
        <v>0.506</v>
      </c>
    </row>
    <row r="21" customFormat="false" ht="15" hidden="false" customHeight="false" outlineLevel="0" collapsed="false">
      <c r="B21" s="0" t="s">
        <v>196</v>
      </c>
      <c r="C21" s="21" t="n">
        <f aca="false">IFERROR(C7/SUM(C5:C9),0)</f>
        <v>0.533333333333333</v>
      </c>
      <c r="D21" s="21" t="n">
        <f aca="false">IFERROR(D7/SUM(D5:D9),0)</f>
        <v>0.363636363636364</v>
      </c>
    </row>
    <row r="22" customFormat="false" ht="15" hidden="false" customHeight="false" outlineLevel="0" collapsed="false">
      <c r="B22" s="0" t="s">
        <v>197</v>
      </c>
      <c r="C22" s="30" t="str">
        <f aca="false">IF(AND(D19&gt;=D12,D20&gt;=D13),"PASS","BREACH")</f>
        <v>BREACH</v>
      </c>
      <c r="D22" s="30"/>
    </row>
    <row r="24" customFormat="false" ht="15" hidden="false" customHeight="false" outlineLevel="0" collapsed="false">
      <c r="B24" s="15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199</v>
      </c>
    </row>
    <row r="4" customFormat="false" ht="15" hidden="false" customHeight="false" outlineLevel="0" collapsed="false">
      <c r="B4" s="11" t="s">
        <v>200</v>
      </c>
      <c r="C4" s="11" t="s">
        <v>201</v>
      </c>
      <c r="D4" s="11" t="s">
        <v>30</v>
      </c>
      <c r="E4" s="11" t="s">
        <v>202</v>
      </c>
    </row>
    <row r="5" customFormat="false" ht="15" hidden="false" customHeight="false" outlineLevel="0" collapsed="false">
      <c r="B5" s="0" t="s">
        <v>203</v>
      </c>
      <c r="C5" s="20" t="n">
        <v>1</v>
      </c>
      <c r="D5" s="30" t="str">
        <f aca="false">IF(C5=1,"PASS","BREACH")</f>
        <v>PASS</v>
      </c>
      <c r="E5" s="10" t="s">
        <v>204</v>
      </c>
    </row>
    <row r="6" customFormat="false" ht="15" hidden="false" customHeight="false" outlineLevel="0" collapsed="false">
      <c r="B6" s="0" t="s">
        <v>205</v>
      </c>
      <c r="C6" s="20" t="n">
        <v>1</v>
      </c>
      <c r="D6" s="30" t="str">
        <f aca="false">IF(C6=1,"PASS","BREACH")</f>
        <v>PASS</v>
      </c>
      <c r="E6" s="10" t="s">
        <v>206</v>
      </c>
    </row>
    <row r="7" customFormat="false" ht="15" hidden="false" customHeight="false" outlineLevel="0" collapsed="false">
      <c r="B7" s="0" t="s">
        <v>207</v>
      </c>
      <c r="C7" s="20" t="n">
        <v>0</v>
      </c>
      <c r="D7" s="30" t="str">
        <f aca="false">IF(C7=0,"PASS","BREACH")</f>
        <v>PASS</v>
      </c>
      <c r="E7" s="10" t="s">
        <v>208</v>
      </c>
    </row>
    <row r="8" customFormat="false" ht="15" hidden="false" customHeight="false" outlineLevel="0" collapsed="false">
      <c r="B8" s="0" t="s">
        <v>209</v>
      </c>
      <c r="C8" s="20" t="n">
        <v>0.25</v>
      </c>
      <c r="D8" s="30" t="str">
        <f aca="false">IF(C8&lt;=0.4,"PASS","REVIEW")</f>
        <v>PASS</v>
      </c>
      <c r="E8" s="10" t="s">
        <v>210</v>
      </c>
    </row>
    <row r="9" customFormat="false" ht="15" hidden="false" customHeight="false" outlineLevel="0" collapsed="false">
      <c r="B9" s="0" t="s">
        <v>211</v>
      </c>
      <c r="C9" s="31" t="n">
        <v>5</v>
      </c>
      <c r="D9" s="30" t="str">
        <f aca="false">IF(C9&lt;=10,"PASS",IF(C9&lt;=25,"REVIEW","BREACH"))</f>
        <v>PASS</v>
      </c>
      <c r="E9" s="10" t="s">
        <v>212</v>
      </c>
    </row>
    <row r="10" customFormat="false" ht="15" hidden="false" customHeight="false" outlineLevel="0" collapsed="false">
      <c r="B10" s="0" t="s">
        <v>213</v>
      </c>
      <c r="C10" s="20" t="n">
        <v>0.2</v>
      </c>
      <c r="D10" s="30" t="str">
        <f aca="false">IF(C10&lt;=0.35,"PASS","REVIEW")</f>
        <v>PASS</v>
      </c>
      <c r="E10" s="10" t="s">
        <v>214</v>
      </c>
    </row>
    <row r="11" customFormat="false" ht="15" hidden="false" customHeight="false" outlineLevel="0" collapsed="false">
      <c r="B11" s="0" t="s">
        <v>215</v>
      </c>
      <c r="C11" s="20" t="n">
        <v>0.3</v>
      </c>
      <c r="D11" s="30" t="str">
        <f aca="false">IF(C11&lt;=0.5,"PASS","REVIEW")</f>
        <v>PASS</v>
      </c>
      <c r="E11" s="10" t="s">
        <v>216</v>
      </c>
    </row>
    <row r="12" customFormat="false" ht="15" hidden="false" customHeight="false" outlineLevel="0" collapsed="false">
      <c r="B12" s="0" t="s">
        <v>217</v>
      </c>
      <c r="C12" s="31" t="n">
        <v>0</v>
      </c>
      <c r="D12" s="30" t="str">
        <f aca="false">IF(C12=0,"PASS","BREACH")</f>
        <v>PASS</v>
      </c>
      <c r="E12" s="10" t="s">
        <v>218</v>
      </c>
    </row>
    <row r="14" customFormat="false" ht="15" hidden="false" customHeight="false" outlineLevel="0" collapsed="false">
      <c r="B14" s="15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220</v>
      </c>
    </row>
    <row r="4" customFormat="false" ht="15" hidden="false" customHeight="false" outlineLevel="0" collapsed="false">
      <c r="B4" s="11" t="s">
        <v>221</v>
      </c>
      <c r="C4" s="11" t="s">
        <v>127</v>
      </c>
      <c r="D4" s="11" t="s">
        <v>30</v>
      </c>
      <c r="E4" s="11" t="s">
        <v>222</v>
      </c>
    </row>
    <row r="5" customFormat="false" ht="15" hidden="false" customHeight="false" outlineLevel="0" collapsed="false">
      <c r="B5" s="0" t="s">
        <v>223</v>
      </c>
      <c r="C5" s="30" t="n">
        <f aca="false">'Supply Rollforward &amp; Unlocks'!E16-('Supply Rollforward &amp; Unlocks'!E5+'Supply Rollforward &amp; Unlocks'!E6+'Supply Rollforward &amp; Unlocks'!E7+'Supply Rollforward &amp; Unlocks'!E8-'Supply Rollforward &amp; Unlocks'!E9)</f>
        <v>0</v>
      </c>
      <c r="D5" s="30" t="str">
        <f aca="false">IF(ABS(C5)&lt;0.000001,"PASS","FAIL")</f>
        <v>PASS</v>
      </c>
      <c r="E5" s="10" t="s">
        <v>224</v>
      </c>
    </row>
    <row r="6" customFormat="false" ht="15" hidden="false" customHeight="false" outlineLevel="0" collapsed="false">
      <c r="B6" s="0" t="s">
        <v>225</v>
      </c>
      <c r="C6" s="30" t="n">
        <f aca="false">'Supply Rollforward &amp; Unlocks'!E16-'Supply Rollforward &amp; Unlocks'!E10</f>
        <v>1240</v>
      </c>
      <c r="D6" s="30" t="str">
        <f aca="false">IF(C6&gt;=0,"PASS","FAIL")</f>
        <v>PASS</v>
      </c>
      <c r="E6" s="10" t="s">
        <v>226</v>
      </c>
    </row>
    <row r="7" customFormat="false" ht="15" hidden="false" customHeight="false" outlineLevel="0" collapsed="false">
      <c r="B7" s="0" t="s">
        <v>150</v>
      </c>
      <c r="C7" s="21" t="n">
        <f aca="false">'Supply Rollforward &amp; Unlocks'!E18</f>
        <v>0.25</v>
      </c>
      <c r="D7" s="30" t="str">
        <f aca="false">IF(C7&lt;='Supply Rollforward &amp; Unlocks'!E11,"PASS","BREACH")</f>
        <v>BREACH</v>
      </c>
      <c r="E7" s="10" t="s">
        <v>227</v>
      </c>
    </row>
    <row r="8" customFormat="false" ht="15" hidden="false" customHeight="false" outlineLevel="0" collapsed="false">
      <c r="B8" s="0" t="s">
        <v>151</v>
      </c>
      <c r="C8" s="21" t="n">
        <f aca="false">'Supply Rollforward &amp; Unlocks'!E19</f>
        <v>0.0333333333333333</v>
      </c>
      <c r="D8" s="30" t="str">
        <f aca="false">IF(C8&lt;='Supply Rollforward &amp; Unlocks'!E12,"PASS","REVIEW")</f>
        <v>PASS</v>
      </c>
      <c r="E8" s="10" t="s">
        <v>228</v>
      </c>
    </row>
    <row r="9" customFormat="false" ht="15" hidden="false" customHeight="false" outlineLevel="0" collapsed="false">
      <c r="B9" s="0" t="s">
        <v>229</v>
      </c>
      <c r="C9" s="21" t="n">
        <f aca="false">'Staking Yield'!C14</f>
        <v>-0.387755102040816</v>
      </c>
      <c r="D9" s="30" t="str">
        <f aca="false">IF(ISNUMBER(C9),IF(C9&gt;=0,"PASS","REVIEW"),"REVIEW")</f>
        <v>REVIEW</v>
      </c>
      <c r="E9" s="10" t="s">
        <v>230</v>
      </c>
    </row>
    <row r="10" customFormat="false" ht="15" hidden="false" customHeight="false" outlineLevel="0" collapsed="false">
      <c r="B10" s="0" t="s">
        <v>231</v>
      </c>
      <c r="C10" s="29" t="n">
        <f aca="false">'Treasury &amp; Runway'!D19</f>
        <v>1.80714285714286</v>
      </c>
      <c r="D10" s="30" t="str">
        <f aca="false">IF(C10&gt;='Treasury &amp; Runway'!D12,"PASS","BREACH")</f>
        <v>BREACH</v>
      </c>
      <c r="E10" s="10" t="s">
        <v>232</v>
      </c>
    </row>
    <row r="11" customFormat="false" ht="15" hidden="false" customHeight="false" outlineLevel="0" collapsed="false">
      <c r="B11" s="0" t="s">
        <v>233</v>
      </c>
      <c r="C11" s="26" t="n">
        <f aca="false">'Treasury &amp; Runway'!D20</f>
        <v>0.506</v>
      </c>
      <c r="D11" s="30" t="str">
        <f aca="false">IF(C11&gt;='Treasury &amp; Runway'!D13,"PASS","BREACH")</f>
        <v>BREACH</v>
      </c>
      <c r="E11" s="10" t="s">
        <v>234</v>
      </c>
    </row>
    <row r="12" customFormat="false" ht="15" hidden="false" customHeight="false" outlineLevel="0" collapsed="false">
      <c r="B12" s="0" t="s">
        <v>235</v>
      </c>
      <c r="C12" s="30" t="n">
        <f aca="false">COUNTIF('Custody &amp; Liquidity'!D5:D12,"&lt;&gt;PASS")</f>
        <v>0</v>
      </c>
      <c r="D12" s="30" t="str">
        <f aca="false">IF(C12=0,"PASS","REVIEW")</f>
        <v>PASS</v>
      </c>
      <c r="E12" s="10" t="s">
        <v>236</v>
      </c>
    </row>
    <row r="13" customFormat="false" ht="15" hidden="false" customHeight="false" outlineLevel="0" collapsed="false">
      <c r="B13" s="0" t="s">
        <v>237</v>
      </c>
      <c r="C13" s="30" t="n">
        <f aca="false">IFERROR(Valuation!C12/Valuation!C11,0)</f>
        <v>2.85714285714286</v>
      </c>
      <c r="D13" s="30" t="str">
        <f aca="false">IF(C13&lt;=2,"PASS",IF(C13&lt;=5,"REVIEW","BREACH"))</f>
        <v>REVIEW</v>
      </c>
      <c r="E13" s="10" t="s">
        <v>238</v>
      </c>
    </row>
    <row r="15" customFormat="false" ht="15" hidden="false" customHeight="false" outlineLevel="0" collapsed="false">
      <c r="B15" s="2" t="s">
        <v>239</v>
      </c>
      <c r="C15" s="32" t="str">
        <f aca="false">IF(COUNTIF(D5:D13,"FAIL")+COUNTIF(D5:D13,"BREACH")&gt;0,"BREACH",IF(COUNTIF(D5:D13,"REVIEW")&gt;0,"REVIEW","PASS"))</f>
        <v>BREACH</v>
      </c>
    </row>
    <row r="17" customFormat="false" ht="15" hidden="false" customHeight="false" outlineLevel="0" collapsed="false">
      <c r="B17" s="22" t="s">
        <v>240</v>
      </c>
    </row>
    <row r="18" customFormat="false" ht="15" hidden="false" customHeight="false" outlineLevel="0" collapsed="false">
      <c r="B18" s="0" t="s">
        <v>148</v>
      </c>
      <c r="C18" s="19" t="n">
        <f aca="false">'Supply Rollforward &amp; Unlocks'!E16</f>
        <v>1340</v>
      </c>
    </row>
    <row r="19" customFormat="false" ht="15" hidden="false" customHeight="false" outlineLevel="0" collapsed="false">
      <c r="B19" s="0" t="s">
        <v>149</v>
      </c>
      <c r="C19" s="19" t="n">
        <f aca="false">'Supply Rollforward &amp; Unlocks'!E17</f>
        <v>1240</v>
      </c>
    </row>
    <row r="20" customFormat="false" ht="15" hidden="false" customHeight="false" outlineLevel="0" collapsed="false">
      <c r="B20" s="0" t="s">
        <v>150</v>
      </c>
      <c r="C20" s="21" t="n">
        <f aca="false">'Supply Rollforward &amp; Unlocks'!E18</f>
        <v>0.25</v>
      </c>
    </row>
    <row r="21" customFormat="false" ht="15" hidden="false" customHeight="false" outlineLevel="0" collapsed="false">
      <c r="B21" s="0" t="s">
        <v>241</v>
      </c>
      <c r="C21" s="25" t="n">
        <f aca="false">Valuation!C11</f>
        <v>280</v>
      </c>
    </row>
    <row r="22" customFormat="false" ht="15" hidden="false" customHeight="false" outlineLevel="0" collapsed="false">
      <c r="B22" s="0" t="s">
        <v>242</v>
      </c>
      <c r="C22" s="25" t="n">
        <f aca="false">Valuation!C12</f>
        <v>800</v>
      </c>
    </row>
    <row r="23" customFormat="false" ht="15" hidden="false" customHeight="false" outlineLevel="0" collapsed="false">
      <c r="B23" s="0" t="s">
        <v>229</v>
      </c>
      <c r="C23" s="21" t="n">
        <f aca="false">'Staking Yield'!C14</f>
        <v>-0.387755102040816</v>
      </c>
    </row>
    <row r="24" customFormat="false" ht="15" hidden="false" customHeight="false" outlineLevel="0" collapsed="false">
      <c r="B24" s="0" t="s">
        <v>243</v>
      </c>
      <c r="C24" s="29" t="n">
        <f aca="false">'Treasury &amp; Runway'!D19</f>
        <v>1.80714285714286</v>
      </c>
    </row>
    <row r="25" customFormat="false" ht="15" hidden="false" customHeight="false" outlineLevel="0" collapsed="false">
      <c r="B25" s="0" t="s">
        <v>233</v>
      </c>
      <c r="C25" s="26" t="n">
        <f aca="false">'Treasury &amp; Runway'!D20</f>
        <v>0.506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244</v>
      </c>
    </row>
    <row r="4" customFormat="false" ht="15" hidden="false" customHeight="false" outlineLevel="0" collapsed="false">
      <c r="B4" s="22" t="s">
        <v>156</v>
      </c>
    </row>
    <row r="5" customFormat="false" ht="15" hidden="false" customHeight="false" outlineLevel="0" collapsed="false">
      <c r="B5" s="12" t="s">
        <v>245</v>
      </c>
      <c r="C5" s="20" t="n">
        <v>0.35</v>
      </c>
    </row>
    <row r="6" customFormat="false" ht="15" hidden="false" customHeight="false" outlineLevel="0" collapsed="false">
      <c r="B6" s="12" t="s">
        <v>246</v>
      </c>
      <c r="C6" s="13" t="n">
        <v>50</v>
      </c>
    </row>
    <row r="7" customFormat="false" ht="15" hidden="false" customHeight="false" outlineLevel="0" collapsed="false">
      <c r="B7" s="12" t="s">
        <v>247</v>
      </c>
      <c r="C7" s="24" t="n">
        <v>2</v>
      </c>
    </row>
    <row r="8" customFormat="false" ht="15" hidden="false" customHeight="false" outlineLevel="0" collapsed="false">
      <c r="B8" s="12" t="s">
        <v>248</v>
      </c>
      <c r="C8" s="23" t="n">
        <v>0.8</v>
      </c>
    </row>
    <row r="10" customFormat="false" ht="15" hidden="false" customHeight="false" outlineLevel="0" collapsed="false">
      <c r="B10" s="22" t="s">
        <v>161</v>
      </c>
    </row>
    <row r="11" customFormat="false" ht="15" hidden="false" customHeight="false" outlineLevel="0" collapsed="false">
      <c r="B11" s="0" t="s">
        <v>249</v>
      </c>
      <c r="C11" s="19" t="n">
        <f aca="false">C5*Tokenomics!C12</f>
        <v>122.5</v>
      </c>
    </row>
    <row r="12" customFormat="false" ht="15" hidden="false" customHeight="false" outlineLevel="0" collapsed="false">
      <c r="B12" s="0" t="s">
        <v>250</v>
      </c>
      <c r="C12" s="21" t="n">
        <f aca="false">IFERROR(C6/C11,"-")</f>
        <v>0.408163265306123</v>
      </c>
    </row>
    <row r="13" customFormat="false" ht="15" hidden="false" customHeight="false" outlineLevel="0" collapsed="false">
      <c r="B13" s="0" t="s">
        <v>251</v>
      </c>
      <c r="C13" s="21" t="n">
        <f aca="false">IFERROR(C7/(C11*C8),"-")</f>
        <v>0.0204081632653061</v>
      </c>
    </row>
    <row r="14" customFormat="false" ht="15" hidden="false" customHeight="false" outlineLevel="0" collapsed="false">
      <c r="B14" s="0" t="s">
        <v>252</v>
      </c>
      <c r="C14" s="33" t="n">
        <f aca="false">IFERROR(C13-C12,"-")</f>
        <v>-0.387755102040816</v>
      </c>
      <c r="D14" s="15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9" min="7" style="0" width="12"/>
  </cols>
  <sheetData>
    <row r="2" customFormat="false" ht="19.7" hidden="false" customHeight="false" outlineLevel="0" collapsed="false">
      <c r="B2" s="1" t="s">
        <v>254</v>
      </c>
    </row>
    <row r="4" customFormat="false" ht="15" hidden="false" customHeight="false" outlineLevel="0" collapsed="false">
      <c r="A4" s="11"/>
      <c r="B4" s="11" t="s">
        <v>255</v>
      </c>
      <c r="C4" s="11" t="s">
        <v>256</v>
      </c>
      <c r="D4" s="11" t="s">
        <v>257</v>
      </c>
      <c r="E4" s="11" t="s">
        <v>258</v>
      </c>
      <c r="F4" s="11" t="s">
        <v>259</v>
      </c>
      <c r="G4" s="11" t="s">
        <v>260</v>
      </c>
      <c r="H4" s="11" t="s">
        <v>261</v>
      </c>
      <c r="I4" s="10" t="s">
        <v>262</v>
      </c>
    </row>
    <row r="5" customFormat="false" ht="15" hidden="false" customHeight="false" outlineLevel="0" collapsed="false">
      <c r="B5" s="2" t="s">
        <v>263</v>
      </c>
      <c r="C5" s="34" t="n">
        <f aca="false">Valuation!C11</f>
        <v>280</v>
      </c>
      <c r="D5" s="34" t="n">
        <f aca="false">Valuation!C12</f>
        <v>800</v>
      </c>
      <c r="E5" s="34" t="n">
        <f aca="false">Valuation!C6</f>
        <v>150</v>
      </c>
      <c r="F5" s="34" t="n">
        <f aca="false">Valuation!C8</f>
        <v>2</v>
      </c>
      <c r="G5" s="26" t="n">
        <f aca="false">IFERROR(C5/E5,"-")</f>
        <v>1.86666666666667</v>
      </c>
      <c r="H5" s="26" t="n">
        <f aca="false">IFERROR(D5/E5,"-")</f>
        <v>5.33333333333333</v>
      </c>
      <c r="I5" s="26" t="n">
        <f aca="false">IFERROR(C5/(F5*365),"-")</f>
        <v>0.383561643835616</v>
      </c>
    </row>
    <row r="6" customFormat="false" ht="15" hidden="false" customHeight="false" outlineLevel="0" collapsed="false">
      <c r="B6" s="35" t="s">
        <v>2</v>
      </c>
      <c r="C6" s="36" t="n">
        <v>0</v>
      </c>
      <c r="D6" s="36" t="n">
        <v>0</v>
      </c>
      <c r="E6" s="36" t="n">
        <v>0</v>
      </c>
      <c r="F6" s="36" t="n">
        <v>0</v>
      </c>
      <c r="G6" s="26" t="str">
        <f aca="false">IFERROR(C6/E6,"-")</f>
        <v>-</v>
      </c>
      <c r="H6" s="26" t="str">
        <f aca="false">IFERROR(D6/E6,"-")</f>
        <v>-</v>
      </c>
      <c r="I6" s="26" t="str">
        <f aca="false">IFERROR(C6/(F6*365),"-")</f>
        <v>-</v>
      </c>
    </row>
    <row r="7" customFormat="false" ht="15" hidden="false" customHeight="false" outlineLevel="0" collapsed="false">
      <c r="B7" s="35" t="s">
        <v>2</v>
      </c>
      <c r="C7" s="36" t="n">
        <v>0</v>
      </c>
      <c r="D7" s="36" t="n">
        <v>0</v>
      </c>
      <c r="E7" s="36" t="n">
        <v>0</v>
      </c>
      <c r="F7" s="36" t="n">
        <v>0</v>
      </c>
      <c r="G7" s="26" t="str">
        <f aca="false">IFERROR(C7/E7,"-")</f>
        <v>-</v>
      </c>
      <c r="H7" s="26" t="str">
        <f aca="false">IFERROR(D7/E7,"-")</f>
        <v>-</v>
      </c>
      <c r="I7" s="26" t="str">
        <f aca="false">IFERROR(C7/(F7*365),"-")</f>
        <v>-</v>
      </c>
    </row>
    <row r="8" customFormat="false" ht="15" hidden="false" customHeight="false" outlineLevel="0" collapsed="false">
      <c r="B8" s="35" t="s">
        <v>2</v>
      </c>
      <c r="C8" s="36" t="n">
        <v>0</v>
      </c>
      <c r="D8" s="36" t="n">
        <v>0</v>
      </c>
      <c r="E8" s="36" t="n">
        <v>0</v>
      </c>
      <c r="F8" s="36" t="n">
        <v>0</v>
      </c>
      <c r="G8" s="26" t="str">
        <f aca="false">IFERROR(C8/E8,"-")</f>
        <v>-</v>
      </c>
      <c r="H8" s="26" t="str">
        <f aca="false">IFERROR(D8/E8,"-")</f>
        <v>-</v>
      </c>
      <c r="I8" s="26" t="str">
        <f aca="false">IFERROR(C8/(F8*365),"-")</f>
        <v>-</v>
      </c>
    </row>
    <row r="9" customFormat="false" ht="15" hidden="false" customHeight="false" outlineLevel="0" collapsed="false">
      <c r="B9" s="35" t="s">
        <v>2</v>
      </c>
      <c r="C9" s="36" t="n">
        <v>0</v>
      </c>
      <c r="D9" s="36" t="n">
        <v>0</v>
      </c>
      <c r="E9" s="36" t="n">
        <v>0</v>
      </c>
      <c r="F9" s="36" t="n">
        <v>0</v>
      </c>
      <c r="G9" s="26" t="str">
        <f aca="false">IFERROR(C9/E9,"-")</f>
        <v>-</v>
      </c>
      <c r="H9" s="26" t="str">
        <f aca="false">IFERROR(D9/E9,"-")</f>
        <v>-</v>
      </c>
      <c r="I9" s="26" t="str">
        <f aca="false">IFERROR(C9/(F9*365),"-")</f>
        <v>-</v>
      </c>
    </row>
    <row r="10" customFormat="false" ht="15" hidden="false" customHeight="false" outlineLevel="0" collapsed="false">
      <c r="B10" s="35" t="s">
        <v>2</v>
      </c>
      <c r="C10" s="36" t="n">
        <v>0</v>
      </c>
      <c r="D10" s="36" t="n">
        <v>0</v>
      </c>
      <c r="E10" s="36" t="n">
        <v>0</v>
      </c>
      <c r="F10" s="36" t="n">
        <v>0</v>
      </c>
      <c r="G10" s="26" t="str">
        <f aca="false">IFERROR(C10/E10,"-")</f>
        <v>-</v>
      </c>
      <c r="H10" s="26" t="str">
        <f aca="false">IFERROR(D10/E10,"-")</f>
        <v>-</v>
      </c>
      <c r="I10" s="26" t="str">
        <f aca="false">IFERROR(C10/(F10*365),"-")</f>
        <v>-</v>
      </c>
    </row>
    <row r="11" customFormat="false" ht="15" hidden="false" customHeight="false" outlineLevel="0" collapsed="false">
      <c r="B11" s="35" t="s">
        <v>2</v>
      </c>
      <c r="C11" s="36" t="n">
        <v>0</v>
      </c>
      <c r="D11" s="36" t="n">
        <v>0</v>
      </c>
      <c r="E11" s="36" t="n">
        <v>0</v>
      </c>
      <c r="F11" s="36" t="n">
        <v>0</v>
      </c>
      <c r="G11" s="26" t="str">
        <f aca="false">IFERROR(C11/E11,"-")</f>
        <v>-</v>
      </c>
      <c r="H11" s="26" t="str">
        <f aca="false">IFERROR(D11/E11,"-")</f>
        <v>-</v>
      </c>
      <c r="I11" s="26" t="str">
        <f aca="false">IFERROR(C11/(F11*365),"-")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264</v>
      </c>
    </row>
    <row r="4" customFormat="false" ht="15" hidden="false" customHeight="false" outlineLevel="0" collapsed="false">
      <c r="B4" s="0" t="s">
        <v>265</v>
      </c>
      <c r="C4" s="20" t="n">
        <v>0.05</v>
      </c>
      <c r="D4" s="15" t="s">
        <v>266</v>
      </c>
    </row>
    <row r="6" customFormat="false" ht="15" hidden="false" customHeight="false" outlineLevel="0" collapsed="false">
      <c r="C6" s="11" t="s">
        <v>267</v>
      </c>
      <c r="D6" s="11" t="s">
        <v>268</v>
      </c>
      <c r="E6" s="11" t="s">
        <v>269</v>
      </c>
      <c r="F6" s="11" t="s">
        <v>270</v>
      </c>
      <c r="G6" s="11" t="s">
        <v>271</v>
      </c>
    </row>
    <row r="7" customFormat="false" ht="15" hidden="false" customHeight="false" outlineLevel="0" collapsed="false">
      <c r="B7" s="0" t="s">
        <v>149</v>
      </c>
      <c r="C7" s="37" t="n">
        <f aca="false">Tokenomics!C12</f>
        <v>350</v>
      </c>
      <c r="D7" s="19" t="n">
        <f aca="false">MIN(Tokenomics!$C$10,C7+Tokenomics!$C$10*$C$4)</f>
        <v>400</v>
      </c>
      <c r="E7" s="19" t="n">
        <f aca="false">MIN(Tokenomics!$C$10,D7+Tokenomics!$C$10*$C$4)</f>
        <v>450</v>
      </c>
      <c r="F7" s="19" t="n">
        <f aca="false">MIN(Tokenomics!$C$10,E7+Tokenomics!$C$10*$C$4)</f>
        <v>500</v>
      </c>
      <c r="G7" s="19" t="n">
        <f aca="false">MIN(Tokenomics!$C$10,F7+Tokenomics!$C$10*$C$4)</f>
        <v>550</v>
      </c>
    </row>
    <row r="8" customFormat="false" ht="15" hidden="false" customHeight="false" outlineLevel="0" collapsed="false">
      <c r="B8" s="0" t="s">
        <v>272</v>
      </c>
      <c r="C8" s="21" t="n">
        <f aca="false">IFERROR(1-$C$7/C7,"-")</f>
        <v>0</v>
      </c>
      <c r="D8" s="21" t="n">
        <f aca="false">IFERROR(1-$C$7/D7,"-")</f>
        <v>0.125</v>
      </c>
      <c r="E8" s="21" t="n">
        <f aca="false">IFERROR(1-$C$7/E7,"-")</f>
        <v>0.222222222222222</v>
      </c>
      <c r="F8" s="21" t="n">
        <f aca="false">IFERROR(1-$C$7/F7,"-")</f>
        <v>0.3</v>
      </c>
      <c r="G8" s="21" t="n">
        <f aca="false">IFERROR(1-$C$7/G7,"-")</f>
        <v>0.363636363636364</v>
      </c>
    </row>
    <row r="9" customFormat="false" ht="15" hidden="false" customHeight="false" outlineLevel="0" collapsed="false">
      <c r="B9" s="0" t="s">
        <v>273</v>
      </c>
      <c r="C9" s="25" t="n">
        <f aca="false">Valuation!$C$5*C7</f>
        <v>280</v>
      </c>
      <c r="D9" s="25" t="n">
        <f aca="false">Valuation!$C$5*D7</f>
        <v>320</v>
      </c>
      <c r="E9" s="25" t="n">
        <f aca="false">Valuation!$C$5*E7</f>
        <v>360</v>
      </c>
      <c r="F9" s="25" t="n">
        <f aca="false">Valuation!$C$5*F7</f>
        <v>400</v>
      </c>
      <c r="G9" s="25" t="n">
        <f aca="false">Valuation!$C$5*G7</f>
        <v>440</v>
      </c>
    </row>
    <row r="10" customFormat="false" ht="15" hidden="false" customHeight="false" outlineLevel="0" collapsed="false">
      <c r="B10" s="15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275</v>
      </c>
    </row>
    <row r="4" customFormat="false" ht="15" hidden="false" customHeight="false" outlineLevel="0" collapsed="false">
      <c r="B4" s="11" t="s">
        <v>81</v>
      </c>
      <c r="C4" s="11" t="s">
        <v>276</v>
      </c>
      <c r="D4" s="11" t="s">
        <v>277</v>
      </c>
      <c r="E4" s="11" t="s">
        <v>278</v>
      </c>
      <c r="F4" s="11" t="s">
        <v>279</v>
      </c>
    </row>
    <row r="5" customFormat="false" ht="15" hidden="false" customHeight="false" outlineLevel="0" collapsed="false">
      <c r="B5" s="30" t="s">
        <v>5</v>
      </c>
      <c r="C5" s="30" t="s">
        <v>280</v>
      </c>
      <c r="D5" s="30" t="s">
        <v>281</v>
      </c>
      <c r="E5" s="30" t="s">
        <v>282</v>
      </c>
      <c r="F5" s="30" t="s">
        <v>283</v>
      </c>
    </row>
    <row r="6" customFormat="false" ht="15" hidden="false" customHeight="false" outlineLevel="0" collapsed="false">
      <c r="B6" s="30"/>
      <c r="C6" s="30"/>
      <c r="D6" s="30"/>
      <c r="E6" s="30"/>
      <c r="F6" s="30"/>
    </row>
    <row r="7" customFormat="false" ht="15" hidden="false" customHeight="false" outlineLevel="0" collapsed="false">
      <c r="B7" s="30"/>
      <c r="C7" s="30"/>
      <c r="D7" s="30"/>
      <c r="E7" s="30"/>
      <c r="F7" s="30"/>
    </row>
    <row r="8" customFormat="false" ht="15" hidden="false" customHeight="false" outlineLevel="0" collapsed="false">
      <c r="B8" s="30"/>
      <c r="C8" s="30"/>
      <c r="D8" s="30"/>
      <c r="E8" s="30"/>
      <c r="F8" s="30"/>
    </row>
    <row r="9" customFormat="false" ht="15" hidden="false" customHeight="false" outlineLevel="0" collapsed="false">
      <c r="B9" s="30"/>
      <c r="C9" s="30"/>
      <c r="D9" s="30"/>
      <c r="E9" s="30"/>
      <c r="F9" s="30"/>
    </row>
    <row r="10" customFormat="false" ht="15" hidden="false" customHeight="false" outlineLevel="0" collapsed="false">
      <c r="B10" s="30"/>
      <c r="C10" s="30"/>
      <c r="D10" s="30"/>
      <c r="E10" s="30"/>
      <c r="F10" s="30"/>
    </row>
    <row r="11" customFormat="false" ht="15" hidden="false" customHeight="false" outlineLevel="0" collapsed="false">
      <c r="B11" s="30"/>
      <c r="C11" s="30"/>
      <c r="D11" s="30"/>
      <c r="E11" s="30"/>
      <c r="F11" s="30"/>
    </row>
    <row r="12" customFormat="false" ht="15" hidden="false" customHeight="false" outlineLevel="0" collapsed="false">
      <c r="B12" s="30"/>
      <c r="C12" s="30"/>
      <c r="D12" s="30"/>
      <c r="E12" s="30"/>
      <c r="F12" s="30"/>
    </row>
    <row r="13" customFormat="false" ht="15" hidden="false" customHeight="false" outlineLevel="0" collapsed="false">
      <c r="B13" s="30"/>
      <c r="C13" s="30"/>
      <c r="D13" s="30"/>
      <c r="E13" s="30"/>
      <c r="F13" s="30"/>
    </row>
    <row r="14" customFormat="false" ht="15" hidden="false" customHeight="false" outlineLevel="0" collapsed="false">
      <c r="B14" s="30"/>
      <c r="C14" s="30"/>
      <c r="D14" s="30"/>
      <c r="E14" s="30"/>
      <c r="F14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2026-08-04T15:32:29Z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