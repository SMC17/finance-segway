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itutional Surface" sheetId="2" state="visible" r:id="rId4"/>
    <sheet name="Challenge Log" sheetId="3" state="visible" r:id="rId5"/>
    <sheet name="Lineage Map" sheetId="4" state="visible" r:id="rId6"/>
    <sheet name="Assumptions" sheetId="5" state="visible" r:id="rId7"/>
    <sheet name="ARR Rollforward" sheetId="6" state="visible" r:id="rId8"/>
    <sheet name="Operating Model" sheetId="7" state="visible" r:id="rId9"/>
    <sheet name="RPO &amp; Bookings" sheetId="8" state="visible" r:id="rId10"/>
    <sheet name="Unit Economics" sheetId="9" state="visible" r:id="rId11"/>
    <sheet name="Rule of 40" sheetId="10" state="visible" r:id="rId12"/>
    <sheet name="Checks" sheetId="11" state="visible" r:id="rId13"/>
    <sheet name="Sources" sheetId="12" state="visible" r:id="rId14"/>
    <sheet name="RefreshLog" sheetId="13" state="visible" r:id="rId15"/>
  </sheets>
  <definedNames>
    <definedName function="false" hidden="false" name="FS_DOMAIN" vbProcedure="false">'Institutional Surface'!$C$5</definedName>
    <definedName function="false" hidden="false" name="FS_MATURITY" vbProcedure="false">'Institutional Surface'!$C$6</definedName>
    <definedName function="false" hidden="false" name="FS_MODEL_ID" vbProcedure="false">'Institutional Surface'!$C$4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<sst xmlns="http://schemas.openxmlformats.org/spreadsheetml/2006/main" count="400" uniqueCount="271">
  <si>
    <t xml:space="preserve">Adobe Inc. -- FY2025 software operating, RPO, and unit-economics case</t>
  </si>
  <si>
    <t xml:space="preserve">Company / ticker:</t>
  </si>
  <si>
    <t xml:space="preserve">Adobe Inc. (NASDAQ: ADBE), CIK 0000796343</t>
  </si>
  <si>
    <t xml:space="preserve">Subsector:</t>
  </si>
  <si>
    <t xml:space="preserve">application software -- SEC SIC 7372 (Services-Prepackaged Software), as filed by the registrant</t>
  </si>
  <si>
    <t xml:space="preserve">Fiscal year end:</t>
  </si>
  <si>
    <t xml:space="preserve">2025-11-28 (FY2025; 52/53-week year ending the Friday nearest November 30)</t>
  </si>
  <si>
    <t xml:space="preserve">Last refreshed:</t>
  </si>
  <si>
    <t xml:space="preserve">2026-01-15</t>
  </si>
  <si>
    <t xml:space="preserve">Next filing / refresh:</t>
  </si>
  <si>
    <t xml:space="preserve">2027-01 expected (FY2026 Form 10-K); every Adobe 10-K in this fact set was filed in January (17 filings, 2010-01 through 2026-01)</t>
  </si>
  <si>
    <t xml:space="preserve">Active scenario:</t>
  </si>
  <si>
    <t xml:space="preserve">Base</t>
  </si>
  <si>
    <t xml:space="preserve">Units:</t>
  </si>
  <si>
    <t xml:space="preserve">$ in millions unless noted</t>
  </si>
  <si>
    <t xml:space="preserve">Modeling conventions</t>
  </si>
  <si>
    <t xml:space="preserve">Blue text / yellow fill</t>
  </si>
  <si>
    <t xml:space="preserve">Hardcoded input or selected scenario</t>
  </si>
  <si>
    <t xml:space="preserve">Black text</t>
  </si>
  <si>
    <t xml:space="preserve">Formula / same-sheet calculation</t>
  </si>
  <si>
    <t xml:space="preserve">Green text</t>
  </si>
  <si>
    <t xml:space="preserve">Cross-sheet formula / link</t>
  </si>
  <si>
    <t xml:space="preserve">Checks</t>
  </si>
  <si>
    <t xml:space="preserve">PASS / REVIEW / FAIL must remain visible</t>
  </si>
  <si>
    <t xml:space="preserve">Software &amp; SaaS — Institutional Decision Surface</t>
  </si>
  <si>
    <t xml:space="preserve">Model ID</t>
  </si>
  <si>
    <t xml:space="preserve">31</t>
  </si>
  <si>
    <t xml:space="preserve">Domain</t>
  </si>
  <si>
    <t xml:space="preserve">Software &amp; SaaS</t>
  </si>
  <si>
    <t xml:space="preserve">Declared maturity</t>
  </si>
  <si>
    <t xml:space="preserve">M1</t>
  </si>
  <si>
    <t xml:space="preserve">Canonical builder</t>
  </si>
  <si>
    <t xml:space="preserve">tools/builders/build_software_saas_institutional.py</t>
  </si>
  <si>
    <t xml:space="preserve">Decision arena</t>
  </si>
  <si>
    <t xml:space="preserve">management team, board, public-market investors and growth-equity investment committee</t>
  </si>
  <si>
    <t xml:space="preserve">Committee artifact</t>
  </si>
  <si>
    <t xml:space="preserve">quarterly ARR and retention review pack</t>
  </si>
  <si>
    <t xml:space="preserve">Operating cadence</t>
  </si>
  <si>
    <t xml:space="preserve">quarterly earnings and ARR reporting; annual plan and long-range model refresh</t>
  </si>
  <si>
    <t xml:space="preserve">Key decision outputs</t>
  </si>
  <si>
    <t xml:space="preserve">#</t>
  </si>
  <si>
    <t xml:space="preserve">Requirement</t>
  </si>
  <si>
    <t xml:space="preserve">Owner</t>
  </si>
  <si>
    <t xml:space="preserve">Evidence / location</t>
  </si>
  <si>
    <t xml:space="preserve">Status</t>
  </si>
  <si>
    <t xml:space="preserve">ARR roll-forward with net and gross revenue retention</t>
  </si>
  <si>
    <t xml:space="preserve">OPEN</t>
  </si>
  <si>
    <t xml:space="preserve">customer-acquisition payback and magic number</t>
  </si>
  <si>
    <t xml:space="preserve">Rule of 40 growth-versus-profitability trade-off</t>
  </si>
  <si>
    <t xml:space="preserve">base, downside and break-even outputs</t>
  </si>
  <si>
    <t xml:space="preserve">liquidity / funding requirement and binding constraint</t>
  </si>
  <si>
    <t xml:space="preserve">Insider questions</t>
  </si>
  <si>
    <t xml:space="preserve">What is net revenue retention excluding new customers, and how does it compare to gross retention?</t>
  </si>
  <si>
    <t xml:space="preserve">How many months of gross profit does it take to repay customer-acquisition cost?</t>
  </si>
  <si>
    <t xml:space="preserve">Does the company clear Rule of 40 on free cash flow, not just on operating margin?</t>
  </si>
  <si>
    <t xml:space="preserve">Which assumption is owner-approved versus modeler judgement?</t>
  </si>
  <si>
    <t xml:space="preserve">What fails first and who must act?</t>
  </si>
  <si>
    <t xml:space="preserve">Scenario families</t>
  </si>
  <si>
    <t xml:space="preserve">gross churn acceleration</t>
  </si>
  <si>
    <t xml:space="preserve">expansion contraction as customers optimise seats</t>
  </si>
  <si>
    <t xml:space="preserve">sales-efficiency deterioration raising payback</t>
  </si>
  <si>
    <t xml:space="preserve">data freshness / source failure</t>
  </si>
  <si>
    <t xml:space="preserve">combined severe-but-plausible downside</t>
  </si>
  <si>
    <t xml:space="preserve">Primary diligence documents</t>
  </si>
  <si>
    <t xml:space="preserve">annual report and quarterly filings</t>
  </si>
  <si>
    <t xml:space="preserve">revenue disaggregation and equity compensation notes</t>
  </si>
  <si>
    <t xml:space="preserve">shareholder letters and investor-day disclosure</t>
  </si>
  <si>
    <t xml:space="preserve">approved model card and assumption register</t>
  </si>
  <si>
    <t xml:space="preserve">independent validation and challenge record</t>
  </si>
  <si>
    <t xml:space="preserve">Challenge tests</t>
  </si>
  <si>
    <t xml:space="preserve">ARR roll-forward reconciles beginning to ending balance</t>
  </si>
  <si>
    <t xml:space="preserve">net revenue retention exceeds gross revenue retention</t>
  </si>
  <si>
    <t xml:space="preserve">blended gross margin sits between its subscription and services components</t>
  </si>
  <si>
    <t xml:space="preserve">source-to-model lineage is reproducible</t>
  </si>
  <si>
    <t xml:space="preserve">units, signs, dates and legal definitions reconcile</t>
  </si>
  <si>
    <t xml:space="preserve">Known failure modes</t>
  </si>
  <si>
    <t xml:space="preserve">quoting net revenue retention that silently includes new logos</t>
  </si>
  <si>
    <t xml:space="preserve">burying stock-based compensation inside operating expense</t>
  </si>
  <si>
    <t xml:space="preserve">treating ending ARR as recognised revenue in a growing year</t>
  </si>
  <si>
    <t xml:space="preserve">stale vintage presented as current</t>
  </si>
  <si>
    <t xml:space="preserve">decision output disconnected from a binding constraint</t>
  </si>
  <si>
    <t xml:space="preserve">Regulatory / methodological anchors</t>
  </si>
  <si>
    <t xml:space="preserve">Standard</t>
  </si>
  <si>
    <t xml:space="preserve">Scope</t>
  </si>
  <si>
    <t xml:space="preserve">Source URL</t>
  </si>
  <si>
    <t xml:space="preserve">Applicability</t>
  </si>
  <si>
    <t xml:space="preserve">Review note</t>
  </si>
  <si>
    <t xml:space="preserve">Federal Reserve SR 26-2 Model Risk Management</t>
  </si>
  <si>
    <t xml:space="preserve">governance, validation, change control, monitoring</t>
  </si>
  <si>
    <t xml:space="preserve">https://www.federalreserve.gov/supervisionreg/srletters/SR2602.htm</t>
  </si>
  <si>
    <t xml:space="preserve">Map explicitly</t>
  </si>
  <si>
    <t xml:space="preserve">SEC Rule 2a-5</t>
  </si>
  <si>
    <t xml:space="preserve">fair-value governance and testing</t>
  </si>
  <si>
    <t xml:space="preserve">https://www.sec.gov/files/rules/final/2020/ic-34128.pdf</t>
  </si>
  <si>
    <t xml:space="preserve">Independent Challenge, Override and Closure Log</t>
  </si>
  <si>
    <t xml:space="preserve">Date</t>
  </si>
  <si>
    <t xml:space="preserve">Reviewer</t>
  </si>
  <si>
    <t xml:space="preserve">Challenge</t>
  </si>
  <si>
    <t xml:space="preserve">Owner response</t>
  </si>
  <si>
    <t xml:space="preserve">Evidence</t>
  </si>
  <si>
    <t xml:space="preserve">Impact</t>
  </si>
  <si>
    <t xml:space="preserve">Closure</t>
  </si>
  <si>
    <t xml:space="preserve">Source, Transformation, Ownership and Refresh Map</t>
  </si>
  <si>
    <t xml:space="preserve">Source class</t>
  </si>
  <si>
    <t xml:space="preserve">Cadence</t>
  </si>
  <si>
    <t xml:space="preserve">Control</t>
  </si>
  <si>
    <t xml:space="preserve">System / provider</t>
  </si>
  <si>
    <t xml:space="preserve">As-of</t>
  </si>
  <si>
    <t xml:space="preserve">Transform</t>
  </si>
  <si>
    <t xml:space="preserve">Downstream</t>
  </si>
  <si>
    <t xml:space="preserve">annual and quarterly filings</t>
  </si>
  <si>
    <t xml:space="preserve">quarterly</t>
  </si>
  <si>
    <t xml:space="preserve">audited financial statements and revenue disaggregation</t>
  </si>
  <si>
    <t xml:space="preserve">TO MAP</t>
  </si>
  <si>
    <t xml:space="preserve">industry cost of capital and multiple datasets</t>
  </si>
  <si>
    <t xml:space="preserve">annual</t>
  </si>
  <si>
    <t xml:space="preserve">published industry statistics used to ground driver ranges</t>
  </si>
  <si>
    <t xml:space="preserve">model governance evidence</t>
  </si>
  <si>
    <t xml:space="preserve">per release</t>
  </si>
  <si>
    <t xml:space="preserve">version, reviewer, sign-off and change log</t>
  </si>
  <si>
    <t xml:space="preserve">decision-use snapshot</t>
  </si>
  <si>
    <t xml:space="preserve">per decision</t>
  </si>
  <si>
    <t xml:space="preserve">immutable as-of date and source receipt</t>
  </si>
  <si>
    <t xml:space="preserve">Software Operating Drivers</t>
  </si>
  <si>
    <t xml:space="preserve">Driver</t>
  </si>
  <si>
    <t xml:space="preserve">Downside</t>
  </si>
  <si>
    <t xml:space="preserve">Active</t>
  </si>
  <si>
    <t xml:space="preserve">Units / note</t>
  </si>
  <si>
    <t xml:space="preserve">Beginning ARR</t>
  </si>
  <si>
    <t xml:space="preserve">$mm</t>
  </si>
  <si>
    <t xml:space="preserve">New ARR added (% of beginning ARR)</t>
  </si>
  <si>
    <t xml:space="preserve">%</t>
  </si>
  <si>
    <t xml:space="preserve">Expansion ARR (% of beginning ARR)</t>
  </si>
  <si>
    <t xml:space="preserve">Contraction ARR (% of beginning ARR)</t>
  </si>
  <si>
    <t xml:space="preserve">Gross churn (% of beginning ARR)</t>
  </si>
  <si>
    <t xml:space="preserve">Services revenue (% of subscription revenue)</t>
  </si>
  <si>
    <t xml:space="preserve">Subscription gross margin</t>
  </si>
  <si>
    <t xml:space="preserve">Services gross margin</t>
  </si>
  <si>
    <t xml:space="preserve">Sales &amp; marketing (% of revenue)</t>
  </si>
  <si>
    <t xml:space="preserve">Research &amp; development (% of revenue)</t>
  </si>
  <si>
    <t xml:space="preserve">General &amp; administrative (% of revenue)</t>
  </si>
  <si>
    <t xml:space="preserve">Stock-based compensation (% of revenue)</t>
  </si>
  <si>
    <t xml:space="preserve">Capex (% of revenue)</t>
  </si>
  <si>
    <t xml:space="preserve">Cash tax rate</t>
  </si>
  <si>
    <t xml:space="preserve">Gross margin on new ARR (for CAC payback)</t>
  </si>
  <si>
    <t xml:space="preserve">Beginning remaining performance obligation (RPO)</t>
  </si>
  <si>
    <t xml:space="preserve">RPO coverage of revenue (ending RPO / revenue)</t>
  </si>
  <si>
    <t xml:space="preserve">x</t>
  </si>
  <si>
    <t xml:space="preserve">Current portion of RPO (recognised within 12 months)</t>
  </si>
  <si>
    <t xml:space="preserve">Contract liability / deferred revenue (% of revenue)</t>
  </si>
  <si>
    <t xml:space="preserve">Annual Recurring Revenue Roll-Forward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</si>
  <si>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</si>
  <si>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</si>
  <si>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</si>
  <si>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</si>
  <si>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</si>
  <si>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+ New ARR</t>
  </si>
  <si>
    <t xml:space="preserve">+ Expansion ARR</t>
  </si>
  <si>
    <t xml:space="preserve">- Contraction ARR</t>
  </si>
  <si>
    <t xml:space="preserve">- Gross churn</t>
  </si>
  <si>
    <t xml:space="preserve">Ending ARR</t>
  </si>
  <si>
    <t xml:space="preserve">Net new ARR</t>
  </si>
  <si>
    <t xml:space="preserve">Net revenue retention</t>
  </si>
  <si>
    <t xml:space="preserve">Gross revenue retention</t>
  </si>
  <si>
    <t xml:space="preserve">ARR growth</t>
  </si>
  <si>
    <t xml:space="preserve">Revenue, Margin, and Cash Flow</t>
  </si>
  <si>
    <t xml:space="preserve">Subscription revenue</t>
  </si>
  <si>
    <t xml:space="preserve">Services revenue</t>
  </si>
  <si>
    <t xml:space="preserve">Total revenue</t>
  </si>
  <si>
    <t xml:space="preserve">Subscription gross profit</t>
  </si>
  <si>
    <t xml:space="preserve">Services gross profit</t>
  </si>
  <si>
    <t xml:space="preserve">Total gross profit</t>
  </si>
  <si>
    <t xml:space="preserve">Blended gross margin</t>
  </si>
  <si>
    <t xml:space="preserve">Sales &amp; marketing</t>
  </si>
  <si>
    <t xml:space="preserve">Research &amp; development</t>
  </si>
  <si>
    <t xml:space="preserve">General &amp; administrative</t>
  </si>
  <si>
    <t xml:space="preserve">Total operating expense</t>
  </si>
  <si>
    <t xml:space="preserve">GAAP operating income</t>
  </si>
  <si>
    <t xml:space="preserve">GAAP operating margin</t>
  </si>
  <si>
    <t xml:space="preserve">Stock-based compensation</t>
  </si>
  <si>
    <t xml:space="preserve">Non-GAAP operating income (ex-SBC)</t>
  </si>
  <si>
    <t xml:space="preserve">Non-GAAP operating margin</t>
  </si>
  <si>
    <t xml:space="preserve">Cash taxes</t>
  </si>
  <si>
    <t xml:space="preserve">Capex</t>
  </si>
  <si>
    <t xml:space="preserve">Free cash flow</t>
  </si>
  <si>
    <t xml:space="preserve">FCF margin</t>
  </si>
  <si>
    <t xml:space="preserve">Remaining Performance Obligations and Implied Bookings</t>
  </si>
  <si>
    <t xml:space="preserve">Revenue recognised</t>
  </si>
  <si>
    <t xml:space="preserve">Beginning RPO</t>
  </si>
  <si>
    <t xml:space="preserve">Ending RPO</t>
  </si>
  <si>
    <t xml:space="preserve">Implied gross bookings (residual)</t>
  </si>
  <si>
    <t xml:space="preserve">Book-to-bill</t>
  </si>
  <si>
    <t xml:space="preserve">RPO growth</t>
  </si>
  <si>
    <t xml:space="preserve">Current RPO (recognised within 12 months)</t>
  </si>
  <si>
    <t xml:space="preserve">Non-current RPO</t>
  </si>
  <si>
    <t xml:space="preserve">Contract liability (deferred revenue)</t>
  </si>
  <si>
    <t xml:space="preserve">Unbilled RPO</t>
  </si>
  <si>
    <t xml:space="preserve">Unbilled share of RPO</t>
  </si>
  <si>
    <t xml:space="preserve">Current RPO / following-year revenue</t>
  </si>
  <si>
    <t xml:space="preserve">n/a</t>
  </si>
  <si>
    <t xml:space="preserve">Ending RPO / ending ARR</t>
  </si>
  <si>
    <t xml:space="preserve">Customer Acquisition Efficiency</t>
  </si>
  <si>
    <t xml:space="preserve">Metric</t>
  </si>
  <si>
    <t xml:space="preserve">S&amp;M spend</t>
  </si>
  <si>
    <t xml:space="preserve">New + expansion ARR</t>
  </si>
  <si>
    <t xml:space="preserve">Magic number</t>
  </si>
  <si>
    <t xml:space="preserve">CAC payback (months)</t>
  </si>
  <si>
    <t xml:space="preserve">Gross-profit-weighted CAC payback (months)</t>
  </si>
  <si>
    <t xml:space="preserve">S&amp;M as % of new ARR</t>
  </si>
  <si>
    <t xml:space="preserve">Growth versus Profitability Trade-off</t>
  </si>
  <si>
    <t xml:space="preserve">Revenue growth</t>
  </si>
  <si>
    <t xml:space="preserve">Rule of 40 (growth + FCF margin)</t>
  </si>
  <si>
    <t xml:space="preserve">Rule of 40 (growth + operating margin)</t>
  </si>
  <si>
    <t xml:space="preserve">Software Model Checks</t>
  </si>
  <si>
    <t xml:space="preserve">Check</t>
  </si>
  <si>
    <t xml:space="preserve">ARR roll-forward reconciles (ending = beginning + new + expansion - contraction - churn)</t>
  </si>
  <si>
    <t xml:space="preserve">ARR balances never negative</t>
  </si>
  <si>
    <t xml:space="preserve">Gross revenue retention does not exceed 100%</t>
  </si>
  <si>
    <t xml:space="preserve">Net revenue retention exceeds gross revenue retention</t>
  </si>
  <si>
    <t xml:space="preserve">Total revenue equals subscription plus services</t>
  </si>
  <si>
    <t xml:space="preserve">Blended gross margin sits between services and subscription margin</t>
  </si>
  <si>
    <t xml:space="preserve">Non-GAAP operating income exceeds GAAP (SBC added back)</t>
  </si>
  <si>
    <t xml:space="preserve">Magic number positive</t>
  </si>
  <si>
    <t xml:space="preserve">Gross-profit CAC payback within 36 months</t>
  </si>
  <si>
    <t xml:space="preserve">RPO roll-forward reconciles (ending = beginning + bookings - revenue)</t>
  </si>
  <si>
    <t xml:space="preserve">Current RPO does not exceed total RPO</t>
  </si>
  <si>
    <t xml:space="preserve">Contract liability does not exceed total RPO (unbilled RPO non-negative)</t>
  </si>
  <si>
    <t xml:space="preserve">Implied gross bookings positive (no negative-bookings year)</t>
  </si>
  <si>
    <t xml:space="preserve">Overall</t>
  </si>
  <si>
    <t xml:space="preserve">Source Register</t>
  </si>
  <si>
    <t xml:space="preserve">Input / dataset</t>
  </si>
  <si>
    <t xml:space="preserve">Source URL or document</t>
  </si>
  <si>
    <t xml:space="preserve">Notes / transformation</t>
  </si>
  <si>
    <t xml:space="preserve">ARR and retention disclosures</t>
  </si>
  <si>
    <t xml:space="preserve">[10-K / 10-Q / shareholder letter]</t>
  </si>
  <si>
    <t xml:space="preserve">[period]</t>
  </si>
  <si>
    <t xml:space="preserve">Beginning/ending ARR, NRR, customer counts</t>
  </si>
  <si>
    <t xml:space="preserve">Revenue disaggregation</t>
  </si>
  <si>
    <t xml:space="preserve">[10-K revenue note]</t>
  </si>
  <si>
    <t xml:space="preserve">Subscription versus services split and gross margin by type</t>
  </si>
  <si>
    <t xml:space="preserve">[10-K equity note]</t>
  </si>
  <si>
    <t xml:space="preserve">SBC by expense line</t>
  </si>
  <si>
    <t xml:space="preserve">Remaining performance obligations</t>
  </si>
  <si>
    <t xml:space="preserve">[10-K revenue note / XBRL RevenueRemainingPerformanceObligation]</t>
  </si>
  <si>
    <t xml:space="preserve">Total RPO and the portion expected to be recognised within twelve months</t>
  </si>
  <si>
    <t xml:space="preserve">Contract liabilities</t>
  </si>
  <si>
    <t xml:space="preserve">[10-K balance sheet / XBRL ContractWithCustomerLiability]</t>
  </si>
  <si>
    <t xml:space="preserve">Deferred revenue, used to split billed from unbilled RPO</t>
  </si>
  <si>
    <t xml:space="preserve">Industry cost of capital and multiples</t>
  </si>
  <si>
    <t xml:space="preserve">https://pages.stern.nyu.edu/~adamodar/New_Home_Page/data.html</t>
  </si>
  <si>
    <t xml:space="preserve">[annual]</t>
  </si>
  <si>
    <t xml:space="preserve">Software industry margins, betas, and multiple ranges for driver grounding</t>
  </si>
  <si>
    <t xml:space="preserve">Adobe Inc. FY2025 Form 10-K (XBRL company facts, CIK 0000796343)</t>
  </si>
  <si>
    <t xml:space="preserve">https://www.sec.gov/cgi-bin/browse-edgar?action=getcompany&amp;CIK=0000796343&amp;type=10-K</t>
  </si>
  <si>
    <t xml:space="preserve">SEC XBRL company facts for CIK 0000796343, recorded at tools/data_fabric/out/ADBE_facts_annual_series.json. Three most recent disclosed fiscal years: 2025-11-28, 2024-11-29, 2023-12-01.</t>
  </si>
  <si>
    <t xml:space="preserve">Frozen source snapshot</t>
  </si>
  <si>
    <t xml:space="preserve">repo://31_Software_SaaS/sources/snapshots/software-public-adobe-fy2025.json</t>
  </si>
  <si>
    <t xml:space="preserve">Immutable curated observation package with SHA-256 digest</t>
  </si>
  <si>
    <t xml:space="preserve">Case driver (no disclosure exists)</t>
  </si>
  <si>
    <t xml:space="preserve">New, expansion, and contraction ARR rates are not disclosed by Adobe or by any other issuer. They are drivers. Their decomposition is chosen; their net effect is not -- see the gross-churn residual, which pins the sum to disclosed growth.</t>
  </si>
  <si>
    <t xml:space="preserve">Refresh Log</t>
  </si>
  <si>
    <t xml:space="preserve">Trigger</t>
  </si>
  <si>
    <t xml:space="preserve">Source snapshot</t>
  </si>
  <si>
    <t xml:space="preserve">What changed</t>
  </si>
  <si>
    <t xml:space="preserve">Reviewer / challenge</t>
  </si>
  <si>
    <t xml:space="preserve">Next check</t>
  </si>
  <si>
    <t xml:space="preserve">2026-08-06</t>
  </si>
  <si>
    <t xml:space="preserve">Initial materialization from SEC XBRL company facts</t>
  </si>
  <si>
    <t xml:space="preserve">Built the software domain's first company case. Sourced the entire GAAP cost and RPO layer from Adobe's disclosed FY2025 facts; pinned blended gross margin and net ARR growth to disclosure while leaving their undisclosed components as declared drivers; set the Downside column from the worst of three disclosed fiscal years rather than an invented stress. The ARR cohort layer remains ungrounded because no issuer discloses it.</t>
  </si>
  <si>
    <t xml:space="preserve">External historical case; human stakeholder approval remains pending. Absolute ARR and RPO dollar levels inherit the revenue-as-ARR-scale proxy and should be read as approximate; ratios are sourced.</t>
  </si>
  <si>
    <t xml:space="preserve">On Adobe's next 10-K, builder change, or annual review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</si>
</sst>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;[RED]&quot;($&quot;#,##0.0\);\-"/>
    <numFmt numFmtId="166" formatCode="0.0%;[RED]\(0.0%\);\-"/>
    <numFmt numFmtId="167" formatCode="0.0\x;[RED]\(0.0&quot;x)&quot;;\-"/>
    <numFmt numFmtId="168" formatCode="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color rgb="FF111827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111827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5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7365D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CE4D6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E2F0D9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/>
      <right/>
      <top style="thin">
        <color rgb="FF111827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B7B7B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111827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3" min="3" style="0" width="46"/>
    <col collapsed="false" customWidth="true" hidden="false" outlineLevel="0" max="6" min="4" style="0" width="12"/>
  </cols>
  <sheetData>
    <row r="2" customFormat="false" ht="27.75" hidden="false" customHeight="true" outlineLevel="0" collapsed="false">
      <c r="B2" s="1" t="s">
        <v>0</v>
      </c>
      <c r="C2" s="1"/>
      <c r="D2" s="1"/>
      <c r="E2" s="1"/>
      <c r="F2" s="1"/>
    </row>
    <row r="4" customFormat="false" ht="15" hidden="false" customHeight="false" outlineLevel="0" collapsed="false">
      <c r="B4" s="2" t="s">
        <v>1</v>
      </c>
      <c r="C4" s="3" t="s">
        <v>2</v>
      </c>
    </row>
    <row r="5" customFormat="false" ht="15" hidden="false" customHeight="false" outlineLevel="0" collapsed="false">
      <c r="B5" s="2" t="s">
        <v>3</v>
      </c>
      <c r="C5" s="3" t="s">
        <v>4</v>
      </c>
    </row>
    <row r="6" customFormat="false" ht="15" hidden="false" customHeight="false" outlineLevel="0" collapsed="false">
      <c r="B6" s="2" t="s">
        <v>5</v>
      </c>
      <c r="C6" s="3" t="s">
        <v>6</v>
      </c>
    </row>
    <row r="7" customFormat="false" ht="15" hidden="false" customHeight="false" outlineLevel="0" collapsed="false">
      <c r="B7" s="2" t="s">
        <v>7</v>
      </c>
      <c r="C7" s="3" t="s">
        <v>8</v>
      </c>
    </row>
    <row r="8" customFormat="false" ht="15" hidden="false" customHeight="false" outlineLevel="0" collapsed="false">
      <c r="B8" s="2" t="s">
        <v>9</v>
      </c>
      <c r="C8" s="3" t="s">
        <v>10</v>
      </c>
    </row>
    <row r="9" customFormat="false" ht="15" hidden="false" customHeight="false" outlineLevel="0" collapsed="false">
      <c r="B9" s="2" t="s">
        <v>11</v>
      </c>
      <c r="C9" s="3" t="s">
        <v>12</v>
      </c>
    </row>
    <row r="10" customFormat="false" ht="15" hidden="false" customHeight="false" outlineLevel="0" collapsed="false">
      <c r="B10" s="2" t="s">
        <v>13</v>
      </c>
      <c r="C10" s="4" t="s">
        <v>14</v>
      </c>
    </row>
    <row r="13" customFormat="false" ht="15" hidden="false" customHeight="false" outlineLevel="0" collapsed="false">
      <c r="B13" s="5" t="s">
        <v>15</v>
      </c>
      <c r="C13" s="5"/>
      <c r="D13" s="5"/>
      <c r="E13" s="5"/>
      <c r="F13" s="5"/>
    </row>
    <row r="14" customFormat="false" ht="15" hidden="false" customHeight="false" outlineLevel="0" collapsed="false">
      <c r="B14" s="6" t="s">
        <v>16</v>
      </c>
      <c r="C14" s="7" t="s">
        <v>17</v>
      </c>
    </row>
    <row r="15" customFormat="false" ht="15" hidden="false" customHeight="false" outlineLevel="0" collapsed="false">
      <c r="B15" s="2" t="s">
        <v>18</v>
      </c>
      <c r="C15" s="7" t="s">
        <v>19</v>
      </c>
    </row>
    <row r="16" customFormat="false" ht="15" hidden="false" customHeight="false" outlineLevel="0" collapsed="false">
      <c r="B16" s="8" t="s">
        <v>20</v>
      </c>
      <c r="C16" s="7" t="s">
        <v>21</v>
      </c>
    </row>
    <row r="17" customFormat="false" ht="15" hidden="false" customHeight="false" outlineLevel="0" collapsed="false">
      <c r="B17" s="2" t="s">
        <v>22</v>
      </c>
      <c r="C17" s="7" t="s">
        <v>23</v>
      </c>
    </row>
  </sheetData>
  <mergeCells count="2">
    <mergeCell ref="B2:F2"/>
    <mergeCell ref="B13:F13"/>
  </mergeCells>
  <dataValidations count="1">
    <dataValidation allowBlank="false" errorStyle="stop" operator="between" showDropDown="false" showErrorMessage="false" showInputMessage="false" sqref="C9" type="list">
      <formula1>"Base,Downside"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48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0"/>
  </cols>
  <sheetData>
    <row r="2" customFormat="false" ht="18.55" hidden="false" customHeight="false" outlineLevel="0" collapsed="false">
      <c r="B2" s="9" t="s">
        <v>24</v>
      </c>
      <c r="C2" s="9"/>
      <c r="D2" s="9"/>
      <c r="E2" s="9"/>
      <c r="F2" s="9"/>
    </row>
    <row r="4" customFormat="false" ht="15" hidden="false" customHeight="true" outlineLevel="0" collapsed="false">
      <c r="B4" s="10" t="s">
        <v>25</v>
      </c>
      <c r="C4" s="11" t="s">
        <v>26</v>
      </c>
      <c r="D4" s="11"/>
      <c r="E4" s="11"/>
      <c r="F4" s="11"/>
    </row>
    <row r="5" customFormat="false" ht="15" hidden="false" customHeight="true" outlineLevel="0" collapsed="false">
      <c r="B5" s="10" t="s">
        <v>27</v>
      </c>
      <c r="C5" s="11" t="s">
        <v>28</v>
      </c>
      <c r="D5" s="11"/>
      <c r="E5" s="11"/>
      <c r="F5" s="11"/>
    </row>
    <row r="6" customFormat="false" ht="15" hidden="false" customHeight="true" outlineLevel="0" collapsed="false">
      <c r="B6" s="10" t="s">
        <v>29</v>
      </c>
      <c r="C6" s="11" t="s">
        <v>30</v>
      </c>
      <c r="D6" s="11"/>
      <c r="E6" s="11"/>
      <c r="F6" s="11"/>
    </row>
    <row r="7" customFormat="false" ht="15" hidden="false" customHeight="true" outlineLevel="0" collapsed="false">
      <c r="B7" s="10" t="s">
        <v>31</v>
      </c>
      <c r="C7" s="11" t="s">
        <v>32</v>
      </c>
      <c r="D7" s="11"/>
      <c r="E7" s="11"/>
      <c r="F7" s="11"/>
    </row>
    <row r="8" customFormat="false" ht="15" hidden="false" customHeight="true" outlineLevel="0" collapsed="false">
      <c r="B8" s="10" t="s">
        <v>33</v>
      </c>
      <c r="C8" s="11" t="s">
        <v>34</v>
      </c>
      <c r="D8" s="11"/>
      <c r="E8" s="11"/>
      <c r="F8" s="11"/>
    </row>
    <row r="9" customFormat="false" ht="15" hidden="false" customHeight="true" outlineLevel="0" collapsed="false">
      <c r="B9" s="10" t="s">
        <v>35</v>
      </c>
      <c r="C9" s="11" t="s">
        <v>36</v>
      </c>
      <c r="D9" s="11"/>
      <c r="E9" s="11"/>
      <c r="F9" s="11"/>
    </row>
    <row r="10" customFormat="false" ht="15" hidden="false" customHeight="true" outlineLevel="0" collapsed="false">
      <c r="B10" s="10" t="s">
        <v>37</v>
      </c>
      <c r="C10" s="11" t="s">
        <v>38</v>
      </c>
      <c r="D10" s="11"/>
      <c r="E10" s="11"/>
      <c r="F10" s="11"/>
    </row>
    <row r="12" customFormat="false" ht="15" hidden="false" customHeight="false" outlineLevel="0" collapsed="false">
      <c r="B12" s="12" t="s">
        <v>39</v>
      </c>
      <c r="C12" s="12"/>
      <c r="D12" s="12"/>
      <c r="E12" s="12"/>
      <c r="F12" s="12"/>
    </row>
    <row r="13" customFormat="false" ht="15" hidden="false" customHeight="false" outlineLevel="0" collapsed="false">
      <c r="B13" s="13" t="s">
        <v>40</v>
      </c>
      <c r="C13" s="13" t="s">
        <v>41</v>
      </c>
      <c r="D13" s="13" t="s">
        <v>42</v>
      </c>
      <c r="E13" s="13" t="s">
        <v>43</v>
      </c>
      <c r="F13" s="13" t="s">
        <v>44</v>
      </c>
    </row>
    <row r="14" customFormat="false" ht="15" hidden="false" customHeight="false" outlineLevel="0" collapsed="false">
      <c r="B14" s="0" t="n">
        <v>1</v>
      </c>
      <c r="C14" s="0" t="s">
        <v>45</v>
      </c>
      <c r="F14" s="14" t="s">
        <v>46</v>
      </c>
    </row>
    <row r="15" customFormat="false" ht="15" hidden="false" customHeight="false" outlineLevel="0" collapsed="false">
      <c r="B15" s="0" t="n">
        <v>2</v>
      </c>
      <c r="C15" s="0" t="s">
        <v>47</v>
      </c>
      <c r="F15" s="14" t="s">
        <v>46</v>
      </c>
    </row>
    <row r="16" customFormat="false" ht="15" hidden="false" customHeight="false" outlineLevel="0" collapsed="false">
      <c r="B16" s="0" t="n">
        <v>3</v>
      </c>
      <c r="C16" s="0" t="s">
        <v>48</v>
      </c>
      <c r="F16" s="14" t="s">
        <v>46</v>
      </c>
    </row>
    <row r="17" customFormat="false" ht="15" hidden="false" customHeight="false" outlineLevel="0" collapsed="false">
      <c r="B17" s="0" t="n">
        <v>4</v>
      </c>
      <c r="C17" s="0" t="s">
        <v>49</v>
      </c>
      <c r="F17" s="14" t="s">
        <v>46</v>
      </c>
    </row>
    <row r="18" customFormat="false" ht="15" hidden="false" customHeight="false" outlineLevel="0" collapsed="false">
      <c r="B18" s="0" t="n">
        <v>5</v>
      </c>
      <c r="C18" s="0" t="s">
        <v>50</v>
      </c>
      <c r="F18" s="14" t="s">
        <v>46</v>
      </c>
    </row>
    <row r="20" customFormat="false" ht="15" hidden="false" customHeight="false" outlineLevel="0" collapsed="false">
      <c r="B20" s="12" t="s">
        <v>51</v>
      </c>
      <c r="C20" s="12"/>
      <c r="D20" s="12"/>
      <c r="E20" s="12"/>
      <c r="F20" s="12"/>
    </row>
    <row r="21" customFormat="false" ht="15" hidden="false" customHeight="false" outlineLevel="0" collapsed="false">
      <c r="B21" s="13" t="s">
        <v>40</v>
      </c>
      <c r="C21" s="13" t="s">
        <v>41</v>
      </c>
      <c r="D21" s="13" t="s">
        <v>42</v>
      </c>
      <c r="E21" s="13" t="s">
        <v>43</v>
      </c>
      <c r="F21" s="13" t="s">
        <v>44</v>
      </c>
    </row>
    <row r="22" customFormat="false" ht="15" hidden="false" customHeight="false" outlineLevel="0" collapsed="false">
      <c r="B22" s="0" t="n">
        <v>1</v>
      </c>
      <c r="C22" s="0" t="s">
        <v>52</v>
      </c>
      <c r="F22" s="14" t="s">
        <v>46</v>
      </c>
    </row>
    <row r="23" customFormat="false" ht="15" hidden="false" customHeight="false" outlineLevel="0" collapsed="false">
      <c r="B23" s="0" t="n">
        <v>2</v>
      </c>
      <c r="C23" s="0" t="s">
        <v>53</v>
      </c>
      <c r="F23" s="14" t="s">
        <v>46</v>
      </c>
    </row>
    <row r="24" customFormat="false" ht="15" hidden="false" customHeight="false" outlineLevel="0" collapsed="false">
      <c r="B24" s="0" t="n">
        <v>3</v>
      </c>
      <c r="C24" s="0" t="s">
        <v>54</v>
      </c>
      <c r="F24" s="14" t="s">
        <v>46</v>
      </c>
    </row>
    <row r="25" customFormat="false" ht="15" hidden="false" customHeight="false" outlineLevel="0" collapsed="false">
      <c r="B25" s="0" t="n">
        <v>4</v>
      </c>
      <c r="C25" s="0" t="s">
        <v>55</v>
      </c>
      <c r="F25" s="14" t="s">
        <v>46</v>
      </c>
    </row>
    <row r="26" customFormat="false" ht="15" hidden="false" customHeight="false" outlineLevel="0" collapsed="false">
      <c r="B26" s="0" t="n">
        <v>5</v>
      </c>
      <c r="C26" s="0" t="s">
        <v>56</v>
      </c>
      <c r="F26" s="14" t="s">
        <v>46</v>
      </c>
    </row>
    <row r="28" customFormat="false" ht="15" hidden="false" customHeight="false" outlineLevel="0" collapsed="false">
      <c r="B28" s="12" t="s">
        <v>57</v>
      </c>
      <c r="C28" s="12"/>
      <c r="D28" s="12"/>
      <c r="E28" s="12"/>
      <c r="F28" s="12"/>
    </row>
    <row r="29" customFormat="false" ht="15" hidden="false" customHeight="false" outlineLevel="0" collapsed="false">
      <c r="B29" s="13" t="s">
        <v>40</v>
      </c>
      <c r="C29" s="13" t="s">
        <v>41</v>
      </c>
      <c r="D29" s="13" t="s">
        <v>42</v>
      </c>
      <c r="E29" s="13" t="s">
        <v>43</v>
      </c>
      <c r="F29" s="13" t="s">
        <v>44</v>
      </c>
    </row>
    <row r="30" customFormat="false" ht="15" hidden="false" customHeight="false" outlineLevel="0" collapsed="false">
      <c r="B30" s="0" t="n">
        <v>1</v>
      </c>
      <c r="C30" s="0" t="s">
        <v>58</v>
      </c>
      <c r="F30" s="14" t="s">
        <v>46</v>
      </c>
    </row>
    <row r="31" customFormat="false" ht="15" hidden="false" customHeight="false" outlineLevel="0" collapsed="false">
      <c r="B31" s="0" t="n">
        <v>2</v>
      </c>
      <c r="C31" s="0" t="s">
        <v>59</v>
      </c>
      <c r="F31" s="14" t="s">
        <v>46</v>
      </c>
    </row>
    <row r="32" customFormat="false" ht="15" hidden="false" customHeight="false" outlineLevel="0" collapsed="false">
      <c r="B32" s="0" t="n">
        <v>3</v>
      </c>
      <c r="C32" s="0" t="s">
        <v>60</v>
      </c>
      <c r="F32" s="14" t="s">
        <v>46</v>
      </c>
    </row>
    <row r="33" customFormat="false" ht="15" hidden="false" customHeight="false" outlineLevel="0" collapsed="false">
      <c r="B33" s="0" t="n">
        <v>4</v>
      </c>
      <c r="C33" s="0" t="s">
        <v>61</v>
      </c>
      <c r="F33" s="14" t="s">
        <v>46</v>
      </c>
    </row>
    <row r="34" customFormat="false" ht="15" hidden="false" customHeight="false" outlineLevel="0" collapsed="false">
      <c r="B34" s="0" t="n">
        <v>5</v>
      </c>
      <c r="C34" s="0" t="s">
        <v>62</v>
      </c>
      <c r="F34" s="14" t="s">
        <v>46</v>
      </c>
    </row>
    <row r="36" customFormat="false" ht="15" hidden="false" customHeight="false" outlineLevel="0" collapsed="false">
      <c r="B36" s="12" t="s">
        <v>63</v>
      </c>
      <c r="C36" s="12"/>
      <c r="D36" s="12"/>
      <c r="E36" s="12"/>
      <c r="F36" s="12"/>
    </row>
    <row r="37" customFormat="false" ht="15" hidden="false" customHeight="false" outlineLevel="0" collapsed="false">
      <c r="B37" s="13" t="s">
        <v>40</v>
      </c>
      <c r="C37" s="13" t="s">
        <v>41</v>
      </c>
      <c r="D37" s="13" t="s">
        <v>42</v>
      </c>
      <c r="E37" s="13" t="s">
        <v>43</v>
      </c>
      <c r="F37" s="13" t="s">
        <v>44</v>
      </c>
    </row>
    <row r="38" customFormat="false" ht="15" hidden="false" customHeight="false" outlineLevel="0" collapsed="false">
      <c r="B38" s="0" t="n">
        <v>1</v>
      </c>
      <c r="C38" s="0" t="s">
        <v>64</v>
      </c>
      <c r="F38" s="14" t="s">
        <v>46</v>
      </c>
    </row>
    <row r="39" customFormat="false" ht="15" hidden="false" customHeight="false" outlineLevel="0" collapsed="false">
      <c r="B39" s="0" t="n">
        <v>2</v>
      </c>
      <c r="C39" s="0" t="s">
        <v>65</v>
      </c>
      <c r="F39" s="14" t="s">
        <v>46</v>
      </c>
    </row>
    <row r="40" customFormat="false" ht="15" hidden="false" customHeight="false" outlineLevel="0" collapsed="false">
      <c r="B40" s="0" t="n">
        <v>3</v>
      </c>
      <c r="C40" s="0" t="s">
        <v>66</v>
      </c>
      <c r="F40" s="14" t="s">
        <v>46</v>
      </c>
    </row>
    <row r="41" customFormat="false" ht="15" hidden="false" customHeight="false" outlineLevel="0" collapsed="false">
      <c r="B41" s="0" t="n">
        <v>4</v>
      </c>
      <c r="C41" s="0" t="s">
        <v>67</v>
      </c>
      <c r="F41" s="14" t="s">
        <v>46</v>
      </c>
    </row>
    <row r="42" customFormat="false" ht="15" hidden="false" customHeight="false" outlineLevel="0" collapsed="false">
      <c r="B42" s="0" t="n">
        <v>5</v>
      </c>
      <c r="C42" s="0" t="s">
        <v>68</v>
      </c>
      <c r="F42" s="14" t="s">
        <v>46</v>
      </c>
    </row>
    <row r="44" customFormat="false" ht="15" hidden="false" customHeight="false" outlineLevel="0" collapsed="false">
      <c r="B44" s="12" t="s">
        <v>69</v>
      </c>
      <c r="C44" s="12"/>
      <c r="D44" s="12"/>
      <c r="E44" s="12"/>
      <c r="F44" s="12"/>
    </row>
    <row r="45" customFormat="false" ht="15" hidden="false" customHeight="false" outlineLevel="0" collapsed="false">
      <c r="B45" s="13" t="s">
        <v>40</v>
      </c>
      <c r="C45" s="13" t="s">
        <v>41</v>
      </c>
      <c r="D45" s="13" t="s">
        <v>42</v>
      </c>
      <c r="E45" s="13" t="s">
        <v>43</v>
      </c>
      <c r="F45" s="13" t="s">
        <v>44</v>
      </c>
    </row>
    <row r="46" customFormat="false" ht="15" hidden="false" customHeight="false" outlineLevel="0" collapsed="false">
      <c r="B46" s="0" t="n">
        <v>1</v>
      </c>
      <c r="C46" s="0" t="s">
        <v>70</v>
      </c>
      <c r="F46" s="14" t="s">
        <v>46</v>
      </c>
    </row>
    <row r="47" customFormat="false" ht="15" hidden="false" customHeight="false" outlineLevel="0" collapsed="false">
      <c r="B47" s="0" t="n">
        <v>2</v>
      </c>
      <c r="C47" s="0" t="s">
        <v>71</v>
      </c>
      <c r="F47" s="14" t="s">
        <v>46</v>
      </c>
    </row>
    <row r="48" customFormat="false" ht="15" hidden="false" customHeight="false" outlineLevel="0" collapsed="false">
      <c r="B48" s="0" t="n">
        <v>3</v>
      </c>
      <c r="C48" s="0" t="s">
        <v>72</v>
      </c>
      <c r="F48" s="14" t="s">
        <v>46</v>
      </c>
    </row>
    <row r="49" customFormat="false" ht="15" hidden="false" customHeight="false" outlineLevel="0" collapsed="false">
      <c r="B49" s="0" t="n">
        <v>4</v>
      </c>
      <c r="C49" s="0" t="s">
        <v>73</v>
      </c>
      <c r="F49" s="14" t="s">
        <v>46</v>
      </c>
    </row>
    <row r="50" customFormat="false" ht="15" hidden="false" customHeight="false" outlineLevel="0" collapsed="false">
      <c r="B50" s="0" t="n">
        <v>5</v>
      </c>
      <c r="C50" s="0" t="s">
        <v>74</v>
      </c>
      <c r="F50" s="14" t="s">
        <v>46</v>
      </c>
    </row>
    <row r="52" customFormat="false" ht="15" hidden="false" customHeight="false" outlineLevel="0" collapsed="false">
      <c r="B52" s="12" t="s">
        <v>75</v>
      </c>
      <c r="C52" s="12"/>
      <c r="D52" s="12"/>
      <c r="E52" s="12"/>
      <c r="F52" s="12"/>
    </row>
    <row r="53" customFormat="false" ht="15" hidden="false" customHeight="false" outlineLevel="0" collapsed="false">
      <c r="B53" s="13" t="s">
        <v>40</v>
      </c>
      <c r="C53" s="13" t="s">
        <v>41</v>
      </c>
      <c r="D53" s="13" t="s">
        <v>42</v>
      </c>
      <c r="E53" s="13" t="s">
        <v>43</v>
      </c>
      <c r="F53" s="13" t="s">
        <v>44</v>
      </c>
    </row>
    <row r="54" customFormat="false" ht="15" hidden="false" customHeight="false" outlineLevel="0" collapsed="false">
      <c r="B54" s="0" t="n">
        <v>1</v>
      </c>
      <c r="C54" s="0" t="s">
        <v>76</v>
      </c>
      <c r="F54" s="14" t="s">
        <v>46</v>
      </c>
    </row>
    <row r="55" customFormat="false" ht="15" hidden="false" customHeight="false" outlineLevel="0" collapsed="false">
      <c r="B55" s="0" t="n">
        <v>2</v>
      </c>
      <c r="C55" s="0" t="s">
        <v>77</v>
      </c>
      <c r="F55" s="14" t="s">
        <v>46</v>
      </c>
    </row>
    <row r="56" customFormat="false" ht="15" hidden="false" customHeight="false" outlineLevel="0" collapsed="false">
      <c r="B56" s="0" t="n">
        <v>3</v>
      </c>
      <c r="C56" s="0" t="s">
        <v>78</v>
      </c>
      <c r="F56" s="14" t="s">
        <v>46</v>
      </c>
    </row>
    <row r="57" customFormat="false" ht="15" hidden="false" customHeight="false" outlineLevel="0" collapsed="false">
      <c r="B57" s="0" t="n">
        <v>4</v>
      </c>
      <c r="C57" s="0" t="s">
        <v>79</v>
      </c>
      <c r="F57" s="14" t="s">
        <v>46</v>
      </c>
    </row>
    <row r="58" customFormat="false" ht="15" hidden="false" customHeight="false" outlineLevel="0" collapsed="false">
      <c r="B58" s="0" t="n">
        <v>5</v>
      </c>
      <c r="C58" s="0" t="s">
        <v>80</v>
      </c>
      <c r="F58" s="14" t="s">
        <v>46</v>
      </c>
    </row>
    <row r="60" customFormat="false" ht="15" hidden="false" customHeight="false" outlineLevel="0" collapsed="false">
      <c r="B60" s="12" t="s">
        <v>81</v>
      </c>
      <c r="C60" s="12"/>
      <c r="D60" s="12"/>
      <c r="E60" s="12"/>
      <c r="F60" s="12"/>
    </row>
    <row r="61" customFormat="false" ht="15" hidden="false" customHeight="false" outlineLevel="0" collapsed="false">
      <c r="B61" s="13" t="s">
        <v>82</v>
      </c>
      <c r="C61" s="13" t="s">
        <v>83</v>
      </c>
      <c r="D61" s="13" t="s">
        <v>84</v>
      </c>
      <c r="E61" s="13" t="s">
        <v>85</v>
      </c>
      <c r="F61" s="13" t="s">
        <v>86</v>
      </c>
    </row>
    <row r="62" customFormat="false" ht="15" hidden="false" customHeight="false" outlineLevel="0" collapsed="false">
      <c r="B62" s="0" t="s">
        <v>87</v>
      </c>
      <c r="C62" s="0" t="s">
        <v>88</v>
      </c>
      <c r="D62" s="0" t="s">
        <v>89</v>
      </c>
      <c r="E62" s="0" t="s">
        <v>90</v>
      </c>
    </row>
    <row r="63" customFormat="false" ht="15" hidden="false" customHeight="false" outlineLevel="0" collapsed="false">
      <c r="B63" s="0" t="s">
        <v>91</v>
      </c>
      <c r="C63" s="0" t="s">
        <v>92</v>
      </c>
      <c r="D63" s="0" t="s">
        <v>93</v>
      </c>
      <c r="E63" s="0" t="s">
        <v>90</v>
      </c>
    </row>
  </sheetData>
  <mergeCells count="15">
    <mergeCell ref="B2:F2"/>
    <mergeCell ref="C4:F4"/>
    <mergeCell ref="C5:F5"/>
    <mergeCell ref="C6:F6"/>
    <mergeCell ref="C7:F7"/>
    <mergeCell ref="C8:F8"/>
    <mergeCell ref="C9:F9"/>
    <mergeCell ref="C10:F10"/>
    <mergeCell ref="B12:F12"/>
    <mergeCell ref="B20:F20"/>
    <mergeCell ref="B28:F28"/>
    <mergeCell ref="B36:F36"/>
    <mergeCell ref="B44:F44"/>
    <mergeCell ref="B52:F52"/>
    <mergeCell ref="B60:F60"/>
  </mergeCells>
  <dataValidations count="6">
    <dataValidation allowBlank="false" errorStyle="stop" operator="between" showDropDown="false" showErrorMessage="false" showInputMessage="false" sqref="F14:F18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22:F26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0:F34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8:F42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46:F50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54:F58" type="list">
      <formula1>"OPEN,IN REVIEW,CLOSED,NOT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52"/>
    <col collapsed="false" customWidth="true" hidden="false" outlineLevel="0" max="5" min="5" style="0" width="46"/>
    <col collapsed="false" customWidth="true" hidden="false" outlineLevel="0" max="6" min="6" style="0" width="36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4"/>
  </cols>
  <sheetData>
    <row r="2" customFormat="false" ht="18.55" hidden="false" customHeight="false" outlineLevel="0" collapsed="false">
      <c r="B2" s="9" t="s">
        <v>94</v>
      </c>
      <c r="C2" s="9"/>
      <c r="D2" s="9"/>
      <c r="E2" s="9"/>
      <c r="F2" s="9"/>
      <c r="G2" s="9"/>
      <c r="H2" s="9"/>
      <c r="I2" s="9"/>
    </row>
    <row r="4" customFormat="false" ht="15" hidden="false" customHeight="false" outlineLevel="0" collapsed="false">
      <c r="B4" s="13" t="s">
        <v>95</v>
      </c>
      <c r="C4" s="13" t="s">
        <v>96</v>
      </c>
      <c r="D4" s="13" t="s">
        <v>97</v>
      </c>
      <c r="E4" s="13" t="s">
        <v>98</v>
      </c>
      <c r="F4" s="13" t="s">
        <v>99</v>
      </c>
      <c r="G4" s="13" t="s">
        <v>100</v>
      </c>
      <c r="H4" s="13" t="s">
        <v>44</v>
      </c>
      <c r="I4" s="13" t="s">
        <v>101</v>
      </c>
    </row>
    <row r="5" customFormat="false" ht="15" hidden="false" customHeight="false" outlineLevel="0" collapsed="false">
      <c r="D5" s="0" t="s">
        <v>70</v>
      </c>
      <c r="H5" s="14" t="s">
        <v>46</v>
      </c>
    </row>
    <row r="6" customFormat="false" ht="15" hidden="false" customHeight="false" outlineLevel="0" collapsed="false">
      <c r="D6" s="0" t="s">
        <v>71</v>
      </c>
      <c r="H6" s="14" t="s">
        <v>46</v>
      </c>
    </row>
    <row r="7" customFormat="false" ht="15" hidden="false" customHeight="false" outlineLevel="0" collapsed="false">
      <c r="D7" s="0" t="s">
        <v>72</v>
      </c>
      <c r="H7" s="14" t="s">
        <v>46</v>
      </c>
    </row>
    <row r="8" customFormat="false" ht="15" hidden="false" customHeight="false" outlineLevel="0" collapsed="false">
      <c r="D8" s="0" t="s">
        <v>73</v>
      </c>
      <c r="H8" s="14" t="s">
        <v>46</v>
      </c>
    </row>
    <row r="9" customFormat="false" ht="15" hidden="false" customHeight="false" outlineLevel="0" collapsed="false">
      <c r="D9" s="0" t="s">
        <v>74</v>
      </c>
      <c r="H9" s="14" t="s">
        <v>46</v>
      </c>
    </row>
    <row r="10" customFormat="false" ht="15" hidden="false" customHeight="false" outlineLevel="0" collapsed="false">
      <c r="H10" s="14"/>
    </row>
    <row r="11" customFormat="false" ht="15" hidden="false" customHeight="false" outlineLevel="0" collapsed="false">
      <c r="H11" s="14"/>
    </row>
    <row r="12" customFormat="false" ht="15" hidden="false" customHeight="false" outlineLevel="0" collapsed="false">
      <c r="H12" s="14"/>
    </row>
    <row r="13" customFormat="false" ht="15" hidden="false" customHeight="false" outlineLevel="0" collapsed="false">
      <c r="H13" s="14"/>
    </row>
    <row r="14" customFormat="false" ht="15" hidden="false" customHeight="false" outlineLevel="0" collapsed="false">
      <c r="H14" s="14"/>
    </row>
    <row r="15" customFormat="false" ht="15" hidden="false" customHeight="false" outlineLevel="0" collapsed="false">
      <c r="H15" s="14"/>
    </row>
    <row r="16" customFormat="false" ht="15" hidden="false" customHeight="false" outlineLevel="0" collapsed="false">
      <c r="H16" s="14"/>
    </row>
    <row r="17" customFormat="false" ht="15" hidden="false" customHeight="false" outlineLevel="0" collapsed="false">
      <c r="H17" s="14"/>
    </row>
    <row r="18" customFormat="false" ht="15" hidden="false" customHeight="false" outlineLevel="0" collapsed="false">
      <c r="H18" s="14"/>
    </row>
    <row r="19" customFormat="false" ht="15" hidden="false" customHeight="false" outlineLevel="0" collapsed="false">
      <c r="H19" s="14"/>
    </row>
    <row r="20" customFormat="false" ht="15" hidden="false" customHeight="false" outlineLevel="0" collapsed="false">
      <c r="H20" s="14"/>
    </row>
    <row r="21" customFormat="false" ht="15" hidden="false" customHeight="false" outlineLevel="0" collapsed="false">
      <c r="H21" s="14"/>
    </row>
    <row r="22" customFormat="false" ht="15" hidden="false" customHeight="false" outlineLevel="0" collapsed="false">
      <c r="H22" s="14"/>
    </row>
    <row r="23" customFormat="false" ht="15" hidden="false" customHeight="false" outlineLevel="0" collapsed="false">
      <c r="H23" s="14"/>
    </row>
    <row r="24" customFormat="false" ht="15" hidden="false" customHeight="false" outlineLevel="0" collapsed="false">
      <c r="H24" s="14"/>
    </row>
    <row r="25" customFormat="false" ht="15" hidden="false" customHeight="false" outlineLevel="0" collapsed="false">
      <c r="H25" s="14"/>
    </row>
    <row r="26" customFormat="false" ht="15" hidden="false" customHeight="false" outlineLevel="0" collapsed="false">
      <c r="H26" s="14"/>
    </row>
    <row r="27" customFormat="false" ht="15" hidden="false" customHeight="false" outlineLevel="0" collapsed="false">
      <c r="H27" s="14"/>
    </row>
    <row r="28" customFormat="false" ht="15" hidden="false" customHeight="false" outlineLevel="0" collapsed="false">
      <c r="H28" s="14"/>
    </row>
    <row r="29" customFormat="false" ht="15" hidden="false" customHeight="false" outlineLevel="0" collapsed="false">
      <c r="H29" s="14"/>
    </row>
    <row r="30" customFormat="false" ht="15" hidden="false" customHeight="false" outlineLevel="0" collapsed="false">
      <c r="H30" s="14"/>
    </row>
    <row r="31" customFormat="false" ht="15" hidden="false" customHeight="false" outlineLevel="0" collapsed="false">
      <c r="H31" s="14"/>
    </row>
    <row r="32" customFormat="false" ht="15" hidden="false" customHeight="false" outlineLevel="0" collapsed="false">
      <c r="H32" s="14"/>
    </row>
    <row r="33" customFormat="false" ht="15" hidden="false" customHeight="false" outlineLevel="0" collapsed="false">
      <c r="H33" s="14"/>
    </row>
    <row r="34" customFormat="false" ht="15" hidden="false" customHeight="false" outlineLevel="0" collapsed="false">
      <c r="H34" s="14"/>
    </row>
    <row r="35" customFormat="false" ht="15" hidden="false" customHeight="false" outlineLevel="0" collapsed="false">
      <c r="H35" s="14"/>
    </row>
    <row r="36" customFormat="false" ht="15" hidden="false" customHeight="false" outlineLevel="0" collapsed="false">
      <c r="H36" s="14"/>
    </row>
    <row r="37" customFormat="false" ht="15" hidden="false" customHeight="false" outlineLevel="0" collapsed="false">
      <c r="H37" s="14"/>
    </row>
    <row r="38" customFormat="false" ht="15" hidden="false" customHeight="false" outlineLevel="0" collapsed="false">
      <c r="H38" s="14"/>
    </row>
    <row r="39" customFormat="false" ht="15" hidden="false" customHeight="false" outlineLevel="0" collapsed="false">
      <c r="H39" s="14"/>
    </row>
    <row r="40" customFormat="false" ht="15" hidden="false" customHeight="false" outlineLevel="0" collapsed="false">
      <c r="H40" s="14"/>
    </row>
    <row r="41" customFormat="false" ht="15" hidden="false" customHeight="false" outlineLevel="0" collapsed="false">
      <c r="H41" s="14"/>
    </row>
    <row r="42" customFormat="false" ht="15" hidden="false" customHeight="false" outlineLevel="0" collapsed="false">
      <c r="H42" s="14"/>
    </row>
    <row r="43" customFormat="false" ht="15" hidden="false" customHeight="false" outlineLevel="0" collapsed="false">
      <c r="H43" s="14"/>
    </row>
    <row r="44" customFormat="false" ht="15" hidden="false" customHeight="false" outlineLevel="0" collapsed="false">
      <c r="H44" s="14"/>
    </row>
    <row r="45" customFormat="false" ht="15" hidden="false" customHeight="false" outlineLevel="0" collapsed="false">
      <c r="H45" s="14"/>
    </row>
    <row r="46" customFormat="false" ht="15" hidden="false" customHeight="false" outlineLevel="0" collapsed="false">
      <c r="H46" s="14"/>
    </row>
    <row r="47" customFormat="false" ht="15" hidden="false" customHeight="false" outlineLevel="0" collapsed="false">
      <c r="H47" s="14"/>
    </row>
    <row r="48" customFormat="false" ht="15" hidden="false" customHeight="false" outlineLevel="0" collapsed="false">
      <c r="H48" s="14"/>
    </row>
    <row r="49" customFormat="false" ht="15" hidden="false" customHeight="false" outlineLevel="0" collapsed="false">
      <c r="H49" s="14"/>
    </row>
    <row r="50" customFormat="false" ht="15" hidden="false" customHeight="false" outlineLevel="0" collapsed="false">
      <c r="H50" s="14"/>
    </row>
    <row r="51" customFormat="false" ht="15" hidden="false" customHeight="false" outlineLevel="0" collapsed="false">
      <c r="H51" s="14"/>
    </row>
    <row r="52" customFormat="false" ht="15" hidden="false" customHeight="false" outlineLevel="0" collapsed="false">
      <c r="H52" s="14"/>
    </row>
    <row r="53" customFormat="false" ht="15" hidden="false" customHeight="false" outlineLevel="0" collapsed="false">
      <c r="H53" s="14"/>
    </row>
    <row r="54" customFormat="false" ht="15" hidden="false" customHeight="false" outlineLevel="0" collapsed="false">
      <c r="H54" s="14"/>
    </row>
  </sheetData>
  <mergeCells count="1">
    <mergeCell ref="B2:I2"/>
  </mergeCells>
  <dataValidations count="2">
    <dataValidation allowBlank="false" errorStyle="stop" operator="between" showDropDown="false" showErrorMessage="false" showInputMessage="false" sqref="H5:H54" type="list">
      <formula1>"OPEN,IN REVIEW,REMEDIATED,ACCEPTED RISK,CLOSED"</formula1>
      <formula2>0</formula2>
    </dataValidation>
    <dataValidation allowBlank="false" errorStyle="stop" operator="between" showDropDown="false" showErrorMessage="false" showInputMessage="false" sqref="G5:G54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42"/>
    <col collapsed="false" customWidth="true" hidden="false" outlineLevel="0" max="9" min="9" style="0" width="30"/>
    <col collapsed="false" customWidth="true" hidden="false" outlineLevel="0" max="10" min="10" style="0" width="15"/>
  </cols>
  <sheetData>
    <row r="2" customFormat="false" ht="18.55" hidden="false" customHeight="false" outlineLevel="0" collapsed="false">
      <c r="B2" s="9" t="s">
        <v>102</v>
      </c>
      <c r="C2" s="9"/>
      <c r="D2" s="9"/>
      <c r="E2" s="9"/>
      <c r="F2" s="9"/>
      <c r="G2" s="9"/>
      <c r="H2" s="9"/>
      <c r="I2" s="9"/>
      <c r="J2" s="9"/>
    </row>
    <row r="4" customFormat="false" ht="15" hidden="false" customHeight="false" outlineLevel="0" collapsed="false">
      <c r="B4" s="13" t="s">
        <v>103</v>
      </c>
      <c r="C4" s="13" t="s">
        <v>104</v>
      </c>
      <c r="D4" s="13" t="s">
        <v>105</v>
      </c>
      <c r="E4" s="13" t="s">
        <v>106</v>
      </c>
      <c r="F4" s="13" t="s">
        <v>107</v>
      </c>
      <c r="G4" s="13" t="s">
        <v>42</v>
      </c>
      <c r="H4" s="13" t="s">
        <v>108</v>
      </c>
      <c r="I4" s="13" t="s">
        <v>109</v>
      </c>
      <c r="J4" s="13" t="s">
        <v>44</v>
      </c>
    </row>
    <row r="5" customFormat="false" ht="15" hidden="false" customHeight="false" outlineLevel="0" collapsed="false">
      <c r="B5" s="0" t="s">
        <v>110</v>
      </c>
      <c r="C5" s="0" t="s">
        <v>111</v>
      </c>
      <c r="D5" s="0" t="s">
        <v>112</v>
      </c>
      <c r="J5" s="14" t="s">
        <v>113</v>
      </c>
    </row>
    <row r="6" customFormat="false" ht="15" hidden="false" customHeight="false" outlineLevel="0" collapsed="false">
      <c r="B6" s="0" t="s">
        <v>114</v>
      </c>
      <c r="C6" s="0" t="s">
        <v>115</v>
      </c>
      <c r="D6" s="0" t="s">
        <v>116</v>
      </c>
      <c r="J6" s="14" t="s">
        <v>113</v>
      </c>
    </row>
    <row r="7" customFormat="false" ht="15" hidden="false" customHeight="false" outlineLevel="0" collapsed="false">
      <c r="B7" s="0" t="s">
        <v>117</v>
      </c>
      <c r="C7" s="0" t="s">
        <v>118</v>
      </c>
      <c r="D7" s="0" t="s">
        <v>119</v>
      </c>
      <c r="J7" s="14" t="s">
        <v>113</v>
      </c>
    </row>
    <row r="8" customFormat="false" ht="15" hidden="false" customHeight="false" outlineLevel="0" collapsed="false">
      <c r="B8" s="0" t="s">
        <v>120</v>
      </c>
      <c r="C8" s="0" t="s">
        <v>121</v>
      </c>
      <c r="D8" s="0" t="s">
        <v>122</v>
      </c>
      <c r="J8" s="14" t="s">
        <v>113</v>
      </c>
    </row>
    <row r="9" customFormat="false" ht="15" hidden="false" customHeight="false" outlineLevel="0" collapsed="false">
      <c r="J9" s="14"/>
    </row>
    <row r="10" customFormat="false" ht="15" hidden="false" customHeight="false" outlineLevel="0" collapsed="false">
      <c r="J10" s="14"/>
    </row>
    <row r="11" customFormat="false" ht="15" hidden="false" customHeight="false" outlineLevel="0" collapsed="false">
      <c r="J11" s="14"/>
    </row>
    <row r="12" customFormat="false" ht="15" hidden="false" customHeight="false" outlineLevel="0" collapsed="false">
      <c r="J12" s="14"/>
    </row>
    <row r="13" customFormat="false" ht="15" hidden="false" customHeight="false" outlineLevel="0" collapsed="false">
      <c r="J13" s="14"/>
    </row>
    <row r="14" customFormat="false" ht="15" hidden="false" customHeight="false" outlineLevel="0" collapsed="false">
      <c r="J14" s="14"/>
    </row>
    <row r="15" customFormat="false" ht="15" hidden="false" customHeight="false" outlineLevel="0" collapsed="false">
      <c r="J15" s="14"/>
    </row>
    <row r="16" customFormat="false" ht="15" hidden="false" customHeight="false" outlineLevel="0" collapsed="false">
      <c r="J16" s="14"/>
    </row>
    <row r="17" customFormat="false" ht="15" hidden="false" customHeight="false" outlineLevel="0" collapsed="false">
      <c r="J17" s="14"/>
    </row>
    <row r="18" customFormat="false" ht="15" hidden="false" customHeight="false" outlineLevel="0" collapsed="false">
      <c r="J18" s="14"/>
    </row>
    <row r="19" customFormat="false" ht="15" hidden="false" customHeight="false" outlineLevel="0" collapsed="false">
      <c r="J19" s="14"/>
    </row>
    <row r="20" customFormat="false" ht="15" hidden="false" customHeight="false" outlineLevel="0" collapsed="false">
      <c r="J20" s="14"/>
    </row>
    <row r="21" customFormat="false" ht="15" hidden="false" customHeight="false" outlineLevel="0" collapsed="false">
      <c r="J21" s="14"/>
    </row>
    <row r="22" customFormat="false" ht="15" hidden="false" customHeight="false" outlineLevel="0" collapsed="false">
      <c r="J22" s="14"/>
    </row>
    <row r="23" customFormat="false" ht="15" hidden="false" customHeight="false" outlineLevel="0" collapsed="false">
      <c r="J23" s="14"/>
    </row>
    <row r="24" customFormat="false" ht="15" hidden="false" customHeight="false" outlineLevel="0" collapsed="false">
      <c r="J24" s="14"/>
    </row>
    <row r="25" customFormat="false" ht="15" hidden="false" customHeight="false" outlineLevel="0" collapsed="false">
      <c r="J25" s="14"/>
    </row>
    <row r="26" customFormat="false" ht="15" hidden="false" customHeight="false" outlineLevel="0" collapsed="false">
      <c r="J26" s="14"/>
    </row>
    <row r="27" customFormat="false" ht="15" hidden="false" customHeight="false" outlineLevel="0" collapsed="false">
      <c r="J27" s="14"/>
    </row>
    <row r="28" customFormat="false" ht="15" hidden="false" customHeight="false" outlineLevel="0" collapsed="false">
      <c r="J28" s="14"/>
    </row>
    <row r="29" customFormat="false" ht="15" hidden="false" customHeight="false" outlineLevel="0" collapsed="false">
      <c r="J29" s="14"/>
    </row>
    <row r="30" customFormat="false" ht="15" hidden="false" customHeight="false" outlineLevel="0" collapsed="false">
      <c r="J30" s="14"/>
    </row>
    <row r="31" customFormat="false" ht="15" hidden="false" customHeight="false" outlineLevel="0" collapsed="false">
      <c r="J31" s="14"/>
    </row>
    <row r="32" customFormat="false" ht="15" hidden="false" customHeight="false" outlineLevel="0" collapsed="false">
      <c r="J32" s="14"/>
    </row>
    <row r="33" customFormat="false" ht="15" hidden="false" customHeight="false" outlineLevel="0" collapsed="false">
      <c r="J33" s="14"/>
    </row>
    <row r="34" customFormat="false" ht="15" hidden="false" customHeight="false" outlineLevel="0" collapsed="false">
      <c r="J34" s="14"/>
    </row>
    <row r="35" customFormat="false" ht="15" hidden="false" customHeight="false" outlineLevel="0" collapsed="false">
      <c r="J35" s="14"/>
    </row>
    <row r="36" customFormat="false" ht="15" hidden="false" customHeight="false" outlineLevel="0" collapsed="false">
      <c r="J36" s="14"/>
    </row>
    <row r="37" customFormat="false" ht="15" hidden="false" customHeight="false" outlineLevel="0" collapsed="false">
      <c r="J37" s="14"/>
    </row>
    <row r="38" customFormat="false" ht="15" hidden="false" customHeight="false" outlineLevel="0" collapsed="false">
      <c r="J38" s="14"/>
    </row>
    <row r="39" customFormat="false" ht="15" hidden="false" customHeight="false" outlineLevel="0" collapsed="false">
      <c r="J39" s="14"/>
    </row>
    <row r="40" customFormat="false" ht="15" hidden="false" customHeight="false" outlineLevel="0" collapsed="false">
      <c r="J40" s="14"/>
    </row>
  </sheetData>
  <mergeCells count="1">
    <mergeCell ref="B2:J2"/>
  </mergeCells>
  <dataValidations count="1">
    <dataValidation allowBlank="false" errorStyle="stop" operator="between" showDropDown="false" showErrorMessage="false" showInputMessage="false" sqref="J5:J40" type="list">
      <formula1>"TO MAP,ACTIVE,STALE,EXCEPTION,RETIRED"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8"/>
    <col collapsed="false" customWidth="true" hidden="false" outlineLevel="0" max="5" min="3" style="0" width="15"/>
    <col collapsed="false" customWidth="true" hidden="false" outlineLevel="0" max="6" min="6" style="0" width="32"/>
  </cols>
  <sheetData>
    <row r="2" customFormat="false" ht="27.75" hidden="false" customHeight="true" outlineLevel="0" collapsed="false">
      <c r="B2" s="1" t="s">
        <v>123</v>
      </c>
      <c r="C2" s="1"/>
      <c r="D2" s="1"/>
      <c r="E2" s="1"/>
      <c r="F2" s="1"/>
    </row>
    <row r="4" customFormat="false" ht="15" hidden="false" customHeight="false" outlineLevel="0" collapsed="false">
      <c r="B4" s="15" t="s">
        <v>124</v>
      </c>
      <c r="C4" s="15" t="s">
        <v>12</v>
      </c>
      <c r="D4" s="15" t="s">
        <v>125</v>
      </c>
      <c r="E4" s="15" t="s">
        <v>126</v>
      </c>
      <c r="F4" s="15" t="s">
        <v>127</v>
      </c>
    </row>
    <row r="5" customFormat="false" ht="15" hidden="false" customHeight="false" outlineLevel="0" collapsed="false">
      <c r="B5" s="0" t="s">
        <v>128</v>
      </c>
      <c r="C5" s="16" t="n">
        <v>20878.6</v>
      </c>
      <c r="D5" s="16" t="n">
        <v>20878.6</v>
      </c>
      <c r="E5" s="17" t="n">
        <f aca="false">IF(Cover!$C$9="Downside",D5,C5)</f>
        <v>20878.6</v>
      </c>
      <c r="F5" s="0" t="s">
        <v>129</v>
      </c>
    </row>
    <row r="6" customFormat="false" ht="15" hidden="false" customHeight="false" outlineLevel="0" collapsed="false">
      <c r="B6" s="0" t="s">
        <v>130</v>
      </c>
      <c r="C6" s="18" t="n">
        <v>0.1</v>
      </c>
      <c r="D6" s="18" t="n">
        <v>0.1</v>
      </c>
      <c r="E6" s="19" t="n">
        <f aca="false">IF(Cover!$C$9="Downside",D6,C6)</f>
        <v>0.1</v>
      </c>
      <c r="F6" s="0" t="s">
        <v>131</v>
      </c>
    </row>
    <row r="7" customFormat="false" ht="15" hidden="false" customHeight="false" outlineLevel="0" collapsed="false">
      <c r="B7" s="0" t="s">
        <v>132</v>
      </c>
      <c r="C7" s="18" t="n">
        <v>0.09</v>
      </c>
      <c r="D7" s="18" t="n">
        <v>0.09</v>
      </c>
      <c r="E7" s="19" t="n">
        <f aca="false">IF(Cover!$C$9="Downside",D7,C7)</f>
        <v>0.09</v>
      </c>
      <c r="F7" s="0" t="s">
        <v>131</v>
      </c>
    </row>
    <row r="8" customFormat="false" ht="15" hidden="false" customHeight="false" outlineLevel="0" collapsed="false">
      <c r="B8" s="0" t="s">
        <v>133</v>
      </c>
      <c r="C8" s="18" t="n">
        <v>0.03</v>
      </c>
      <c r="D8" s="18" t="n">
        <v>0.03</v>
      </c>
      <c r="E8" s="19" t="n">
        <f aca="false">IF(Cover!$C$9="Downside",D8,C8)</f>
        <v>0.03</v>
      </c>
      <c r="F8" s="0" t="s">
        <v>131</v>
      </c>
    </row>
    <row r="9" customFormat="false" ht="15" hidden="false" customHeight="false" outlineLevel="0" collapsed="false">
      <c r="B9" s="0" t="s">
        <v>134</v>
      </c>
      <c r="C9" s="18" t="n">
        <v>0.054722</v>
      </c>
      <c r="D9" s="18" t="n">
        <v>0.057592</v>
      </c>
      <c r="E9" s="19" t="n">
        <f aca="false">IF(Cover!$C$9="Downside",D9,C9)</f>
        <v>0.054722</v>
      </c>
      <c r="F9" s="0" t="s">
        <v>131</v>
      </c>
    </row>
    <row r="10" customFormat="false" ht="15" hidden="false" customHeight="false" outlineLevel="0" collapsed="false">
      <c r="B10" s="0" t="s">
        <v>135</v>
      </c>
      <c r="C10" s="18" t="n">
        <v>0.03</v>
      </c>
      <c r="D10" s="18" t="n">
        <v>0.03</v>
      </c>
      <c r="E10" s="19" t="n">
        <f aca="false">IF(Cover!$C$9="Downside",D10,C10)</f>
        <v>0.03</v>
      </c>
      <c r="F10" s="0" t="s">
        <v>131</v>
      </c>
    </row>
    <row r="11" customFormat="false" ht="15" hidden="false" customHeight="false" outlineLevel="0" collapsed="false">
      <c r="B11" s="0" t="s">
        <v>136</v>
      </c>
      <c r="C11" s="18" t="n">
        <v>0.908956</v>
      </c>
      <c r="D11" s="18" t="n">
        <v>0.894578</v>
      </c>
      <c r="E11" s="19" t="n">
        <f aca="false">IF(Cover!$C$9="Downside",D11,C11)</f>
        <v>0.908956</v>
      </c>
      <c r="F11" s="0" t="s">
        <v>131</v>
      </c>
    </row>
    <row r="12" customFormat="false" ht="15" hidden="false" customHeight="false" outlineLevel="0" collapsed="false">
      <c r="B12" s="0" t="s">
        <v>137</v>
      </c>
      <c r="C12" s="18" t="n">
        <v>0.35</v>
      </c>
      <c r="D12" s="18" t="n">
        <v>0.35</v>
      </c>
      <c r="E12" s="19" t="n">
        <f aca="false">IF(Cover!$C$9="Downside",D12,C12)</f>
        <v>0.35</v>
      </c>
      <c r="F12" s="0" t="s">
        <v>131</v>
      </c>
    </row>
    <row r="13" customFormat="false" ht="15" hidden="false" customHeight="false" outlineLevel="0" collapsed="false">
      <c r="B13" s="0" t="s">
        <v>138</v>
      </c>
      <c r="C13" s="18" t="n">
        <v>0.272961</v>
      </c>
      <c r="D13" s="18" t="n">
        <v>0.275697</v>
      </c>
      <c r="E13" s="19" t="n">
        <f aca="false">IF(Cover!$C$9="Downside",D13,C13)</f>
        <v>0.272961</v>
      </c>
      <c r="F13" s="0" t="s">
        <v>131</v>
      </c>
    </row>
    <row r="14" customFormat="false" ht="15" hidden="false" customHeight="false" outlineLevel="0" collapsed="false">
      <c r="B14" s="0" t="s">
        <v>139</v>
      </c>
      <c r="C14" s="18" t="n">
        <v>0.187261</v>
      </c>
      <c r="D14" s="18" t="n">
        <v>0.237759</v>
      </c>
      <c r="E14" s="19" t="n">
        <f aca="false">IF(Cover!$C$9="Downside",D14,C14)</f>
        <v>0.187261</v>
      </c>
      <c r="F14" s="0" t="s">
        <v>131</v>
      </c>
    </row>
    <row r="15" customFormat="false" ht="15" hidden="false" customHeight="false" outlineLevel="0" collapsed="false">
      <c r="B15" s="0" t="s">
        <v>140</v>
      </c>
      <c r="C15" s="18" t="n">
        <v>0.066179</v>
      </c>
      <c r="D15" s="18" t="n">
        <v>0.072801</v>
      </c>
      <c r="E15" s="19" t="n">
        <f aca="false">IF(Cover!$C$9="Downside",D15,C15)</f>
        <v>0.066179</v>
      </c>
      <c r="F15" s="0" t="s">
        <v>131</v>
      </c>
    </row>
    <row r="16" customFormat="false" ht="15" hidden="false" customHeight="false" outlineLevel="0" collapsed="false">
      <c r="B16" s="0" t="s">
        <v>141</v>
      </c>
      <c r="C16" s="18" t="n">
        <v>0.081703</v>
      </c>
      <c r="D16" s="18" t="n">
        <v>0.088516</v>
      </c>
      <c r="E16" s="19" t="n">
        <f aca="false">IF(Cover!$C$9="Downside",D16,C16)</f>
        <v>0.081703</v>
      </c>
      <c r="F16" s="0" t="s">
        <v>131</v>
      </c>
    </row>
    <row r="17" customFormat="false" ht="15" hidden="false" customHeight="false" outlineLevel="0" collapsed="false">
      <c r="B17" s="0" t="s">
        <v>142</v>
      </c>
      <c r="C17" s="18" t="n">
        <v>0.007531</v>
      </c>
      <c r="D17" s="18" t="n">
        <v>0.018548</v>
      </c>
      <c r="E17" s="19" t="n">
        <f aca="false">IF(Cover!$C$9="Downside",D17,C17)</f>
        <v>0.007531</v>
      </c>
      <c r="F17" s="0" t="s">
        <v>131</v>
      </c>
    </row>
    <row r="18" customFormat="false" ht="15" hidden="false" customHeight="false" outlineLevel="0" collapsed="false">
      <c r="B18" s="0" t="s">
        <v>143</v>
      </c>
      <c r="C18" s="18" t="n">
        <v>0.18365</v>
      </c>
      <c r="D18" s="18" t="n">
        <v>0.201647</v>
      </c>
      <c r="E18" s="19" t="n">
        <f aca="false">IF(Cover!$C$9="Downside",D18,C18)</f>
        <v>0.18365</v>
      </c>
      <c r="F18" s="0" t="s">
        <v>131</v>
      </c>
    </row>
    <row r="19" customFormat="false" ht="15" hidden="false" customHeight="false" outlineLevel="0" collapsed="false">
      <c r="B19" s="0" t="s">
        <v>144</v>
      </c>
      <c r="C19" s="18" t="n">
        <v>0.89</v>
      </c>
      <c r="D19" s="18" t="n">
        <v>0.89</v>
      </c>
      <c r="E19" s="19" t="n">
        <f aca="false">IF(Cover!$C$9="Downside",D19,C19)</f>
        <v>0.89</v>
      </c>
      <c r="F19" s="0" t="s">
        <v>131</v>
      </c>
    </row>
    <row r="20" customFormat="false" ht="15" hidden="false" customHeight="false" outlineLevel="0" collapsed="false">
      <c r="B20" s="0" t="s">
        <v>145</v>
      </c>
      <c r="C20" s="16" t="n">
        <v>19960</v>
      </c>
      <c r="D20" s="16" t="n">
        <v>19960</v>
      </c>
      <c r="E20" s="17" t="n">
        <f aca="false">IF(Cover!$C$9="Downside",D20,C20)</f>
        <v>19960</v>
      </c>
      <c r="F20" s="0" t="s">
        <v>129</v>
      </c>
    </row>
    <row r="21" customFormat="false" ht="15" hidden="false" customHeight="false" outlineLevel="0" collapsed="false">
      <c r="B21" s="0" t="s">
        <v>146</v>
      </c>
      <c r="C21" s="20" t="n">
        <v>0.947453</v>
      </c>
      <c r="D21" s="20" t="n">
        <v>0.887217</v>
      </c>
      <c r="E21" s="21" t="n">
        <f aca="false">IF(Cover!$C$9="Downside",D21,C21)</f>
        <v>0.947453</v>
      </c>
      <c r="F21" s="0" t="s">
        <v>147</v>
      </c>
    </row>
    <row r="22" customFormat="false" ht="15" hidden="false" customHeight="false" outlineLevel="0" collapsed="false">
      <c r="B22" s="0" t="s">
        <v>148</v>
      </c>
      <c r="C22" s="18" t="n">
        <v>0.64</v>
      </c>
      <c r="D22" s="18" t="n">
        <v>0.64</v>
      </c>
      <c r="E22" s="19" t="n">
        <f aca="false">IF(Cover!$C$9="Downside",D22,C22)</f>
        <v>0.64</v>
      </c>
      <c r="F22" s="0" t="s">
        <v>131</v>
      </c>
    </row>
    <row r="23" customFormat="false" ht="15" hidden="false" customHeight="false" outlineLevel="0" collapsed="false">
      <c r="B23" s="0" t="s">
        <v>149</v>
      </c>
      <c r="C23" s="18" t="n">
        <v>0.295763</v>
      </c>
      <c r="D23" s="18" t="n">
        <v>0.306559</v>
      </c>
      <c r="E23" s="19" t="n">
        <f aca="false">IF(Cover!$C$9="Downside",D23,C23)</f>
        <v>0.295763</v>
      </c>
      <c r="F23" s="0" t="s">
        <v>131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7" min="3" style="0" width="14"/>
  </cols>
  <sheetData>
    <row r="2" customFormat="false" ht="27.75" hidden="false" customHeight="true" outlineLevel="0" collapsed="false">
      <c r="B2" s="1" t="s">
        <v>150</v>
      </c>
      <c r="C2" s="1"/>
      <c r="D2" s="1"/>
      <c r="E2" s="1"/>
      <c r="F2" s="1"/>
      <c r="G2" s="1"/>
      <c r="H2" s="1"/>
    </row>
    <row r="4" customFormat="false" ht="15" hidden="false" customHeight="false" outlineLevel="0" collapsed="false">
      <c r="B4" s="15" t="s">
        <v>129</v>
      </c>
      <c r="C4" s="15" t="s">
        <v>151</v>
      </c>
      <c r="D4" s="15" t="s">
        <v>152</v>
      </c>
      <c r="E4" s="15" t="s">
        <v>153</v>
      </c>
      <c r="F4" s="15" t="s">
        <v>154</v>
      </c>
      <c r="G4" s="15" t="s">
        <v>155</v>
      </c>
    </row>
    <row r="5" customFormat="false" ht="15" hidden="false" customHeight="false" outlineLevel="0" collapsed="false">
      <c r="B5" s="0" t="s">
        <v>128</v>
      </c>
      <c r="C5" s="17" t="n">
        <f aca="false">Assumptions!$E$5</f>
        <v>20878.6</v>
      </c>
      <c r="D5" s="17" t="n">
        <f aca="false">C10</f>
        <v>23076.6572508</v>
      </c>
      <c r="E5" s="17" t="n">
        <f aca="false">D10</f>
        <v>25506.1215728497</v>
      </c>
      <c r="F5" s="17" t="n">
        <f aca="false">E10</f>
        <v>28191.3550397962</v>
      </c>
      <c r="G5" s="17" t="n">
        <f aca="false">F10</f>
        <v>31159.2845156759</v>
      </c>
    </row>
    <row r="6" customFormat="false" ht="15" hidden="false" customHeight="false" outlineLevel="0" collapsed="false">
      <c r="B6" s="0" t="s">
        <v>156</v>
      </c>
      <c r="C6" s="17" t="n">
        <f aca="false">C5*Assumptions!$E$6</f>
        <v>2087.86</v>
      </c>
      <c r="D6" s="17" t="n">
        <f aca="false">D5*Assumptions!$E$6</f>
        <v>2307.66572508</v>
      </c>
      <c r="E6" s="17" t="n">
        <f aca="false">E5*Assumptions!$E$6</f>
        <v>2550.61215728497</v>
      </c>
      <c r="F6" s="17" t="n">
        <f aca="false">F5*Assumptions!$E$6</f>
        <v>2819.13550397962</v>
      </c>
      <c r="G6" s="17" t="n">
        <f aca="false">G5*Assumptions!$E$6</f>
        <v>3115.92845156759</v>
      </c>
    </row>
    <row r="7" customFormat="false" ht="15" hidden="false" customHeight="false" outlineLevel="0" collapsed="false">
      <c r="B7" s="0" t="s">
        <v>157</v>
      </c>
      <c r="C7" s="17" t="n">
        <f aca="false">C5*Assumptions!$E$7</f>
        <v>1879.074</v>
      </c>
      <c r="D7" s="17" t="n">
        <f aca="false">D5*Assumptions!$E$7</f>
        <v>2076.899152572</v>
      </c>
      <c r="E7" s="17" t="n">
        <f aca="false">E5*Assumptions!$E$7</f>
        <v>2295.55094155647</v>
      </c>
      <c r="F7" s="17" t="n">
        <f aca="false">F5*Assumptions!$E$7</f>
        <v>2537.22195358166</v>
      </c>
      <c r="G7" s="17" t="n">
        <f aca="false">G5*Assumptions!$E$7</f>
        <v>2804.33560641083</v>
      </c>
    </row>
    <row r="8" customFormat="false" ht="15" hidden="false" customHeight="false" outlineLevel="0" collapsed="false">
      <c r="B8" s="0" t="s">
        <v>158</v>
      </c>
      <c r="C8" s="17" t="n">
        <f aca="false">C5*Assumptions!$E$8</f>
        <v>626.358</v>
      </c>
      <c r="D8" s="17" t="n">
        <f aca="false">D5*Assumptions!$E$8</f>
        <v>692.299717524</v>
      </c>
      <c r="E8" s="17" t="n">
        <f aca="false">E5*Assumptions!$E$8</f>
        <v>765.183647185492</v>
      </c>
      <c r="F8" s="17" t="n">
        <f aca="false">F5*Assumptions!$E$8</f>
        <v>845.740651193886</v>
      </c>
      <c r="G8" s="17" t="n">
        <f aca="false">G5*Assumptions!$E$8</f>
        <v>934.778535470276</v>
      </c>
    </row>
    <row r="9" customFormat="false" ht="15" hidden="false" customHeight="false" outlineLevel="0" collapsed="false">
      <c r="B9" s="0" t="s">
        <v>159</v>
      </c>
      <c r="C9" s="17" t="n">
        <f aca="false">C5*Assumptions!$E$9</f>
        <v>1142.5187492</v>
      </c>
      <c r="D9" s="17" t="n">
        <f aca="false">D5*Assumptions!$E$9</f>
        <v>1262.80083807828</v>
      </c>
      <c r="E9" s="17" t="n">
        <f aca="false">E5*Assumptions!$E$9</f>
        <v>1395.74598470948</v>
      </c>
      <c r="F9" s="17" t="n">
        <f aca="false">F5*Assumptions!$E$9</f>
        <v>1542.68733048773</v>
      </c>
      <c r="G9" s="17" t="n">
        <f aca="false">G5*Assumptions!$E$9</f>
        <v>1705.09836726681</v>
      </c>
    </row>
    <row r="10" customFormat="false" ht="15" hidden="false" customHeight="false" outlineLevel="0" collapsed="false">
      <c r="B10" s="22" t="s">
        <v>160</v>
      </c>
      <c r="C10" s="23" t="n">
        <f aca="false">C5+C6+C7-C8-C9</f>
        <v>23076.6572508</v>
      </c>
      <c r="D10" s="23" t="n">
        <f aca="false">D5+D6+D7-D8-D9</f>
        <v>25506.1215728497</v>
      </c>
      <c r="E10" s="23" t="n">
        <f aca="false">E5+E6+E7-E8-E9</f>
        <v>28191.3550397962</v>
      </c>
      <c r="F10" s="23" t="n">
        <f aca="false">F5+F6+F7-F8-F9</f>
        <v>31159.2845156759</v>
      </c>
      <c r="G10" s="23" t="n">
        <f aca="false">G5+G6+G7-G8-G9</f>
        <v>34439.6716709172</v>
      </c>
    </row>
    <row r="11" customFormat="false" ht="15" hidden="false" customHeight="false" outlineLevel="0" collapsed="false">
      <c r="B11" s="0" t="s">
        <v>161</v>
      </c>
      <c r="C11" s="17" t="n">
        <f aca="false">C10-C5</f>
        <v>2198.0572508</v>
      </c>
      <c r="D11" s="17" t="n">
        <f aca="false">D10-D5</f>
        <v>2429.46432204972</v>
      </c>
      <c r="E11" s="17" t="n">
        <f aca="false">E10-E5</f>
        <v>2685.23346694647</v>
      </c>
      <c r="F11" s="17" t="n">
        <f aca="false">F10-F5</f>
        <v>2967.92947587966</v>
      </c>
      <c r="G11" s="17" t="n">
        <f aca="false">G10-G5</f>
        <v>3280.38715524132</v>
      </c>
    </row>
    <row r="12" customFormat="false" ht="15" hidden="false" customHeight="false" outlineLevel="0" collapsed="false">
      <c r="B12" s="0" t="s">
        <v>162</v>
      </c>
      <c r="C12" s="19" t="n">
        <f aca="false">IFERROR((C5+C7-C8-C9)/C5,0)</f>
        <v>1.005278</v>
      </c>
      <c r="D12" s="19" t="n">
        <f aca="false">IFERROR((D5+D7-D8-D9)/D5,0)</f>
        <v>1.005278</v>
      </c>
      <c r="E12" s="19" t="n">
        <f aca="false">IFERROR((E5+E7-E8-E9)/E5,0)</f>
        <v>1.005278</v>
      </c>
      <c r="F12" s="19" t="n">
        <f aca="false">IFERROR((F5+F7-F8-F9)/F5,0)</f>
        <v>1.005278</v>
      </c>
      <c r="G12" s="19" t="n">
        <f aca="false">IFERROR((G5+G7-G8-G9)/G5,0)</f>
        <v>1.005278</v>
      </c>
    </row>
    <row r="13" customFormat="false" ht="15" hidden="false" customHeight="false" outlineLevel="0" collapsed="false">
      <c r="B13" s="0" t="s">
        <v>163</v>
      </c>
      <c r="C13" s="19" t="n">
        <f aca="false">IFERROR((C5-C9)/C5,0)</f>
        <v>0.945278</v>
      </c>
      <c r="D13" s="19" t="n">
        <f aca="false">IFERROR((D5-D9)/D5,0)</f>
        <v>0.945278</v>
      </c>
      <c r="E13" s="19" t="n">
        <f aca="false">IFERROR((E5-E9)/E5,0)</f>
        <v>0.945278</v>
      </c>
      <c r="F13" s="19" t="n">
        <f aca="false">IFERROR((F5-F9)/F5,0)</f>
        <v>0.945278</v>
      </c>
      <c r="G13" s="19" t="n">
        <f aca="false">IFERROR((G5-G9)/G5,0)</f>
        <v>0.945278</v>
      </c>
    </row>
    <row r="14" customFormat="false" ht="15" hidden="false" customHeight="false" outlineLevel="0" collapsed="false">
      <c r="B14" s="0" t="s">
        <v>164</v>
      </c>
      <c r="C14" s="19" t="n">
        <f aca="false">IFERROR(C10/C5-1,0)</f>
        <v>0.105278</v>
      </c>
      <c r="D14" s="19" t="n">
        <f aca="false">IFERROR(D10/D5-1,0)</f>
        <v>0.105278</v>
      </c>
      <c r="E14" s="19" t="n">
        <f aca="false">IFERROR(E10/E5-1,0)</f>
        <v>0.105278</v>
      </c>
      <c r="F14" s="19" t="n">
        <f aca="false">IFERROR(F10/F5-1,0)</f>
        <v>0.105278</v>
      </c>
      <c r="G14" s="19" t="n">
        <f aca="false">IFERROR(G10/G5-1,0)</f>
        <v>0.105278</v>
      </c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8"/>
    <col collapsed="false" customWidth="true" hidden="false" outlineLevel="0" max="7" min="3" style="0" width="14"/>
  </cols>
  <sheetData>
    <row r="2" customFormat="false" ht="27.75" hidden="false" customHeight="true" outlineLevel="0" collapsed="false">
      <c r="B2" s="1" t="s">
        <v>165</v>
      </c>
      <c r="C2" s="1"/>
      <c r="D2" s="1"/>
      <c r="E2" s="1"/>
      <c r="F2" s="1"/>
      <c r="G2" s="1"/>
      <c r="H2" s="1"/>
    </row>
    <row r="4" customFormat="false" ht="15" hidden="false" customHeight="false" outlineLevel="0" collapsed="false">
      <c r="B4" s="15" t="s">
        <v>129</v>
      </c>
      <c r="C4" s="15" t="s">
        <v>151</v>
      </c>
      <c r="D4" s="15" t="s">
        <v>152</v>
      </c>
      <c r="E4" s="15" t="s">
        <v>153</v>
      </c>
      <c r="F4" s="15" t="s">
        <v>154</v>
      </c>
      <c r="G4" s="15" t="s">
        <v>155</v>
      </c>
    </row>
    <row r="5" customFormat="false" ht="15" hidden="false" customHeight="false" outlineLevel="0" collapsed="false">
      <c r="B5" s="0" t="s">
        <v>166</v>
      </c>
      <c r="C5" s="17" t="n">
        <f aca="false">AVERAGE('ARR Rollforward'!C5,'ARR Rollforward'!C10)</f>
        <v>21977.6286254</v>
      </c>
      <c r="D5" s="17" t="n">
        <f aca="false">AVERAGE('ARR Rollforward'!D5,'ARR Rollforward'!D10)</f>
        <v>24291.3894118249</v>
      </c>
      <c r="E5" s="17" t="n">
        <f aca="false">AVERAGE('ARR Rollforward'!E5,'ARR Rollforward'!E10)</f>
        <v>26848.738306323</v>
      </c>
      <c r="F5" s="17" t="n">
        <f aca="false">AVERAGE('ARR Rollforward'!F5,'ARR Rollforward'!F10)</f>
        <v>29675.319777736</v>
      </c>
      <c r="G5" s="17" t="n">
        <f aca="false">AVERAGE('ARR Rollforward'!G5,'ARR Rollforward'!G10)</f>
        <v>32799.4780932965</v>
      </c>
    </row>
    <row r="6" customFormat="false" ht="15" hidden="false" customHeight="false" outlineLevel="0" collapsed="false">
      <c r="B6" s="0" t="s">
        <v>167</v>
      </c>
      <c r="C6" s="17" t="n">
        <f aca="false">C5*Assumptions!$E$10</f>
        <v>659.328858762</v>
      </c>
      <c r="D6" s="17" t="n">
        <f aca="false">D5*Assumptions!$E$10</f>
        <v>728.741682354746</v>
      </c>
      <c r="E6" s="17" t="n">
        <f aca="false">E5*Assumptions!$E$10</f>
        <v>805.462149189689</v>
      </c>
      <c r="F6" s="17" t="n">
        <f aca="false">F5*Assumptions!$E$10</f>
        <v>890.259593332081</v>
      </c>
      <c r="G6" s="17" t="n">
        <f aca="false">G5*Assumptions!$E$10</f>
        <v>983.984342798896</v>
      </c>
    </row>
    <row r="7" customFormat="false" ht="15" hidden="false" customHeight="false" outlineLevel="0" collapsed="false">
      <c r="B7" s="22" t="s">
        <v>168</v>
      </c>
      <c r="C7" s="23" t="n">
        <f aca="false">C5+C6</f>
        <v>22636.957484162</v>
      </c>
      <c r="D7" s="23" t="n">
        <f aca="false">D5+D6</f>
        <v>25020.1310941796</v>
      </c>
      <c r="E7" s="23" t="n">
        <f aca="false">E5+E6</f>
        <v>27654.2004555126</v>
      </c>
      <c r="F7" s="23" t="n">
        <f aca="false">F5+F6</f>
        <v>30565.5793710681</v>
      </c>
      <c r="G7" s="23" t="n">
        <f aca="false">G5+G6</f>
        <v>33783.4624360954</v>
      </c>
    </row>
    <row r="8" customFormat="false" ht="15" hidden="false" customHeight="false" outlineLevel="0" collapsed="false">
      <c r="B8" s="0" t="s">
        <v>169</v>
      </c>
      <c r="C8" s="17" t="n">
        <f aca="false">C5*Assumptions!$E$11</f>
        <v>19976.6974048291</v>
      </c>
      <c r="D8" s="17" t="n">
        <f aca="false">D5*Assumptions!$E$11</f>
        <v>22079.8041542147</v>
      </c>
      <c r="E8" s="17" t="n">
        <f aca="false">E5*Assumptions!$E$11</f>
        <v>24404.3217759621</v>
      </c>
      <c r="F8" s="17" t="n">
        <f aca="false">F5*Assumptions!$E$11</f>
        <v>26973.5599638918</v>
      </c>
      <c r="G8" s="17" t="n">
        <f aca="false">G5*Assumptions!$E$11</f>
        <v>29813.2824097704</v>
      </c>
    </row>
    <row r="9" customFormat="false" ht="15" hidden="false" customHeight="false" outlineLevel="0" collapsed="false">
      <c r="B9" s="0" t="s">
        <v>170</v>
      </c>
      <c r="C9" s="17" t="n">
        <f aca="false">C6*Assumptions!$E$12</f>
        <v>230.7651005667</v>
      </c>
      <c r="D9" s="17" t="n">
        <f aca="false">D6*Assumptions!$E$12</f>
        <v>255.059588824161</v>
      </c>
      <c r="E9" s="17" t="n">
        <f aca="false">E6*Assumptions!$E$12</f>
        <v>281.911752216391</v>
      </c>
      <c r="F9" s="17" t="n">
        <f aca="false">F6*Assumptions!$E$12</f>
        <v>311.590857666228</v>
      </c>
      <c r="G9" s="17" t="n">
        <f aca="false">G6*Assumptions!$E$12</f>
        <v>344.394519979613</v>
      </c>
    </row>
    <row r="10" customFormat="false" ht="15" hidden="false" customHeight="false" outlineLevel="0" collapsed="false">
      <c r="B10" s="22" t="s">
        <v>171</v>
      </c>
      <c r="C10" s="23" t="n">
        <f aca="false">C8+C9</f>
        <v>20207.4625053958</v>
      </c>
      <c r="D10" s="23" t="n">
        <f aca="false">D8+D9</f>
        <v>22334.8637430388</v>
      </c>
      <c r="E10" s="23" t="n">
        <f aca="false">E8+E9</f>
        <v>24686.2335281785</v>
      </c>
      <c r="F10" s="23" t="n">
        <f aca="false">F8+F9</f>
        <v>27285.1508215581</v>
      </c>
      <c r="G10" s="23" t="n">
        <f aca="false">G8+G9</f>
        <v>30157.67692975</v>
      </c>
    </row>
    <row r="11" customFormat="false" ht="15" hidden="false" customHeight="false" outlineLevel="0" collapsed="false">
      <c r="B11" s="0" t="s">
        <v>172</v>
      </c>
      <c r="C11" s="19" t="n">
        <f aca="false">IFERROR(C10/C7,0)</f>
        <v>0.89267572815534</v>
      </c>
      <c r="D11" s="19" t="n">
        <f aca="false">IFERROR(D10/D7,0)</f>
        <v>0.89267572815534</v>
      </c>
      <c r="E11" s="19" t="n">
        <f aca="false">IFERROR(E10/E7,0)</f>
        <v>0.89267572815534</v>
      </c>
      <c r="F11" s="19" t="n">
        <f aca="false">IFERROR(F10/F7,0)</f>
        <v>0.89267572815534</v>
      </c>
      <c r="G11" s="19" t="n">
        <f aca="false">IFERROR(G10/G7,0)</f>
        <v>0.89267572815534</v>
      </c>
    </row>
    <row r="12" customFormat="false" ht="15" hidden="false" customHeight="false" outlineLevel="0" collapsed="false">
      <c r="B12" s="0" t="s">
        <v>173</v>
      </c>
      <c r="C12" s="17" t="n">
        <f aca="false">C7*Assumptions!$E$13</f>
        <v>6179.00655183434</v>
      </c>
      <c r="D12" s="17" t="n">
        <f aca="false">D7*Assumptions!$E$13</f>
        <v>6829.52000359836</v>
      </c>
      <c r="E12" s="17" t="n">
        <f aca="false">E7*Assumptions!$E$13</f>
        <v>7548.51821053719</v>
      </c>
      <c r="F12" s="17" t="n">
        <f aca="false">F7*Assumptions!$E$13</f>
        <v>8343.21111070612</v>
      </c>
      <c r="G12" s="17" t="n">
        <f aca="false">G7*Assumptions!$E$13</f>
        <v>9221.56769001904</v>
      </c>
    </row>
    <row r="13" customFormat="false" ht="15" hidden="false" customHeight="false" outlineLevel="0" collapsed="false">
      <c r="B13" s="0" t="s">
        <v>174</v>
      </c>
      <c r="C13" s="17" t="n">
        <f aca="false">C7*Assumptions!$E$14</f>
        <v>4239.01929544166</v>
      </c>
      <c r="D13" s="17" t="n">
        <f aca="false">D7*Assumptions!$E$14</f>
        <v>4685.29476882717</v>
      </c>
      <c r="E13" s="17" t="n">
        <f aca="false">E7*Assumptions!$E$14</f>
        <v>5178.55323149975</v>
      </c>
      <c r="F13" s="17" t="n">
        <f aca="false">F7*Assumptions!$E$14</f>
        <v>5723.74095860559</v>
      </c>
      <c r="G13" s="17" t="n">
        <f aca="false">G7*Assumptions!$E$14</f>
        <v>6326.32495924566</v>
      </c>
    </row>
    <row r="14" customFormat="false" ht="15" hidden="false" customHeight="false" outlineLevel="0" collapsed="false">
      <c r="B14" s="0" t="s">
        <v>175</v>
      </c>
      <c r="C14" s="17" t="n">
        <f aca="false">C7*Assumptions!$E$15</f>
        <v>1498.09120934436</v>
      </c>
      <c r="D14" s="17" t="n">
        <f aca="false">D7*Assumptions!$E$15</f>
        <v>1655.80725568171</v>
      </c>
      <c r="E14" s="17" t="n">
        <f aca="false">E7*Assumptions!$E$15</f>
        <v>1830.12733194537</v>
      </c>
      <c r="F14" s="17" t="n">
        <f aca="false">F7*Assumptions!$E$15</f>
        <v>2022.79947719792</v>
      </c>
      <c r="G14" s="17" t="n">
        <f aca="false">G7*Assumptions!$E$15</f>
        <v>2235.75576055836</v>
      </c>
    </row>
    <row r="15" customFormat="false" ht="15" hidden="false" customHeight="false" outlineLevel="0" collapsed="false">
      <c r="B15" s="22" t="s">
        <v>176</v>
      </c>
      <c r="C15" s="23" t="n">
        <f aca="false">C12+C13+C14</f>
        <v>11916.1170566204</v>
      </c>
      <c r="D15" s="23" t="n">
        <f aca="false">D12+D13+D14</f>
        <v>13170.6220281072</v>
      </c>
      <c r="E15" s="23" t="n">
        <f aca="false">E12+E13+E14</f>
        <v>14557.1987739823</v>
      </c>
      <c r="F15" s="23" t="n">
        <f aca="false">F12+F13+F14</f>
        <v>16089.7515465096</v>
      </c>
      <c r="G15" s="23" t="n">
        <f aca="false">G12+G13+G14</f>
        <v>17783.6484098231</v>
      </c>
    </row>
    <row r="16" customFormat="false" ht="15" hidden="false" customHeight="false" outlineLevel="0" collapsed="false">
      <c r="B16" s="0" t="s">
        <v>177</v>
      </c>
      <c r="C16" s="17" t="n">
        <f aca="false">C10-C15</f>
        <v>8291.34544877542</v>
      </c>
      <c r="D16" s="17" t="n">
        <f aca="false">D10-D15</f>
        <v>9164.2417149316</v>
      </c>
      <c r="E16" s="17" t="n">
        <f aca="false">E10-E15</f>
        <v>10129.0347541962</v>
      </c>
      <c r="F16" s="17" t="n">
        <f aca="false">F10-F15</f>
        <v>11195.3992750484</v>
      </c>
      <c r="G16" s="17" t="n">
        <f aca="false">G10-G15</f>
        <v>12374.028519927</v>
      </c>
    </row>
    <row r="17" customFormat="false" ht="15" hidden="false" customHeight="false" outlineLevel="0" collapsed="false">
      <c r="B17" s="0" t="s">
        <v>178</v>
      </c>
      <c r="C17" s="19" t="n">
        <f aca="false">IFERROR(C16/C7,0)</f>
        <v>0.36627472815534</v>
      </c>
      <c r="D17" s="19" t="n">
        <f aca="false">IFERROR(D16/D7,0)</f>
        <v>0.36627472815534</v>
      </c>
      <c r="E17" s="19" t="n">
        <f aca="false">IFERROR(E16/E7,0)</f>
        <v>0.36627472815534</v>
      </c>
      <c r="F17" s="19" t="n">
        <f aca="false">IFERROR(F16/F7,0)</f>
        <v>0.36627472815534</v>
      </c>
      <c r="G17" s="19" t="n">
        <f aca="false">IFERROR(G16/G7,0)</f>
        <v>0.36627472815534</v>
      </c>
    </row>
    <row r="18" customFormat="false" ht="15" hidden="false" customHeight="false" outlineLevel="0" collapsed="false">
      <c r="B18" s="0" t="s">
        <v>179</v>
      </c>
      <c r="C18" s="17" t="n">
        <f aca="false">C7*Assumptions!$E$16</f>
        <v>1849.50733732849</v>
      </c>
      <c r="D18" s="17" t="n">
        <f aca="false">D7*Assumptions!$E$16</f>
        <v>2044.21977078776</v>
      </c>
      <c r="E18" s="17" t="n">
        <f aca="false">E7*Assumptions!$E$16</f>
        <v>2259.43113981675</v>
      </c>
      <c r="F18" s="17" t="n">
        <f aca="false">F7*Assumptions!$E$16</f>
        <v>2497.29953135438</v>
      </c>
      <c r="G18" s="17" t="n">
        <f aca="false">G7*Assumptions!$E$16</f>
        <v>2760.2102314163</v>
      </c>
    </row>
    <row r="19" customFormat="false" ht="15" hidden="false" customHeight="false" outlineLevel="0" collapsed="false">
      <c r="B19" s="0" t="s">
        <v>180</v>
      </c>
      <c r="C19" s="17" t="n">
        <f aca="false">C16+C18</f>
        <v>10140.8527861039</v>
      </c>
      <c r="D19" s="17" t="n">
        <f aca="false">D16+D18</f>
        <v>11208.4614857194</v>
      </c>
      <c r="E19" s="17" t="n">
        <f aca="false">E16+E18</f>
        <v>12388.4658940129</v>
      </c>
      <c r="F19" s="17" t="n">
        <f aca="false">F16+F18</f>
        <v>13692.6988064028</v>
      </c>
      <c r="G19" s="17" t="n">
        <f aca="false">G16+G18</f>
        <v>15134.2387513433</v>
      </c>
    </row>
    <row r="20" customFormat="false" ht="15" hidden="false" customHeight="false" outlineLevel="0" collapsed="false">
      <c r="B20" s="0" t="s">
        <v>181</v>
      </c>
      <c r="C20" s="19" t="n">
        <f aca="false">IFERROR(C19/C7,0)</f>
        <v>0.44797772815534</v>
      </c>
      <c r="D20" s="19" t="n">
        <f aca="false">IFERROR(D19/D7,0)</f>
        <v>0.44797772815534</v>
      </c>
      <c r="E20" s="19" t="n">
        <f aca="false">IFERROR(E19/E7,0)</f>
        <v>0.44797772815534</v>
      </c>
      <c r="F20" s="19" t="n">
        <f aca="false">IFERROR(F19/F7,0)</f>
        <v>0.44797772815534</v>
      </c>
      <c r="G20" s="19" t="n">
        <f aca="false">IFERROR(G19/G7,0)</f>
        <v>0.44797772815534</v>
      </c>
    </row>
    <row r="21" customFormat="false" ht="15" hidden="false" customHeight="false" outlineLevel="0" collapsed="false">
      <c r="B21" s="0" t="s">
        <v>182</v>
      </c>
      <c r="C21" s="17" t="n">
        <f aca="false">MAX(0,C16)*Assumptions!$E$18</f>
        <v>1522.70559166761</v>
      </c>
      <c r="D21" s="17" t="n">
        <f aca="false">MAX(0,D16)*Assumptions!$E$18</f>
        <v>1683.01299094719</v>
      </c>
      <c r="E21" s="17" t="n">
        <f aca="false">MAX(0,E16)*Assumptions!$E$18</f>
        <v>1860.19723260813</v>
      </c>
      <c r="F21" s="17" t="n">
        <f aca="false">MAX(0,F16)*Assumptions!$E$18</f>
        <v>2056.03507686265</v>
      </c>
      <c r="G21" s="17" t="n">
        <f aca="false">MAX(0,G16)*Assumptions!$E$18</f>
        <v>2272.49033768459</v>
      </c>
    </row>
    <row r="22" customFormat="false" ht="15" hidden="false" customHeight="false" outlineLevel="0" collapsed="false">
      <c r="B22" s="0" t="s">
        <v>183</v>
      </c>
      <c r="C22" s="17" t="n">
        <f aca="false">C7*Assumptions!$E$17</f>
        <v>170.478926813224</v>
      </c>
      <c r="D22" s="17" t="n">
        <f aca="false">D7*Assumptions!$E$17</f>
        <v>188.426607270267</v>
      </c>
      <c r="E22" s="17" t="n">
        <f aca="false">E7*Assumptions!$E$17</f>
        <v>208.263783630466</v>
      </c>
      <c r="F22" s="17" t="n">
        <f aca="false">F7*Assumptions!$E$17</f>
        <v>230.189378243514</v>
      </c>
      <c r="G22" s="17" t="n">
        <f aca="false">G7*Assumptions!$E$17</f>
        <v>254.423255606235</v>
      </c>
    </row>
    <row r="23" customFormat="false" ht="15" hidden="false" customHeight="false" outlineLevel="0" collapsed="false">
      <c r="B23" s="22" t="s">
        <v>184</v>
      </c>
      <c r="C23" s="23" t="n">
        <f aca="false">C16+C18-C21-C22</f>
        <v>8447.66826762308</v>
      </c>
      <c r="D23" s="23" t="n">
        <f aca="false">D16+D18-D21-D22</f>
        <v>9337.0218875019</v>
      </c>
      <c r="E23" s="23" t="n">
        <f aca="false">E16+E18-E21-E22</f>
        <v>10320.0048777743</v>
      </c>
      <c r="F23" s="23" t="n">
        <f aca="false">F16+F18-F21-F22</f>
        <v>11406.4743512967</v>
      </c>
      <c r="G23" s="23" t="n">
        <f aca="false">G16+G18-G21-G22</f>
        <v>12607.3251580525</v>
      </c>
    </row>
    <row r="24" customFormat="false" ht="15" hidden="false" customHeight="false" outlineLevel="0" collapsed="false">
      <c r="B24" s="0" t="s">
        <v>185</v>
      </c>
      <c r="C24" s="19" t="n">
        <f aca="false">IFERROR(C23/C7,0)</f>
        <v>0.373180374329612</v>
      </c>
      <c r="D24" s="19" t="n">
        <f aca="false">IFERROR(D23/D7,0)</f>
        <v>0.373180374329612</v>
      </c>
      <c r="E24" s="19" t="n">
        <f aca="false">IFERROR(E23/E7,0)</f>
        <v>0.373180374329612</v>
      </c>
      <c r="F24" s="19" t="n">
        <f aca="false">IFERROR(F23/F7,0)</f>
        <v>0.373180374329612</v>
      </c>
      <c r="G24" s="19" t="n">
        <f aca="false">IFERROR(G23/G7,0)</f>
        <v>0.373180374329612</v>
      </c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4"/>
    <col collapsed="false" customWidth="true" hidden="false" outlineLevel="0" max="7" min="3" style="0" width="14"/>
  </cols>
  <sheetData>
    <row r="2" customFormat="false" ht="27.75" hidden="false" customHeight="true" outlineLevel="0" collapsed="false">
      <c r="B2" s="1" t="s">
        <v>186</v>
      </c>
      <c r="C2" s="1"/>
      <c r="D2" s="1"/>
      <c r="E2" s="1"/>
      <c r="F2" s="1"/>
      <c r="G2" s="1"/>
      <c r="H2" s="1"/>
    </row>
    <row r="4" customFormat="false" ht="15" hidden="false" customHeight="false" outlineLevel="0" collapsed="false">
      <c r="B4" s="15" t="s">
        <v>129</v>
      </c>
      <c r="C4" s="15" t="s">
        <v>151</v>
      </c>
      <c r="D4" s="15" t="s">
        <v>152</v>
      </c>
      <c r="E4" s="15" t="s">
        <v>153</v>
      </c>
      <c r="F4" s="15" t="s">
        <v>154</v>
      </c>
      <c r="G4" s="15" t="s">
        <v>155</v>
      </c>
    </row>
    <row r="5" customFormat="false" ht="15" hidden="false" customHeight="false" outlineLevel="0" collapsed="false">
      <c r="B5" s="0" t="s">
        <v>187</v>
      </c>
      <c r="C5" s="17" t="n">
        <f aca="false">'Operating Model'!C7</f>
        <v>22636.957484162</v>
      </c>
      <c r="D5" s="17" t="n">
        <f aca="false">'Operating Model'!D7</f>
        <v>25020.1310941796</v>
      </c>
      <c r="E5" s="17" t="n">
        <f aca="false">'Operating Model'!E7</f>
        <v>27654.2004555126</v>
      </c>
      <c r="F5" s="17" t="n">
        <f aca="false">'Operating Model'!F7</f>
        <v>30565.5793710681</v>
      </c>
      <c r="G5" s="17" t="n">
        <f aca="false">'Operating Model'!G7</f>
        <v>33783.4624360954</v>
      </c>
    </row>
    <row r="6" customFormat="false" ht="15" hidden="false" customHeight="false" outlineLevel="0" collapsed="false">
      <c r="B6" s="0" t="s">
        <v>188</v>
      </c>
      <c r="C6" s="17" t="n">
        <f aca="false">Assumptions!$E$20</f>
        <v>19960</v>
      </c>
      <c r="D6" s="17" t="n">
        <f aca="false">C7</f>
        <v>21447.4532792417</v>
      </c>
      <c r="E6" s="17" t="n">
        <f aca="false">D7</f>
        <v>23705.3982655738</v>
      </c>
      <c r="F6" s="17" t="n">
        <f aca="false">E7</f>
        <v>26201.0551841768</v>
      </c>
      <c r="G6" s="17" t="n">
        <f aca="false">F7</f>
        <v>28959.4498718566</v>
      </c>
    </row>
    <row r="7" customFormat="false" ht="15" hidden="false" customHeight="false" outlineLevel="0" collapsed="false">
      <c r="B7" s="22" t="s">
        <v>189</v>
      </c>
      <c r="C7" s="23" t="n">
        <f aca="false">C5*Assumptions!$E$21</f>
        <v>21447.4532792417</v>
      </c>
      <c r="D7" s="23" t="n">
        <f aca="false">D5*Assumptions!$E$21</f>
        <v>23705.3982655738</v>
      </c>
      <c r="E7" s="23" t="n">
        <f aca="false">E5*Assumptions!$E$21</f>
        <v>26201.0551841768</v>
      </c>
      <c r="F7" s="23" t="n">
        <f aca="false">F5*Assumptions!$E$21</f>
        <v>28959.4498718566</v>
      </c>
      <c r="G7" s="23" t="n">
        <f aca="false">G5*Assumptions!$E$21</f>
        <v>32008.2428354659</v>
      </c>
    </row>
    <row r="8" customFormat="false" ht="15" hidden="false" customHeight="false" outlineLevel="0" collapsed="false">
      <c r="B8" s="0" t="s">
        <v>190</v>
      </c>
      <c r="C8" s="17" t="n">
        <f aca="false">C7-C6+C5</f>
        <v>24124.4107634037</v>
      </c>
      <c r="D8" s="17" t="n">
        <f aca="false">D7-D6+D5</f>
        <v>27278.0760805116</v>
      </c>
      <c r="E8" s="17" t="n">
        <f aca="false">E7-E6+E5</f>
        <v>30149.8573741157</v>
      </c>
      <c r="F8" s="17" t="n">
        <f aca="false">F7-F6+F5</f>
        <v>33323.9740587479</v>
      </c>
      <c r="G8" s="17" t="n">
        <f aca="false">G7-G6+G5</f>
        <v>36832.2553997047</v>
      </c>
    </row>
    <row r="9" customFormat="false" ht="15" hidden="false" customHeight="false" outlineLevel="0" collapsed="false">
      <c r="B9" s="0" t="s">
        <v>191</v>
      </c>
      <c r="C9" s="21" t="n">
        <f aca="false">IFERROR(C8/C5,0)</f>
        <v>1.06570906360903</v>
      </c>
      <c r="D9" s="21" t="n">
        <f aca="false">IFERROR(D8/D5,0)</f>
        <v>1.09024513012473</v>
      </c>
      <c r="E9" s="21" t="n">
        <f aca="false">IFERROR(E8/E5,0)</f>
        <v>1.09024513012473</v>
      </c>
      <c r="F9" s="21" t="n">
        <f aca="false">IFERROR(F8/F5,0)</f>
        <v>1.09024513012473</v>
      </c>
      <c r="G9" s="21" t="n">
        <f aca="false">IFERROR(G8/G5,0)</f>
        <v>1.09024513012473</v>
      </c>
    </row>
    <row r="10" customFormat="false" ht="15" hidden="false" customHeight="false" outlineLevel="0" collapsed="false">
      <c r="B10" s="0" t="s">
        <v>192</v>
      </c>
      <c r="C10" s="19" t="n">
        <f aca="false">IFERROR(C7/C6-1,0)</f>
        <v>0.0745217073768407</v>
      </c>
      <c r="D10" s="19" t="n">
        <f aca="false">IFERROR(D7/D6-1,0)</f>
        <v>0.105278</v>
      </c>
      <c r="E10" s="19" t="n">
        <f aca="false">IFERROR(E7/E6-1,0)</f>
        <v>0.105278</v>
      </c>
      <c r="F10" s="19" t="n">
        <f aca="false">IFERROR(F7/F6-1,0)</f>
        <v>0.105278</v>
      </c>
      <c r="G10" s="19" t="n">
        <f aca="false">IFERROR(G7/G6-1,0)</f>
        <v>0.105278</v>
      </c>
    </row>
    <row r="11" customFormat="false" ht="15" hidden="false" customHeight="false" outlineLevel="0" collapsed="false">
      <c r="B11" s="0" t="s">
        <v>193</v>
      </c>
      <c r="C11" s="17" t="n">
        <f aca="false">C7*Assumptions!$E$22</f>
        <v>13726.3700987147</v>
      </c>
      <c r="D11" s="17" t="n">
        <f aca="false">D7*Assumptions!$E$22</f>
        <v>15171.4548899672</v>
      </c>
      <c r="E11" s="17" t="n">
        <f aca="false">E7*Assumptions!$E$22</f>
        <v>16768.6753178732</v>
      </c>
      <c r="F11" s="17" t="n">
        <f aca="false">F7*Assumptions!$E$22</f>
        <v>18534.0479179882</v>
      </c>
      <c r="G11" s="17" t="n">
        <f aca="false">G7*Assumptions!$E$22</f>
        <v>20485.2754146982</v>
      </c>
    </row>
    <row r="12" customFormat="false" ht="15" hidden="false" customHeight="false" outlineLevel="0" collapsed="false">
      <c r="B12" s="0" t="s">
        <v>194</v>
      </c>
      <c r="C12" s="17" t="n">
        <f aca="false">C7-C11</f>
        <v>7721.08318052703</v>
      </c>
      <c r="D12" s="17" t="n">
        <f aca="false">D7-D11</f>
        <v>8533.94337560655</v>
      </c>
      <c r="E12" s="17" t="n">
        <f aca="false">E7-E11</f>
        <v>9432.37986630366</v>
      </c>
      <c r="F12" s="17" t="n">
        <f aca="false">F7-F11</f>
        <v>10425.4019538684</v>
      </c>
      <c r="G12" s="17" t="n">
        <f aca="false">G7-G11</f>
        <v>11522.9674207677</v>
      </c>
    </row>
    <row r="13" customFormat="false" ht="15" hidden="false" customHeight="false" outlineLevel="0" collapsed="false">
      <c r="B13" s="0" t="s">
        <v>195</v>
      </c>
      <c r="C13" s="17" t="n">
        <f aca="false">C5*Assumptions!$E$23</f>
        <v>6695.17445638821</v>
      </c>
      <c r="D13" s="17" t="n">
        <f aca="false">D5*Assumptions!$E$23</f>
        <v>7400.02903280784</v>
      </c>
      <c r="E13" s="17" t="n">
        <f aca="false">E5*Assumptions!$E$23</f>
        <v>8179.08928932379</v>
      </c>
      <c r="F13" s="17" t="n">
        <f aca="false">F5*Assumptions!$E$23</f>
        <v>9040.16745152522</v>
      </c>
      <c r="G13" s="17" t="n">
        <f aca="false">G5*Assumptions!$E$23</f>
        <v>9991.89820048689</v>
      </c>
    </row>
    <row r="14" customFormat="false" ht="15" hidden="false" customHeight="false" outlineLevel="0" collapsed="false">
      <c r="B14" s="0" t="s">
        <v>196</v>
      </c>
      <c r="C14" s="17" t="n">
        <f aca="false">C7-C13</f>
        <v>14752.2788228535</v>
      </c>
      <c r="D14" s="17" t="n">
        <f aca="false">D7-D13</f>
        <v>16305.3692327659</v>
      </c>
      <c r="E14" s="17" t="n">
        <f aca="false">E7-E13</f>
        <v>18021.965894853</v>
      </c>
      <c r="F14" s="17" t="n">
        <f aca="false">F7-F13</f>
        <v>19919.2824203314</v>
      </c>
      <c r="G14" s="17" t="n">
        <f aca="false">G7-G13</f>
        <v>22016.344634979</v>
      </c>
    </row>
    <row r="15" customFormat="false" ht="15" hidden="false" customHeight="false" outlineLevel="0" collapsed="false">
      <c r="B15" s="0" t="s">
        <v>197</v>
      </c>
      <c r="C15" s="19" t="n">
        <f aca="false">IFERROR(C14/C7,0)</f>
        <v>0.687833591745448</v>
      </c>
      <c r="D15" s="19" t="n">
        <f aca="false">IFERROR(D14/D7,0)</f>
        <v>0.687833591745448</v>
      </c>
      <c r="E15" s="19" t="n">
        <f aca="false">IFERROR(E14/E7,0)</f>
        <v>0.687833591745448</v>
      </c>
      <c r="F15" s="19" t="n">
        <f aca="false">IFERROR(F14/F7,0)</f>
        <v>0.687833591745448</v>
      </c>
      <c r="G15" s="19" t="n">
        <f aca="false">IFERROR(G14/G7,0)</f>
        <v>0.687833591745448</v>
      </c>
    </row>
    <row r="16" customFormat="false" ht="15" hidden="false" customHeight="false" outlineLevel="0" collapsed="false">
      <c r="B16" s="0" t="s">
        <v>198</v>
      </c>
      <c r="C16" s="21" t="n">
        <f aca="false">IFERROR(C11/'Operating Model'!D7,0)</f>
        <v>0.548613036720174</v>
      </c>
      <c r="D16" s="21" t="n">
        <f aca="false">IFERROR(D11/'Operating Model'!E7,0)</f>
        <v>0.548613036720174</v>
      </c>
      <c r="E16" s="21" t="n">
        <f aca="false">IFERROR(E11/'Operating Model'!F7,0)</f>
        <v>0.548613036720174</v>
      </c>
      <c r="F16" s="21" t="n">
        <f aca="false">IFERROR(F11/'Operating Model'!G7,0)</f>
        <v>0.548613036720174</v>
      </c>
      <c r="G16" s="0" t="s">
        <v>199</v>
      </c>
    </row>
    <row r="17" customFormat="false" ht="15" hidden="false" customHeight="false" outlineLevel="0" collapsed="false">
      <c r="B17" s="0" t="s">
        <v>200</v>
      </c>
      <c r="C17" s="21" t="n">
        <f aca="false">IFERROR(C7/'ARR Rollforward'!C10,0)</f>
        <v>0.929400347985765</v>
      </c>
      <c r="D17" s="21" t="n">
        <f aca="false">IFERROR(D7/'ARR Rollforward'!D10,0)</f>
        <v>0.929400347985765</v>
      </c>
      <c r="E17" s="21" t="n">
        <f aca="false">IFERROR(E7/'ARR Rollforward'!E10,0)</f>
        <v>0.929400347985765</v>
      </c>
      <c r="F17" s="21" t="n">
        <f aca="false">IFERROR(F7/'ARR Rollforward'!F10,0)</f>
        <v>0.929400347985765</v>
      </c>
      <c r="G17" s="21" t="n">
        <f aca="false">IFERROR(G7/'ARR Rollforward'!G10,0)</f>
        <v>0.929400347985765</v>
      </c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4"/>
    <col collapsed="false" customWidth="true" hidden="false" outlineLevel="0" max="7" min="3" style="0" width="14"/>
  </cols>
  <sheetData>
    <row r="2" customFormat="false" ht="27.75" hidden="false" customHeight="true" outlineLevel="0" collapsed="false">
      <c r="B2" s="1" t="s">
        <v>201</v>
      </c>
      <c r="C2" s="1"/>
      <c r="D2" s="1"/>
      <c r="E2" s="1"/>
      <c r="F2" s="1"/>
      <c r="G2" s="1"/>
      <c r="H2" s="1"/>
    </row>
    <row r="4" customFormat="false" ht="15" hidden="false" customHeight="false" outlineLevel="0" collapsed="false">
      <c r="B4" s="15" t="s">
        <v>202</v>
      </c>
      <c r="C4" s="15" t="s">
        <v>151</v>
      </c>
      <c r="D4" s="15" t="s">
        <v>152</v>
      </c>
      <c r="E4" s="15" t="s">
        <v>153</v>
      </c>
      <c r="F4" s="15" t="s">
        <v>154</v>
      </c>
      <c r="G4" s="15" t="s">
        <v>155</v>
      </c>
    </row>
    <row r="5" customFormat="false" ht="15" hidden="false" customHeight="false" outlineLevel="0" collapsed="false">
      <c r="B5" s="0" t="s">
        <v>203</v>
      </c>
      <c r="C5" s="17" t="n">
        <f aca="false">'Operating Model'!C12</f>
        <v>6179.00655183434</v>
      </c>
      <c r="D5" s="17" t="n">
        <f aca="false">'Operating Model'!D12</f>
        <v>6829.52000359836</v>
      </c>
      <c r="E5" s="17" t="n">
        <f aca="false">'Operating Model'!E12</f>
        <v>7548.51821053719</v>
      </c>
      <c r="F5" s="17" t="n">
        <f aca="false">'Operating Model'!F12</f>
        <v>8343.21111070612</v>
      </c>
      <c r="G5" s="17" t="n">
        <f aca="false">'Operating Model'!G12</f>
        <v>9221.56769001904</v>
      </c>
    </row>
    <row r="6" customFormat="false" ht="15" hidden="false" customHeight="false" outlineLevel="0" collapsed="false">
      <c r="B6" s="0" t="s">
        <v>204</v>
      </c>
      <c r="C6" s="17" t="n">
        <f aca="false">'ARR Rollforward'!C6+'ARR Rollforward'!C7</f>
        <v>3966.934</v>
      </c>
      <c r="D6" s="17" t="n">
        <f aca="false">'ARR Rollforward'!D6+'ARR Rollforward'!D7</f>
        <v>4384.564877652</v>
      </c>
      <c r="E6" s="17" t="n">
        <f aca="false">'ARR Rollforward'!E6+'ARR Rollforward'!E7</f>
        <v>4846.16309884145</v>
      </c>
      <c r="F6" s="17" t="n">
        <f aca="false">'ARR Rollforward'!F6+'ARR Rollforward'!F7</f>
        <v>5356.35745756128</v>
      </c>
      <c r="G6" s="17" t="n">
        <f aca="false">'ARR Rollforward'!G6+'ARR Rollforward'!G7</f>
        <v>5920.26405797841</v>
      </c>
    </row>
    <row r="7" customFormat="false" ht="15" hidden="false" customHeight="false" outlineLevel="0" collapsed="false">
      <c r="B7" s="0" t="s">
        <v>205</v>
      </c>
      <c r="C7" s="21" t="n">
        <f aca="false">IFERROR(C6/C5,0)</f>
        <v>0.642001908676136</v>
      </c>
      <c r="D7" s="21" t="n">
        <f aca="false">IFERROR(D6/D5,0)</f>
        <v>0.642001908676136</v>
      </c>
      <c r="E7" s="21" t="n">
        <f aca="false">IFERROR(E6/E5,0)</f>
        <v>0.642001908676136</v>
      </c>
      <c r="F7" s="21" t="n">
        <f aca="false">IFERROR(F6/F5,0)</f>
        <v>0.642001908676136</v>
      </c>
      <c r="G7" s="21" t="n">
        <f aca="false">IFERROR(G6/G5,0)</f>
        <v>0.642001908676136</v>
      </c>
    </row>
    <row r="8" customFormat="false" ht="15" hidden="false" customHeight="false" outlineLevel="0" collapsed="false">
      <c r="B8" s="0" t="s">
        <v>206</v>
      </c>
      <c r="C8" s="24" t="n">
        <f aca="false">IFERROR(C5/C6*12,0)</f>
        <v>18.6915332148234</v>
      </c>
      <c r="D8" s="24" t="n">
        <f aca="false">IFERROR(D5/D6*12,0)</f>
        <v>18.6915332148234</v>
      </c>
      <c r="E8" s="24" t="n">
        <f aca="false">IFERROR(E5/E6*12,0)</f>
        <v>18.6915332148234</v>
      </c>
      <c r="F8" s="24" t="n">
        <f aca="false">IFERROR(F5/F6*12,0)</f>
        <v>18.6915332148234</v>
      </c>
      <c r="G8" s="24" t="n">
        <f aca="false">IFERROR(G5/G6*12,0)</f>
        <v>18.6915332148234</v>
      </c>
    </row>
    <row r="9" customFormat="false" ht="15" hidden="false" customHeight="false" outlineLevel="0" collapsed="false">
      <c r="B9" s="0" t="s">
        <v>207</v>
      </c>
      <c r="C9" s="24" t="n">
        <f aca="false">IFERROR(C5/(C6*Assumptions!$E$19)*12,0)</f>
        <v>21.0017227132847</v>
      </c>
      <c r="D9" s="24" t="n">
        <f aca="false">IFERROR(D5/(D6*Assumptions!$E$19)*12,0)</f>
        <v>21.0017227132847</v>
      </c>
      <c r="E9" s="24" t="n">
        <f aca="false">IFERROR(E5/(E6*Assumptions!$E$19)*12,0)</f>
        <v>21.0017227132847</v>
      </c>
      <c r="F9" s="24" t="n">
        <f aca="false">IFERROR(F5/(F6*Assumptions!$E$19)*12,0)</f>
        <v>21.0017227132847</v>
      </c>
      <c r="G9" s="24" t="n">
        <f aca="false">IFERROR(G5/(G6*Assumptions!$E$19)*12,0)</f>
        <v>21.0017227132847</v>
      </c>
    </row>
    <row r="10" customFormat="false" ht="15" hidden="false" customHeight="false" outlineLevel="0" collapsed="false">
      <c r="B10" s="0" t="s">
        <v>208</v>
      </c>
      <c r="C10" s="19" t="n">
        <f aca="false">IFERROR(C5/C6,0)</f>
        <v>1.55762776790195</v>
      </c>
      <c r="D10" s="19" t="n">
        <f aca="false">IFERROR(D5/D6,0)</f>
        <v>1.55762776790195</v>
      </c>
      <c r="E10" s="19" t="n">
        <f aca="false">IFERROR(E5/E6,0)</f>
        <v>1.55762776790195</v>
      </c>
      <c r="F10" s="19" t="n">
        <f aca="false">IFERROR(F5/F6,0)</f>
        <v>1.55762776790195</v>
      </c>
      <c r="G10" s="19" t="n">
        <f aca="false">IFERROR(G5/G6,0)</f>
        <v>1.55762776790195</v>
      </c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4"/>
    <col collapsed="false" customWidth="true" hidden="false" outlineLevel="0" max="7" min="3" style="0" width="14"/>
  </cols>
  <sheetData>
    <row r="2" customFormat="false" ht="27.75" hidden="false" customHeight="true" outlineLevel="0" collapsed="false">
      <c r="B2" s="1" t="s">
        <v>209</v>
      </c>
      <c r="C2" s="1"/>
      <c r="D2" s="1"/>
      <c r="E2" s="1"/>
      <c r="F2" s="1"/>
      <c r="G2" s="1"/>
      <c r="H2" s="1"/>
    </row>
    <row r="4" customFormat="false" ht="15" hidden="false" customHeight="false" outlineLevel="0" collapsed="false">
      <c r="B4" s="15" t="s">
        <v>202</v>
      </c>
      <c r="C4" s="15" t="s">
        <v>151</v>
      </c>
      <c r="D4" s="15" t="s">
        <v>152</v>
      </c>
      <c r="E4" s="15" t="s">
        <v>153</v>
      </c>
      <c r="F4" s="15" t="s">
        <v>154</v>
      </c>
      <c r="G4" s="15" t="s">
        <v>155</v>
      </c>
    </row>
    <row r="5" customFormat="false" ht="15" hidden="false" customHeight="false" outlineLevel="0" collapsed="false">
      <c r="B5" s="0" t="s">
        <v>210</v>
      </c>
      <c r="C5" s="19" t="n">
        <f aca="false">'ARR Rollforward'!C14</f>
        <v>0.105278</v>
      </c>
      <c r="D5" s="19" t="n">
        <f aca="false">IFERROR('Operating Model'!D7/'Operating Model'!C7-1,0)</f>
        <v>0.105278</v>
      </c>
      <c r="E5" s="19" t="n">
        <f aca="false">IFERROR('Operating Model'!E7/'Operating Model'!D7-1,0)</f>
        <v>0.105278</v>
      </c>
      <c r="F5" s="19" t="n">
        <f aca="false">IFERROR('Operating Model'!F7/'Operating Model'!E7-1,0)</f>
        <v>0.105278</v>
      </c>
      <c r="G5" s="19" t="n">
        <f aca="false">IFERROR('Operating Model'!G7/'Operating Model'!F7-1,0)</f>
        <v>0.105278</v>
      </c>
    </row>
    <row r="6" customFormat="false" ht="15" hidden="false" customHeight="false" outlineLevel="0" collapsed="false">
      <c r="B6" s="0" t="s">
        <v>185</v>
      </c>
      <c r="C6" s="19" t="n">
        <f aca="false">'Operating Model'!C24</f>
        <v>0.373180374329612</v>
      </c>
      <c r="D6" s="19" t="n">
        <f aca="false">'Operating Model'!D24</f>
        <v>0.373180374329612</v>
      </c>
      <c r="E6" s="19" t="n">
        <f aca="false">'Operating Model'!E24</f>
        <v>0.373180374329612</v>
      </c>
      <c r="F6" s="19" t="n">
        <f aca="false">'Operating Model'!F24</f>
        <v>0.373180374329612</v>
      </c>
      <c r="G6" s="19" t="n">
        <f aca="false">'Operating Model'!G24</f>
        <v>0.373180374329612</v>
      </c>
    </row>
    <row r="7" customFormat="false" ht="15" hidden="false" customHeight="false" outlineLevel="0" collapsed="false">
      <c r="B7" s="0" t="s">
        <v>211</v>
      </c>
      <c r="C7" s="19" t="n">
        <f aca="false">C5+C6</f>
        <v>0.478458374329612</v>
      </c>
      <c r="D7" s="19" t="n">
        <f aca="false">D5+D6</f>
        <v>0.478458374329612</v>
      </c>
      <c r="E7" s="19" t="n">
        <f aca="false">E5+E6</f>
        <v>0.478458374329612</v>
      </c>
      <c r="F7" s="19" t="n">
        <f aca="false">F5+F6</f>
        <v>0.478458374329612</v>
      </c>
      <c r="G7" s="19" t="n">
        <f aca="false">G5+G6</f>
        <v>0.478458374329612</v>
      </c>
    </row>
    <row r="8" customFormat="false" ht="15" hidden="false" customHeight="false" outlineLevel="0" collapsed="false">
      <c r="B8" s="0" t="s">
        <v>181</v>
      </c>
      <c r="C8" s="19" t="n">
        <f aca="false">'Operating Model'!C20</f>
        <v>0.44797772815534</v>
      </c>
      <c r="D8" s="19" t="n">
        <f aca="false">'Operating Model'!D20</f>
        <v>0.44797772815534</v>
      </c>
      <c r="E8" s="19" t="n">
        <f aca="false">'Operating Model'!E20</f>
        <v>0.44797772815534</v>
      </c>
      <c r="F8" s="19" t="n">
        <f aca="false">'Operating Model'!F20</f>
        <v>0.44797772815534</v>
      </c>
      <c r="G8" s="19" t="n">
        <f aca="false">'Operating Model'!G20</f>
        <v>0.44797772815534</v>
      </c>
    </row>
    <row r="9" customFormat="false" ht="15" hidden="false" customHeight="false" outlineLevel="0" collapsed="false">
      <c r="B9" s="0" t="s">
        <v>212</v>
      </c>
      <c r="C9" s="19" t="n">
        <f aca="false">C5+C8</f>
        <v>0.55325572815534</v>
      </c>
      <c r="D9" s="19" t="n">
        <f aca="false">D5+D8</f>
        <v>0.55325572815534</v>
      </c>
      <c r="E9" s="19" t="n">
        <f aca="false">E5+E8</f>
        <v>0.55325572815534</v>
      </c>
      <c r="F9" s="19" t="n">
        <f aca="false">F5+F8</f>
        <v>0.55325572815534</v>
      </c>
      <c r="G9" s="19" t="n">
        <f aca="false">G5+G8</f>
        <v>0.55325572815534</v>
      </c>
    </row>
    <row r="10" customFormat="false" ht="15" hidden="false" customHeight="false" outlineLevel="0" collapsed="false">
      <c r="B10" s="0" t="s">
        <v>44</v>
      </c>
      <c r="C10" s="0" t="str">
        <f aca="false">IF(C7&gt;=0.4,"PASS",IF(C7&gt;=0.3,"REVIEW","BELOW"))</f>
        <v>PASS</v>
      </c>
      <c r="D10" s="0" t="str">
        <f aca="false">IF(D7&gt;=0.4,"PASS",IF(D7&gt;=0.3,"REVIEW","BELOW"))</f>
        <v>PASS</v>
      </c>
      <c r="E10" s="0" t="str">
        <f aca="false">IF(E7&gt;=0.4,"PASS",IF(E7&gt;=0.3,"REVIEW","BELOW"))</f>
        <v>PASS</v>
      </c>
      <c r="F10" s="0" t="str">
        <f aca="false">IF(F7&gt;=0.4,"PASS",IF(F7&gt;=0.3,"REVIEW","BELOW"))</f>
        <v>PASS</v>
      </c>
      <c r="G10" s="0" t="str">
        <f aca="false">IF(G7&gt;=0.4,"PASS",IF(G7&gt;=0.3,"REVIEW","BELOW"))</f>
        <v>PASS</v>
      </c>
    </row>
  </sheetData>
  <mergeCells count="1">
    <mergeCell ref="B2:H2"/>
  </mergeCells>
  <conditionalFormatting sqref="C10:G10">
    <cfRule type="expression" priority="2" aboveAverage="0" equalAverage="0" bottom="0" percent="0" rank="0" text="" dxfId="0">
      <formula>C10="PASS"</formula>
    </cfRule>
    <cfRule type="expression" priority="3" aboveAverage="0" equalAverage="0" bottom="0" percent="0" rank="0" text="" dxfId="1">
      <formula>C10="FAIL"</formula>
    </cfRule>
    <cfRule type="expression" priority="4" aboveAverage="0" equalAverage="0" bottom="0" percent="0" rank="0" text="" dxfId="2">
      <formula>C10="REVIEW"</formula>
    </cfRule>
    <cfRule type="expression" priority="5" aboveAverage="0" equalAverage="0" bottom="0" percent="0" rank="0" text="" dxfId="1">
      <formula>C10="BREACH"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72"/>
    <col collapsed="false" customWidth="true" hidden="false" outlineLevel="0" max="3" min="3" style="0" width="18"/>
  </cols>
  <sheetData>
    <row r="2" customFormat="false" ht="27.75" hidden="false" customHeight="true" outlineLevel="0" collapsed="false">
      <c r="B2" s="1" t="s">
        <v>213</v>
      </c>
      <c r="C2" s="1"/>
    </row>
    <row r="4" customFormat="false" ht="15" hidden="false" customHeight="false" outlineLevel="0" collapsed="false">
      <c r="B4" s="15" t="s">
        <v>214</v>
      </c>
      <c r="C4" s="15" t="s">
        <v>44</v>
      </c>
    </row>
    <row r="5" customFormat="false" ht="15" hidden="false" customHeight="false" outlineLevel="0" collapsed="false">
      <c r="B5" s="0" t="s">
        <v>215</v>
      </c>
      <c r="C5" s="0" t="str">
        <f aca="false">IF(MAX(ABS('ARR Rollforward'!C10-('ARR Rollforward'!C5+'ARR Rollforward'!C6+'ARR Rollforward'!C7-'ARR Rollforward'!C8-'ARR Rollforward'!C9)))&lt;0.000001,"PASS","FAIL")</f>
        <v>PASS</v>
      </c>
    </row>
    <row r="6" customFormat="false" ht="15" hidden="false" customHeight="false" outlineLevel="0" collapsed="false">
      <c r="B6" s="0" t="s">
        <v>216</v>
      </c>
      <c r="C6" s="0" t="str">
        <f aca="false">IF(MIN('ARR Rollforward'!C10:G10)&gt;=0,"PASS","FAIL")</f>
        <v>PASS</v>
      </c>
    </row>
    <row r="7" customFormat="false" ht="15" hidden="false" customHeight="false" outlineLevel="0" collapsed="false">
      <c r="B7" s="0" t="s">
        <v>217</v>
      </c>
      <c r="C7" s="0" t="str">
        <f aca="false">IF(MAX('ARR Rollforward'!C13:G13)&lt;=1.000001,"PASS","FAIL")</f>
        <v>PASS</v>
      </c>
    </row>
    <row r="8" customFormat="false" ht="15" hidden="false" customHeight="false" outlineLevel="0" collapsed="false">
      <c r="B8" s="0" t="s">
        <v>218</v>
      </c>
      <c r="C8" s="0" t="str">
        <f aca="false">IF(MIN('ARR Rollforward'!C12:G12-'ARR Rollforward'!C13:G13)&gt;=-0.000001,"PASS","FAIL")</f>
        <v>PASS</v>
      </c>
    </row>
    <row r="9" customFormat="false" ht="15" hidden="false" customHeight="false" outlineLevel="0" collapsed="false">
      <c r="B9" s="0" t="s">
        <v>219</v>
      </c>
      <c r="C9" s="0" t="str">
        <f aca="false">IF(MAX(ABS('Operating Model'!C7:G7-'Operating Model'!C5:G5-'Operating Model'!C6:G6))&lt;0.000001,"PASS","FAIL")</f>
        <v>PASS</v>
      </c>
    </row>
    <row r="10" customFormat="false" ht="15" hidden="false" customHeight="false" outlineLevel="0" collapsed="false">
      <c r="B10" s="0" t="s">
        <v>220</v>
      </c>
      <c r="C10" s="0" t="str">
        <f aca="false">IF(AND(MIN('Operating Model'!C11:G11)&gt;=Assumptions!E12,MAX('Operating Model'!C11:G11)&lt;=Assumptions!E11),"PASS","REVIEW")</f>
        <v>PASS</v>
      </c>
    </row>
    <row r="11" customFormat="false" ht="15" hidden="false" customHeight="false" outlineLevel="0" collapsed="false">
      <c r="B11" s="0" t="s">
        <v>221</v>
      </c>
      <c r="C11" s="0" t="str">
        <f aca="false">IF(MIN('Operating Model'!C19:G19-'Operating Model'!C16:G16)&gt;=0,"PASS","FAIL")</f>
        <v>PASS</v>
      </c>
    </row>
    <row r="12" customFormat="false" ht="15" hidden="false" customHeight="false" outlineLevel="0" collapsed="false">
      <c r="B12" s="0" t="s">
        <v>222</v>
      </c>
      <c r="C12" s="0" t="str">
        <f aca="false">IF(MIN('Unit Economics'!C7:G7)&gt;0,"PASS","REVIEW")</f>
        <v>PASS</v>
      </c>
    </row>
    <row r="13" customFormat="false" ht="15" hidden="false" customHeight="false" outlineLevel="0" collapsed="false">
      <c r="B13" s="0" t="s">
        <v>223</v>
      </c>
      <c r="C13" s="0" t="str">
        <f aca="false">IF(MAX('Unit Economics'!C9:G9)&lt;=36,"PASS","REVIEW")</f>
        <v>PASS</v>
      </c>
    </row>
    <row r="14" customFormat="false" ht="15" hidden="false" customHeight="false" outlineLevel="0" collapsed="false">
      <c r="B14" s="0" t="s">
        <v>224</v>
      </c>
      <c r="C14" s="0" t="str">
        <f aca="false">IF(MAX(ABS('RPO &amp; Bookings'!C7:G7-('RPO &amp; Bookings'!C6:G6+'RPO &amp; Bookings'!C8:G8-'RPO &amp; Bookings'!C5:G5)))&lt;0.000001,"PASS","FAIL")</f>
        <v>PASS</v>
      </c>
    </row>
    <row r="15" customFormat="false" ht="15" hidden="false" customHeight="false" outlineLevel="0" collapsed="false">
      <c r="B15" s="0" t="s">
        <v>225</v>
      </c>
      <c r="C15" s="0" t="str">
        <f aca="false">IF(MIN('RPO &amp; Bookings'!C12:G12)&gt;=-0.000001,"PASS","FAIL")</f>
        <v>PASS</v>
      </c>
    </row>
    <row r="16" customFormat="false" ht="15" hidden="false" customHeight="false" outlineLevel="0" collapsed="false">
      <c r="B16" s="0" t="s">
        <v>226</v>
      </c>
      <c r="C16" s="0" t="str">
        <f aca="false">IF(MIN('RPO &amp; Bookings'!C14:G14)&gt;=-0.000001,"PASS","REVIEW")</f>
        <v>PASS</v>
      </c>
    </row>
    <row r="17" customFormat="false" ht="15" hidden="false" customHeight="false" outlineLevel="0" collapsed="false">
      <c r="B17" s="0" t="s">
        <v>227</v>
      </c>
      <c r="C17" s="0" t="str">
        <f aca="false">IF(MIN('RPO &amp; Bookings'!C8:G8)&gt;0,"PASS","REVIEW")</f>
        <v>PASS</v>
      </c>
    </row>
    <row r="18" customFormat="false" ht="15" hidden="false" customHeight="false" outlineLevel="0" collapsed="false">
      <c r="B18" s="0" t="s">
        <v>228</v>
      </c>
      <c r="C18" s="0" t="str">
        <f aca="false">IF(COUNTIF(C5:C17,"FAIL")&gt;0,"FAIL",IF(COUNTIF(C5:C17,"REVIEW")&gt;0,"REVIEW","PASS"))</f>
        <v>PASS</v>
      </c>
    </row>
  </sheetData>
  <mergeCells count="1">
    <mergeCell ref="B2:C2"/>
  </mergeCells>
  <conditionalFormatting sqref="C5:C18">
    <cfRule type="expression" priority="2" aboveAverage="0" equalAverage="0" bottom="0" percent="0" rank="0" text="" dxfId="0">
      <formula>C5="PASS"</formula>
    </cfRule>
    <cfRule type="expression" priority="3" aboveAverage="0" equalAverage="0" bottom="0" percent="0" rank="0" text="" dxfId="1">
      <formula>C5="FAIL"</formula>
    </cfRule>
    <cfRule type="expression" priority="4" aboveAverage="0" equalAverage="0" bottom="0" percent="0" rank="0" text="" dxfId="2">
      <formula>C5="REVIEW"</formula>
    </cfRule>
    <cfRule type="expression" priority="5" aboveAverage="0" equalAverage="0" bottom="0" percent="0" rank="0" text="" dxfId="1">
      <formula>C5="BREACH"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58"/>
    <col collapsed="false" customWidth="true" hidden="false" outlineLevel="0" max="4" min="4" style="0" width="16"/>
    <col collapsed="false" customWidth="true" hidden="false" outlineLevel="0" max="5" min="5" style="0" width="48"/>
  </cols>
  <sheetData>
    <row r="2" customFormat="false" ht="27.75" hidden="false" customHeight="true" outlineLevel="0" collapsed="false">
      <c r="B2" s="1" t="s">
        <v>229</v>
      </c>
      <c r="C2" s="1"/>
      <c r="D2" s="1"/>
      <c r="E2" s="1"/>
    </row>
    <row r="4" customFormat="false" ht="15" hidden="false" customHeight="false" outlineLevel="0" collapsed="false">
      <c r="B4" s="15" t="s">
        <v>230</v>
      </c>
      <c r="C4" s="15" t="s">
        <v>231</v>
      </c>
      <c r="D4" s="15" t="s">
        <v>107</v>
      </c>
      <c r="E4" s="15" t="s">
        <v>232</v>
      </c>
    </row>
    <row r="5" customFormat="false" ht="15" hidden="false" customHeight="false" outlineLevel="0" collapsed="false">
      <c r="B5" s="25" t="s">
        <v>233</v>
      </c>
      <c r="C5" s="25" t="s">
        <v>234</v>
      </c>
      <c r="D5" s="25" t="s">
        <v>235</v>
      </c>
      <c r="E5" s="25" t="s">
        <v>236</v>
      </c>
    </row>
    <row r="6" customFormat="false" ht="15" hidden="false" customHeight="false" outlineLevel="0" collapsed="false">
      <c r="B6" s="25" t="s">
        <v>237</v>
      </c>
      <c r="C6" s="25" t="s">
        <v>238</v>
      </c>
      <c r="D6" s="25" t="s">
        <v>235</v>
      </c>
      <c r="E6" s="25" t="s">
        <v>239</v>
      </c>
    </row>
    <row r="7" customFormat="false" ht="15" hidden="false" customHeight="false" outlineLevel="0" collapsed="false">
      <c r="B7" s="25" t="s">
        <v>179</v>
      </c>
      <c r="C7" s="25" t="s">
        <v>240</v>
      </c>
      <c r="D7" s="25" t="s">
        <v>235</v>
      </c>
      <c r="E7" s="25" t="s">
        <v>241</v>
      </c>
    </row>
    <row r="8" customFormat="false" ht="15" hidden="false" customHeight="false" outlineLevel="0" collapsed="false">
      <c r="B8" s="25" t="s">
        <v>242</v>
      </c>
      <c r="C8" s="25" t="s">
        <v>243</v>
      </c>
      <c r="D8" s="25" t="s">
        <v>235</v>
      </c>
      <c r="E8" s="25" t="s">
        <v>244</v>
      </c>
    </row>
    <row r="9" customFormat="false" ht="15" hidden="false" customHeight="false" outlineLevel="0" collapsed="false">
      <c r="B9" s="25" t="s">
        <v>245</v>
      </c>
      <c r="C9" s="25" t="s">
        <v>246</v>
      </c>
      <c r="D9" s="25" t="s">
        <v>235</v>
      </c>
      <c r="E9" s="25" t="s">
        <v>247</v>
      </c>
    </row>
    <row r="10" customFormat="false" ht="15" hidden="false" customHeight="false" outlineLevel="0" collapsed="false">
      <c r="B10" s="25" t="s">
        <v>248</v>
      </c>
      <c r="C10" s="25" t="s">
        <v>249</v>
      </c>
      <c r="D10" s="25" t="s">
        <v>250</v>
      </c>
      <c r="E10" s="25" t="s">
        <v>251</v>
      </c>
    </row>
    <row r="11" customFormat="false" ht="15" hidden="false" customHeight="false" outlineLevel="0" collapsed="false">
      <c r="B11" s="26" t="s">
        <v>252</v>
      </c>
      <c r="C11" s="26" t="s">
        <v>253</v>
      </c>
      <c r="D11" s="26" t="s">
        <v>8</v>
      </c>
      <c r="E11" s="26" t="s">
        <v>254</v>
      </c>
    </row>
    <row r="12" customFormat="false" ht="15" hidden="false" customHeight="false" outlineLevel="0" collapsed="false">
      <c r="B12" s="26" t="s">
        <v>255</v>
      </c>
      <c r="C12" s="26" t="s">
        <v>256</v>
      </c>
      <c r="D12" s="26" t="s">
        <v>8</v>
      </c>
      <c r="E12" s="26" t="s">
        <v>257</v>
      </c>
    </row>
    <row r="13" customFormat="false" ht="15" hidden="false" customHeight="false" outlineLevel="0" collapsed="false">
      <c r="B13" s="26" t="s">
        <v>258</v>
      </c>
      <c r="C13" s="26" t="s">
        <v>256</v>
      </c>
      <c r="D13" s="26" t="s">
        <v>8</v>
      </c>
      <c r="E13" s="26" t="s">
        <v>259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28"/>
    <col collapsed="false" customWidth="true" hidden="false" outlineLevel="0" max="5" min="5" style="0" width="38"/>
    <col collapsed="false" customWidth="true" hidden="false" outlineLevel="0" max="6" min="6" style="0" width="34"/>
    <col collapsed="false" customWidth="true" hidden="false" outlineLevel="0" max="7" min="7" style="0" width="18"/>
  </cols>
  <sheetData>
    <row r="2" customFormat="false" ht="27.75" hidden="false" customHeight="true" outlineLevel="0" collapsed="false">
      <c r="B2" s="1" t="s">
        <v>260</v>
      </c>
      <c r="C2" s="1"/>
      <c r="D2" s="1"/>
      <c r="E2" s="1"/>
      <c r="F2" s="1"/>
      <c r="G2" s="1"/>
    </row>
    <row r="4" customFormat="false" ht="15" hidden="false" customHeight="false" outlineLevel="0" collapsed="false">
      <c r="B4" s="15" t="s">
        <v>95</v>
      </c>
      <c r="C4" s="15" t="s">
        <v>261</v>
      </c>
      <c r="D4" s="15" t="s">
        <v>262</v>
      </c>
      <c r="E4" s="15" t="s">
        <v>263</v>
      </c>
      <c r="F4" s="15" t="s">
        <v>264</v>
      </c>
      <c r="G4" s="15" t="s">
        <v>265</v>
      </c>
    </row>
    <row r="5" customFormat="false" ht="15" hidden="false" customHeight="false" outlineLevel="0" collapsed="false">
      <c r="B5" s="27" t="s">
        <v>266</v>
      </c>
      <c r="C5" s="27" t="s">
        <v>267</v>
      </c>
      <c r="D5" s="27" t="s">
        <v>256</v>
      </c>
      <c r="E5" s="27" t="s">
        <v>268</v>
      </c>
      <c r="F5" s="27" t="s">
        <v>269</v>
      </c>
      <c r="G5" s="27" t="s">
        <v>270</v>
      </c>
    </row>
    <row r="6" customFormat="false" ht="15" hidden="false" customHeight="false" outlineLevel="0" collapsed="false">
      <c r="B6" s="27"/>
      <c r="C6" s="27"/>
      <c r="D6" s="27"/>
      <c r="E6" s="27"/>
      <c r="F6" s="27"/>
      <c r="G6" s="27"/>
    </row>
    <row r="7" customFormat="false" ht="15" hidden="false" customHeight="false" outlineLevel="0" collapsed="false">
      <c r="B7" s="27"/>
      <c r="C7" s="27"/>
      <c r="D7" s="27"/>
      <c r="E7" s="27"/>
      <c r="F7" s="27"/>
      <c r="G7" s="27"/>
    </row>
    <row r="8" customFormat="false" ht="15" hidden="false" customHeight="false" outlineLevel="0" collapsed="false">
      <c r="B8" s="27"/>
      <c r="C8" s="27"/>
      <c r="D8" s="27"/>
      <c r="E8" s="27"/>
      <c r="F8" s="27"/>
      <c r="G8" s="27"/>
    </row>
    <row r="9" customFormat="false" ht="15" hidden="false" customHeight="false" outlineLevel="0" collapsed="false">
      <c r="B9" s="27"/>
      <c r="C9" s="27"/>
      <c r="D9" s="27"/>
      <c r="E9" s="27"/>
      <c r="F9" s="27"/>
      <c r="G9" s="27"/>
    </row>
    <row r="10" customFormat="false" ht="15" hidden="false" customHeight="false" outlineLevel="0" collapsed="false">
      <c r="B10" s="27"/>
      <c r="C10" s="27"/>
      <c r="D10" s="27"/>
      <c r="E10" s="27"/>
      <c r="F10" s="27"/>
      <c r="G10" s="27"/>
    </row>
    <row r="11" customFormat="false" ht="15" hidden="false" customHeight="false" outlineLevel="0" collapsed="false">
      <c r="B11" s="27"/>
      <c r="C11" s="27"/>
      <c r="D11" s="27"/>
      <c r="E11" s="27"/>
      <c r="F11" s="27"/>
      <c r="G11" s="27"/>
    </row>
    <row r="12" customFormat="false" ht="15" hidden="false" customHeight="false" outlineLevel="0" collapsed="false">
      <c r="B12" s="27"/>
      <c r="C12" s="27"/>
      <c r="D12" s="27"/>
      <c r="E12" s="27"/>
      <c r="F12" s="27"/>
      <c r="G12" s="27"/>
    </row>
    <row r="13" customFormat="false" ht="15" hidden="false" customHeight="false" outlineLevel="0" collapsed="false">
      <c r="B13" s="27"/>
      <c r="C13" s="27"/>
      <c r="D13" s="27"/>
      <c r="E13" s="27"/>
      <c r="F13" s="27"/>
      <c r="G13" s="27"/>
    </row>
    <row r="14" customFormat="false" ht="15" hidden="false" customHeight="false" outlineLevel="0" collapsed="false">
      <c r="B14" s="27"/>
      <c r="C14" s="27"/>
      <c r="D14" s="27"/>
      <c r="E14" s="27"/>
      <c r="F14" s="27"/>
      <c r="G14" s="27"/>
    </row>
    <row r="15" customFormat="false" ht="15" hidden="false" customHeight="false" outlineLevel="0" collapsed="false">
      <c r="B15" s="27"/>
      <c r="C15" s="27"/>
      <c r="D15" s="27"/>
      <c r="E15" s="27"/>
      <c r="F15" s="27"/>
      <c r="G15" s="27"/>
    </row>
    <row r="16" customFormat="false" ht="15" hidden="false" customHeight="false" outlineLevel="0" collapsed="false">
      <c r="B16" s="27"/>
      <c r="C16" s="27"/>
      <c r="D16" s="27"/>
      <c r="E16" s="27"/>
      <c r="F16" s="27"/>
      <c r="G16" s="27"/>
    </row>
    <row r="17" customFormat="false" ht="15" hidden="false" customHeight="false" outlineLevel="0" collapsed="false">
      <c r="B17" s="27"/>
      <c r="C17" s="27"/>
      <c r="D17" s="27"/>
      <c r="E17" s="27"/>
      <c r="F17" s="27"/>
      <c r="G17" s="27"/>
    </row>
    <row r="18" customFormat="false" ht="15" hidden="false" customHeight="false" outlineLevel="0" collapsed="false">
      <c r="B18" s="27"/>
      <c r="C18" s="27"/>
      <c r="D18" s="27"/>
      <c r="E18" s="27"/>
      <c r="F18" s="27"/>
      <c r="G18" s="27"/>
    </row>
    <row r="19" customFormat="false" ht="15" hidden="false" customHeight="false" outlineLevel="0" collapsed="false">
      <c r="B19" s="27"/>
      <c r="C19" s="27"/>
      <c r="D19" s="27"/>
      <c r="E19" s="27"/>
      <c r="F19" s="27"/>
      <c r="G19" s="27"/>
    </row>
    <row r="20" customFormat="false" ht="15" hidden="false" customHeight="false" outlineLevel="0" collapsed="false">
      <c r="B20" s="27"/>
      <c r="C20" s="27"/>
      <c r="D20" s="27"/>
      <c r="E20" s="27"/>
      <c r="F20" s="27"/>
      <c r="G20" s="27"/>
    </row>
    <row r="21" customFormat="false" ht="15" hidden="false" customHeight="false" outlineLevel="0" collapsed="false">
      <c r="B21" s="27"/>
      <c r="C21" s="27"/>
      <c r="D21" s="27"/>
      <c r="E21" s="27"/>
      <c r="F21" s="27"/>
      <c r="G21" s="27"/>
    </row>
    <row r="22" customFormat="false" ht="15" hidden="false" customHeight="false" outlineLevel="0" collapsed="false">
      <c r="B22" s="27"/>
      <c r="C22" s="27"/>
      <c r="D22" s="27"/>
      <c r="E22" s="27"/>
      <c r="F22" s="27"/>
      <c r="G22" s="27"/>
    </row>
    <row r="23" customFormat="false" ht="15" hidden="false" customHeight="false" outlineLevel="0" collapsed="false">
      <c r="B23" s="27"/>
      <c r="C23" s="27"/>
      <c r="D23" s="27"/>
      <c r="E23" s="27"/>
      <c r="F23" s="27"/>
      <c r="G23" s="27"/>
    </row>
    <row r="24" customFormat="false" ht="15" hidden="false" customHeight="false" outlineLevel="0" collapsed="false">
      <c r="B24" s="27"/>
      <c r="C24" s="27"/>
      <c r="D24" s="27"/>
      <c r="E24" s="27"/>
      <c r="F24" s="27"/>
      <c r="G24" s="27"/>
    </row>
    <row r="25" customFormat="false" ht="15" hidden="false" customHeight="false" outlineLevel="0" collapsed="false">
      <c r="B25" s="27"/>
      <c r="C25" s="27"/>
      <c r="D25" s="27"/>
      <c r="E25" s="27"/>
      <c r="F25" s="27"/>
      <c r="G25" s="27"/>
    </row>
    <row r="26" customFormat="false" ht="15" hidden="false" customHeight="false" outlineLevel="0" collapsed="false">
      <c r="B26" s="27"/>
      <c r="C26" s="27"/>
      <c r="D26" s="27"/>
      <c r="E26" s="27"/>
      <c r="F26" s="27"/>
      <c r="G26" s="27"/>
    </row>
    <row r="27" customFormat="false" ht="15" hidden="false" customHeight="false" outlineLevel="0" collapsed="false">
      <c r="B27" s="27"/>
      <c r="C27" s="27"/>
      <c r="D27" s="27"/>
      <c r="E27" s="27"/>
      <c r="F27" s="27"/>
      <c r="G27" s="27"/>
    </row>
    <row r="28" customFormat="false" ht="15" hidden="false" customHeight="false" outlineLevel="0" collapsed="false">
      <c r="B28" s="27"/>
      <c r="C28" s="27"/>
      <c r="D28" s="27"/>
      <c r="E28" s="27"/>
      <c r="F28" s="27"/>
      <c r="G28" s="27"/>
    </row>
    <row r="29" customFormat="false" ht="15" hidden="false" customHeight="false" outlineLevel="0" collapsed="false">
      <c r="B29" s="27"/>
      <c r="C29" s="27"/>
      <c r="D29" s="27"/>
      <c r="E29" s="27"/>
      <c r="F29" s="27"/>
      <c r="G29" s="27"/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2026-08-06T19:45:01Z</dcterms:created>
  <dc:creator>openpyxl</dc:creator>
  <dc:description/>
  <dc:language>en-US</dc:language>
  <cp:lastModifiedBy/>
  <dcterms:modified xsi:type="dcterms:W3CDTF">2026-08-06T19:45:32Z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