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ARR Rollforward" sheetId="6" state="visible" r:id="rId8"/>
    <sheet name="Operating Model" sheetId="7" state="visible" r:id="rId9"/>
    <sheet name="RPO &amp; Bookings" sheetId="8" state="visible" r:id="rId10"/>
    <sheet name="Unit Economics" sheetId="9" state="visible" r:id="rId11"/>
    <sheet name="Rule of 40" sheetId="10" state="visible" r:id="rId12"/>
    <sheet name="Checks" sheetId="11" state="visible" r:id="rId13"/>
    <sheet name="Sources" sheetId="12" state="visible" r:id="rId14"/>
    <sheet name="RefreshLog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<sst xmlns="http://schemas.openxmlformats.org/spreadsheetml/2006/main" count="403" uniqueCount="275">
  <si>
    <t xml:space="preserve">UiPath, Inc. -- FY2023 net-retention deceleration case</t>
  </si>
  <si>
    <t xml:space="preserve">Company / ticker:</t>
  </si>
  <si>
    <t xml:space="preserve">UiPath, Inc. (NYSE: PATH), CIK 0001734722</t>
  </si>
  <si>
    <t xml:space="preserve">Subsector:</t>
  </si>
  <si>
    <t xml:space="preserve">application software -- SEC SIC 7372 (Services-Prepackaged Software), as filed by the registrant</t>
  </si>
  <si>
    <t xml:space="preserve">Fiscal year end:</t>
  </si>
  <si>
    <t xml:space="preserve">2023-01-31 (FY2023)</t>
  </si>
  <si>
    <t xml:space="preserve">Last refreshed:</t>
  </si>
  <si>
    <t xml:space="preserve">2023-01-31</t>
  </si>
  <si>
    <t xml:space="preserve">Next filing / refresh:</t>
  </si>
  <si>
    <t xml:space="preserve">FY2024 10-K, filed 2024-03-27, already used for this case's realized outcome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</si>
  <si>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</si>
  <si>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</si>
  <si>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</si>
  <si>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</si>
  <si>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</si>
  <si>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</si>
  <si>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</si>
  <si>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</si>
  <si>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</si>
  <si>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</si>
  <si>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</si>
  <si>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</si>
  <si>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</si>
  <si>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Software &amp; SaaS — Institutional Decision Surface</t>
  </si>
  <si>
    <t xml:space="preserve">Model ID</t>
  </si>
  <si>
    <t xml:space="preserve">31</t>
  </si>
  <si>
    <t xml:space="preserve">Domain</t>
  </si>
  <si>
    <t xml:space="preserve">Software &amp; SaaS</t>
  </si>
  <si>
    <t xml:space="preserve">Declared maturity</t>
  </si>
  <si>
    <t xml:space="preserve">M1</t>
  </si>
  <si>
    <t xml:space="preserve">Canonical builder</t>
  </si>
  <si>
    <t xml:space="preserve">tools/builders/build_software_saas_institutional.py</t>
  </si>
  <si>
    <t xml:space="preserve">Decision arena</t>
  </si>
  <si>
    <t xml:space="preserve">management team, board, public-market investors and growth-equity investment committee</t>
  </si>
  <si>
    <t xml:space="preserve">Committee artifact</t>
  </si>
  <si>
    <t xml:space="preserve">quarterly ARR and retention review pack</t>
  </si>
  <si>
    <t xml:space="preserve">Operating cadence</t>
  </si>
  <si>
    <t xml:space="preserve">quarterly earnings and ARR reporting; annual plan and long-range model refresh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</si>
  <si>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</si>
  <si>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</si>
  <si>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</si>
  <si>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</si>
  <si>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</si>
  <si>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</si>
  <si>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ARR roll-forward with net and gross revenue retention</t>
  </si>
  <si>
    <t xml:space="preserve">OPEN</t>
  </si>
  <si>
    <t xml:space="preserve">customer-acquisition payback and magic number</t>
  </si>
  <si>
    <t xml:space="preserve">Rule of 40 growth-versus-profitability trade-off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</si>
  <si>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</si>
  <si>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</si>
  <si>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</si>
  <si>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net revenue retention excluding new customers, and how does it compare to gross retention?</t>
  </si>
  <si>
    <t xml:space="preserve">How many months of gross profit does it take to repay customer-acquisition cost?</t>
  </si>
  <si>
    <t xml:space="preserve">Does the company clear Rule of 40 on free cash flow, not just on operating margin?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</si>
  <si>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</si>
  <si>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</si>
  <si>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</si>
  <si>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gross churn acceleration</t>
  </si>
  <si>
    <t xml:space="preserve">expansion contraction as customers optimise seats</t>
  </si>
  <si>
    <t xml:space="preserve">sales-efficiency deterioration raising payback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</si>
  <si>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</si>
  <si>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</si>
  <si>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</si>
  <si>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annual report and quarterly filings</t>
  </si>
  <si>
    <t xml:space="preserve">revenue disaggregation and equity compensation notes</t>
  </si>
  <si>
    <t xml:space="preserve">shareholder letters and investor-day disclosure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</si>
  <si>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</si>
  <si>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</si>
  <si>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</si>
  <si>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ARR roll-forward reconciles beginning to ending balance</t>
  </si>
  <si>
    <t xml:space="preserve">net revenue retention exceeds gross revenue retention</t>
  </si>
  <si>
    <t xml:space="preserve">blended gross margin sits between its subscription and services components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</si>
  <si>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</si>
  <si>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</si>
  <si>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</si>
  <si>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quoting net revenue retention that silently includes new logos</t>
  </si>
  <si>
    <t xml:space="preserve">burying stock-based compensation inside operating expense</t>
  </si>
  <si>
    <t xml:space="preserve">treating ending ARR as recognised revenue in a growing year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</si>
  <si>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</si>
  <si>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</si>
  <si>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</si>
  <si>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</si>
  <si>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</si>
  <si>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</si>
  <si>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</si>
  <si>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</si>
  <si>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</si>
  <si>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</si>
  <si>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</si>
  <si>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</si>
  <si>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</si>
  <si>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</si>
  <si>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</si>
  <si>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</si>
  <si>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</si>
  <si>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</si>
  <si>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</si>
  <si>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</si>
  <si>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</si>
  <si>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</si>
  <si>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</si>
  <si>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</si>
  <si>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</si>
  <si>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</si>
  <si>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</si>
  <si>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</si>
  <si>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</si>
  <si>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</si>
  <si>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</si>
  <si>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annual and quarterly filings</t>
  </si>
  <si>
    <t xml:space="preserve">quarterly</t>
  </si>
  <si>
    <t xml:space="preserve">audited financial statements and revenue disaggregation</t>
  </si>
  <si>
    <t xml:space="preserve">TO MAP</t>
  </si>
  <si>
    <t xml:space="preserve">industry cost of capital and multiple datasets</t>
  </si>
  <si>
    <t xml:space="preserve">annual</t>
  </si>
  <si>
    <t xml:space="preserve">published industry statistics used to ground driver ranges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</si>
  <si>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</si>
  <si>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</si>
  <si>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</si>
  <si>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</si>
  <si>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</si>
  <si>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</si>
  <si>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Software Operating Drivers</t>
  </si>
  <si>
    <t xml:space="preserve">Driver</t>
  </si>
  <si>
    <t xml:space="preserve">Base</t>
  </si>
  <si>
    <t xml:space="preserve">Active</t>
  </si>
  <si>
    <t xml:space="preserve">Units / note</t>
  </si>
  <si>
    <t xml:space="preserve">Beginning ARR</t>
  </si>
  <si>
    <t xml:space="preserve">$mm</t>
  </si>
  <si>
    <t xml:space="preserve">New ARR added (% of beginning ARR)</t>
  </si>
  <si>
    <t xml:space="preserve">%</t>
  </si>
  <si>
    <t xml:space="preserve">Expansion ARR (% of beginning ARR)</t>
  </si>
  <si>
    <t xml:space="preserve">Contraction ARR (% of beginning ARR)</t>
  </si>
  <si>
    <t xml:space="preserve">Gross churn (% of beginning ARR)</t>
  </si>
  <si>
    <t xml:space="preserve">Services revenue (% of subscription revenue)</t>
  </si>
  <si>
    <t xml:space="preserve">Subscription gross margin</t>
  </si>
  <si>
    <t xml:space="preserve">Services gross margin</t>
  </si>
  <si>
    <t xml:space="preserve">Sales &amp; marketing (% of revenue)</t>
  </si>
  <si>
    <t xml:space="preserve">Research &amp; development (% of revenue)</t>
  </si>
  <si>
    <t xml:space="preserve">General &amp; administrative (% of revenue)</t>
  </si>
  <si>
    <t xml:space="preserve">Stock-based compensation (% of revenue)</t>
  </si>
  <si>
    <t xml:space="preserve">Capex (% of revenue)</t>
  </si>
  <si>
    <t xml:space="preserve">Cash tax rate</t>
  </si>
  <si>
    <t xml:space="preserve">Gross margin on new ARR (for CAC payback)</t>
  </si>
  <si>
    <t xml:space="preserve">Beginning remaining performance obligation (RPO)</t>
  </si>
  <si>
    <t xml:space="preserve">RPO coverage of revenue (ending RPO / revenue)</t>
  </si>
  <si>
    <t xml:space="preserve">x</t>
  </si>
  <si>
    <t xml:space="preserve">Current portion of RPO (recognised within 12 months)</t>
  </si>
  <si>
    <t xml:space="preserve">Contract liability / deferred revenue (% of revenue)</t>
  </si>
  <si>
    <t xml:space="preserve">Annual Recurring Revenue Roll-Forward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</si>
  <si>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</si>
  <si>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</si>
  <si>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</si>
  <si>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</si>
  <si>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</si>
  <si>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+ New ARR</t>
  </si>
  <si>
    <t xml:space="preserve">+ Expansion ARR</t>
  </si>
  <si>
    <t xml:space="preserve">- Contraction ARR</t>
  </si>
  <si>
    <t xml:space="preserve">- Gross churn</t>
  </si>
  <si>
    <t xml:space="preserve">Ending ARR</t>
  </si>
  <si>
    <t xml:space="preserve">Net new ARR</t>
  </si>
  <si>
    <t xml:space="preserve">Net revenue retention</t>
  </si>
  <si>
    <t xml:space="preserve">Gross revenue retention</t>
  </si>
  <si>
    <t xml:space="preserve">ARR growth</t>
  </si>
  <si>
    <t xml:space="preserve">Revenue, Margin, and Cash Flow</t>
  </si>
  <si>
    <t xml:space="preserve">Subscription revenue</t>
  </si>
  <si>
    <t xml:space="preserve">Services revenue</t>
  </si>
  <si>
    <t xml:space="preserve">Total revenue</t>
  </si>
  <si>
    <t xml:space="preserve">Subscription gross profit</t>
  </si>
  <si>
    <t xml:space="preserve">Services gross profit</t>
  </si>
  <si>
    <t xml:space="preserve">Total gross profit</t>
  </si>
  <si>
    <t xml:space="preserve">Blended gross margin</t>
  </si>
  <si>
    <t xml:space="preserve">Sales &amp; marketing</t>
  </si>
  <si>
    <t xml:space="preserve">Research &amp; development</t>
  </si>
  <si>
    <t xml:space="preserve">General &amp; administrative</t>
  </si>
  <si>
    <t xml:space="preserve">Total operating expense</t>
  </si>
  <si>
    <t xml:space="preserve">GAAP operating income</t>
  </si>
  <si>
    <t xml:space="preserve">GAAP operating margin</t>
  </si>
  <si>
    <t xml:space="preserve">Stock-based compensation</t>
  </si>
  <si>
    <t xml:space="preserve">Non-GAAP operating income (ex-SBC)</t>
  </si>
  <si>
    <t xml:space="preserve">Non-GAAP operating margin</t>
  </si>
  <si>
    <t xml:space="preserve">Cash taxes</t>
  </si>
  <si>
    <t xml:space="preserve">Capex</t>
  </si>
  <si>
    <t xml:space="preserve">Free cash flow</t>
  </si>
  <si>
    <t xml:space="preserve">FCF margin</t>
  </si>
  <si>
    <t xml:space="preserve">Remaining Performance Obligations and Implied Bookings</t>
  </si>
  <si>
    <t xml:space="preserve">Revenue recognised</t>
  </si>
  <si>
    <t xml:space="preserve">Beginning RPO</t>
  </si>
  <si>
    <t xml:space="preserve">Ending RPO</t>
  </si>
  <si>
    <t xml:space="preserve">Implied gross bookings (residual)</t>
  </si>
  <si>
    <t xml:space="preserve">Book-to-bill</t>
  </si>
  <si>
    <t xml:space="preserve">RPO growth</t>
  </si>
  <si>
    <t xml:space="preserve">Current RPO (recognised within 12 months)</t>
  </si>
  <si>
    <t xml:space="preserve">Non-current RPO</t>
  </si>
  <si>
    <t xml:space="preserve">Contract liability (deferred revenue)</t>
  </si>
  <si>
    <t xml:space="preserve">Unbilled RPO</t>
  </si>
  <si>
    <t xml:space="preserve">Unbilled share of RPO</t>
  </si>
  <si>
    <t xml:space="preserve">Current RPO / following-year revenue</t>
  </si>
  <si>
    <t xml:space="preserve">n/a</t>
  </si>
  <si>
    <t xml:space="preserve">Ending RPO / ending ARR</t>
  </si>
  <si>
    <t xml:space="preserve">Customer Acquisition Efficiency</t>
  </si>
  <si>
    <t xml:space="preserve">Metric</t>
  </si>
  <si>
    <t xml:space="preserve">S&amp;M spend</t>
  </si>
  <si>
    <t xml:space="preserve">New + expansion ARR</t>
  </si>
  <si>
    <t xml:space="preserve">Magic number</t>
  </si>
  <si>
    <t xml:space="preserve">CAC payback (months)</t>
  </si>
  <si>
    <t xml:space="preserve">Gross-profit-weighted CAC payback (months)</t>
  </si>
  <si>
    <t xml:space="preserve">S&amp;M as % of new ARR</t>
  </si>
  <si>
    <t xml:space="preserve">Growth versus Profitability Trade-off</t>
  </si>
  <si>
    <t xml:space="preserve">Revenue growth</t>
  </si>
  <si>
    <t xml:space="preserve">Rule of 40 (growth + FCF margin)</t>
  </si>
  <si>
    <t xml:space="preserve">Rule of 40 (growth + operating margin)</t>
  </si>
  <si>
    <t xml:space="preserve">Software Model Checks</t>
  </si>
  <si>
    <t xml:space="preserve">Check</t>
  </si>
  <si>
    <t xml:space="preserve">ARR roll-forward reconciles (ending = beginning + new + expansion - contraction - churn)</t>
  </si>
  <si>
    <t xml:space="preserve">ARR balances never negative</t>
  </si>
  <si>
    <t xml:space="preserve">Gross revenue retention does not exceed 100%</t>
  </si>
  <si>
    <t xml:space="preserve">Net revenue retention exceeds gross revenue retention</t>
  </si>
  <si>
    <t xml:space="preserve">Total revenue equals subscription plus services</t>
  </si>
  <si>
    <t xml:space="preserve">Blended gross margin sits between services and subscription margin</t>
  </si>
  <si>
    <t xml:space="preserve">Non-GAAP operating income exceeds GAAP (SBC added back)</t>
  </si>
  <si>
    <t xml:space="preserve">Magic number positive</t>
  </si>
  <si>
    <t xml:space="preserve">Gross-profit CAC payback within 36 months</t>
  </si>
  <si>
    <t xml:space="preserve">RPO roll-forward reconciles (ending = beginning + bookings - revenue)</t>
  </si>
  <si>
    <t xml:space="preserve">Current RPO does not exceed total RPO</t>
  </si>
  <si>
    <t xml:space="preserve">Contract liability does not exceed total RPO (unbilled RPO non-negative)</t>
  </si>
  <si>
    <t xml:space="preserve">Implied gross bookings positive (no negative-bookings year)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</si>
  <si>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</si>
  <si>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</si>
  <si>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</si>
  <si>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</si>
  <si>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</si>
  <si>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ARR and retention disclosures</t>
  </si>
  <si>
    <t xml:space="preserve">[10-K / 10-Q / shareholder letter]</t>
  </si>
  <si>
    <t xml:space="preserve">[period]</t>
  </si>
  <si>
    <t xml:space="preserve">Beginning/ending ARR, NRR, customer counts</t>
  </si>
  <si>
    <t xml:space="preserve">Revenue disaggregation</t>
  </si>
  <si>
    <t xml:space="preserve">[10-K revenue note]</t>
  </si>
  <si>
    <t xml:space="preserve">Subscription versus services split and gross margin by type</t>
  </si>
  <si>
    <t xml:space="preserve">[10-K equity note]</t>
  </si>
  <si>
    <t xml:space="preserve">SBC by expense line</t>
  </si>
  <si>
    <t xml:space="preserve">Remaining performance obligations</t>
  </si>
  <si>
    <t xml:space="preserve">[10-K revenue note / XBRL RevenueRemainingPerformanceObligation]</t>
  </si>
  <si>
    <t xml:space="preserve">Total RPO and the portion expected to be recognised within twelve months</t>
  </si>
  <si>
    <t xml:space="preserve">Contract liabilities</t>
  </si>
  <si>
    <t xml:space="preserve">[10-K balance sheet / XBRL ContractWithCustomerLiability]</t>
  </si>
  <si>
    <t xml:space="preserve">Deferred revenue, used to split billed from unbilled RPO</t>
  </si>
  <si>
    <t xml:space="preserve">Industry cost of capital and multiples</t>
  </si>
  <si>
    <t xml:space="preserve">https://pages.stern.nyu.edu/~adamodar/New_Home_Page/data.html</t>
  </si>
  <si>
    <t xml:space="preserve">[annual]</t>
  </si>
  <si>
    <t xml:space="preserve">Software industry margins, betas, and multiple ranges for driver grounding</t>
  </si>
  <si>
    <t xml:space="preserve">UiPath, Inc. FY2023 Form 10-K (SEC EDGAR, CIK 0001734722)</t>
  </si>
  <si>
    <t xml:space="preserve">https://www.sec.gov/Archives/edgar/data/1734722/000173472223000017/path-20230131.htm</t>
  </si>
  <si>
    <t xml:space="preserve">Filed 2023-03-24, accession 0001734722-23-000017. Source of ARR, net retention rate, revenue mix, cost structure, RPO, and capex for FY2023.</t>
  </si>
  <si>
    <t xml:space="preserve">UiPath, Inc. FY2024 Form 10-K (SEC EDGAR, CIK 0001734722)</t>
  </si>
  <si>
    <t xml:space="preserve">https://www.sec.gov/Archives/edgar/data/1734722/000173472224000011/path-20240131.htm</t>
  </si>
  <si>
    <t xml:space="preserve">2024-01-31</t>
  </si>
  <si>
    <t xml:space="preserve">Filed 2024-03-27. Source of the realized outcome: FY2024 dollar-based net retention rate (119%), disclosed alongside the FY2023 comparative (123%).</t>
  </si>
  <si>
    <t xml:space="preserve">UiPath XBRL annual fact series (SEC EDGAR company facts, CIK 0001734722)</t>
  </si>
  <si>
    <t xml:space="preserve">https://data.sec.gov/api/xbrl/companyfacts/CIK0001734722.json</t>
  </si>
  <si>
    <t xml:space="preserve">Cross-check for revenue, gross profit, operating loss against the 10-K's own statement of operations (recorded at tools/data_fabric/out/PATH_facts_annual_series.json).</t>
  </si>
  <si>
    <t xml:space="preserve">Case design decision</t>
  </si>
  <si>
    <t xml:space="preserve">repo://tools/build_software_uipath_case.py</t>
  </si>
  <si>
    <t xml:space="preserve">This case is the adversarial half of the pair; only the Downside column is populated with real data.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</si>
  <si>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</si>
  <si>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</si>
  <si>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</si>
  <si>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</si>
  <si>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</si>
  <si>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</si>
  <si>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Adversarial-pair sourcing for the Software &amp; SaaS domain (model_card.md thin-coverage gap)</t>
  </si>
  <si>
    <t xml:space="preserve">Generated public case software-public-uipath-fy2023-stress from canonical release template</t>
  </si>
  <si>
    <t xml:space="preserve">External historical case; human stakeholder approval remains pending. License revenue (47% of FY2023 revenue) falls outside this ARR-driven template's scope and is not represented. Unlike software-public-adobe-fy2025 (which uses revenue AS an ARR proxy, by construction near-consistent with itself), this case uses UiPath's own REAL disclosed ARR as the scale driver. UiPath's ARR (annualized invoiced amounts from subscription + maintenance/support) and its GAAP Subscription-services revenue line are genuinely different bases -- the template's avg-ARR-times-(1+services%) revenue formula, applied to real ARR, implies Year-1 total revenue of ~$1,173.1mm against UiPath's actual disclosed FY2023 revenue of $1,058.6mm, a +10.8% gap. This is not a modeling error: it is the real, measurable distance between an ARR-native metric and GAAP revenue recognition timing for this specific company, disclosed here rather than papered over.</t>
  </si>
  <si>
    <t xml:space="preserve">On source revision, builder change, monitoring breach, or quarterly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</si>
</sst>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4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94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44</v>
      </c>
      <c r="I4" s="13" t="s">
        <v>101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102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42</v>
      </c>
      <c r="H4" s="13" t="s">
        <v>108</v>
      </c>
      <c r="I4" s="13" t="s">
        <v>109</v>
      </c>
      <c r="J4" s="13" t="s">
        <v>44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  <c r="J5" s="14" t="s">
        <v>113</v>
      </c>
    </row>
    <row r="6" customFormat="false" ht="15" hidden="false" customHeight="false" outlineLevel="0" collapsed="false">
      <c r="B6" s="0" t="s">
        <v>114</v>
      </c>
      <c r="C6" s="0" t="s">
        <v>115</v>
      </c>
      <c r="D6" s="0" t="s">
        <v>116</v>
      </c>
      <c r="J6" s="14" t="s">
        <v>113</v>
      </c>
    </row>
    <row r="7" customFormat="false" ht="15" hidden="false" customHeight="false" outlineLevel="0" collapsed="false">
      <c r="B7" s="0" t="s">
        <v>117</v>
      </c>
      <c r="C7" s="0" t="s">
        <v>118</v>
      </c>
      <c r="D7" s="0" t="s">
        <v>119</v>
      </c>
      <c r="J7" s="14" t="s">
        <v>113</v>
      </c>
    </row>
    <row r="8" customFormat="false" ht="15" hidden="false" customHeight="false" outlineLevel="0" collapsed="false">
      <c r="B8" s="0" t="s">
        <v>120</v>
      </c>
      <c r="C8" s="0" t="s">
        <v>121</v>
      </c>
      <c r="D8" s="0" t="s">
        <v>122</v>
      </c>
      <c r="J8" s="14" t="s">
        <v>113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123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12</v>
      </c>
      <c r="E4" s="15" t="s">
        <v>126</v>
      </c>
      <c r="F4" s="15" t="s">
        <v>127</v>
      </c>
    </row>
    <row r="5" customFormat="false" ht="15" hidden="false" customHeight="false" outlineLevel="0" collapsed="false">
      <c r="B5" s="0" t="s">
        <v>128</v>
      </c>
      <c r="C5" s="16" t="n">
        <v>1000</v>
      </c>
      <c r="D5" s="17" t="n">
        <v>925.3</v>
      </c>
      <c r="E5" s="18" t="n">
        <f aca="false">IF(Cover!$C$9="Downside",D5,C5)</f>
        <v>925.3</v>
      </c>
      <c r="F5" s="0" t="s">
        <v>129</v>
      </c>
    </row>
    <row r="6" customFormat="false" ht="15" hidden="false" customHeight="false" outlineLevel="0" collapsed="false">
      <c r="B6" s="0" t="s">
        <v>130</v>
      </c>
      <c r="C6" s="19" t="n">
        <v>0.22</v>
      </c>
      <c r="D6" s="20" t="n">
        <v>0.0711</v>
      </c>
      <c r="E6" s="21" t="n">
        <f aca="false">IF(Cover!$C$9="Downside",D6,C6)</f>
        <v>0.0711</v>
      </c>
      <c r="F6" s="0" t="s">
        <v>131</v>
      </c>
    </row>
    <row r="7" customFormat="false" ht="15" hidden="false" customHeight="false" outlineLevel="0" collapsed="false">
      <c r="B7" s="0" t="s">
        <v>132</v>
      </c>
      <c r="C7" s="19" t="n">
        <v>0.14</v>
      </c>
      <c r="D7" s="20" t="n">
        <v>0.36</v>
      </c>
      <c r="E7" s="21" t="n">
        <f aca="false">IF(Cover!$C$9="Downside",D7,C7)</f>
        <v>0.36</v>
      </c>
      <c r="F7" s="0" t="s">
        <v>131</v>
      </c>
    </row>
    <row r="8" customFormat="false" ht="15" hidden="false" customHeight="false" outlineLevel="0" collapsed="false">
      <c r="B8" s="0" t="s">
        <v>133</v>
      </c>
      <c r="C8" s="19" t="n">
        <v>0.04</v>
      </c>
      <c r="D8" s="20" t="n">
        <v>0.05</v>
      </c>
      <c r="E8" s="21" t="n">
        <f aca="false">IF(Cover!$C$9="Downside",D8,C8)</f>
        <v>0.05</v>
      </c>
      <c r="F8" s="0" t="s">
        <v>131</v>
      </c>
    </row>
    <row r="9" customFormat="false" ht="15" hidden="false" customHeight="false" outlineLevel="0" collapsed="false">
      <c r="B9" s="0" t="s">
        <v>134</v>
      </c>
      <c r="C9" s="19" t="n">
        <v>0.08</v>
      </c>
      <c r="D9" s="20" t="n">
        <v>0.08</v>
      </c>
      <c r="E9" s="21" t="n">
        <f aca="false">IF(Cover!$C$9="Downside",D9,C9)</f>
        <v>0.08</v>
      </c>
      <c r="F9" s="0" t="s">
        <v>131</v>
      </c>
    </row>
    <row r="10" customFormat="false" ht="15" hidden="false" customHeight="false" outlineLevel="0" collapsed="false">
      <c r="B10" s="0" t="s">
        <v>135</v>
      </c>
      <c r="C10" s="19" t="n">
        <v>0.1</v>
      </c>
      <c r="D10" s="20" t="n">
        <v>0.102</v>
      </c>
      <c r="E10" s="21" t="n">
        <f aca="false">IF(Cover!$C$9="Downside",D10,C10)</f>
        <v>0.102</v>
      </c>
      <c r="F10" s="0" t="s">
        <v>131</v>
      </c>
    </row>
    <row r="11" customFormat="false" ht="15" hidden="false" customHeight="false" outlineLevel="0" collapsed="false">
      <c r="B11" s="0" t="s">
        <v>136</v>
      </c>
      <c r="C11" s="19" t="n">
        <v>0.8</v>
      </c>
      <c r="D11" s="20" t="n">
        <v>0.8283</v>
      </c>
      <c r="E11" s="21" t="n">
        <f aca="false">IF(Cover!$C$9="Downside",D11,C11)</f>
        <v>0.8283</v>
      </c>
      <c r="F11" s="0" t="s">
        <v>131</v>
      </c>
    </row>
    <row r="12" customFormat="false" ht="15" hidden="false" customHeight="false" outlineLevel="0" collapsed="false">
      <c r="B12" s="0" t="s">
        <v>137</v>
      </c>
      <c r="C12" s="19" t="n">
        <v>0.15</v>
      </c>
      <c r="D12" s="20" t="n">
        <v>-0.5844</v>
      </c>
      <c r="E12" s="21" t="n">
        <f aca="false">IF(Cover!$C$9="Downside",D12,C12)</f>
        <v>-0.5844</v>
      </c>
      <c r="F12" s="0" t="s">
        <v>131</v>
      </c>
    </row>
    <row r="13" customFormat="false" ht="15" hidden="false" customHeight="false" outlineLevel="0" collapsed="false">
      <c r="B13" s="0" t="s">
        <v>138</v>
      </c>
      <c r="C13" s="19" t="n">
        <v>0.38</v>
      </c>
      <c r="D13" s="20" t="n">
        <v>0.6627</v>
      </c>
      <c r="E13" s="21" t="n">
        <f aca="false">IF(Cover!$C$9="Downside",D13,C13)</f>
        <v>0.6627</v>
      </c>
      <c r="F13" s="0" t="s">
        <v>131</v>
      </c>
    </row>
    <row r="14" customFormat="false" ht="15" hidden="false" customHeight="false" outlineLevel="0" collapsed="false">
      <c r="B14" s="0" t="s">
        <v>139</v>
      </c>
      <c r="C14" s="19" t="n">
        <v>0.22</v>
      </c>
      <c r="D14" s="20" t="n">
        <v>0.2699</v>
      </c>
      <c r="E14" s="21" t="n">
        <f aca="false">IF(Cover!$C$9="Downside",D14,C14)</f>
        <v>0.2699</v>
      </c>
      <c r="F14" s="0" t="s">
        <v>131</v>
      </c>
    </row>
    <row r="15" customFormat="false" ht="15" hidden="false" customHeight="false" outlineLevel="0" collapsed="false">
      <c r="B15" s="0" t="s">
        <v>140</v>
      </c>
      <c r="C15" s="19" t="n">
        <v>0.12</v>
      </c>
      <c r="D15" s="20" t="n">
        <v>0.2263</v>
      </c>
      <c r="E15" s="21" t="n">
        <f aca="false">IF(Cover!$C$9="Downside",D15,C15)</f>
        <v>0.2263</v>
      </c>
      <c r="F15" s="0" t="s">
        <v>131</v>
      </c>
    </row>
    <row r="16" customFormat="false" ht="15" hidden="false" customHeight="false" outlineLevel="0" collapsed="false">
      <c r="B16" s="0" t="s">
        <v>141</v>
      </c>
      <c r="C16" s="19" t="n">
        <v>0.18</v>
      </c>
      <c r="D16" s="19" t="n">
        <v>0.2</v>
      </c>
      <c r="E16" s="21" t="n">
        <f aca="false">IF(Cover!$C$9="Downside",D16,C16)</f>
        <v>0.2</v>
      </c>
      <c r="F16" s="0" t="s">
        <v>131</v>
      </c>
    </row>
    <row r="17" customFormat="false" ht="15" hidden="false" customHeight="false" outlineLevel="0" collapsed="false">
      <c r="B17" s="0" t="s">
        <v>142</v>
      </c>
      <c r="C17" s="19" t="n">
        <v>0.03</v>
      </c>
      <c r="D17" s="20" t="n">
        <v>0.0225</v>
      </c>
      <c r="E17" s="21" t="n">
        <f aca="false">IF(Cover!$C$9="Downside",D17,C17)</f>
        <v>0.0225</v>
      </c>
      <c r="F17" s="0" t="s">
        <v>131</v>
      </c>
    </row>
    <row r="18" customFormat="false" ht="15" hidden="false" customHeight="false" outlineLevel="0" collapsed="false">
      <c r="B18" s="0" t="s">
        <v>143</v>
      </c>
      <c r="C18" s="19" t="n">
        <v>0.21</v>
      </c>
      <c r="D18" s="19" t="n">
        <v>0.21</v>
      </c>
      <c r="E18" s="21" t="n">
        <f aca="false">IF(Cover!$C$9="Downside",D18,C18)</f>
        <v>0.21</v>
      </c>
      <c r="F18" s="0" t="s">
        <v>131</v>
      </c>
    </row>
    <row r="19" customFormat="false" ht="15" hidden="false" customHeight="false" outlineLevel="0" collapsed="false">
      <c r="B19" s="0" t="s">
        <v>144</v>
      </c>
      <c r="C19" s="19" t="n">
        <v>0.8</v>
      </c>
      <c r="D19" s="20" t="n">
        <v>0.8283</v>
      </c>
      <c r="E19" s="21" t="n">
        <f aca="false">IF(Cover!$C$9="Downside",D19,C19)</f>
        <v>0.8283</v>
      </c>
      <c r="F19" s="0" t="s">
        <v>131</v>
      </c>
    </row>
    <row r="20" customFormat="false" ht="15" hidden="false" customHeight="false" outlineLevel="0" collapsed="false">
      <c r="B20" s="0" t="s">
        <v>145</v>
      </c>
      <c r="C20" s="16" t="n">
        <v>950</v>
      </c>
      <c r="D20" s="16" t="n">
        <v>950</v>
      </c>
      <c r="E20" s="18" t="n">
        <f aca="false">IF(Cover!$C$9="Downside",D20,C20)</f>
        <v>950</v>
      </c>
      <c r="F20" s="0" t="s">
        <v>129</v>
      </c>
    </row>
    <row r="21" customFormat="false" ht="15" hidden="false" customHeight="false" outlineLevel="0" collapsed="false">
      <c r="B21" s="0" t="s">
        <v>146</v>
      </c>
      <c r="C21" s="22" t="n">
        <v>0.95</v>
      </c>
      <c r="D21" s="23" t="n">
        <v>0.8445</v>
      </c>
      <c r="E21" s="24" t="n">
        <f aca="false">IF(Cover!$C$9="Downside",D21,C21)</f>
        <v>0.8445</v>
      </c>
      <c r="F21" s="0" t="s">
        <v>147</v>
      </c>
    </row>
    <row r="22" customFormat="false" ht="15" hidden="false" customHeight="false" outlineLevel="0" collapsed="false">
      <c r="B22" s="0" t="s">
        <v>148</v>
      </c>
      <c r="C22" s="19" t="n">
        <v>0.64</v>
      </c>
      <c r="D22" s="19" t="n">
        <v>0.6</v>
      </c>
      <c r="E22" s="21" t="n">
        <f aca="false">IF(Cover!$C$9="Downside",D22,C22)</f>
        <v>0.6</v>
      </c>
      <c r="F22" s="0" t="s">
        <v>131</v>
      </c>
    </row>
    <row r="23" customFormat="false" ht="15" hidden="false" customHeight="false" outlineLevel="0" collapsed="false">
      <c r="B23" s="0" t="s">
        <v>149</v>
      </c>
      <c r="C23" s="19" t="n">
        <v>0.3</v>
      </c>
      <c r="D23" s="19" t="n">
        <v>0.3</v>
      </c>
      <c r="E23" s="21" t="n">
        <f aca="false">IF(Cover!$C$9="Downside",D23,C23)</f>
        <v>0.3</v>
      </c>
      <c r="F23" s="0" t="s">
        <v>131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150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129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128</v>
      </c>
      <c r="C5" s="18" t="n">
        <f aca="false">Assumptions!$E$5</f>
        <v>925.3</v>
      </c>
      <c r="D5" s="18" t="n">
        <f aca="false">C10</f>
        <v>1203.90783</v>
      </c>
      <c r="E5" s="18" t="n">
        <f aca="false">D10</f>
        <v>1566.404477613</v>
      </c>
      <c r="F5" s="18" t="n">
        <f aca="false">E10</f>
        <v>2038.04886582227</v>
      </c>
      <c r="G5" s="18" t="n">
        <f aca="false">F10</f>
        <v>2651.70537932136</v>
      </c>
    </row>
    <row r="6" customFormat="false" ht="15" hidden="false" customHeight="false" outlineLevel="0" collapsed="false">
      <c r="B6" s="0" t="s">
        <v>156</v>
      </c>
      <c r="C6" s="18" t="n">
        <f aca="false">C5*Assumptions!$E$6</f>
        <v>65.78883</v>
      </c>
      <c r="D6" s="18" t="n">
        <f aca="false">D5*Assumptions!$E$6</f>
        <v>85.597846713</v>
      </c>
      <c r="E6" s="18" t="n">
        <f aca="false">E5*Assumptions!$E$6</f>
        <v>111.371358358284</v>
      </c>
      <c r="F6" s="18" t="n">
        <f aca="false">F5*Assumptions!$E$6</f>
        <v>144.905274359964</v>
      </c>
      <c r="G6" s="18" t="n">
        <f aca="false">G5*Assumptions!$E$6</f>
        <v>188.536252469749</v>
      </c>
    </row>
    <row r="7" customFormat="false" ht="15" hidden="false" customHeight="false" outlineLevel="0" collapsed="false">
      <c r="B7" s="0" t="s">
        <v>157</v>
      </c>
      <c r="C7" s="18" t="n">
        <f aca="false">C5*Assumptions!$E$7</f>
        <v>333.108</v>
      </c>
      <c r="D7" s="18" t="n">
        <f aca="false">D5*Assumptions!$E$7</f>
        <v>433.4068188</v>
      </c>
      <c r="E7" s="18" t="n">
        <f aca="false">E5*Assumptions!$E$7</f>
        <v>563.90561194068</v>
      </c>
      <c r="F7" s="18" t="n">
        <f aca="false">F5*Assumptions!$E$7</f>
        <v>733.697591696019</v>
      </c>
      <c r="G7" s="18" t="n">
        <f aca="false">G5*Assumptions!$E$7</f>
        <v>954.61393655569</v>
      </c>
    </row>
    <row r="8" customFormat="false" ht="15" hidden="false" customHeight="false" outlineLevel="0" collapsed="false">
      <c r="B8" s="0" t="s">
        <v>158</v>
      </c>
      <c r="C8" s="18" t="n">
        <f aca="false">C5*Assumptions!$E$8</f>
        <v>46.265</v>
      </c>
      <c r="D8" s="18" t="n">
        <f aca="false">D5*Assumptions!$E$8</f>
        <v>60.1953915</v>
      </c>
      <c r="E8" s="18" t="n">
        <f aca="false">E5*Assumptions!$E$8</f>
        <v>78.32022388065</v>
      </c>
      <c r="F8" s="18" t="n">
        <f aca="false">F5*Assumptions!$E$8</f>
        <v>101.902443291114</v>
      </c>
      <c r="G8" s="18" t="n">
        <f aca="false">G5*Assumptions!$E$8</f>
        <v>132.585268966068</v>
      </c>
    </row>
    <row r="9" customFormat="false" ht="15" hidden="false" customHeight="false" outlineLevel="0" collapsed="false">
      <c r="B9" s="0" t="s">
        <v>159</v>
      </c>
      <c r="C9" s="18" t="n">
        <f aca="false">C5*Assumptions!$E$9</f>
        <v>74.024</v>
      </c>
      <c r="D9" s="18" t="n">
        <f aca="false">D5*Assumptions!$E$9</f>
        <v>96.3126264</v>
      </c>
      <c r="E9" s="18" t="n">
        <f aca="false">E5*Assumptions!$E$9</f>
        <v>125.31235820904</v>
      </c>
      <c r="F9" s="18" t="n">
        <f aca="false">F5*Assumptions!$E$9</f>
        <v>163.043909265782</v>
      </c>
      <c r="G9" s="18" t="n">
        <f aca="false">G5*Assumptions!$E$9</f>
        <v>212.136430345709</v>
      </c>
    </row>
    <row r="10" customFormat="false" ht="15" hidden="false" customHeight="false" outlineLevel="0" collapsed="false">
      <c r="B10" s="25" t="s">
        <v>160</v>
      </c>
      <c r="C10" s="26" t="n">
        <f aca="false">C5+C6+C7-C8-C9</f>
        <v>1203.90783</v>
      </c>
      <c r="D10" s="26" t="n">
        <f aca="false">D5+D6+D7-D8-D9</f>
        <v>1566.404477613</v>
      </c>
      <c r="E10" s="26" t="n">
        <f aca="false">E5+E6+E7-E8-E9</f>
        <v>2038.04886582227</v>
      </c>
      <c r="F10" s="26" t="n">
        <f aca="false">F5+F6+F7-F8-F9</f>
        <v>2651.70537932136</v>
      </c>
      <c r="G10" s="26" t="n">
        <f aca="false">G5+G6+G7-G8-G9</f>
        <v>3450.13386903502</v>
      </c>
    </row>
    <row r="11" customFormat="false" ht="15" hidden="false" customHeight="false" outlineLevel="0" collapsed="false">
      <c r="B11" s="0" t="s">
        <v>161</v>
      </c>
      <c r="C11" s="18" t="n">
        <f aca="false">C10-C5</f>
        <v>278.60783</v>
      </c>
      <c r="D11" s="18" t="n">
        <f aca="false">D10-D5</f>
        <v>362.496647613</v>
      </c>
      <c r="E11" s="18" t="n">
        <f aca="false">E10-E5</f>
        <v>471.644388209274</v>
      </c>
      <c r="F11" s="18" t="n">
        <f aca="false">F10-F5</f>
        <v>613.656513499086</v>
      </c>
      <c r="G11" s="18" t="n">
        <f aca="false">G10-G5</f>
        <v>798.428489713662</v>
      </c>
    </row>
    <row r="12" customFormat="false" ht="15" hidden="false" customHeight="false" outlineLevel="0" collapsed="false">
      <c r="B12" s="0" t="s">
        <v>162</v>
      </c>
      <c r="C12" s="21" t="n">
        <f aca="false">IFERROR((C5+C7-C8-C9)/C5,0)</f>
        <v>1.23</v>
      </c>
      <c r="D12" s="21" t="n">
        <f aca="false">IFERROR((D5+D7-D8-D9)/D5,0)</f>
        <v>1.23</v>
      </c>
      <c r="E12" s="21" t="n">
        <f aca="false">IFERROR((E5+E7-E8-E9)/E5,0)</f>
        <v>1.23</v>
      </c>
      <c r="F12" s="21" t="n">
        <f aca="false">IFERROR((F5+F7-F8-F9)/F5,0)</f>
        <v>1.23</v>
      </c>
      <c r="G12" s="21" t="n">
        <f aca="false">IFERROR((G5+G7-G8-G9)/G5,0)</f>
        <v>1.23</v>
      </c>
    </row>
    <row r="13" customFormat="false" ht="15" hidden="false" customHeight="false" outlineLevel="0" collapsed="false">
      <c r="B13" s="0" t="s">
        <v>163</v>
      </c>
      <c r="C13" s="21" t="n">
        <f aca="false">IFERROR((C5-C9)/C5,0)</f>
        <v>0.92</v>
      </c>
      <c r="D13" s="21" t="n">
        <f aca="false">IFERROR((D5-D9)/D5,0)</f>
        <v>0.92</v>
      </c>
      <c r="E13" s="21" t="n">
        <f aca="false">IFERROR((E5-E9)/E5,0)</f>
        <v>0.92</v>
      </c>
      <c r="F13" s="21" t="n">
        <f aca="false">IFERROR((F5-F9)/F5,0)</f>
        <v>0.92</v>
      </c>
      <c r="G13" s="21" t="n">
        <f aca="false">IFERROR((G5-G9)/G5,0)</f>
        <v>0.92</v>
      </c>
    </row>
    <row r="14" customFormat="false" ht="15" hidden="false" customHeight="false" outlineLevel="0" collapsed="false">
      <c r="B14" s="0" t="s">
        <v>164</v>
      </c>
      <c r="C14" s="21" t="n">
        <f aca="false">IFERROR(C10/C5-1,0)</f>
        <v>0.3011</v>
      </c>
      <c r="D14" s="21" t="n">
        <f aca="false">IFERROR(D10/D5-1,0)</f>
        <v>0.3011</v>
      </c>
      <c r="E14" s="21" t="n">
        <f aca="false">IFERROR(E10/E5-1,0)</f>
        <v>0.3011</v>
      </c>
      <c r="F14" s="21" t="n">
        <f aca="false">IFERROR(F10/F5-1,0)</f>
        <v>0.3011</v>
      </c>
      <c r="G14" s="21" t="n">
        <f aca="false">IFERROR(G10/G5-1,0)</f>
        <v>0.3011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165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129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166</v>
      </c>
      <c r="C5" s="18" t="n">
        <f aca="false">AVERAGE('ARR Rollforward'!C5,'ARR Rollforward'!C10)</f>
        <v>1064.603915</v>
      </c>
      <c r="D5" s="18" t="n">
        <f aca="false">AVERAGE('ARR Rollforward'!D5,'ARR Rollforward'!D10)</f>
        <v>1385.1561538065</v>
      </c>
      <c r="E5" s="18" t="n">
        <f aca="false">AVERAGE('ARR Rollforward'!E5,'ARR Rollforward'!E10)</f>
        <v>1802.22667171764</v>
      </c>
      <c r="F5" s="18" t="n">
        <f aca="false">AVERAGE('ARR Rollforward'!F5,'ARR Rollforward'!F10)</f>
        <v>2344.87712257182</v>
      </c>
      <c r="G5" s="18" t="n">
        <f aca="false">AVERAGE('ARR Rollforward'!G5,'ARR Rollforward'!G10)</f>
        <v>3050.91962417819</v>
      </c>
    </row>
    <row r="6" customFormat="false" ht="15" hidden="false" customHeight="false" outlineLevel="0" collapsed="false">
      <c r="B6" s="0" t="s">
        <v>167</v>
      </c>
      <c r="C6" s="18" t="n">
        <f aca="false">C5*Assumptions!$E$10</f>
        <v>108.58959933</v>
      </c>
      <c r="D6" s="18" t="n">
        <f aca="false">D5*Assumptions!$E$10</f>
        <v>141.285927688263</v>
      </c>
      <c r="E6" s="18" t="n">
        <f aca="false">E5*Assumptions!$E$10</f>
        <v>183.827120515199</v>
      </c>
      <c r="F6" s="18" t="n">
        <f aca="false">F5*Assumptions!$E$10</f>
        <v>239.177466502325</v>
      </c>
      <c r="G6" s="18" t="n">
        <f aca="false">G5*Assumptions!$E$10</f>
        <v>311.193801666176</v>
      </c>
    </row>
    <row r="7" customFormat="false" ht="15" hidden="false" customHeight="false" outlineLevel="0" collapsed="false">
      <c r="B7" s="25" t="s">
        <v>168</v>
      </c>
      <c r="C7" s="26" t="n">
        <f aca="false">C5+C6</f>
        <v>1173.19351433</v>
      </c>
      <c r="D7" s="26" t="n">
        <f aca="false">D5+D6</f>
        <v>1526.44208149476</v>
      </c>
      <c r="E7" s="26" t="n">
        <f aca="false">E5+E6</f>
        <v>1986.05379223284</v>
      </c>
      <c r="F7" s="26" t="n">
        <f aca="false">F5+F6</f>
        <v>2584.05458907414</v>
      </c>
      <c r="G7" s="26" t="n">
        <f aca="false">G5+G6</f>
        <v>3362.11342584437</v>
      </c>
    </row>
    <row r="8" customFormat="false" ht="15" hidden="false" customHeight="false" outlineLevel="0" collapsed="false">
      <c r="B8" s="0" t="s">
        <v>169</v>
      </c>
      <c r="C8" s="18" t="n">
        <f aca="false">C5*Assumptions!$E$11</f>
        <v>881.8114227945</v>
      </c>
      <c r="D8" s="18" t="n">
        <f aca="false">D5*Assumptions!$E$11</f>
        <v>1147.32484219792</v>
      </c>
      <c r="E8" s="18" t="n">
        <f aca="false">E5*Assumptions!$E$11</f>
        <v>1492.78435218372</v>
      </c>
      <c r="F8" s="18" t="n">
        <f aca="false">F5*Assumptions!$E$11</f>
        <v>1942.26172062624</v>
      </c>
      <c r="G8" s="18" t="n">
        <f aca="false">G5*Assumptions!$E$11</f>
        <v>2527.0767247068</v>
      </c>
    </row>
    <row r="9" customFormat="false" ht="15" hidden="false" customHeight="false" outlineLevel="0" collapsed="false">
      <c r="B9" s="0" t="s">
        <v>170</v>
      </c>
      <c r="C9" s="18" t="n">
        <f aca="false">C6*Assumptions!$E$12</f>
        <v>-63.459761848452</v>
      </c>
      <c r="D9" s="18" t="n">
        <f aca="false">D6*Assumptions!$E$12</f>
        <v>-82.5674961410209</v>
      </c>
      <c r="E9" s="18" t="n">
        <f aca="false">E6*Assumptions!$E$12</f>
        <v>-107.428569229082</v>
      </c>
      <c r="F9" s="18" t="n">
        <f aca="false">F6*Assumptions!$E$12</f>
        <v>-139.775311423959</v>
      </c>
      <c r="G9" s="18" t="n">
        <f aca="false">G6*Assumptions!$E$12</f>
        <v>-181.861657693713</v>
      </c>
    </row>
    <row r="10" customFormat="false" ht="15" hidden="false" customHeight="false" outlineLevel="0" collapsed="false">
      <c r="B10" s="25" t="s">
        <v>171</v>
      </c>
      <c r="C10" s="26" t="n">
        <f aca="false">C8+C9</f>
        <v>818.351660946048</v>
      </c>
      <c r="D10" s="26" t="n">
        <f aca="false">D8+D9</f>
        <v>1064.7573460569</v>
      </c>
      <c r="E10" s="26" t="n">
        <f aca="false">E8+E9</f>
        <v>1385.35578295464</v>
      </c>
      <c r="F10" s="26" t="n">
        <f aca="false">F8+F9</f>
        <v>1802.48640920228</v>
      </c>
      <c r="G10" s="26" t="n">
        <f aca="false">G8+G9</f>
        <v>2345.21506701308</v>
      </c>
    </row>
    <row r="11" customFormat="false" ht="15" hidden="false" customHeight="false" outlineLevel="0" collapsed="false">
      <c r="B11" s="0" t="s">
        <v>172</v>
      </c>
      <c r="C11" s="21" t="n">
        <f aca="false">IFERROR(C10/C7,0)</f>
        <v>0.697541923774955</v>
      </c>
      <c r="D11" s="21" t="n">
        <f aca="false">IFERROR(D10/D7,0)</f>
        <v>0.697541923774955</v>
      </c>
      <c r="E11" s="21" t="n">
        <f aca="false">IFERROR(E10/E7,0)</f>
        <v>0.697541923774955</v>
      </c>
      <c r="F11" s="21" t="n">
        <f aca="false">IFERROR(F10/F7,0)</f>
        <v>0.697541923774955</v>
      </c>
      <c r="G11" s="21" t="n">
        <f aca="false">IFERROR(G10/G7,0)</f>
        <v>0.697541923774955</v>
      </c>
    </row>
    <row r="12" customFormat="false" ht="15" hidden="false" customHeight="false" outlineLevel="0" collapsed="false">
      <c r="B12" s="0" t="s">
        <v>173</v>
      </c>
      <c r="C12" s="18" t="n">
        <f aca="false">C7*Assumptions!$E$13</f>
        <v>777.475341946491</v>
      </c>
      <c r="D12" s="18" t="n">
        <f aca="false">D7*Assumptions!$E$13</f>
        <v>1011.57316740658</v>
      </c>
      <c r="E12" s="18" t="n">
        <f aca="false">E7*Assumptions!$E$13</f>
        <v>1316.1578481127</v>
      </c>
      <c r="F12" s="18" t="n">
        <f aca="false">F7*Assumptions!$E$13</f>
        <v>1712.45297617943</v>
      </c>
      <c r="G12" s="18" t="n">
        <f aca="false">G7*Assumptions!$E$13</f>
        <v>2228.07256730706</v>
      </c>
    </row>
    <row r="13" customFormat="false" ht="15" hidden="false" customHeight="false" outlineLevel="0" collapsed="false">
      <c r="B13" s="0" t="s">
        <v>174</v>
      </c>
      <c r="C13" s="18" t="n">
        <f aca="false">C7*Assumptions!$E$14</f>
        <v>316.644929517667</v>
      </c>
      <c r="D13" s="18" t="n">
        <f aca="false">D7*Assumptions!$E$14</f>
        <v>411.986717795436</v>
      </c>
      <c r="E13" s="18" t="n">
        <f aca="false">E7*Assumptions!$E$14</f>
        <v>536.035918523642</v>
      </c>
      <c r="F13" s="18" t="n">
        <f aca="false">F7*Assumptions!$E$14</f>
        <v>697.436333591111</v>
      </c>
      <c r="G13" s="18" t="n">
        <f aca="false">G7*Assumptions!$E$14</f>
        <v>907.434413635394</v>
      </c>
    </row>
    <row r="14" customFormat="false" ht="15" hidden="false" customHeight="false" outlineLevel="0" collapsed="false">
      <c r="B14" s="0" t="s">
        <v>175</v>
      </c>
      <c r="C14" s="18" t="n">
        <f aca="false">C7*Assumptions!$E$15</f>
        <v>265.493692292879</v>
      </c>
      <c r="D14" s="18" t="n">
        <f aca="false">D7*Assumptions!$E$15</f>
        <v>345.433843042265</v>
      </c>
      <c r="E14" s="18" t="n">
        <f aca="false">E7*Assumptions!$E$15</f>
        <v>449.443973182291</v>
      </c>
      <c r="F14" s="18" t="n">
        <f aca="false">F7*Assumptions!$E$15</f>
        <v>584.771553507478</v>
      </c>
      <c r="G14" s="18" t="n">
        <f aca="false">G7*Assumptions!$E$15</f>
        <v>760.84626826858</v>
      </c>
    </row>
    <row r="15" customFormat="false" ht="15" hidden="false" customHeight="false" outlineLevel="0" collapsed="false">
      <c r="B15" s="25" t="s">
        <v>176</v>
      </c>
      <c r="C15" s="26" t="n">
        <f aca="false">C12+C13+C14</f>
        <v>1359.61396375704</v>
      </c>
      <c r="D15" s="26" t="n">
        <f aca="false">D12+D13+D14</f>
        <v>1768.99372824428</v>
      </c>
      <c r="E15" s="26" t="n">
        <f aca="false">E12+E13+E14</f>
        <v>2301.63773981863</v>
      </c>
      <c r="F15" s="26" t="n">
        <f aca="false">F12+F13+F14</f>
        <v>2994.66086327802</v>
      </c>
      <c r="G15" s="26" t="n">
        <f aca="false">G12+G13+G14</f>
        <v>3896.35324921104</v>
      </c>
    </row>
    <row r="16" customFormat="false" ht="15" hidden="false" customHeight="false" outlineLevel="0" collapsed="false">
      <c r="B16" s="0" t="s">
        <v>177</v>
      </c>
      <c r="C16" s="18" t="n">
        <f aca="false">C10-C15</f>
        <v>-541.262302810989</v>
      </c>
      <c r="D16" s="18" t="n">
        <f aca="false">D10-D15</f>
        <v>-704.236382187378</v>
      </c>
      <c r="E16" s="18" t="n">
        <f aca="false">E10-E15</f>
        <v>-916.281956863997</v>
      </c>
      <c r="F16" s="18" t="n">
        <f aca="false">F10-F15</f>
        <v>-1192.17445407575</v>
      </c>
      <c r="G16" s="18" t="n">
        <f aca="false">G10-G15</f>
        <v>-1551.13818219795</v>
      </c>
    </row>
    <row r="17" customFormat="false" ht="15" hidden="false" customHeight="false" outlineLevel="0" collapsed="false">
      <c r="B17" s="0" t="s">
        <v>178</v>
      </c>
      <c r="C17" s="21" t="n">
        <f aca="false">IFERROR(C16/C7,0)</f>
        <v>-0.461358076225045</v>
      </c>
      <c r="D17" s="21" t="n">
        <f aca="false">IFERROR(D16/D7,0)</f>
        <v>-0.461358076225045</v>
      </c>
      <c r="E17" s="21" t="n">
        <f aca="false">IFERROR(E16/E7,0)</f>
        <v>-0.461358076225045</v>
      </c>
      <c r="F17" s="21" t="n">
        <f aca="false">IFERROR(F16/F7,0)</f>
        <v>-0.461358076225045</v>
      </c>
      <c r="G17" s="21" t="n">
        <f aca="false">IFERROR(G16/G7,0)</f>
        <v>-0.461358076225045</v>
      </c>
    </row>
    <row r="18" customFormat="false" ht="15" hidden="false" customHeight="false" outlineLevel="0" collapsed="false">
      <c r="B18" s="0" t="s">
        <v>179</v>
      </c>
      <c r="C18" s="18" t="n">
        <f aca="false">C7*Assumptions!$E$16</f>
        <v>234.638702866</v>
      </c>
      <c r="D18" s="18" t="n">
        <f aca="false">D7*Assumptions!$E$16</f>
        <v>305.288416298953</v>
      </c>
      <c r="E18" s="18" t="n">
        <f aca="false">E7*Assumptions!$E$16</f>
        <v>397.210758446567</v>
      </c>
      <c r="F18" s="18" t="n">
        <f aca="false">F7*Assumptions!$E$16</f>
        <v>516.810917814829</v>
      </c>
      <c r="G18" s="18" t="n">
        <f aca="false">G7*Assumptions!$E$16</f>
        <v>672.422685168873</v>
      </c>
    </row>
    <row r="19" customFormat="false" ht="15" hidden="false" customHeight="false" outlineLevel="0" collapsed="false">
      <c r="B19" s="0" t="s">
        <v>180</v>
      </c>
      <c r="C19" s="18" t="n">
        <f aca="false">C16+C18</f>
        <v>-306.623599944989</v>
      </c>
      <c r="D19" s="18" t="n">
        <f aca="false">D16+D18</f>
        <v>-398.947965888425</v>
      </c>
      <c r="E19" s="18" t="n">
        <f aca="false">E16+E18</f>
        <v>-519.07119841743</v>
      </c>
      <c r="F19" s="18" t="n">
        <f aca="false">F16+F18</f>
        <v>-675.363536260918</v>
      </c>
      <c r="G19" s="18" t="n">
        <f aca="false">G16+G18</f>
        <v>-878.71549702908</v>
      </c>
    </row>
    <row r="20" customFormat="false" ht="15" hidden="false" customHeight="false" outlineLevel="0" collapsed="false">
      <c r="B20" s="0" t="s">
        <v>181</v>
      </c>
      <c r="C20" s="21" t="n">
        <f aca="false">IFERROR(C19/C7,0)</f>
        <v>-0.261358076225045</v>
      </c>
      <c r="D20" s="21" t="n">
        <f aca="false">IFERROR(D19/D7,0)</f>
        <v>-0.261358076225045</v>
      </c>
      <c r="E20" s="21" t="n">
        <f aca="false">IFERROR(E19/E7,0)</f>
        <v>-0.261358076225045</v>
      </c>
      <c r="F20" s="21" t="n">
        <f aca="false">IFERROR(F19/F7,0)</f>
        <v>-0.261358076225045</v>
      </c>
      <c r="G20" s="21" t="n">
        <f aca="false">IFERROR(G19/G7,0)</f>
        <v>-0.261358076225045</v>
      </c>
    </row>
    <row r="21" customFormat="false" ht="15" hidden="false" customHeight="false" outlineLevel="0" collapsed="false">
      <c r="B21" s="0" t="s">
        <v>182</v>
      </c>
      <c r="C21" s="18" t="n">
        <f aca="false">MAX(0,C16)*Assumptions!$E$18</f>
        <v>0</v>
      </c>
      <c r="D21" s="18" t="n">
        <f aca="false">MAX(0,D16)*Assumptions!$E$18</f>
        <v>0</v>
      </c>
      <c r="E21" s="18" t="n">
        <f aca="false">MAX(0,E16)*Assumptions!$E$18</f>
        <v>0</v>
      </c>
      <c r="F21" s="18" t="n">
        <f aca="false">MAX(0,F16)*Assumptions!$E$18</f>
        <v>0</v>
      </c>
      <c r="G21" s="18" t="n">
        <f aca="false">MAX(0,G16)*Assumptions!$E$18</f>
        <v>0</v>
      </c>
    </row>
    <row r="22" customFormat="false" ht="15" hidden="false" customHeight="false" outlineLevel="0" collapsed="false">
      <c r="B22" s="0" t="s">
        <v>183</v>
      </c>
      <c r="C22" s="18" t="n">
        <f aca="false">C7*Assumptions!$E$17</f>
        <v>26.396854072425</v>
      </c>
      <c r="D22" s="18" t="n">
        <f aca="false">D7*Assumptions!$E$17</f>
        <v>34.3449468336322</v>
      </c>
      <c r="E22" s="18" t="n">
        <f aca="false">E7*Assumptions!$E$17</f>
        <v>44.6862103252388</v>
      </c>
      <c r="F22" s="18" t="n">
        <f aca="false">F7*Assumptions!$E$17</f>
        <v>58.1412282541682</v>
      </c>
      <c r="G22" s="18" t="n">
        <f aca="false">G7*Assumptions!$E$17</f>
        <v>75.6475520814983</v>
      </c>
    </row>
    <row r="23" customFormat="false" ht="15" hidden="false" customHeight="false" outlineLevel="0" collapsed="false">
      <c r="B23" s="25" t="s">
        <v>184</v>
      </c>
      <c r="C23" s="26" t="n">
        <f aca="false">C16+C18-C21-C22</f>
        <v>-333.020454017414</v>
      </c>
      <c r="D23" s="26" t="n">
        <f aca="false">D16+D18-D21-D22</f>
        <v>-433.292912722057</v>
      </c>
      <c r="E23" s="26" t="n">
        <f aca="false">E16+E18-E21-E22</f>
        <v>-563.757408742669</v>
      </c>
      <c r="F23" s="26" t="n">
        <f aca="false">F16+F18-F21-F22</f>
        <v>-733.504764515086</v>
      </c>
      <c r="G23" s="26" t="n">
        <f aca="false">G16+G18-G21-G22</f>
        <v>-954.363049110578</v>
      </c>
    </row>
    <row r="24" customFormat="false" ht="15" hidden="false" customHeight="false" outlineLevel="0" collapsed="false">
      <c r="B24" s="0" t="s">
        <v>185</v>
      </c>
      <c r="C24" s="21" t="n">
        <f aca="false">IFERROR(C23/C7,0)</f>
        <v>-0.283858076225045</v>
      </c>
      <c r="D24" s="21" t="n">
        <f aca="false">IFERROR(D23/D7,0)</f>
        <v>-0.283858076225045</v>
      </c>
      <c r="E24" s="21" t="n">
        <f aca="false">IFERROR(E23/E7,0)</f>
        <v>-0.283858076225045</v>
      </c>
      <c r="F24" s="21" t="n">
        <f aca="false">IFERROR(F23/F7,0)</f>
        <v>-0.283858076225045</v>
      </c>
      <c r="G24" s="21" t="n">
        <f aca="false">IFERROR(G23/G7,0)</f>
        <v>-0.283858076225045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186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129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187</v>
      </c>
      <c r="C5" s="18" t="n">
        <f aca="false">'Operating Model'!C7</f>
        <v>1173.19351433</v>
      </c>
      <c r="D5" s="18" t="n">
        <f aca="false">'Operating Model'!D7</f>
        <v>1526.44208149476</v>
      </c>
      <c r="E5" s="18" t="n">
        <f aca="false">'Operating Model'!E7</f>
        <v>1986.05379223284</v>
      </c>
      <c r="F5" s="18" t="n">
        <f aca="false">'Operating Model'!F7</f>
        <v>2584.05458907414</v>
      </c>
      <c r="G5" s="18" t="n">
        <f aca="false">'Operating Model'!G7</f>
        <v>3362.11342584437</v>
      </c>
    </row>
    <row r="6" customFormat="false" ht="15" hidden="false" customHeight="false" outlineLevel="0" collapsed="false">
      <c r="B6" s="0" t="s">
        <v>188</v>
      </c>
      <c r="C6" s="18" t="n">
        <f aca="false">Assumptions!$E$20</f>
        <v>950</v>
      </c>
      <c r="D6" s="18" t="n">
        <f aca="false">C7</f>
        <v>990.761922851685</v>
      </c>
      <c r="E6" s="18" t="n">
        <f aca="false">D7</f>
        <v>1289.08033782233</v>
      </c>
      <c r="F6" s="18" t="n">
        <f aca="false">E7</f>
        <v>1677.22242754063</v>
      </c>
      <c r="G6" s="18" t="n">
        <f aca="false">F7</f>
        <v>2182.23410047311</v>
      </c>
    </row>
    <row r="7" customFormat="false" ht="15" hidden="false" customHeight="false" outlineLevel="0" collapsed="false">
      <c r="B7" s="25" t="s">
        <v>189</v>
      </c>
      <c r="C7" s="26" t="n">
        <f aca="false">C5*Assumptions!$E$21</f>
        <v>990.761922851685</v>
      </c>
      <c r="D7" s="26" t="n">
        <f aca="false">D5*Assumptions!$E$21</f>
        <v>1289.08033782233</v>
      </c>
      <c r="E7" s="26" t="n">
        <f aca="false">E5*Assumptions!$E$21</f>
        <v>1677.22242754063</v>
      </c>
      <c r="F7" s="26" t="n">
        <f aca="false">F5*Assumptions!$E$21</f>
        <v>2182.23410047311</v>
      </c>
      <c r="G7" s="26" t="n">
        <f aca="false">G5*Assumptions!$E$21</f>
        <v>2839.30478812557</v>
      </c>
    </row>
    <row r="8" customFormat="false" ht="15" hidden="false" customHeight="false" outlineLevel="0" collapsed="false">
      <c r="B8" s="0" t="s">
        <v>190</v>
      </c>
      <c r="C8" s="18" t="n">
        <f aca="false">C7-C6+C5</f>
        <v>1213.95543718168</v>
      </c>
      <c r="D8" s="18" t="n">
        <f aca="false">D7-D6+D5</f>
        <v>1824.7604964654</v>
      </c>
      <c r="E8" s="18" t="n">
        <f aca="false">E7-E6+E5</f>
        <v>2374.19588195114</v>
      </c>
      <c r="F8" s="18" t="n">
        <f aca="false">F7-F6+F5</f>
        <v>3089.06626200663</v>
      </c>
      <c r="G8" s="18" t="n">
        <f aca="false">G7-G6+G5</f>
        <v>4019.18411349682</v>
      </c>
    </row>
    <row r="9" customFormat="false" ht="15" hidden="false" customHeight="false" outlineLevel="0" collapsed="false">
      <c r="B9" s="0" t="s">
        <v>191</v>
      </c>
      <c r="C9" s="24" t="n">
        <f aca="false">IFERROR(C8/C5,0)</f>
        <v>1.03474441543854</v>
      </c>
      <c r="D9" s="24" t="n">
        <f aca="false">IFERROR(D8/D5,0)</f>
        <v>1.19543382522481</v>
      </c>
      <c r="E9" s="24" t="n">
        <f aca="false">IFERROR(E8/E5,0)</f>
        <v>1.19543382522481</v>
      </c>
      <c r="F9" s="24" t="n">
        <f aca="false">IFERROR(F8/F5,0)</f>
        <v>1.19543382522481</v>
      </c>
      <c r="G9" s="24" t="n">
        <f aca="false">IFERROR(G8/G5,0)</f>
        <v>1.19543382522481</v>
      </c>
    </row>
    <row r="10" customFormat="false" ht="15" hidden="false" customHeight="false" outlineLevel="0" collapsed="false">
      <c r="B10" s="0" t="s">
        <v>192</v>
      </c>
      <c r="C10" s="21" t="n">
        <f aca="false">IFERROR(C7/C6-1,0)</f>
        <v>0.0429072872122998</v>
      </c>
      <c r="D10" s="21" t="n">
        <f aca="false">IFERROR(D7/D6-1,0)</f>
        <v>0.3011</v>
      </c>
      <c r="E10" s="21" t="n">
        <f aca="false">IFERROR(E7/E6-1,0)</f>
        <v>0.3011</v>
      </c>
      <c r="F10" s="21" t="n">
        <f aca="false">IFERROR(F7/F6-1,0)</f>
        <v>0.3011</v>
      </c>
      <c r="G10" s="21" t="n">
        <f aca="false">IFERROR(G7/G6-1,0)</f>
        <v>0.3011</v>
      </c>
    </row>
    <row r="11" customFormat="false" ht="15" hidden="false" customHeight="false" outlineLevel="0" collapsed="false">
      <c r="B11" s="0" t="s">
        <v>193</v>
      </c>
      <c r="C11" s="18" t="n">
        <f aca="false">C7*Assumptions!$E$22</f>
        <v>594.457153711011</v>
      </c>
      <c r="D11" s="18" t="n">
        <f aca="false">D7*Assumptions!$E$22</f>
        <v>773.448202693396</v>
      </c>
      <c r="E11" s="18" t="n">
        <f aca="false">E7*Assumptions!$E$22</f>
        <v>1006.33345652438</v>
      </c>
      <c r="F11" s="18" t="n">
        <f aca="false">F7*Assumptions!$E$22</f>
        <v>1309.34046028387</v>
      </c>
      <c r="G11" s="18" t="n">
        <f aca="false">G7*Assumptions!$E$22</f>
        <v>1703.58287287534</v>
      </c>
    </row>
    <row r="12" customFormat="false" ht="15" hidden="false" customHeight="false" outlineLevel="0" collapsed="false">
      <c r="B12" s="0" t="s">
        <v>194</v>
      </c>
      <c r="C12" s="18" t="n">
        <f aca="false">C7-C11</f>
        <v>396.304769140674</v>
      </c>
      <c r="D12" s="18" t="n">
        <f aca="false">D7-D11</f>
        <v>515.632135128931</v>
      </c>
      <c r="E12" s="18" t="n">
        <f aca="false">E7-E11</f>
        <v>670.888971016252</v>
      </c>
      <c r="F12" s="18" t="n">
        <f aca="false">F7-F11</f>
        <v>872.893640189245</v>
      </c>
      <c r="G12" s="18" t="n">
        <f aca="false">G7-G11</f>
        <v>1135.72191525023</v>
      </c>
    </row>
    <row r="13" customFormat="false" ht="15" hidden="false" customHeight="false" outlineLevel="0" collapsed="false">
      <c r="B13" s="0" t="s">
        <v>195</v>
      </c>
      <c r="C13" s="18" t="n">
        <f aca="false">C5*Assumptions!$E$23</f>
        <v>351.958054299</v>
      </c>
      <c r="D13" s="18" t="n">
        <f aca="false">D5*Assumptions!$E$23</f>
        <v>457.932624448429</v>
      </c>
      <c r="E13" s="18" t="n">
        <f aca="false">E5*Assumptions!$E$23</f>
        <v>595.816137669851</v>
      </c>
      <c r="F13" s="18" t="n">
        <f aca="false">F5*Assumptions!$E$23</f>
        <v>775.216376722243</v>
      </c>
      <c r="G13" s="18" t="n">
        <f aca="false">G5*Assumptions!$E$23</f>
        <v>1008.63402775331</v>
      </c>
    </row>
    <row r="14" customFormat="false" ht="15" hidden="false" customHeight="false" outlineLevel="0" collapsed="false">
      <c r="B14" s="0" t="s">
        <v>196</v>
      </c>
      <c r="C14" s="18" t="n">
        <f aca="false">C7-C13</f>
        <v>638.803868552685</v>
      </c>
      <c r="D14" s="18" t="n">
        <f aca="false">D7-D13</f>
        <v>831.147713373898</v>
      </c>
      <c r="E14" s="18" t="n">
        <f aca="false">E7-E13</f>
        <v>1081.40628987078</v>
      </c>
      <c r="F14" s="18" t="n">
        <f aca="false">F7-F13</f>
        <v>1407.01772375087</v>
      </c>
      <c r="G14" s="18" t="n">
        <f aca="false">G7-G13</f>
        <v>1830.67076037226</v>
      </c>
    </row>
    <row r="15" customFormat="false" ht="15" hidden="false" customHeight="false" outlineLevel="0" collapsed="false">
      <c r="B15" s="0" t="s">
        <v>197</v>
      </c>
      <c r="C15" s="21" t="n">
        <f aca="false">IFERROR(C14/C7,0)</f>
        <v>0.644760213143872</v>
      </c>
      <c r="D15" s="21" t="n">
        <f aca="false">IFERROR(D14/D7,0)</f>
        <v>0.644760213143872</v>
      </c>
      <c r="E15" s="21" t="n">
        <f aca="false">IFERROR(E14/E7,0)</f>
        <v>0.644760213143872</v>
      </c>
      <c r="F15" s="21" t="n">
        <f aca="false">IFERROR(F14/F7,0)</f>
        <v>0.644760213143872</v>
      </c>
      <c r="G15" s="21" t="n">
        <f aca="false">IFERROR(G14/G7,0)</f>
        <v>0.644760213143872</v>
      </c>
    </row>
    <row r="16" customFormat="false" ht="15" hidden="false" customHeight="false" outlineLevel="0" collapsed="false">
      <c r="B16" s="0" t="s">
        <v>198</v>
      </c>
      <c r="C16" s="24" t="n">
        <f aca="false">IFERROR(C11/'Operating Model'!D7,0)</f>
        <v>0.389439704865114</v>
      </c>
      <c r="D16" s="24" t="n">
        <f aca="false">IFERROR(D11/'Operating Model'!E7,0)</f>
        <v>0.389439704865114</v>
      </c>
      <c r="E16" s="24" t="n">
        <f aca="false">IFERROR(E11/'Operating Model'!F7,0)</f>
        <v>0.389439704865114</v>
      </c>
      <c r="F16" s="24" t="n">
        <f aca="false">IFERROR(F11/'Operating Model'!G7,0)</f>
        <v>0.389439704865114</v>
      </c>
      <c r="G16" s="0" t="s">
        <v>199</v>
      </c>
    </row>
    <row r="17" customFormat="false" ht="15" hidden="false" customHeight="false" outlineLevel="0" collapsed="false">
      <c r="B17" s="0" t="s">
        <v>200</v>
      </c>
      <c r="C17" s="24" t="n">
        <f aca="false">IFERROR(C7/'ARR Rollforward'!C10,0)</f>
        <v>0.82295496230113</v>
      </c>
      <c r="D17" s="24" t="n">
        <f aca="false">IFERROR(D7/'ARR Rollforward'!D10,0)</f>
        <v>0.82295496230113</v>
      </c>
      <c r="E17" s="24" t="n">
        <f aca="false">IFERROR(E7/'ARR Rollforward'!E10,0)</f>
        <v>0.82295496230113</v>
      </c>
      <c r="F17" s="24" t="n">
        <f aca="false">IFERROR(F7/'ARR Rollforward'!F10,0)</f>
        <v>0.82295496230113</v>
      </c>
      <c r="G17" s="24" t="n">
        <f aca="false">IFERROR(G7/'ARR Rollforward'!G10,0)</f>
        <v>0.82295496230113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201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202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203</v>
      </c>
      <c r="C5" s="18" t="n">
        <f aca="false">'Operating Model'!C12</f>
        <v>777.475341946491</v>
      </c>
      <c r="D5" s="18" t="n">
        <f aca="false">'Operating Model'!D12</f>
        <v>1011.57316740658</v>
      </c>
      <c r="E5" s="18" t="n">
        <f aca="false">'Operating Model'!E12</f>
        <v>1316.1578481127</v>
      </c>
      <c r="F5" s="18" t="n">
        <f aca="false">'Operating Model'!F12</f>
        <v>1712.45297617943</v>
      </c>
      <c r="G5" s="18" t="n">
        <f aca="false">'Operating Model'!G12</f>
        <v>2228.07256730706</v>
      </c>
    </row>
    <row r="6" customFormat="false" ht="15" hidden="false" customHeight="false" outlineLevel="0" collapsed="false">
      <c r="B6" s="0" t="s">
        <v>204</v>
      </c>
      <c r="C6" s="18" t="n">
        <f aca="false">'ARR Rollforward'!C6+'ARR Rollforward'!C7</f>
        <v>398.89683</v>
      </c>
      <c r="D6" s="18" t="n">
        <f aca="false">'ARR Rollforward'!D6+'ARR Rollforward'!D7</f>
        <v>519.004665513</v>
      </c>
      <c r="E6" s="18" t="n">
        <f aca="false">'ARR Rollforward'!E6+'ARR Rollforward'!E7</f>
        <v>675.276970298964</v>
      </c>
      <c r="F6" s="18" t="n">
        <f aca="false">'ARR Rollforward'!F6+'ARR Rollforward'!F7</f>
        <v>878.602866055982</v>
      </c>
      <c r="G6" s="18" t="n">
        <f aca="false">'ARR Rollforward'!G6+'ARR Rollforward'!G7</f>
        <v>1143.15018902544</v>
      </c>
    </row>
    <row r="7" customFormat="false" ht="15" hidden="false" customHeight="false" outlineLevel="0" collapsed="false">
      <c r="B7" s="0" t="s">
        <v>205</v>
      </c>
      <c r="C7" s="24" t="n">
        <f aca="false">IFERROR(C6/C5,0)</f>
        <v>0.513066856887474</v>
      </c>
      <c r="D7" s="24" t="n">
        <f aca="false">IFERROR(D6/D5,0)</f>
        <v>0.513066856887474</v>
      </c>
      <c r="E7" s="24" t="n">
        <f aca="false">IFERROR(E6/E5,0)</f>
        <v>0.513066856887474</v>
      </c>
      <c r="F7" s="24" t="n">
        <f aca="false">IFERROR(F6/F5,0)</f>
        <v>0.513066856887474</v>
      </c>
      <c r="G7" s="24" t="n">
        <f aca="false">IFERROR(G6/G5,0)</f>
        <v>0.513066856887474</v>
      </c>
    </row>
    <row r="8" customFormat="false" ht="15" hidden="false" customHeight="false" outlineLevel="0" collapsed="false">
      <c r="B8" s="0" t="s">
        <v>206</v>
      </c>
      <c r="C8" s="27" t="n">
        <f aca="false">IFERROR(C5/C6*12,0)</f>
        <v>23.3887647173278</v>
      </c>
      <c r="D8" s="27" t="n">
        <f aca="false">IFERROR(D5/D6*12,0)</f>
        <v>23.3887647173278</v>
      </c>
      <c r="E8" s="27" t="n">
        <f aca="false">IFERROR(E5/E6*12,0)</f>
        <v>23.3887647173278</v>
      </c>
      <c r="F8" s="27" t="n">
        <f aca="false">IFERROR(F5/F6*12,0)</f>
        <v>23.3887647173278</v>
      </c>
      <c r="G8" s="27" t="n">
        <f aca="false">IFERROR(G5/G6*12,0)</f>
        <v>23.3887647173278</v>
      </c>
    </row>
    <row r="9" customFormat="false" ht="15" hidden="false" customHeight="false" outlineLevel="0" collapsed="false">
      <c r="B9" s="0" t="s">
        <v>207</v>
      </c>
      <c r="C9" s="27" t="n">
        <f aca="false">IFERROR(C5/(C6*Assumptions!$E$19)*12,0)</f>
        <v>28.2370695609414</v>
      </c>
      <c r="D9" s="27" t="n">
        <f aca="false">IFERROR(D5/(D6*Assumptions!$E$19)*12,0)</f>
        <v>28.2370695609414</v>
      </c>
      <c r="E9" s="27" t="n">
        <f aca="false">IFERROR(E5/(E6*Assumptions!$E$19)*12,0)</f>
        <v>28.2370695609414</v>
      </c>
      <c r="F9" s="27" t="n">
        <f aca="false">IFERROR(F5/(F6*Assumptions!$E$19)*12,0)</f>
        <v>28.2370695609414</v>
      </c>
      <c r="G9" s="27" t="n">
        <f aca="false">IFERROR(G5/(G6*Assumptions!$E$19)*12,0)</f>
        <v>28.2370695609414</v>
      </c>
    </row>
    <row r="10" customFormat="false" ht="15" hidden="false" customHeight="false" outlineLevel="0" collapsed="false">
      <c r="B10" s="0" t="s">
        <v>208</v>
      </c>
      <c r="C10" s="21" t="n">
        <f aca="false">IFERROR(C5/C6,0)</f>
        <v>1.94906372644398</v>
      </c>
      <c r="D10" s="21" t="n">
        <f aca="false">IFERROR(D5/D6,0)</f>
        <v>1.94906372644398</v>
      </c>
      <c r="E10" s="21" t="n">
        <f aca="false">IFERROR(E5/E6,0)</f>
        <v>1.94906372644398</v>
      </c>
      <c r="F10" s="21" t="n">
        <f aca="false">IFERROR(F5/F6,0)</f>
        <v>1.94906372644398</v>
      </c>
      <c r="G10" s="21" t="n">
        <f aca="false">IFERROR(G5/G6,0)</f>
        <v>1.94906372644398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209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202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customFormat="false" ht="15" hidden="false" customHeight="false" outlineLevel="0" collapsed="false">
      <c r="B5" s="0" t="s">
        <v>210</v>
      </c>
      <c r="C5" s="21" t="n">
        <f aca="false">'ARR Rollforward'!C14</f>
        <v>0.3011</v>
      </c>
      <c r="D5" s="21" t="n">
        <f aca="false">IFERROR('Operating Model'!D7/'Operating Model'!C7-1,0)</f>
        <v>0.3011</v>
      </c>
      <c r="E5" s="21" t="n">
        <f aca="false">IFERROR('Operating Model'!E7/'Operating Model'!D7-1,0)</f>
        <v>0.3011</v>
      </c>
      <c r="F5" s="21" t="n">
        <f aca="false">IFERROR('Operating Model'!F7/'Operating Model'!E7-1,0)</f>
        <v>0.3011</v>
      </c>
      <c r="G5" s="21" t="n">
        <f aca="false">IFERROR('Operating Model'!G7/'Operating Model'!F7-1,0)</f>
        <v>0.3011</v>
      </c>
    </row>
    <row r="6" customFormat="false" ht="15" hidden="false" customHeight="false" outlineLevel="0" collapsed="false">
      <c r="B6" s="0" t="s">
        <v>185</v>
      </c>
      <c r="C6" s="21" t="n">
        <f aca="false">'Operating Model'!C24</f>
        <v>-0.283858076225045</v>
      </c>
      <c r="D6" s="21" t="n">
        <f aca="false">'Operating Model'!D24</f>
        <v>-0.283858076225045</v>
      </c>
      <c r="E6" s="21" t="n">
        <f aca="false">'Operating Model'!E24</f>
        <v>-0.283858076225045</v>
      </c>
      <c r="F6" s="21" t="n">
        <f aca="false">'Operating Model'!F24</f>
        <v>-0.283858076225045</v>
      </c>
      <c r="G6" s="21" t="n">
        <f aca="false">'Operating Model'!G24</f>
        <v>-0.283858076225045</v>
      </c>
    </row>
    <row r="7" customFormat="false" ht="15" hidden="false" customHeight="false" outlineLevel="0" collapsed="false">
      <c r="B7" s="0" t="s">
        <v>211</v>
      </c>
      <c r="C7" s="21" t="n">
        <f aca="false">C5+C6</f>
        <v>0.0172419237749544</v>
      </c>
      <c r="D7" s="21" t="n">
        <f aca="false">D5+D6</f>
        <v>0.0172419237749546</v>
      </c>
      <c r="E7" s="21" t="n">
        <f aca="false">E5+E6</f>
        <v>0.0172419237749545</v>
      </c>
      <c r="F7" s="21" t="n">
        <f aca="false">F5+F6</f>
        <v>0.0172419237749545</v>
      </c>
      <c r="G7" s="21" t="n">
        <f aca="false">G5+G6</f>
        <v>0.0172419237749549</v>
      </c>
    </row>
    <row r="8" customFormat="false" ht="15" hidden="false" customHeight="false" outlineLevel="0" collapsed="false">
      <c r="B8" s="0" t="s">
        <v>181</v>
      </c>
      <c r="C8" s="21" t="n">
        <f aca="false">'Operating Model'!C20</f>
        <v>-0.261358076225045</v>
      </c>
      <c r="D8" s="21" t="n">
        <f aca="false">'Operating Model'!D20</f>
        <v>-0.261358076225045</v>
      </c>
      <c r="E8" s="21" t="n">
        <f aca="false">'Operating Model'!E20</f>
        <v>-0.261358076225045</v>
      </c>
      <c r="F8" s="21" t="n">
        <f aca="false">'Operating Model'!F20</f>
        <v>-0.261358076225045</v>
      </c>
      <c r="G8" s="21" t="n">
        <f aca="false">'Operating Model'!G20</f>
        <v>-0.261358076225045</v>
      </c>
    </row>
    <row r="9" customFormat="false" ht="15" hidden="false" customHeight="false" outlineLevel="0" collapsed="false">
      <c r="B9" s="0" t="s">
        <v>212</v>
      </c>
      <c r="C9" s="21" t="n">
        <f aca="false">C5+C8</f>
        <v>0.0397419237749544</v>
      </c>
      <c r="D9" s="21" t="n">
        <f aca="false">D5+D8</f>
        <v>0.0397419237749546</v>
      </c>
      <c r="E9" s="21" t="n">
        <f aca="false">E5+E8</f>
        <v>0.0397419237749545</v>
      </c>
      <c r="F9" s="21" t="n">
        <f aca="false">F5+F8</f>
        <v>0.0397419237749545</v>
      </c>
      <c r="G9" s="21" t="n">
        <f aca="false">G5+G8</f>
        <v>0.0397419237749549</v>
      </c>
    </row>
    <row r="10" customFormat="false" ht="15" hidden="false" customHeight="false" outlineLevel="0" collapsed="false">
      <c r="B10" s="0" t="s">
        <v>44</v>
      </c>
      <c r="C10" s="0" t="str">
        <f aca="false">IF(C7&gt;=0.4,"PASS",IF(C7&gt;=0.3,"REVIEW","BELOW"))</f>
        <v>BELOW</v>
      </c>
      <c r="D10" s="0" t="str">
        <f aca="false">IF(D7&gt;=0.4,"PASS",IF(D7&gt;=0.3,"REVIEW","BELOW"))</f>
        <v>BELOW</v>
      </c>
      <c r="E10" s="0" t="str">
        <f aca="false">IF(E7&gt;=0.4,"PASS",IF(E7&gt;=0.3,"REVIEW","BELOW"))</f>
        <v>BELOW</v>
      </c>
      <c r="F10" s="0" t="str">
        <f aca="false">IF(F7&gt;=0.4,"PASS",IF(F7&gt;=0.3,"REVIEW","BELOW"))</f>
        <v>BELOW</v>
      </c>
      <c r="G10" s="0" t="str">
        <f aca="false">IF(G7&gt;=0.4,"PASS",IF(G7&gt;=0.3,"REVIEW","BELOW"))</f>
        <v>BELOW</v>
      </c>
    </row>
  </sheetData>
  <mergeCells count="1">
    <mergeCell ref="B2:H2"/>
  </mergeCells>
  <conditionalFormatting sqref="C10:G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213</v>
      </c>
      <c r="C2" s="1"/>
    </row>
    <row r="4" customFormat="false" ht="15" hidden="false" customHeight="false" outlineLevel="0" collapsed="false">
      <c r="B4" s="15" t="s">
        <v>214</v>
      </c>
      <c r="C4" s="15" t="s">
        <v>44</v>
      </c>
    </row>
    <row r="5" customFormat="false" ht="15" hidden="false" customHeight="false" outlineLevel="0" collapsed="false">
      <c r="B5" s="0" t="s">
        <v>215</v>
      </c>
      <c r="C5" s="0" t="str">
        <f aca="false">IF(MAX(ABS('ARR Rollforward'!C10-('ARR Rollforward'!C5+'ARR Rollforward'!C6+'ARR Rollforward'!C7-'ARR Rollforward'!C8-'ARR Rollforward'!C9)))&lt;0.000001,"PASS","FAIL")</f>
        <v>PASS</v>
      </c>
    </row>
    <row r="6" customFormat="false" ht="15" hidden="false" customHeight="false" outlineLevel="0" collapsed="false">
      <c r="B6" s="0" t="s">
        <v>216</v>
      </c>
      <c r="C6" s="0" t="str">
        <f aca="false">IF(MIN('ARR Rollforward'!C10:G10)&gt;=0,"PASS","FAIL")</f>
        <v>PASS</v>
      </c>
    </row>
    <row r="7" customFormat="false" ht="15" hidden="false" customHeight="false" outlineLevel="0" collapsed="false">
      <c r="B7" s="0" t="s">
        <v>217</v>
      </c>
      <c r="C7" s="0" t="str">
        <f aca="false">IF(MAX('ARR Rollforward'!C13:G13)&lt;=1.000001,"PASS","FAIL")</f>
        <v>PASS</v>
      </c>
    </row>
    <row r="8" customFormat="false" ht="15" hidden="false" customHeight="false" outlineLevel="0" collapsed="false">
      <c r="B8" s="0" t="s">
        <v>218</v>
      </c>
      <c r="C8" s="0" t="str">
        <f aca="false">IF(MIN('ARR Rollforward'!C12:G12-'ARR Rollforward'!C13:G13)&gt;=-0.000001,"PASS","FAIL")</f>
        <v>PASS</v>
      </c>
    </row>
    <row r="9" customFormat="false" ht="15" hidden="false" customHeight="false" outlineLevel="0" collapsed="false">
      <c r="B9" s="0" t="s">
        <v>219</v>
      </c>
      <c r="C9" s="0" t="str">
        <f aca="false">IF(MAX(ABS('Operating Model'!C7:G7-'Operating Model'!C5:G5-'Operating Model'!C6:G6))&lt;0.000001,"PASS","FAIL")</f>
        <v>PASS</v>
      </c>
    </row>
    <row r="10" customFormat="false" ht="15" hidden="false" customHeight="false" outlineLevel="0" collapsed="false">
      <c r="B10" s="0" t="s">
        <v>220</v>
      </c>
      <c r="C10" s="0" t="str">
        <f aca="false">IF(AND(MIN('Operating Model'!C11:G11)&gt;=Assumptions!E12,MAX('Operating Model'!C11:G11)&lt;=Assumptions!E11),"PASS","REVIEW")</f>
        <v>PASS</v>
      </c>
    </row>
    <row r="11" customFormat="false" ht="15" hidden="false" customHeight="false" outlineLevel="0" collapsed="false">
      <c r="B11" s="0" t="s">
        <v>221</v>
      </c>
      <c r="C11" s="0" t="str">
        <f aca="false">IF(MIN('Operating Model'!C19:G19-'Operating Model'!C16:G16)&gt;=0,"PASS","FAIL")</f>
        <v>PASS</v>
      </c>
    </row>
    <row r="12" customFormat="false" ht="15" hidden="false" customHeight="false" outlineLevel="0" collapsed="false">
      <c r="B12" s="0" t="s">
        <v>222</v>
      </c>
      <c r="C12" s="0" t="str">
        <f aca="false">IF(MIN('Unit Economics'!C7:G7)&gt;0,"PASS","REVIEW")</f>
        <v>PASS</v>
      </c>
    </row>
    <row r="13" customFormat="false" ht="15" hidden="false" customHeight="false" outlineLevel="0" collapsed="false">
      <c r="B13" s="0" t="s">
        <v>223</v>
      </c>
      <c r="C13" s="0" t="str">
        <f aca="false">IF(MAX('Unit Economics'!C9:G9)&lt;=36,"PASS","REVIEW")</f>
        <v>PASS</v>
      </c>
    </row>
    <row r="14" customFormat="false" ht="15" hidden="false" customHeight="false" outlineLevel="0" collapsed="false">
      <c r="B14" s="0" t="s">
        <v>224</v>
      </c>
      <c r="C14" s="0" t="str">
        <f aca="false">IF(MAX(ABS('RPO &amp; Bookings'!C7:G7-('RPO &amp; Bookings'!C6:G6+'RPO &amp; Bookings'!C8:G8-'RPO &amp; Bookings'!C5:G5)))&lt;0.000001,"PASS","FAIL")</f>
        <v>PASS</v>
      </c>
    </row>
    <row r="15" customFormat="false" ht="15" hidden="false" customHeight="false" outlineLevel="0" collapsed="false">
      <c r="B15" s="0" t="s">
        <v>225</v>
      </c>
      <c r="C15" s="0" t="str">
        <f aca="false">IF(MIN('RPO &amp; Bookings'!C12:G12)&gt;=-0.000001,"PASS","FAIL")</f>
        <v>PASS</v>
      </c>
    </row>
    <row r="16" customFormat="false" ht="15" hidden="false" customHeight="false" outlineLevel="0" collapsed="false">
      <c r="B16" s="0" t="s">
        <v>226</v>
      </c>
      <c r="C16" s="0" t="str">
        <f aca="false">IF(MIN('RPO &amp; Bookings'!C14:G14)&gt;=-0.000001,"PASS","REVIEW")</f>
        <v>PASS</v>
      </c>
    </row>
    <row r="17" customFormat="false" ht="15" hidden="false" customHeight="false" outlineLevel="0" collapsed="false">
      <c r="B17" s="0" t="s">
        <v>227</v>
      </c>
      <c r="C17" s="0" t="str">
        <f aca="false">IF(MIN('RPO &amp; Bookings'!C8:G8)&gt;0,"PASS","REVIEW")</f>
        <v>PASS</v>
      </c>
    </row>
    <row r="18" customFormat="false" ht="15" hidden="false" customHeight="false" outlineLevel="0" collapsed="false">
      <c r="B18" s="0" t="s">
        <v>228</v>
      </c>
      <c r="C18" s="0" t="str">
        <f aca="false">IF(COUNTIF(C5:C17,"FAIL")&gt;0,"FAIL",IF(COUNTIF(C5:C17,"REVIEW")&gt;0,"REVIEW","PASS"))</f>
        <v>PASS</v>
      </c>
    </row>
  </sheetData>
  <mergeCells count="1">
    <mergeCell ref="B2:C2"/>
  </mergeCells>
  <conditionalFormatting sqref="C5:C18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229</v>
      </c>
      <c r="C2" s="1"/>
      <c r="D2" s="1"/>
      <c r="E2" s="1"/>
    </row>
    <row r="4" customFormat="false" ht="15" hidden="false" customHeight="false" outlineLevel="0" collapsed="false">
      <c r="B4" s="15" t="s">
        <v>230</v>
      </c>
      <c r="C4" s="15" t="s">
        <v>231</v>
      </c>
      <c r="D4" s="15" t="s">
        <v>107</v>
      </c>
      <c r="E4" s="15" t="s">
        <v>232</v>
      </c>
    </row>
    <row r="5" customFormat="false" ht="15" hidden="false" customHeight="false" outlineLevel="0" collapsed="false">
      <c r="B5" s="28" t="s">
        <v>233</v>
      </c>
      <c r="C5" s="28" t="s">
        <v>234</v>
      </c>
      <c r="D5" s="28" t="s">
        <v>235</v>
      </c>
      <c r="E5" s="28" t="s">
        <v>236</v>
      </c>
    </row>
    <row r="6" customFormat="false" ht="15" hidden="false" customHeight="false" outlineLevel="0" collapsed="false">
      <c r="B6" s="28" t="s">
        <v>237</v>
      </c>
      <c r="C6" s="28" t="s">
        <v>238</v>
      </c>
      <c r="D6" s="28" t="s">
        <v>235</v>
      </c>
      <c r="E6" s="28" t="s">
        <v>239</v>
      </c>
    </row>
    <row r="7" customFormat="false" ht="15" hidden="false" customHeight="false" outlineLevel="0" collapsed="false">
      <c r="B7" s="28" t="s">
        <v>179</v>
      </c>
      <c r="C7" s="28" t="s">
        <v>240</v>
      </c>
      <c r="D7" s="28" t="s">
        <v>235</v>
      </c>
      <c r="E7" s="28" t="s">
        <v>241</v>
      </c>
    </row>
    <row r="8" customFormat="false" ht="15" hidden="false" customHeight="false" outlineLevel="0" collapsed="false">
      <c r="B8" s="28" t="s">
        <v>242</v>
      </c>
      <c r="C8" s="28" t="s">
        <v>243</v>
      </c>
      <c r="D8" s="28" t="s">
        <v>235</v>
      </c>
      <c r="E8" s="28" t="s">
        <v>244</v>
      </c>
    </row>
    <row r="9" customFormat="false" ht="15" hidden="false" customHeight="false" outlineLevel="0" collapsed="false">
      <c r="B9" s="28" t="s">
        <v>245</v>
      </c>
      <c r="C9" s="28" t="s">
        <v>246</v>
      </c>
      <c r="D9" s="28" t="s">
        <v>235</v>
      </c>
      <c r="E9" s="28" t="s">
        <v>247</v>
      </c>
    </row>
    <row r="10" customFormat="false" ht="15" hidden="false" customHeight="false" outlineLevel="0" collapsed="false">
      <c r="B10" s="28" t="s">
        <v>248</v>
      </c>
      <c r="C10" s="28" t="s">
        <v>249</v>
      </c>
      <c r="D10" s="28" t="s">
        <v>250</v>
      </c>
      <c r="E10" s="28" t="s">
        <v>251</v>
      </c>
    </row>
    <row r="11" customFormat="false" ht="15" hidden="false" customHeight="false" outlineLevel="0" collapsed="false">
      <c r="B11" s="29" t="s">
        <v>252</v>
      </c>
      <c r="C11" s="29" t="s">
        <v>253</v>
      </c>
      <c r="D11" s="29" t="s">
        <v>8</v>
      </c>
      <c r="E11" s="29" t="s">
        <v>254</v>
      </c>
    </row>
    <row r="12" customFormat="false" ht="15" hidden="false" customHeight="false" outlineLevel="0" collapsed="false">
      <c r="B12" s="29" t="s">
        <v>255</v>
      </c>
      <c r="C12" s="29" t="s">
        <v>256</v>
      </c>
      <c r="D12" s="29" t="s">
        <v>257</v>
      </c>
      <c r="E12" s="29" t="s">
        <v>258</v>
      </c>
    </row>
    <row r="13" customFormat="false" ht="15" hidden="false" customHeight="false" outlineLevel="0" collapsed="false">
      <c r="B13" s="29" t="s">
        <v>259</v>
      </c>
      <c r="C13" s="29" t="s">
        <v>260</v>
      </c>
      <c r="D13" s="29" t="s">
        <v>8</v>
      </c>
      <c r="E13" s="29" t="s">
        <v>261</v>
      </c>
    </row>
    <row r="14" customFormat="false" ht="15" hidden="false" customHeight="false" outlineLevel="0" collapsed="false">
      <c r="B14" s="29" t="s">
        <v>262</v>
      </c>
      <c r="C14" s="29" t="s">
        <v>263</v>
      </c>
      <c r="D14" s="29" t="s">
        <v>8</v>
      </c>
      <c r="E14" s="29" t="s">
        <v>264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265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95</v>
      </c>
      <c r="C4" s="15" t="s">
        <v>266</v>
      </c>
      <c r="D4" s="15" t="s">
        <v>267</v>
      </c>
      <c r="E4" s="15" t="s">
        <v>268</v>
      </c>
      <c r="F4" s="15" t="s">
        <v>269</v>
      </c>
      <c r="G4" s="15" t="s">
        <v>270</v>
      </c>
    </row>
    <row r="5" customFormat="false" ht="15" hidden="false" customHeight="false" outlineLevel="0" collapsed="false">
      <c r="B5" s="30" t="s">
        <v>8</v>
      </c>
      <c r="C5" s="30" t="s">
        <v>271</v>
      </c>
      <c r="D5" s="30" t="s">
        <v>272</v>
      </c>
      <c r="E5" s="30" t="s">
        <v>273</v>
      </c>
      <c r="F5" s="30" t="s">
        <v>274</v>
      </c>
      <c r="G5" s="30"/>
    </row>
    <row r="6" customFormat="false" ht="15" hidden="false" customHeight="false" outlineLevel="0" collapsed="false">
      <c r="B6" s="30"/>
      <c r="C6" s="30"/>
      <c r="D6" s="30"/>
      <c r="E6" s="30"/>
      <c r="F6" s="30"/>
      <c r="G6" s="30"/>
    </row>
    <row r="7" customFormat="false" ht="15" hidden="false" customHeight="false" outlineLevel="0" collapsed="false">
      <c r="B7" s="30"/>
      <c r="C7" s="30"/>
      <c r="D7" s="30"/>
      <c r="E7" s="30"/>
      <c r="F7" s="30"/>
      <c r="G7" s="30"/>
    </row>
    <row r="8" customFormat="false" ht="15" hidden="false" customHeight="false" outlineLevel="0" collapsed="false">
      <c r="B8" s="30"/>
      <c r="C8" s="30"/>
      <c r="D8" s="30"/>
      <c r="E8" s="30"/>
      <c r="F8" s="30"/>
      <c r="G8" s="30"/>
    </row>
    <row r="9" customFormat="false" ht="15" hidden="false" customHeight="false" outlineLevel="0" collapsed="false">
      <c r="B9" s="30"/>
      <c r="C9" s="30"/>
      <c r="D9" s="30"/>
      <c r="E9" s="30"/>
      <c r="F9" s="30"/>
      <c r="G9" s="30"/>
    </row>
    <row r="10" customFormat="false" ht="15" hidden="false" customHeight="false" outlineLevel="0" collapsed="false">
      <c r="B10" s="30"/>
      <c r="C10" s="30"/>
      <c r="D10" s="30"/>
      <c r="E10" s="30"/>
      <c r="F10" s="30"/>
      <c r="G10" s="30"/>
    </row>
    <row r="11" customFormat="false" ht="15" hidden="false" customHeight="false" outlineLevel="0" collapsed="false">
      <c r="B11" s="30"/>
      <c r="C11" s="30"/>
      <c r="D11" s="30"/>
      <c r="E11" s="30"/>
      <c r="F11" s="30"/>
      <c r="G11" s="30"/>
    </row>
    <row r="12" customFormat="false" ht="15" hidden="false" customHeight="false" outlineLevel="0" collapsed="false">
      <c r="B12" s="30"/>
      <c r="C12" s="30"/>
      <c r="D12" s="30"/>
      <c r="E12" s="30"/>
      <c r="F12" s="30"/>
      <c r="G12" s="30"/>
    </row>
    <row r="13" customFormat="false" ht="15" hidden="false" customHeight="false" outlineLevel="0" collapsed="false">
      <c r="B13" s="30"/>
      <c r="C13" s="30"/>
      <c r="D13" s="30"/>
      <c r="E13" s="30"/>
      <c r="F13" s="30"/>
      <c r="G13" s="30"/>
    </row>
    <row r="14" customFormat="false" ht="15" hidden="false" customHeight="false" outlineLevel="0" collapsed="false">
      <c r="B14" s="30"/>
      <c r="C14" s="30"/>
      <c r="D14" s="30"/>
      <c r="E14" s="30"/>
      <c r="F14" s="30"/>
      <c r="G14" s="30"/>
    </row>
    <row r="15" customFormat="false" ht="15" hidden="false" customHeight="false" outlineLevel="0" collapsed="false">
      <c r="B15" s="30"/>
      <c r="C15" s="30"/>
      <c r="D15" s="30"/>
      <c r="E15" s="30"/>
      <c r="F15" s="30"/>
      <c r="G15" s="30"/>
    </row>
    <row r="16" customFormat="false" ht="15" hidden="false" customHeight="false" outlineLevel="0" collapsed="false">
      <c r="B16" s="30"/>
      <c r="C16" s="30"/>
      <c r="D16" s="30"/>
      <c r="E16" s="30"/>
      <c r="F16" s="30"/>
      <c r="G16" s="30"/>
    </row>
    <row r="17" customFormat="false" ht="15" hidden="false" customHeight="false" outlineLevel="0" collapsed="false">
      <c r="B17" s="30"/>
      <c r="C17" s="30"/>
      <c r="D17" s="30"/>
      <c r="E17" s="30"/>
      <c r="F17" s="30"/>
      <c r="G17" s="30"/>
    </row>
    <row r="18" customFormat="false" ht="15" hidden="false" customHeight="false" outlineLevel="0" collapsed="false">
      <c r="B18" s="30"/>
      <c r="C18" s="30"/>
      <c r="D18" s="30"/>
      <c r="E18" s="30"/>
      <c r="F18" s="30"/>
      <c r="G18" s="30"/>
    </row>
    <row r="19" customFormat="false" ht="15" hidden="false" customHeight="false" outlineLevel="0" collapsed="false">
      <c r="B19" s="30"/>
      <c r="C19" s="30"/>
      <c r="D19" s="30"/>
      <c r="E19" s="30"/>
      <c r="F19" s="30"/>
      <c r="G19" s="30"/>
    </row>
    <row r="20" customFormat="false" ht="15" hidden="false" customHeight="false" outlineLevel="0" collapsed="false">
      <c r="B20" s="30"/>
      <c r="C20" s="30"/>
      <c r="D20" s="30"/>
      <c r="E20" s="30"/>
      <c r="F20" s="30"/>
      <c r="G20" s="30"/>
    </row>
    <row r="21" customFormat="false" ht="15" hidden="false" customHeight="false" outlineLevel="0" collapsed="false">
      <c r="B21" s="30"/>
      <c r="C21" s="30"/>
      <c r="D21" s="30"/>
      <c r="E21" s="30"/>
      <c r="F21" s="30"/>
      <c r="G21" s="30"/>
    </row>
    <row r="22" customFormat="false" ht="15" hidden="false" customHeight="false" outlineLevel="0" collapsed="false">
      <c r="B22" s="30"/>
      <c r="C22" s="30"/>
      <c r="D22" s="30"/>
      <c r="E22" s="30"/>
      <c r="F22" s="30"/>
      <c r="G22" s="30"/>
    </row>
    <row r="23" customFormat="false" ht="15" hidden="false" customHeight="false" outlineLevel="0" collapsed="false">
      <c r="B23" s="30"/>
      <c r="C23" s="30"/>
      <c r="D23" s="30"/>
      <c r="E23" s="30"/>
      <c r="F23" s="30"/>
      <c r="G23" s="30"/>
    </row>
    <row r="24" customFormat="false" ht="15" hidden="false" customHeight="false" outlineLevel="0" collapsed="false">
      <c r="B24" s="30"/>
      <c r="C24" s="30"/>
      <c r="D24" s="30"/>
      <c r="E24" s="30"/>
      <c r="F24" s="30"/>
      <c r="G24" s="30"/>
    </row>
    <row r="25" customFormat="false" ht="15" hidden="false" customHeight="false" outlineLevel="0" collapsed="false">
      <c r="B25" s="30"/>
      <c r="C25" s="30"/>
      <c r="D25" s="30"/>
      <c r="E25" s="30"/>
      <c r="F25" s="30"/>
      <c r="G25" s="30"/>
    </row>
    <row r="26" customFormat="false" ht="15" hidden="false" customHeight="false" outlineLevel="0" collapsed="false">
      <c r="B26" s="30"/>
      <c r="C26" s="30"/>
      <c r="D26" s="30"/>
      <c r="E26" s="30"/>
      <c r="F26" s="30"/>
      <c r="G26" s="30"/>
    </row>
    <row r="27" customFormat="false" ht="15" hidden="false" customHeight="false" outlineLevel="0" collapsed="false">
      <c r="B27" s="30"/>
      <c r="C27" s="30"/>
      <c r="D27" s="30"/>
      <c r="E27" s="30"/>
      <c r="F27" s="30"/>
      <c r="G27" s="30"/>
    </row>
    <row r="28" customFormat="false" ht="15" hidden="false" customHeight="false" outlineLevel="0" collapsed="false">
      <c r="B28" s="30"/>
      <c r="C28" s="30"/>
      <c r="D28" s="30"/>
      <c r="E28" s="30"/>
      <c r="F28" s="30"/>
      <c r="G28" s="30"/>
    </row>
    <row r="29" customFormat="false" ht="15" hidden="false" customHeight="false" outlineLevel="0" collapsed="false">
      <c r="B29" s="30"/>
      <c r="C29" s="30"/>
      <c r="D29" s="30"/>
      <c r="E29" s="30"/>
      <c r="F29" s="30"/>
      <c r="G29" s="30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2026-08-06T19:45:01Z</dcterms:created>
  <dc:creator>openpyxl</dc:creator>
  <dc:description/>
  <dc:language>en-US</dc:language>
  <cp:lastModifiedBy/>
  <dcterms:modified xsi:type="dcterms:W3CDTF">2026-08-17T20:22:26Z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