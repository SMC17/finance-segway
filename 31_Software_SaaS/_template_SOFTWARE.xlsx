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ARR Rollforward" sheetId="6" state="visible" r:id="rId6"/>
    <sheet xmlns:r="http://schemas.openxmlformats.org/officeDocument/2006/relationships" name="Operating Model" sheetId="7" state="visible" r:id="rId7"/>
    <sheet xmlns:r="http://schemas.openxmlformats.org/officeDocument/2006/relationships" name="RPO &amp; Bookings" sheetId="8" state="visible" r:id="rId8"/>
    <sheet xmlns:r="http://schemas.openxmlformats.org/officeDocument/2006/relationships" name="Unit Economics" sheetId="9" state="visible" r:id="rId9"/>
    <sheet xmlns:r="http://schemas.openxmlformats.org/officeDocument/2006/relationships" name="Rule of 40" sheetId="10" state="visible" r:id="rId10"/>
    <sheet xmlns:r="http://schemas.openxmlformats.org/officeDocument/2006/relationships" name="Checks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RefreshLog" sheetId="13" state="visible" r:id="rId13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$#,##0.0;[Red]($#,##0.0);-"/>
    <numFmt numFmtId="165" formatCode="0.0%;[Red](0.0%);-"/>
    <numFmt numFmtId="166" formatCode="0.0x;[Red](0.0x);-"/>
    <numFmt numFmtId="167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11827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0000FF"/>
      <sz val="10"/>
    </font>
    <font>
      <name val="Arial"/>
      <b val="1"/>
      <color rgb="00008000"/>
      <sz val="10"/>
    </font>
    <font>
      <b val="1"/>
      <color rgb="00FFFFFF"/>
      <sz val="15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bottom style="thin">
        <color rgb="00BFBFBF"/>
      </bottom>
    </border>
    <border>
      <top style="thin">
        <color rgb="00111827"/>
      </top>
    </border>
    <border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pivotButton="0" quotePrefix="0" xfId="0"/>
    <xf numFmtId="0" fontId="4" fillId="2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3" fillId="3" borderId="1" pivotButton="0" quotePrefix="0" xfId="0"/>
    <xf numFmtId="164" fontId="0" fillId="0" borderId="0" pivotButton="0" quotePrefix="0" xfId="0"/>
    <xf numFmtId="165" fontId="3" fillId="3" borderId="1" pivotButton="0" quotePrefix="0" xfId="0"/>
    <xf numFmtId="165" fontId="0" fillId="0" borderId="0" pivotButton="0" quotePrefix="0" xfId="0"/>
    <xf numFmtId="166" fontId="3" fillId="3" borderId="1" pivotButton="0" quotePrefix="0" xfId="0"/>
    <xf numFmtId="166" fontId="0" fillId="0" borderId="0" pivotButton="0" quotePrefix="0" xfId="0"/>
    <xf numFmtId="0" fontId="2" fillId="0" borderId="2" pivotButton="0" quotePrefix="0" xfId="0"/>
    <xf numFmtId="164" fontId="2" fillId="0" borderId="2" pivotButton="0" quotePrefix="0" xfId="0"/>
    <xf numFmtId="167" fontId="0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8" fillId="4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10" fillId="4" borderId="0" pivotButton="0" quotePrefix="0" xfId="0"/>
    <xf numFmtId="0" fontId="9" fillId="5" borderId="3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6" customWidth="1" min="3" max="3"/>
    <col width="12" customWidth="1" min="4" max="4"/>
    <col width="12" customWidth="1" min="5" max="5"/>
    <col width="12" customWidth="1" min="6" max="6"/>
  </cols>
  <sheetData>
    <row r="2" ht="28" customHeight="1">
      <c r="B2" s="1" t="inlineStr">
        <is>
          <t>[COMPANY] — Software / SaaS Operating and Unit-Economics Model</t>
        </is>
      </c>
    </row>
    <row r="4">
      <c r="B4" s="2" t="inlineStr">
        <is>
          <t>Company / ticker:</t>
        </is>
      </c>
      <c r="C4" s="3" t="inlineStr">
        <is>
          <t>[Name]</t>
        </is>
      </c>
    </row>
    <row r="5">
      <c r="B5" s="2" t="inlineStr">
        <is>
          <t>Subsector:</t>
        </is>
      </c>
      <c r="C5" s="3" t="inlineStr">
        <is>
          <t>[application | infrastructure | vertical SaaS]</t>
        </is>
      </c>
    </row>
    <row r="6">
      <c r="B6" s="2" t="inlineStr">
        <is>
          <t>Fiscal year end:</t>
        </is>
      </c>
      <c r="C6" s="3" t="inlineStr">
        <is>
          <t>[date]</t>
        </is>
      </c>
    </row>
    <row r="7">
      <c r="B7" s="2" t="inlineStr">
        <is>
          <t>Last refreshed:</t>
        </is>
      </c>
      <c r="C7" s="3" t="inlineStr">
        <is>
          <t>[date]</t>
        </is>
      </c>
    </row>
    <row r="8">
      <c r="B8" s="2" t="inlineStr">
        <is>
          <t>Next filing / refresh:</t>
        </is>
      </c>
      <c r="C8" s="3" t="inlineStr">
        <is>
          <t>[date]</t>
        </is>
      </c>
    </row>
    <row r="9">
      <c r="B9" s="2" t="inlineStr">
        <is>
          <t>Active scenario:</t>
        </is>
      </c>
      <c r="C9" s="3" t="inlineStr">
        <is>
          <t>Base</t>
        </is>
      </c>
    </row>
    <row r="10">
      <c r="B10" s="2" t="inlineStr">
        <is>
          <t>Units:</t>
        </is>
      </c>
      <c r="C10" s="3" t="inlineStr">
        <is>
          <t>$ in millions unless noted</t>
        </is>
      </c>
    </row>
    <row r="13">
      <c r="B13" s="4" t="inlineStr">
        <is>
          <t>Modeling conventions</t>
        </is>
      </c>
    </row>
    <row r="14">
      <c r="B14" s="5" t="inlineStr">
        <is>
          <t>Blue text / yellow fill</t>
        </is>
      </c>
      <c r="C14" s="6" t="inlineStr">
        <is>
          <t>Hardcoded input or selected scenario</t>
        </is>
      </c>
    </row>
    <row r="15">
      <c r="B15" s="2" t="inlineStr">
        <is>
          <t>Black text</t>
        </is>
      </c>
      <c r="C15" s="6" t="inlineStr">
        <is>
          <t>Formula / same-sheet calculation</t>
        </is>
      </c>
    </row>
    <row r="16">
      <c r="B16" s="7" t="inlineStr">
        <is>
          <t>Green text</t>
        </is>
      </c>
      <c r="C16" s="6" t="inlineStr">
        <is>
          <t>Cross-sheet formula / link</t>
        </is>
      </c>
    </row>
    <row r="17">
      <c r="B17" s="2" t="inlineStr">
        <is>
          <t>Checks</t>
        </is>
      </c>
      <c r="C17" s="6" t="inlineStr">
        <is>
          <t>PASS / REVIEW / FAIL must remain visible</t>
        </is>
      </c>
    </row>
  </sheetData>
  <mergeCells count="2">
    <mergeCell ref="B2:F2"/>
    <mergeCell ref="B13:F13"/>
  </mergeCells>
  <dataValidations count="1">
    <dataValidation sqref="C9" showDropDown="0" showInputMessage="0" showErrorMessage="0" allowBlank="0" type="list">
      <formula1>"Base,Downside"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20" t="inlineStr">
        <is>
          <t>Software &amp; SaaS — Institutional Decision Surface</t>
        </is>
      </c>
    </row>
    <row r="4">
      <c r="B4" s="21" t="inlineStr">
        <is>
          <t>Model ID</t>
        </is>
      </c>
      <c r="C4" s="22" t="inlineStr">
        <is>
          <t>31</t>
        </is>
      </c>
    </row>
    <row r="5">
      <c r="B5" s="21" t="inlineStr">
        <is>
          <t>Domain</t>
        </is>
      </c>
      <c r="C5" s="22" t="inlineStr">
        <is>
          <t>Software &amp; SaaS</t>
        </is>
      </c>
    </row>
    <row r="6">
      <c r="B6" s="21" t="inlineStr">
        <is>
          <t>Declared maturity</t>
        </is>
      </c>
      <c r="C6" s="22" t="inlineStr">
        <is>
          <t>M1</t>
        </is>
      </c>
    </row>
    <row r="7">
      <c r="B7" s="21" t="inlineStr">
        <is>
          <t>Canonical builder</t>
        </is>
      </c>
      <c r="C7" s="22" t="inlineStr">
        <is>
          <t>tools/builders/build_software_saas_institutional.py</t>
        </is>
      </c>
    </row>
    <row r="8">
      <c r="B8" s="21" t="inlineStr">
        <is>
          <t>Decision arena</t>
        </is>
      </c>
      <c r="C8" s="22" t="inlineStr">
        <is>
          <t>management team, board, public-market investors and growth-equity investment committee</t>
        </is>
      </c>
    </row>
    <row r="9">
      <c r="B9" s="21" t="inlineStr">
        <is>
          <t>Committee artifact</t>
        </is>
      </c>
      <c r="C9" s="22" t="inlineStr">
        <is>
          <t>quarterly ARR and retention review pack</t>
        </is>
      </c>
    </row>
    <row r="10">
      <c r="B10" s="21" t="inlineStr">
        <is>
          <t>Operating cadence</t>
        </is>
      </c>
      <c r="C10" s="22" t="inlineStr">
        <is>
          <t>quarterly earnings and ARR reporting; annual plan and long-range model refresh</t>
        </is>
      </c>
    </row>
    <row r="12">
      <c r="B12" s="23" t="inlineStr">
        <is>
          <t>Key decision outputs</t>
        </is>
      </c>
    </row>
    <row r="13">
      <c r="B13" s="24" t="inlineStr">
        <is>
          <t>#</t>
        </is>
      </c>
      <c r="C13" s="24" t="inlineStr">
        <is>
          <t>Requirement</t>
        </is>
      </c>
      <c r="D13" s="24" t="inlineStr">
        <is>
          <t>Owner</t>
        </is>
      </c>
      <c r="E13" s="24" t="inlineStr">
        <is>
          <t>Evidence / location</t>
        </is>
      </c>
      <c r="F13" s="24" t="inlineStr">
        <is>
          <t>Status</t>
        </is>
      </c>
    </row>
    <row r="14">
      <c r="B14" t="n">
        <v>1</v>
      </c>
      <c r="C14" t="inlineStr">
        <is>
          <t>ARR roll-forward with net and gross revenue retention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customer-acquisition payback and magic number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Rule of 40 growth-versus-profitability trade-off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23" t="inlineStr">
        <is>
          <t>Insider questions</t>
        </is>
      </c>
    </row>
    <row r="21">
      <c r="B21" s="24" t="inlineStr">
        <is>
          <t>#</t>
        </is>
      </c>
      <c r="C21" s="24" t="inlineStr">
        <is>
          <t>Requirement</t>
        </is>
      </c>
      <c r="D21" s="24" t="inlineStr">
        <is>
          <t>Owner</t>
        </is>
      </c>
      <c r="E21" s="24" t="inlineStr">
        <is>
          <t>Evidence / location</t>
        </is>
      </c>
      <c r="F21" s="24" t="inlineStr">
        <is>
          <t>Status</t>
        </is>
      </c>
    </row>
    <row r="22">
      <c r="B22" t="n">
        <v>1</v>
      </c>
      <c r="C22" t="inlineStr">
        <is>
          <t>What is net revenue retention excluding new customers, and how does it compare to gross retention?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How many months of gross profit does it take to repay customer-acquisition cost?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Does the company clear Rule of 40 on free cash flow, not just on operating margin?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23" t="inlineStr">
        <is>
          <t>Scenario families</t>
        </is>
      </c>
    </row>
    <row r="29">
      <c r="B29" s="24" t="inlineStr">
        <is>
          <t>#</t>
        </is>
      </c>
      <c r="C29" s="24" t="inlineStr">
        <is>
          <t>Requirement</t>
        </is>
      </c>
      <c r="D29" s="24" t="inlineStr">
        <is>
          <t>Owner</t>
        </is>
      </c>
      <c r="E29" s="24" t="inlineStr">
        <is>
          <t>Evidence / location</t>
        </is>
      </c>
      <c r="F29" s="24" t="inlineStr">
        <is>
          <t>Status</t>
        </is>
      </c>
    </row>
    <row r="30">
      <c r="B30" t="n">
        <v>1</v>
      </c>
      <c r="C30" t="inlineStr">
        <is>
          <t>gross churn acceleration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expansion contraction as customers optimise seats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sales-efficiency deterioration raising payback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23" t="inlineStr">
        <is>
          <t>Primary diligence documents</t>
        </is>
      </c>
    </row>
    <row r="37">
      <c r="B37" s="24" t="inlineStr">
        <is>
          <t>#</t>
        </is>
      </c>
      <c r="C37" s="24" t="inlineStr">
        <is>
          <t>Requirement</t>
        </is>
      </c>
      <c r="D37" s="24" t="inlineStr">
        <is>
          <t>Owner</t>
        </is>
      </c>
      <c r="E37" s="24" t="inlineStr">
        <is>
          <t>Evidence / location</t>
        </is>
      </c>
      <c r="F37" s="24" t="inlineStr">
        <is>
          <t>Status</t>
        </is>
      </c>
    </row>
    <row r="38">
      <c r="B38" t="n">
        <v>1</v>
      </c>
      <c r="C38" t="inlineStr">
        <is>
          <t>annual report and quarterly filings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revenue disaggregation and equity compensation notes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shareholder letters and investor-day disclosure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23" t="inlineStr">
        <is>
          <t>Challenge tests</t>
        </is>
      </c>
    </row>
    <row r="45">
      <c r="B45" s="24" t="inlineStr">
        <is>
          <t>#</t>
        </is>
      </c>
      <c r="C45" s="24" t="inlineStr">
        <is>
          <t>Requirement</t>
        </is>
      </c>
      <c r="D45" s="24" t="inlineStr">
        <is>
          <t>Owner</t>
        </is>
      </c>
      <c r="E45" s="24" t="inlineStr">
        <is>
          <t>Evidence / location</t>
        </is>
      </c>
      <c r="F45" s="24" t="inlineStr">
        <is>
          <t>Status</t>
        </is>
      </c>
    </row>
    <row r="46">
      <c r="B46" t="n">
        <v>1</v>
      </c>
      <c r="C46" t="inlineStr">
        <is>
          <t>ARR roll-forward reconciles beginning to ending balance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net revenue retention exceeds gross revenue retention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blended gross margin sits between its subscription and services components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23" t="inlineStr">
        <is>
          <t>Known failure modes</t>
        </is>
      </c>
    </row>
    <row r="53">
      <c r="B53" s="24" t="inlineStr">
        <is>
          <t>#</t>
        </is>
      </c>
      <c r="C53" s="24" t="inlineStr">
        <is>
          <t>Requirement</t>
        </is>
      </c>
      <c r="D53" s="24" t="inlineStr">
        <is>
          <t>Owner</t>
        </is>
      </c>
      <c r="E53" s="24" t="inlineStr">
        <is>
          <t>Evidence / location</t>
        </is>
      </c>
      <c r="F53" s="24" t="inlineStr">
        <is>
          <t>Status</t>
        </is>
      </c>
    </row>
    <row r="54">
      <c r="B54" t="n">
        <v>1</v>
      </c>
      <c r="C54" t="inlineStr">
        <is>
          <t>quoting net revenue retention that silently includes new logos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burying stock-based compensation inside operating expense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treating ending ARR as recognised revenue in a growing year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23" t="inlineStr">
        <is>
          <t>Regulatory / methodological anchors</t>
        </is>
      </c>
    </row>
    <row r="61">
      <c r="B61" s="24" t="inlineStr">
        <is>
          <t>Standard</t>
        </is>
      </c>
      <c r="C61" s="24" t="inlineStr">
        <is>
          <t>Scope</t>
        </is>
      </c>
      <c r="D61" s="24" t="inlineStr">
        <is>
          <t>Source URL</t>
        </is>
      </c>
      <c r="E61" s="24" t="inlineStr">
        <is>
          <t>Applicability</t>
        </is>
      </c>
      <c r="F61" s="24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SEC Rule 2a-5</t>
        </is>
      </c>
      <c r="C63" t="inlineStr">
        <is>
          <t>fair-value governance and testing</t>
        </is>
      </c>
      <c r="D63" t="inlineStr">
        <is>
          <t>https://www.sec.gov/files/rules/final/2020/ic-34128.pdf</t>
        </is>
      </c>
      <c r="E63" t="inlineStr">
        <is>
          <t>Map explicitly</t>
        </is>
      </c>
      <c r="F63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20" t="inlineStr">
        <is>
          <t>Independent Challenge, Override and Closure Log</t>
        </is>
      </c>
    </row>
    <row r="4">
      <c r="B4" s="24" t="inlineStr">
        <is>
          <t>Date</t>
        </is>
      </c>
      <c r="C4" s="24" t="inlineStr">
        <is>
          <t>Reviewer</t>
        </is>
      </c>
      <c r="D4" s="24" t="inlineStr">
        <is>
          <t>Challenge</t>
        </is>
      </c>
      <c r="E4" s="24" t="inlineStr">
        <is>
          <t>Owner response</t>
        </is>
      </c>
      <c r="F4" s="24" t="inlineStr">
        <is>
          <t>Evidence</t>
        </is>
      </c>
      <c r="G4" s="24" t="inlineStr">
        <is>
          <t>Impact</t>
        </is>
      </c>
      <c r="H4" s="24" t="inlineStr">
        <is>
          <t>Status</t>
        </is>
      </c>
      <c r="I4" s="24" t="inlineStr">
        <is>
          <t>Closure</t>
        </is>
      </c>
    </row>
    <row r="5">
      <c r="B5" t="inlineStr"/>
      <c r="C5" t="inlineStr"/>
      <c r="D5" t="inlineStr">
        <is>
          <t>ARR roll-forward reconciles beginning to ending balance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net revenue retention exceeds gross revenue retention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blended gross margin sits between its subscription and services components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20" t="inlineStr">
        <is>
          <t>Source, Transformation, Ownership and Refresh Map</t>
        </is>
      </c>
    </row>
    <row r="4">
      <c r="B4" s="24" t="inlineStr">
        <is>
          <t>Source class</t>
        </is>
      </c>
      <c r="C4" s="24" t="inlineStr">
        <is>
          <t>Cadence</t>
        </is>
      </c>
      <c r="D4" s="24" t="inlineStr">
        <is>
          <t>Control</t>
        </is>
      </c>
      <c r="E4" s="24" t="inlineStr">
        <is>
          <t>System / provider</t>
        </is>
      </c>
      <c r="F4" s="24" t="inlineStr">
        <is>
          <t>As-of</t>
        </is>
      </c>
      <c r="G4" s="24" t="inlineStr">
        <is>
          <t>Owner</t>
        </is>
      </c>
      <c r="H4" s="24" t="inlineStr">
        <is>
          <t>Transform</t>
        </is>
      </c>
      <c r="I4" s="24" t="inlineStr">
        <is>
          <t>Downstream</t>
        </is>
      </c>
      <c r="J4" s="24" t="inlineStr">
        <is>
          <t>Status</t>
        </is>
      </c>
    </row>
    <row r="5">
      <c r="B5" t="inlineStr">
        <is>
          <t>annual and quarterly filings</t>
        </is>
      </c>
      <c r="C5" t="inlineStr">
        <is>
          <t>quarterly</t>
        </is>
      </c>
      <c r="D5" t="inlineStr">
        <is>
          <t>audited financial statements and revenue disaggregation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industry cost of capital and multiple datasets</t>
        </is>
      </c>
      <c r="C6" t="inlineStr">
        <is>
          <t>annual</t>
        </is>
      </c>
      <c r="D6" t="inlineStr">
        <is>
          <t>published industry statistics used to ground driver ranges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8" customWidth="1" min="2" max="2"/>
    <col width="15" customWidth="1" min="3" max="3"/>
    <col width="15" customWidth="1" min="4" max="4"/>
    <col width="15" customWidth="1" min="5" max="5"/>
    <col width="32" customWidth="1" min="6" max="6"/>
  </cols>
  <sheetData>
    <row r="2" ht="28" customHeight="1">
      <c r="B2" s="1" t="inlineStr">
        <is>
          <t>Software Operating Drivers</t>
        </is>
      </c>
    </row>
    <row r="4">
      <c r="B4" s="8" t="inlineStr">
        <is>
          <t>Driver</t>
        </is>
      </c>
      <c r="C4" s="8" t="inlineStr">
        <is>
          <t>Base</t>
        </is>
      </c>
      <c r="D4" s="8" t="inlineStr">
        <is>
          <t>Downside</t>
        </is>
      </c>
      <c r="E4" s="8" t="inlineStr">
        <is>
          <t>Active</t>
        </is>
      </c>
      <c r="F4" s="8" t="inlineStr">
        <is>
          <t>Units / note</t>
        </is>
      </c>
    </row>
    <row r="5">
      <c r="B5" t="inlineStr">
        <is>
          <t>Beginning ARR</t>
        </is>
      </c>
      <c r="C5" s="9" t="n">
        <v>1000</v>
      </c>
      <c r="D5" s="9" t="n">
        <v>1000</v>
      </c>
      <c r="E5" s="10">
        <f>IF(Cover!$C$9="Downside",D5,C5)</f>
        <v/>
      </c>
      <c r="F5" t="inlineStr">
        <is>
          <t>$mm</t>
        </is>
      </c>
    </row>
    <row r="6">
      <c r="B6" t="inlineStr">
        <is>
          <t>New ARR added (% of beginning ARR)</t>
        </is>
      </c>
      <c r="C6" s="11" t="n">
        <v>0.22</v>
      </c>
      <c r="D6" s="11" t="n">
        <v>0.12</v>
      </c>
      <c r="E6" s="12">
        <f>IF(Cover!$C$9="Downside",D6,C6)</f>
        <v/>
      </c>
      <c r="F6" t="inlineStr">
        <is>
          <t>%</t>
        </is>
      </c>
    </row>
    <row r="7">
      <c r="B7" t="inlineStr">
        <is>
          <t>Expansion ARR (% of beginning ARR)</t>
        </is>
      </c>
      <c r="C7" s="11" t="n">
        <v>0.14</v>
      </c>
      <c r="D7" s="11" t="n">
        <v>0.08</v>
      </c>
      <c r="E7" s="12">
        <f>IF(Cover!$C$9="Downside",D7,C7)</f>
        <v/>
      </c>
      <c r="F7" t="inlineStr">
        <is>
          <t>%</t>
        </is>
      </c>
    </row>
    <row r="8">
      <c r="B8" t="inlineStr">
        <is>
          <t>Contraction ARR (% of beginning ARR)</t>
        </is>
      </c>
      <c r="C8" s="11" t="n">
        <v>0.04</v>
      </c>
      <c r="D8" s="11" t="n">
        <v>0.07000000000000001</v>
      </c>
      <c r="E8" s="12">
        <f>IF(Cover!$C$9="Downside",D8,C8)</f>
        <v/>
      </c>
      <c r="F8" t="inlineStr">
        <is>
          <t>%</t>
        </is>
      </c>
    </row>
    <row r="9">
      <c r="B9" t="inlineStr">
        <is>
          <t>Gross churn (% of beginning ARR)</t>
        </is>
      </c>
      <c r="C9" s="11" t="n">
        <v>0.08</v>
      </c>
      <c r="D9" s="11" t="n">
        <v>0.13</v>
      </c>
      <c r="E9" s="12">
        <f>IF(Cover!$C$9="Downside",D9,C9)</f>
        <v/>
      </c>
      <c r="F9" t="inlineStr">
        <is>
          <t>%</t>
        </is>
      </c>
    </row>
    <row r="10">
      <c r="B10" t="inlineStr">
        <is>
          <t>Services revenue (% of subscription revenue)</t>
        </is>
      </c>
      <c r="C10" s="11" t="n">
        <v>0.1</v>
      </c>
      <c r="D10" s="11" t="n">
        <v>0.1</v>
      </c>
      <c r="E10" s="12">
        <f>IF(Cover!$C$9="Downside",D10,C10)</f>
        <v/>
      </c>
      <c r="F10" t="inlineStr">
        <is>
          <t>%</t>
        </is>
      </c>
    </row>
    <row r="11">
      <c r="B11" t="inlineStr">
        <is>
          <t>Subscription gross margin</t>
        </is>
      </c>
      <c r="C11" s="11" t="n">
        <v>0.8</v>
      </c>
      <c r="D11" s="11" t="n">
        <v>0.76</v>
      </c>
      <c r="E11" s="12">
        <f>IF(Cover!$C$9="Downside",D11,C11)</f>
        <v/>
      </c>
      <c r="F11" t="inlineStr">
        <is>
          <t>%</t>
        </is>
      </c>
    </row>
    <row r="12">
      <c r="B12" t="inlineStr">
        <is>
          <t>Services gross margin</t>
        </is>
      </c>
      <c r="C12" s="11" t="n">
        <v>0.15</v>
      </c>
      <c r="D12" s="11" t="n">
        <v>0.05</v>
      </c>
      <c r="E12" s="12">
        <f>IF(Cover!$C$9="Downside",D12,C12)</f>
        <v/>
      </c>
      <c r="F12" t="inlineStr">
        <is>
          <t>%</t>
        </is>
      </c>
    </row>
    <row r="13">
      <c r="B13" t="inlineStr">
        <is>
          <t>Sales &amp; marketing (% of revenue)</t>
        </is>
      </c>
      <c r="C13" s="11" t="n">
        <v>0.38</v>
      </c>
      <c r="D13" s="11" t="n">
        <v>0.42</v>
      </c>
      <c r="E13" s="12">
        <f>IF(Cover!$C$9="Downside",D13,C13)</f>
        <v/>
      </c>
      <c r="F13" t="inlineStr">
        <is>
          <t>%</t>
        </is>
      </c>
    </row>
    <row r="14">
      <c r="B14" t="inlineStr">
        <is>
          <t>Research &amp; development (% of revenue)</t>
        </is>
      </c>
      <c r="C14" s="11" t="n">
        <v>0.22</v>
      </c>
      <c r="D14" s="11" t="n">
        <v>0.24</v>
      </c>
      <c r="E14" s="12">
        <f>IF(Cover!$C$9="Downside",D14,C14)</f>
        <v/>
      </c>
      <c r="F14" t="inlineStr">
        <is>
          <t>%</t>
        </is>
      </c>
    </row>
    <row r="15">
      <c r="B15" t="inlineStr">
        <is>
          <t>General &amp; administrative (% of revenue)</t>
        </is>
      </c>
      <c r="C15" s="11" t="n">
        <v>0.12</v>
      </c>
      <c r="D15" s="11" t="n">
        <v>0.13</v>
      </c>
      <c r="E15" s="12">
        <f>IF(Cover!$C$9="Downside",D15,C15)</f>
        <v/>
      </c>
      <c r="F15" t="inlineStr">
        <is>
          <t>%</t>
        </is>
      </c>
    </row>
    <row r="16">
      <c r="B16" t="inlineStr">
        <is>
          <t>Stock-based compensation (% of revenue)</t>
        </is>
      </c>
      <c r="C16" s="11" t="n">
        <v>0.18</v>
      </c>
      <c r="D16" s="11" t="n">
        <v>0.2</v>
      </c>
      <c r="E16" s="12">
        <f>IF(Cover!$C$9="Downside",D16,C16)</f>
        <v/>
      </c>
      <c r="F16" t="inlineStr">
        <is>
          <t>%</t>
        </is>
      </c>
    </row>
    <row r="17">
      <c r="B17" t="inlineStr">
        <is>
          <t>Capex (% of revenue)</t>
        </is>
      </c>
      <c r="C17" s="11" t="n">
        <v>0.03</v>
      </c>
      <c r="D17" s="11" t="n">
        <v>0.03</v>
      </c>
      <c r="E17" s="12">
        <f>IF(Cover!$C$9="Downside",D17,C17)</f>
        <v/>
      </c>
      <c r="F17" t="inlineStr">
        <is>
          <t>%</t>
        </is>
      </c>
    </row>
    <row r="18">
      <c r="B18" t="inlineStr">
        <is>
          <t>Cash tax rate</t>
        </is>
      </c>
      <c r="C18" s="11" t="n">
        <v>0.21</v>
      </c>
      <c r="D18" s="11" t="n">
        <v>0.21</v>
      </c>
      <c r="E18" s="12">
        <f>IF(Cover!$C$9="Downside",D18,C18)</f>
        <v/>
      </c>
      <c r="F18" t="inlineStr">
        <is>
          <t>%</t>
        </is>
      </c>
    </row>
    <row r="19">
      <c r="B19" t="inlineStr">
        <is>
          <t>Gross margin on new ARR (for CAC payback)</t>
        </is>
      </c>
      <c r="C19" s="11" t="n">
        <v>0.8</v>
      </c>
      <c r="D19" s="11" t="n">
        <v>0.76</v>
      </c>
      <c r="E19" s="12">
        <f>IF(Cover!$C$9="Downside",D19,C19)</f>
        <v/>
      </c>
      <c r="F19" t="inlineStr">
        <is>
          <t>%</t>
        </is>
      </c>
    </row>
    <row r="20">
      <c r="B20" t="inlineStr">
        <is>
          <t>Beginning remaining performance obligation (RPO)</t>
        </is>
      </c>
      <c r="C20" s="9" t="n">
        <v>950</v>
      </c>
      <c r="D20" s="9" t="n">
        <v>950</v>
      </c>
      <c r="E20" s="10">
        <f>IF(Cover!$C$9="Downside",D20,C20)</f>
        <v/>
      </c>
      <c r="F20" t="inlineStr">
        <is>
          <t>$mm</t>
        </is>
      </c>
    </row>
    <row r="21">
      <c r="B21" t="inlineStr">
        <is>
          <t>RPO coverage of revenue (ending RPO / revenue)</t>
        </is>
      </c>
      <c r="C21" s="13" t="n">
        <v>0.95</v>
      </c>
      <c r="D21" s="13" t="n">
        <v>0.85</v>
      </c>
      <c r="E21" s="14">
        <f>IF(Cover!$C$9="Downside",D21,C21)</f>
        <v/>
      </c>
      <c r="F21" t="inlineStr">
        <is>
          <t>x</t>
        </is>
      </c>
    </row>
    <row r="22">
      <c r="B22" t="inlineStr">
        <is>
          <t>Current portion of RPO (recognised within 12 months)</t>
        </is>
      </c>
      <c r="C22" s="11" t="n">
        <v>0.64</v>
      </c>
      <c r="D22" s="11" t="n">
        <v>0.6</v>
      </c>
      <c r="E22" s="12">
        <f>IF(Cover!$C$9="Downside",D22,C22)</f>
        <v/>
      </c>
      <c r="F22" t="inlineStr">
        <is>
          <t>%</t>
        </is>
      </c>
    </row>
    <row r="23">
      <c r="B23" t="inlineStr">
        <is>
          <t>Contract liability / deferred revenue (% of revenue)</t>
        </is>
      </c>
      <c r="C23" s="11" t="n">
        <v>0.3</v>
      </c>
      <c r="D23" s="11" t="n">
        <v>0.3</v>
      </c>
      <c r="E23" s="12">
        <f>IF(Cover!$C$9="Downside",D23,C23)</f>
        <v/>
      </c>
      <c r="F23" t="inlineStr">
        <is>
          <t>%</t>
        </is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 ht="28" customHeight="1">
      <c r="B2" s="1" t="inlineStr">
        <is>
          <t>Annual Recurring Revenue Roll-Forward</t>
        </is>
      </c>
    </row>
    <row r="4">
      <c r="B4" s="8" t="inlineStr">
        <is>
          <t>$mm</t>
        </is>
      </c>
      <c r="C4" s="8" t="inlineStr">
        <is>
          <t>Year 1</t>
        </is>
      </c>
      <c r="D4" s="8" t="inlineStr">
        <is>
          <t>Year 2</t>
        </is>
      </c>
      <c r="E4" s="8" t="inlineStr">
        <is>
          <t>Year 3</t>
        </is>
      </c>
      <c r="F4" s="8" t="inlineStr">
        <is>
          <t>Year 4</t>
        </is>
      </c>
      <c r="G4" s="8" t="inlineStr">
        <is>
          <t>Year 5</t>
        </is>
      </c>
    </row>
    <row r="5">
      <c r="B5" t="inlineStr">
        <is>
          <t>Beginning ARR</t>
        </is>
      </c>
      <c r="C5" s="10">
        <f>Assumptions!$E$5</f>
        <v/>
      </c>
      <c r="D5" s="10">
        <f>C10</f>
        <v/>
      </c>
      <c r="E5" s="10">
        <f>D10</f>
        <v/>
      </c>
      <c r="F5" s="10">
        <f>E10</f>
        <v/>
      </c>
      <c r="G5" s="10">
        <f>F10</f>
        <v/>
      </c>
    </row>
    <row r="6">
      <c r="B6" t="inlineStr">
        <is>
          <t>+ New ARR</t>
        </is>
      </c>
      <c r="C6" s="10">
        <f>C5*Assumptions!$E$6</f>
        <v/>
      </c>
      <c r="D6" s="10">
        <f>D5*Assumptions!$E$6</f>
        <v/>
      </c>
      <c r="E6" s="10">
        <f>E5*Assumptions!$E$6</f>
        <v/>
      </c>
      <c r="F6" s="10">
        <f>F5*Assumptions!$E$6</f>
        <v/>
      </c>
      <c r="G6" s="10">
        <f>G5*Assumptions!$E$6</f>
        <v/>
      </c>
    </row>
    <row r="7">
      <c r="B7" t="inlineStr">
        <is>
          <t>+ Expansion ARR</t>
        </is>
      </c>
      <c r="C7" s="10">
        <f>C5*Assumptions!$E$7</f>
        <v/>
      </c>
      <c r="D7" s="10">
        <f>D5*Assumptions!$E$7</f>
        <v/>
      </c>
      <c r="E7" s="10">
        <f>E5*Assumptions!$E$7</f>
        <v/>
      </c>
      <c r="F7" s="10">
        <f>F5*Assumptions!$E$7</f>
        <v/>
      </c>
      <c r="G7" s="10">
        <f>G5*Assumptions!$E$7</f>
        <v/>
      </c>
    </row>
    <row r="8">
      <c r="B8" t="inlineStr">
        <is>
          <t>- Contraction ARR</t>
        </is>
      </c>
      <c r="C8" s="10">
        <f>C5*Assumptions!$E$8</f>
        <v/>
      </c>
      <c r="D8" s="10">
        <f>D5*Assumptions!$E$8</f>
        <v/>
      </c>
      <c r="E8" s="10">
        <f>E5*Assumptions!$E$8</f>
        <v/>
      </c>
      <c r="F8" s="10">
        <f>F5*Assumptions!$E$8</f>
        <v/>
      </c>
      <c r="G8" s="10">
        <f>G5*Assumptions!$E$8</f>
        <v/>
      </c>
    </row>
    <row r="9">
      <c r="B9" t="inlineStr">
        <is>
          <t>- Gross churn</t>
        </is>
      </c>
      <c r="C9" s="10">
        <f>C5*Assumptions!$E$9</f>
        <v/>
      </c>
      <c r="D9" s="10">
        <f>D5*Assumptions!$E$9</f>
        <v/>
      </c>
      <c r="E9" s="10">
        <f>E5*Assumptions!$E$9</f>
        <v/>
      </c>
      <c r="F9" s="10">
        <f>F5*Assumptions!$E$9</f>
        <v/>
      </c>
      <c r="G9" s="10">
        <f>G5*Assumptions!$E$9</f>
        <v/>
      </c>
    </row>
    <row r="10">
      <c r="B10" s="15" t="inlineStr">
        <is>
          <t>Ending ARR</t>
        </is>
      </c>
      <c r="C10" s="16">
        <f>C5+C6+C7-C8-C9</f>
        <v/>
      </c>
      <c r="D10" s="16">
        <f>D5+D6+D7-D8-D9</f>
        <v/>
      </c>
      <c r="E10" s="16">
        <f>E5+E6+E7-E8-E9</f>
        <v/>
      </c>
      <c r="F10" s="16">
        <f>F5+F6+F7-F8-F9</f>
        <v/>
      </c>
      <c r="G10" s="16">
        <f>G5+G6+G7-G8-G9</f>
        <v/>
      </c>
    </row>
    <row r="11">
      <c r="B11" t="inlineStr">
        <is>
          <t>Net new ARR</t>
        </is>
      </c>
      <c r="C11" s="10">
        <f>C10-C5</f>
        <v/>
      </c>
      <c r="D11" s="10">
        <f>D10-D5</f>
        <v/>
      </c>
      <c r="E11" s="10">
        <f>E10-E5</f>
        <v/>
      </c>
      <c r="F11" s="10">
        <f>F10-F5</f>
        <v/>
      </c>
      <c r="G11" s="10">
        <f>G10-G5</f>
        <v/>
      </c>
    </row>
    <row r="12">
      <c r="B12" t="inlineStr">
        <is>
          <t>Net revenue retention</t>
        </is>
      </c>
      <c r="C12" s="12">
        <f>IFERROR((C5+C7-C8-C9)/C5,0)</f>
        <v/>
      </c>
      <c r="D12" s="12">
        <f>IFERROR((D5+D7-D8-D9)/D5,0)</f>
        <v/>
      </c>
      <c r="E12" s="12">
        <f>IFERROR((E5+E7-E8-E9)/E5,0)</f>
        <v/>
      </c>
      <c r="F12" s="12">
        <f>IFERROR((F5+F7-F8-F9)/F5,0)</f>
        <v/>
      </c>
      <c r="G12" s="12">
        <f>IFERROR((G5+G7-G8-G9)/G5,0)</f>
        <v/>
      </c>
    </row>
    <row r="13">
      <c r="B13" t="inlineStr">
        <is>
          <t>Gross revenue retention</t>
        </is>
      </c>
      <c r="C13" s="12">
        <f>IFERROR((C5-C9)/C5,0)</f>
        <v/>
      </c>
      <c r="D13" s="12">
        <f>IFERROR((D5-D9)/D5,0)</f>
        <v/>
      </c>
      <c r="E13" s="12">
        <f>IFERROR((E5-E9)/E5,0)</f>
        <v/>
      </c>
      <c r="F13" s="12">
        <f>IFERROR((F5-F9)/F5,0)</f>
        <v/>
      </c>
      <c r="G13" s="12">
        <f>IFERROR((G5-G9)/G5,0)</f>
        <v/>
      </c>
    </row>
    <row r="14">
      <c r="B14" t="inlineStr">
        <is>
          <t>ARR growth</t>
        </is>
      </c>
      <c r="C14" s="12">
        <f>IFERROR(C10/C5-1,0)</f>
        <v/>
      </c>
      <c r="D14" s="12">
        <f>IFERROR(D10/D5-1,0)</f>
        <v/>
      </c>
      <c r="E14" s="12">
        <f>IFERROR(E10/E5-1,0)</f>
        <v/>
      </c>
      <c r="F14" s="12">
        <f>IFERROR(F10/F5-1,0)</f>
        <v/>
      </c>
      <c r="G14" s="12">
        <f>IFERROR(G10/G5-1,0)</f>
        <v/>
      </c>
    </row>
  </sheetData>
  <mergeCells count="1">
    <mergeCell ref="B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2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 ht="28" customHeight="1">
      <c r="B2" s="1" t="inlineStr">
        <is>
          <t>Revenue, Margin, and Cash Flow</t>
        </is>
      </c>
    </row>
    <row r="4">
      <c r="B4" s="8" t="inlineStr">
        <is>
          <t>$mm</t>
        </is>
      </c>
      <c r="C4" s="8" t="inlineStr">
        <is>
          <t>Year 1</t>
        </is>
      </c>
      <c r="D4" s="8" t="inlineStr">
        <is>
          <t>Year 2</t>
        </is>
      </c>
      <c r="E4" s="8" t="inlineStr">
        <is>
          <t>Year 3</t>
        </is>
      </c>
      <c r="F4" s="8" t="inlineStr">
        <is>
          <t>Year 4</t>
        </is>
      </c>
      <c r="G4" s="8" t="inlineStr">
        <is>
          <t>Year 5</t>
        </is>
      </c>
    </row>
    <row r="5">
      <c r="B5" t="inlineStr">
        <is>
          <t>Subscription revenue</t>
        </is>
      </c>
      <c r="C5" s="10">
        <f>AVERAGE('ARR Rollforward'!C5,'ARR Rollforward'!C10)</f>
        <v/>
      </c>
      <c r="D5" s="10">
        <f>AVERAGE('ARR Rollforward'!D5,'ARR Rollforward'!D10)</f>
        <v/>
      </c>
      <c r="E5" s="10">
        <f>AVERAGE('ARR Rollforward'!E5,'ARR Rollforward'!E10)</f>
        <v/>
      </c>
      <c r="F5" s="10">
        <f>AVERAGE('ARR Rollforward'!F5,'ARR Rollforward'!F10)</f>
        <v/>
      </c>
      <c r="G5" s="10">
        <f>AVERAGE('ARR Rollforward'!G5,'ARR Rollforward'!G10)</f>
        <v/>
      </c>
    </row>
    <row r="6">
      <c r="B6" t="inlineStr">
        <is>
          <t>Services revenue</t>
        </is>
      </c>
      <c r="C6" s="10">
        <f>C5*Assumptions!$E$10</f>
        <v/>
      </c>
      <c r="D6" s="10">
        <f>D5*Assumptions!$E$10</f>
        <v/>
      </c>
      <c r="E6" s="10">
        <f>E5*Assumptions!$E$10</f>
        <v/>
      </c>
      <c r="F6" s="10">
        <f>F5*Assumptions!$E$10</f>
        <v/>
      </c>
      <c r="G6" s="10">
        <f>G5*Assumptions!$E$10</f>
        <v/>
      </c>
    </row>
    <row r="7">
      <c r="B7" s="15" t="inlineStr">
        <is>
          <t>Total revenue</t>
        </is>
      </c>
      <c r="C7" s="16">
        <f>C5+C6</f>
        <v/>
      </c>
      <c r="D7" s="16">
        <f>D5+D6</f>
        <v/>
      </c>
      <c r="E7" s="16">
        <f>E5+E6</f>
        <v/>
      </c>
      <c r="F7" s="16">
        <f>F5+F6</f>
        <v/>
      </c>
      <c r="G7" s="16">
        <f>G5+G6</f>
        <v/>
      </c>
    </row>
    <row r="8">
      <c r="B8" t="inlineStr">
        <is>
          <t>Subscription gross profit</t>
        </is>
      </c>
      <c r="C8" s="10">
        <f>C5*Assumptions!$E$11</f>
        <v/>
      </c>
      <c r="D8" s="10">
        <f>D5*Assumptions!$E$11</f>
        <v/>
      </c>
      <c r="E8" s="10">
        <f>E5*Assumptions!$E$11</f>
        <v/>
      </c>
      <c r="F8" s="10">
        <f>F5*Assumptions!$E$11</f>
        <v/>
      </c>
      <c r="G8" s="10">
        <f>G5*Assumptions!$E$11</f>
        <v/>
      </c>
    </row>
    <row r="9">
      <c r="B9" t="inlineStr">
        <is>
          <t>Services gross profit</t>
        </is>
      </c>
      <c r="C9" s="10">
        <f>C6*Assumptions!$E$12</f>
        <v/>
      </c>
      <c r="D9" s="10">
        <f>D6*Assumptions!$E$12</f>
        <v/>
      </c>
      <c r="E9" s="10">
        <f>E6*Assumptions!$E$12</f>
        <v/>
      </c>
      <c r="F9" s="10">
        <f>F6*Assumptions!$E$12</f>
        <v/>
      </c>
      <c r="G9" s="10">
        <f>G6*Assumptions!$E$12</f>
        <v/>
      </c>
    </row>
    <row r="10">
      <c r="B10" s="15" t="inlineStr">
        <is>
          <t>Total gross profit</t>
        </is>
      </c>
      <c r="C10" s="16">
        <f>C8+C9</f>
        <v/>
      </c>
      <c r="D10" s="16">
        <f>D8+D9</f>
        <v/>
      </c>
      <c r="E10" s="16">
        <f>E8+E9</f>
        <v/>
      </c>
      <c r="F10" s="16">
        <f>F8+F9</f>
        <v/>
      </c>
      <c r="G10" s="16">
        <f>G8+G9</f>
        <v/>
      </c>
    </row>
    <row r="11">
      <c r="B11" t="inlineStr">
        <is>
          <t>Blended gross margin</t>
        </is>
      </c>
      <c r="C11" s="12">
        <f>IFERROR(C10/C7,0)</f>
        <v/>
      </c>
      <c r="D11" s="12">
        <f>IFERROR(D10/D7,0)</f>
        <v/>
      </c>
      <c r="E11" s="12">
        <f>IFERROR(E10/E7,0)</f>
        <v/>
      </c>
      <c r="F11" s="12">
        <f>IFERROR(F10/F7,0)</f>
        <v/>
      </c>
      <c r="G11" s="12">
        <f>IFERROR(G10/G7,0)</f>
        <v/>
      </c>
    </row>
    <row r="12">
      <c r="B12" t="inlineStr">
        <is>
          <t>Sales &amp; marketing</t>
        </is>
      </c>
      <c r="C12" s="10">
        <f>C7*Assumptions!$E$13</f>
        <v/>
      </c>
      <c r="D12" s="10">
        <f>D7*Assumptions!$E$13</f>
        <v/>
      </c>
      <c r="E12" s="10">
        <f>E7*Assumptions!$E$13</f>
        <v/>
      </c>
      <c r="F12" s="10">
        <f>F7*Assumptions!$E$13</f>
        <v/>
      </c>
      <c r="G12" s="10">
        <f>G7*Assumptions!$E$13</f>
        <v/>
      </c>
    </row>
    <row r="13">
      <c r="B13" t="inlineStr">
        <is>
          <t>Research &amp; development</t>
        </is>
      </c>
      <c r="C13" s="10">
        <f>C7*Assumptions!$E$14</f>
        <v/>
      </c>
      <c r="D13" s="10">
        <f>D7*Assumptions!$E$14</f>
        <v/>
      </c>
      <c r="E13" s="10">
        <f>E7*Assumptions!$E$14</f>
        <v/>
      </c>
      <c r="F13" s="10">
        <f>F7*Assumptions!$E$14</f>
        <v/>
      </c>
      <c r="G13" s="10">
        <f>G7*Assumptions!$E$14</f>
        <v/>
      </c>
    </row>
    <row r="14">
      <c r="B14" t="inlineStr">
        <is>
          <t>General &amp; administrative</t>
        </is>
      </c>
      <c r="C14" s="10">
        <f>C7*Assumptions!$E$15</f>
        <v/>
      </c>
      <c r="D14" s="10">
        <f>D7*Assumptions!$E$15</f>
        <v/>
      </c>
      <c r="E14" s="10">
        <f>E7*Assumptions!$E$15</f>
        <v/>
      </c>
      <c r="F14" s="10">
        <f>F7*Assumptions!$E$15</f>
        <v/>
      </c>
      <c r="G14" s="10">
        <f>G7*Assumptions!$E$15</f>
        <v/>
      </c>
    </row>
    <row r="15">
      <c r="B15" s="15" t="inlineStr">
        <is>
          <t>Total operating expense</t>
        </is>
      </c>
      <c r="C15" s="16">
        <f>C12+C13+C14</f>
        <v/>
      </c>
      <c r="D15" s="16">
        <f>D12+D13+D14</f>
        <v/>
      </c>
      <c r="E15" s="16">
        <f>E12+E13+E14</f>
        <v/>
      </c>
      <c r="F15" s="16">
        <f>F12+F13+F14</f>
        <v/>
      </c>
      <c r="G15" s="16">
        <f>G12+G13+G14</f>
        <v/>
      </c>
    </row>
    <row r="16">
      <c r="B16" t="inlineStr">
        <is>
          <t>GAAP operating income</t>
        </is>
      </c>
      <c r="C16" s="10">
        <f>C10-C15</f>
        <v/>
      </c>
      <c r="D16" s="10">
        <f>D10-D15</f>
        <v/>
      </c>
      <c r="E16" s="10">
        <f>E10-E15</f>
        <v/>
      </c>
      <c r="F16" s="10">
        <f>F10-F15</f>
        <v/>
      </c>
      <c r="G16" s="10">
        <f>G10-G15</f>
        <v/>
      </c>
    </row>
    <row r="17">
      <c r="B17" t="inlineStr">
        <is>
          <t>GAAP operating margin</t>
        </is>
      </c>
      <c r="C17" s="12">
        <f>IFERROR(C16/C7,0)</f>
        <v/>
      </c>
      <c r="D17" s="12">
        <f>IFERROR(D16/D7,0)</f>
        <v/>
      </c>
      <c r="E17" s="12">
        <f>IFERROR(E16/E7,0)</f>
        <v/>
      </c>
      <c r="F17" s="12">
        <f>IFERROR(F16/F7,0)</f>
        <v/>
      </c>
      <c r="G17" s="12">
        <f>IFERROR(G16/G7,0)</f>
        <v/>
      </c>
    </row>
    <row r="18">
      <c r="B18" t="inlineStr">
        <is>
          <t>Stock-based compensation</t>
        </is>
      </c>
      <c r="C18" s="10">
        <f>C7*Assumptions!$E$16</f>
        <v/>
      </c>
      <c r="D18" s="10">
        <f>D7*Assumptions!$E$16</f>
        <v/>
      </c>
      <c r="E18" s="10">
        <f>E7*Assumptions!$E$16</f>
        <v/>
      </c>
      <c r="F18" s="10">
        <f>F7*Assumptions!$E$16</f>
        <v/>
      </c>
      <c r="G18" s="10">
        <f>G7*Assumptions!$E$16</f>
        <v/>
      </c>
    </row>
    <row r="19">
      <c r="B19" t="inlineStr">
        <is>
          <t>Non-GAAP operating income (ex-SBC)</t>
        </is>
      </c>
      <c r="C19" s="10">
        <f>C16+C18</f>
        <v/>
      </c>
      <c r="D19" s="10">
        <f>D16+D18</f>
        <v/>
      </c>
      <c r="E19" s="10">
        <f>E16+E18</f>
        <v/>
      </c>
      <c r="F19" s="10">
        <f>F16+F18</f>
        <v/>
      </c>
      <c r="G19" s="10">
        <f>G16+G18</f>
        <v/>
      </c>
    </row>
    <row r="20">
      <c r="B20" t="inlineStr">
        <is>
          <t>Non-GAAP operating margin</t>
        </is>
      </c>
      <c r="C20" s="12">
        <f>IFERROR(C19/C7,0)</f>
        <v/>
      </c>
      <c r="D20" s="12">
        <f>IFERROR(D19/D7,0)</f>
        <v/>
      </c>
      <c r="E20" s="12">
        <f>IFERROR(E19/E7,0)</f>
        <v/>
      </c>
      <c r="F20" s="12">
        <f>IFERROR(F19/F7,0)</f>
        <v/>
      </c>
      <c r="G20" s="12">
        <f>IFERROR(G19/G7,0)</f>
        <v/>
      </c>
    </row>
    <row r="21">
      <c r="B21" t="inlineStr">
        <is>
          <t>Cash taxes</t>
        </is>
      </c>
      <c r="C21" s="10">
        <f>MAX(0,C16)*Assumptions!$E$18</f>
        <v/>
      </c>
      <c r="D21" s="10">
        <f>MAX(0,D16)*Assumptions!$E$18</f>
        <v/>
      </c>
      <c r="E21" s="10">
        <f>MAX(0,E16)*Assumptions!$E$18</f>
        <v/>
      </c>
      <c r="F21" s="10">
        <f>MAX(0,F16)*Assumptions!$E$18</f>
        <v/>
      </c>
      <c r="G21" s="10">
        <f>MAX(0,G16)*Assumptions!$E$18</f>
        <v/>
      </c>
    </row>
    <row r="22">
      <c r="B22" t="inlineStr">
        <is>
          <t>Capex</t>
        </is>
      </c>
      <c r="C22" s="10">
        <f>C7*Assumptions!$E$17</f>
        <v/>
      </c>
      <c r="D22" s="10">
        <f>D7*Assumptions!$E$17</f>
        <v/>
      </c>
      <c r="E22" s="10">
        <f>E7*Assumptions!$E$17</f>
        <v/>
      </c>
      <c r="F22" s="10">
        <f>F7*Assumptions!$E$17</f>
        <v/>
      </c>
      <c r="G22" s="10">
        <f>G7*Assumptions!$E$17</f>
        <v/>
      </c>
    </row>
    <row r="23">
      <c r="B23" s="15" t="inlineStr">
        <is>
          <t>Free cash flow</t>
        </is>
      </c>
      <c r="C23" s="16">
        <f>C16+C18-C21-C22</f>
        <v/>
      </c>
      <c r="D23" s="16">
        <f>D16+D18-D21-D22</f>
        <v/>
      </c>
      <c r="E23" s="16">
        <f>E16+E18-E21-E22</f>
        <v/>
      </c>
      <c r="F23" s="16">
        <f>F16+F18-F21-F22</f>
        <v/>
      </c>
      <c r="G23" s="16">
        <f>G16+G18-G21-G22</f>
        <v/>
      </c>
    </row>
    <row r="24">
      <c r="B24" t="inlineStr">
        <is>
          <t>FCF margin</t>
        </is>
      </c>
      <c r="C24" s="12">
        <f>IFERROR(C23/C7,0)</f>
        <v/>
      </c>
      <c r="D24" s="12">
        <f>IFERROR(D23/D7,0)</f>
        <v/>
      </c>
      <c r="E24" s="12">
        <f>IFERROR(E23/E7,0)</f>
        <v/>
      </c>
      <c r="F24" s="12">
        <f>IFERROR(F23/F7,0)</f>
        <v/>
      </c>
      <c r="G24" s="12">
        <f>IFERROR(G23/G7,0)</f>
        <v/>
      </c>
    </row>
  </sheetData>
  <mergeCells count="1">
    <mergeCell ref="B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1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 ht="28" customHeight="1">
      <c r="B2" s="1" t="inlineStr">
        <is>
          <t>Remaining Performance Obligations and Implied Bookings</t>
        </is>
      </c>
    </row>
    <row r="4">
      <c r="B4" s="8" t="inlineStr">
        <is>
          <t>$mm</t>
        </is>
      </c>
      <c r="C4" s="8" t="inlineStr">
        <is>
          <t>Year 1</t>
        </is>
      </c>
      <c r="D4" s="8" t="inlineStr">
        <is>
          <t>Year 2</t>
        </is>
      </c>
      <c r="E4" s="8" t="inlineStr">
        <is>
          <t>Year 3</t>
        </is>
      </c>
      <c r="F4" s="8" t="inlineStr">
        <is>
          <t>Year 4</t>
        </is>
      </c>
      <c r="G4" s="8" t="inlineStr">
        <is>
          <t>Year 5</t>
        </is>
      </c>
    </row>
    <row r="5">
      <c r="B5" t="inlineStr">
        <is>
          <t>Revenue recognised</t>
        </is>
      </c>
      <c r="C5" s="10">
        <f>'Operating Model'!C7</f>
        <v/>
      </c>
      <c r="D5" s="10">
        <f>'Operating Model'!D7</f>
        <v/>
      </c>
      <c r="E5" s="10">
        <f>'Operating Model'!E7</f>
        <v/>
      </c>
      <c r="F5" s="10">
        <f>'Operating Model'!F7</f>
        <v/>
      </c>
      <c r="G5" s="10">
        <f>'Operating Model'!G7</f>
        <v/>
      </c>
    </row>
    <row r="6">
      <c r="B6" t="inlineStr">
        <is>
          <t>Beginning RPO</t>
        </is>
      </c>
      <c r="C6" s="10">
        <f>Assumptions!$E$20</f>
        <v/>
      </c>
      <c r="D6" s="10">
        <f>C7</f>
        <v/>
      </c>
      <c r="E6" s="10">
        <f>D7</f>
        <v/>
      </c>
      <c r="F6" s="10">
        <f>E7</f>
        <v/>
      </c>
      <c r="G6" s="10">
        <f>F7</f>
        <v/>
      </c>
    </row>
    <row r="7">
      <c r="B7" s="15" t="inlineStr">
        <is>
          <t>Ending RPO</t>
        </is>
      </c>
      <c r="C7" s="16">
        <f>C5*Assumptions!$E$21</f>
        <v/>
      </c>
      <c r="D7" s="16">
        <f>D5*Assumptions!$E$21</f>
        <v/>
      </c>
      <c r="E7" s="16">
        <f>E5*Assumptions!$E$21</f>
        <v/>
      </c>
      <c r="F7" s="16">
        <f>F5*Assumptions!$E$21</f>
        <v/>
      </c>
      <c r="G7" s="16">
        <f>G5*Assumptions!$E$21</f>
        <v/>
      </c>
    </row>
    <row r="8">
      <c r="B8" t="inlineStr">
        <is>
          <t>Implied gross bookings (residual)</t>
        </is>
      </c>
      <c r="C8" s="10">
        <f>C7-C6+C5</f>
        <v/>
      </c>
      <c r="D8" s="10">
        <f>D7-D6+D5</f>
        <v/>
      </c>
      <c r="E8" s="10">
        <f>E7-E6+E5</f>
        <v/>
      </c>
      <c r="F8" s="10">
        <f>F7-F6+F5</f>
        <v/>
      </c>
      <c r="G8" s="10">
        <f>G7-G6+G5</f>
        <v/>
      </c>
    </row>
    <row r="9">
      <c r="B9" t="inlineStr">
        <is>
          <t>Book-to-bill</t>
        </is>
      </c>
      <c r="C9" s="14">
        <f>IFERROR(C8/C5,0)</f>
        <v/>
      </c>
      <c r="D9" s="14">
        <f>IFERROR(D8/D5,0)</f>
        <v/>
      </c>
      <c r="E9" s="14">
        <f>IFERROR(E8/E5,0)</f>
        <v/>
      </c>
      <c r="F9" s="14">
        <f>IFERROR(F8/F5,0)</f>
        <v/>
      </c>
      <c r="G9" s="14">
        <f>IFERROR(G8/G5,0)</f>
        <v/>
      </c>
    </row>
    <row r="10">
      <c r="B10" t="inlineStr">
        <is>
          <t>RPO growth</t>
        </is>
      </c>
      <c r="C10" s="12">
        <f>IFERROR(C7/C6-1,0)</f>
        <v/>
      </c>
      <c r="D10" s="12">
        <f>IFERROR(D7/D6-1,0)</f>
        <v/>
      </c>
      <c r="E10" s="12">
        <f>IFERROR(E7/E6-1,0)</f>
        <v/>
      </c>
      <c r="F10" s="12">
        <f>IFERROR(F7/F6-1,0)</f>
        <v/>
      </c>
      <c r="G10" s="12">
        <f>IFERROR(G7/G6-1,0)</f>
        <v/>
      </c>
    </row>
    <row r="11">
      <c r="B11" t="inlineStr">
        <is>
          <t>Current RPO (recognised within 12 months)</t>
        </is>
      </c>
      <c r="C11" s="10">
        <f>C7*Assumptions!$E$22</f>
        <v/>
      </c>
      <c r="D11" s="10">
        <f>D7*Assumptions!$E$22</f>
        <v/>
      </c>
      <c r="E11" s="10">
        <f>E7*Assumptions!$E$22</f>
        <v/>
      </c>
      <c r="F11" s="10">
        <f>F7*Assumptions!$E$22</f>
        <v/>
      </c>
      <c r="G11" s="10">
        <f>G7*Assumptions!$E$22</f>
        <v/>
      </c>
    </row>
    <row r="12">
      <c r="B12" t="inlineStr">
        <is>
          <t>Non-current RPO</t>
        </is>
      </c>
      <c r="C12" s="10">
        <f>C7-C11</f>
        <v/>
      </c>
      <c r="D12" s="10">
        <f>D7-D11</f>
        <v/>
      </c>
      <c r="E12" s="10">
        <f>E7-E11</f>
        <v/>
      </c>
      <c r="F12" s="10">
        <f>F7-F11</f>
        <v/>
      </c>
      <c r="G12" s="10">
        <f>G7-G11</f>
        <v/>
      </c>
    </row>
    <row r="13">
      <c r="B13" t="inlineStr">
        <is>
          <t>Contract liability (deferred revenue)</t>
        </is>
      </c>
      <c r="C13" s="10">
        <f>C5*Assumptions!$E$23</f>
        <v/>
      </c>
      <c r="D13" s="10">
        <f>D5*Assumptions!$E$23</f>
        <v/>
      </c>
      <c r="E13" s="10">
        <f>E5*Assumptions!$E$23</f>
        <v/>
      </c>
      <c r="F13" s="10">
        <f>F5*Assumptions!$E$23</f>
        <v/>
      </c>
      <c r="G13" s="10">
        <f>G5*Assumptions!$E$23</f>
        <v/>
      </c>
    </row>
    <row r="14">
      <c r="B14" t="inlineStr">
        <is>
          <t>Unbilled RPO</t>
        </is>
      </c>
      <c r="C14" s="10">
        <f>C7-C13</f>
        <v/>
      </c>
      <c r="D14" s="10">
        <f>D7-D13</f>
        <v/>
      </c>
      <c r="E14" s="10">
        <f>E7-E13</f>
        <v/>
      </c>
      <c r="F14" s="10">
        <f>F7-F13</f>
        <v/>
      </c>
      <c r="G14" s="10">
        <f>G7-G13</f>
        <v/>
      </c>
    </row>
    <row r="15">
      <c r="B15" t="inlineStr">
        <is>
          <t>Unbilled share of RPO</t>
        </is>
      </c>
      <c r="C15" s="12">
        <f>IFERROR(C14/C7,0)</f>
        <v/>
      </c>
      <c r="D15" s="12">
        <f>IFERROR(D14/D7,0)</f>
        <v/>
      </c>
      <c r="E15" s="12">
        <f>IFERROR(E14/E7,0)</f>
        <v/>
      </c>
      <c r="F15" s="12">
        <f>IFERROR(F14/F7,0)</f>
        <v/>
      </c>
      <c r="G15" s="12">
        <f>IFERROR(G14/G7,0)</f>
        <v/>
      </c>
    </row>
    <row r="16">
      <c r="B16" t="inlineStr">
        <is>
          <t>Current RPO / following-year revenue</t>
        </is>
      </c>
      <c r="C16" s="14">
        <f>IFERROR(C11/'Operating Model'!D7,0)</f>
        <v/>
      </c>
      <c r="D16" s="14">
        <f>IFERROR(D11/'Operating Model'!E7,0)</f>
        <v/>
      </c>
      <c r="E16" s="14">
        <f>IFERROR(E11/'Operating Model'!F7,0)</f>
        <v/>
      </c>
      <c r="F16" s="14">
        <f>IFERROR(F11/'Operating Model'!G7,0)</f>
        <v/>
      </c>
      <c r="G16" t="inlineStr">
        <is>
          <t>n/a</t>
        </is>
      </c>
    </row>
    <row r="17">
      <c r="B17" t="inlineStr">
        <is>
          <t>Ending RPO / ending ARR</t>
        </is>
      </c>
      <c r="C17" s="14">
        <f>IFERROR(C7/'ARR Rollforward'!C10,0)</f>
        <v/>
      </c>
      <c r="D17" s="14">
        <f>IFERROR(D7/'ARR Rollforward'!D10,0)</f>
        <v/>
      </c>
      <c r="E17" s="14">
        <f>IFERROR(E7/'ARR Rollforward'!E10,0)</f>
        <v/>
      </c>
      <c r="F17" s="14">
        <f>IFERROR(F7/'ARR Rollforward'!F10,0)</f>
        <v/>
      </c>
      <c r="G17" s="14">
        <f>IFERROR(G7/'ARR Rollforward'!G10,0)</f>
        <v/>
      </c>
    </row>
  </sheetData>
  <mergeCells count="1">
    <mergeCell ref="B2:H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H1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 ht="28" customHeight="1">
      <c r="B2" s="1" t="inlineStr">
        <is>
          <t>Customer Acquisition Efficiency</t>
        </is>
      </c>
    </row>
    <row r="4">
      <c r="B4" s="8" t="inlineStr">
        <is>
          <t>Metric</t>
        </is>
      </c>
      <c r="C4" s="8" t="inlineStr">
        <is>
          <t>Year 1</t>
        </is>
      </c>
      <c r="D4" s="8" t="inlineStr">
        <is>
          <t>Year 2</t>
        </is>
      </c>
      <c r="E4" s="8" t="inlineStr">
        <is>
          <t>Year 3</t>
        </is>
      </c>
      <c r="F4" s="8" t="inlineStr">
        <is>
          <t>Year 4</t>
        </is>
      </c>
      <c r="G4" s="8" t="inlineStr">
        <is>
          <t>Year 5</t>
        </is>
      </c>
    </row>
    <row r="5">
      <c r="B5" t="inlineStr">
        <is>
          <t>S&amp;M spend</t>
        </is>
      </c>
      <c r="C5" s="10">
        <f>'Operating Model'!C12</f>
        <v/>
      </c>
      <c r="D5" s="10">
        <f>'Operating Model'!D12</f>
        <v/>
      </c>
      <c r="E5" s="10">
        <f>'Operating Model'!E12</f>
        <v/>
      </c>
      <c r="F5" s="10">
        <f>'Operating Model'!F12</f>
        <v/>
      </c>
      <c r="G5" s="10">
        <f>'Operating Model'!G12</f>
        <v/>
      </c>
    </row>
    <row r="6">
      <c r="B6" t="inlineStr">
        <is>
          <t>New + expansion ARR</t>
        </is>
      </c>
      <c r="C6" s="10">
        <f>'ARR Rollforward'!C6+'ARR Rollforward'!C7</f>
        <v/>
      </c>
      <c r="D6" s="10">
        <f>'ARR Rollforward'!D6+'ARR Rollforward'!D7</f>
        <v/>
      </c>
      <c r="E6" s="10">
        <f>'ARR Rollforward'!E6+'ARR Rollforward'!E7</f>
        <v/>
      </c>
      <c r="F6" s="10">
        <f>'ARR Rollforward'!F6+'ARR Rollforward'!F7</f>
        <v/>
      </c>
      <c r="G6" s="10">
        <f>'ARR Rollforward'!G6+'ARR Rollforward'!G7</f>
        <v/>
      </c>
    </row>
    <row r="7">
      <c r="B7" t="inlineStr">
        <is>
          <t>Magic number</t>
        </is>
      </c>
      <c r="C7" s="14">
        <f>IFERROR(C6/C5,0)</f>
        <v/>
      </c>
      <c r="D7" s="14">
        <f>IFERROR(D6/D5,0)</f>
        <v/>
      </c>
      <c r="E7" s="14">
        <f>IFERROR(E6/E5,0)</f>
        <v/>
      </c>
      <c r="F7" s="14">
        <f>IFERROR(F6/F5,0)</f>
        <v/>
      </c>
      <c r="G7" s="14">
        <f>IFERROR(G6/G5,0)</f>
        <v/>
      </c>
    </row>
    <row r="8">
      <c r="B8" t="inlineStr">
        <is>
          <t>CAC payback (months)</t>
        </is>
      </c>
      <c r="C8" s="17">
        <f>IFERROR(C5/C6*12,0)</f>
        <v/>
      </c>
      <c r="D8" s="17">
        <f>IFERROR(D5/D6*12,0)</f>
        <v/>
      </c>
      <c r="E8" s="17">
        <f>IFERROR(E5/E6*12,0)</f>
        <v/>
      </c>
      <c r="F8" s="17">
        <f>IFERROR(F5/F6*12,0)</f>
        <v/>
      </c>
      <c r="G8" s="17">
        <f>IFERROR(G5/G6*12,0)</f>
        <v/>
      </c>
    </row>
    <row r="9">
      <c r="B9" t="inlineStr">
        <is>
          <t>Gross-profit-weighted CAC payback (months)</t>
        </is>
      </c>
      <c r="C9" s="17">
        <f>IFERROR(C5/(C6*Assumptions!$E$19)*12,0)</f>
        <v/>
      </c>
      <c r="D9" s="17">
        <f>IFERROR(D5/(D6*Assumptions!$E$19)*12,0)</f>
        <v/>
      </c>
      <c r="E9" s="17">
        <f>IFERROR(E5/(E6*Assumptions!$E$19)*12,0)</f>
        <v/>
      </c>
      <c r="F9" s="17">
        <f>IFERROR(F5/(F6*Assumptions!$E$19)*12,0)</f>
        <v/>
      </c>
      <c r="G9" s="17">
        <f>IFERROR(G5/(G6*Assumptions!$E$19)*12,0)</f>
        <v/>
      </c>
    </row>
    <row r="10">
      <c r="B10" t="inlineStr">
        <is>
          <t>S&amp;M as % of new ARR</t>
        </is>
      </c>
      <c r="C10" s="12">
        <f>IFERROR(C5/C6,0)</f>
        <v/>
      </c>
      <c r="D10" s="12">
        <f>IFERROR(D5/D6,0)</f>
        <v/>
      </c>
      <c r="E10" s="12">
        <f>IFERROR(E5/E6,0)</f>
        <v/>
      </c>
      <c r="F10" s="12">
        <f>IFERROR(F5/F6,0)</f>
        <v/>
      </c>
      <c r="G10" s="12">
        <f>IFERROR(G5/G6,0)</f>
        <v/>
      </c>
    </row>
  </sheetData>
  <mergeCells count="1">
    <mergeCell ref="B2:H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H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 ht="28" customHeight="1">
      <c r="B2" s="1" t="inlineStr">
        <is>
          <t>Growth versus Profitability Trade-off</t>
        </is>
      </c>
    </row>
    <row r="4">
      <c r="B4" s="8" t="inlineStr">
        <is>
          <t>Metric</t>
        </is>
      </c>
      <c r="C4" s="8" t="inlineStr">
        <is>
          <t>Year 1</t>
        </is>
      </c>
      <c r="D4" s="8" t="inlineStr">
        <is>
          <t>Year 2</t>
        </is>
      </c>
      <c r="E4" s="8" t="inlineStr">
        <is>
          <t>Year 3</t>
        </is>
      </c>
      <c r="F4" s="8" t="inlineStr">
        <is>
          <t>Year 4</t>
        </is>
      </c>
      <c r="G4" s="8" t="inlineStr">
        <is>
          <t>Year 5</t>
        </is>
      </c>
    </row>
    <row r="5">
      <c r="B5" t="inlineStr">
        <is>
          <t>Revenue growth</t>
        </is>
      </c>
      <c r="C5" s="12">
        <f>'ARR Rollforward'!C14</f>
        <v/>
      </c>
      <c r="D5" s="12">
        <f>IFERROR('Operating Model'!D7/'Operating Model'!C7-1,0)</f>
        <v/>
      </c>
      <c r="E5" s="12">
        <f>IFERROR('Operating Model'!E7/'Operating Model'!D7-1,0)</f>
        <v/>
      </c>
      <c r="F5" s="12">
        <f>IFERROR('Operating Model'!F7/'Operating Model'!E7-1,0)</f>
        <v/>
      </c>
      <c r="G5" s="12">
        <f>IFERROR('Operating Model'!G7/'Operating Model'!F7-1,0)</f>
        <v/>
      </c>
    </row>
    <row r="6">
      <c r="B6" t="inlineStr">
        <is>
          <t>FCF margin</t>
        </is>
      </c>
      <c r="C6" s="12">
        <f>'Operating Model'!C24</f>
        <v/>
      </c>
      <c r="D6" s="12">
        <f>'Operating Model'!D24</f>
        <v/>
      </c>
      <c r="E6" s="12">
        <f>'Operating Model'!E24</f>
        <v/>
      </c>
      <c r="F6" s="12">
        <f>'Operating Model'!F24</f>
        <v/>
      </c>
      <c r="G6" s="12">
        <f>'Operating Model'!G24</f>
        <v/>
      </c>
    </row>
    <row r="7">
      <c r="B7" t="inlineStr">
        <is>
          <t>Rule of 40 (growth + FCF margin)</t>
        </is>
      </c>
      <c r="C7" s="12">
        <f>C5+C6</f>
        <v/>
      </c>
      <c r="D7" s="12">
        <f>D5+D6</f>
        <v/>
      </c>
      <c r="E7" s="12">
        <f>E5+E6</f>
        <v/>
      </c>
      <c r="F7" s="12">
        <f>F5+F6</f>
        <v/>
      </c>
      <c r="G7" s="12">
        <f>G5+G6</f>
        <v/>
      </c>
    </row>
    <row r="8">
      <c r="B8" t="inlineStr">
        <is>
          <t>Non-GAAP operating margin</t>
        </is>
      </c>
      <c r="C8" s="12">
        <f>'Operating Model'!C20</f>
        <v/>
      </c>
      <c r="D8" s="12">
        <f>'Operating Model'!D20</f>
        <v/>
      </c>
      <c r="E8" s="12">
        <f>'Operating Model'!E20</f>
        <v/>
      </c>
      <c r="F8" s="12">
        <f>'Operating Model'!F20</f>
        <v/>
      </c>
      <c r="G8" s="12">
        <f>'Operating Model'!G20</f>
        <v/>
      </c>
    </row>
    <row r="9">
      <c r="B9" t="inlineStr">
        <is>
          <t>Rule of 40 (growth + operating margin)</t>
        </is>
      </c>
      <c r="C9" s="12">
        <f>C5+C8</f>
        <v/>
      </c>
      <c r="D9" s="12">
        <f>D5+D8</f>
        <v/>
      </c>
      <c r="E9" s="12">
        <f>E5+E8</f>
        <v/>
      </c>
      <c r="F9" s="12">
        <f>F5+F8</f>
        <v/>
      </c>
      <c r="G9" s="12">
        <f>G5+G8</f>
        <v/>
      </c>
    </row>
    <row r="10">
      <c r="B10" t="inlineStr">
        <is>
          <t>Status</t>
        </is>
      </c>
      <c r="C10">
        <f>IF(C7&gt;=0.4,"PASS",IF(C7&gt;=0.3,"REVIEW","BELOW"))</f>
        <v/>
      </c>
      <c r="D10">
        <f>IF(D7&gt;=0.4,"PASS",IF(D7&gt;=0.3,"REVIEW","BELOW"))</f>
        <v/>
      </c>
      <c r="E10">
        <f>IF(E7&gt;=0.4,"PASS",IF(E7&gt;=0.3,"REVIEW","BELOW"))</f>
        <v/>
      </c>
      <c r="F10">
        <f>IF(F7&gt;=0.4,"PASS",IF(F7&gt;=0.3,"REVIEW","BELOW"))</f>
        <v/>
      </c>
      <c r="G10">
        <f>IF(G7&gt;=0.4,"PASS",IF(G7&gt;=0.3,"REVIEW","BELOW"))</f>
        <v/>
      </c>
    </row>
  </sheetData>
  <mergeCells count="1">
    <mergeCell ref="B2:H2"/>
  </mergeCells>
  <conditionalFormatting sqref="C10:G10">
    <cfRule type="expression" priority="1" dxfId="0">
      <formula>C10="PASS"</formula>
    </cfRule>
    <cfRule type="expression" priority="2" dxfId="1">
      <formula>C10="FAIL"</formula>
    </cfRule>
    <cfRule type="expression" priority="3" dxfId="2">
      <formula>C10="REVIEW"</formula>
    </cfRule>
    <cfRule type="expression" priority="4" dxfId="1">
      <formula>C10="BREACH"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72" customWidth="1" min="2" max="2"/>
    <col width="18" customWidth="1" min="3" max="3"/>
  </cols>
  <sheetData>
    <row r="2" ht="28" customHeight="1">
      <c r="B2" s="1" t="inlineStr">
        <is>
          <t>Software Model Checks</t>
        </is>
      </c>
    </row>
    <row r="4">
      <c r="B4" s="8" t="inlineStr">
        <is>
          <t>Check</t>
        </is>
      </c>
      <c r="C4" s="8" t="inlineStr">
        <is>
          <t>Status</t>
        </is>
      </c>
    </row>
    <row r="5">
      <c r="B5" t="inlineStr">
        <is>
          <t>ARR roll-forward reconciles (ending = beginning + new + expansion - contraction - churn)</t>
        </is>
      </c>
      <c r="C5">
        <f>IF(MAX(ABS('ARR Rollforward'!C10-('ARR Rollforward'!C5+'ARR Rollforward'!C6+'ARR Rollforward'!C7-'ARR Rollforward'!C8-'ARR Rollforward'!C9)))&lt;0.000001,"PASS","FAIL")</f>
        <v/>
      </c>
    </row>
    <row r="6">
      <c r="B6" t="inlineStr">
        <is>
          <t>ARR balances never negative</t>
        </is>
      </c>
      <c r="C6">
        <f>IF(MIN('ARR Rollforward'!C10:G10)&gt;=0,"PASS","FAIL")</f>
        <v/>
      </c>
    </row>
    <row r="7">
      <c r="B7" t="inlineStr">
        <is>
          <t>Gross revenue retention does not exceed 100%</t>
        </is>
      </c>
      <c r="C7">
        <f>IF(MAX('ARR Rollforward'!C13:G13)&lt;=1.000001,"PASS","FAIL")</f>
        <v/>
      </c>
    </row>
    <row r="8">
      <c r="B8" t="inlineStr">
        <is>
          <t>Net revenue retention exceeds gross revenue retention</t>
        </is>
      </c>
      <c r="C8">
        <f>IF(MIN('ARR Rollforward'!C12:G12-'ARR Rollforward'!C13:G13)&gt;=-0.000001,"PASS","FAIL")</f>
        <v/>
      </c>
    </row>
    <row r="9">
      <c r="B9" t="inlineStr">
        <is>
          <t>Total revenue equals subscription plus services</t>
        </is>
      </c>
      <c r="C9">
        <f>IF(MAX(ABS('Operating Model'!C7:G7-'Operating Model'!C5:G5-'Operating Model'!C6:G6))&lt;0.000001,"PASS","FAIL")</f>
        <v/>
      </c>
    </row>
    <row r="10">
      <c r="B10" t="inlineStr">
        <is>
          <t>Blended gross margin sits between services and subscription margin</t>
        </is>
      </c>
      <c r="C10">
        <f>IF(AND(MIN('Operating Model'!C11:G11)&gt;=Assumptions!E12,MAX('Operating Model'!C11:G11)&lt;=Assumptions!E11),"PASS","REVIEW")</f>
        <v/>
      </c>
    </row>
    <row r="11">
      <c r="B11" t="inlineStr">
        <is>
          <t>Non-GAAP operating income exceeds GAAP (SBC added back)</t>
        </is>
      </c>
      <c r="C11">
        <f>IF(MIN('Operating Model'!C19:G19-'Operating Model'!C16:G16)&gt;=0,"PASS","FAIL")</f>
        <v/>
      </c>
    </row>
    <row r="12">
      <c r="B12" t="inlineStr">
        <is>
          <t>Magic number positive</t>
        </is>
      </c>
      <c r="C12">
        <f>IF(MIN('Unit Economics'!C7:G7)&gt;0,"PASS","REVIEW")</f>
        <v/>
      </c>
    </row>
    <row r="13">
      <c r="B13" t="inlineStr">
        <is>
          <t>Gross-profit CAC payback within 36 months</t>
        </is>
      </c>
      <c r="C13">
        <f>IF(MAX('Unit Economics'!C9:G9)&lt;=36,"PASS","REVIEW")</f>
        <v/>
      </c>
    </row>
    <row r="14">
      <c r="B14" t="inlineStr">
        <is>
          <t>RPO roll-forward reconciles (ending = beginning + bookings - revenue)</t>
        </is>
      </c>
      <c r="C14">
        <f>IF(MAX(ABS('RPO &amp; Bookings'!C7:G7-('RPO &amp; Bookings'!C6:G6+'RPO &amp; Bookings'!C8:G8-'RPO &amp; Bookings'!C5:G5)))&lt;0.000001,"PASS","FAIL")</f>
        <v/>
      </c>
    </row>
    <row r="15">
      <c r="B15" t="inlineStr">
        <is>
          <t>Current RPO does not exceed total RPO</t>
        </is>
      </c>
      <c r="C15">
        <f>IF(MIN('RPO &amp; Bookings'!C12:G12)&gt;=-0.000001,"PASS","FAIL")</f>
        <v/>
      </c>
    </row>
    <row r="16">
      <c r="B16" t="inlineStr">
        <is>
          <t>Contract liability does not exceed total RPO (unbilled RPO non-negative)</t>
        </is>
      </c>
      <c r="C16">
        <f>IF(MIN('RPO &amp; Bookings'!C14:G14)&gt;=-0.000001,"PASS","REVIEW")</f>
        <v/>
      </c>
    </row>
    <row r="17">
      <c r="B17" t="inlineStr">
        <is>
          <t>Implied gross bookings positive (no negative-bookings year)</t>
        </is>
      </c>
      <c r="C17">
        <f>IF(MIN('RPO &amp; Bookings'!C8:G8)&gt;0,"PASS","REVIEW")</f>
        <v/>
      </c>
    </row>
    <row r="18">
      <c r="B18" t="inlineStr">
        <is>
          <t>Overall</t>
        </is>
      </c>
      <c r="C18">
        <f>IF(COUNTIF(C5:C17,"FAIL")&gt;0,"FAIL",IF(COUNTIF(C5:C17,"REVIEW")&gt;0,"REVIEW","PASS"))</f>
        <v/>
      </c>
    </row>
  </sheetData>
  <mergeCells count="1">
    <mergeCell ref="B2:C2"/>
  </mergeCells>
  <conditionalFormatting sqref="C5:C18">
    <cfRule type="expression" priority="1" dxfId="0">
      <formula>C5="PASS"</formula>
    </cfRule>
    <cfRule type="expression" priority="2" dxfId="1">
      <formula>C5="FAIL"</formula>
    </cfRule>
    <cfRule type="expression" priority="3" dxfId="2">
      <formula>C5="REVIEW"</formula>
    </cfRule>
    <cfRule type="expression" priority="4" dxfId="1">
      <formula>C5="BREACH"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58" customWidth="1" min="3" max="3"/>
    <col width="16" customWidth="1" min="4" max="4"/>
    <col width="48" customWidth="1" min="5" max="5"/>
  </cols>
  <sheetData>
    <row r="2" ht="28" customHeight="1">
      <c r="B2" s="1" t="inlineStr">
        <is>
          <t>Source Register</t>
        </is>
      </c>
    </row>
    <row r="4">
      <c r="B4" s="8" t="inlineStr">
        <is>
          <t>Input / dataset</t>
        </is>
      </c>
      <c r="C4" s="8" t="inlineStr">
        <is>
          <t>Source URL or document</t>
        </is>
      </c>
      <c r="D4" s="8" t="inlineStr">
        <is>
          <t>As-of</t>
        </is>
      </c>
      <c r="E4" s="8" t="inlineStr">
        <is>
          <t>Notes / transformation</t>
        </is>
      </c>
    </row>
    <row r="5">
      <c r="B5" s="18" t="inlineStr">
        <is>
          <t>ARR and retention disclosures</t>
        </is>
      </c>
      <c r="C5" s="18" t="inlineStr">
        <is>
          <t>[10-K / 10-Q / shareholder letter]</t>
        </is>
      </c>
      <c r="D5" s="18" t="inlineStr">
        <is>
          <t>[period]</t>
        </is>
      </c>
      <c r="E5" s="18" t="inlineStr">
        <is>
          <t>Beginning/ending ARR, NRR, customer counts</t>
        </is>
      </c>
    </row>
    <row r="6">
      <c r="B6" s="18" t="inlineStr">
        <is>
          <t>Revenue disaggregation</t>
        </is>
      </c>
      <c r="C6" s="18" t="inlineStr">
        <is>
          <t>[10-K revenue note]</t>
        </is>
      </c>
      <c r="D6" s="18" t="inlineStr">
        <is>
          <t>[period]</t>
        </is>
      </c>
      <c r="E6" s="18" t="inlineStr">
        <is>
          <t>Subscription versus services split and gross margin by type</t>
        </is>
      </c>
    </row>
    <row r="7">
      <c r="B7" s="18" t="inlineStr">
        <is>
          <t>Stock-based compensation</t>
        </is>
      </c>
      <c r="C7" s="18" t="inlineStr">
        <is>
          <t>[10-K equity note]</t>
        </is>
      </c>
      <c r="D7" s="18" t="inlineStr">
        <is>
          <t>[period]</t>
        </is>
      </c>
      <c r="E7" s="18" t="inlineStr">
        <is>
          <t>SBC by expense line</t>
        </is>
      </c>
    </row>
    <row r="8">
      <c r="B8" s="18" t="inlineStr">
        <is>
          <t>Remaining performance obligations</t>
        </is>
      </c>
      <c r="C8" s="18" t="inlineStr">
        <is>
          <t>[10-K revenue note / XBRL RevenueRemainingPerformanceObligation]</t>
        </is>
      </c>
      <c r="D8" s="18" t="inlineStr">
        <is>
          <t>[period]</t>
        </is>
      </c>
      <c r="E8" s="18" t="inlineStr">
        <is>
          <t>Total RPO and the portion expected to be recognised within twelve months</t>
        </is>
      </c>
    </row>
    <row r="9">
      <c r="B9" s="18" t="inlineStr">
        <is>
          <t>Contract liabilities</t>
        </is>
      </c>
      <c r="C9" s="18" t="inlineStr">
        <is>
          <t>[10-K balance sheet / XBRL ContractWithCustomerLiability]</t>
        </is>
      </c>
      <c r="D9" s="18" t="inlineStr">
        <is>
          <t>[period]</t>
        </is>
      </c>
      <c r="E9" s="18" t="inlineStr">
        <is>
          <t>Deferred revenue, used to split billed from unbilled RPO</t>
        </is>
      </c>
    </row>
    <row r="10">
      <c r="B10" s="18" t="inlineStr">
        <is>
          <t>Industry cost of capital and multiples</t>
        </is>
      </c>
      <c r="C10" s="18" t="inlineStr">
        <is>
          <t>https://pages.stern.nyu.edu/~adamodar/New_Home_Page/data.html</t>
        </is>
      </c>
      <c r="D10" s="18" t="inlineStr">
        <is>
          <t>[annual]</t>
        </is>
      </c>
      <c r="E10" s="18" t="inlineStr">
        <is>
          <t>Software industry margins, betas, and multiple ranges for driver grounding</t>
        </is>
      </c>
    </row>
  </sheetData>
  <mergeCells count="1">
    <mergeCell ref="B2:E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28" customWidth="1" min="4" max="4"/>
    <col width="38" customWidth="1" min="5" max="5"/>
    <col width="34" customWidth="1" min="6" max="6"/>
    <col width="18" customWidth="1" min="7" max="7"/>
  </cols>
  <sheetData>
    <row r="2" ht="28" customHeight="1">
      <c r="B2" s="1" t="inlineStr">
        <is>
          <t>Refresh Log</t>
        </is>
      </c>
    </row>
    <row r="4">
      <c r="B4" s="8" t="inlineStr">
        <is>
          <t>Date</t>
        </is>
      </c>
      <c r="C4" s="8" t="inlineStr">
        <is>
          <t>Trigger</t>
        </is>
      </c>
      <c r="D4" s="8" t="inlineStr">
        <is>
          <t>Source snapshot</t>
        </is>
      </c>
      <c r="E4" s="8" t="inlineStr">
        <is>
          <t>What changed</t>
        </is>
      </c>
      <c r="F4" s="8" t="inlineStr">
        <is>
          <t>Reviewer / challenge</t>
        </is>
      </c>
      <c r="G4" s="8" t="inlineStr">
        <is>
          <t>Next check</t>
        </is>
      </c>
    </row>
    <row r="5">
      <c r="B5" s="19" t="n"/>
      <c r="C5" s="19" t="n"/>
      <c r="D5" s="19" t="n"/>
      <c r="E5" s="19" t="n"/>
      <c r="F5" s="19" t="n"/>
      <c r="G5" s="19" t="n"/>
    </row>
    <row r="6">
      <c r="B6" s="19" t="n"/>
      <c r="C6" s="19" t="n"/>
      <c r="D6" s="19" t="n"/>
      <c r="E6" s="19" t="n"/>
      <c r="F6" s="19" t="n"/>
      <c r="G6" s="19" t="n"/>
    </row>
    <row r="7">
      <c r="B7" s="19" t="n"/>
      <c r="C7" s="19" t="n"/>
      <c r="D7" s="19" t="n"/>
      <c r="E7" s="19" t="n"/>
      <c r="F7" s="19" t="n"/>
      <c r="G7" s="19" t="n"/>
    </row>
    <row r="8">
      <c r="B8" s="19" t="n"/>
      <c r="C8" s="19" t="n"/>
      <c r="D8" s="19" t="n"/>
      <c r="E8" s="19" t="n"/>
      <c r="F8" s="19" t="n"/>
      <c r="G8" s="19" t="n"/>
    </row>
    <row r="9">
      <c r="B9" s="19" t="n"/>
      <c r="C9" s="19" t="n"/>
      <c r="D9" s="19" t="n"/>
      <c r="E9" s="19" t="n"/>
      <c r="F9" s="19" t="n"/>
      <c r="G9" s="19" t="n"/>
    </row>
    <row r="10">
      <c r="B10" s="19" t="n"/>
      <c r="C10" s="19" t="n"/>
      <c r="D10" s="19" t="n"/>
      <c r="E10" s="19" t="n"/>
      <c r="F10" s="19" t="n"/>
      <c r="G10" s="19" t="n"/>
    </row>
    <row r="11">
      <c r="B11" s="19" t="n"/>
      <c r="C11" s="19" t="n"/>
      <c r="D11" s="19" t="n"/>
      <c r="E11" s="19" t="n"/>
      <c r="F11" s="19" t="n"/>
      <c r="G11" s="19" t="n"/>
    </row>
    <row r="12">
      <c r="B12" s="19" t="n"/>
      <c r="C12" s="19" t="n"/>
      <c r="D12" s="19" t="n"/>
      <c r="E12" s="19" t="n"/>
      <c r="F12" s="19" t="n"/>
      <c r="G12" s="19" t="n"/>
    </row>
    <row r="13">
      <c r="B13" s="19" t="n"/>
      <c r="C13" s="19" t="n"/>
      <c r="D13" s="19" t="n"/>
      <c r="E13" s="19" t="n"/>
      <c r="F13" s="19" t="n"/>
      <c r="G13" s="19" t="n"/>
    </row>
    <row r="14">
      <c r="B14" s="19" t="n"/>
      <c r="C14" s="19" t="n"/>
      <c r="D14" s="19" t="n"/>
      <c r="E14" s="19" t="n"/>
      <c r="F14" s="19" t="n"/>
      <c r="G14" s="19" t="n"/>
    </row>
    <row r="15">
      <c r="B15" s="19" t="n"/>
      <c r="C15" s="19" t="n"/>
      <c r="D15" s="19" t="n"/>
      <c r="E15" s="19" t="n"/>
      <c r="F15" s="19" t="n"/>
      <c r="G15" s="19" t="n"/>
    </row>
    <row r="16">
      <c r="B16" s="19" t="n"/>
      <c r="C16" s="19" t="n"/>
      <c r="D16" s="19" t="n"/>
      <c r="E16" s="19" t="n"/>
      <c r="F16" s="19" t="n"/>
      <c r="G16" s="19" t="n"/>
    </row>
    <row r="17">
      <c r="B17" s="19" t="n"/>
      <c r="C17" s="19" t="n"/>
      <c r="D17" s="19" t="n"/>
      <c r="E17" s="19" t="n"/>
      <c r="F17" s="19" t="n"/>
      <c r="G17" s="19" t="n"/>
    </row>
    <row r="18">
      <c r="B18" s="19" t="n"/>
      <c r="C18" s="19" t="n"/>
      <c r="D18" s="19" t="n"/>
      <c r="E18" s="19" t="n"/>
      <c r="F18" s="19" t="n"/>
      <c r="G18" s="19" t="n"/>
    </row>
    <row r="19">
      <c r="B19" s="19" t="n"/>
      <c r="C19" s="19" t="n"/>
      <c r="D19" s="19" t="n"/>
      <c r="E19" s="19" t="n"/>
      <c r="F19" s="19" t="n"/>
      <c r="G19" s="19" t="n"/>
    </row>
    <row r="20">
      <c r="B20" s="19" t="n"/>
      <c r="C20" s="19" t="n"/>
      <c r="D20" s="19" t="n"/>
      <c r="E20" s="19" t="n"/>
      <c r="F20" s="19" t="n"/>
      <c r="G20" s="19" t="n"/>
    </row>
    <row r="21">
      <c r="B21" s="19" t="n"/>
      <c r="C21" s="19" t="n"/>
      <c r="D21" s="19" t="n"/>
      <c r="E21" s="19" t="n"/>
      <c r="F21" s="19" t="n"/>
      <c r="G21" s="19" t="n"/>
    </row>
    <row r="22">
      <c r="B22" s="19" t="n"/>
      <c r="C22" s="19" t="n"/>
      <c r="D22" s="19" t="n"/>
      <c r="E22" s="19" t="n"/>
      <c r="F22" s="19" t="n"/>
      <c r="G22" s="19" t="n"/>
    </row>
    <row r="23">
      <c r="B23" s="19" t="n"/>
      <c r="C23" s="19" t="n"/>
      <c r="D23" s="19" t="n"/>
      <c r="E23" s="19" t="n"/>
      <c r="F23" s="19" t="n"/>
      <c r="G23" s="19" t="n"/>
    </row>
    <row r="24">
      <c r="B24" s="19" t="n"/>
      <c r="C24" s="19" t="n"/>
      <c r="D24" s="19" t="n"/>
      <c r="E24" s="19" t="n"/>
      <c r="F24" s="19" t="n"/>
      <c r="G24" s="19" t="n"/>
    </row>
    <row r="25">
      <c r="B25" s="19" t="n"/>
      <c r="C25" s="19" t="n"/>
      <c r="D25" s="19" t="n"/>
      <c r="E25" s="19" t="n"/>
      <c r="F25" s="19" t="n"/>
      <c r="G25" s="19" t="n"/>
    </row>
    <row r="26">
      <c r="B26" s="19" t="n"/>
      <c r="C26" s="19" t="n"/>
      <c r="D26" s="19" t="n"/>
      <c r="E26" s="19" t="n"/>
      <c r="F26" s="19" t="n"/>
      <c r="G26" s="19" t="n"/>
    </row>
    <row r="27">
      <c r="B27" s="19" t="n"/>
      <c r="C27" s="19" t="n"/>
      <c r="D27" s="19" t="n"/>
      <c r="E27" s="19" t="n"/>
      <c r="F27" s="19" t="n"/>
      <c r="G27" s="19" t="n"/>
    </row>
    <row r="28">
      <c r="B28" s="19" t="n"/>
      <c r="C28" s="19" t="n"/>
      <c r="D28" s="19" t="n"/>
      <c r="E28" s="19" t="n"/>
      <c r="F28" s="19" t="n"/>
      <c r="G28" s="19" t="n"/>
    </row>
    <row r="29">
      <c r="B29" s="19" t="n"/>
      <c r="C29" s="19" t="n"/>
      <c r="D29" s="19" t="n"/>
      <c r="E29" s="19" t="n"/>
      <c r="F29" s="19" t="n"/>
      <c r="G29" s="19" t="n"/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2026-08-06T19:45:01Z</dcterms:created>
  <dcterms:modified xmlns:dcterms="http://purl.org/dc/terms/" xmlns:xsi="http://www.w3.org/2001/XMLSchema-instance" xsi:type="dcterms:W3CDTF">2026-08-06T19:45:01Z</dcterms:modified>
</cp:coreProperties>
</file>