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28" t="inlineStr">
        <is>
          <t>Hamilton Lane Private Assets Fund (HLPAF), CIK 0001803491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28" t="inlineStr">
        <is>
          <t>2026-03-31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28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M1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NAV roll-forward reconciles to capital called, distributed and fees</t>
        </is>
      </c>
      <c r="H5" t="inlineStr">
        <is>
          <t>OPEN</t>
        </is>
      </c>
    </row>
    <row r="6">
      <c r="D6" t="inlineStr">
        <is>
          <t>TVPI equals DPI plus RVPI at both FoF and look-through level</t>
        </is>
      </c>
      <c r="H6" t="inlineStr">
        <is>
          <t>OPEN</t>
        </is>
      </c>
    </row>
    <row r="7">
      <c r="D7" t="inlineStr">
        <is>
          <t>no single underlying fund exceeds the concentration limit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29" t="n">
        <v>4737.3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30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28" t="inlineStr">
        <is>
          <t>OIP Lightning, L.P.</t>
        </is>
      </c>
      <c r="C5" s="30" t="n">
        <v>2025</v>
      </c>
      <c r="D5" s="28" t="inlineStr">
        <is>
          <t>n/a (not disclosed at position level)</t>
        </is>
      </c>
      <c r="E5" s="29" t="n">
        <v>87.54000000000001</v>
      </c>
      <c r="F5" s="29" t="n">
        <v>87.54000000000001</v>
      </c>
      <c r="G5" s="29" t="n">
        <v>0</v>
      </c>
      <c r="H5" s="29" t="n">
        <v>94.86</v>
      </c>
      <c r="I5" s="10">
        <f>H5*(1-Assumptions!$E$10)</f>
        <v/>
      </c>
      <c r="J5" s="17">
        <f>IFERROR((G5+I5)/F5,0)</f>
        <v/>
      </c>
    </row>
    <row r="6">
      <c r="B6" s="28" t="inlineStr">
        <is>
          <t>A Capital Partners II, L.P.</t>
        </is>
      </c>
      <c r="C6" s="30" t="n">
        <v>2025</v>
      </c>
      <c r="D6" s="28" t="inlineStr">
        <is>
          <t>n/a (not disclosed at position level)</t>
        </is>
      </c>
      <c r="E6" s="29" t="n">
        <v>50</v>
      </c>
      <c r="F6" s="29" t="n">
        <v>50</v>
      </c>
      <c r="G6" s="29" t="n">
        <v>0</v>
      </c>
      <c r="H6" s="29" t="n">
        <v>85.68000000000001</v>
      </c>
      <c r="I6" s="10">
        <f>H6*(1-Assumptions!$E$10)</f>
        <v/>
      </c>
      <c r="J6" s="17">
        <f>IFERROR((G6+I6)/F6,0)</f>
        <v/>
      </c>
    </row>
    <row r="7">
      <c r="B7" s="28" t="inlineStr">
        <is>
          <t>NewView Capital Special Opportunities Fund III, L.P.</t>
        </is>
      </c>
      <c r="C7" s="30" t="n">
        <v>2023</v>
      </c>
      <c r="D7" s="28" t="inlineStr">
        <is>
          <t>n/a (not disclosed at position level)</t>
        </is>
      </c>
      <c r="E7" s="29" t="n">
        <v>54.26</v>
      </c>
      <c r="F7" s="29" t="n">
        <v>54.26</v>
      </c>
      <c r="G7" s="29" t="n">
        <v>0</v>
      </c>
      <c r="H7" s="29" t="n">
        <v>79.43000000000001</v>
      </c>
      <c r="I7" s="10">
        <f>H7*(1-Assumptions!$E$10)</f>
        <v/>
      </c>
      <c r="J7" s="17">
        <f>IFERROR((G7+I7)/F7,0)</f>
        <v/>
      </c>
    </row>
    <row r="8">
      <c r="B8" s="28" t="inlineStr">
        <is>
          <t>PSG Sequel-A L.P.</t>
        </is>
      </c>
      <c r="C8" s="30" t="n">
        <v>2025</v>
      </c>
      <c r="D8" s="28" t="inlineStr">
        <is>
          <t>n/a (not disclosed at position level)</t>
        </is>
      </c>
      <c r="E8" s="29" t="n">
        <v>63.82</v>
      </c>
      <c r="F8" s="29" t="n">
        <v>63.82</v>
      </c>
      <c r="G8" s="29" t="n">
        <v>0</v>
      </c>
      <c r="H8" s="29" t="n">
        <v>72.39</v>
      </c>
      <c r="I8" s="10">
        <f>H8*(1-Assumptions!$E$10)</f>
        <v/>
      </c>
      <c r="J8" s="17">
        <f>IFERROR((G8+I8)/F8,0)</f>
        <v/>
      </c>
    </row>
    <row r="9">
      <c r="B9" s="28" t="inlineStr">
        <is>
          <t>KIA X Knight SPV (DE), L.P.</t>
        </is>
      </c>
      <c r="C9" s="30" t="n">
        <v>2024</v>
      </c>
      <c r="D9" s="28" t="inlineStr">
        <is>
          <t>n/a (not disclosed at position level)</t>
        </is>
      </c>
      <c r="E9" s="29" t="n">
        <v>47.11</v>
      </c>
      <c r="F9" s="29" t="n">
        <v>47.11</v>
      </c>
      <c r="G9" s="29" t="n">
        <v>0</v>
      </c>
      <c r="H9" s="29" t="n">
        <v>71.23</v>
      </c>
      <c r="I9" s="10">
        <f>H9*(1-Assumptions!$E$10)</f>
        <v/>
      </c>
      <c r="J9" s="17">
        <f>IFERROR((G9+I9)/F9,0)</f>
        <v/>
      </c>
    </row>
    <row r="10">
      <c r="B10" s="28" t="inlineStr">
        <is>
          <t>The Resolute III Continuation Fund, L.P.</t>
        </is>
      </c>
      <c r="C10" s="30" t="n">
        <v>2024</v>
      </c>
      <c r="D10" s="28" t="inlineStr">
        <is>
          <t>n/a (not disclosed at position level)</t>
        </is>
      </c>
      <c r="E10" s="29" t="n">
        <v>66.16</v>
      </c>
      <c r="F10" s="29" t="n">
        <v>66.16</v>
      </c>
      <c r="G10" s="29" t="n">
        <v>0</v>
      </c>
      <c r="H10" s="29" t="n">
        <v>70.11</v>
      </c>
      <c r="I10" s="10">
        <f>H10*(1-Assumptions!$E$10)</f>
        <v/>
      </c>
      <c r="J10" s="17">
        <f>IFERROR((G10+I10)/F10,0)</f>
        <v/>
      </c>
    </row>
    <row r="11">
      <c r="B11" s="28" t="inlineStr">
        <is>
          <t>Banner Capital Fund I, L.P.</t>
        </is>
      </c>
      <c r="C11" s="30" t="n">
        <v>2025</v>
      </c>
      <c r="D11" s="28" t="inlineStr">
        <is>
          <t>n/a (not disclosed at position level)</t>
        </is>
      </c>
      <c r="E11" s="29" t="n">
        <v>43.06</v>
      </c>
      <c r="F11" s="29" t="n">
        <v>43.06</v>
      </c>
      <c r="G11" s="29" t="n">
        <v>0</v>
      </c>
      <c r="H11" s="29" t="n">
        <v>68.58</v>
      </c>
      <c r="I11" s="10">
        <f>H11*(1-Assumptions!$E$10)</f>
        <v/>
      </c>
      <c r="J11" s="17">
        <f>IFERROR((G11+I11)/F11,0)</f>
        <v/>
      </c>
    </row>
    <row r="12">
      <c r="B12" s="28" t="inlineStr">
        <is>
          <t>VSC EV3 (Parallel), L.P.</t>
        </is>
      </c>
      <c r="C12" s="30" t="n">
        <v>2023</v>
      </c>
      <c r="D12" s="28" t="inlineStr">
        <is>
          <t>n/a (not disclosed at position level)</t>
        </is>
      </c>
      <c r="E12" s="29" t="n">
        <v>23.07</v>
      </c>
      <c r="F12" s="29" t="n">
        <v>23.07</v>
      </c>
      <c r="G12" s="29" t="n">
        <v>0</v>
      </c>
      <c r="H12" s="29" t="n">
        <v>67.84999999999999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29" t="n">
        <v>3621.4</v>
      </c>
    </row>
    <row r="6">
      <c r="B6" t="inlineStr">
        <is>
          <t>+ Capital called from LPs this period</t>
        </is>
      </c>
      <c r="C6" s="29" t="n">
        <v>1630.5</v>
      </c>
    </row>
    <row r="7">
      <c r="B7" t="inlineStr">
        <is>
          <t>- Distributions to LPs this period</t>
        </is>
      </c>
      <c r="C7" s="29" t="n">
        <v>88.2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29" t="n">
        <v>735.3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29" t="n">
        <v>5785.7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29" t="n">
        <v>4737.3</v>
      </c>
    </row>
    <row r="16">
      <c r="B16" t="inlineStr">
        <is>
          <t>Total LP distributions to date</t>
        </is>
      </c>
      <c r="C16" s="29" t="n">
        <v>130.6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  <row r="8">
      <c r="B8" s="31" t="inlineStr">
        <is>
          <t>Hamilton Lane Private Assets Fund Consolidated Schedule of Investments and Statements of Changes in Net Assets (SEC Form N-CSR)</t>
        </is>
      </c>
      <c r="C8" s="31" t="inlineStr">
        <is>
          <t>https://www.sec.gov/Archives/edgar/data/1803491/000121390026066804/ea0291054-01_ncsr.htm</t>
        </is>
      </c>
      <c r="D8" s="31" t="inlineStr">
        <is>
          <t>2026-03-31</t>
        </is>
      </c>
      <c r="E8" s="31" t="inlineStr">
        <is>
          <t>Filed 2026-06-09, accession 0001213900-26-066804, CIK 0001803491. Source of the underlying-fund look-through portfolio, FoF-level NAV roll-forward, and paid-in capital.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2026-03-31</t>
        </is>
      </c>
      <c r="C5" s="22" t="inlineStr">
        <is>
          <t>Initial real-instance sourcing for the Fund of Funds domain (model_card.md M1-not-M2 gap)</t>
        </is>
      </c>
      <c r="D5" s="22" t="inlineStr">
        <is>
          <t>repo://29_Fund_of_Funds/sources/snapshots/fof-public-hlpaf-2026.json</t>
        </is>
      </c>
      <c r="E5" s="22" t="inlineStr">
        <is>
          <t>Generated public case fof-public-hlpaf-2026 from canonical release template</t>
        </is>
      </c>
      <c r="F5" s="22" t="inlineStr">
        <is>
          <t>External historical case; human stakeholder approval remains pending. Per-position Commitment/Called/Distributed and vintage are not disclosed at the position level for a secondaries buyer's schedule of investments -- Cost/acquisition date substitute, explicitly labeled. FoF fee/carry/hurdle stay at template illustrative defaults; HLPAF's real multi-class fee structure does not map onto this template's simplified two-line fee model.</t>
        </is>
      </c>
      <c r="G5" s="22" t="inlineStr">
        <is>
          <t>On source revision, builder change, monitoring breach, or quarterly review</t>
        </is>
      </c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2026-08-05T18:17:03Z</dcterms:created>
  <dcterms:modified xmlns:dcterms="http://purl.org/dc/terms/" xmlns:xsi="http://www.w3.org/2001/XMLSchema-instance" xsi:type="dcterms:W3CDTF">2026-08-17T22:11:23Z</dcterms:modified>
</cp:coreProperties>
</file>