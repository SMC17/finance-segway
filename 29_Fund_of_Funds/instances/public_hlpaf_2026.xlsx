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Underlying Fund Portfolio" sheetId="6" state="visible" r:id="rId6"/>
    <sheet xmlns:r="http://schemas.openxmlformats.org/officeDocument/2006/relationships" name="NAV Rollforward &amp; Fee Layering" sheetId="7" state="visible" r:id="rId7"/>
    <sheet xmlns:r="http://schemas.openxmlformats.org/officeDocument/2006/relationships" name="Performance &amp; Multiples" sheetId="8" state="visible" r:id="rId8"/>
    <sheet xmlns:r="http://schemas.openxmlformats.org/officeDocument/2006/relationships" name="Checks" sheetId="9" state="visible" r:id="rId9"/>
    <sheet xmlns:r="http://schemas.openxmlformats.org/officeDocument/2006/relationships" name="Sources" sheetId="10" state="visible" r:id="rId10"/>
    <sheet xmlns:r="http://schemas.openxmlformats.org/officeDocument/2006/relationships" name="RefreshLog" sheetId="11" state="visible" r:id="rId11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$#,##0.0;[Red]($#,##0.0);-"/>
    <numFmt numFmtId="165" formatCode="0.00%;[Red](0.00%);-"/>
    <numFmt numFmtId="166" formatCode="0.0%;[Red](0.0%);-"/>
    <numFmt numFmtId="167" formatCode="0.0x;[Red](0.0x);-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11827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111827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b val="1"/>
      <color rgb="00FFFFFF"/>
      <sz val="15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F00"/>
      </patternFill>
    </fill>
  </fills>
  <borders count="4">
    <border>
      <left/>
      <right/>
      <top/>
      <bottom/>
      <diagonal/>
    </border>
    <border>
      <bottom style="thin">
        <color rgb="00BFBFBF"/>
      </bottom>
    </border>
    <border>
      <top style="thin">
        <color rgb="00111827"/>
      </top>
    </border>
    <border>
      <bottom style="thin">
        <color rgb="00B7B7B7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6" fillId="3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3" fillId="3" borderId="1" pivotButton="0" quotePrefix="0" xfId="0"/>
    <xf numFmtId="164" fontId="0" fillId="0" borderId="0" pivotButton="0" quotePrefix="0" xfId="0"/>
    <xf numFmtId="165" fontId="3" fillId="3" borderId="1" pivotButton="0" quotePrefix="0" xfId="0"/>
    <xf numFmtId="165" fontId="0" fillId="0" borderId="0" pivotButton="0" quotePrefix="0" xfId="0"/>
    <xf numFmtId="166" fontId="3" fillId="3" borderId="1" pivotButton="0" quotePrefix="0" xfId="0"/>
    <xf numFmtId="166" fontId="0" fillId="0" borderId="0" pivotButton="0" quotePrefix="0" xfId="0"/>
    <xf numFmtId="1" fontId="3" fillId="3" borderId="1" pivotButton="0" quotePrefix="0" xfId="0"/>
    <xf numFmtId="1" fontId="0" fillId="0" borderId="0" pivotButton="0" quotePrefix="0" xfId="0"/>
    <xf numFmtId="167" fontId="0" fillId="0" borderId="0" pivotButton="0" quotePrefix="0" xfId="0"/>
    <xf numFmtId="0" fontId="2" fillId="0" borderId="2" pivotButton="0" quotePrefix="0" xfId="0"/>
    <xf numFmtId="164" fontId="2" fillId="0" borderId="2" pivotButton="0" quotePrefix="0" xfId="0"/>
    <xf numFmtId="167" fontId="2" fillId="0" borderId="2" pivotButton="0" quotePrefix="0" xfId="0"/>
    <xf numFmtId="0" fontId="3" fillId="0" borderId="1" pivotButton="0" quotePrefix="0" xfId="0"/>
    <xf numFmtId="0" fontId="0" fillId="0" borderId="1" pivotButton="0" quotePrefix="0" xfId="0"/>
    <xf numFmtId="0" fontId="8" fillId="4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10" fillId="4" borderId="0" pivotButton="0" quotePrefix="0" xfId="0"/>
    <xf numFmtId="0" fontId="9" fillId="5" borderId="3" applyAlignment="1" pivotButton="0" quotePrefix="0" xfId="0">
      <alignment wrapText="1"/>
    </xf>
    <xf numFmtId="0" fontId="3" fillId="6" borderId="1" pivotButton="0" quotePrefix="0" xfId="0"/>
    <xf numFmtId="164" fontId="3" fillId="6" borderId="1" pivotButton="0" quotePrefix="0" xfId="0"/>
    <xf numFmtId="1" fontId="3" fillId="6" borderId="1" pivotButton="0" quotePrefix="0" xfId="0"/>
    <xf numFmtId="0" fontId="3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46" customWidth="1" min="3" max="3"/>
    <col width="12" customWidth="1" min="4" max="4"/>
    <col width="12" customWidth="1" min="5" max="5"/>
    <col width="12" customWidth="1" min="6" max="6"/>
  </cols>
  <sheetData>
    <row r="2" ht="28" customHeight="1">
      <c r="B2" s="1" t="inlineStr">
        <is>
          <t>[FUND OF FUNDS] — Look-Through and Fee-Layering Model</t>
        </is>
      </c>
    </row>
    <row r="4">
      <c r="B4" s="2" t="inlineStr">
        <is>
          <t>FoF vehicle / vintage:</t>
        </is>
      </c>
      <c r="C4" s="28" t="inlineStr">
        <is>
          <t>Hamilton Lane Private Assets Fund (HLPAF), CIK 0001803491</t>
        </is>
      </c>
    </row>
    <row r="5">
      <c r="B5" s="2" t="inlineStr">
        <is>
          <t>Reporting date:</t>
        </is>
      </c>
      <c r="C5" s="3" t="inlineStr">
        <is>
          <t>[date]</t>
        </is>
      </c>
    </row>
    <row r="6">
      <c r="B6" s="2" t="inlineStr">
        <is>
          <t>Last refreshed:</t>
        </is>
      </c>
      <c r="C6" s="28" t="inlineStr">
        <is>
          <t>2026-03-31</t>
        </is>
      </c>
    </row>
    <row r="7">
      <c r="B7" s="2" t="inlineStr">
        <is>
          <t>Next LP report / valuation:</t>
        </is>
      </c>
      <c r="C7" s="3" t="inlineStr">
        <is>
          <t>[date]</t>
        </is>
      </c>
    </row>
    <row r="8">
      <c r="B8" s="2" t="inlineStr">
        <is>
          <t>Refresh cadence:</t>
        </is>
      </c>
      <c r="C8" s="3" t="inlineStr">
        <is>
          <t>Quarterly, aligned to underlying-fund GP reporting</t>
        </is>
      </c>
    </row>
    <row r="9">
      <c r="B9" s="2" t="inlineStr">
        <is>
          <t>Active scenario:</t>
        </is>
      </c>
      <c r="C9" s="28" t="inlineStr">
        <is>
          <t>Base</t>
        </is>
      </c>
    </row>
    <row r="10">
      <c r="B10" s="2" t="inlineStr">
        <is>
          <t>Units:</t>
        </is>
      </c>
      <c r="C10" s="3" t="inlineStr">
        <is>
          <t>$ in millions unless noted</t>
        </is>
      </c>
    </row>
    <row r="13">
      <c r="B13" s="4" t="inlineStr">
        <is>
          <t>Modeling conventions</t>
        </is>
      </c>
    </row>
    <row r="14">
      <c r="B14" s="5" t="inlineStr">
        <is>
          <t>Blue text / yellow fill</t>
        </is>
      </c>
      <c r="C14" s="6" t="inlineStr">
        <is>
          <t>Hardcoded input or selected scenario</t>
        </is>
      </c>
    </row>
    <row r="15">
      <c r="B15" s="2" t="inlineStr">
        <is>
          <t>Black text</t>
        </is>
      </c>
      <c r="C15" s="6" t="inlineStr">
        <is>
          <t>Formula / same-sheet calculation</t>
        </is>
      </c>
    </row>
    <row r="16">
      <c r="B16" s="7" t="inlineStr">
        <is>
          <t>Green text</t>
        </is>
      </c>
      <c r="C16" s="6" t="inlineStr">
        <is>
          <t>Cross-sheet formula / link</t>
        </is>
      </c>
    </row>
    <row r="17">
      <c r="B17" s="2" t="inlineStr">
        <is>
          <t>Checks</t>
        </is>
      </c>
      <c r="C17" s="6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>
      <formula1>"Base,Downside"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23" t="inlineStr">
        <is>
          <t>Fund of Funds — Institutional Decision Surface</t>
        </is>
      </c>
    </row>
    <row r="4">
      <c r="B4" s="24" t="inlineStr">
        <is>
          <t>Model ID</t>
        </is>
      </c>
      <c r="C4" s="25" t="inlineStr">
        <is>
          <t>29</t>
        </is>
      </c>
    </row>
    <row r="5">
      <c r="B5" s="24" t="inlineStr">
        <is>
          <t>Domain</t>
        </is>
      </c>
      <c r="C5" s="25" t="inlineStr">
        <is>
          <t>Fund of Funds</t>
        </is>
      </c>
    </row>
    <row r="6">
      <c r="B6" s="24" t="inlineStr">
        <is>
          <t>Declared maturity</t>
        </is>
      </c>
      <c r="C6" s="25" t="inlineStr">
        <is>
          <t>M2</t>
        </is>
      </c>
    </row>
    <row r="7">
      <c r="B7" s="24" t="inlineStr">
        <is>
          <t>Canonical builder</t>
        </is>
      </c>
      <c r="C7" s="25" t="inlineStr">
        <is>
          <t>tools/builders/build_fund_of_funds_institutional.py</t>
        </is>
      </c>
    </row>
    <row r="8">
      <c r="B8" s="24" t="inlineStr">
        <is>
          <t>Decision arena</t>
        </is>
      </c>
      <c r="C8" s="25" t="inlineStr">
        <is>
          <t>fund board, LP advisory committee, investment committee and portfolio management</t>
        </is>
      </c>
    </row>
    <row r="9">
      <c r="B9" s="24" t="inlineStr">
        <is>
          <t>Committee artifact</t>
        </is>
      </c>
      <c r="C9" s="25" t="inlineStr">
        <is>
          <t>quarterly LP reporting and portfolio review pack</t>
        </is>
      </c>
    </row>
    <row r="10">
      <c r="B10" s="24" t="inlineStr">
        <is>
          <t>Operating cadence</t>
        </is>
      </c>
      <c r="C10" s="25" t="inlineStr">
        <is>
          <t>quarterly LP reporting; semi-annual portfolio review; annual valuation</t>
        </is>
      </c>
    </row>
    <row r="12">
      <c r="B12" s="26" t="inlineStr">
        <is>
          <t>Key decision outputs</t>
        </is>
      </c>
    </row>
    <row r="13">
      <c r="B13" s="27" t="inlineStr">
        <is>
          <t>#</t>
        </is>
      </c>
      <c r="C13" s="27" t="inlineStr">
        <is>
          <t>Requirement</t>
        </is>
      </c>
      <c r="D13" s="27" t="inlineStr">
        <is>
          <t>Owner</t>
        </is>
      </c>
      <c r="E13" s="27" t="inlineStr">
        <is>
          <t>Evidence / location</t>
        </is>
      </c>
      <c r="F13" s="27" t="inlineStr">
        <is>
          <t>Status</t>
        </is>
      </c>
    </row>
    <row r="14">
      <c r="B14" t="n">
        <v>1</v>
      </c>
      <c r="C14" t="inlineStr">
        <is>
          <t>net asset value and TVPI/DPI/RVPI bridge</t>
        </is>
      </c>
      <c r="F14" t="inlineStr">
        <is>
          <t>OPEN</t>
        </is>
      </c>
    </row>
    <row r="15">
      <c r="B15" t="n">
        <v>2</v>
      </c>
      <c r="C15" t="inlineStr">
        <is>
          <t>look-through fee drag between FoF and underlying-fund layers</t>
        </is>
      </c>
      <c r="F15" t="inlineStr">
        <is>
          <t>OPEN</t>
        </is>
      </c>
    </row>
    <row r="16">
      <c r="B16" t="n">
        <v>3</v>
      </c>
      <c r="C16" t="inlineStr">
        <is>
          <t>vintage-year and manager concentration</t>
        </is>
      </c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F18" t="inlineStr">
        <is>
          <t>OPEN</t>
        </is>
      </c>
    </row>
    <row r="20">
      <c r="B20" s="26" t="inlineStr">
        <is>
          <t>Insider questions</t>
        </is>
      </c>
    </row>
    <row r="21">
      <c r="B21" s="27" t="inlineStr">
        <is>
          <t>#</t>
        </is>
      </c>
      <c r="C21" s="27" t="inlineStr">
        <is>
          <t>Requirement</t>
        </is>
      </c>
      <c r="D21" s="27" t="inlineStr">
        <is>
          <t>Owner</t>
        </is>
      </c>
      <c r="E21" s="27" t="inlineStr">
        <is>
          <t>Evidence / location</t>
        </is>
      </c>
      <c r="F21" s="27" t="inlineStr">
        <is>
          <t>Status</t>
        </is>
      </c>
    </row>
    <row r="22">
      <c r="B22" t="n">
        <v>1</v>
      </c>
      <c r="C22" t="inlineStr">
        <is>
          <t>What is the FoF net TVPI to its LPs versus the underlying funds gross TVPI?</t>
        </is>
      </c>
      <c r="F22" t="inlineStr">
        <is>
          <t>OPEN</t>
        </is>
      </c>
    </row>
    <row r="23">
      <c r="B23" t="n">
        <v>2</v>
      </c>
      <c r="C23" t="inlineStr">
        <is>
          <t>How much NAV sits in the single largest underlying-fund position?</t>
        </is>
      </c>
      <c r="F23" t="inlineStr">
        <is>
          <t>OPEN</t>
        </is>
      </c>
    </row>
    <row r="24">
      <c r="B24" t="n">
        <v>3</v>
      </c>
      <c r="C24" t="inlineStr">
        <is>
          <t>What uncalled capital remains and when is it likely to be drawn?</t>
        </is>
      </c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F26" t="inlineStr">
        <is>
          <t>OPEN</t>
        </is>
      </c>
    </row>
    <row r="28">
      <c r="B28" s="26" t="inlineStr">
        <is>
          <t>Scenario families</t>
        </is>
      </c>
    </row>
    <row r="29">
      <c r="B29" s="27" t="inlineStr">
        <is>
          <t>#</t>
        </is>
      </c>
      <c r="C29" s="27" t="inlineStr">
        <is>
          <t>Requirement</t>
        </is>
      </c>
      <c r="D29" s="27" t="inlineStr">
        <is>
          <t>Owner</t>
        </is>
      </c>
      <c r="E29" s="27" t="inlineStr">
        <is>
          <t>Evidence / location</t>
        </is>
      </c>
      <c r="F29" s="27" t="inlineStr">
        <is>
          <t>Status</t>
        </is>
      </c>
    </row>
    <row r="30">
      <c r="B30" t="n">
        <v>1</v>
      </c>
      <c r="C30" t="inlineStr">
        <is>
          <t>underlying-fund NAV markdown</t>
        </is>
      </c>
      <c r="F30" t="inlineStr">
        <is>
          <t>OPEN</t>
        </is>
      </c>
    </row>
    <row r="31">
      <c r="B31" t="n">
        <v>2</v>
      </c>
      <c r="C31" t="inlineStr">
        <is>
          <t>capital call acceleration</t>
        </is>
      </c>
      <c r="F31" t="inlineStr">
        <is>
          <t>OPEN</t>
        </is>
      </c>
    </row>
    <row r="32">
      <c r="B32" t="n">
        <v>3</v>
      </c>
      <c r="C32" t="inlineStr">
        <is>
          <t>distribution slowdown and extended hold periods</t>
        </is>
      </c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F34" t="inlineStr">
        <is>
          <t>OPEN</t>
        </is>
      </c>
    </row>
    <row r="36">
      <c r="B36" s="26" t="inlineStr">
        <is>
          <t>Primary diligence documents</t>
        </is>
      </c>
    </row>
    <row r="37">
      <c r="B37" s="27" t="inlineStr">
        <is>
          <t>#</t>
        </is>
      </c>
      <c r="C37" s="27" t="inlineStr">
        <is>
          <t>Requirement</t>
        </is>
      </c>
      <c r="D37" s="27" t="inlineStr">
        <is>
          <t>Owner</t>
        </is>
      </c>
      <c r="E37" s="27" t="inlineStr">
        <is>
          <t>Evidence / location</t>
        </is>
      </c>
      <c r="F37" s="27" t="inlineStr">
        <is>
          <t>Status</t>
        </is>
      </c>
    </row>
    <row r="38">
      <c r="B38" t="n">
        <v>1</v>
      </c>
      <c r="C38" t="inlineStr">
        <is>
          <t>limited partnership agreement and fee letter</t>
        </is>
      </c>
      <c r="F38" t="inlineStr">
        <is>
          <t>OPEN</t>
        </is>
      </c>
    </row>
    <row r="39">
      <c r="B39" t="n">
        <v>2</v>
      </c>
      <c r="C39" t="inlineStr">
        <is>
          <t>underlying fund capital account statements</t>
        </is>
      </c>
      <c r="F39" t="inlineStr">
        <is>
          <t>OPEN</t>
        </is>
      </c>
    </row>
    <row r="40">
      <c r="B40" t="n">
        <v>3</v>
      </c>
      <c r="C40" t="inlineStr">
        <is>
          <t>underlying fund quarterly and annual reports</t>
        </is>
      </c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F42" t="inlineStr">
        <is>
          <t>OPEN</t>
        </is>
      </c>
    </row>
    <row r="44">
      <c r="B44" s="26" t="inlineStr">
        <is>
          <t>Challenge tests</t>
        </is>
      </c>
    </row>
    <row r="45">
      <c r="B45" s="27" t="inlineStr">
        <is>
          <t>#</t>
        </is>
      </c>
      <c r="C45" s="27" t="inlineStr">
        <is>
          <t>Requirement</t>
        </is>
      </c>
      <c r="D45" s="27" t="inlineStr">
        <is>
          <t>Owner</t>
        </is>
      </c>
      <c r="E45" s="27" t="inlineStr">
        <is>
          <t>Evidence / location</t>
        </is>
      </c>
      <c r="F45" s="27" t="inlineStr">
        <is>
          <t>Status</t>
        </is>
      </c>
    </row>
    <row r="46">
      <c r="B46" t="n">
        <v>1</v>
      </c>
      <c r="C46" t="inlineStr">
        <is>
          <t>NAV roll-forward reconciles to capital called, distributed and fees</t>
        </is>
      </c>
      <c r="F46" t="inlineStr">
        <is>
          <t>OPEN</t>
        </is>
      </c>
    </row>
    <row r="47">
      <c r="B47" t="n">
        <v>2</v>
      </c>
      <c r="C47" t="inlineStr">
        <is>
          <t>TVPI equals DPI plus RVPI at both FoF and look-through level</t>
        </is>
      </c>
      <c r="F47" t="inlineStr">
        <is>
          <t>OPEN</t>
        </is>
      </c>
    </row>
    <row r="48">
      <c r="B48" t="n">
        <v>3</v>
      </c>
      <c r="C48" t="inlineStr">
        <is>
          <t>no single underlying fund exceeds the concentration limit</t>
        </is>
      </c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F50" t="inlineStr">
        <is>
          <t>OPEN</t>
        </is>
      </c>
    </row>
    <row r="52">
      <c r="B52" s="26" t="inlineStr">
        <is>
          <t>Known failure modes</t>
        </is>
      </c>
    </row>
    <row r="53">
      <c r="B53" s="27" t="inlineStr">
        <is>
          <t>#</t>
        </is>
      </c>
      <c r="C53" s="27" t="inlineStr">
        <is>
          <t>Requirement</t>
        </is>
      </c>
      <c r="D53" s="27" t="inlineStr">
        <is>
          <t>Owner</t>
        </is>
      </c>
      <c r="E53" s="27" t="inlineStr">
        <is>
          <t>Evidence / location</t>
        </is>
      </c>
      <c r="F53" s="27" t="inlineStr">
        <is>
          <t>Status</t>
        </is>
      </c>
    </row>
    <row r="54">
      <c r="B54" t="n">
        <v>1</v>
      </c>
      <c r="C54" t="inlineStr">
        <is>
          <t>using underlying-fund gross TVPI as if it were net to the FoF LP</t>
        </is>
      </c>
      <c r="F54" t="inlineStr">
        <is>
          <t>OPEN</t>
        </is>
      </c>
    </row>
    <row r="55">
      <c r="B55" t="n">
        <v>2</v>
      </c>
      <c r="C55" t="inlineStr">
        <is>
          <t>ignoring FoF-level fee-on-fee drag</t>
        </is>
      </c>
      <c r="F55" t="inlineStr">
        <is>
          <t>OPEN</t>
        </is>
      </c>
    </row>
    <row r="56">
      <c r="B56" t="n">
        <v>3</v>
      </c>
      <c r="C56" t="inlineStr">
        <is>
          <t>treating a single vintage year as diversified</t>
        </is>
      </c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F58" t="inlineStr">
        <is>
          <t>OPEN</t>
        </is>
      </c>
    </row>
    <row r="60">
      <c r="B60" s="26" t="inlineStr">
        <is>
          <t>Regulatory / methodological anchors</t>
        </is>
      </c>
    </row>
    <row r="61">
      <c r="B61" s="27" t="inlineStr">
        <is>
          <t>Standard</t>
        </is>
      </c>
      <c r="C61" s="27" t="inlineStr">
        <is>
          <t>Scope</t>
        </is>
      </c>
      <c r="D61" s="27" t="inlineStr">
        <is>
          <t>Source URL</t>
        </is>
      </c>
      <c r="E61" s="27" t="inlineStr">
        <is>
          <t>Applicability</t>
        </is>
      </c>
      <c r="F61" s="27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</row>
    <row r="63">
      <c r="B63" t="inlineStr">
        <is>
          <t>SEC Rule 2a-5</t>
        </is>
      </c>
      <c r="C63" t="inlineStr">
        <is>
          <t>fair-value governance and testing</t>
        </is>
      </c>
      <c r="D63" t="inlineStr">
        <is>
          <t>https://www.sec.gov/files/rules/final/2020/ic-34128.pdf</t>
        </is>
      </c>
      <c r="E63" t="inlineStr">
        <is>
          <t>Map explicitly</t>
        </is>
      </c>
    </row>
    <row r="64">
      <c r="B64" t="inlineStr">
        <is>
          <t>IOSCO Liquidity Risk Recommendations</t>
        </is>
      </c>
      <c r="C64" t="inlineStr">
        <is>
          <t>fund liquidity and stress testing</t>
        </is>
      </c>
      <c r="D64" t="inlineStr">
        <is>
          <t>https://www.iosco.org/library/pubdocs/pdf/IOSCOPD590.pdf</t>
        </is>
      </c>
      <c r="E64" t="inlineStr">
        <is>
          <t>Map explicitly</t>
        </is>
      </c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23" t="inlineStr">
        <is>
          <t>Independent Challenge, Override and Closure Log</t>
        </is>
      </c>
    </row>
    <row r="4">
      <c r="B4" s="27" t="inlineStr">
        <is>
          <t>Date</t>
        </is>
      </c>
      <c r="C4" s="27" t="inlineStr">
        <is>
          <t>Reviewer</t>
        </is>
      </c>
      <c r="D4" s="27" t="inlineStr">
        <is>
          <t>Challenge</t>
        </is>
      </c>
      <c r="E4" s="27" t="inlineStr">
        <is>
          <t>Owner response</t>
        </is>
      </c>
      <c r="F4" s="27" t="inlineStr">
        <is>
          <t>Evidence</t>
        </is>
      </c>
      <c r="G4" s="27" t="inlineStr">
        <is>
          <t>Impact</t>
        </is>
      </c>
      <c r="H4" s="27" t="inlineStr">
        <is>
          <t>Status</t>
        </is>
      </c>
      <c r="I4" s="27" t="inlineStr">
        <is>
          <t>Closure</t>
        </is>
      </c>
    </row>
    <row r="5">
      <c r="D5" t="inlineStr">
        <is>
          <t>NAV roll-forward reconciles to capital called, distributed and fees</t>
        </is>
      </c>
      <c r="H5" t="inlineStr">
        <is>
          <t>OPEN</t>
        </is>
      </c>
    </row>
    <row r="6">
      <c r="D6" t="inlineStr">
        <is>
          <t>TVPI equals DPI plus RVPI at both FoF and look-through level</t>
        </is>
      </c>
      <c r="H6" t="inlineStr">
        <is>
          <t>OPEN</t>
        </is>
      </c>
    </row>
    <row r="7">
      <c r="D7" t="inlineStr">
        <is>
          <t>no single underlying fund exceeds the concentration limit</t>
        </is>
      </c>
      <c r="H7" t="inlineStr">
        <is>
          <t>OPEN</t>
        </is>
      </c>
    </row>
    <row r="8">
      <c r="D8" t="inlineStr">
        <is>
          <t>source-to-model lineage is reproducible</t>
        </is>
      </c>
      <c r="H8" t="inlineStr">
        <is>
          <t>OPEN</t>
        </is>
      </c>
    </row>
    <row r="9">
      <c r="D9" t="inlineStr">
        <is>
          <t>units, signs, dates and legal definitions reconcile</t>
        </is>
      </c>
      <c r="H9" t="inlineStr">
        <is>
          <t>OPEN</t>
        </is>
      </c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23" t="inlineStr">
        <is>
          <t>Source, Transformation, Ownership and Refresh Map</t>
        </is>
      </c>
    </row>
    <row r="4">
      <c r="B4" s="27" t="inlineStr">
        <is>
          <t>Source class</t>
        </is>
      </c>
      <c r="C4" s="27" t="inlineStr">
        <is>
          <t>Cadence</t>
        </is>
      </c>
      <c r="D4" s="27" t="inlineStr">
        <is>
          <t>Control</t>
        </is>
      </c>
      <c r="E4" s="27" t="inlineStr">
        <is>
          <t>System / provider</t>
        </is>
      </c>
      <c r="F4" s="27" t="inlineStr">
        <is>
          <t>As-of</t>
        </is>
      </c>
      <c r="G4" s="27" t="inlineStr">
        <is>
          <t>Owner</t>
        </is>
      </c>
      <c r="H4" s="27" t="inlineStr">
        <is>
          <t>Transform</t>
        </is>
      </c>
      <c r="I4" s="27" t="inlineStr">
        <is>
          <t>Downstream</t>
        </is>
      </c>
      <c r="J4" s="27" t="inlineStr">
        <is>
          <t>Status</t>
        </is>
      </c>
    </row>
    <row r="5">
      <c r="B5" t="inlineStr">
        <is>
          <t>underlying fund capital account statements</t>
        </is>
      </c>
      <c r="C5" t="inlineStr">
        <is>
          <t>quarterly</t>
        </is>
      </c>
      <c r="D5" t="inlineStr">
        <is>
          <t>general partner-reported NAV and cash flow reconciliation</t>
        </is>
      </c>
      <c r="J5" t="inlineStr">
        <is>
          <t>TO MAP</t>
        </is>
      </c>
    </row>
    <row r="6">
      <c r="B6" t="inlineStr">
        <is>
          <t>FoF administrator NAV package</t>
        </is>
      </c>
      <c r="C6" t="inlineStr">
        <is>
          <t>quarterly</t>
        </is>
      </c>
      <c r="D6" t="inlineStr">
        <is>
          <t>independent administrator verification</t>
        </is>
      </c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4" customWidth="1" min="2" max="2"/>
    <col width="15" customWidth="1" min="3" max="3"/>
    <col width="15" customWidth="1" min="4" max="4"/>
    <col width="15" customWidth="1" min="5" max="5"/>
    <col width="32" customWidth="1" min="6" max="6"/>
  </cols>
  <sheetData>
    <row r="2" ht="28" customHeight="1">
      <c r="B2" s="1" t="inlineStr">
        <is>
          <t>Fund-of-Funds Terms and Portfolio Assumptions</t>
        </is>
      </c>
    </row>
    <row r="4">
      <c r="B4" s="8" t="inlineStr">
        <is>
          <t>Assumption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Active</t>
        </is>
      </c>
      <c r="F4" s="8" t="inlineStr">
        <is>
          <t>Units / note</t>
        </is>
      </c>
    </row>
    <row r="5">
      <c r="B5" t="inlineStr">
        <is>
          <t>Total LP commitments to FoF</t>
        </is>
      </c>
      <c r="C5" s="29" t="n">
        <v>4737.3</v>
      </c>
      <c r="D5" s="9" t="n">
        <v>500</v>
      </c>
      <c r="E5" s="10">
        <f>IF(Cover!$C$9="Downside",D5,C5)</f>
        <v/>
      </c>
      <c r="F5" t="inlineStr">
        <is>
          <t>$mm</t>
        </is>
      </c>
    </row>
    <row r="6">
      <c r="B6" t="inlineStr">
        <is>
          <t>FoF management fee (% of commitments, p.a.)</t>
        </is>
      </c>
      <c r="C6" s="11" t="n">
        <v>0.0075</v>
      </c>
      <c r="D6" s="11" t="n">
        <v>0.0075</v>
      </c>
      <c r="E6" s="12">
        <f>IF(Cover!$C$9="Downside",D6,C6)</f>
        <v/>
      </c>
      <c r="F6" t="inlineStr">
        <is>
          <t>%</t>
        </is>
      </c>
    </row>
    <row r="7">
      <c r="B7" t="inlineStr">
        <is>
          <t>FoF carried interest (% of profit above hurdle)</t>
        </is>
      </c>
      <c r="C7" s="13" t="n">
        <v>0.05</v>
      </c>
      <c r="D7" s="13" t="n">
        <v>0.05</v>
      </c>
      <c r="E7" s="14">
        <f>IF(Cover!$C$9="Downside",D7,C7)</f>
        <v/>
      </c>
      <c r="F7" t="inlineStr">
        <is>
          <t>%</t>
        </is>
      </c>
    </row>
    <row r="8">
      <c r="B8" t="inlineStr">
        <is>
          <t>FoF preferred return / hurdle</t>
        </is>
      </c>
      <c r="C8" s="13" t="n">
        <v>0.08</v>
      </c>
      <c r="D8" s="13" t="n">
        <v>0.08</v>
      </c>
      <c r="E8" s="14">
        <f>IF(Cover!$C$9="Downside",D8,C8)</f>
        <v/>
      </c>
      <c r="F8" t="inlineStr">
        <is>
          <t>%</t>
        </is>
      </c>
    </row>
    <row r="9">
      <c r="B9" t="inlineStr">
        <is>
          <t>Number of underlying funds</t>
        </is>
      </c>
      <c r="C9" s="30" t="n">
        <v>8</v>
      </c>
      <c r="D9" s="15" t="n">
        <v>8</v>
      </c>
      <c r="E9" s="16">
        <f>IF(Cover!$C$9="Downside",D9,C9)</f>
        <v/>
      </c>
      <c r="F9" t="inlineStr">
        <is>
          <t>count</t>
        </is>
      </c>
    </row>
    <row r="10">
      <c r="B10" t="inlineStr">
        <is>
          <t>Underlying-fund NAV markdown (stress)</t>
        </is>
      </c>
      <c r="C10" s="13" t="n">
        <v>0</v>
      </c>
      <c r="D10" s="13" t="n">
        <v>0.25</v>
      </c>
      <c r="E10" s="14">
        <f>IF(Cover!$C$9="Downside",D10,C10)</f>
        <v/>
      </c>
      <c r="F10" t="inlineStr">
        <is>
          <t>%</t>
        </is>
      </c>
    </row>
    <row r="11">
      <c r="B11" t="inlineStr">
        <is>
          <t>Maximum single-fund concentration limit</t>
        </is>
      </c>
      <c r="C11" s="13" t="n">
        <v>0.2</v>
      </c>
      <c r="D11" s="13" t="n">
        <v>0.2</v>
      </c>
      <c r="E11" s="14">
        <f>IF(Cover!$C$9="Downside",D11,C11)</f>
        <v/>
      </c>
      <c r="F11" t="inlineStr">
        <is>
          <t>% of NAV</t>
        </is>
      </c>
    </row>
  </sheetData>
  <mergeCells count="1">
    <mergeCell ref="B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J1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12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  <col width="20" customWidth="1" min="10" max="10"/>
  </cols>
  <sheetData>
    <row r="2" ht="28" customHeight="1">
      <c r="B2" s="1" t="inlineStr">
        <is>
          <t>Underlying Fund Portfolio (Look-Through)</t>
        </is>
      </c>
    </row>
    <row r="4">
      <c r="B4" s="8" t="inlineStr">
        <is>
          <t>Underlying fund / GP</t>
        </is>
      </c>
      <c r="C4" s="8" t="inlineStr">
        <is>
          <t>Vintage year</t>
        </is>
      </c>
      <c r="D4" s="8" t="inlineStr">
        <is>
          <t>Strategy</t>
        </is>
      </c>
      <c r="E4" s="8" t="inlineStr">
        <is>
          <t>Commitment</t>
        </is>
      </c>
      <c r="F4" s="8" t="inlineStr">
        <is>
          <t>Called</t>
        </is>
      </c>
      <c r="G4" s="8" t="inlineStr">
        <is>
          <t>Distributed</t>
        </is>
      </c>
      <c r="H4" s="8" t="inlineStr">
        <is>
          <t>Reported NAV (Base)</t>
        </is>
      </c>
      <c r="I4" s="8" t="inlineStr">
        <is>
          <t>Active NAV</t>
        </is>
      </c>
      <c r="J4" s="8" t="inlineStr">
        <is>
          <t>Gross TVPI (look-through)</t>
        </is>
      </c>
    </row>
    <row r="5">
      <c r="B5" s="28" t="inlineStr">
        <is>
          <t>OIP Lightning, L.P.</t>
        </is>
      </c>
      <c r="C5" s="30" t="n">
        <v>2025</v>
      </c>
      <c r="D5" s="28" t="inlineStr">
        <is>
          <t>n/a (not disclosed at position level)</t>
        </is>
      </c>
      <c r="E5" s="29" t="n">
        <v>87.54000000000001</v>
      </c>
      <c r="F5" s="29" t="n">
        <v>87.54000000000001</v>
      </c>
      <c r="G5" s="29" t="n">
        <v>0</v>
      </c>
      <c r="H5" s="29" t="n">
        <v>94.86</v>
      </c>
      <c r="I5" s="10">
        <f>H5*(1-Assumptions!$E$10)</f>
        <v/>
      </c>
      <c r="J5" s="17">
        <f>IFERROR((G5+I5)/F5,0)</f>
        <v/>
      </c>
    </row>
    <row r="6">
      <c r="B6" s="28" t="inlineStr">
        <is>
          <t>A Capital Partners II, L.P.</t>
        </is>
      </c>
      <c r="C6" s="30" t="n">
        <v>2025</v>
      </c>
      <c r="D6" s="28" t="inlineStr">
        <is>
          <t>n/a (not disclosed at position level)</t>
        </is>
      </c>
      <c r="E6" s="29" t="n">
        <v>50</v>
      </c>
      <c r="F6" s="29" t="n">
        <v>50</v>
      </c>
      <c r="G6" s="29" t="n">
        <v>0</v>
      </c>
      <c r="H6" s="29" t="n">
        <v>85.68000000000001</v>
      </c>
      <c r="I6" s="10">
        <f>H6*(1-Assumptions!$E$10)</f>
        <v/>
      </c>
      <c r="J6" s="17">
        <f>IFERROR((G6+I6)/F6,0)</f>
        <v/>
      </c>
    </row>
    <row r="7">
      <c r="B7" s="28" t="inlineStr">
        <is>
          <t>NewView Capital Special Opportunities Fund III, L.P.</t>
        </is>
      </c>
      <c r="C7" s="30" t="n">
        <v>2023</v>
      </c>
      <c r="D7" s="28" t="inlineStr">
        <is>
          <t>n/a (not disclosed at position level)</t>
        </is>
      </c>
      <c r="E7" s="29" t="n">
        <v>54.26</v>
      </c>
      <c r="F7" s="29" t="n">
        <v>54.26</v>
      </c>
      <c r="G7" s="29" t="n">
        <v>0</v>
      </c>
      <c r="H7" s="29" t="n">
        <v>79.43000000000001</v>
      </c>
      <c r="I7" s="10">
        <f>H7*(1-Assumptions!$E$10)</f>
        <v/>
      </c>
      <c r="J7" s="17">
        <f>IFERROR((G7+I7)/F7,0)</f>
        <v/>
      </c>
    </row>
    <row r="8">
      <c r="B8" s="28" t="inlineStr">
        <is>
          <t>PSG Sequel-A L.P.</t>
        </is>
      </c>
      <c r="C8" s="30" t="n">
        <v>2025</v>
      </c>
      <c r="D8" s="28" t="inlineStr">
        <is>
          <t>n/a (not disclosed at position level)</t>
        </is>
      </c>
      <c r="E8" s="29" t="n">
        <v>63.82</v>
      </c>
      <c r="F8" s="29" t="n">
        <v>63.82</v>
      </c>
      <c r="G8" s="29" t="n">
        <v>0</v>
      </c>
      <c r="H8" s="29" t="n">
        <v>72.39</v>
      </c>
      <c r="I8" s="10">
        <f>H8*(1-Assumptions!$E$10)</f>
        <v/>
      </c>
      <c r="J8" s="17">
        <f>IFERROR((G8+I8)/F8,0)</f>
        <v/>
      </c>
    </row>
    <row r="9">
      <c r="B9" s="28" t="inlineStr">
        <is>
          <t>KIA X Knight SPV (DE), L.P.</t>
        </is>
      </c>
      <c r="C9" s="30" t="n">
        <v>2024</v>
      </c>
      <c r="D9" s="28" t="inlineStr">
        <is>
          <t>n/a (not disclosed at position level)</t>
        </is>
      </c>
      <c r="E9" s="29" t="n">
        <v>47.11</v>
      </c>
      <c r="F9" s="29" t="n">
        <v>47.11</v>
      </c>
      <c r="G9" s="29" t="n">
        <v>0</v>
      </c>
      <c r="H9" s="29" t="n">
        <v>71.23</v>
      </c>
      <c r="I9" s="10">
        <f>H9*(1-Assumptions!$E$10)</f>
        <v/>
      </c>
      <c r="J9" s="17">
        <f>IFERROR((G9+I9)/F9,0)</f>
        <v/>
      </c>
    </row>
    <row r="10">
      <c r="B10" s="28" t="inlineStr">
        <is>
          <t>The Resolute III Continuation Fund, L.P.</t>
        </is>
      </c>
      <c r="C10" s="30" t="n">
        <v>2024</v>
      </c>
      <c r="D10" s="28" t="inlineStr">
        <is>
          <t>n/a (not disclosed at position level)</t>
        </is>
      </c>
      <c r="E10" s="29" t="n">
        <v>66.16</v>
      </c>
      <c r="F10" s="29" t="n">
        <v>66.16</v>
      </c>
      <c r="G10" s="29" t="n">
        <v>0</v>
      </c>
      <c r="H10" s="29" t="n">
        <v>70.11</v>
      </c>
      <c r="I10" s="10">
        <f>H10*(1-Assumptions!$E$10)</f>
        <v/>
      </c>
      <c r="J10" s="17">
        <f>IFERROR((G10+I10)/F10,0)</f>
        <v/>
      </c>
    </row>
    <row r="11">
      <c r="B11" s="28" t="inlineStr">
        <is>
          <t>Banner Capital Fund I, L.P.</t>
        </is>
      </c>
      <c r="C11" s="30" t="n">
        <v>2025</v>
      </c>
      <c r="D11" s="28" t="inlineStr">
        <is>
          <t>n/a (not disclosed at position level)</t>
        </is>
      </c>
      <c r="E11" s="29" t="n">
        <v>43.06</v>
      </c>
      <c r="F11" s="29" t="n">
        <v>43.06</v>
      </c>
      <c r="G11" s="29" t="n">
        <v>0</v>
      </c>
      <c r="H11" s="29" t="n">
        <v>68.58</v>
      </c>
      <c r="I11" s="10">
        <f>H11*(1-Assumptions!$E$10)</f>
        <v/>
      </c>
      <c r="J11" s="17">
        <f>IFERROR((G11+I11)/F11,0)</f>
        <v/>
      </c>
    </row>
    <row r="12">
      <c r="B12" s="28" t="inlineStr">
        <is>
          <t>VSC EV3 (Parallel), L.P.</t>
        </is>
      </c>
      <c r="C12" s="30" t="n">
        <v>2023</v>
      </c>
      <c r="D12" s="28" t="inlineStr">
        <is>
          <t>n/a (not disclosed at position level)</t>
        </is>
      </c>
      <c r="E12" s="29" t="n">
        <v>23.07</v>
      </c>
      <c r="F12" s="29" t="n">
        <v>23.07</v>
      </c>
      <c r="G12" s="29" t="n">
        <v>0</v>
      </c>
      <c r="H12" s="29" t="n">
        <v>67.84999999999999</v>
      </c>
      <c r="I12" s="10">
        <f>H12*(1-Assumptions!$E$10)</f>
        <v/>
      </c>
      <c r="J12" s="17">
        <f>IFERROR((G12+I12)/F12,0)</f>
        <v/>
      </c>
    </row>
    <row r="13">
      <c r="B13" s="18" t="inlineStr">
        <is>
          <t>Total / look-through weighted</t>
        </is>
      </c>
      <c r="C13" s="19" t="n"/>
      <c r="D13" s="19" t="n"/>
      <c r="E13" s="19">
        <f>SUM(E5:E12)</f>
        <v/>
      </c>
      <c r="F13" s="19">
        <f>SUM(F5:F12)</f>
        <v/>
      </c>
      <c r="G13" s="19">
        <f>SUM(G5:G12)</f>
        <v/>
      </c>
      <c r="H13" s="19">
        <f>SUM(H5:H12)</f>
        <v/>
      </c>
      <c r="I13" s="19">
        <f>SUM(I5:I12)</f>
        <v/>
      </c>
      <c r="J13" s="20">
        <f>IFERROR((G13+I13)/F13,0)</f>
        <v/>
      </c>
    </row>
    <row r="15">
      <c r="B15" t="inlineStr">
        <is>
          <t>Largest single-fund Active NAV</t>
        </is>
      </c>
      <c r="C15" s="10">
        <f>MAX(I5:I12)</f>
        <v/>
      </c>
    </row>
    <row r="16">
      <c r="B16" t="inlineStr">
        <is>
          <t>Largest single-fund concentration</t>
        </is>
      </c>
      <c r="C16" s="14">
        <f>IFERROR(C15/I13,0)</f>
        <v/>
      </c>
    </row>
  </sheetData>
  <mergeCells count="1">
    <mergeCell ref="B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C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6" customWidth="1" min="2" max="2"/>
    <col width="18" customWidth="1" min="3" max="3"/>
  </cols>
  <sheetData>
    <row r="2" ht="28" customHeight="1">
      <c r="B2" s="1" t="inlineStr">
        <is>
          <t>FoF-Level NAV Roll-Forward and Fee Layering</t>
        </is>
      </c>
    </row>
    <row r="4">
      <c r="B4" s="8" t="inlineStr">
        <is>
          <t>Line item</t>
        </is>
      </c>
      <c r="C4" s="8" t="inlineStr">
        <is>
          <t>Value</t>
        </is>
      </c>
    </row>
    <row r="5">
      <c r="B5" t="inlineStr">
        <is>
          <t>Beginning-of-period FoF NAV</t>
        </is>
      </c>
      <c r="C5" s="29" t="n">
        <v>3621.38</v>
      </c>
    </row>
    <row r="6">
      <c r="B6" t="inlineStr">
        <is>
          <t>+ Capital called from LPs this period</t>
        </is>
      </c>
      <c r="C6" s="29" t="n">
        <v>1630.474</v>
      </c>
    </row>
    <row r="7">
      <c r="B7" t="inlineStr">
        <is>
          <t>- Distributions to LPs this period</t>
        </is>
      </c>
      <c r="C7" s="29" t="n">
        <v>88.161</v>
      </c>
    </row>
    <row r="8">
      <c r="B8" t="inlineStr">
        <is>
          <t>- FoF management fee this period</t>
        </is>
      </c>
      <c r="C8" s="10">
        <f>Assumptions!$C$5*Assumptions!$C$6</f>
        <v/>
      </c>
    </row>
    <row r="9">
      <c r="B9" t="inlineStr">
        <is>
          <t>- FoF carried interest this period</t>
        </is>
      </c>
      <c r="C9" s="10">
        <f>MAX(0,C7-C5*Assumptions!$C$8)*Assumptions!$C$7</f>
        <v/>
      </c>
    </row>
    <row r="10">
      <c r="B10" t="inlineStr">
        <is>
          <t>+/- Net realized/unrealized gain (underlying funds)</t>
        </is>
      </c>
      <c r="C10" s="29" t="n">
        <v>735.347</v>
      </c>
    </row>
    <row r="11">
      <c r="B11" t="inlineStr">
        <is>
          <t>Computed ending-of-period FoF NAV</t>
        </is>
      </c>
      <c r="C11" s="10">
        <f>C5+C6-C7-IF(ISBLANK(C14),C8,C14)-C9+C10</f>
        <v/>
      </c>
    </row>
    <row r="12">
      <c r="B12" t="inlineStr">
        <is>
          <t>Reported ending-of-period FoF NAV</t>
        </is>
      </c>
      <c r="C12" s="29" t="n">
        <v>5785.75</v>
      </c>
    </row>
    <row r="13">
      <c r="B13" t="inlineStr">
        <is>
          <t>Reconciliation residual (computed vs. reported ending NAV)</t>
        </is>
      </c>
      <c r="C13" s="10">
        <f>C11-C12</f>
        <v/>
      </c>
    </row>
    <row r="14">
      <c r="B14" t="inlineStr">
        <is>
          <t>- Disclosed net investment loss (supersedes modelled fee when sourced)</t>
        </is>
      </c>
      <c r="C14" s="29" t="n">
        <v>113.289</v>
      </c>
    </row>
    <row r="15">
      <c r="B15" t="inlineStr">
        <is>
          <t>Total LP capital called to date</t>
        </is>
      </c>
      <c r="C15" s="29" t="n">
        <v>4737.3</v>
      </c>
    </row>
    <row r="16">
      <c r="B16" t="inlineStr">
        <is>
          <t>Total LP distributions to date</t>
        </is>
      </c>
      <c r="C16" s="29" t="n">
        <v>130.6</v>
      </c>
    </row>
  </sheetData>
  <mergeCells count="1">
    <mergeCell ref="B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C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52" customWidth="1" min="2" max="2"/>
    <col width="18" customWidth="1" min="3" max="3"/>
  </cols>
  <sheetData>
    <row r="2" ht="28" customHeight="1">
      <c r="B2" s="1" t="inlineStr">
        <is>
          <t>FoF Net Multiples, Look-Through Gross Multiples, and Fee Drag</t>
        </is>
      </c>
    </row>
    <row r="4">
      <c r="B4" s="8" t="inlineStr">
        <is>
          <t>Metric</t>
        </is>
      </c>
      <c r="C4" s="8" t="inlineStr">
        <is>
          <t>Value</t>
        </is>
      </c>
    </row>
    <row r="5">
      <c r="B5" t="inlineStr">
        <is>
          <t>FoF net DPI (distributions / paid-in, to LP)</t>
        </is>
      </c>
      <c r="C5" s="17">
        <f>IFERROR('NAV Rollforward &amp; Fee Layering'!C16/'NAV Rollforward &amp; Fee Layering'!C15,0)</f>
        <v/>
      </c>
    </row>
    <row r="6">
      <c r="B6" t="inlineStr">
        <is>
          <t>FoF net RVPI (residual value / paid-in, to LP)</t>
        </is>
      </c>
      <c r="C6" s="17">
        <f>IFERROR('NAV Rollforward &amp; Fee Layering'!C12/'NAV Rollforward &amp; Fee Layering'!C15,0)</f>
        <v/>
      </c>
    </row>
    <row r="7">
      <c r="B7" t="inlineStr">
        <is>
          <t>FoF net TVPI (to LP)</t>
        </is>
      </c>
      <c r="C7" s="17">
        <f>C5+C6</f>
        <v/>
      </c>
    </row>
    <row r="8">
      <c r="B8" t="inlineStr">
        <is>
          <t>Look-through gross TVPI (weighted, underlying funds)</t>
        </is>
      </c>
      <c r="C8" s="17">
        <f>'Underlying Fund Portfolio'!J13</f>
        <v/>
      </c>
    </row>
    <row r="9">
      <c r="B9" t="inlineStr">
        <is>
          <t>Fee-layering drag (gross TVPI - FoF net TVPI)</t>
        </is>
      </c>
      <c r="C9" s="17">
        <f>C8-C7</f>
        <v/>
      </c>
    </row>
    <row r="10">
      <c r="B10" t="inlineStr">
        <is>
          <t>Fee-layering drag, $ of paid-in capital</t>
        </is>
      </c>
      <c r="C10" s="10">
        <f>C9*'NAV Rollforward &amp; Fee Layering'!C15</f>
        <v/>
      </c>
    </row>
  </sheetData>
  <mergeCells count="1">
    <mergeCell ref="B2:C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0" customWidth="1" min="2" max="2"/>
    <col width="18" customWidth="1" min="3" max="3"/>
  </cols>
  <sheetData>
    <row r="2" ht="28" customHeight="1">
      <c r="B2" s="1" t="inlineStr">
        <is>
          <t>Fund-of-Funds Model Checks</t>
        </is>
      </c>
    </row>
    <row r="4">
      <c r="B4" s="8" t="inlineStr">
        <is>
          <t>Check</t>
        </is>
      </c>
      <c r="C4" s="8" t="inlineStr">
        <is>
          <t>Status</t>
        </is>
      </c>
    </row>
    <row r="5">
      <c r="B5" t="inlineStr">
        <is>
          <t>NAV roll-forward reconciles</t>
        </is>
      </c>
      <c r="C5">
        <f>IF(ABS('NAV Rollforward &amp; Fee Layering'!C13)&lt;0.01,"PASS","FAIL")</f>
        <v/>
      </c>
    </row>
    <row r="6">
      <c r="B6" t="inlineStr">
        <is>
          <t>TVPI equals DPI plus RVPI</t>
        </is>
      </c>
      <c r="C6">
        <f>IF(ABS('Performance &amp; Multiples'!C7-('Performance &amp; Multiples'!C5+'Performance &amp; Multiples'!C6))&lt;0.0001,"PASS","FAIL")</f>
        <v/>
      </c>
    </row>
    <row r="7">
      <c r="B7" t="inlineStr">
        <is>
          <t>Fee-layering drag is nonnegative</t>
        </is>
      </c>
      <c r="C7">
        <f>IF('Performance &amp; Multiples'!C9&gt;=-0.0001,"PASS","FAIL")</f>
        <v/>
      </c>
    </row>
    <row r="8">
      <c r="B8" t="inlineStr">
        <is>
          <t>Single-fund concentration within limit</t>
        </is>
      </c>
      <c r="C8">
        <f>IF('Underlying Fund Portfolio'!C16&lt;=Assumptions!$E$11,"PASS","BREACH")</f>
        <v/>
      </c>
    </row>
    <row r="9">
      <c r="B9" t="inlineStr">
        <is>
          <t>Portfolio called capital does not exceed commitments</t>
        </is>
      </c>
      <c r="C9">
        <f>IF('Underlying Fund Portfolio'!F13&lt;='Underlying Fund Portfolio'!E13,"PASS","FAIL")</f>
        <v/>
      </c>
    </row>
    <row r="10">
      <c r="B10" t="inlineStr">
        <is>
          <t>FoF-level called capital does not exceed total commitments</t>
        </is>
      </c>
      <c r="C10">
        <f>IF('NAV Rollforward &amp; Fee Layering'!C15&lt;=Assumptions!$C$5,"PASS","FAIL")</f>
        <v/>
      </c>
    </row>
    <row r="11">
      <c r="B11" t="inlineStr">
        <is>
          <t>Overall</t>
        </is>
      </c>
      <c r="C11">
        <f>IF(COUNTIF(C5:C10,"FAIL")+COUNTIF(C5:C10,"BREACH")&gt;0,"BREACH",IF(COUNTIF(C5:C10,"REVIEW")&gt;0,"REVIEW","PASS"))</f>
        <v/>
      </c>
    </row>
  </sheetData>
  <mergeCells count="1">
    <mergeCell ref="B2:C2"/>
  </mergeCells>
  <conditionalFormatting sqref="C5:C11">
    <cfRule type="expression" priority="1" dxfId="0">
      <formula>C5="PASS"</formula>
    </cfRule>
    <cfRule type="expression" priority="2" dxfId="1">
      <formula>C5="FAIL"</formula>
    </cfRule>
    <cfRule type="expression" priority="3" dxfId="2">
      <formula>C5="REVIEW"</formula>
    </cfRule>
    <cfRule type="expression" priority="4" dxfId="1">
      <formula>C5="BREACH"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58" customWidth="1" min="3" max="3"/>
    <col width="16" customWidth="1" min="4" max="4"/>
    <col width="48" customWidth="1" min="5" max="5"/>
  </cols>
  <sheetData>
    <row r="2" ht="28" customHeight="1">
      <c r="B2" s="1" t="inlineStr">
        <is>
          <t>Source Register</t>
        </is>
      </c>
    </row>
    <row r="4">
      <c r="B4" s="8" t="inlineStr">
        <is>
          <t>Input / dataset</t>
        </is>
      </c>
      <c r="C4" s="8" t="inlineStr">
        <is>
          <t>Source URL or document</t>
        </is>
      </c>
      <c r="D4" s="8" t="inlineStr">
        <is>
          <t>As-of</t>
        </is>
      </c>
      <c r="E4" s="8" t="inlineStr">
        <is>
          <t>Notes / transformation</t>
        </is>
      </c>
    </row>
    <row r="5">
      <c r="B5" s="21" t="inlineStr">
        <is>
          <t>Underlying fund capital account statements</t>
        </is>
      </c>
      <c r="C5" s="21" t="inlineStr">
        <is>
          <t>[GP quarterly/annual capital account statement]</t>
        </is>
      </c>
      <c r="D5" s="21" t="inlineStr">
        <is>
          <t>[period end]</t>
        </is>
      </c>
      <c r="E5" s="21" t="inlineStr">
        <is>
          <t>Commitment, called, distributed, reported NAV per underlying fund</t>
        </is>
      </c>
    </row>
    <row r="6">
      <c r="B6" s="21" t="inlineStr">
        <is>
          <t>FoF administrator NAV package</t>
        </is>
      </c>
      <c r="C6" s="21" t="inlineStr">
        <is>
          <t>[fund administrator report]</t>
        </is>
      </c>
      <c r="D6" s="21" t="inlineStr">
        <is>
          <t>[period end]</t>
        </is>
      </c>
      <c r="E6" s="21" t="inlineStr">
        <is>
          <t>FoF-level beginning/ending NAV, capital called and distributed to LPs</t>
        </is>
      </c>
    </row>
    <row r="7">
      <c r="B7" s="21" t="inlineStr">
        <is>
          <t>Fee letter / limited partnership agreement</t>
        </is>
      </c>
      <c r="C7" s="21" t="inlineStr">
        <is>
          <t>[LPA / side letter]</t>
        </is>
      </c>
      <c r="D7" s="21" t="inlineStr">
        <is>
          <t>[effective date]</t>
        </is>
      </c>
      <c r="E7" s="21" t="inlineStr">
        <is>
          <t>FoF management fee rate, carried interest rate, hurdle</t>
        </is>
      </c>
    </row>
    <row r="8">
      <c r="B8" s="31" t="inlineStr">
        <is>
          <t>Hamilton Lane Private Assets Fund Consolidated Schedule of Investments and Statements of Changes in Net Assets (SEC Form N-CSR)</t>
        </is>
      </c>
      <c r="C8" s="31" t="inlineStr">
        <is>
          <t>https://www.sec.gov/Archives/edgar/data/1803491/000121390026066804/ea0291054-01_ncsr.htm</t>
        </is>
      </c>
      <c r="D8" s="31" t="inlineStr">
        <is>
          <t>2026-03-31</t>
        </is>
      </c>
      <c r="E8" s="31" t="inlineStr">
        <is>
          <t>Filed 2026-06-09, accession 0001213900-26-066804, CIK 0001803491. Source of the underlying-fund look-through portfolio, FoF-level NAV roll-forward, and paid-in capital.</t>
        </is>
      </c>
    </row>
  </sheetData>
  <mergeCells count="1">
    <mergeCell ref="B2:E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22" customWidth="1" min="3" max="3"/>
    <col width="28" customWidth="1" min="4" max="4"/>
    <col width="38" customWidth="1" min="5" max="5"/>
    <col width="34" customWidth="1" min="6" max="6"/>
    <col width="18" customWidth="1" min="7" max="7"/>
  </cols>
  <sheetData>
    <row r="2" ht="28" customHeight="1">
      <c r="B2" s="1" t="inlineStr">
        <is>
          <t>Refresh Log</t>
        </is>
      </c>
    </row>
    <row r="4">
      <c r="B4" s="8" t="inlineStr">
        <is>
          <t>Date</t>
        </is>
      </c>
      <c r="C4" s="8" t="inlineStr">
        <is>
          <t>Trigger</t>
        </is>
      </c>
      <c r="D4" s="8" t="inlineStr">
        <is>
          <t>Source snapshot</t>
        </is>
      </c>
      <c r="E4" s="8" t="inlineStr">
        <is>
          <t>What changed</t>
        </is>
      </c>
      <c r="F4" s="8" t="inlineStr">
        <is>
          <t>Reviewer / challenge</t>
        </is>
      </c>
      <c r="G4" s="8" t="inlineStr">
        <is>
          <t>Next check</t>
        </is>
      </c>
    </row>
    <row r="5">
      <c r="B5" s="22" t="inlineStr">
        <is>
          <t>2026-03-31</t>
        </is>
      </c>
      <c r="C5" s="22" t="inlineStr">
        <is>
          <t>Initial real-instance sourcing for the Fund of Funds domain (model_card.md M1-not-M2 gap)</t>
        </is>
      </c>
      <c r="D5" s="22" t="inlineStr">
        <is>
          <t>repo://29_Fund_of_Funds/sources/snapshots/fof-public-hlpaf-2026.json</t>
        </is>
      </c>
      <c r="E5" s="22" t="inlineStr">
        <is>
          <t>Generated public case fof-public-hlpaf-2026 from canonical release template</t>
        </is>
      </c>
      <c r="F5" s="22" t="inlineStr">
        <is>
          <t>External historical case; human stakeholder approval remains pending. Per-position Commitment/Called/Distributed and vintage are not disclosed at the position level for a secondaries buyer's schedule of investments -- Cost/acquisition date substitute, explicitly labeled. FoF fee/carry/hurdle stay at template illustrative defaults; HLPAF's real multi-class fee structure does not map onto this template's simplified two-line fee model.</t>
        </is>
      </c>
      <c r="G5" s="22" t="inlineStr">
        <is>
          <t>On source revision, builder change, monitoring breach, or quarterly review</t>
        </is>
      </c>
    </row>
    <row r="6">
      <c r="B6" s="22" t="n"/>
      <c r="C6" s="22" t="n"/>
      <c r="D6" s="22" t="n"/>
      <c r="E6" s="22" t="n"/>
      <c r="F6" s="22" t="n"/>
      <c r="G6" s="22" t="n"/>
    </row>
    <row r="7">
      <c r="B7" s="22" t="n"/>
      <c r="C7" s="22" t="n"/>
      <c r="D7" s="22" t="n"/>
      <c r="E7" s="22" t="n"/>
      <c r="F7" s="22" t="n"/>
      <c r="G7" s="22" t="n"/>
    </row>
    <row r="8">
      <c r="B8" s="22" t="n"/>
      <c r="C8" s="22" t="n"/>
      <c r="D8" s="22" t="n"/>
      <c r="E8" s="22" t="n"/>
      <c r="F8" s="22" t="n"/>
      <c r="G8" s="22" t="n"/>
    </row>
    <row r="9">
      <c r="B9" s="22" t="n"/>
      <c r="C9" s="22" t="n"/>
      <c r="D9" s="22" t="n"/>
      <c r="E9" s="22" t="n"/>
      <c r="F9" s="22" t="n"/>
      <c r="G9" s="22" t="n"/>
    </row>
    <row r="10">
      <c r="B10" s="22" t="n"/>
      <c r="C10" s="22" t="n"/>
      <c r="D10" s="22" t="n"/>
      <c r="E10" s="22" t="n"/>
      <c r="F10" s="22" t="n"/>
      <c r="G10" s="22" t="n"/>
    </row>
    <row r="11">
      <c r="B11" s="22" t="n"/>
      <c r="C11" s="22" t="n"/>
      <c r="D11" s="22" t="n"/>
      <c r="E11" s="22" t="n"/>
      <c r="F11" s="22" t="n"/>
      <c r="G11" s="22" t="n"/>
    </row>
    <row r="12">
      <c r="B12" s="22" t="n"/>
      <c r="C12" s="22" t="n"/>
      <c r="D12" s="22" t="n"/>
      <c r="E12" s="22" t="n"/>
      <c r="F12" s="22" t="n"/>
      <c r="G12" s="22" t="n"/>
    </row>
    <row r="13">
      <c r="B13" s="22" t="n"/>
      <c r="C13" s="22" t="n"/>
      <c r="D13" s="22" t="n"/>
      <c r="E13" s="22" t="n"/>
      <c r="F13" s="22" t="n"/>
      <c r="G13" s="22" t="n"/>
    </row>
    <row r="14">
      <c r="B14" s="22" t="n"/>
      <c r="C14" s="22" t="n"/>
      <c r="D14" s="22" t="n"/>
      <c r="E14" s="22" t="n"/>
      <c r="F14" s="22" t="n"/>
      <c r="G14" s="22" t="n"/>
    </row>
    <row r="15">
      <c r="B15" s="22" t="n"/>
      <c r="C15" s="22" t="n"/>
      <c r="D15" s="22" t="n"/>
      <c r="E15" s="22" t="n"/>
      <c r="F15" s="22" t="n"/>
      <c r="G15" s="22" t="n"/>
    </row>
    <row r="16">
      <c r="B16" s="22" t="n"/>
      <c r="C16" s="22" t="n"/>
      <c r="D16" s="22" t="n"/>
      <c r="E16" s="22" t="n"/>
      <c r="F16" s="22" t="n"/>
      <c r="G16" s="22" t="n"/>
    </row>
    <row r="17">
      <c r="B17" s="22" t="n"/>
      <c r="C17" s="22" t="n"/>
      <c r="D17" s="22" t="n"/>
      <c r="E17" s="22" t="n"/>
      <c r="F17" s="22" t="n"/>
      <c r="G17" s="22" t="n"/>
    </row>
    <row r="18">
      <c r="B18" s="22" t="n"/>
      <c r="C18" s="22" t="n"/>
      <c r="D18" s="22" t="n"/>
      <c r="E18" s="22" t="n"/>
      <c r="F18" s="22" t="n"/>
      <c r="G18" s="22" t="n"/>
    </row>
    <row r="19">
      <c r="B19" s="22" t="n"/>
      <c r="C19" s="22" t="n"/>
      <c r="D19" s="22" t="n"/>
      <c r="E19" s="22" t="n"/>
      <c r="F19" s="22" t="n"/>
      <c r="G19" s="22" t="n"/>
    </row>
    <row r="20">
      <c r="B20" s="22" t="n"/>
      <c r="C20" s="22" t="n"/>
      <c r="D20" s="22" t="n"/>
      <c r="E20" s="22" t="n"/>
      <c r="F20" s="22" t="n"/>
      <c r="G20" s="22" t="n"/>
    </row>
    <row r="21">
      <c r="B21" s="22" t="n"/>
      <c r="C21" s="22" t="n"/>
      <c r="D21" s="22" t="n"/>
      <c r="E21" s="22" t="n"/>
      <c r="F21" s="22" t="n"/>
      <c r="G21" s="22" t="n"/>
    </row>
    <row r="22">
      <c r="B22" s="22" t="n"/>
      <c r="C22" s="22" t="n"/>
      <c r="D22" s="22" t="n"/>
      <c r="E22" s="22" t="n"/>
      <c r="F22" s="22" t="n"/>
      <c r="G22" s="22" t="n"/>
    </row>
    <row r="23">
      <c r="B23" s="22" t="n"/>
      <c r="C23" s="22" t="n"/>
      <c r="D23" s="22" t="n"/>
      <c r="E23" s="22" t="n"/>
      <c r="F23" s="22" t="n"/>
      <c r="G23" s="22" t="n"/>
    </row>
    <row r="24">
      <c r="B24" s="22" t="n"/>
      <c r="C24" s="22" t="n"/>
      <c r="D24" s="22" t="n"/>
      <c r="E24" s="22" t="n"/>
      <c r="F24" s="22" t="n"/>
      <c r="G24" s="22" t="n"/>
    </row>
    <row r="25">
      <c r="B25" s="22" t="n"/>
      <c r="C25" s="22" t="n"/>
      <c r="D25" s="22" t="n"/>
      <c r="E25" s="22" t="n"/>
      <c r="F25" s="22" t="n"/>
      <c r="G25" s="22" t="n"/>
    </row>
    <row r="26">
      <c r="B26" s="22" t="n"/>
      <c r="C26" s="22" t="n"/>
      <c r="D26" s="22" t="n"/>
      <c r="E26" s="22" t="n"/>
      <c r="F26" s="22" t="n"/>
      <c r="G26" s="22" t="n"/>
    </row>
    <row r="27">
      <c r="B27" s="22" t="n"/>
      <c r="C27" s="22" t="n"/>
      <c r="D27" s="22" t="n"/>
      <c r="E27" s="22" t="n"/>
      <c r="F27" s="22" t="n"/>
      <c r="G27" s="22" t="n"/>
    </row>
    <row r="28">
      <c r="B28" s="22" t="n"/>
      <c r="C28" s="22" t="n"/>
      <c r="D28" s="22" t="n"/>
      <c r="E28" s="22" t="n"/>
      <c r="F28" s="22" t="n"/>
      <c r="G28" s="22" t="n"/>
    </row>
    <row r="29">
      <c r="B29" s="22" t="n"/>
      <c r="C29" s="22" t="n"/>
      <c r="D29" s="22" t="n"/>
      <c r="E29" s="22" t="n"/>
      <c r="F29" s="22" t="n"/>
      <c r="G29" s="22" t="n"/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2026-08-18T00:04:27Z</dcterms:created>
  <dcterms:modified xmlns:dcterms="http://purl.org/dc/terms/" xmlns:xsi="http://www.w3.org/2001/XMLSchema-instance" xsi:type="dcterms:W3CDTF">2026-08-18T00:04:27Z</dcterms:modified>
</cp:coreProperties>
</file>