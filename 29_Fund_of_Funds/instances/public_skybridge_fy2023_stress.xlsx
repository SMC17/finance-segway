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Underlying Fund Portfolio" sheetId="6" state="visible" r:id="rId8"/>
    <sheet name="NAV Rollforward &amp; Fee Layering" sheetId="7" state="visible" r:id="rId9"/>
    <sheet name="Performance &amp; Multiples" sheetId="8" state="visible" r:id="rId10"/>
    <sheet name="Checks" sheetId="9" state="visible" r:id="rId11"/>
    <sheet name="Sources" sheetId="10" state="visible" r:id="rId12"/>
    <sheet name="RefreshLog" sheetId="11" state="visible" r:id="rId13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<sst xmlns="http://schemas.openxmlformats.org/spreadsheetml/2006/main" count="315" uniqueCount="224">
  <si>
    <t xml:space="preserve">[FUND OF FUNDS] — Look-Through and Fee-Layering Model</t>
  </si>
  <si>
    <t xml:space="preserve">FoF vehicle / vintage:</t>
  </si>
  <si>
    <t xml:space="preserve">SkyBridge Multi-Adviser Hedge Fund Portfolios, LLC – Series G, CIK 0001181848</t>
  </si>
  <si>
    <t xml:space="preserve">Reporting date:</t>
  </si>
  <si>
    <t xml:space="preserve">[date]</t>
  </si>
  <si>
    <t xml:space="preserve">Last refreshed:</t>
  </si>
  <si>
    <t xml:space="preserve">2023-03-31</t>
  </si>
  <si>
    <t xml:space="preserve">Next LP report / valuation:</t>
  </si>
  <si>
    <t xml:space="preserve">Refresh cadence:</t>
  </si>
  <si>
    <t xml:space="preserve">Quarterly, aligned to underlying-fund GP reporting</t>
  </si>
  <si>
    <t xml:space="preserve">Active scenario:</t>
  </si>
  <si>
    <t xml:space="preserve">Downside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</si>
  <si>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</si>
  <si>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</si>
  <si>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</si>
  <si>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</si>
  <si>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</si>
  <si>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</si>
  <si>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</si>
  <si>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</si>
  <si>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</si>
  <si>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</si>
  <si>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</si>
  <si>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Fund of Funds — Institutional Decision Surface</t>
  </si>
  <si>
    <t xml:space="preserve">Model ID</t>
  </si>
  <si>
    <t xml:space="preserve">29</t>
  </si>
  <si>
    <t xml:space="preserve">Domain</t>
  </si>
  <si>
    <t xml:space="preserve">Fund of Funds</t>
  </si>
  <si>
    <t xml:space="preserve">Declared maturity</t>
  </si>
  <si>
    <t xml:space="preserve">M2</t>
  </si>
  <si>
    <t xml:space="preserve">Canonical builder</t>
  </si>
  <si>
    <t xml:space="preserve">tools/builders/build_fund_of_funds_institutional.py</t>
  </si>
  <si>
    <t xml:space="preserve">Decision arena</t>
  </si>
  <si>
    <t xml:space="preserve">fund board, LP advisory committee, investment committee and portfolio management</t>
  </si>
  <si>
    <t xml:space="preserve">Committee artifact</t>
  </si>
  <si>
    <t xml:space="preserve">quarterly LP reporting and portfolio review pack</t>
  </si>
  <si>
    <t xml:space="preserve">Operating cadence</t>
  </si>
  <si>
    <t xml:space="preserve">quarterly LP reporting; semi-annual portfolio review; annual valuation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</si>
  <si>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</si>
  <si>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</si>
  <si>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</si>
  <si>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</si>
  <si>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</si>
  <si>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</si>
  <si>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net asset value and TVPI/DPI/RVPI bridge</t>
  </si>
  <si>
    <t xml:space="preserve">OPEN</t>
  </si>
  <si>
    <t xml:space="preserve">look-through fee drag between FoF and underlying-fund layers</t>
  </si>
  <si>
    <t xml:space="preserve">vintage-year and manager concentration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</si>
  <si>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</si>
  <si>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</si>
  <si>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</si>
  <si>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is the FoF net TVPI to its LPs versus the underlying funds gross TVPI?</t>
  </si>
  <si>
    <t xml:space="preserve">How much NAV sits in the single largest underlying-fund position?</t>
  </si>
  <si>
    <t xml:space="preserve">What uncalled capital remains and when is it likely to be drawn?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</si>
  <si>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</si>
  <si>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</si>
  <si>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</si>
  <si>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underlying-fund NAV markdown</t>
  </si>
  <si>
    <t xml:space="preserve">capital call acceleration</t>
  </si>
  <si>
    <t xml:space="preserve">distribution slowdown and extended hold periods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</si>
  <si>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</si>
  <si>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</si>
  <si>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</si>
  <si>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limited partnership agreement and fee letter</t>
  </si>
  <si>
    <t xml:space="preserve">underlying fund capital account statements</t>
  </si>
  <si>
    <t xml:space="preserve">underlying fund quarterly and annual reports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</si>
  <si>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</si>
  <si>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</si>
  <si>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</si>
  <si>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NAV roll-forward reconciles to capital called, distributed and fees</t>
  </si>
  <si>
    <t xml:space="preserve">TVPI equals DPI plus RVPI at both FoF and look-through level</t>
  </si>
  <si>
    <t xml:space="preserve">no single underlying fund exceeds the concentration limit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</si>
  <si>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</si>
  <si>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</si>
  <si>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</si>
  <si>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underlying-fund gross TVPI as if it were net to the FoF LP</t>
  </si>
  <si>
    <t xml:space="preserve">ignoring FoF-level fee-on-fee drag</t>
  </si>
  <si>
    <t xml:space="preserve">treating a single vintage year as diversified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</si>
  <si>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</si>
  <si>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</si>
  <si>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</si>
  <si>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</si>
  <si>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</si>
  <si>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</si>
  <si>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</si>
  <si>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</si>
  <si>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</si>
  <si>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</si>
  <si>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</si>
  <si>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</si>
  <si>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Rule 2a-5</t>
  </si>
  <si>
    <t xml:space="preserve">fair-value governance and testing</t>
  </si>
  <si>
    <t xml:space="preserve">https://www.sec.gov/files/rules/final/2020/ic-34128.pdf</t>
  </si>
  <si>
    <t xml:space="preserve">IOSCO Liquidity Risk Recommendations</t>
  </si>
  <si>
    <t xml:space="preserve">fund liquidity and stress testing</t>
  </si>
  <si>
    <t xml:space="preserve">https://www.iosco.org/library/pubdocs/pdf/IOSCOPD590.pdf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</si>
  <si>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</si>
  <si>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</si>
  <si>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</si>
  <si>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</si>
  <si>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</si>
  <si>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</si>
  <si>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</si>
  <si>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</si>
  <si>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</si>
  <si>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</si>
  <si>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</si>
  <si>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</si>
  <si>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</si>
  <si>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</si>
  <si>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</si>
  <si>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</si>
  <si>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quarterly</t>
  </si>
  <si>
    <t xml:space="preserve">general partner-reported NAV and cash flow reconciliation</t>
  </si>
  <si>
    <t xml:space="preserve">TO MAP</t>
  </si>
  <si>
    <t xml:space="preserve">FoF administrator NAV package</t>
  </si>
  <si>
    <t xml:space="preserve">independent administrator verification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</si>
  <si>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</si>
  <si>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</si>
  <si>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</si>
  <si>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</si>
  <si>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</si>
  <si>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</si>
  <si>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Fund-of-Funds Terms and Portfolio Assumptions</t>
  </si>
  <si>
    <t xml:space="preserve">Assumption</t>
  </si>
  <si>
    <t xml:space="preserve">Base</t>
  </si>
  <si>
    <t xml:space="preserve">Active</t>
  </si>
  <si>
    <t xml:space="preserve">Units / note</t>
  </si>
  <si>
    <t xml:space="preserve">Total LP commitments to FoF</t>
  </si>
  <si>
    <t xml:space="preserve">$mm</t>
  </si>
  <si>
    <t xml:space="preserve">FoF management fee (% of commitments, p.a.)</t>
  </si>
  <si>
    <t xml:space="preserve">%</t>
  </si>
  <si>
    <t xml:space="preserve">FoF carried interest (% of profit above hurdle)</t>
  </si>
  <si>
    <t xml:space="preserve">FoF preferred return / hurdle</t>
  </si>
  <si>
    <t xml:space="preserve">Number of underlying funds</t>
  </si>
  <si>
    <t xml:space="preserve">count</t>
  </si>
  <si>
    <t xml:space="preserve">Underlying-fund NAV markdown (stress)</t>
  </si>
  <si>
    <t xml:space="preserve">Maximum single-fund concentration limit</t>
  </si>
  <si>
    <t xml:space="preserve">% of NAV</t>
  </si>
  <si>
    <t xml:space="preserve">Underlying Fund Portfolio (Look-Through)</t>
  </si>
  <si>
    <t xml:space="preserve">Underlying fund / GP</t>
  </si>
  <si>
    <t xml:space="preserve">Vintage year</t>
  </si>
  <si>
    <t xml:space="preserve">Strategy</t>
  </si>
  <si>
    <t xml:space="preserve">Commitment</t>
  </si>
  <si>
    <t xml:space="preserve">Called</t>
  </si>
  <si>
    <t xml:space="preserve">Distributed</t>
  </si>
  <si>
    <t xml:space="preserve">Reported NAV (Base)</t>
  </si>
  <si>
    <t xml:space="preserve">Active NAV</t>
  </si>
  <si>
    <t xml:space="preserve">Gross TVPI (look-through)</t>
  </si>
  <si>
    <t xml:space="preserve">Brevan Howard Digital Asset Multi-Strategy Fund, L.P. Class B</t>
  </si>
  <si>
    <t xml:space="preserve">Cryptocurrency and Digital Assets</t>
  </si>
  <si>
    <t xml:space="preserve">Point72 Capital International, Ltd.</t>
  </si>
  <si>
    <t xml:space="preserve">Relative Value</t>
  </si>
  <si>
    <t xml:space="preserve">NYDIG Institutional Bitcoin Fund LP</t>
  </si>
  <si>
    <t xml:space="preserve">Third Point Offshore Fund, Ltd.</t>
  </si>
  <si>
    <t xml:space="preserve">Event Driven</t>
  </si>
  <si>
    <t xml:space="preserve">Millennium International, Ltd.</t>
  </si>
  <si>
    <t xml:space="preserve">Axonic Credit Opportunities Overseas Fund, Ltd.</t>
  </si>
  <si>
    <t xml:space="preserve">Axonic Credit Opportunities Fund L.P.</t>
  </si>
  <si>
    <t xml:space="preserve">FTX Trading Ltd.</t>
  </si>
  <si>
    <t xml:space="preserve">Private Equity (direct, not a fund LP interest)</t>
  </si>
  <si>
    <t xml:space="preserve">Total / look-through weighted</t>
  </si>
  <si>
    <t xml:space="preserve">Largest single-fund Active NAV</t>
  </si>
  <si>
    <t xml:space="preserve">Largest single-fund concentration</t>
  </si>
  <si>
    <t xml:space="preserve">FoF-Level NAV Roll-Forward and Fee Layering</t>
  </si>
  <si>
    <t xml:space="preserve">Line item</t>
  </si>
  <si>
    <t xml:space="preserve">Value</t>
  </si>
  <si>
    <t xml:space="preserve">Beginning-of-period FoF NAV</t>
  </si>
  <si>
    <t xml:space="preserve">+ Capital called from LPs this period</t>
  </si>
  <si>
    <t xml:space="preserve">- Distributions to LPs this period</t>
  </si>
  <si>
    <t xml:space="preserve">- FoF management fee this period</t>
  </si>
  <si>
    <t xml:space="preserve">- FoF carried interest this period</t>
  </si>
  <si>
    <t xml:space="preserve">+/- Net realized/unrealized gain (underlying funds)</t>
  </si>
  <si>
    <t xml:space="preserve">Computed ending-of-period FoF NAV</t>
  </si>
  <si>
    <t xml:space="preserve">Reported ending-of-period FoF NAV</t>
  </si>
  <si>
    <t xml:space="preserve">Reconciliation residual (computed vs. reported ending NAV)</t>
  </si>
  <si>
    <t xml:space="preserve">- Disclosed net investment loss (supersedes modelled fee when sourced)</t>
  </si>
  <si>
    <t xml:space="preserve">Total LP capital called to date</t>
  </si>
  <si>
    <t xml:space="preserve">Total LP distributions to date</t>
  </si>
  <si>
    <t xml:space="preserve">FoF Net Multiples, Look-Through Gross Multiples, and Fee Drag</t>
  </si>
  <si>
    <t xml:space="preserve">Metric</t>
  </si>
  <si>
    <t xml:space="preserve">FoF net DPI (distributions / paid-in, to LP)</t>
  </si>
  <si>
    <t xml:space="preserve">FoF net RVPI (residual value / paid-in, to LP)</t>
  </si>
  <si>
    <t xml:space="preserve">FoF net TVPI (to LP)</t>
  </si>
  <si>
    <t xml:space="preserve">Look-through gross TVPI (weighted, underlying funds)</t>
  </si>
  <si>
    <t xml:space="preserve">Fee-layering drag (gross TVPI - FoF net TVPI)</t>
  </si>
  <si>
    <t xml:space="preserve">Fee-layering drag, $ of paid-in capital</t>
  </si>
  <si>
    <t xml:space="preserve">Fund-of-Funds Model Checks</t>
  </si>
  <si>
    <t xml:space="preserve">Check</t>
  </si>
  <si>
    <t xml:space="preserve">NAV roll-forward reconciles</t>
  </si>
  <si>
    <t xml:space="preserve">TVPI equals DPI plus RVPI</t>
  </si>
  <si>
    <t xml:space="preserve">Fee-layering drag is nonnegative</t>
  </si>
  <si>
    <t xml:space="preserve">Single-fund concentration within limit</t>
  </si>
  <si>
    <t xml:space="preserve">Portfolio called capital does not exceed commitments</t>
  </si>
  <si>
    <t xml:space="preserve">FoF-level called capital does not exceed total commitments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</si>
  <si>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</si>
  <si>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</si>
  <si>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</si>
  <si>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</si>
  <si>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</si>
  <si>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Underlying fund capital account statements</t>
  </si>
  <si>
    <t xml:space="preserve">[GP quarterly/annual capital account statement]</t>
  </si>
  <si>
    <t xml:space="preserve">[period end]</t>
  </si>
  <si>
    <t xml:space="preserve">Commitment, called, distributed, reported NAV per underlying fund</t>
  </si>
  <si>
    <t xml:space="preserve">[fund administrator report]</t>
  </si>
  <si>
    <t xml:space="preserve">FoF-level beginning/ending NAV, capital called and distributed to LPs</t>
  </si>
  <si>
    <t xml:space="preserve">Fee letter / limited partnership agreement</t>
  </si>
  <si>
    <t xml:space="preserve">[LPA / side letter]</t>
  </si>
  <si>
    <t xml:space="preserve">[effective date]</t>
  </si>
  <si>
    <t xml:space="preserve">FoF management fee rate, carried interest rate, hurdle</t>
  </si>
  <si>
    <t xml:space="preserve">SkyBridge Multi-Adviser Hedge Fund Portfolios, LLC Consolidated Schedule of Investments and Statements of Changes in Shareholders' Capital (SEC Form N-CSR)</t>
  </si>
  <si>
    <t xml:space="preserve">https://www.sec.gov/Archives/edgar/data/1181848/000119312523158901/d465929dncsr.htm</t>
  </si>
  <si>
    <t xml:space="preserve">Filed 2023-06-01, accession 0001193125-23-158901, CIK 0001181848. Source of the underlying-fund look-through portfolio (real strategy and acquisition-date fields, unlike fof-public-hlpaf-2026), the FoF-level NAV roll-forward, and paid-in capital. The fund's own -30.29% disclosed one-year return and FTX Trading Ltd. total write-off (real cost $37.2mm, real fair value $0) are the source of this case's adversarial content.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</si>
  <si>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</si>
  <si>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</si>
  <si>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</si>
  <si>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</si>
  <si>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</si>
  <si>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</si>
  <si>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Second public case for the Fund of Funds domain -- tools/verify_release_shape.py requires exactly two per M2+ model, and the conventional-only fof-public-hlpaf-2026 case alone was not sufficient</t>
  </si>
  <si>
    <t xml:space="preserve">repo://29_Fund_of_Funds/sources/snapshots/fof-public-skybridge-fy2023-stress.json</t>
  </si>
  <si>
    <t xml:space="preserve">Generated public case fof-public-skybridge-fy2023-stress from canonical release template</t>
  </si>
  <si>
    <t xml:space="preserve">External historical case; human stakeholder approval remains pending. Real, disclosed adversarial content (FTX Trading Ltd. written to real fair value $0; fund's own disclosed -30.29% one-year return). Position-level Commitment/Called/Distributed not disclosed -- Cost/first-acquisition-date substitute for Commitment/Called/vintage, labeled. This fund's real subscription-redemption mechanics (vs. this template's capital-call mechanics) have no redemptions line in the template -- expect a larger honest NAV-rollforward residual than fof-public-hlpaf-2026's fee-model mismatch alone.</t>
  </si>
  <si>
    <t xml:space="preserve">On source revision, builder change, monitoring breach, or quarterly review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</si>
</sst>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;[RED]&quot;($&quot;#,##0.0\);\-"/>
    <numFmt numFmtId="166" formatCode="0.00%;[RED]\(0.00%\);\-"/>
    <numFmt numFmtId="167" formatCode="0.0%;[RED]\(0.0%\);\-"/>
    <numFmt numFmtId="168" formatCode="0"/>
    <numFmt numFmtId="169" formatCode="0.0\x;[RED]\(0.0&quot;x)&quot;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6"/>
    <col collapsed="false" customWidth="true" hidden="false" outlineLevel="0" max="6" min="4" style="0" width="12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4" t="s">
        <v>4</v>
      </c>
    </row>
    <row r="6" customFormat="false" ht="15" hidden="false" customHeight="false" outlineLevel="0" collapsed="false">
      <c r="B6" s="2" t="s">
        <v>5</v>
      </c>
      <c r="C6" s="3" t="s">
        <v>6</v>
      </c>
    </row>
    <row r="7" customFormat="false" ht="15" hidden="false" customHeight="false" outlineLevel="0" collapsed="false">
      <c r="B7" s="2" t="s">
        <v>7</v>
      </c>
      <c r="C7" s="4" t="s">
        <v>4</v>
      </c>
    </row>
    <row r="8" customFormat="false" ht="15" hidden="false" customHeight="false" outlineLevel="0" collapsed="false">
      <c r="B8" s="2" t="s">
        <v>8</v>
      </c>
      <c r="C8" s="4" t="s">
        <v>9</v>
      </c>
    </row>
    <row r="9" customFormat="false" ht="15" hidden="false" customHeight="false" outlineLevel="0" collapsed="false">
      <c r="B9" s="2" t="s">
        <v>10</v>
      </c>
      <c r="C9" s="3" t="s">
        <v>11</v>
      </c>
    </row>
    <row r="10" customFormat="false" ht="15" hidden="false" customHeight="false" outlineLevel="0" collapsed="false">
      <c r="B10" s="2" t="s">
        <v>12</v>
      </c>
      <c r="C10" s="4" t="s">
        <v>13</v>
      </c>
    </row>
    <row r="13" customFormat="false" ht="15" hidden="false" customHeight="false" outlineLevel="0" collapsed="false">
      <c r="B13" s="5" t="s">
        <v>14</v>
      </c>
      <c r="C13" s="5"/>
      <c r="D13" s="5"/>
      <c r="E13" s="5"/>
      <c r="F13" s="5"/>
    </row>
    <row r="14" customFormat="false" ht="15" hidden="false" customHeight="false" outlineLevel="0" collapsed="false">
      <c r="B14" s="6" t="s">
        <v>15</v>
      </c>
      <c r="C14" s="7" t="s">
        <v>16</v>
      </c>
    </row>
    <row r="15" customFormat="false" ht="15" hidden="false" customHeight="false" outlineLevel="0" collapsed="false">
      <c r="B15" s="2" t="s">
        <v>17</v>
      </c>
      <c r="C15" s="7" t="s">
        <v>18</v>
      </c>
    </row>
    <row r="16" customFormat="false" ht="15" hidden="false" customHeight="false" outlineLevel="0" collapsed="false">
      <c r="B16" s="8" t="s">
        <v>19</v>
      </c>
      <c r="C16" s="7" t="s">
        <v>20</v>
      </c>
    </row>
    <row r="17" customFormat="false" ht="15" hidden="false" customHeight="false" outlineLevel="0" collapsed="false">
      <c r="B17" s="2" t="s">
        <v>21</v>
      </c>
      <c r="C17" s="7" t="s">
        <v>22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9" t="s">
        <v>23</v>
      </c>
      <c r="C2" s="9"/>
      <c r="D2" s="9"/>
      <c r="E2" s="9"/>
      <c r="F2" s="9"/>
    </row>
    <row r="4" customFormat="false" ht="15" hidden="false" customHeight="true" outlineLevel="0" collapsed="false">
      <c r="B4" s="10" t="s">
        <v>24</v>
      </c>
      <c r="C4" s="11" t="s">
        <v>25</v>
      </c>
      <c r="D4" s="11"/>
      <c r="E4" s="11"/>
      <c r="F4" s="11"/>
    </row>
    <row r="5" customFormat="false" ht="15" hidden="false" customHeight="true" outlineLevel="0" collapsed="false">
      <c r="B5" s="10" t="s">
        <v>26</v>
      </c>
      <c r="C5" s="11" t="s">
        <v>27</v>
      </c>
      <c r="D5" s="11"/>
      <c r="E5" s="11"/>
      <c r="F5" s="11"/>
    </row>
    <row r="6" customFormat="false" ht="15" hidden="false" customHeight="true" outlineLevel="0" collapsed="false">
      <c r="B6" s="10" t="s">
        <v>28</v>
      </c>
      <c r="C6" s="11" t="s">
        <v>29</v>
      </c>
      <c r="D6" s="11"/>
      <c r="E6" s="11"/>
      <c r="F6" s="11"/>
    </row>
    <row r="7" customFormat="false" ht="15" hidden="false" customHeight="true" outlineLevel="0" collapsed="false">
      <c r="B7" s="10" t="s">
        <v>30</v>
      </c>
      <c r="C7" s="11" t="s">
        <v>31</v>
      </c>
      <c r="D7" s="11"/>
      <c r="E7" s="11"/>
      <c r="F7" s="11"/>
    </row>
    <row r="8" customFormat="false" ht="15" hidden="false" customHeight="true" outlineLevel="0" collapsed="false">
      <c r="B8" s="10" t="s">
        <v>32</v>
      </c>
      <c r="C8" s="11" t="s">
        <v>33</v>
      </c>
      <c r="D8" s="11"/>
      <c r="E8" s="11"/>
      <c r="F8" s="11"/>
    </row>
    <row r="9" customFormat="false" ht="15" hidden="false" customHeight="true" outlineLevel="0" collapsed="false">
      <c r="B9" s="10" t="s">
        <v>34</v>
      </c>
      <c r="C9" s="11" t="s">
        <v>35</v>
      </c>
      <c r="D9" s="11"/>
      <c r="E9" s="11"/>
      <c r="F9" s="11"/>
    </row>
    <row r="10" customFormat="false" ht="15" hidden="false" customHeight="true" outlineLevel="0" collapsed="false">
      <c r="B10" s="10" t="s">
        <v>36</v>
      </c>
      <c r="C10" s="11" t="s">
        <v>37</v>
      </c>
      <c r="D10" s="11"/>
      <c r="E10" s="11"/>
      <c r="F10" s="11"/>
    </row>
    <row r="12" customFormat="false" ht="15" hidden="false" customHeight="false" outlineLevel="0" collapsed="false">
      <c r="B12" s="12" t="s">
        <v>38</v>
      </c>
      <c r="C12" s="12"/>
      <c r="D12" s="12"/>
      <c r="E12" s="12"/>
      <c r="F12" s="12"/>
    </row>
    <row r="13" customFormat="false" ht="15" hidden="false" customHeight="false" outlineLevel="0" collapsed="false">
      <c r="B13" s="13" t="s">
        <v>39</v>
      </c>
      <c r="C13" s="13" t="s">
        <v>40</v>
      </c>
      <c r="D13" s="13" t="s">
        <v>41</v>
      </c>
      <c r="E13" s="13" t="s">
        <v>42</v>
      </c>
      <c r="F13" s="13" t="s">
        <v>43</v>
      </c>
    </row>
    <row r="14" customFormat="false" ht="15" hidden="false" customHeight="false" outlineLevel="0" collapsed="false">
      <c r="B14" s="0" t="n">
        <v>1</v>
      </c>
      <c r="C14" s="0" t="s">
        <v>44</v>
      </c>
      <c r="F14" s="14" t="s">
        <v>45</v>
      </c>
    </row>
    <row r="15" customFormat="false" ht="15" hidden="false" customHeight="false" outlineLevel="0" collapsed="false">
      <c r="B15" s="0" t="n">
        <v>2</v>
      </c>
      <c r="C15" s="0" t="s">
        <v>46</v>
      </c>
      <c r="F15" s="14" t="s">
        <v>45</v>
      </c>
    </row>
    <row r="16" customFormat="false" ht="15" hidden="false" customHeight="false" outlineLevel="0" collapsed="false">
      <c r="B16" s="0" t="n">
        <v>3</v>
      </c>
      <c r="C16" s="0" t="s">
        <v>47</v>
      </c>
      <c r="F16" s="14" t="s">
        <v>45</v>
      </c>
    </row>
    <row r="17" customFormat="false" ht="15" hidden="false" customHeight="false" outlineLevel="0" collapsed="false">
      <c r="B17" s="0" t="n">
        <v>4</v>
      </c>
      <c r="C17" s="0" t="s">
        <v>48</v>
      </c>
      <c r="F17" s="14" t="s">
        <v>45</v>
      </c>
    </row>
    <row r="18" customFormat="false" ht="15" hidden="false" customHeight="false" outlineLevel="0" collapsed="false">
      <c r="B18" s="0" t="n">
        <v>5</v>
      </c>
      <c r="C18" s="0" t="s">
        <v>49</v>
      </c>
      <c r="F18" s="14" t="s">
        <v>45</v>
      </c>
    </row>
    <row r="20" customFormat="false" ht="15" hidden="false" customHeight="false" outlineLevel="0" collapsed="false">
      <c r="B20" s="12" t="s">
        <v>50</v>
      </c>
      <c r="C20" s="12"/>
      <c r="D20" s="12"/>
      <c r="E20" s="12"/>
      <c r="F20" s="12"/>
    </row>
    <row r="21" customFormat="false" ht="15" hidden="false" customHeight="false" outlineLevel="0" collapsed="false">
      <c r="B21" s="13" t="s">
        <v>39</v>
      </c>
      <c r="C21" s="13" t="s">
        <v>40</v>
      </c>
      <c r="D21" s="13" t="s">
        <v>41</v>
      </c>
      <c r="E21" s="13" t="s">
        <v>42</v>
      </c>
      <c r="F21" s="13" t="s">
        <v>43</v>
      </c>
    </row>
    <row r="22" customFormat="false" ht="15" hidden="false" customHeight="false" outlineLevel="0" collapsed="false">
      <c r="B22" s="0" t="n">
        <v>1</v>
      </c>
      <c r="C22" s="0" t="s">
        <v>51</v>
      </c>
      <c r="F22" s="14" t="s">
        <v>45</v>
      </c>
    </row>
    <row r="23" customFormat="false" ht="15" hidden="false" customHeight="false" outlineLevel="0" collapsed="false">
      <c r="B23" s="0" t="n">
        <v>2</v>
      </c>
      <c r="C23" s="0" t="s">
        <v>52</v>
      </c>
      <c r="F23" s="14" t="s">
        <v>45</v>
      </c>
    </row>
    <row r="24" customFormat="false" ht="15" hidden="false" customHeight="false" outlineLevel="0" collapsed="false">
      <c r="B24" s="0" t="n">
        <v>3</v>
      </c>
      <c r="C24" s="0" t="s">
        <v>53</v>
      </c>
      <c r="F24" s="14" t="s">
        <v>45</v>
      </c>
    </row>
    <row r="25" customFormat="false" ht="15" hidden="false" customHeight="false" outlineLevel="0" collapsed="false">
      <c r="B25" s="0" t="n">
        <v>4</v>
      </c>
      <c r="C25" s="0" t="s">
        <v>54</v>
      </c>
      <c r="F25" s="14" t="s">
        <v>45</v>
      </c>
    </row>
    <row r="26" customFormat="false" ht="15" hidden="false" customHeight="false" outlineLevel="0" collapsed="false">
      <c r="B26" s="0" t="n">
        <v>5</v>
      </c>
      <c r="C26" s="0" t="s">
        <v>55</v>
      </c>
      <c r="F26" s="14" t="s">
        <v>45</v>
      </c>
    </row>
    <row r="28" customFormat="false" ht="15" hidden="false" customHeight="false" outlineLevel="0" collapsed="false">
      <c r="B28" s="12" t="s">
        <v>56</v>
      </c>
      <c r="C28" s="12"/>
      <c r="D28" s="12"/>
      <c r="E28" s="12"/>
      <c r="F28" s="12"/>
    </row>
    <row r="29" customFormat="false" ht="15" hidden="false" customHeight="false" outlineLevel="0" collapsed="false">
      <c r="B29" s="13" t="s">
        <v>39</v>
      </c>
      <c r="C29" s="13" t="s">
        <v>40</v>
      </c>
      <c r="D29" s="13" t="s">
        <v>41</v>
      </c>
      <c r="E29" s="13" t="s">
        <v>42</v>
      </c>
      <c r="F29" s="13" t="s">
        <v>43</v>
      </c>
    </row>
    <row r="30" customFormat="false" ht="15" hidden="false" customHeight="false" outlineLevel="0" collapsed="false">
      <c r="B30" s="0" t="n">
        <v>1</v>
      </c>
      <c r="C30" s="0" t="s">
        <v>57</v>
      </c>
      <c r="F30" s="14" t="s">
        <v>45</v>
      </c>
    </row>
    <row r="31" customFormat="false" ht="15" hidden="false" customHeight="false" outlineLevel="0" collapsed="false">
      <c r="B31" s="0" t="n">
        <v>2</v>
      </c>
      <c r="C31" s="0" t="s">
        <v>58</v>
      </c>
      <c r="F31" s="14" t="s">
        <v>45</v>
      </c>
    </row>
    <row r="32" customFormat="false" ht="15" hidden="false" customHeight="false" outlineLevel="0" collapsed="false">
      <c r="B32" s="0" t="n">
        <v>3</v>
      </c>
      <c r="C32" s="0" t="s">
        <v>59</v>
      </c>
      <c r="F32" s="14" t="s">
        <v>45</v>
      </c>
    </row>
    <row r="33" customFormat="false" ht="15" hidden="false" customHeight="false" outlineLevel="0" collapsed="false">
      <c r="B33" s="0" t="n">
        <v>4</v>
      </c>
      <c r="C33" s="0" t="s">
        <v>60</v>
      </c>
      <c r="F33" s="14" t="s">
        <v>45</v>
      </c>
    </row>
    <row r="34" customFormat="false" ht="15" hidden="false" customHeight="false" outlineLevel="0" collapsed="false">
      <c r="B34" s="0" t="n">
        <v>5</v>
      </c>
      <c r="C34" s="0" t="s">
        <v>61</v>
      </c>
      <c r="F34" s="14" t="s">
        <v>45</v>
      </c>
    </row>
    <row r="36" customFormat="false" ht="15" hidden="false" customHeight="false" outlineLevel="0" collapsed="false">
      <c r="B36" s="12" t="s">
        <v>62</v>
      </c>
      <c r="C36" s="12"/>
      <c r="D36" s="12"/>
      <c r="E36" s="12"/>
      <c r="F36" s="12"/>
    </row>
    <row r="37" customFormat="false" ht="15" hidden="false" customHeight="false" outlineLevel="0" collapsed="false">
      <c r="B37" s="13" t="s">
        <v>39</v>
      </c>
      <c r="C37" s="13" t="s">
        <v>40</v>
      </c>
      <c r="D37" s="13" t="s">
        <v>41</v>
      </c>
      <c r="E37" s="13" t="s">
        <v>42</v>
      </c>
      <c r="F37" s="13" t="s">
        <v>43</v>
      </c>
    </row>
    <row r="38" customFormat="false" ht="15" hidden="false" customHeight="false" outlineLevel="0" collapsed="false">
      <c r="B38" s="0" t="n">
        <v>1</v>
      </c>
      <c r="C38" s="0" t="s">
        <v>63</v>
      </c>
      <c r="F38" s="14" t="s">
        <v>45</v>
      </c>
    </row>
    <row r="39" customFormat="false" ht="15" hidden="false" customHeight="false" outlineLevel="0" collapsed="false">
      <c r="B39" s="0" t="n">
        <v>2</v>
      </c>
      <c r="C39" s="0" t="s">
        <v>64</v>
      </c>
      <c r="F39" s="14" t="s">
        <v>45</v>
      </c>
    </row>
    <row r="40" customFormat="false" ht="15" hidden="false" customHeight="false" outlineLevel="0" collapsed="false">
      <c r="B40" s="0" t="n">
        <v>3</v>
      </c>
      <c r="C40" s="0" t="s">
        <v>65</v>
      </c>
      <c r="F40" s="14" t="s">
        <v>45</v>
      </c>
    </row>
    <row r="41" customFormat="false" ht="15" hidden="false" customHeight="false" outlineLevel="0" collapsed="false">
      <c r="B41" s="0" t="n">
        <v>4</v>
      </c>
      <c r="C41" s="0" t="s">
        <v>66</v>
      </c>
      <c r="F41" s="14" t="s">
        <v>45</v>
      </c>
    </row>
    <row r="42" customFormat="false" ht="15" hidden="false" customHeight="false" outlineLevel="0" collapsed="false">
      <c r="B42" s="0" t="n">
        <v>5</v>
      </c>
      <c r="C42" s="0" t="s">
        <v>67</v>
      </c>
      <c r="F42" s="14" t="s">
        <v>45</v>
      </c>
    </row>
    <row r="44" customFormat="false" ht="15" hidden="false" customHeight="false" outlineLevel="0" collapsed="false">
      <c r="B44" s="12" t="s">
        <v>68</v>
      </c>
      <c r="C44" s="12"/>
      <c r="D44" s="12"/>
      <c r="E44" s="12"/>
      <c r="F44" s="12"/>
    </row>
    <row r="45" customFormat="false" ht="15" hidden="false" customHeight="false" outlineLevel="0" collapsed="false">
      <c r="B45" s="13" t="s">
        <v>39</v>
      </c>
      <c r="C45" s="13" t="s">
        <v>40</v>
      </c>
      <c r="D45" s="13" t="s">
        <v>41</v>
      </c>
      <c r="E45" s="13" t="s">
        <v>42</v>
      </c>
      <c r="F45" s="13" t="s">
        <v>43</v>
      </c>
    </row>
    <row r="46" customFormat="false" ht="15" hidden="false" customHeight="false" outlineLevel="0" collapsed="false">
      <c r="B46" s="0" t="n">
        <v>1</v>
      </c>
      <c r="C46" s="0" t="s">
        <v>69</v>
      </c>
      <c r="F46" s="14" t="s">
        <v>45</v>
      </c>
    </row>
    <row r="47" customFormat="false" ht="15" hidden="false" customHeight="false" outlineLevel="0" collapsed="false">
      <c r="B47" s="0" t="n">
        <v>2</v>
      </c>
      <c r="C47" s="0" t="s">
        <v>70</v>
      </c>
      <c r="F47" s="14" t="s">
        <v>45</v>
      </c>
    </row>
    <row r="48" customFormat="false" ht="15" hidden="false" customHeight="false" outlineLevel="0" collapsed="false">
      <c r="B48" s="0" t="n">
        <v>3</v>
      </c>
      <c r="C48" s="0" t="s">
        <v>71</v>
      </c>
      <c r="F48" s="14" t="s">
        <v>45</v>
      </c>
    </row>
    <row r="49" customFormat="false" ht="15" hidden="false" customHeight="false" outlineLevel="0" collapsed="false">
      <c r="B49" s="0" t="n">
        <v>4</v>
      </c>
      <c r="C49" s="0" t="s">
        <v>72</v>
      </c>
      <c r="F49" s="14" t="s">
        <v>45</v>
      </c>
    </row>
    <row r="50" customFormat="false" ht="15" hidden="false" customHeight="false" outlineLevel="0" collapsed="false">
      <c r="B50" s="0" t="n">
        <v>5</v>
      </c>
      <c r="C50" s="0" t="s">
        <v>73</v>
      </c>
      <c r="F50" s="14" t="s">
        <v>45</v>
      </c>
    </row>
    <row r="52" customFormat="false" ht="15" hidden="false" customHeight="false" outlineLevel="0" collapsed="false">
      <c r="B52" s="12" t="s">
        <v>74</v>
      </c>
      <c r="C52" s="12"/>
      <c r="D52" s="12"/>
      <c r="E52" s="12"/>
      <c r="F52" s="12"/>
    </row>
    <row r="53" customFormat="false" ht="15" hidden="false" customHeight="false" outlineLevel="0" collapsed="false">
      <c r="B53" s="13" t="s">
        <v>39</v>
      </c>
      <c r="C53" s="13" t="s">
        <v>40</v>
      </c>
      <c r="D53" s="13" t="s">
        <v>41</v>
      </c>
      <c r="E53" s="13" t="s">
        <v>42</v>
      </c>
      <c r="F53" s="13" t="s">
        <v>43</v>
      </c>
    </row>
    <row r="54" customFormat="false" ht="15" hidden="false" customHeight="false" outlineLevel="0" collapsed="false">
      <c r="B54" s="0" t="n">
        <v>1</v>
      </c>
      <c r="C54" s="0" t="s">
        <v>75</v>
      </c>
      <c r="F54" s="14" t="s">
        <v>45</v>
      </c>
    </row>
    <row r="55" customFormat="false" ht="15" hidden="false" customHeight="false" outlineLevel="0" collapsed="false">
      <c r="B55" s="0" t="n">
        <v>2</v>
      </c>
      <c r="C55" s="0" t="s">
        <v>76</v>
      </c>
      <c r="F55" s="14" t="s">
        <v>45</v>
      </c>
    </row>
    <row r="56" customFormat="false" ht="15" hidden="false" customHeight="false" outlineLevel="0" collapsed="false">
      <c r="B56" s="0" t="n">
        <v>3</v>
      </c>
      <c r="C56" s="0" t="s">
        <v>77</v>
      </c>
      <c r="F56" s="14" t="s">
        <v>45</v>
      </c>
    </row>
    <row r="57" customFormat="false" ht="15" hidden="false" customHeight="false" outlineLevel="0" collapsed="false">
      <c r="B57" s="0" t="n">
        <v>4</v>
      </c>
      <c r="C57" s="0" t="s">
        <v>78</v>
      </c>
      <c r="F57" s="14" t="s">
        <v>45</v>
      </c>
    </row>
    <row r="58" customFormat="false" ht="15" hidden="false" customHeight="false" outlineLevel="0" collapsed="false">
      <c r="B58" s="0" t="n">
        <v>5</v>
      </c>
      <c r="C58" s="0" t="s">
        <v>79</v>
      </c>
      <c r="F58" s="14" t="s">
        <v>45</v>
      </c>
    </row>
    <row r="60" customFormat="false" ht="15" hidden="false" customHeight="false" outlineLevel="0" collapsed="false">
      <c r="B60" s="12" t="s">
        <v>80</v>
      </c>
      <c r="C60" s="12"/>
      <c r="D60" s="12"/>
      <c r="E60" s="12"/>
      <c r="F60" s="12"/>
    </row>
    <row r="61" customFormat="false" ht="15" hidden="false" customHeight="false" outlineLevel="0" collapsed="false">
      <c r="B61" s="13" t="s">
        <v>81</v>
      </c>
      <c r="C61" s="13" t="s">
        <v>82</v>
      </c>
      <c r="D61" s="13" t="s">
        <v>83</v>
      </c>
      <c r="E61" s="13" t="s">
        <v>84</v>
      </c>
      <c r="F61" s="13" t="s">
        <v>85</v>
      </c>
    </row>
    <row r="62" customFormat="false" ht="15" hidden="false" customHeight="false" outlineLevel="0" collapsed="false">
      <c r="B62" s="0" t="s">
        <v>86</v>
      </c>
      <c r="C62" s="0" t="s">
        <v>87</v>
      </c>
      <c r="D62" s="0" t="s">
        <v>88</v>
      </c>
      <c r="E62" s="0" t="s">
        <v>89</v>
      </c>
    </row>
    <row r="63" customFormat="false" ht="15" hidden="false" customHeight="false" outlineLevel="0" collapsed="false">
      <c r="B63" s="0" t="s">
        <v>90</v>
      </c>
      <c r="C63" s="0" t="s">
        <v>91</v>
      </c>
      <c r="D63" s="0" t="s">
        <v>92</v>
      </c>
      <c r="E63" s="0" t="s">
        <v>89</v>
      </c>
    </row>
    <row r="64" customFormat="false" ht="15" hidden="false" customHeight="false" outlineLevel="0" collapsed="false">
      <c r="B64" s="0" t="s">
        <v>93</v>
      </c>
      <c r="C64" s="0" t="s">
        <v>94</v>
      </c>
      <c r="D64" s="0" t="s">
        <v>95</v>
      </c>
      <c r="E64" s="0" t="s">
        <v>89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9" t="s">
        <v>96</v>
      </c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B4" s="13" t="s">
        <v>97</v>
      </c>
      <c r="C4" s="13" t="s">
        <v>98</v>
      </c>
      <c r="D4" s="13" t="s">
        <v>99</v>
      </c>
      <c r="E4" s="13" t="s">
        <v>100</v>
      </c>
      <c r="F4" s="13" t="s">
        <v>101</v>
      </c>
      <c r="G4" s="13" t="s">
        <v>102</v>
      </c>
      <c r="H4" s="13" t="s">
        <v>43</v>
      </c>
      <c r="I4" s="13" t="s">
        <v>103</v>
      </c>
    </row>
    <row r="5" customFormat="false" ht="15" hidden="false" customHeight="false" outlineLevel="0" collapsed="false">
      <c r="D5" s="0" t="s">
        <v>69</v>
      </c>
      <c r="H5" s="14" t="s">
        <v>45</v>
      </c>
    </row>
    <row r="6" customFormat="false" ht="15" hidden="false" customHeight="false" outlineLevel="0" collapsed="false">
      <c r="D6" s="0" t="s">
        <v>70</v>
      </c>
      <c r="H6" s="14" t="s">
        <v>45</v>
      </c>
    </row>
    <row r="7" customFormat="false" ht="15" hidden="false" customHeight="false" outlineLevel="0" collapsed="false">
      <c r="D7" s="0" t="s">
        <v>71</v>
      </c>
      <c r="H7" s="14" t="s">
        <v>45</v>
      </c>
    </row>
    <row r="8" customFormat="false" ht="15" hidden="false" customHeight="false" outlineLevel="0" collapsed="false">
      <c r="D8" s="0" t="s">
        <v>72</v>
      </c>
      <c r="H8" s="14" t="s">
        <v>45</v>
      </c>
    </row>
    <row r="9" customFormat="false" ht="15" hidden="false" customHeight="false" outlineLevel="0" collapsed="false">
      <c r="D9" s="0" t="s">
        <v>73</v>
      </c>
      <c r="H9" s="14" t="s">
        <v>45</v>
      </c>
    </row>
    <row r="10" customFormat="false" ht="15" hidden="false" customHeight="false" outlineLevel="0" collapsed="false">
      <c r="H10" s="14"/>
    </row>
    <row r="11" customFormat="false" ht="15" hidden="false" customHeight="false" outlineLevel="0" collapsed="false">
      <c r="H11" s="14"/>
    </row>
    <row r="12" customFormat="false" ht="15" hidden="false" customHeight="false" outlineLevel="0" collapsed="false">
      <c r="H12" s="14"/>
    </row>
    <row r="13" customFormat="false" ht="15" hidden="false" customHeight="false" outlineLevel="0" collapsed="false">
      <c r="H13" s="14"/>
    </row>
    <row r="14" customFormat="false" ht="15" hidden="false" customHeight="false" outlineLevel="0" collapsed="false">
      <c r="H14" s="14"/>
    </row>
    <row r="15" customFormat="false" ht="15" hidden="false" customHeight="false" outlineLevel="0" collapsed="false">
      <c r="H15" s="14"/>
    </row>
    <row r="16" customFormat="false" ht="15" hidden="false" customHeight="false" outlineLevel="0" collapsed="false">
      <c r="H16" s="14"/>
    </row>
    <row r="17" customFormat="false" ht="15" hidden="false" customHeight="false" outlineLevel="0" collapsed="false">
      <c r="H17" s="14"/>
    </row>
    <row r="18" customFormat="false" ht="15" hidden="false" customHeight="false" outlineLevel="0" collapsed="false">
      <c r="H18" s="14"/>
    </row>
    <row r="19" customFormat="false" ht="15" hidden="false" customHeight="false" outlineLevel="0" collapsed="false">
      <c r="H19" s="14"/>
    </row>
    <row r="20" customFormat="false" ht="15" hidden="false" customHeight="false" outlineLevel="0" collapsed="false">
      <c r="H20" s="14"/>
    </row>
    <row r="21" customFormat="false" ht="15" hidden="false" customHeight="false" outlineLevel="0" collapsed="false">
      <c r="H21" s="14"/>
    </row>
    <row r="22" customFormat="false" ht="15" hidden="false" customHeight="false" outlineLevel="0" collapsed="false">
      <c r="H22" s="14"/>
    </row>
    <row r="23" customFormat="false" ht="15" hidden="false" customHeight="false" outlineLevel="0" collapsed="false">
      <c r="H23" s="14"/>
    </row>
    <row r="24" customFormat="false" ht="15" hidden="false" customHeight="false" outlineLevel="0" collapsed="false">
      <c r="H24" s="14"/>
    </row>
    <row r="25" customFormat="false" ht="15" hidden="false" customHeight="false" outlineLevel="0" collapsed="false">
      <c r="H25" s="14"/>
    </row>
    <row r="26" customFormat="false" ht="15" hidden="false" customHeight="false" outlineLevel="0" collapsed="false">
      <c r="H26" s="14"/>
    </row>
    <row r="27" customFormat="false" ht="15" hidden="false" customHeight="false" outlineLevel="0" collapsed="false">
      <c r="H27" s="14"/>
    </row>
    <row r="28" customFormat="false" ht="15" hidden="false" customHeight="false" outlineLevel="0" collapsed="false">
      <c r="H28" s="14"/>
    </row>
    <row r="29" customFormat="false" ht="15" hidden="false" customHeight="false" outlineLevel="0" collapsed="false">
      <c r="H29" s="14"/>
    </row>
    <row r="30" customFormat="false" ht="15" hidden="false" customHeight="false" outlineLevel="0" collapsed="false">
      <c r="H30" s="14"/>
    </row>
    <row r="31" customFormat="false" ht="15" hidden="false" customHeight="false" outlineLevel="0" collapsed="false">
      <c r="H31" s="14"/>
    </row>
    <row r="32" customFormat="false" ht="15" hidden="false" customHeight="false" outlineLevel="0" collapsed="false">
      <c r="H32" s="14"/>
    </row>
    <row r="33" customFormat="false" ht="15" hidden="false" customHeight="false" outlineLevel="0" collapsed="false">
      <c r="H33" s="14"/>
    </row>
    <row r="34" customFormat="false" ht="15" hidden="false" customHeight="false" outlineLevel="0" collapsed="false">
      <c r="H34" s="14"/>
    </row>
    <row r="35" customFormat="false" ht="15" hidden="false" customHeight="false" outlineLevel="0" collapsed="false">
      <c r="H35" s="14"/>
    </row>
    <row r="36" customFormat="false" ht="15" hidden="false" customHeight="false" outlineLevel="0" collapsed="false">
      <c r="H36" s="14"/>
    </row>
    <row r="37" customFormat="false" ht="15" hidden="false" customHeight="false" outlineLevel="0" collapsed="false">
      <c r="H37" s="14"/>
    </row>
    <row r="38" customFormat="false" ht="15" hidden="false" customHeight="false" outlineLevel="0" collapsed="false">
      <c r="H38" s="14"/>
    </row>
    <row r="39" customFormat="false" ht="15" hidden="false" customHeight="false" outlineLevel="0" collapsed="false">
      <c r="H39" s="14"/>
    </row>
    <row r="40" customFormat="false" ht="15" hidden="false" customHeight="false" outlineLevel="0" collapsed="false">
      <c r="H40" s="14"/>
    </row>
    <row r="41" customFormat="false" ht="15" hidden="false" customHeight="false" outlineLevel="0" collapsed="false">
      <c r="H41" s="14"/>
    </row>
    <row r="42" customFormat="false" ht="15" hidden="false" customHeight="false" outlineLevel="0" collapsed="false">
      <c r="H42" s="14"/>
    </row>
    <row r="43" customFormat="false" ht="15" hidden="false" customHeight="false" outlineLevel="0" collapsed="false">
      <c r="H43" s="14"/>
    </row>
    <row r="44" customFormat="false" ht="15" hidden="false" customHeight="false" outlineLevel="0" collapsed="false">
      <c r="H44" s="14"/>
    </row>
    <row r="45" customFormat="false" ht="15" hidden="false" customHeight="false" outlineLevel="0" collapsed="false">
      <c r="H45" s="14"/>
    </row>
    <row r="46" customFormat="false" ht="15" hidden="false" customHeight="false" outlineLevel="0" collapsed="false">
      <c r="H46" s="14"/>
    </row>
    <row r="47" customFormat="false" ht="15" hidden="false" customHeight="false" outlineLevel="0" collapsed="false">
      <c r="H47" s="14"/>
    </row>
    <row r="48" customFormat="false" ht="15" hidden="false" customHeight="false" outlineLevel="0" collapsed="false">
      <c r="H48" s="14"/>
    </row>
    <row r="49" customFormat="false" ht="15" hidden="false" customHeight="false" outlineLevel="0" collapsed="false">
      <c r="H49" s="14"/>
    </row>
    <row r="50" customFormat="false" ht="15" hidden="false" customHeight="false" outlineLevel="0" collapsed="false">
      <c r="H50" s="14"/>
    </row>
    <row r="51" customFormat="false" ht="15" hidden="false" customHeight="false" outlineLevel="0" collapsed="false">
      <c r="H51" s="14"/>
    </row>
    <row r="52" customFormat="false" ht="15" hidden="false" customHeight="false" outlineLevel="0" collapsed="false">
      <c r="H52" s="14"/>
    </row>
    <row r="53" customFormat="false" ht="15" hidden="false" customHeight="false" outlineLevel="0" collapsed="false">
      <c r="H53" s="14"/>
    </row>
    <row r="54" customFormat="false" ht="15" hidden="false" customHeight="false" outlineLevel="0" collapsed="false">
      <c r="H54" s="14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9" t="s">
        <v>104</v>
      </c>
      <c r="C2" s="9"/>
      <c r="D2" s="9"/>
      <c r="E2" s="9"/>
      <c r="F2" s="9"/>
      <c r="G2" s="9"/>
      <c r="H2" s="9"/>
      <c r="I2" s="9"/>
      <c r="J2" s="9"/>
    </row>
    <row r="4" customFormat="false" ht="15" hidden="false" customHeight="false" outlineLevel="0" collapsed="false">
      <c r="B4" s="13" t="s">
        <v>105</v>
      </c>
      <c r="C4" s="13" t="s">
        <v>106</v>
      </c>
      <c r="D4" s="13" t="s">
        <v>107</v>
      </c>
      <c r="E4" s="13" t="s">
        <v>108</v>
      </c>
      <c r="F4" s="13" t="s">
        <v>109</v>
      </c>
      <c r="G4" s="13" t="s">
        <v>41</v>
      </c>
      <c r="H4" s="13" t="s">
        <v>110</v>
      </c>
      <c r="I4" s="13" t="s">
        <v>111</v>
      </c>
      <c r="J4" s="13" t="s">
        <v>43</v>
      </c>
    </row>
    <row r="5" customFormat="false" ht="15" hidden="false" customHeight="false" outlineLevel="0" collapsed="false">
      <c r="B5" s="0" t="s">
        <v>64</v>
      </c>
      <c r="C5" s="0" t="s">
        <v>112</v>
      </c>
      <c r="D5" s="0" t="s">
        <v>113</v>
      </c>
      <c r="J5" s="14" t="s">
        <v>114</v>
      </c>
    </row>
    <row r="6" customFormat="false" ht="15" hidden="false" customHeight="false" outlineLevel="0" collapsed="false">
      <c r="B6" s="0" t="s">
        <v>115</v>
      </c>
      <c r="C6" s="0" t="s">
        <v>112</v>
      </c>
      <c r="D6" s="0" t="s">
        <v>116</v>
      </c>
      <c r="J6" s="14" t="s">
        <v>114</v>
      </c>
    </row>
    <row r="7" customFormat="false" ht="15" hidden="false" customHeight="false" outlineLevel="0" collapsed="false">
      <c r="B7" s="0" t="s">
        <v>117</v>
      </c>
      <c r="C7" s="0" t="s">
        <v>118</v>
      </c>
      <c r="D7" s="0" t="s">
        <v>119</v>
      </c>
      <c r="J7" s="14" t="s">
        <v>114</v>
      </c>
    </row>
    <row r="8" customFormat="false" ht="15" hidden="false" customHeight="false" outlineLevel="0" collapsed="false">
      <c r="B8" s="0" t="s">
        <v>120</v>
      </c>
      <c r="C8" s="0" t="s">
        <v>121</v>
      </c>
      <c r="D8" s="0" t="s">
        <v>122</v>
      </c>
      <c r="J8" s="14" t="s">
        <v>114</v>
      </c>
    </row>
    <row r="9" customFormat="false" ht="15" hidden="false" customHeight="false" outlineLevel="0" collapsed="false">
      <c r="J9" s="14"/>
    </row>
    <row r="10" customFormat="false" ht="15" hidden="false" customHeight="false" outlineLevel="0" collapsed="false">
      <c r="J10" s="14"/>
    </row>
    <row r="11" customFormat="false" ht="15" hidden="false" customHeight="false" outlineLevel="0" collapsed="false">
      <c r="J11" s="14"/>
    </row>
    <row r="12" customFormat="false" ht="15" hidden="false" customHeight="false" outlineLevel="0" collapsed="false">
      <c r="J12" s="14"/>
    </row>
    <row r="13" customFormat="false" ht="15" hidden="false" customHeight="false" outlineLevel="0" collapsed="false">
      <c r="J13" s="14"/>
    </row>
    <row r="14" customFormat="false" ht="15" hidden="false" customHeight="false" outlineLevel="0" collapsed="false">
      <c r="J14" s="14"/>
    </row>
    <row r="15" customFormat="false" ht="15" hidden="false" customHeight="false" outlineLevel="0" collapsed="false">
      <c r="J15" s="14"/>
    </row>
    <row r="16" customFormat="false" ht="15" hidden="false" customHeight="false" outlineLevel="0" collapsed="false">
      <c r="J16" s="14"/>
    </row>
    <row r="17" customFormat="false" ht="15" hidden="false" customHeight="false" outlineLevel="0" collapsed="false">
      <c r="J17" s="14"/>
    </row>
    <row r="18" customFormat="false" ht="15" hidden="false" customHeight="false" outlineLevel="0" collapsed="false">
      <c r="J18" s="14"/>
    </row>
    <row r="19" customFormat="false" ht="15" hidden="false" customHeight="false" outlineLevel="0" collapsed="false">
      <c r="J19" s="14"/>
    </row>
    <row r="20" customFormat="false" ht="15" hidden="false" customHeight="false" outlineLevel="0" collapsed="false">
      <c r="J20" s="14"/>
    </row>
    <row r="21" customFormat="false" ht="15" hidden="false" customHeight="false" outlineLevel="0" collapsed="false">
      <c r="J21" s="14"/>
    </row>
    <row r="22" customFormat="false" ht="15" hidden="false" customHeight="false" outlineLevel="0" collapsed="false">
      <c r="J22" s="14"/>
    </row>
    <row r="23" customFormat="false" ht="15" hidden="false" customHeight="false" outlineLevel="0" collapsed="false">
      <c r="J23" s="14"/>
    </row>
    <row r="24" customFormat="false" ht="15" hidden="false" customHeight="false" outlineLevel="0" collapsed="false">
      <c r="J24" s="14"/>
    </row>
    <row r="25" customFormat="false" ht="15" hidden="false" customHeight="false" outlineLevel="0" collapsed="false">
      <c r="J25" s="14"/>
    </row>
    <row r="26" customFormat="false" ht="15" hidden="false" customHeight="false" outlineLevel="0" collapsed="false">
      <c r="J26" s="14"/>
    </row>
    <row r="27" customFormat="false" ht="15" hidden="false" customHeight="false" outlineLevel="0" collapsed="false">
      <c r="J27" s="14"/>
    </row>
    <row r="28" customFormat="false" ht="15" hidden="false" customHeight="false" outlineLevel="0" collapsed="false">
      <c r="J28" s="14"/>
    </row>
    <row r="29" customFormat="false" ht="15" hidden="false" customHeight="false" outlineLevel="0" collapsed="false">
      <c r="J29" s="14"/>
    </row>
    <row r="30" customFormat="false" ht="15" hidden="false" customHeight="false" outlineLevel="0" collapsed="false">
      <c r="J30" s="14"/>
    </row>
    <row r="31" customFormat="false" ht="15" hidden="false" customHeight="false" outlineLevel="0" collapsed="false">
      <c r="J31" s="14"/>
    </row>
    <row r="32" customFormat="false" ht="15" hidden="false" customHeight="false" outlineLevel="0" collapsed="false">
      <c r="J32" s="14"/>
    </row>
    <row r="33" customFormat="false" ht="15" hidden="false" customHeight="false" outlineLevel="0" collapsed="false">
      <c r="J33" s="14"/>
    </row>
    <row r="34" customFormat="false" ht="15" hidden="false" customHeight="false" outlineLevel="0" collapsed="false">
      <c r="J34" s="14"/>
    </row>
    <row r="35" customFormat="false" ht="15" hidden="false" customHeight="false" outlineLevel="0" collapsed="false">
      <c r="J35" s="14"/>
    </row>
    <row r="36" customFormat="false" ht="15" hidden="false" customHeight="false" outlineLevel="0" collapsed="false">
      <c r="J36" s="14"/>
    </row>
    <row r="37" customFormat="false" ht="15" hidden="false" customHeight="false" outlineLevel="0" collapsed="false">
      <c r="J37" s="14"/>
    </row>
    <row r="38" customFormat="false" ht="15" hidden="false" customHeight="false" outlineLevel="0" collapsed="false">
      <c r="J38" s="14"/>
    </row>
    <row r="39" customFormat="false" ht="15" hidden="false" customHeight="false" outlineLevel="0" collapsed="false">
      <c r="J39" s="14"/>
    </row>
    <row r="40" customFormat="false" ht="15" hidden="false" customHeight="false" outlineLevel="0" collapsed="false">
      <c r="J40" s="14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5" min="3" style="0" width="15"/>
    <col collapsed="false" customWidth="true" hidden="false" outlineLevel="0" max="6" min="6" style="0" width="32"/>
  </cols>
  <sheetData>
    <row r="2" customFormat="false" ht="27.75" hidden="false" customHeight="true" outlineLevel="0" collapsed="false">
      <c r="B2" s="1" t="s">
        <v>123</v>
      </c>
      <c r="C2" s="1"/>
      <c r="D2" s="1"/>
      <c r="E2" s="1"/>
      <c r="F2" s="1"/>
    </row>
    <row r="4" customFormat="false" ht="15" hidden="false" customHeight="false" outlineLevel="0" collapsed="false">
      <c r="B4" s="15" t="s">
        <v>124</v>
      </c>
      <c r="C4" s="15" t="s">
        <v>125</v>
      </c>
      <c r="D4" s="15" t="s">
        <v>11</v>
      </c>
      <c r="E4" s="15" t="s">
        <v>126</v>
      </c>
      <c r="F4" s="15" t="s">
        <v>127</v>
      </c>
    </row>
    <row r="5" customFormat="false" ht="15" hidden="false" customHeight="false" outlineLevel="0" collapsed="false">
      <c r="B5" s="0" t="s">
        <v>128</v>
      </c>
      <c r="C5" s="16" t="n">
        <v>500</v>
      </c>
      <c r="D5" s="17" t="n">
        <v>2252.3</v>
      </c>
      <c r="E5" s="18" t="n">
        <f aca="false">IF(Cover!$C$9="Downside",D5,C5)</f>
        <v>2252.3</v>
      </c>
      <c r="F5" s="0" t="s">
        <v>129</v>
      </c>
    </row>
    <row r="6" customFormat="false" ht="15" hidden="false" customHeight="false" outlineLevel="0" collapsed="false">
      <c r="B6" s="0" t="s">
        <v>130</v>
      </c>
      <c r="C6" s="19" t="n">
        <v>0.0075</v>
      </c>
      <c r="D6" s="19" t="n">
        <v>0.0075</v>
      </c>
      <c r="E6" s="20" t="n">
        <f aca="false">IF(Cover!$C$9="Downside",D6,C6)</f>
        <v>0.0075</v>
      </c>
      <c r="F6" s="0" t="s">
        <v>131</v>
      </c>
    </row>
    <row r="7" customFormat="false" ht="15" hidden="false" customHeight="false" outlineLevel="0" collapsed="false">
      <c r="B7" s="0" t="s">
        <v>132</v>
      </c>
      <c r="C7" s="21" t="n">
        <v>0.05</v>
      </c>
      <c r="D7" s="21" t="n">
        <v>0.05</v>
      </c>
      <c r="E7" s="22" t="n">
        <f aca="false">IF(Cover!$C$9="Downside",D7,C7)</f>
        <v>0.05</v>
      </c>
      <c r="F7" s="0" t="s">
        <v>131</v>
      </c>
    </row>
    <row r="8" customFormat="false" ht="15" hidden="false" customHeight="false" outlineLevel="0" collapsed="false">
      <c r="B8" s="0" t="s">
        <v>133</v>
      </c>
      <c r="C8" s="21" t="n">
        <v>0.08</v>
      </c>
      <c r="D8" s="21" t="n">
        <v>0.08</v>
      </c>
      <c r="E8" s="22" t="n">
        <f aca="false">IF(Cover!$C$9="Downside",D8,C8)</f>
        <v>0.08</v>
      </c>
      <c r="F8" s="0" t="s">
        <v>131</v>
      </c>
    </row>
    <row r="9" customFormat="false" ht="15" hidden="false" customHeight="false" outlineLevel="0" collapsed="false">
      <c r="B9" s="0" t="s">
        <v>134</v>
      </c>
      <c r="C9" s="23" t="n">
        <v>8</v>
      </c>
      <c r="D9" s="24" t="n">
        <v>8</v>
      </c>
      <c r="E9" s="25" t="n">
        <f aca="false">IF(Cover!$C$9="Downside",D9,C9)</f>
        <v>8</v>
      </c>
      <c r="F9" s="0" t="s">
        <v>135</v>
      </c>
    </row>
    <row r="10" customFormat="false" ht="15" hidden="false" customHeight="false" outlineLevel="0" collapsed="false">
      <c r="B10" s="0" t="s">
        <v>136</v>
      </c>
      <c r="C10" s="21" t="n">
        <v>0</v>
      </c>
      <c r="D10" s="21" t="n">
        <v>0.25</v>
      </c>
      <c r="E10" s="22" t="n">
        <f aca="false">IF(Cover!$C$9="Downside",D10,C10)</f>
        <v>0.25</v>
      </c>
      <c r="F10" s="0" t="s">
        <v>131</v>
      </c>
    </row>
    <row r="11" customFormat="false" ht="15" hidden="false" customHeight="false" outlineLevel="0" collapsed="false">
      <c r="B11" s="0" t="s">
        <v>137</v>
      </c>
      <c r="C11" s="21" t="n">
        <v>0.2</v>
      </c>
      <c r="D11" s="21" t="n">
        <v>0.2</v>
      </c>
      <c r="E11" s="22" t="n">
        <f aca="false">IF(Cover!$C$9="Downside",D11,C11)</f>
        <v>0.2</v>
      </c>
      <c r="F11" s="0" t="s">
        <v>138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7" min="5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20"/>
  </cols>
  <sheetData>
    <row r="2" customFormat="false" ht="27.75" hidden="false" customHeight="true" outlineLevel="0" collapsed="false">
      <c r="B2" s="1" t="s">
        <v>139</v>
      </c>
      <c r="C2" s="1"/>
      <c r="D2" s="1"/>
      <c r="E2" s="1"/>
      <c r="F2" s="1"/>
      <c r="G2" s="1"/>
      <c r="H2" s="1"/>
      <c r="I2" s="1"/>
      <c r="J2" s="1"/>
    </row>
    <row r="4" customFormat="false" ht="23.85" hidden="false" customHeight="false" outlineLevel="0" collapsed="false">
      <c r="B4" s="15" t="s">
        <v>140</v>
      </c>
      <c r="C4" s="15" t="s">
        <v>141</v>
      </c>
      <c r="D4" s="15" t="s">
        <v>142</v>
      </c>
      <c r="E4" s="15" t="s">
        <v>143</v>
      </c>
      <c r="F4" s="15" t="s">
        <v>144</v>
      </c>
      <c r="G4" s="15" t="s">
        <v>145</v>
      </c>
      <c r="H4" s="15" t="s">
        <v>146</v>
      </c>
      <c r="I4" s="15" t="s">
        <v>147</v>
      </c>
      <c r="J4" s="15" t="s">
        <v>148</v>
      </c>
    </row>
    <row r="5" customFormat="false" ht="15" hidden="false" customHeight="false" outlineLevel="0" collapsed="false">
      <c r="B5" s="3" t="s">
        <v>149</v>
      </c>
      <c r="C5" s="24" t="n">
        <v>2022</v>
      </c>
      <c r="D5" s="3" t="s">
        <v>150</v>
      </c>
      <c r="E5" s="17" t="n">
        <v>165.61</v>
      </c>
      <c r="F5" s="17" t="n">
        <v>165.61</v>
      </c>
      <c r="G5" s="17" t="n">
        <v>0</v>
      </c>
      <c r="H5" s="17" t="n">
        <v>146.5</v>
      </c>
      <c r="I5" s="18" t="n">
        <f aca="false">H5*(1-Assumptions!$E$10)</f>
        <v>109.875</v>
      </c>
      <c r="J5" s="26" t="n">
        <f aca="false">IFERROR((G5+I5)/F5,0)</f>
        <v>0.663456313024576</v>
      </c>
    </row>
    <row r="6" customFormat="false" ht="15" hidden="false" customHeight="false" outlineLevel="0" collapsed="false">
      <c r="B6" s="3" t="s">
        <v>151</v>
      </c>
      <c r="C6" s="24" t="n">
        <v>2020</v>
      </c>
      <c r="D6" s="3" t="s">
        <v>152</v>
      </c>
      <c r="E6" s="17" t="n">
        <v>156.29</v>
      </c>
      <c r="F6" s="17" t="n">
        <v>156.29</v>
      </c>
      <c r="G6" s="17" t="n">
        <v>0</v>
      </c>
      <c r="H6" s="17" t="n">
        <v>215.22</v>
      </c>
      <c r="I6" s="18" t="n">
        <f aca="false">H6*(1-Assumptions!$E$10)</f>
        <v>161.415</v>
      </c>
      <c r="J6" s="26" t="n">
        <f aca="false">IFERROR((G6+I6)/F6,0)</f>
        <v>1.03279160534903</v>
      </c>
    </row>
    <row r="7" customFormat="false" ht="15" hidden="false" customHeight="false" outlineLevel="0" collapsed="false">
      <c r="B7" s="3" t="s">
        <v>153</v>
      </c>
      <c r="C7" s="24" t="n">
        <v>2020</v>
      </c>
      <c r="D7" s="3" t="s">
        <v>150</v>
      </c>
      <c r="E7" s="17" t="n">
        <v>120.7</v>
      </c>
      <c r="F7" s="17" t="n">
        <v>120.7</v>
      </c>
      <c r="G7" s="17" t="n">
        <v>0</v>
      </c>
      <c r="H7" s="17" t="n">
        <v>131.05</v>
      </c>
      <c r="I7" s="18" t="n">
        <f aca="false">H7*(1-Assumptions!$E$10)</f>
        <v>98.2875</v>
      </c>
      <c r="J7" s="26" t="n">
        <f aca="false">IFERROR((G7+I7)/F7,0)</f>
        <v>0.814312344656172</v>
      </c>
    </row>
    <row r="8" customFormat="false" ht="15" hidden="false" customHeight="false" outlineLevel="0" collapsed="false">
      <c r="B8" s="3" t="s">
        <v>154</v>
      </c>
      <c r="C8" s="24" t="n">
        <v>2020</v>
      </c>
      <c r="D8" s="3" t="s">
        <v>155</v>
      </c>
      <c r="E8" s="17" t="n">
        <v>96.4</v>
      </c>
      <c r="F8" s="17" t="n">
        <v>96.4</v>
      </c>
      <c r="G8" s="17" t="n">
        <v>0</v>
      </c>
      <c r="H8" s="17" t="n">
        <v>91.84</v>
      </c>
      <c r="I8" s="18" t="n">
        <f aca="false">H8*(1-Assumptions!$E$10)</f>
        <v>68.88</v>
      </c>
      <c r="J8" s="26" t="n">
        <f aca="false">IFERROR((G8+I8)/F8,0)</f>
        <v>0.714522821576763</v>
      </c>
    </row>
    <row r="9" customFormat="false" ht="15" hidden="false" customHeight="false" outlineLevel="0" collapsed="false">
      <c r="B9" s="3" t="s">
        <v>156</v>
      </c>
      <c r="C9" s="24" t="n">
        <v>2015</v>
      </c>
      <c r="D9" s="3" t="s">
        <v>152</v>
      </c>
      <c r="E9" s="17" t="n">
        <v>62.71</v>
      </c>
      <c r="F9" s="17" t="n">
        <v>62.71</v>
      </c>
      <c r="G9" s="17" t="n">
        <v>0</v>
      </c>
      <c r="H9" s="17" t="n">
        <v>82.56</v>
      </c>
      <c r="I9" s="18" t="n">
        <f aca="false">H9*(1-Assumptions!$E$10)</f>
        <v>61.92</v>
      </c>
      <c r="J9" s="26" t="n">
        <f aca="false">IFERROR((G9+I9)/F9,0)</f>
        <v>0.987402328177324</v>
      </c>
    </row>
    <row r="10" customFormat="false" ht="15" hidden="false" customHeight="false" outlineLevel="0" collapsed="false">
      <c r="B10" s="3" t="s">
        <v>157</v>
      </c>
      <c r="C10" s="24" t="n">
        <v>2011</v>
      </c>
      <c r="D10" s="3" t="s">
        <v>155</v>
      </c>
      <c r="E10" s="17" t="n">
        <v>46.29</v>
      </c>
      <c r="F10" s="17" t="n">
        <v>46.29</v>
      </c>
      <c r="G10" s="17" t="n">
        <v>0</v>
      </c>
      <c r="H10" s="17" t="n">
        <v>58.82</v>
      </c>
      <c r="I10" s="18" t="n">
        <f aca="false">H10*(1-Assumptions!$E$10)</f>
        <v>44.115</v>
      </c>
      <c r="J10" s="26" t="n">
        <f aca="false">IFERROR((G10+I10)/F10,0)</f>
        <v>0.95301360985094</v>
      </c>
    </row>
    <row r="11" customFormat="false" ht="15" hidden="false" customHeight="false" outlineLevel="0" collapsed="false">
      <c r="B11" s="3" t="s">
        <v>158</v>
      </c>
      <c r="C11" s="24" t="n">
        <v>2011</v>
      </c>
      <c r="D11" s="3" t="s">
        <v>155</v>
      </c>
      <c r="E11" s="17" t="n">
        <v>44.01</v>
      </c>
      <c r="F11" s="17" t="n">
        <v>44.01</v>
      </c>
      <c r="G11" s="17" t="n">
        <v>0</v>
      </c>
      <c r="H11" s="17" t="n">
        <v>59.78</v>
      </c>
      <c r="I11" s="18" t="n">
        <f aca="false">H11*(1-Assumptions!$E$10)</f>
        <v>44.835</v>
      </c>
      <c r="J11" s="26" t="n">
        <f aca="false">IFERROR((G11+I11)/F11,0)</f>
        <v>1.01874573960464</v>
      </c>
    </row>
    <row r="12" customFormat="false" ht="15" hidden="false" customHeight="false" outlineLevel="0" collapsed="false">
      <c r="B12" s="3" t="s">
        <v>159</v>
      </c>
      <c r="C12" s="24" t="n">
        <v>2021</v>
      </c>
      <c r="D12" s="3" t="s">
        <v>160</v>
      </c>
      <c r="E12" s="17" t="n">
        <v>37.21</v>
      </c>
      <c r="F12" s="17" t="n">
        <v>37.21</v>
      </c>
      <c r="G12" s="17" t="n">
        <v>0</v>
      </c>
      <c r="H12" s="17" t="n">
        <v>0</v>
      </c>
      <c r="I12" s="18" t="n">
        <f aca="false">H12*(1-Assumptions!$E$10)</f>
        <v>0</v>
      </c>
      <c r="J12" s="26" t="n">
        <f aca="false">IFERROR((G12+I12)/F12,0)</f>
        <v>0</v>
      </c>
    </row>
    <row r="13" customFormat="false" ht="15" hidden="false" customHeight="false" outlineLevel="0" collapsed="false">
      <c r="B13" s="27" t="s">
        <v>161</v>
      </c>
      <c r="C13" s="28"/>
      <c r="D13" s="28"/>
      <c r="E13" s="28" t="n">
        <f aca="false">SUM(E5:E12)</f>
        <v>729.22</v>
      </c>
      <c r="F13" s="28" t="n">
        <f aca="false">SUM(F5:F12)</f>
        <v>729.22</v>
      </c>
      <c r="G13" s="28" t="n">
        <f aca="false">SUM(G5:G12)</f>
        <v>0</v>
      </c>
      <c r="H13" s="28" t="n">
        <f aca="false">SUM(H5:H12)</f>
        <v>785.77</v>
      </c>
      <c r="I13" s="28" t="n">
        <f aca="false">SUM(I5:I12)</f>
        <v>589.3275</v>
      </c>
      <c r="J13" s="29" t="n">
        <f aca="false">IFERROR((G13+I13)/F13,0)</f>
        <v>0.80816146019034</v>
      </c>
    </row>
    <row r="15" customFormat="false" ht="15" hidden="false" customHeight="false" outlineLevel="0" collapsed="false">
      <c r="B15" s="0" t="s">
        <v>162</v>
      </c>
      <c r="C15" s="18" t="n">
        <f aca="false">MAX(I5:I12)</f>
        <v>161.415</v>
      </c>
    </row>
    <row r="16" customFormat="false" ht="15" hidden="false" customHeight="false" outlineLevel="0" collapsed="false">
      <c r="B16" s="0" t="s">
        <v>163</v>
      </c>
      <c r="C16" s="22" t="n">
        <f aca="false">IFERROR(C15/I13,0)</f>
        <v>0.273896941853214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8"/>
  </cols>
  <sheetData>
    <row r="2" customFormat="false" ht="27.75" hidden="false" customHeight="true" outlineLevel="0" collapsed="false">
      <c r="B2" s="1" t="s">
        <v>164</v>
      </c>
      <c r="C2" s="1"/>
    </row>
    <row r="4" customFormat="false" ht="15" hidden="false" customHeight="false" outlineLevel="0" collapsed="false">
      <c r="B4" s="15" t="s">
        <v>165</v>
      </c>
      <c r="C4" s="15" t="s">
        <v>166</v>
      </c>
    </row>
    <row r="5" customFormat="false" ht="15" hidden="false" customHeight="false" outlineLevel="0" collapsed="false">
      <c r="B5" s="0" t="s">
        <v>167</v>
      </c>
      <c r="C5" s="17" t="n">
        <v>2037.936</v>
      </c>
    </row>
    <row r="6" customFormat="false" ht="15" hidden="false" customHeight="false" outlineLevel="0" collapsed="false">
      <c r="B6" s="0" t="s">
        <v>168</v>
      </c>
      <c r="C6" s="17" t="n">
        <v>-170.61</v>
      </c>
    </row>
    <row r="7" customFormat="false" ht="15" hidden="false" customHeight="false" outlineLevel="0" collapsed="false">
      <c r="B7" s="0" t="s">
        <v>169</v>
      </c>
      <c r="C7" s="17" t="n">
        <v>49.281</v>
      </c>
    </row>
    <row r="8" customFormat="false" ht="15" hidden="false" customHeight="false" outlineLevel="0" collapsed="false">
      <c r="B8" s="0" t="s">
        <v>170</v>
      </c>
      <c r="C8" s="18" t="n">
        <f aca="false">Assumptions!$C$5*Assumptions!$C$6</f>
        <v>3.75</v>
      </c>
    </row>
    <row r="9" customFormat="false" ht="15" hidden="false" customHeight="false" outlineLevel="0" collapsed="false">
      <c r="B9" s="0" t="s">
        <v>171</v>
      </c>
      <c r="C9" s="18" t="n">
        <f aca="false">MAX(0,C7-C5*Assumptions!$C$8)*Assumptions!$C$7</f>
        <v>0</v>
      </c>
    </row>
    <row r="10" customFormat="false" ht="15" hidden="false" customHeight="false" outlineLevel="0" collapsed="false">
      <c r="B10" s="0" t="s">
        <v>172</v>
      </c>
      <c r="C10" s="17" t="n">
        <v>-569.686</v>
      </c>
    </row>
    <row r="11" customFormat="false" ht="15" hidden="false" customHeight="false" outlineLevel="0" collapsed="false">
      <c r="B11" s="0" t="s">
        <v>173</v>
      </c>
      <c r="C11" s="18" t="n">
        <f aca="false">C5+C6-C7-IF(ISBLANK(C14),C8,C14)-C9+C10</f>
        <v>1207.787</v>
      </c>
    </row>
    <row r="12" customFormat="false" ht="15" hidden="false" customHeight="false" outlineLevel="0" collapsed="false">
      <c r="B12" s="0" t="s">
        <v>174</v>
      </c>
      <c r="C12" s="17" t="n">
        <v>1207.786</v>
      </c>
    </row>
    <row r="13" customFormat="false" ht="15" hidden="false" customHeight="false" outlineLevel="0" collapsed="false">
      <c r="B13" s="0" t="s">
        <v>175</v>
      </c>
      <c r="C13" s="18" t="n">
        <f aca="false">C11-C12</f>
        <v>0.00099999999974898</v>
      </c>
    </row>
    <row r="14" customFormat="false" ht="15" hidden="false" customHeight="false" outlineLevel="0" collapsed="false">
      <c r="B14" s="0" t="s">
        <v>176</v>
      </c>
      <c r="C14" s="17" t="n">
        <v>40.572</v>
      </c>
    </row>
    <row r="15" customFormat="false" ht="15" hidden="false" customHeight="false" outlineLevel="0" collapsed="false">
      <c r="B15" s="0" t="s">
        <v>177</v>
      </c>
      <c r="C15" s="17" t="n">
        <v>2252.3</v>
      </c>
    </row>
    <row r="16" customFormat="false" ht="15" hidden="false" customHeight="false" outlineLevel="0" collapsed="false">
      <c r="B16" s="0" t="s">
        <v>178</v>
      </c>
      <c r="C16" s="17" t="n">
        <v>99.4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3" min="3" style="0" width="18"/>
  </cols>
  <sheetData>
    <row r="2" customFormat="false" ht="27.75" hidden="false" customHeight="true" outlineLevel="0" collapsed="false">
      <c r="B2" s="1" t="s">
        <v>179</v>
      </c>
      <c r="C2" s="1"/>
    </row>
    <row r="4" customFormat="false" ht="15" hidden="false" customHeight="false" outlineLevel="0" collapsed="false">
      <c r="B4" s="15" t="s">
        <v>180</v>
      </c>
      <c r="C4" s="15" t="s">
        <v>166</v>
      </c>
    </row>
    <row r="5" customFormat="false" ht="15" hidden="false" customHeight="false" outlineLevel="0" collapsed="false">
      <c r="B5" s="0" t="s">
        <v>181</v>
      </c>
      <c r="C5" s="26" t="n">
        <f aca="false">IFERROR('NAV Rollforward &amp; Fee Layering'!C16/'NAV Rollforward &amp; Fee Layering'!C15,0)</f>
        <v>0.044132664387515</v>
      </c>
    </row>
    <row r="6" customFormat="false" ht="15" hidden="false" customHeight="false" outlineLevel="0" collapsed="false">
      <c r="B6" s="0" t="s">
        <v>182</v>
      </c>
      <c r="C6" s="26" t="n">
        <f aca="false">IFERROR('NAV Rollforward &amp; Fee Layering'!C12/'NAV Rollforward &amp; Fee Layering'!C15,0)</f>
        <v>0.536245615592949</v>
      </c>
    </row>
    <row r="7" customFormat="false" ht="15" hidden="false" customHeight="false" outlineLevel="0" collapsed="false">
      <c r="B7" s="0" t="s">
        <v>183</v>
      </c>
      <c r="C7" s="26" t="n">
        <f aca="false">C5+C6</f>
        <v>0.580378279980464</v>
      </c>
    </row>
    <row r="8" customFormat="false" ht="15" hidden="false" customHeight="false" outlineLevel="0" collapsed="false">
      <c r="B8" s="0" t="s">
        <v>184</v>
      </c>
      <c r="C8" s="26" t="n">
        <f aca="false">'Underlying Fund Portfolio'!J13</f>
        <v>0.80816146019034</v>
      </c>
    </row>
    <row r="9" customFormat="false" ht="15" hidden="false" customHeight="false" outlineLevel="0" collapsed="false">
      <c r="B9" s="0" t="s">
        <v>185</v>
      </c>
      <c r="C9" s="26" t="n">
        <f aca="false">C8-C7</f>
        <v>0.227783180209876</v>
      </c>
    </row>
    <row r="10" customFormat="false" ht="15" hidden="false" customHeight="false" outlineLevel="0" collapsed="false">
      <c r="B10" s="0" t="s">
        <v>186</v>
      </c>
      <c r="C10" s="18" t="n">
        <f aca="false">C9*'NAV Rollforward &amp; Fee Layering'!C15</f>
        <v>513.036056786704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0"/>
    <col collapsed="false" customWidth="true" hidden="false" outlineLevel="0" max="3" min="3" style="0" width="18"/>
  </cols>
  <sheetData>
    <row r="2" customFormat="false" ht="27.75" hidden="false" customHeight="true" outlineLevel="0" collapsed="false">
      <c r="B2" s="1" t="s">
        <v>187</v>
      </c>
      <c r="C2" s="1"/>
    </row>
    <row r="4" customFormat="false" ht="15" hidden="false" customHeight="false" outlineLevel="0" collapsed="false">
      <c r="B4" s="15" t="s">
        <v>188</v>
      </c>
      <c r="C4" s="15" t="s">
        <v>43</v>
      </c>
    </row>
    <row r="5" customFormat="false" ht="15" hidden="false" customHeight="false" outlineLevel="0" collapsed="false">
      <c r="B5" s="0" t="s">
        <v>189</v>
      </c>
      <c r="C5" s="0" t="str">
        <f aca="false">IF(ABS('NAV Rollforward &amp; Fee Layering'!C13)&lt;0.01,"PASS","FAIL")</f>
        <v>PASS</v>
      </c>
    </row>
    <row r="6" customFormat="false" ht="15" hidden="false" customHeight="false" outlineLevel="0" collapsed="false">
      <c r="B6" s="0" t="s">
        <v>190</v>
      </c>
      <c r="C6" s="0" t="str">
        <f aca="false">IF(ABS('Performance &amp; Multiples'!C7-('Performance &amp; Multiples'!C5+'Performance &amp; Multiples'!C6))&lt;0.0001,"PASS","FAIL")</f>
        <v>PASS</v>
      </c>
    </row>
    <row r="7" customFormat="false" ht="15" hidden="false" customHeight="false" outlineLevel="0" collapsed="false">
      <c r="B7" s="0" t="s">
        <v>191</v>
      </c>
      <c r="C7" s="0" t="str">
        <f aca="false">IF('Performance &amp; Multiples'!C9&gt;=-0.0001,"PASS","FAIL")</f>
        <v>PASS</v>
      </c>
    </row>
    <row r="8" customFormat="false" ht="15" hidden="false" customHeight="false" outlineLevel="0" collapsed="false">
      <c r="B8" s="0" t="s">
        <v>192</v>
      </c>
      <c r="C8" s="0" t="str">
        <f aca="false">IF('Underlying Fund Portfolio'!C16&lt;=Assumptions!$E$11,"PASS","BREACH")</f>
        <v>BREACH</v>
      </c>
    </row>
    <row r="9" customFormat="false" ht="15" hidden="false" customHeight="false" outlineLevel="0" collapsed="false">
      <c r="B9" s="0" t="s">
        <v>193</v>
      </c>
      <c r="C9" s="0" t="str">
        <f aca="false">IF('Underlying Fund Portfolio'!F13&lt;='Underlying Fund Portfolio'!E13,"PASS","FAIL")</f>
        <v>PASS</v>
      </c>
    </row>
    <row r="10" customFormat="false" ht="15" hidden="false" customHeight="false" outlineLevel="0" collapsed="false">
      <c r="B10" s="0" t="s">
        <v>194</v>
      </c>
      <c r="C10" s="0" t="str">
        <f aca="false">IF('NAV Rollforward &amp; Fee Layering'!C15&lt;=Assumptions!$C$5,"PASS","FAIL")</f>
        <v>FAIL</v>
      </c>
    </row>
    <row r="11" customFormat="false" ht="15" hidden="false" customHeight="false" outlineLevel="0" collapsed="false">
      <c r="B11" s="0" t="s">
        <v>195</v>
      </c>
      <c r="C11" s="0" t="str">
        <f aca="false">IF(COUNTIF(C5:C10,"FAIL")+COUNTIF(C5:C10,"BREACH")&gt;0,"BREACH",IF(COUNTIF(C5:C10,"REVIEW")&gt;0,"REVIEW","PASS"))</f>
        <v>BREACH</v>
      </c>
    </row>
  </sheetData>
  <mergeCells count="1">
    <mergeCell ref="B2:C2"/>
  </mergeCells>
  <conditionalFormatting sqref="C5:C11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48"/>
  </cols>
  <sheetData>
    <row r="2" customFormat="false" ht="27.75" hidden="false" customHeight="true" outlineLevel="0" collapsed="false">
      <c r="B2" s="1" t="s">
        <v>196</v>
      </c>
      <c r="C2" s="1"/>
      <c r="D2" s="1"/>
      <c r="E2" s="1"/>
    </row>
    <row r="4" customFormat="false" ht="15" hidden="false" customHeight="false" outlineLevel="0" collapsed="false">
      <c r="B4" s="15" t="s">
        <v>197</v>
      </c>
      <c r="C4" s="15" t="s">
        <v>198</v>
      </c>
      <c r="D4" s="15" t="s">
        <v>109</v>
      </c>
      <c r="E4" s="15" t="s">
        <v>199</v>
      </c>
    </row>
    <row r="5" customFormat="false" ht="15" hidden="false" customHeight="false" outlineLevel="0" collapsed="false">
      <c r="B5" s="30" t="s">
        <v>200</v>
      </c>
      <c r="C5" s="30" t="s">
        <v>201</v>
      </c>
      <c r="D5" s="30" t="s">
        <v>202</v>
      </c>
      <c r="E5" s="30" t="s">
        <v>203</v>
      </c>
    </row>
    <row r="6" customFormat="false" ht="15" hidden="false" customHeight="false" outlineLevel="0" collapsed="false">
      <c r="B6" s="30" t="s">
        <v>115</v>
      </c>
      <c r="C6" s="30" t="s">
        <v>204</v>
      </c>
      <c r="D6" s="30" t="s">
        <v>202</v>
      </c>
      <c r="E6" s="30" t="s">
        <v>205</v>
      </c>
    </row>
    <row r="7" customFormat="false" ht="15" hidden="false" customHeight="false" outlineLevel="0" collapsed="false">
      <c r="B7" s="30" t="s">
        <v>206</v>
      </c>
      <c r="C7" s="30" t="s">
        <v>207</v>
      </c>
      <c r="D7" s="30" t="s">
        <v>208</v>
      </c>
      <c r="E7" s="30" t="s">
        <v>209</v>
      </c>
    </row>
    <row r="8" customFormat="false" ht="15" hidden="false" customHeight="false" outlineLevel="0" collapsed="false">
      <c r="B8" s="31" t="s">
        <v>210</v>
      </c>
      <c r="C8" s="31" t="s">
        <v>211</v>
      </c>
      <c r="D8" s="31" t="s">
        <v>6</v>
      </c>
      <c r="E8" s="31" t="s">
        <v>212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38"/>
    <col collapsed="false" customWidth="true" hidden="false" outlineLevel="0" max="6" min="6" style="0" width="34"/>
    <col collapsed="false" customWidth="true" hidden="false" outlineLevel="0" max="7" min="7" style="0" width="18"/>
  </cols>
  <sheetData>
    <row r="2" customFormat="false" ht="27.75" hidden="false" customHeight="true" outlineLevel="0" collapsed="false">
      <c r="B2" s="1" t="s">
        <v>213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5" t="s">
        <v>97</v>
      </c>
      <c r="C4" s="15" t="s">
        <v>214</v>
      </c>
      <c r="D4" s="15" t="s">
        <v>215</v>
      </c>
      <c r="E4" s="15" t="s">
        <v>216</v>
      </c>
      <c r="F4" s="15" t="s">
        <v>217</v>
      </c>
      <c r="G4" s="15" t="s">
        <v>218</v>
      </c>
    </row>
    <row r="5" customFormat="false" ht="15" hidden="false" customHeight="false" outlineLevel="0" collapsed="false">
      <c r="B5" s="32" t="s">
        <v>6</v>
      </c>
      <c r="C5" s="32" t="s">
        <v>219</v>
      </c>
      <c r="D5" s="32" t="s">
        <v>220</v>
      </c>
      <c r="E5" s="32" t="s">
        <v>221</v>
      </c>
      <c r="F5" s="32" t="s">
        <v>222</v>
      </c>
      <c r="G5" s="32" t="s">
        <v>223</v>
      </c>
    </row>
    <row r="6" customFormat="false" ht="15" hidden="false" customHeight="false" outlineLevel="0" collapsed="false">
      <c r="B6" s="32"/>
      <c r="C6" s="32"/>
      <c r="D6" s="32"/>
      <c r="E6" s="32"/>
      <c r="F6" s="32"/>
      <c r="G6" s="32"/>
    </row>
    <row r="7" customFormat="false" ht="15" hidden="false" customHeight="false" outlineLevel="0" collapsed="false">
      <c r="B7" s="32"/>
      <c r="C7" s="32"/>
      <c r="D7" s="32"/>
      <c r="E7" s="32"/>
      <c r="F7" s="32"/>
      <c r="G7" s="32"/>
    </row>
    <row r="8" customFormat="false" ht="15" hidden="false" customHeight="false" outlineLevel="0" collapsed="false">
      <c r="B8" s="32"/>
      <c r="C8" s="32"/>
      <c r="D8" s="32"/>
      <c r="E8" s="32"/>
      <c r="F8" s="32"/>
      <c r="G8" s="32"/>
    </row>
    <row r="9" customFormat="false" ht="15" hidden="false" customHeight="false" outlineLevel="0" collapsed="false">
      <c r="B9" s="32"/>
      <c r="C9" s="32"/>
      <c r="D9" s="32"/>
      <c r="E9" s="32"/>
      <c r="F9" s="32"/>
      <c r="G9" s="32"/>
    </row>
    <row r="10" customFormat="false" ht="15" hidden="false" customHeight="false" outlineLevel="0" collapsed="false">
      <c r="B10" s="32"/>
      <c r="C10" s="32"/>
      <c r="D10" s="32"/>
      <c r="E10" s="32"/>
      <c r="F10" s="32"/>
      <c r="G10" s="32"/>
    </row>
    <row r="11" customFormat="false" ht="15" hidden="false" customHeight="false" outlineLevel="0" collapsed="false">
      <c r="B11" s="32"/>
      <c r="C11" s="32"/>
      <c r="D11" s="32"/>
      <c r="E11" s="32"/>
      <c r="F11" s="32"/>
      <c r="G11" s="32"/>
    </row>
    <row r="12" customFormat="false" ht="15" hidden="false" customHeight="false" outlineLevel="0" collapsed="false">
      <c r="B12" s="32"/>
      <c r="C12" s="32"/>
      <c r="D12" s="32"/>
      <c r="E12" s="32"/>
      <c r="F12" s="32"/>
      <c r="G12" s="32"/>
    </row>
    <row r="13" customFormat="false" ht="15" hidden="false" customHeight="false" outlineLevel="0" collapsed="false">
      <c r="B13" s="32"/>
      <c r="C13" s="32"/>
      <c r="D13" s="32"/>
      <c r="E13" s="32"/>
      <c r="F13" s="32"/>
      <c r="G13" s="32"/>
    </row>
    <row r="14" customFormat="false" ht="15" hidden="false" customHeight="false" outlineLevel="0" collapsed="false">
      <c r="B14" s="32"/>
      <c r="C14" s="32"/>
      <c r="D14" s="32"/>
      <c r="E14" s="32"/>
      <c r="F14" s="32"/>
      <c r="G14" s="32"/>
    </row>
    <row r="15" customFormat="false" ht="15" hidden="false" customHeight="false" outlineLevel="0" collapsed="false">
      <c r="B15" s="32"/>
      <c r="C15" s="32"/>
      <c r="D15" s="32"/>
      <c r="E15" s="32"/>
      <c r="F15" s="32"/>
      <c r="G15" s="32"/>
    </row>
    <row r="16" customFormat="false" ht="15" hidden="false" customHeight="false" outlineLevel="0" collapsed="false">
      <c r="B16" s="32"/>
      <c r="C16" s="32"/>
      <c r="D16" s="32"/>
      <c r="E16" s="32"/>
      <c r="F16" s="32"/>
      <c r="G16" s="32"/>
    </row>
    <row r="17" customFormat="false" ht="15" hidden="false" customHeight="false" outlineLevel="0" collapsed="false">
      <c r="B17" s="32"/>
      <c r="C17" s="32"/>
      <c r="D17" s="32"/>
      <c r="E17" s="32"/>
      <c r="F17" s="32"/>
      <c r="G17" s="32"/>
    </row>
    <row r="18" customFormat="false" ht="15" hidden="false" customHeight="false" outlineLevel="0" collapsed="false">
      <c r="B18" s="32"/>
      <c r="C18" s="32"/>
      <c r="D18" s="32"/>
      <c r="E18" s="32"/>
      <c r="F18" s="32"/>
      <c r="G18" s="32"/>
    </row>
    <row r="19" customFormat="false" ht="15" hidden="false" customHeight="false" outlineLevel="0" collapsed="false">
      <c r="B19" s="32"/>
      <c r="C19" s="32"/>
      <c r="D19" s="32"/>
      <c r="E19" s="32"/>
      <c r="F19" s="32"/>
      <c r="G19" s="32"/>
    </row>
    <row r="20" customFormat="false" ht="15" hidden="false" customHeight="false" outlineLevel="0" collapsed="false">
      <c r="B20" s="32"/>
      <c r="C20" s="32"/>
      <c r="D20" s="32"/>
      <c r="E20" s="32"/>
      <c r="F20" s="32"/>
      <c r="G20" s="32"/>
    </row>
    <row r="21" customFormat="false" ht="15" hidden="false" customHeight="false" outlineLevel="0" collapsed="false">
      <c r="B21" s="32"/>
      <c r="C21" s="32"/>
      <c r="D21" s="32"/>
      <c r="E21" s="32"/>
      <c r="F21" s="32"/>
      <c r="G21" s="32"/>
    </row>
    <row r="22" customFormat="false" ht="15" hidden="false" customHeight="false" outlineLevel="0" collapsed="false">
      <c r="B22" s="32"/>
      <c r="C22" s="32"/>
      <c r="D22" s="32"/>
      <c r="E22" s="32"/>
      <c r="F22" s="32"/>
      <c r="G22" s="32"/>
    </row>
    <row r="23" customFormat="false" ht="15" hidden="false" customHeight="false" outlineLevel="0" collapsed="false">
      <c r="B23" s="32"/>
      <c r="C23" s="32"/>
      <c r="D23" s="32"/>
      <c r="E23" s="32"/>
      <c r="F23" s="32"/>
      <c r="G23" s="32"/>
    </row>
    <row r="24" customFormat="false" ht="15" hidden="false" customHeight="false" outlineLevel="0" collapsed="false">
      <c r="B24" s="32"/>
      <c r="C24" s="32"/>
      <c r="D24" s="32"/>
      <c r="E24" s="32"/>
      <c r="F24" s="32"/>
      <c r="G24" s="32"/>
    </row>
    <row r="25" customFormat="false" ht="15" hidden="false" customHeight="false" outlineLevel="0" collapsed="false">
      <c r="B25" s="32"/>
      <c r="C25" s="32"/>
      <c r="D25" s="32"/>
      <c r="E25" s="32"/>
      <c r="F25" s="32"/>
      <c r="G25" s="32"/>
    </row>
    <row r="26" customFormat="false" ht="15" hidden="false" customHeight="false" outlineLevel="0" collapsed="false">
      <c r="B26" s="32"/>
      <c r="C26" s="32"/>
      <c r="D26" s="32"/>
      <c r="E26" s="32"/>
      <c r="F26" s="32"/>
      <c r="G26" s="32"/>
    </row>
    <row r="27" customFormat="false" ht="15" hidden="false" customHeight="false" outlineLevel="0" collapsed="false">
      <c r="B27" s="32"/>
      <c r="C27" s="32"/>
      <c r="D27" s="32"/>
      <c r="E27" s="32"/>
      <c r="F27" s="32"/>
      <c r="G27" s="32"/>
    </row>
    <row r="28" customFormat="false" ht="15" hidden="false" customHeight="false" outlineLevel="0" collapsed="false">
      <c r="B28" s="32"/>
      <c r="C28" s="32"/>
      <c r="D28" s="32"/>
      <c r="E28" s="32"/>
      <c r="F28" s="32"/>
      <c r="G28" s="32"/>
    </row>
    <row r="29" customFormat="false" ht="15" hidden="false" customHeight="false" outlineLevel="0" collapsed="false">
      <c r="B29" s="32"/>
      <c r="C29" s="32"/>
      <c r="D29" s="32"/>
      <c r="E29" s="32"/>
      <c r="F29" s="32"/>
      <c r="G29" s="32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2026-08-18T00:04:27Z</dcterms:created>
  <dc:creator>openpyxl</dc:creator>
  <dc:description/>
  <dc:language>en-US</dc:language>
  <cp:lastModifiedBy/>
  <dcterms:modified xsi:type="dcterms:W3CDTF">2026-08-18T00:04:27Z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