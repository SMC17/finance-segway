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28" t="inlineStr">
        <is>
          <t>SkyBridge Multi-Adviser Hedge Fund Portfolios, LLC – Series G, CIK 0001181848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28" t="inlineStr">
        <is>
          <t>2023-03-31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28" t="inlineStr">
        <is>
          <t>Downside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NAV roll-forward reconciles to capital called, distributed and fees</t>
        </is>
      </c>
      <c r="H5" t="inlineStr">
        <is>
          <t>OPEN</t>
        </is>
      </c>
    </row>
    <row r="6">
      <c r="D6" t="inlineStr">
        <is>
          <t>TVPI equals DPI plus RVPI at both FoF and look-through level</t>
        </is>
      </c>
      <c r="H6" t="inlineStr">
        <is>
          <t>OPEN</t>
        </is>
      </c>
    </row>
    <row r="7">
      <c r="D7" t="inlineStr">
        <is>
          <t>no single underlying fund exceeds the concentration limit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9" t="n">
        <v>500</v>
      </c>
      <c r="D5" s="29" t="n">
        <v>2252.3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15" t="n">
        <v>8</v>
      </c>
      <c r="D9" s="30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28" t="inlineStr">
        <is>
          <t>Brevan Howard Digital Asset Multi-Strategy Fund, L.P. Class B</t>
        </is>
      </c>
      <c r="C5" s="30" t="n">
        <v>2022</v>
      </c>
      <c r="D5" s="28" t="inlineStr">
        <is>
          <t>Cryptocurrency and Digital Assets</t>
        </is>
      </c>
      <c r="E5" s="29" t="n">
        <v>165.61</v>
      </c>
      <c r="F5" s="29" t="n">
        <v>165.61</v>
      </c>
      <c r="G5" s="29" t="n">
        <v>0</v>
      </c>
      <c r="H5" s="29" t="n">
        <v>146.5</v>
      </c>
      <c r="I5" s="10">
        <f>H5*(1-Assumptions!$E$10)</f>
        <v/>
      </c>
      <c r="J5" s="17">
        <f>IFERROR((G5+I5)/F5,0)</f>
        <v/>
      </c>
    </row>
    <row r="6">
      <c r="B6" s="28" t="inlineStr">
        <is>
          <t>Point72 Capital International, Ltd.</t>
        </is>
      </c>
      <c r="C6" s="30" t="n">
        <v>2020</v>
      </c>
      <c r="D6" s="28" t="inlineStr">
        <is>
          <t>Relative Value</t>
        </is>
      </c>
      <c r="E6" s="29" t="n">
        <v>156.29</v>
      </c>
      <c r="F6" s="29" t="n">
        <v>156.29</v>
      </c>
      <c r="G6" s="29" t="n">
        <v>0</v>
      </c>
      <c r="H6" s="29" t="n">
        <v>215.22</v>
      </c>
      <c r="I6" s="10">
        <f>H6*(1-Assumptions!$E$10)</f>
        <v/>
      </c>
      <c r="J6" s="17">
        <f>IFERROR((G6+I6)/F6,0)</f>
        <v/>
      </c>
    </row>
    <row r="7">
      <c r="B7" s="28" t="inlineStr">
        <is>
          <t>NYDIG Institutional Bitcoin Fund LP</t>
        </is>
      </c>
      <c r="C7" s="30" t="n">
        <v>2020</v>
      </c>
      <c r="D7" s="28" t="inlineStr">
        <is>
          <t>Cryptocurrency and Digital Assets</t>
        </is>
      </c>
      <c r="E7" s="29" t="n">
        <v>120.7</v>
      </c>
      <c r="F7" s="29" t="n">
        <v>120.7</v>
      </c>
      <c r="G7" s="29" t="n">
        <v>0</v>
      </c>
      <c r="H7" s="29" t="n">
        <v>131.05</v>
      </c>
      <c r="I7" s="10">
        <f>H7*(1-Assumptions!$E$10)</f>
        <v/>
      </c>
      <c r="J7" s="17">
        <f>IFERROR((G7+I7)/F7,0)</f>
        <v/>
      </c>
    </row>
    <row r="8">
      <c r="B8" s="28" t="inlineStr">
        <is>
          <t>Third Point Offshore Fund, Ltd.</t>
        </is>
      </c>
      <c r="C8" s="30" t="n">
        <v>2020</v>
      </c>
      <c r="D8" s="28" t="inlineStr">
        <is>
          <t>Event Driven</t>
        </is>
      </c>
      <c r="E8" s="29" t="n">
        <v>96.40000000000001</v>
      </c>
      <c r="F8" s="29" t="n">
        <v>96.40000000000001</v>
      </c>
      <c r="G8" s="29" t="n">
        <v>0</v>
      </c>
      <c r="H8" s="29" t="n">
        <v>91.84</v>
      </c>
      <c r="I8" s="10">
        <f>H8*(1-Assumptions!$E$10)</f>
        <v/>
      </c>
      <c r="J8" s="17">
        <f>IFERROR((G8+I8)/F8,0)</f>
        <v/>
      </c>
    </row>
    <row r="9">
      <c r="B9" s="28" t="inlineStr">
        <is>
          <t>Millennium International, Ltd.</t>
        </is>
      </c>
      <c r="C9" s="30" t="n">
        <v>2015</v>
      </c>
      <c r="D9" s="28" t="inlineStr">
        <is>
          <t>Relative Value</t>
        </is>
      </c>
      <c r="E9" s="29" t="n">
        <v>62.71</v>
      </c>
      <c r="F9" s="29" t="n">
        <v>62.71</v>
      </c>
      <c r="G9" s="29" t="n">
        <v>0</v>
      </c>
      <c r="H9" s="29" t="n">
        <v>82.56</v>
      </c>
      <c r="I9" s="10">
        <f>H9*(1-Assumptions!$E$10)</f>
        <v/>
      </c>
      <c r="J9" s="17">
        <f>IFERROR((G9+I9)/F9,0)</f>
        <v/>
      </c>
    </row>
    <row r="10">
      <c r="B10" s="28" t="inlineStr">
        <is>
          <t>Axonic Credit Opportunities Overseas Fund, Ltd.</t>
        </is>
      </c>
      <c r="C10" s="30" t="n">
        <v>2011</v>
      </c>
      <c r="D10" s="28" t="inlineStr">
        <is>
          <t>Event Driven</t>
        </is>
      </c>
      <c r="E10" s="29" t="n">
        <v>46.29</v>
      </c>
      <c r="F10" s="29" t="n">
        <v>46.29</v>
      </c>
      <c r="G10" s="29" t="n">
        <v>0</v>
      </c>
      <c r="H10" s="29" t="n">
        <v>58.82</v>
      </c>
      <c r="I10" s="10">
        <f>H10*(1-Assumptions!$E$10)</f>
        <v/>
      </c>
      <c r="J10" s="17">
        <f>IFERROR((G10+I10)/F10,0)</f>
        <v/>
      </c>
    </row>
    <row r="11">
      <c r="B11" s="28" t="inlineStr">
        <is>
          <t>Axonic Credit Opportunities Fund L.P.</t>
        </is>
      </c>
      <c r="C11" s="30" t="n">
        <v>2011</v>
      </c>
      <c r="D11" s="28" t="inlineStr">
        <is>
          <t>Event Driven</t>
        </is>
      </c>
      <c r="E11" s="29" t="n">
        <v>44.01</v>
      </c>
      <c r="F11" s="29" t="n">
        <v>44.01</v>
      </c>
      <c r="G11" s="29" t="n">
        <v>0</v>
      </c>
      <c r="H11" s="29" t="n">
        <v>59.78</v>
      </c>
      <c r="I11" s="10">
        <f>H11*(1-Assumptions!$E$10)</f>
        <v/>
      </c>
      <c r="J11" s="17">
        <f>IFERROR((G11+I11)/F11,0)</f>
        <v/>
      </c>
    </row>
    <row r="12">
      <c r="B12" s="28" t="inlineStr">
        <is>
          <t>FTX Trading Ltd.</t>
        </is>
      </c>
      <c r="C12" s="30" t="n">
        <v>2021</v>
      </c>
      <c r="D12" s="28" t="inlineStr">
        <is>
          <t>Private Equity (direct, not a fund LP interest)</t>
        </is>
      </c>
      <c r="E12" s="29" t="n">
        <v>37.21</v>
      </c>
      <c r="F12" s="29" t="n">
        <v>37.21</v>
      </c>
      <c r="G12" s="29" t="n">
        <v>0</v>
      </c>
      <c r="H12" s="29" t="n">
        <v>0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29" t="n">
        <v>2037.936</v>
      </c>
    </row>
    <row r="6">
      <c r="B6" t="inlineStr">
        <is>
          <t>+ Capital called from LPs this period</t>
        </is>
      </c>
      <c r="C6" s="29" t="n">
        <v>-170.61</v>
      </c>
    </row>
    <row r="7">
      <c r="B7" t="inlineStr">
        <is>
          <t>- Distributions to LPs this period</t>
        </is>
      </c>
      <c r="C7" s="29" t="n">
        <v>49.281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29" t="n">
        <v>-569.686</v>
      </c>
    </row>
    <row r="11">
      <c r="B11" t="inlineStr">
        <is>
          <t>Computed ending-of-period FoF NAV</t>
        </is>
      </c>
      <c r="C11" s="10">
        <f>C5+C6-C7-IF(ISBLANK(C14),C8,C14)-C9+C10</f>
        <v/>
      </c>
    </row>
    <row r="12">
      <c r="B12" t="inlineStr">
        <is>
          <t>Reported ending-of-period FoF NAV</t>
        </is>
      </c>
      <c r="C12" s="29" t="n">
        <v>1207.786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4">
      <c r="B14" t="inlineStr">
        <is>
          <t>- Disclosed net investment loss (supersedes modelled fee when sourced)</t>
        </is>
      </c>
      <c r="C14" s="29" t="n">
        <v>40.572</v>
      </c>
    </row>
    <row r="15">
      <c r="B15" t="inlineStr">
        <is>
          <t>Total LP capital called to date</t>
        </is>
      </c>
      <c r="C15" s="29" t="n">
        <v>2252.3</v>
      </c>
    </row>
    <row r="16">
      <c r="B16" t="inlineStr">
        <is>
          <t>Total LP distributions to date</t>
        </is>
      </c>
      <c r="C16" s="29" t="n">
        <v>99.40000000000001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  <row r="8">
      <c r="B8" s="31" t="inlineStr">
        <is>
          <t>SkyBridge Multi-Adviser Hedge Fund Portfolios, LLC Consolidated Schedule of Investments and Statements of Changes in Shareholders' Capital (SEC Form N-CSR)</t>
        </is>
      </c>
      <c r="C8" s="31" t="inlineStr">
        <is>
          <t>https://www.sec.gov/Archives/edgar/data/1181848/000119312523158901/d465929dncsr.htm</t>
        </is>
      </c>
      <c r="D8" s="31" t="inlineStr">
        <is>
          <t>2023-03-31</t>
        </is>
      </c>
      <c r="E8" s="31" t="inlineStr">
        <is>
          <t>Filed 2023-06-01, accession 0001193125-23-158901, CIK 0001181848. Source of the underlying-fund look-through portfolio (real strategy and acquisition-date fields, unlike fof-public-hlpaf-2026), the FoF-level NAV roll-forward, and paid-in capital. The fund's own -30.29% disclosed one-year return and FTX Trading Ltd. total write-off (real cost $37.2mm, real fair value $0) are the source of this case's adversarial content.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2023-03-31</t>
        </is>
      </c>
      <c r="C5" s="22" t="inlineStr">
        <is>
          <t>Second public case for the Fund of Funds domain -- tools/verify_release_shape.py requires exactly two per M2+ model, and the conventional-only fof-public-hlpaf-2026 case alone was not sufficient</t>
        </is>
      </c>
      <c r="D5" s="22" t="inlineStr">
        <is>
          <t>repo://29_Fund_of_Funds/sources/snapshots/fof-public-skybridge-fy2023-stress.json</t>
        </is>
      </c>
      <c r="E5" s="22" t="inlineStr">
        <is>
          <t>Generated public case fof-public-skybridge-fy2023-stress from canonical release template</t>
        </is>
      </c>
      <c r="F5" s="22" t="inlineStr">
        <is>
          <t>External historical case; human stakeholder approval remains pending. Real, disclosed adversarial content (FTX Trading Ltd. written to real fair value $0; fund's own disclosed -30.29% one-year return). Position-level Commitment/Called/Distributed not disclosed -- Cost/first-acquisition-date substitute for Commitment/Called/vintage, labeled. This fund's real subscription-redemption mechanics (vs. this template's capital-call mechanics) have no redemptions line in the template -- expect a larger honest NAV-rollforward residual than fof-public-hlpaf-2026's fee-model mismatch alone.</t>
        </is>
      </c>
      <c r="G5" s="22" t="inlineStr">
        <is>
          <t>On source revision, builder change, monitoring breach, or quarterly review</t>
        </is>
      </c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2026-08-18T00:04:27Z</dcterms:created>
  <dcterms:modified xmlns:dcterms="http://purl.org/dc/terms/" xmlns:xsi="http://www.w3.org/2001/XMLSchema-instance" xsi:type="dcterms:W3CDTF">2026-08-18T00:04:27Z</dcterms:modified>
</cp:coreProperties>
</file>