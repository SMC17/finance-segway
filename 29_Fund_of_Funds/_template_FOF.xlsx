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Underlying Fund Portfolio" sheetId="6" state="visible" r:id="rId6"/>
    <sheet name="NAV Rollforward &amp; Fee Layering" sheetId="7" state="visible" r:id="rId7"/>
    <sheet name="Performance &amp; Multiples" sheetId="8" state="visible" r:id="rId8"/>
    <sheet name="Checks" sheetId="9" state="visible" r:id="rId9"/>
    <sheet name="Sources" sheetId="10" state="visible" r:id="rId10"/>
    <sheet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0%;[Red](0.00%);-"/>
    <numFmt numFmtId="166" formatCode="0.0%;[Red](0.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7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2" fillId="0" borderId="2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[FUND OF FUNDS] — Look-Through and Fee-Layering Model</t>
        </is>
      </c>
    </row>
    <row r="4">
      <c r="B4" s="2" t="inlineStr">
        <is>
          <t>FoF vehicle / vintage:</t>
        </is>
      </c>
      <c r="C4" s="3" t="inlineStr">
        <is>
          <t>[Name / vintage]</t>
        </is>
      </c>
    </row>
    <row r="5">
      <c r="B5" s="2" t="inlineStr">
        <is>
          <t>Reporting date: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LP report / valuation: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Quarterly, aligned to underlying-fund GP reporting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Fund of Funds — Institutional Decision Surface</t>
        </is>
      </c>
    </row>
    <row r="4">
      <c r="B4" s="24" t="inlineStr">
        <is>
          <t>Model ID</t>
        </is>
      </c>
      <c r="C4" s="25" t="inlineStr">
        <is>
          <t>29</t>
        </is>
      </c>
    </row>
    <row r="5">
      <c r="B5" s="24" t="inlineStr">
        <is>
          <t>Domain</t>
        </is>
      </c>
      <c r="C5" s="25" t="inlineStr">
        <is>
          <t>Fund of Funds</t>
        </is>
      </c>
    </row>
    <row r="6">
      <c r="B6" s="24" t="inlineStr">
        <is>
          <t>Declared maturity</t>
        </is>
      </c>
      <c r="C6" s="25" t="inlineStr">
        <is>
          <t>M1</t>
        </is>
      </c>
    </row>
    <row r="7">
      <c r="B7" s="24" t="inlineStr">
        <is>
          <t>Canonical builder</t>
        </is>
      </c>
      <c r="C7" s="25" t="inlineStr">
        <is>
          <t>tools/builders/build_fund_of_funds_institutional.py</t>
        </is>
      </c>
    </row>
    <row r="8">
      <c r="B8" s="24" t="inlineStr">
        <is>
          <t>Decision arena</t>
        </is>
      </c>
      <c r="C8" s="25" t="inlineStr">
        <is>
          <t>fund board, LP advisory committee, investment committee and portfolio management</t>
        </is>
      </c>
    </row>
    <row r="9">
      <c r="B9" s="24" t="inlineStr">
        <is>
          <t>Committee artifact</t>
        </is>
      </c>
      <c r="C9" s="25" t="inlineStr">
        <is>
          <t>quarterly LP reporting and portfolio review pack</t>
        </is>
      </c>
    </row>
    <row r="10">
      <c r="B10" s="24" t="inlineStr">
        <is>
          <t>Operating cadence</t>
        </is>
      </c>
      <c r="C10" s="25" t="inlineStr">
        <is>
          <t>quarterly LP reporting; semi-annual portfolio review; annual valuation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net asset value and TVPI/DPI/RVPI bridge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look-through fee drag between FoF and underlying-fund layers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vintage-year and manager concentration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FoF net TVPI to its LPs versus the underlying funds gross TVPI?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How much NAV sits in the single largest underlying-fund position?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uncalled capital remains and when is it likely to be drawn?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underlying-fund NAV markdown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capital call acceleration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distribution slowdown and extended hold periods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limited partnership agreement and fee letter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underlying fund capital account statements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underlying fund quarterly and annual reports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NAV roll-forward reconciles to capital called, distributed and fees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TVPI equals DPI plus RVPI at both FoF and look-through level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no single underlying fund exceeds the concentration limit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using underlying-fund gross TVPI as if it were net to the FoF LP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FoF-level fee-on-fee drag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treating a single vintage year as diversified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B5" t="inlineStr"/>
      <c r="C5" t="inlineStr"/>
      <c r="D5" t="inlineStr">
        <is>
          <t>NAV roll-forward reconciles to capital called, distributed and fees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TVPI equals DPI plus RVPI at both FoF and look-through level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no single underlying fund exceeds the concentration limit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underlying fund capital account statements</t>
        </is>
      </c>
      <c r="C5" t="inlineStr">
        <is>
          <t>quarterly</t>
        </is>
      </c>
      <c r="D5" t="inlineStr">
        <is>
          <t>general partner-reported NAV and cash flow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FoF administrator NAV package</t>
        </is>
      </c>
      <c r="C6" t="inlineStr">
        <is>
          <t>quarterly</t>
        </is>
      </c>
      <c r="D6" t="inlineStr">
        <is>
          <t>independent administrator verification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Fund-of-Funds Terms and Portfolio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Total LP commitments to FoF</t>
        </is>
      </c>
      <c r="C5" s="9" t="n">
        <v>500</v>
      </c>
      <c r="D5" s="9" t="n">
        <v>500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FoF management fee (% of commitments, p.a.)</t>
        </is>
      </c>
      <c r="C6" s="11" t="n">
        <v>0.0075</v>
      </c>
      <c r="D6" s="11" t="n">
        <v>0.0075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FoF carried interest (% of profit above hurdle)</t>
        </is>
      </c>
      <c r="C7" s="13" t="n">
        <v>0.05</v>
      </c>
      <c r="D7" s="13" t="n">
        <v>0.05</v>
      </c>
      <c r="E7" s="14">
        <f>IF(Cover!$C$9="Downside",D7,C7)</f>
        <v/>
      </c>
      <c r="F7" t="inlineStr">
        <is>
          <t>%</t>
        </is>
      </c>
    </row>
    <row r="8">
      <c r="B8" t="inlineStr">
        <is>
          <t>FoF preferred return / hurdle</t>
        </is>
      </c>
      <c r="C8" s="13" t="n">
        <v>0.08</v>
      </c>
      <c r="D8" s="13" t="n">
        <v>0.08</v>
      </c>
      <c r="E8" s="14">
        <f>IF(Cover!$C$9="Downside",D8,C8)</f>
        <v/>
      </c>
      <c r="F8" t="inlineStr">
        <is>
          <t>%</t>
        </is>
      </c>
    </row>
    <row r="9">
      <c r="B9" t="inlineStr">
        <is>
          <t>Number of underlying funds</t>
        </is>
      </c>
      <c r="C9" s="15" t="n">
        <v>8</v>
      </c>
      <c r="D9" s="15" t="n">
        <v>8</v>
      </c>
      <c r="E9" s="16">
        <f>IF(Cover!$C$9="Downside",D9,C9)</f>
        <v/>
      </c>
      <c r="F9" t="inlineStr">
        <is>
          <t>count</t>
        </is>
      </c>
    </row>
    <row r="10">
      <c r="B10" t="inlineStr">
        <is>
          <t>Underlying-fund NAV markdown (stress)</t>
        </is>
      </c>
      <c r="C10" s="13" t="n">
        <v>0</v>
      </c>
      <c r="D10" s="13" t="n">
        <v>0.25</v>
      </c>
      <c r="E10" s="14">
        <f>IF(Cover!$C$9="Downside",D10,C10)</f>
        <v/>
      </c>
      <c r="F10" t="inlineStr">
        <is>
          <t>%</t>
        </is>
      </c>
    </row>
    <row r="11">
      <c r="B11" t="inlineStr">
        <is>
          <t>Maximum single-fund concentration limit</t>
        </is>
      </c>
      <c r="C11" s="13" t="n">
        <v>0.2</v>
      </c>
      <c r="D11" s="13" t="n">
        <v>0.2</v>
      </c>
      <c r="E11" s="14">
        <f>IF(Cover!$C$9="Downside",D11,C11)</f>
        <v/>
      </c>
      <c r="F11" t="inlineStr">
        <is>
          <t>% of NAV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20" customWidth="1" min="10" max="10"/>
  </cols>
  <sheetData>
    <row r="2" ht="28" customHeight="1">
      <c r="B2" s="1" t="inlineStr">
        <is>
          <t>Underlying Fund Portfolio (Look-Through)</t>
        </is>
      </c>
    </row>
    <row r="4">
      <c r="B4" s="8" t="inlineStr">
        <is>
          <t>Underlying fund / GP</t>
        </is>
      </c>
      <c r="C4" s="8" t="inlineStr">
        <is>
          <t>Vintage year</t>
        </is>
      </c>
      <c r="D4" s="8" t="inlineStr">
        <is>
          <t>Strategy</t>
        </is>
      </c>
      <c r="E4" s="8" t="inlineStr">
        <is>
          <t>Commitment</t>
        </is>
      </c>
      <c r="F4" s="8" t="inlineStr">
        <is>
          <t>Called</t>
        </is>
      </c>
      <c r="G4" s="8" t="inlineStr">
        <is>
          <t>Distributed</t>
        </is>
      </c>
      <c r="H4" s="8" t="inlineStr">
        <is>
          <t>Reported NAV (Base)</t>
        </is>
      </c>
      <c r="I4" s="8" t="inlineStr">
        <is>
          <t>Active NAV</t>
        </is>
      </c>
      <c r="J4" s="8" t="inlineStr">
        <is>
          <t>Gross TVPI (look-through)</t>
        </is>
      </c>
    </row>
    <row r="5">
      <c r="B5" s="3" t="inlineStr">
        <is>
          <t>[Fund A]</t>
        </is>
      </c>
      <c r="C5" s="15" t="n">
        <v>2016</v>
      </c>
      <c r="D5" s="3" t="inlineStr">
        <is>
          <t>Buyout</t>
        </is>
      </c>
      <c r="E5" s="9" t="n">
        <v>60</v>
      </c>
      <c r="F5" s="9" t="n">
        <v>58</v>
      </c>
      <c r="G5" s="9" t="n">
        <v>71</v>
      </c>
      <c r="H5" s="9" t="n">
        <v>42</v>
      </c>
      <c r="I5" s="10">
        <f>H5*(1-Assumptions!$E$10)</f>
        <v/>
      </c>
      <c r="J5" s="17">
        <f>IFERROR((G5+I5)/F5,0)</f>
        <v/>
      </c>
    </row>
    <row r="6">
      <c r="B6" s="3" t="inlineStr">
        <is>
          <t>[Fund B]</t>
        </is>
      </c>
      <c r="C6" s="15" t="n">
        <v>2017</v>
      </c>
      <c r="D6" s="3" t="inlineStr">
        <is>
          <t>Buyout</t>
        </is>
      </c>
      <c r="E6" s="9" t="n">
        <v>55</v>
      </c>
      <c r="F6" s="9" t="n">
        <v>52</v>
      </c>
      <c r="G6" s="9" t="n">
        <v>48</v>
      </c>
      <c r="H6" s="9" t="n">
        <v>55</v>
      </c>
      <c r="I6" s="10">
        <f>H6*(1-Assumptions!$E$10)</f>
        <v/>
      </c>
      <c r="J6" s="17">
        <f>IFERROR((G6+I6)/F6,0)</f>
        <v/>
      </c>
    </row>
    <row r="7">
      <c r="B7" s="3" t="inlineStr">
        <is>
          <t>[Fund C]</t>
        </is>
      </c>
      <c r="C7" s="15" t="n">
        <v>2018</v>
      </c>
      <c r="D7" s="3" t="inlineStr">
        <is>
          <t>Growth equity</t>
        </is>
      </c>
      <c r="E7" s="9" t="n">
        <v>65</v>
      </c>
      <c r="F7" s="9" t="n">
        <v>58</v>
      </c>
      <c r="G7" s="9" t="n">
        <v>30</v>
      </c>
      <c r="H7" s="9" t="n">
        <v>78</v>
      </c>
      <c r="I7" s="10">
        <f>H7*(1-Assumptions!$E$10)</f>
        <v/>
      </c>
      <c r="J7" s="17">
        <f>IFERROR((G7+I7)/F7,0)</f>
        <v/>
      </c>
    </row>
    <row r="8">
      <c r="B8" s="3" t="inlineStr">
        <is>
          <t>[Fund D]</t>
        </is>
      </c>
      <c r="C8" s="15" t="n">
        <v>2019</v>
      </c>
      <c r="D8" s="3" t="inlineStr">
        <is>
          <t>Venture</t>
        </is>
      </c>
      <c r="E8" s="9" t="n">
        <v>45</v>
      </c>
      <c r="F8" s="9" t="n">
        <v>38</v>
      </c>
      <c r="G8" s="9" t="n">
        <v>12</v>
      </c>
      <c r="H8" s="9" t="n">
        <v>58</v>
      </c>
      <c r="I8" s="10">
        <f>H8*(1-Assumptions!$E$10)</f>
        <v/>
      </c>
      <c r="J8" s="17">
        <f>IFERROR((G8+I8)/F8,0)</f>
        <v/>
      </c>
    </row>
    <row r="9">
      <c r="B9" s="3" t="inlineStr">
        <is>
          <t>[Fund E]</t>
        </is>
      </c>
      <c r="C9" s="15" t="n">
        <v>2019</v>
      </c>
      <c r="D9" s="3" t="inlineStr">
        <is>
          <t>Buyout</t>
        </is>
      </c>
      <c r="E9" s="9" t="n">
        <v>70</v>
      </c>
      <c r="F9" s="9" t="n">
        <v>63</v>
      </c>
      <c r="G9" s="9" t="n">
        <v>25</v>
      </c>
      <c r="H9" s="9" t="n">
        <v>82</v>
      </c>
      <c r="I9" s="10">
        <f>H9*(1-Assumptions!$E$10)</f>
        <v/>
      </c>
      <c r="J9" s="17">
        <f>IFERROR((G9+I9)/F9,0)</f>
        <v/>
      </c>
    </row>
    <row r="10">
      <c r="B10" s="3" t="inlineStr">
        <is>
          <t>[Fund F]</t>
        </is>
      </c>
      <c r="C10" s="15" t="n">
        <v>2020</v>
      </c>
      <c r="D10" s="3" t="inlineStr">
        <is>
          <t>Secondaries</t>
        </is>
      </c>
      <c r="E10" s="9" t="n">
        <v>50</v>
      </c>
      <c r="F10" s="9" t="n">
        <v>44</v>
      </c>
      <c r="G10" s="9" t="n">
        <v>18</v>
      </c>
      <c r="H10" s="9" t="n">
        <v>56</v>
      </c>
      <c r="I10" s="10">
        <f>H10*(1-Assumptions!$E$10)</f>
        <v/>
      </c>
      <c r="J10" s="17">
        <f>IFERROR((G10+I10)/F10,0)</f>
        <v/>
      </c>
    </row>
    <row r="11">
      <c r="B11" s="3" t="inlineStr">
        <is>
          <t>[Fund G]</t>
        </is>
      </c>
      <c r="C11" s="15" t="n">
        <v>2021</v>
      </c>
      <c r="D11" s="3" t="inlineStr">
        <is>
          <t>Growth equity</t>
        </is>
      </c>
      <c r="E11" s="9" t="n">
        <v>60</v>
      </c>
      <c r="F11" s="9" t="n">
        <v>41</v>
      </c>
      <c r="G11" s="9" t="n">
        <v>4</v>
      </c>
      <c r="H11" s="9" t="n">
        <v>51</v>
      </c>
      <c r="I11" s="10">
        <f>H11*(1-Assumptions!$E$10)</f>
        <v/>
      </c>
      <c r="J11" s="17">
        <f>IFERROR((G11+I11)/F11,0)</f>
        <v/>
      </c>
    </row>
    <row r="12">
      <c r="B12" s="3" t="inlineStr">
        <is>
          <t>[Fund H]</t>
        </is>
      </c>
      <c r="C12" s="15" t="n">
        <v>2022</v>
      </c>
      <c r="D12" s="3" t="inlineStr">
        <is>
          <t>Buyout</t>
        </is>
      </c>
      <c r="E12" s="9" t="n">
        <v>65</v>
      </c>
      <c r="F12" s="9" t="n">
        <v>32</v>
      </c>
      <c r="G12" s="9" t="n">
        <v>0.5</v>
      </c>
      <c r="H12" s="9" t="n">
        <v>36</v>
      </c>
      <c r="I12" s="10">
        <f>H12*(1-Assumptions!$E$10)</f>
        <v/>
      </c>
      <c r="J12" s="17">
        <f>IFERROR((G12+I12)/F12,0)</f>
        <v/>
      </c>
    </row>
    <row r="13">
      <c r="B13" s="18" t="inlineStr">
        <is>
          <t>Total / look-through weighted</t>
        </is>
      </c>
      <c r="C13" s="19" t="n"/>
      <c r="D13" s="19" t="n"/>
      <c r="E13" s="19">
        <f>SUM(E5:E12)</f>
        <v/>
      </c>
      <c r="F13" s="19">
        <f>SUM(F5:F12)</f>
        <v/>
      </c>
      <c r="G13" s="19">
        <f>SUM(G5:G12)</f>
        <v/>
      </c>
      <c r="H13" s="19">
        <f>SUM(H5:H12)</f>
        <v/>
      </c>
      <c r="I13" s="19">
        <f>SUM(I5:I12)</f>
        <v/>
      </c>
      <c r="J13" s="20">
        <f>IFERROR((G13+I13)/F13,0)</f>
        <v/>
      </c>
    </row>
    <row r="15">
      <c r="B15" t="inlineStr">
        <is>
          <t>Largest single-fund Active NAV</t>
        </is>
      </c>
      <c r="C15" s="10">
        <f>MAX(I5:I12)</f>
        <v/>
      </c>
    </row>
    <row r="16">
      <c r="B16" t="inlineStr">
        <is>
          <t>Largest single-fund concentration</t>
        </is>
      </c>
      <c r="C16" s="14">
        <f>IFERROR(C15/I13,0)</f>
        <v/>
      </c>
    </row>
  </sheetData>
  <mergeCells count="1"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FoF-Level NAV Roll-Forward and Fee Layering</t>
        </is>
      </c>
    </row>
    <row r="4">
      <c r="B4" s="8" t="inlineStr">
        <is>
          <t>Line item</t>
        </is>
      </c>
      <c r="C4" s="8" t="inlineStr">
        <is>
          <t>Value</t>
        </is>
      </c>
    </row>
    <row r="5">
      <c r="B5" t="inlineStr">
        <is>
          <t>Beginning-of-period FoF NAV</t>
        </is>
      </c>
      <c r="C5" s="9" t="n">
        <v>380</v>
      </c>
    </row>
    <row r="6">
      <c r="B6" t="inlineStr">
        <is>
          <t>+ Capital called from LPs this period</t>
        </is>
      </c>
      <c r="C6" s="9" t="n">
        <v>45</v>
      </c>
    </row>
    <row r="7">
      <c r="B7" t="inlineStr">
        <is>
          <t>- Distributions to LPs this period</t>
        </is>
      </c>
      <c r="C7" s="9" t="n">
        <v>38</v>
      </c>
    </row>
    <row r="8">
      <c r="B8" t="inlineStr">
        <is>
          <t>- FoF management fee this period</t>
        </is>
      </c>
      <c r="C8" s="10">
        <f>Assumptions!$C$5*Assumptions!$C$6</f>
        <v/>
      </c>
    </row>
    <row r="9">
      <c r="B9" t="inlineStr">
        <is>
          <t>- FoF carried interest this period</t>
        </is>
      </c>
      <c r="C9" s="10">
        <f>MAX(0,C7-C5*Assumptions!$C$8)*Assumptions!$C$7</f>
        <v/>
      </c>
    </row>
    <row r="10">
      <c r="B10" t="inlineStr">
        <is>
          <t>+/- Net realized/unrealized gain (underlying funds)</t>
        </is>
      </c>
      <c r="C10" s="9" t="n">
        <v>28.13</v>
      </c>
    </row>
    <row r="11">
      <c r="B11" t="inlineStr">
        <is>
          <t>Computed ending-of-period FoF NAV</t>
        </is>
      </c>
      <c r="C11" s="10">
        <f>C5+C6-C7-C8-C9+C10</f>
        <v/>
      </c>
    </row>
    <row r="12">
      <c r="B12" t="inlineStr">
        <is>
          <t>Reported ending-of-period FoF NAV</t>
        </is>
      </c>
      <c r="C12" s="9" t="n">
        <v>411</v>
      </c>
    </row>
    <row r="13">
      <c r="B13" t="inlineStr">
        <is>
          <t>Reconciliation residual (computed vs. reported ending NAV)</t>
        </is>
      </c>
      <c r="C13" s="10">
        <f>C11-C12</f>
        <v/>
      </c>
    </row>
    <row r="15">
      <c r="B15" t="inlineStr">
        <is>
          <t>Total LP capital called to date</t>
        </is>
      </c>
      <c r="C15" s="9" t="n">
        <v>400</v>
      </c>
    </row>
    <row r="16">
      <c r="B16" t="inlineStr">
        <is>
          <t>Total LP distributions to date</t>
        </is>
      </c>
      <c r="C16" s="9" t="n">
        <v>165</v>
      </c>
    </row>
  </sheetData>
  <mergeCells count="1"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18" customWidth="1" min="3" max="3"/>
  </cols>
  <sheetData>
    <row r="2" ht="28" customHeight="1">
      <c r="B2" s="1" t="inlineStr">
        <is>
          <t>FoF Net Multiples, Look-Through Gross Multiples, and Fee Drag</t>
        </is>
      </c>
    </row>
    <row r="4">
      <c r="B4" s="8" t="inlineStr">
        <is>
          <t>Metric</t>
        </is>
      </c>
      <c r="C4" s="8" t="inlineStr">
        <is>
          <t>Value</t>
        </is>
      </c>
    </row>
    <row r="5">
      <c r="B5" t="inlineStr">
        <is>
          <t>FoF net DPI (distributions / paid-in, to LP)</t>
        </is>
      </c>
      <c r="C5" s="17">
        <f>IFERROR('NAV Rollforward &amp; Fee Layering'!C16/'NAV Rollforward &amp; Fee Layering'!C15,0)</f>
        <v/>
      </c>
    </row>
    <row r="6">
      <c r="B6" t="inlineStr">
        <is>
          <t>FoF net RVPI (residual value / paid-in, to LP)</t>
        </is>
      </c>
      <c r="C6" s="17">
        <f>IFERROR('NAV Rollforward &amp; Fee Layering'!C12/'NAV Rollforward &amp; Fee Layering'!C15,0)</f>
        <v/>
      </c>
    </row>
    <row r="7">
      <c r="B7" t="inlineStr">
        <is>
          <t>FoF net TVPI (to LP)</t>
        </is>
      </c>
      <c r="C7" s="17">
        <f>C5+C6</f>
        <v/>
      </c>
    </row>
    <row r="8">
      <c r="B8" t="inlineStr">
        <is>
          <t>Look-through gross TVPI (weighted, underlying funds)</t>
        </is>
      </c>
      <c r="C8" s="17">
        <f>'Underlying Fund Portfolio'!J13</f>
        <v/>
      </c>
    </row>
    <row r="9">
      <c r="B9" t="inlineStr">
        <is>
          <t>Fee-layering drag (gross TVPI - FoF net TVPI)</t>
        </is>
      </c>
      <c r="C9" s="17">
        <f>C8-C7</f>
        <v/>
      </c>
    </row>
    <row r="10">
      <c r="B10" t="inlineStr">
        <is>
          <t>Fee-layering drag, $ of paid-in capital</t>
        </is>
      </c>
      <c r="C10" s="10">
        <f>C9*'NAV Rollforward &amp; Fee Layering'!C15</f>
        <v/>
      </c>
    </row>
  </sheetData>
  <mergeCells count="1">
    <mergeCell ref="B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0" customWidth="1" min="2" max="2"/>
    <col width="18" customWidth="1" min="3" max="3"/>
  </cols>
  <sheetData>
    <row r="2" ht="28" customHeight="1">
      <c r="B2" s="1" t="inlineStr">
        <is>
          <t>Fund-of-Funds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NAV roll-forward reconciles</t>
        </is>
      </c>
      <c r="C5">
        <f>IF(ABS('NAV Rollforward &amp; Fee Layering'!C13)&lt;0.01,"PASS","FAIL")</f>
        <v/>
      </c>
    </row>
    <row r="6">
      <c r="B6" t="inlineStr">
        <is>
          <t>TVPI equals DPI plus RVPI</t>
        </is>
      </c>
      <c r="C6">
        <f>IF(ABS('Performance &amp; Multiples'!C7-('Performance &amp; Multiples'!C5+'Performance &amp; Multiples'!C6))&lt;0.0001,"PASS","FAIL")</f>
        <v/>
      </c>
    </row>
    <row r="7">
      <c r="B7" t="inlineStr">
        <is>
          <t>Fee-layering drag is nonnegative</t>
        </is>
      </c>
      <c r="C7">
        <f>IF('Performance &amp; Multiples'!C9&gt;=-0.0001,"PASS","FAIL")</f>
        <v/>
      </c>
    </row>
    <row r="8">
      <c r="B8" t="inlineStr">
        <is>
          <t>Single-fund concentration within limit</t>
        </is>
      </c>
      <c r="C8">
        <f>IF('Underlying Fund Portfolio'!C16&lt;=Assumptions!$E$11,"PASS","BREACH")</f>
        <v/>
      </c>
    </row>
    <row r="9">
      <c r="B9" t="inlineStr">
        <is>
          <t>Portfolio called capital does not exceed commitments</t>
        </is>
      </c>
      <c r="C9">
        <f>IF('Underlying Fund Portfolio'!F13&lt;='Underlying Fund Portfolio'!E13,"PASS","FAIL")</f>
        <v/>
      </c>
    </row>
    <row r="10">
      <c r="B10" t="inlineStr">
        <is>
          <t>FoF-level called capital does not exceed total commitments</t>
        </is>
      </c>
      <c r="C10">
        <f>IF('NAV Rollforward &amp; Fee Layering'!C15&lt;=Assumptions!$C$5,"PASS","FAIL")</f>
        <v/>
      </c>
    </row>
    <row r="11">
      <c r="B11" t="inlineStr">
        <is>
          <t>Overall</t>
        </is>
      </c>
      <c r="C11">
        <f>IF(COUNTIF(C5:C10,"FAIL")+COUNTIF(C5:C10,"BREACH")&gt;0,"BREACH",IF(COUNTIF(C5:C10,"REVIEW")&gt;0,"REVIEW","PASS"))</f>
        <v/>
      </c>
    </row>
  </sheetData>
  <mergeCells count="1">
    <mergeCell ref="B2:C2"/>
  </mergeCells>
  <conditionalFormatting sqref="C5:C11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1" t="inlineStr">
        <is>
          <t>Underlying fund capital account statements</t>
        </is>
      </c>
      <c r="C5" s="21" t="inlineStr">
        <is>
          <t>[GP quarterly/annual capital account statement]</t>
        </is>
      </c>
      <c r="D5" s="21" t="inlineStr">
        <is>
          <t>[period end]</t>
        </is>
      </c>
      <c r="E5" s="21" t="inlineStr">
        <is>
          <t>Commitment, called, distributed, reported NAV per underlying fund</t>
        </is>
      </c>
    </row>
    <row r="6">
      <c r="B6" s="21" t="inlineStr">
        <is>
          <t>FoF administrator NAV package</t>
        </is>
      </c>
      <c r="C6" s="21" t="inlineStr">
        <is>
          <t>[fund administrator report]</t>
        </is>
      </c>
      <c r="D6" s="21" t="inlineStr">
        <is>
          <t>[period end]</t>
        </is>
      </c>
      <c r="E6" s="21" t="inlineStr">
        <is>
          <t>FoF-level beginning/ending NAV, capital called and distributed to LPs</t>
        </is>
      </c>
    </row>
    <row r="7">
      <c r="B7" s="21" t="inlineStr">
        <is>
          <t>Fee letter / limited partnership agreement</t>
        </is>
      </c>
      <c r="C7" s="21" t="inlineStr">
        <is>
          <t>[LPA / side letter]</t>
        </is>
      </c>
      <c r="D7" s="21" t="inlineStr">
        <is>
          <t>[effective date]</t>
        </is>
      </c>
      <c r="E7" s="21" t="inlineStr">
        <is>
          <t>FoF management fee rate, carried interest rate, hurdle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2" t="n"/>
      <c r="C5" s="22" t="n"/>
      <c r="D5" s="22" t="n"/>
      <c r="E5" s="22" t="n"/>
      <c r="F5" s="22" t="n"/>
      <c r="G5" s="22" t="n"/>
    </row>
    <row r="6">
      <c r="B6" s="22" t="n"/>
      <c r="C6" s="22" t="n"/>
      <c r="D6" s="22" t="n"/>
      <c r="E6" s="22" t="n"/>
      <c r="F6" s="22" t="n"/>
      <c r="G6" s="22" t="n"/>
    </row>
    <row r="7">
      <c r="B7" s="22" t="n"/>
      <c r="C7" s="22" t="n"/>
      <c r="D7" s="22" t="n"/>
      <c r="E7" s="22" t="n"/>
      <c r="F7" s="22" t="n"/>
      <c r="G7" s="22" t="n"/>
    </row>
    <row r="8">
      <c r="B8" s="22" t="n"/>
      <c r="C8" s="22" t="n"/>
      <c r="D8" s="22" t="n"/>
      <c r="E8" s="22" t="n"/>
      <c r="F8" s="22" t="n"/>
      <c r="G8" s="22" t="n"/>
    </row>
    <row r="9">
      <c r="B9" s="22" t="n"/>
      <c r="C9" s="22" t="n"/>
      <c r="D9" s="22" t="n"/>
      <c r="E9" s="22" t="n"/>
      <c r="F9" s="22" t="n"/>
      <c r="G9" s="22" t="n"/>
    </row>
    <row r="10">
      <c r="B10" s="22" t="n"/>
      <c r="C10" s="22" t="n"/>
      <c r="D10" s="22" t="n"/>
      <c r="E10" s="22" t="n"/>
      <c r="F10" s="22" t="n"/>
      <c r="G10" s="22" t="n"/>
    </row>
    <row r="11">
      <c r="B11" s="22" t="n"/>
      <c r="C11" s="22" t="n"/>
      <c r="D11" s="22" t="n"/>
      <c r="E11" s="22" t="n"/>
      <c r="F11" s="22" t="n"/>
      <c r="G11" s="22" t="n"/>
    </row>
    <row r="12">
      <c r="B12" s="22" t="n"/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18">
      <c r="B18" s="22" t="n"/>
      <c r="C18" s="22" t="n"/>
      <c r="D18" s="22" t="n"/>
      <c r="E18" s="22" t="n"/>
      <c r="F18" s="22" t="n"/>
      <c r="G18" s="22" t="n"/>
    </row>
    <row r="19">
      <c r="B19" s="22" t="n"/>
      <c r="C19" s="22" t="n"/>
      <c r="D19" s="22" t="n"/>
      <c r="E19" s="22" t="n"/>
      <c r="F19" s="22" t="n"/>
      <c r="G19" s="22" t="n"/>
    </row>
    <row r="20">
      <c r="B20" s="22" t="n"/>
      <c r="C20" s="22" t="n"/>
      <c r="D20" s="22" t="n"/>
      <c r="E20" s="22" t="n"/>
      <c r="F20" s="22" t="n"/>
      <c r="G20" s="22" t="n"/>
    </row>
    <row r="21">
      <c r="B21" s="22" t="n"/>
      <c r="C21" s="22" t="n"/>
      <c r="D21" s="22" t="n"/>
      <c r="E21" s="22" t="n"/>
      <c r="F21" s="22" t="n"/>
      <c r="G21" s="22" t="n"/>
    </row>
    <row r="22">
      <c r="B22" s="22" t="n"/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28">
      <c r="B28" s="22" t="n"/>
      <c r="C28" s="22" t="n"/>
      <c r="D28" s="22" t="n"/>
      <c r="E28" s="22" t="n"/>
      <c r="F28" s="22" t="n"/>
      <c r="G28" s="22" t="n"/>
    </row>
    <row r="29">
      <c r="B29" s="22" t="n"/>
      <c r="C29" s="22" t="n"/>
      <c r="D29" s="22" t="n"/>
      <c r="E29" s="22" t="n"/>
      <c r="F29" s="22" t="n"/>
      <c r="G29" s="22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2026-08-05T18:17:03Z</dcterms:created>
  <dcterms:modified xsi:type="dcterms:W3CDTF">2026-08-05T18:17:04Z</dcterms:modified>
</cp:coreProperties>
</file>