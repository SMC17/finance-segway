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itutional Surface" sheetId="2" state="visible" r:id="rId2"/>
    <sheet xmlns:r="http://schemas.openxmlformats.org/officeDocument/2006/relationships" name="Challenge Log" sheetId="3" state="visible" r:id="rId3"/>
    <sheet xmlns:r="http://schemas.openxmlformats.org/officeDocument/2006/relationships" name="Lineage Map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Underlying Fund Portfolio" sheetId="6" state="visible" r:id="rId6"/>
    <sheet xmlns:r="http://schemas.openxmlformats.org/officeDocument/2006/relationships" name="NAV Rollforward &amp; Fee Layering" sheetId="7" state="visible" r:id="rId7"/>
    <sheet xmlns:r="http://schemas.openxmlformats.org/officeDocument/2006/relationships" name="Performance &amp; Multiples" sheetId="8" state="visible" r:id="rId8"/>
    <sheet xmlns:r="http://schemas.openxmlformats.org/officeDocument/2006/relationships" name="Checks" sheetId="9" state="visible" r:id="rId9"/>
    <sheet xmlns:r="http://schemas.openxmlformats.org/officeDocument/2006/relationships" name="Sources" sheetId="10" state="visible" r:id="rId10"/>
    <sheet xmlns:r="http://schemas.openxmlformats.org/officeDocument/2006/relationships" name="RefreshLog" sheetId="11" state="visible" r:id="rId11"/>
  </sheets>
  <definedNames>
    <definedName name="FS_MODEL_ID">'Institutional Surface'!$C$4</definedName>
    <definedName name="FS_DOMAIN">'Institutional Surface'!$C$5</definedName>
    <definedName name="FS_MATURITY">'Institutional Surface'!$C$6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$#,##0.0;[Red]($#,##0.0);-"/>
    <numFmt numFmtId="165" formatCode="0.00%;[Red](0.00%);-"/>
    <numFmt numFmtId="166" formatCode="0.0%;[Red](0.0%);-"/>
    <numFmt numFmtId="167" formatCode="0.0x;[Red](0.0x);-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11827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111827"/>
      <sz val="10"/>
    </font>
    <font>
      <name val="Arial"/>
      <b val="1"/>
      <color rgb="000000FF"/>
      <sz val="10"/>
    </font>
    <font>
      <name val="Arial"/>
      <b val="1"/>
      <color rgb="00008000"/>
      <sz val="10"/>
    </font>
    <font>
      <b val="1"/>
      <color rgb="00FFFFFF"/>
      <sz val="15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17365D"/>
      </patternFill>
    </fill>
    <fill>
      <patternFill patternType="solid">
        <fgColor rgb="00D9EAF7"/>
      </patternFill>
    </fill>
  </fills>
  <borders count="4">
    <border>
      <left/>
      <right/>
      <top/>
      <bottom/>
      <diagonal/>
    </border>
    <border>
      <bottom style="thin">
        <color rgb="00BFBFBF"/>
      </bottom>
    </border>
    <border>
      <top style="thin">
        <color rgb="00111827"/>
      </top>
    </border>
    <border>
      <bottom style="thin">
        <color rgb="00B7B7B7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pivotButton="0" quotePrefix="0" xfId="0"/>
    <xf numFmtId="0" fontId="4" fillId="2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3" fillId="3" borderId="1" pivotButton="0" quotePrefix="0" xfId="0"/>
    <xf numFmtId="164" fontId="0" fillId="0" borderId="0" pivotButton="0" quotePrefix="0" xfId="0"/>
    <xf numFmtId="165" fontId="3" fillId="3" borderId="1" pivotButton="0" quotePrefix="0" xfId="0"/>
    <xf numFmtId="165" fontId="0" fillId="0" borderId="0" pivotButton="0" quotePrefix="0" xfId="0"/>
    <xf numFmtId="166" fontId="3" fillId="3" borderId="1" pivotButton="0" quotePrefix="0" xfId="0"/>
    <xf numFmtId="166" fontId="0" fillId="0" borderId="0" pivotButton="0" quotePrefix="0" xfId="0"/>
    <xf numFmtId="1" fontId="3" fillId="3" borderId="1" pivotButton="0" quotePrefix="0" xfId="0"/>
    <xf numFmtId="1" fontId="0" fillId="0" borderId="0" pivotButton="0" quotePrefix="0" xfId="0"/>
    <xf numFmtId="167" fontId="0" fillId="0" borderId="0" pivotButton="0" quotePrefix="0" xfId="0"/>
    <xf numFmtId="0" fontId="2" fillId="0" borderId="2" pivotButton="0" quotePrefix="0" xfId="0"/>
    <xf numFmtId="164" fontId="2" fillId="0" borderId="2" pivotButton="0" quotePrefix="0" xfId="0"/>
    <xf numFmtId="167" fontId="2" fillId="0" borderId="2" pivotButton="0" quotePrefix="0" xfId="0"/>
    <xf numFmtId="0" fontId="3" fillId="0" borderId="1" pivotButton="0" quotePrefix="0" xfId="0"/>
    <xf numFmtId="0" fontId="0" fillId="0" borderId="1" pivotButton="0" quotePrefix="0" xfId="0"/>
    <xf numFmtId="0" fontId="8" fillId="4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10" fillId="4" borderId="0" pivotButton="0" quotePrefix="0" xfId="0"/>
    <xf numFmtId="0" fontId="9" fillId="5" borderId="3" applyAlignment="1" pivotButton="0" quotePrefix="0" xfId="0">
      <alignment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46" customWidth="1" min="3" max="3"/>
    <col width="12" customWidth="1" min="4" max="4"/>
    <col width="12" customWidth="1" min="5" max="5"/>
    <col width="12" customWidth="1" min="6" max="6"/>
  </cols>
  <sheetData>
    <row r="2" ht="28" customHeight="1">
      <c r="B2" s="1" t="inlineStr">
        <is>
          <t>[FUND OF FUNDS] — Look-Through and Fee-Layering Model</t>
        </is>
      </c>
    </row>
    <row r="4">
      <c r="B4" s="2" t="inlineStr">
        <is>
          <t>FoF vehicle / vintage:</t>
        </is>
      </c>
      <c r="C4" s="3" t="inlineStr">
        <is>
          <t>[Name / vintage]</t>
        </is>
      </c>
    </row>
    <row r="5">
      <c r="B5" s="2" t="inlineStr">
        <is>
          <t>Reporting date:</t>
        </is>
      </c>
      <c r="C5" s="3" t="inlineStr">
        <is>
          <t>[date]</t>
        </is>
      </c>
    </row>
    <row r="6">
      <c r="B6" s="2" t="inlineStr">
        <is>
          <t>Last refreshed:</t>
        </is>
      </c>
      <c r="C6" s="3" t="inlineStr">
        <is>
          <t>[date]</t>
        </is>
      </c>
    </row>
    <row r="7">
      <c r="B7" s="2" t="inlineStr">
        <is>
          <t>Next LP report / valuation:</t>
        </is>
      </c>
      <c r="C7" s="3" t="inlineStr">
        <is>
          <t>[date]</t>
        </is>
      </c>
    </row>
    <row r="8">
      <c r="B8" s="2" t="inlineStr">
        <is>
          <t>Refresh cadence:</t>
        </is>
      </c>
      <c r="C8" s="3" t="inlineStr">
        <is>
          <t>Quarterly, aligned to underlying-fund GP reporting</t>
        </is>
      </c>
    </row>
    <row r="9">
      <c r="B9" s="2" t="inlineStr">
        <is>
          <t>Active scenario:</t>
        </is>
      </c>
      <c r="C9" s="3" t="inlineStr">
        <is>
          <t>Base</t>
        </is>
      </c>
    </row>
    <row r="10">
      <c r="B10" s="2" t="inlineStr">
        <is>
          <t>Units:</t>
        </is>
      </c>
      <c r="C10" s="3" t="inlineStr">
        <is>
          <t>$ in millions unless noted</t>
        </is>
      </c>
    </row>
    <row r="13">
      <c r="B13" s="4" t="inlineStr">
        <is>
          <t>Modeling conventions</t>
        </is>
      </c>
    </row>
    <row r="14">
      <c r="B14" s="5" t="inlineStr">
        <is>
          <t>Blue text / yellow fill</t>
        </is>
      </c>
      <c r="C14" s="6" t="inlineStr">
        <is>
          <t>Hardcoded input or selected scenario</t>
        </is>
      </c>
    </row>
    <row r="15">
      <c r="B15" s="2" t="inlineStr">
        <is>
          <t>Black text</t>
        </is>
      </c>
      <c r="C15" s="6" t="inlineStr">
        <is>
          <t>Formula / same-sheet calculation</t>
        </is>
      </c>
    </row>
    <row r="16">
      <c r="B16" s="7" t="inlineStr">
        <is>
          <t>Green text</t>
        </is>
      </c>
      <c r="C16" s="6" t="inlineStr">
        <is>
          <t>Cross-sheet formula / link</t>
        </is>
      </c>
    </row>
    <row r="17">
      <c r="B17" s="2" t="inlineStr">
        <is>
          <t>Checks</t>
        </is>
      </c>
      <c r="C17" s="6" t="inlineStr">
        <is>
          <t>PASS / REVIEW / FAIL must remain visible</t>
        </is>
      </c>
    </row>
  </sheetData>
  <mergeCells count="2">
    <mergeCell ref="B2:F2"/>
    <mergeCell ref="B13:F13"/>
  </mergeCells>
  <dataValidations count="1">
    <dataValidation sqref="C9" showDropDown="0" showInputMessage="0" showErrorMessage="0" allowBlank="0" type="list">
      <formula1>"Base,Downside"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2" max="2"/>
    <col width="48" customWidth="1" min="3" max="3"/>
    <col width="24" customWidth="1" min="4" max="4"/>
    <col width="34" customWidth="1" min="5" max="5"/>
    <col width="20" customWidth="1" min="6" max="6"/>
  </cols>
  <sheetData>
    <row r="2">
      <c r="B2" s="23" t="inlineStr">
        <is>
          <t>Fund of Funds — Institutional Decision Surface</t>
        </is>
      </c>
    </row>
    <row r="4">
      <c r="B4" s="24" t="inlineStr">
        <is>
          <t>Model ID</t>
        </is>
      </c>
      <c r="C4" s="25" t="inlineStr">
        <is>
          <t>29</t>
        </is>
      </c>
    </row>
    <row r="5">
      <c r="B5" s="24" t="inlineStr">
        <is>
          <t>Domain</t>
        </is>
      </c>
      <c r="C5" s="25" t="inlineStr">
        <is>
          <t>Fund of Funds</t>
        </is>
      </c>
    </row>
    <row r="6">
      <c r="B6" s="24" t="inlineStr">
        <is>
          <t>Declared maturity</t>
        </is>
      </c>
      <c r="C6" s="25" t="inlineStr">
        <is>
          <t>M1</t>
        </is>
      </c>
    </row>
    <row r="7">
      <c r="B7" s="24" t="inlineStr">
        <is>
          <t>Canonical builder</t>
        </is>
      </c>
      <c r="C7" s="25" t="inlineStr">
        <is>
          <t>tools/builders/build_fund_of_funds_institutional.py</t>
        </is>
      </c>
    </row>
    <row r="8">
      <c r="B8" s="24" t="inlineStr">
        <is>
          <t>Decision arena</t>
        </is>
      </c>
      <c r="C8" s="25" t="inlineStr">
        <is>
          <t>fund board, LP advisory committee, investment committee and portfolio management</t>
        </is>
      </c>
    </row>
    <row r="9">
      <c r="B9" s="24" t="inlineStr">
        <is>
          <t>Committee artifact</t>
        </is>
      </c>
      <c r="C9" s="25" t="inlineStr">
        <is>
          <t>quarterly LP reporting and portfolio review pack</t>
        </is>
      </c>
    </row>
    <row r="10">
      <c r="B10" s="24" t="inlineStr">
        <is>
          <t>Operating cadence</t>
        </is>
      </c>
      <c r="C10" s="25" t="inlineStr">
        <is>
          <t>quarterly LP reporting; semi-annual portfolio review; annual valuation</t>
        </is>
      </c>
    </row>
    <row r="12">
      <c r="B12" s="26" t="inlineStr">
        <is>
          <t>Key decision outputs</t>
        </is>
      </c>
    </row>
    <row r="13">
      <c r="B13" s="27" t="inlineStr">
        <is>
          <t>#</t>
        </is>
      </c>
      <c r="C13" s="27" t="inlineStr">
        <is>
          <t>Requirement</t>
        </is>
      </c>
      <c r="D13" s="27" t="inlineStr">
        <is>
          <t>Owner</t>
        </is>
      </c>
      <c r="E13" s="27" t="inlineStr">
        <is>
          <t>Evidence / location</t>
        </is>
      </c>
      <c r="F13" s="27" t="inlineStr">
        <is>
          <t>Status</t>
        </is>
      </c>
    </row>
    <row r="14">
      <c r="B14" t="n">
        <v>1</v>
      </c>
      <c r="C14" t="inlineStr">
        <is>
          <t>net asset value and TVPI/DPI/RVPI bridge</t>
        </is>
      </c>
      <c r="D14" t="inlineStr"/>
      <c r="E14" t="inlineStr"/>
      <c r="F14" t="inlineStr">
        <is>
          <t>OPEN</t>
        </is>
      </c>
    </row>
    <row r="15">
      <c r="B15" t="n">
        <v>2</v>
      </c>
      <c r="C15" t="inlineStr">
        <is>
          <t>look-through fee drag between FoF and underlying-fund layers</t>
        </is>
      </c>
      <c r="D15" t="inlineStr"/>
      <c r="E15" t="inlineStr"/>
      <c r="F15" t="inlineStr">
        <is>
          <t>OPEN</t>
        </is>
      </c>
    </row>
    <row r="16">
      <c r="B16" t="n">
        <v>3</v>
      </c>
      <c r="C16" t="inlineStr">
        <is>
          <t>vintage-year and manager concentration</t>
        </is>
      </c>
      <c r="D16" t="inlineStr"/>
      <c r="E16" t="inlineStr"/>
      <c r="F16" t="inlineStr">
        <is>
          <t>OPEN</t>
        </is>
      </c>
    </row>
    <row r="17">
      <c r="B17" t="n">
        <v>4</v>
      </c>
      <c r="C17" t="inlineStr">
        <is>
          <t>base, downside and break-even outputs</t>
        </is>
      </c>
      <c r="D17" t="inlineStr"/>
      <c r="E17" t="inlineStr"/>
      <c r="F17" t="inlineStr">
        <is>
          <t>OPEN</t>
        </is>
      </c>
    </row>
    <row r="18">
      <c r="B18" t="n">
        <v>5</v>
      </c>
      <c r="C18" t="inlineStr">
        <is>
          <t>liquidity / funding requirement and binding constraint</t>
        </is>
      </c>
      <c r="D18" t="inlineStr"/>
      <c r="E18" t="inlineStr"/>
      <c r="F18" t="inlineStr">
        <is>
          <t>OPEN</t>
        </is>
      </c>
    </row>
    <row r="20">
      <c r="B20" s="26" t="inlineStr">
        <is>
          <t>Insider questions</t>
        </is>
      </c>
    </row>
    <row r="21">
      <c r="B21" s="27" t="inlineStr">
        <is>
          <t>#</t>
        </is>
      </c>
      <c r="C21" s="27" t="inlineStr">
        <is>
          <t>Requirement</t>
        </is>
      </c>
      <c r="D21" s="27" t="inlineStr">
        <is>
          <t>Owner</t>
        </is>
      </c>
      <c r="E21" s="27" t="inlineStr">
        <is>
          <t>Evidence / location</t>
        </is>
      </c>
      <c r="F21" s="27" t="inlineStr">
        <is>
          <t>Status</t>
        </is>
      </c>
    </row>
    <row r="22">
      <c r="B22" t="n">
        <v>1</v>
      </c>
      <c r="C22" t="inlineStr">
        <is>
          <t>What is the FoF net TVPI to its LPs versus the underlying funds gross TVPI?</t>
        </is>
      </c>
      <c r="D22" t="inlineStr"/>
      <c r="E22" t="inlineStr"/>
      <c r="F22" t="inlineStr">
        <is>
          <t>OPEN</t>
        </is>
      </c>
    </row>
    <row r="23">
      <c r="B23" t="n">
        <v>2</v>
      </c>
      <c r="C23" t="inlineStr">
        <is>
          <t>How much NAV sits in the single largest underlying-fund position?</t>
        </is>
      </c>
      <c r="D23" t="inlineStr"/>
      <c r="E23" t="inlineStr"/>
      <c r="F23" t="inlineStr">
        <is>
          <t>OPEN</t>
        </is>
      </c>
    </row>
    <row r="24">
      <c r="B24" t="n">
        <v>3</v>
      </c>
      <c r="C24" t="inlineStr">
        <is>
          <t>What uncalled capital remains and when is it likely to be drawn?</t>
        </is>
      </c>
      <c r="D24" t="inlineStr"/>
      <c r="E24" t="inlineStr"/>
      <c r="F24" t="inlineStr">
        <is>
          <t>OPEN</t>
        </is>
      </c>
    </row>
    <row r="25">
      <c r="B25" t="n">
        <v>4</v>
      </c>
      <c r="C25" t="inlineStr">
        <is>
          <t>Which assumption is owner-approved versus modeler judgement?</t>
        </is>
      </c>
      <c r="D25" t="inlineStr"/>
      <c r="E25" t="inlineStr"/>
      <c r="F25" t="inlineStr">
        <is>
          <t>OPEN</t>
        </is>
      </c>
    </row>
    <row r="26">
      <c r="B26" t="n">
        <v>5</v>
      </c>
      <c r="C26" t="inlineStr">
        <is>
          <t>What fails first and who must act?</t>
        </is>
      </c>
      <c r="D26" t="inlineStr"/>
      <c r="E26" t="inlineStr"/>
      <c r="F26" t="inlineStr">
        <is>
          <t>OPEN</t>
        </is>
      </c>
    </row>
    <row r="28">
      <c r="B28" s="26" t="inlineStr">
        <is>
          <t>Scenario families</t>
        </is>
      </c>
    </row>
    <row r="29">
      <c r="B29" s="27" t="inlineStr">
        <is>
          <t>#</t>
        </is>
      </c>
      <c r="C29" s="27" t="inlineStr">
        <is>
          <t>Requirement</t>
        </is>
      </c>
      <c r="D29" s="27" t="inlineStr">
        <is>
          <t>Owner</t>
        </is>
      </c>
      <c r="E29" s="27" t="inlineStr">
        <is>
          <t>Evidence / location</t>
        </is>
      </c>
      <c r="F29" s="27" t="inlineStr">
        <is>
          <t>Status</t>
        </is>
      </c>
    </row>
    <row r="30">
      <c r="B30" t="n">
        <v>1</v>
      </c>
      <c r="C30" t="inlineStr">
        <is>
          <t>underlying-fund NAV markdown</t>
        </is>
      </c>
      <c r="D30" t="inlineStr"/>
      <c r="E30" t="inlineStr"/>
      <c r="F30" t="inlineStr">
        <is>
          <t>OPEN</t>
        </is>
      </c>
    </row>
    <row r="31">
      <c r="B31" t="n">
        <v>2</v>
      </c>
      <c r="C31" t="inlineStr">
        <is>
          <t>capital call acceleration</t>
        </is>
      </c>
      <c r="D31" t="inlineStr"/>
      <c r="E31" t="inlineStr"/>
      <c r="F31" t="inlineStr">
        <is>
          <t>OPEN</t>
        </is>
      </c>
    </row>
    <row r="32">
      <c r="B32" t="n">
        <v>3</v>
      </c>
      <c r="C32" t="inlineStr">
        <is>
          <t>distribution slowdown and extended hold periods</t>
        </is>
      </c>
      <c r="D32" t="inlineStr"/>
      <c r="E32" t="inlineStr"/>
      <c r="F32" t="inlineStr">
        <is>
          <t>OPEN</t>
        </is>
      </c>
    </row>
    <row r="33">
      <c r="B33" t="n">
        <v>4</v>
      </c>
      <c r="C33" t="inlineStr">
        <is>
          <t>data freshness / source failure</t>
        </is>
      </c>
      <c r="D33" t="inlineStr"/>
      <c r="E33" t="inlineStr"/>
      <c r="F33" t="inlineStr">
        <is>
          <t>OPEN</t>
        </is>
      </c>
    </row>
    <row r="34">
      <c r="B34" t="n">
        <v>5</v>
      </c>
      <c r="C34" t="inlineStr">
        <is>
          <t>combined severe-but-plausible downside</t>
        </is>
      </c>
      <c r="D34" t="inlineStr"/>
      <c r="E34" t="inlineStr"/>
      <c r="F34" t="inlineStr">
        <is>
          <t>OPEN</t>
        </is>
      </c>
    </row>
    <row r="36">
      <c r="B36" s="26" t="inlineStr">
        <is>
          <t>Primary diligence documents</t>
        </is>
      </c>
    </row>
    <row r="37">
      <c r="B37" s="27" t="inlineStr">
        <is>
          <t>#</t>
        </is>
      </c>
      <c r="C37" s="27" t="inlineStr">
        <is>
          <t>Requirement</t>
        </is>
      </c>
      <c r="D37" s="27" t="inlineStr">
        <is>
          <t>Owner</t>
        </is>
      </c>
      <c r="E37" s="27" t="inlineStr">
        <is>
          <t>Evidence / location</t>
        </is>
      </c>
      <c r="F37" s="27" t="inlineStr">
        <is>
          <t>Status</t>
        </is>
      </c>
    </row>
    <row r="38">
      <c r="B38" t="n">
        <v>1</v>
      </c>
      <c r="C38" t="inlineStr">
        <is>
          <t>limited partnership agreement and fee letter</t>
        </is>
      </c>
      <c r="D38" t="inlineStr"/>
      <c r="E38" t="inlineStr"/>
      <c r="F38" t="inlineStr">
        <is>
          <t>OPEN</t>
        </is>
      </c>
    </row>
    <row r="39">
      <c r="B39" t="n">
        <v>2</v>
      </c>
      <c r="C39" t="inlineStr">
        <is>
          <t>underlying fund capital account statements</t>
        </is>
      </c>
      <c r="D39" t="inlineStr"/>
      <c r="E39" t="inlineStr"/>
      <c r="F39" t="inlineStr">
        <is>
          <t>OPEN</t>
        </is>
      </c>
    </row>
    <row r="40">
      <c r="B40" t="n">
        <v>3</v>
      </c>
      <c r="C40" t="inlineStr">
        <is>
          <t>underlying fund quarterly and annual reports</t>
        </is>
      </c>
      <c r="D40" t="inlineStr"/>
      <c r="E40" t="inlineStr"/>
      <c r="F40" t="inlineStr">
        <is>
          <t>OPEN</t>
        </is>
      </c>
    </row>
    <row r="41">
      <c r="B41" t="n">
        <v>4</v>
      </c>
      <c r="C41" t="inlineStr">
        <is>
          <t>approved model card and assumption register</t>
        </is>
      </c>
      <c r="D41" t="inlineStr"/>
      <c r="E41" t="inlineStr"/>
      <c r="F41" t="inlineStr">
        <is>
          <t>OPEN</t>
        </is>
      </c>
    </row>
    <row r="42">
      <c r="B42" t="n">
        <v>5</v>
      </c>
      <c r="C42" t="inlineStr">
        <is>
          <t>independent validation and challenge record</t>
        </is>
      </c>
      <c r="D42" t="inlineStr"/>
      <c r="E42" t="inlineStr"/>
      <c r="F42" t="inlineStr">
        <is>
          <t>OPEN</t>
        </is>
      </c>
    </row>
    <row r="44">
      <c r="B44" s="26" t="inlineStr">
        <is>
          <t>Challenge tests</t>
        </is>
      </c>
    </row>
    <row r="45">
      <c r="B45" s="27" t="inlineStr">
        <is>
          <t>#</t>
        </is>
      </c>
      <c r="C45" s="27" t="inlineStr">
        <is>
          <t>Requirement</t>
        </is>
      </c>
      <c r="D45" s="27" t="inlineStr">
        <is>
          <t>Owner</t>
        </is>
      </c>
      <c r="E45" s="27" t="inlineStr">
        <is>
          <t>Evidence / location</t>
        </is>
      </c>
      <c r="F45" s="27" t="inlineStr">
        <is>
          <t>Status</t>
        </is>
      </c>
    </row>
    <row r="46">
      <c r="B46" t="n">
        <v>1</v>
      </c>
      <c r="C46" t="inlineStr">
        <is>
          <t>NAV roll-forward reconciles to capital called, distributed and fees</t>
        </is>
      </c>
      <c r="D46" t="inlineStr"/>
      <c r="E46" t="inlineStr"/>
      <c r="F46" t="inlineStr">
        <is>
          <t>OPEN</t>
        </is>
      </c>
    </row>
    <row r="47">
      <c r="B47" t="n">
        <v>2</v>
      </c>
      <c r="C47" t="inlineStr">
        <is>
          <t>TVPI equals DPI plus RVPI at both FoF and look-through level</t>
        </is>
      </c>
      <c r="D47" t="inlineStr"/>
      <c r="E47" t="inlineStr"/>
      <c r="F47" t="inlineStr">
        <is>
          <t>OPEN</t>
        </is>
      </c>
    </row>
    <row r="48">
      <c r="B48" t="n">
        <v>3</v>
      </c>
      <c r="C48" t="inlineStr">
        <is>
          <t>no single underlying fund exceeds the concentration limit</t>
        </is>
      </c>
      <c r="D48" t="inlineStr"/>
      <c r="E48" t="inlineStr"/>
      <c r="F48" t="inlineStr">
        <is>
          <t>OPEN</t>
        </is>
      </c>
    </row>
    <row r="49">
      <c r="B49" t="n">
        <v>4</v>
      </c>
      <c r="C49" t="inlineStr">
        <is>
          <t>source-to-model lineage is reproducible</t>
        </is>
      </c>
      <c r="D49" t="inlineStr"/>
      <c r="E49" t="inlineStr"/>
      <c r="F49" t="inlineStr">
        <is>
          <t>OPEN</t>
        </is>
      </c>
    </row>
    <row r="50">
      <c r="B50" t="n">
        <v>5</v>
      </c>
      <c r="C50" t="inlineStr">
        <is>
          <t>units, signs, dates and legal definitions reconcile</t>
        </is>
      </c>
      <c r="D50" t="inlineStr"/>
      <c r="E50" t="inlineStr"/>
      <c r="F50" t="inlineStr">
        <is>
          <t>OPEN</t>
        </is>
      </c>
    </row>
    <row r="52">
      <c r="B52" s="26" t="inlineStr">
        <is>
          <t>Known failure modes</t>
        </is>
      </c>
    </row>
    <row r="53">
      <c r="B53" s="27" t="inlineStr">
        <is>
          <t>#</t>
        </is>
      </c>
      <c r="C53" s="27" t="inlineStr">
        <is>
          <t>Requirement</t>
        </is>
      </c>
      <c r="D53" s="27" t="inlineStr">
        <is>
          <t>Owner</t>
        </is>
      </c>
      <c r="E53" s="27" t="inlineStr">
        <is>
          <t>Evidence / location</t>
        </is>
      </c>
      <c r="F53" s="27" t="inlineStr">
        <is>
          <t>Status</t>
        </is>
      </c>
    </row>
    <row r="54">
      <c r="B54" t="n">
        <v>1</v>
      </c>
      <c r="C54" t="inlineStr">
        <is>
          <t>using underlying-fund gross TVPI as if it were net to the FoF LP</t>
        </is>
      </c>
      <c r="D54" t="inlineStr"/>
      <c r="E54" t="inlineStr"/>
      <c r="F54" t="inlineStr">
        <is>
          <t>OPEN</t>
        </is>
      </c>
    </row>
    <row r="55">
      <c r="B55" t="n">
        <v>2</v>
      </c>
      <c r="C55" t="inlineStr">
        <is>
          <t>ignoring FoF-level fee-on-fee drag</t>
        </is>
      </c>
      <c r="D55" t="inlineStr"/>
      <c r="E55" t="inlineStr"/>
      <c r="F55" t="inlineStr">
        <is>
          <t>OPEN</t>
        </is>
      </c>
    </row>
    <row r="56">
      <c r="B56" t="n">
        <v>3</v>
      </c>
      <c r="C56" t="inlineStr">
        <is>
          <t>treating a single vintage year as diversified</t>
        </is>
      </c>
      <c r="D56" t="inlineStr"/>
      <c r="E56" t="inlineStr"/>
      <c r="F56" t="inlineStr">
        <is>
          <t>OPEN</t>
        </is>
      </c>
    </row>
    <row r="57">
      <c r="B57" t="n">
        <v>4</v>
      </c>
      <c r="C57" t="inlineStr">
        <is>
          <t>stale vintage presented as current</t>
        </is>
      </c>
      <c r="D57" t="inlineStr"/>
      <c r="E57" t="inlineStr"/>
      <c r="F57" t="inlineStr">
        <is>
          <t>OPEN</t>
        </is>
      </c>
    </row>
    <row r="58">
      <c r="B58" t="n">
        <v>5</v>
      </c>
      <c r="C58" t="inlineStr">
        <is>
          <t>decision output disconnected from a binding constraint</t>
        </is>
      </c>
      <c r="D58" t="inlineStr"/>
      <c r="E58" t="inlineStr"/>
      <c r="F58" t="inlineStr">
        <is>
          <t>OPEN</t>
        </is>
      </c>
    </row>
    <row r="60">
      <c r="B60" s="26" t="inlineStr">
        <is>
          <t>Regulatory / methodological anchors</t>
        </is>
      </c>
    </row>
    <row r="61">
      <c r="B61" s="27" t="inlineStr">
        <is>
          <t>Standard</t>
        </is>
      </c>
      <c r="C61" s="27" t="inlineStr">
        <is>
          <t>Scope</t>
        </is>
      </c>
      <c r="D61" s="27" t="inlineStr">
        <is>
          <t>Source URL</t>
        </is>
      </c>
      <c r="E61" s="27" t="inlineStr">
        <is>
          <t>Applicability</t>
        </is>
      </c>
      <c r="F61" s="27" t="inlineStr">
        <is>
          <t>Review note</t>
        </is>
      </c>
    </row>
    <row r="62">
      <c r="B62" t="inlineStr">
        <is>
          <t>Federal Reserve SR 26-2 Model Risk Management</t>
        </is>
      </c>
      <c r="C62" t="inlineStr">
        <is>
          <t>governance, validation, change control, monitoring</t>
        </is>
      </c>
      <c r="D62" t="inlineStr">
        <is>
          <t>https://www.federalreserve.gov/supervisionreg/srletters/SR2602.htm</t>
        </is>
      </c>
      <c r="E62" t="inlineStr">
        <is>
          <t>Map explicitly</t>
        </is>
      </c>
      <c r="F62" t="inlineStr"/>
    </row>
    <row r="63">
      <c r="B63" t="inlineStr">
        <is>
          <t>SEC Rule 2a-5</t>
        </is>
      </c>
      <c r="C63" t="inlineStr">
        <is>
          <t>fair-value governance and testing</t>
        </is>
      </c>
      <c r="D63" t="inlineStr">
        <is>
          <t>https://www.sec.gov/files/rules/final/2020/ic-34128.pdf</t>
        </is>
      </c>
      <c r="E63" t="inlineStr">
        <is>
          <t>Map explicitly</t>
        </is>
      </c>
      <c r="F63" t="inlineStr"/>
    </row>
    <row r="64">
      <c r="B64" t="inlineStr">
        <is>
          <t>IOSCO Liquidity Risk Recommendations</t>
        </is>
      </c>
      <c r="C64" t="inlineStr">
        <is>
          <t>fund liquidity and stress testing</t>
        </is>
      </c>
      <c r="D64" t="inlineStr">
        <is>
          <t>https://www.iosco.org/library/pubdocs/pdf/IOSCOPD590.pdf</t>
        </is>
      </c>
      <c r="E64" t="inlineStr">
        <is>
          <t>Map explicitly</t>
        </is>
      </c>
      <c r="F64" t="inlineStr"/>
    </row>
  </sheetData>
  <mergeCells count="15">
    <mergeCell ref="B44:F44"/>
    <mergeCell ref="C9:F9"/>
    <mergeCell ref="B12:F12"/>
    <mergeCell ref="B2:F2"/>
    <mergeCell ref="C8:F8"/>
    <mergeCell ref="C4:F4"/>
    <mergeCell ref="B20:F20"/>
    <mergeCell ref="B28:F28"/>
    <mergeCell ref="C6:F6"/>
    <mergeCell ref="C7:F7"/>
    <mergeCell ref="B60:F60"/>
    <mergeCell ref="B36:F36"/>
    <mergeCell ref="C10:F10"/>
    <mergeCell ref="C5:F5"/>
    <mergeCell ref="B52:F52"/>
  </mergeCells>
  <dataValidations count="6">
    <dataValidation sqref="F14:F18" showDropDown="0" showInputMessage="0" showErrorMessage="0" allowBlank="0" type="list">
      <formula1>"OPEN,IN REVIEW,CLOSED,NOT APPLICABLE"</formula1>
    </dataValidation>
    <dataValidation sqref="F22:F26" showDropDown="0" showInputMessage="0" showErrorMessage="0" allowBlank="0" type="list">
      <formula1>"OPEN,IN REVIEW,CLOSED,NOT APPLICABLE"</formula1>
    </dataValidation>
    <dataValidation sqref="F30:F34" showDropDown="0" showInputMessage="0" showErrorMessage="0" allowBlank="0" type="list">
      <formula1>"OPEN,IN REVIEW,CLOSED,NOT APPLICABLE"</formula1>
    </dataValidation>
    <dataValidation sqref="F38:F42" showDropDown="0" showInputMessage="0" showErrorMessage="0" allowBlank="0" type="list">
      <formula1>"OPEN,IN REVIEW,CLOSED,NOT APPLICABLE"</formula1>
    </dataValidation>
    <dataValidation sqref="F46:F50" showDropDown="0" showInputMessage="0" showErrorMessage="0" allowBlank="0" type="list">
      <formula1>"OPEN,IN REVIEW,CLOSED,NOT APPLICABLE"</formula1>
    </dataValidation>
    <dataValidation sqref="F54:F58" showDropDown="0" showInputMessage="0" showErrorMessage="0" allowBlank="0" type="list">
      <formula1>"OPEN,IN REVIEW,CLOSED,NOT 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22" customWidth="1" min="3" max="3"/>
    <col width="52" customWidth="1" min="4" max="4"/>
    <col width="46" customWidth="1" min="5" max="5"/>
    <col width="36" customWidth="1" min="6" max="6"/>
    <col width="14" customWidth="1" min="7" max="7"/>
    <col width="18" customWidth="1" min="8" max="8"/>
    <col width="14" customWidth="1" min="9" max="9"/>
  </cols>
  <sheetData>
    <row r="2">
      <c r="B2" s="23" t="inlineStr">
        <is>
          <t>Independent Challenge, Override and Closure Log</t>
        </is>
      </c>
    </row>
    <row r="4">
      <c r="B4" s="27" t="inlineStr">
        <is>
          <t>Date</t>
        </is>
      </c>
      <c r="C4" s="27" t="inlineStr">
        <is>
          <t>Reviewer</t>
        </is>
      </c>
      <c r="D4" s="27" t="inlineStr">
        <is>
          <t>Challenge</t>
        </is>
      </c>
      <c r="E4" s="27" t="inlineStr">
        <is>
          <t>Owner response</t>
        </is>
      </c>
      <c r="F4" s="27" t="inlineStr">
        <is>
          <t>Evidence</t>
        </is>
      </c>
      <c r="G4" s="27" t="inlineStr">
        <is>
          <t>Impact</t>
        </is>
      </c>
      <c r="H4" s="27" t="inlineStr">
        <is>
          <t>Status</t>
        </is>
      </c>
      <c r="I4" s="27" t="inlineStr">
        <is>
          <t>Closure</t>
        </is>
      </c>
    </row>
    <row r="5">
      <c r="B5" t="inlineStr"/>
      <c r="C5" t="inlineStr"/>
      <c r="D5" t="inlineStr">
        <is>
          <t>NAV roll-forward reconciles to capital called, distributed and fees</t>
        </is>
      </c>
      <c r="E5" t="inlineStr"/>
      <c r="F5" t="inlineStr"/>
      <c r="G5" t="inlineStr"/>
      <c r="H5" t="inlineStr">
        <is>
          <t>OPEN</t>
        </is>
      </c>
      <c r="I5" t="inlineStr"/>
    </row>
    <row r="6">
      <c r="B6" t="inlineStr"/>
      <c r="C6" t="inlineStr"/>
      <c r="D6" t="inlineStr">
        <is>
          <t>TVPI equals DPI plus RVPI at both FoF and look-through level</t>
        </is>
      </c>
      <c r="E6" t="inlineStr"/>
      <c r="F6" t="inlineStr"/>
      <c r="G6" t="inlineStr"/>
      <c r="H6" t="inlineStr">
        <is>
          <t>OPEN</t>
        </is>
      </c>
      <c r="I6" t="inlineStr"/>
    </row>
    <row r="7">
      <c r="B7" t="inlineStr"/>
      <c r="C7" t="inlineStr"/>
      <c r="D7" t="inlineStr">
        <is>
          <t>no single underlying fund exceeds the concentration limit</t>
        </is>
      </c>
      <c r="E7" t="inlineStr"/>
      <c r="F7" t="inlineStr"/>
      <c r="G7" t="inlineStr"/>
      <c r="H7" t="inlineStr">
        <is>
          <t>OPEN</t>
        </is>
      </c>
      <c r="I7" t="inlineStr"/>
    </row>
    <row r="8">
      <c r="B8" t="inlineStr"/>
      <c r="C8" t="inlineStr"/>
      <c r="D8" t="inlineStr">
        <is>
          <t>source-to-model lineage is reproducible</t>
        </is>
      </c>
      <c r="E8" t="inlineStr"/>
      <c r="F8" t="inlineStr"/>
      <c r="G8" t="inlineStr"/>
      <c r="H8" t="inlineStr">
        <is>
          <t>OPEN</t>
        </is>
      </c>
      <c r="I8" t="inlineStr"/>
    </row>
    <row r="9">
      <c r="B9" t="inlineStr"/>
      <c r="C9" t="inlineStr"/>
      <c r="D9" t="inlineStr">
        <is>
          <t>units, signs, dates and legal definitions reconcile</t>
        </is>
      </c>
      <c r="E9" t="inlineStr"/>
      <c r="F9" t="inlineStr"/>
      <c r="G9" t="inlineStr"/>
      <c r="H9" t="inlineStr">
        <is>
          <t>OPEN</t>
        </is>
      </c>
      <c r="I9" t="inlineStr"/>
    </row>
  </sheetData>
  <mergeCells count="1">
    <mergeCell ref="B2:I2"/>
  </mergeCells>
  <dataValidations count="2">
    <dataValidation sqref="H5:H54" showDropDown="0" showInputMessage="0" showErrorMessage="0" allowBlank="0" type="list">
      <formula1>"OPEN,IN REVIEW,REMEDIATED,ACCEPTED RISK,CLOSED"</formula1>
    </dataValidation>
    <dataValidation sqref="G5:G54" showDropDown="0" showInputMessage="0" showErrorMessage="0" allowBlank="0" type="list">
      <formula1>"LOW,MEDIUM,HIGH,CRITICAL"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8" customWidth="1" min="3" max="3"/>
    <col width="42" customWidth="1" min="4" max="4"/>
    <col width="24" customWidth="1" min="5" max="5"/>
    <col width="18" customWidth="1" min="6" max="6"/>
    <col width="22" customWidth="1" min="7" max="7"/>
    <col width="42" customWidth="1" min="8" max="8"/>
    <col width="30" customWidth="1" min="9" max="9"/>
    <col width="15" customWidth="1" min="10" max="10"/>
  </cols>
  <sheetData>
    <row r="2">
      <c r="B2" s="23" t="inlineStr">
        <is>
          <t>Source, Transformation, Ownership and Refresh Map</t>
        </is>
      </c>
    </row>
    <row r="4">
      <c r="B4" s="27" t="inlineStr">
        <is>
          <t>Source class</t>
        </is>
      </c>
      <c r="C4" s="27" t="inlineStr">
        <is>
          <t>Cadence</t>
        </is>
      </c>
      <c r="D4" s="27" t="inlineStr">
        <is>
          <t>Control</t>
        </is>
      </c>
      <c r="E4" s="27" t="inlineStr">
        <is>
          <t>System / provider</t>
        </is>
      </c>
      <c r="F4" s="27" t="inlineStr">
        <is>
          <t>As-of</t>
        </is>
      </c>
      <c r="G4" s="27" t="inlineStr">
        <is>
          <t>Owner</t>
        </is>
      </c>
      <c r="H4" s="27" t="inlineStr">
        <is>
          <t>Transform</t>
        </is>
      </c>
      <c r="I4" s="27" t="inlineStr">
        <is>
          <t>Downstream</t>
        </is>
      </c>
      <c r="J4" s="27" t="inlineStr">
        <is>
          <t>Status</t>
        </is>
      </c>
    </row>
    <row r="5">
      <c r="B5" t="inlineStr">
        <is>
          <t>underlying fund capital account statements</t>
        </is>
      </c>
      <c r="C5" t="inlineStr">
        <is>
          <t>quarterly</t>
        </is>
      </c>
      <c r="D5" t="inlineStr">
        <is>
          <t>general partner-reported NAV and cash flow reconciliation</t>
        </is>
      </c>
      <c r="E5" t="inlineStr"/>
      <c r="F5" t="inlineStr"/>
      <c r="G5" t="inlineStr"/>
      <c r="H5" t="inlineStr"/>
      <c r="I5" t="inlineStr"/>
      <c r="J5" t="inlineStr">
        <is>
          <t>TO MAP</t>
        </is>
      </c>
    </row>
    <row r="6">
      <c r="B6" t="inlineStr">
        <is>
          <t>FoF administrator NAV package</t>
        </is>
      </c>
      <c r="C6" t="inlineStr">
        <is>
          <t>quarterly</t>
        </is>
      </c>
      <c r="D6" t="inlineStr">
        <is>
          <t>independent administrator verification</t>
        </is>
      </c>
      <c r="E6" t="inlineStr"/>
      <c r="F6" t="inlineStr"/>
      <c r="G6" t="inlineStr"/>
      <c r="H6" t="inlineStr"/>
      <c r="I6" t="inlineStr"/>
      <c r="J6" t="inlineStr">
        <is>
          <t>TO MAP</t>
        </is>
      </c>
    </row>
    <row r="7">
      <c r="B7" t="inlineStr">
        <is>
          <t>model governance evidence</t>
        </is>
      </c>
      <c r="C7" t="inlineStr">
        <is>
          <t>per release</t>
        </is>
      </c>
      <c r="D7" t="inlineStr">
        <is>
          <t>version, reviewer, sign-off and change log</t>
        </is>
      </c>
      <c r="E7" t="inlineStr"/>
      <c r="F7" t="inlineStr"/>
      <c r="G7" t="inlineStr"/>
      <c r="H7" t="inlineStr"/>
      <c r="I7" t="inlineStr"/>
      <c r="J7" t="inlineStr">
        <is>
          <t>TO MAP</t>
        </is>
      </c>
    </row>
    <row r="8">
      <c r="B8" t="inlineStr">
        <is>
          <t>decision-use snapshot</t>
        </is>
      </c>
      <c r="C8" t="inlineStr">
        <is>
          <t>per decision</t>
        </is>
      </c>
      <c r="D8" t="inlineStr">
        <is>
          <t>immutable as-of date and source receipt</t>
        </is>
      </c>
      <c r="E8" t="inlineStr"/>
      <c r="F8" t="inlineStr"/>
      <c r="G8" t="inlineStr"/>
      <c r="H8" t="inlineStr"/>
      <c r="I8" t="inlineStr"/>
      <c r="J8" t="inlineStr">
        <is>
          <t>TO MAP</t>
        </is>
      </c>
    </row>
  </sheetData>
  <mergeCells count="1">
    <mergeCell ref="B2:J2"/>
  </mergeCells>
  <dataValidations count="1">
    <dataValidation sqref="J5:J40" showDropDown="0" showInputMessage="0" showErrorMessage="0" allowBlank="0" type="list">
      <formula1>"TO MAP,ACTIVE,STALE,EXCEPTION,RETIRED"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5" customWidth="1" min="4" max="4"/>
    <col width="15" customWidth="1" min="5" max="5"/>
    <col width="32" customWidth="1" min="6" max="6"/>
  </cols>
  <sheetData>
    <row r="2" ht="28" customHeight="1">
      <c r="B2" s="1" t="inlineStr">
        <is>
          <t>Fund-of-Funds Terms and Portfolio Assumptions</t>
        </is>
      </c>
    </row>
    <row r="4">
      <c r="B4" s="8" t="inlineStr">
        <is>
          <t>Assumption</t>
        </is>
      </c>
      <c r="C4" s="8" t="inlineStr">
        <is>
          <t>Base</t>
        </is>
      </c>
      <c r="D4" s="8" t="inlineStr">
        <is>
          <t>Downside</t>
        </is>
      </c>
      <c r="E4" s="8" t="inlineStr">
        <is>
          <t>Active</t>
        </is>
      </c>
      <c r="F4" s="8" t="inlineStr">
        <is>
          <t>Units / note</t>
        </is>
      </c>
    </row>
    <row r="5">
      <c r="B5" t="inlineStr">
        <is>
          <t>Total LP commitments to FoF</t>
        </is>
      </c>
      <c r="C5" s="9" t="n">
        <v>500</v>
      </c>
      <c r="D5" s="9" t="n">
        <v>500</v>
      </c>
      <c r="E5" s="10">
        <f>IF(Cover!$C$9="Downside",D5,C5)</f>
        <v/>
      </c>
      <c r="F5" t="inlineStr">
        <is>
          <t>$mm</t>
        </is>
      </c>
    </row>
    <row r="6">
      <c r="B6" t="inlineStr">
        <is>
          <t>FoF management fee (% of commitments, p.a.)</t>
        </is>
      </c>
      <c r="C6" s="11" t="n">
        <v>0.0075</v>
      </c>
      <c r="D6" s="11" t="n">
        <v>0.0075</v>
      </c>
      <c r="E6" s="12">
        <f>IF(Cover!$C$9="Downside",D6,C6)</f>
        <v/>
      </c>
      <c r="F6" t="inlineStr">
        <is>
          <t>%</t>
        </is>
      </c>
    </row>
    <row r="7">
      <c r="B7" t="inlineStr">
        <is>
          <t>FoF carried interest (% of profit above hurdle)</t>
        </is>
      </c>
      <c r="C7" s="13" t="n">
        <v>0.05</v>
      </c>
      <c r="D7" s="13" t="n">
        <v>0.05</v>
      </c>
      <c r="E7" s="14">
        <f>IF(Cover!$C$9="Downside",D7,C7)</f>
        <v/>
      </c>
      <c r="F7" t="inlineStr">
        <is>
          <t>%</t>
        </is>
      </c>
    </row>
    <row r="8">
      <c r="B8" t="inlineStr">
        <is>
          <t>FoF preferred return / hurdle</t>
        </is>
      </c>
      <c r="C8" s="13" t="n">
        <v>0.08</v>
      </c>
      <c r="D8" s="13" t="n">
        <v>0.08</v>
      </c>
      <c r="E8" s="14">
        <f>IF(Cover!$C$9="Downside",D8,C8)</f>
        <v/>
      </c>
      <c r="F8" t="inlineStr">
        <is>
          <t>%</t>
        </is>
      </c>
    </row>
    <row r="9">
      <c r="B9" t="inlineStr">
        <is>
          <t>Number of underlying funds</t>
        </is>
      </c>
      <c r="C9" s="15" t="n">
        <v>8</v>
      </c>
      <c r="D9" s="15" t="n">
        <v>8</v>
      </c>
      <c r="E9" s="16">
        <f>IF(Cover!$C$9="Downside",D9,C9)</f>
        <v/>
      </c>
      <c r="F9" t="inlineStr">
        <is>
          <t>count</t>
        </is>
      </c>
    </row>
    <row r="10">
      <c r="B10" t="inlineStr">
        <is>
          <t>Underlying-fund NAV markdown (stress)</t>
        </is>
      </c>
      <c r="C10" s="13" t="n">
        <v>0</v>
      </c>
      <c r="D10" s="13" t="n">
        <v>0.25</v>
      </c>
      <c r="E10" s="14">
        <f>IF(Cover!$C$9="Downside",D10,C10)</f>
        <v/>
      </c>
      <c r="F10" t="inlineStr">
        <is>
          <t>%</t>
        </is>
      </c>
    </row>
    <row r="11">
      <c r="B11" t="inlineStr">
        <is>
          <t>Maximum single-fund concentration limit</t>
        </is>
      </c>
      <c r="C11" s="13" t="n">
        <v>0.2</v>
      </c>
      <c r="D11" s="13" t="n">
        <v>0.2</v>
      </c>
      <c r="E11" s="14">
        <f>IF(Cover!$C$9="Downside",D11,C11)</f>
        <v/>
      </c>
      <c r="F11" t="inlineStr">
        <is>
          <t>% of NAV</t>
        </is>
      </c>
    </row>
  </sheetData>
  <mergeCells count="1">
    <mergeCell ref="B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1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12" customWidth="1" min="3" max="3"/>
    <col width="16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  <col width="20" customWidth="1" min="10" max="10"/>
  </cols>
  <sheetData>
    <row r="2" ht="28" customHeight="1">
      <c r="B2" s="1" t="inlineStr">
        <is>
          <t>Underlying Fund Portfolio (Look-Through)</t>
        </is>
      </c>
    </row>
    <row r="4">
      <c r="B4" s="8" t="inlineStr">
        <is>
          <t>Underlying fund / GP</t>
        </is>
      </c>
      <c r="C4" s="8" t="inlineStr">
        <is>
          <t>Vintage year</t>
        </is>
      </c>
      <c r="D4" s="8" t="inlineStr">
        <is>
          <t>Strategy</t>
        </is>
      </c>
      <c r="E4" s="8" t="inlineStr">
        <is>
          <t>Commitment</t>
        </is>
      </c>
      <c r="F4" s="8" t="inlineStr">
        <is>
          <t>Called</t>
        </is>
      </c>
      <c r="G4" s="8" t="inlineStr">
        <is>
          <t>Distributed</t>
        </is>
      </c>
      <c r="H4" s="8" t="inlineStr">
        <is>
          <t>Reported NAV (Base)</t>
        </is>
      </c>
      <c r="I4" s="8" t="inlineStr">
        <is>
          <t>Active NAV</t>
        </is>
      </c>
      <c r="J4" s="8" t="inlineStr">
        <is>
          <t>Gross TVPI (look-through)</t>
        </is>
      </c>
    </row>
    <row r="5">
      <c r="B5" s="3" t="inlineStr">
        <is>
          <t>[Fund A]</t>
        </is>
      </c>
      <c r="C5" s="15" t="n">
        <v>2016</v>
      </c>
      <c r="D5" s="3" t="inlineStr">
        <is>
          <t>Buyout</t>
        </is>
      </c>
      <c r="E5" s="9" t="n">
        <v>60</v>
      </c>
      <c r="F5" s="9" t="n">
        <v>58</v>
      </c>
      <c r="G5" s="9" t="n">
        <v>71</v>
      </c>
      <c r="H5" s="9" t="n">
        <v>42</v>
      </c>
      <c r="I5" s="10">
        <f>H5*(1-Assumptions!$E$10)</f>
        <v/>
      </c>
      <c r="J5" s="17">
        <f>IFERROR((G5+I5)/F5,0)</f>
        <v/>
      </c>
    </row>
    <row r="6">
      <c r="B6" s="3" t="inlineStr">
        <is>
          <t>[Fund B]</t>
        </is>
      </c>
      <c r="C6" s="15" t="n">
        <v>2017</v>
      </c>
      <c r="D6" s="3" t="inlineStr">
        <is>
          <t>Buyout</t>
        </is>
      </c>
      <c r="E6" s="9" t="n">
        <v>55</v>
      </c>
      <c r="F6" s="9" t="n">
        <v>52</v>
      </c>
      <c r="G6" s="9" t="n">
        <v>48</v>
      </c>
      <c r="H6" s="9" t="n">
        <v>55</v>
      </c>
      <c r="I6" s="10">
        <f>H6*(1-Assumptions!$E$10)</f>
        <v/>
      </c>
      <c r="J6" s="17">
        <f>IFERROR((G6+I6)/F6,0)</f>
        <v/>
      </c>
    </row>
    <row r="7">
      <c r="B7" s="3" t="inlineStr">
        <is>
          <t>[Fund C]</t>
        </is>
      </c>
      <c r="C7" s="15" t="n">
        <v>2018</v>
      </c>
      <c r="D7" s="3" t="inlineStr">
        <is>
          <t>Growth equity</t>
        </is>
      </c>
      <c r="E7" s="9" t="n">
        <v>65</v>
      </c>
      <c r="F7" s="9" t="n">
        <v>58</v>
      </c>
      <c r="G7" s="9" t="n">
        <v>30</v>
      </c>
      <c r="H7" s="9" t="n">
        <v>78</v>
      </c>
      <c r="I7" s="10">
        <f>H7*(1-Assumptions!$E$10)</f>
        <v/>
      </c>
      <c r="J7" s="17">
        <f>IFERROR((G7+I7)/F7,0)</f>
        <v/>
      </c>
    </row>
    <row r="8">
      <c r="B8" s="3" t="inlineStr">
        <is>
          <t>[Fund D]</t>
        </is>
      </c>
      <c r="C8" s="15" t="n">
        <v>2019</v>
      </c>
      <c r="D8" s="3" t="inlineStr">
        <is>
          <t>Venture</t>
        </is>
      </c>
      <c r="E8" s="9" t="n">
        <v>45</v>
      </c>
      <c r="F8" s="9" t="n">
        <v>38</v>
      </c>
      <c r="G8" s="9" t="n">
        <v>12</v>
      </c>
      <c r="H8" s="9" t="n">
        <v>58</v>
      </c>
      <c r="I8" s="10">
        <f>H8*(1-Assumptions!$E$10)</f>
        <v/>
      </c>
      <c r="J8" s="17">
        <f>IFERROR((G8+I8)/F8,0)</f>
        <v/>
      </c>
    </row>
    <row r="9">
      <c r="B9" s="3" t="inlineStr">
        <is>
          <t>[Fund E]</t>
        </is>
      </c>
      <c r="C9" s="15" t="n">
        <v>2019</v>
      </c>
      <c r="D9" s="3" t="inlineStr">
        <is>
          <t>Buyout</t>
        </is>
      </c>
      <c r="E9" s="9" t="n">
        <v>70</v>
      </c>
      <c r="F9" s="9" t="n">
        <v>63</v>
      </c>
      <c r="G9" s="9" t="n">
        <v>25</v>
      </c>
      <c r="H9" s="9" t="n">
        <v>82</v>
      </c>
      <c r="I9" s="10">
        <f>H9*(1-Assumptions!$E$10)</f>
        <v/>
      </c>
      <c r="J9" s="17">
        <f>IFERROR((G9+I9)/F9,0)</f>
        <v/>
      </c>
    </row>
    <row r="10">
      <c r="B10" s="3" t="inlineStr">
        <is>
          <t>[Fund F]</t>
        </is>
      </c>
      <c r="C10" s="15" t="n">
        <v>2020</v>
      </c>
      <c r="D10" s="3" t="inlineStr">
        <is>
          <t>Secondaries</t>
        </is>
      </c>
      <c r="E10" s="9" t="n">
        <v>50</v>
      </c>
      <c r="F10" s="9" t="n">
        <v>44</v>
      </c>
      <c r="G10" s="9" t="n">
        <v>18</v>
      </c>
      <c r="H10" s="9" t="n">
        <v>56</v>
      </c>
      <c r="I10" s="10">
        <f>H10*(1-Assumptions!$E$10)</f>
        <v/>
      </c>
      <c r="J10" s="17">
        <f>IFERROR((G10+I10)/F10,0)</f>
        <v/>
      </c>
    </row>
    <row r="11">
      <c r="B11" s="3" t="inlineStr">
        <is>
          <t>[Fund G]</t>
        </is>
      </c>
      <c r="C11" s="15" t="n">
        <v>2021</v>
      </c>
      <c r="D11" s="3" t="inlineStr">
        <is>
          <t>Growth equity</t>
        </is>
      </c>
      <c r="E11" s="9" t="n">
        <v>60</v>
      </c>
      <c r="F11" s="9" t="n">
        <v>41</v>
      </c>
      <c r="G11" s="9" t="n">
        <v>4</v>
      </c>
      <c r="H11" s="9" t="n">
        <v>51</v>
      </c>
      <c r="I11" s="10">
        <f>H11*(1-Assumptions!$E$10)</f>
        <v/>
      </c>
      <c r="J11" s="17">
        <f>IFERROR((G11+I11)/F11,0)</f>
        <v/>
      </c>
    </row>
    <row r="12">
      <c r="B12" s="3" t="inlineStr">
        <is>
          <t>[Fund H]</t>
        </is>
      </c>
      <c r="C12" s="15" t="n">
        <v>2022</v>
      </c>
      <c r="D12" s="3" t="inlineStr">
        <is>
          <t>Buyout</t>
        </is>
      </c>
      <c r="E12" s="9" t="n">
        <v>65</v>
      </c>
      <c r="F12" s="9" t="n">
        <v>32</v>
      </c>
      <c r="G12" s="9" t="n">
        <v>0.5</v>
      </c>
      <c r="H12" s="9" t="n">
        <v>36</v>
      </c>
      <c r="I12" s="10">
        <f>H12*(1-Assumptions!$E$10)</f>
        <v/>
      </c>
      <c r="J12" s="17">
        <f>IFERROR((G12+I12)/F12,0)</f>
        <v/>
      </c>
    </row>
    <row r="13">
      <c r="B13" s="18" t="inlineStr">
        <is>
          <t>Total / look-through weighted</t>
        </is>
      </c>
      <c r="C13" s="19" t="n"/>
      <c r="D13" s="19" t="n"/>
      <c r="E13" s="19">
        <f>SUM(E5:E12)</f>
        <v/>
      </c>
      <c r="F13" s="19">
        <f>SUM(F5:F12)</f>
        <v/>
      </c>
      <c r="G13" s="19">
        <f>SUM(G5:G12)</f>
        <v/>
      </c>
      <c r="H13" s="19">
        <f>SUM(H5:H12)</f>
        <v/>
      </c>
      <c r="I13" s="19">
        <f>SUM(I5:I12)</f>
        <v/>
      </c>
      <c r="J13" s="20">
        <f>IFERROR((G13+I13)/F13,0)</f>
        <v/>
      </c>
    </row>
    <row r="15">
      <c r="B15" t="inlineStr">
        <is>
          <t>Largest single-fund Active NAV</t>
        </is>
      </c>
      <c r="C15" s="10">
        <f>MAX(I5:I12)</f>
        <v/>
      </c>
    </row>
    <row r="16">
      <c r="B16" t="inlineStr">
        <is>
          <t>Largest single-fund concentration</t>
        </is>
      </c>
      <c r="C16" s="14">
        <f>IFERROR(C15/I13,0)</f>
        <v/>
      </c>
    </row>
  </sheetData>
  <mergeCells count="1"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C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  <col width="18" customWidth="1" min="3" max="3"/>
  </cols>
  <sheetData>
    <row r="2" ht="28" customHeight="1">
      <c r="B2" s="1" t="inlineStr">
        <is>
          <t>FoF-Level NAV Roll-Forward and Fee Layering</t>
        </is>
      </c>
    </row>
    <row r="4">
      <c r="B4" s="8" t="inlineStr">
        <is>
          <t>Line item</t>
        </is>
      </c>
      <c r="C4" s="8" t="inlineStr">
        <is>
          <t>Value</t>
        </is>
      </c>
    </row>
    <row r="5">
      <c r="B5" t="inlineStr">
        <is>
          <t>Beginning-of-period FoF NAV</t>
        </is>
      </c>
      <c r="C5" s="9" t="n">
        <v>380</v>
      </c>
    </row>
    <row r="6">
      <c r="B6" t="inlineStr">
        <is>
          <t>+ Capital called from LPs this period</t>
        </is>
      </c>
      <c r="C6" s="9" t="n">
        <v>45</v>
      </c>
    </row>
    <row r="7">
      <c r="B7" t="inlineStr">
        <is>
          <t>- Distributions to LPs this period</t>
        </is>
      </c>
      <c r="C7" s="9" t="n">
        <v>38</v>
      </c>
    </row>
    <row r="8">
      <c r="B8" t="inlineStr">
        <is>
          <t>- FoF management fee this period</t>
        </is>
      </c>
      <c r="C8" s="10">
        <f>Assumptions!$C$5*Assumptions!$C$6</f>
        <v/>
      </c>
    </row>
    <row r="9">
      <c r="B9" t="inlineStr">
        <is>
          <t>- FoF carried interest this period</t>
        </is>
      </c>
      <c r="C9" s="10">
        <f>MAX(0,C7-C5*Assumptions!$C$8)*Assumptions!$C$7</f>
        <v/>
      </c>
    </row>
    <row r="10">
      <c r="B10" t="inlineStr">
        <is>
          <t>+/- Net realized/unrealized gain (underlying funds)</t>
        </is>
      </c>
      <c r="C10" s="9" t="n">
        <v>28.13</v>
      </c>
    </row>
    <row r="11">
      <c r="B11" t="inlineStr">
        <is>
          <t>Computed ending-of-period FoF NAV</t>
        </is>
      </c>
      <c r="C11" s="10">
        <f>C5+C6-C7-C8-C9+C10</f>
        <v/>
      </c>
    </row>
    <row r="12">
      <c r="B12" t="inlineStr">
        <is>
          <t>Reported ending-of-period FoF NAV</t>
        </is>
      </c>
      <c r="C12" s="9" t="n">
        <v>411</v>
      </c>
    </row>
    <row r="13">
      <c r="B13" t="inlineStr">
        <is>
          <t>Reconciliation residual (computed vs. reported ending NAV)</t>
        </is>
      </c>
      <c r="C13" s="10">
        <f>C11-C12</f>
        <v/>
      </c>
    </row>
    <row r="15">
      <c r="B15" t="inlineStr">
        <is>
          <t>Total LP capital called to date</t>
        </is>
      </c>
      <c r="C15" s="9" t="n">
        <v>400</v>
      </c>
    </row>
    <row r="16">
      <c r="B16" t="inlineStr">
        <is>
          <t>Total LP distributions to date</t>
        </is>
      </c>
      <c r="C16" s="9" t="n">
        <v>165</v>
      </c>
    </row>
  </sheetData>
  <mergeCells count="1">
    <mergeCell ref="B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52" customWidth="1" min="2" max="2"/>
    <col width="18" customWidth="1" min="3" max="3"/>
  </cols>
  <sheetData>
    <row r="2" ht="28" customHeight="1">
      <c r="B2" s="1" t="inlineStr">
        <is>
          <t>FoF Net Multiples, Look-Through Gross Multiples, and Fee Drag</t>
        </is>
      </c>
    </row>
    <row r="4">
      <c r="B4" s="8" t="inlineStr">
        <is>
          <t>Metric</t>
        </is>
      </c>
      <c r="C4" s="8" t="inlineStr">
        <is>
          <t>Value</t>
        </is>
      </c>
    </row>
    <row r="5">
      <c r="B5" t="inlineStr">
        <is>
          <t>FoF net DPI (distributions / paid-in, to LP)</t>
        </is>
      </c>
      <c r="C5" s="17">
        <f>IFERROR('NAV Rollforward &amp; Fee Layering'!C16/'NAV Rollforward &amp; Fee Layering'!C15,0)</f>
        <v/>
      </c>
    </row>
    <row r="6">
      <c r="B6" t="inlineStr">
        <is>
          <t>FoF net RVPI (residual value / paid-in, to LP)</t>
        </is>
      </c>
      <c r="C6" s="17">
        <f>IFERROR('NAV Rollforward &amp; Fee Layering'!C12/'NAV Rollforward &amp; Fee Layering'!C15,0)</f>
        <v/>
      </c>
    </row>
    <row r="7">
      <c r="B7" t="inlineStr">
        <is>
          <t>FoF net TVPI (to LP)</t>
        </is>
      </c>
      <c r="C7" s="17">
        <f>C5+C6</f>
        <v/>
      </c>
    </row>
    <row r="8">
      <c r="B8" t="inlineStr">
        <is>
          <t>Look-through gross TVPI (weighted, underlying funds)</t>
        </is>
      </c>
      <c r="C8" s="17">
        <f>'Underlying Fund Portfolio'!J13</f>
        <v/>
      </c>
    </row>
    <row r="9">
      <c r="B9" t="inlineStr">
        <is>
          <t>Fee-layering drag (gross TVPI - FoF net TVPI)</t>
        </is>
      </c>
      <c r="C9" s="17">
        <f>C8-C7</f>
        <v/>
      </c>
    </row>
    <row r="10">
      <c r="B10" t="inlineStr">
        <is>
          <t>Fee-layering drag, $ of paid-in capital</t>
        </is>
      </c>
      <c r="C10" s="10">
        <f>C9*'NAV Rollforward &amp; Fee Layering'!C15</f>
        <v/>
      </c>
    </row>
  </sheetData>
  <mergeCells count="1">
    <mergeCell ref="B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C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18" customWidth="1" min="3" max="3"/>
  </cols>
  <sheetData>
    <row r="2" ht="28" customHeight="1">
      <c r="B2" s="1" t="inlineStr">
        <is>
          <t>Fund-of-Funds Model Checks</t>
        </is>
      </c>
    </row>
    <row r="4">
      <c r="B4" s="8" t="inlineStr">
        <is>
          <t>Check</t>
        </is>
      </c>
      <c r="C4" s="8" t="inlineStr">
        <is>
          <t>Status</t>
        </is>
      </c>
    </row>
    <row r="5">
      <c r="B5" t="inlineStr">
        <is>
          <t>NAV roll-forward reconciles</t>
        </is>
      </c>
      <c r="C5">
        <f>IF(ABS('NAV Rollforward &amp; Fee Layering'!C13)&lt;0.01,"PASS","FAIL")</f>
        <v/>
      </c>
    </row>
    <row r="6">
      <c r="B6" t="inlineStr">
        <is>
          <t>TVPI equals DPI plus RVPI</t>
        </is>
      </c>
      <c r="C6">
        <f>IF(ABS('Performance &amp; Multiples'!C7-('Performance &amp; Multiples'!C5+'Performance &amp; Multiples'!C6))&lt;0.0001,"PASS","FAIL")</f>
        <v/>
      </c>
    </row>
    <row r="7">
      <c r="B7" t="inlineStr">
        <is>
          <t>Fee-layering drag is nonnegative</t>
        </is>
      </c>
      <c r="C7">
        <f>IF('Performance &amp; Multiples'!C9&gt;=-0.0001,"PASS","FAIL")</f>
        <v/>
      </c>
    </row>
    <row r="8">
      <c r="B8" t="inlineStr">
        <is>
          <t>Single-fund concentration within limit</t>
        </is>
      </c>
      <c r="C8">
        <f>IF('Underlying Fund Portfolio'!C16&lt;=Assumptions!$E$11,"PASS","BREACH")</f>
        <v/>
      </c>
    </row>
    <row r="9">
      <c r="B9" t="inlineStr">
        <is>
          <t>Portfolio called capital does not exceed commitments</t>
        </is>
      </c>
      <c r="C9">
        <f>IF('Underlying Fund Portfolio'!F13&lt;='Underlying Fund Portfolio'!E13,"PASS","FAIL")</f>
        <v/>
      </c>
    </row>
    <row r="10">
      <c r="B10" t="inlineStr">
        <is>
          <t>FoF-level called capital does not exceed total commitments</t>
        </is>
      </c>
      <c r="C10">
        <f>IF('NAV Rollforward &amp; Fee Layering'!C15&lt;=Assumptions!$C$5,"PASS","FAIL")</f>
        <v/>
      </c>
    </row>
    <row r="11">
      <c r="B11" t="inlineStr">
        <is>
          <t>Overall</t>
        </is>
      </c>
      <c r="C11">
        <f>IF(COUNTIF(C5:C10,"FAIL")+COUNTIF(C5:C10,"BREACH")&gt;0,"BREACH",IF(COUNTIF(C5:C10,"REVIEW")&gt;0,"REVIEW","PASS"))</f>
        <v/>
      </c>
    </row>
  </sheetData>
  <mergeCells count="1">
    <mergeCell ref="B2:C2"/>
  </mergeCells>
  <conditionalFormatting sqref="C5:C11">
    <cfRule type="expression" priority="1" dxfId="0">
      <formula>C5="PASS"</formula>
    </cfRule>
    <cfRule type="expression" priority="2" dxfId="1">
      <formula>C5="FAIL"</formula>
    </cfRule>
    <cfRule type="expression" priority="3" dxfId="2">
      <formula>C5="REVIEW"</formula>
    </cfRule>
    <cfRule type="expression" priority="4" dxfId="1">
      <formula>C5="BREACH"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E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58" customWidth="1" min="3" max="3"/>
    <col width="16" customWidth="1" min="4" max="4"/>
    <col width="48" customWidth="1" min="5" max="5"/>
  </cols>
  <sheetData>
    <row r="2" ht="28" customHeight="1">
      <c r="B2" s="1" t="inlineStr">
        <is>
          <t>Source Register</t>
        </is>
      </c>
    </row>
    <row r="4">
      <c r="B4" s="8" t="inlineStr">
        <is>
          <t>Input / dataset</t>
        </is>
      </c>
      <c r="C4" s="8" t="inlineStr">
        <is>
          <t>Source URL or document</t>
        </is>
      </c>
      <c r="D4" s="8" t="inlineStr">
        <is>
          <t>As-of</t>
        </is>
      </c>
      <c r="E4" s="8" t="inlineStr">
        <is>
          <t>Notes / transformation</t>
        </is>
      </c>
    </row>
    <row r="5">
      <c r="B5" s="21" t="inlineStr">
        <is>
          <t>Underlying fund capital account statements</t>
        </is>
      </c>
      <c r="C5" s="21" t="inlineStr">
        <is>
          <t>[GP quarterly/annual capital account statement]</t>
        </is>
      </c>
      <c r="D5" s="21" t="inlineStr">
        <is>
          <t>[period end]</t>
        </is>
      </c>
      <c r="E5" s="21" t="inlineStr">
        <is>
          <t>Commitment, called, distributed, reported NAV per underlying fund</t>
        </is>
      </c>
    </row>
    <row r="6">
      <c r="B6" s="21" t="inlineStr">
        <is>
          <t>FoF administrator NAV package</t>
        </is>
      </c>
      <c r="C6" s="21" t="inlineStr">
        <is>
          <t>[fund administrator report]</t>
        </is>
      </c>
      <c r="D6" s="21" t="inlineStr">
        <is>
          <t>[period end]</t>
        </is>
      </c>
      <c r="E6" s="21" t="inlineStr">
        <is>
          <t>FoF-level beginning/ending NAV, capital called and distributed to LPs</t>
        </is>
      </c>
    </row>
    <row r="7">
      <c r="B7" s="21" t="inlineStr">
        <is>
          <t>Fee letter / limited partnership agreement</t>
        </is>
      </c>
      <c r="C7" s="21" t="inlineStr">
        <is>
          <t>[LPA / side letter]</t>
        </is>
      </c>
      <c r="D7" s="21" t="inlineStr">
        <is>
          <t>[effective date]</t>
        </is>
      </c>
      <c r="E7" s="21" t="inlineStr">
        <is>
          <t>FoF management fee rate, carried interest rate, hurdle</t>
        </is>
      </c>
    </row>
  </sheetData>
  <mergeCells count="1">
    <mergeCell ref="B2:E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28" customWidth="1" min="4" max="4"/>
    <col width="38" customWidth="1" min="5" max="5"/>
    <col width="34" customWidth="1" min="6" max="6"/>
    <col width="18" customWidth="1" min="7" max="7"/>
  </cols>
  <sheetData>
    <row r="2" ht="28" customHeight="1">
      <c r="B2" s="1" t="inlineStr">
        <is>
          <t>Refresh Log</t>
        </is>
      </c>
    </row>
    <row r="4">
      <c r="B4" s="8" t="inlineStr">
        <is>
          <t>Date</t>
        </is>
      </c>
      <c r="C4" s="8" t="inlineStr">
        <is>
          <t>Trigger</t>
        </is>
      </c>
      <c r="D4" s="8" t="inlineStr">
        <is>
          <t>Source snapshot</t>
        </is>
      </c>
      <c r="E4" s="8" t="inlineStr">
        <is>
          <t>What changed</t>
        </is>
      </c>
      <c r="F4" s="8" t="inlineStr">
        <is>
          <t>Reviewer / challenge</t>
        </is>
      </c>
      <c r="G4" s="8" t="inlineStr">
        <is>
          <t>Next check</t>
        </is>
      </c>
    </row>
    <row r="5">
      <c r="B5" s="22" t="n"/>
      <c r="C5" s="22" t="n"/>
      <c r="D5" s="22" t="n"/>
      <c r="E5" s="22" t="n"/>
      <c r="F5" s="22" t="n"/>
      <c r="G5" s="22" t="n"/>
    </row>
    <row r="6">
      <c r="B6" s="22" t="n"/>
      <c r="C6" s="22" t="n"/>
      <c r="D6" s="22" t="n"/>
      <c r="E6" s="22" t="n"/>
      <c r="F6" s="22" t="n"/>
      <c r="G6" s="22" t="n"/>
    </row>
    <row r="7">
      <c r="B7" s="22" t="n"/>
      <c r="C7" s="22" t="n"/>
      <c r="D7" s="22" t="n"/>
      <c r="E7" s="22" t="n"/>
      <c r="F7" s="22" t="n"/>
      <c r="G7" s="22" t="n"/>
    </row>
    <row r="8">
      <c r="B8" s="22" t="n"/>
      <c r="C8" s="22" t="n"/>
      <c r="D8" s="22" t="n"/>
      <c r="E8" s="22" t="n"/>
      <c r="F8" s="22" t="n"/>
      <c r="G8" s="22" t="n"/>
    </row>
    <row r="9">
      <c r="B9" s="22" t="n"/>
      <c r="C9" s="22" t="n"/>
      <c r="D9" s="22" t="n"/>
      <c r="E9" s="22" t="n"/>
      <c r="F9" s="22" t="n"/>
      <c r="G9" s="22" t="n"/>
    </row>
    <row r="10">
      <c r="B10" s="22" t="n"/>
      <c r="C10" s="22" t="n"/>
      <c r="D10" s="22" t="n"/>
      <c r="E10" s="22" t="n"/>
      <c r="F10" s="22" t="n"/>
      <c r="G10" s="22" t="n"/>
    </row>
    <row r="11">
      <c r="B11" s="22" t="n"/>
      <c r="C11" s="22" t="n"/>
      <c r="D11" s="22" t="n"/>
      <c r="E11" s="22" t="n"/>
      <c r="F11" s="22" t="n"/>
      <c r="G11" s="22" t="n"/>
    </row>
    <row r="12">
      <c r="B12" s="22" t="n"/>
      <c r="C12" s="22" t="n"/>
      <c r="D12" s="22" t="n"/>
      <c r="E12" s="22" t="n"/>
      <c r="F12" s="22" t="n"/>
      <c r="G12" s="22" t="n"/>
    </row>
    <row r="13">
      <c r="B13" s="22" t="n"/>
      <c r="C13" s="22" t="n"/>
      <c r="D13" s="22" t="n"/>
      <c r="E13" s="22" t="n"/>
      <c r="F13" s="22" t="n"/>
      <c r="G13" s="22" t="n"/>
    </row>
    <row r="14">
      <c r="B14" s="22" t="n"/>
      <c r="C14" s="22" t="n"/>
      <c r="D14" s="22" t="n"/>
      <c r="E14" s="22" t="n"/>
      <c r="F14" s="22" t="n"/>
      <c r="G14" s="22" t="n"/>
    </row>
    <row r="15">
      <c r="B15" s="22" t="n"/>
      <c r="C15" s="22" t="n"/>
      <c r="D15" s="22" t="n"/>
      <c r="E15" s="22" t="n"/>
      <c r="F15" s="22" t="n"/>
      <c r="G15" s="22" t="n"/>
    </row>
    <row r="16">
      <c r="B16" s="22" t="n"/>
      <c r="C16" s="22" t="n"/>
      <c r="D16" s="22" t="n"/>
      <c r="E16" s="22" t="n"/>
      <c r="F16" s="22" t="n"/>
      <c r="G16" s="22" t="n"/>
    </row>
    <row r="17">
      <c r="B17" s="22" t="n"/>
      <c r="C17" s="22" t="n"/>
      <c r="D17" s="22" t="n"/>
      <c r="E17" s="22" t="n"/>
      <c r="F17" s="22" t="n"/>
      <c r="G17" s="22" t="n"/>
    </row>
    <row r="18">
      <c r="B18" s="22" t="n"/>
      <c r="C18" s="22" t="n"/>
      <c r="D18" s="22" t="n"/>
      <c r="E18" s="22" t="n"/>
      <c r="F18" s="22" t="n"/>
      <c r="G18" s="22" t="n"/>
    </row>
    <row r="19">
      <c r="B19" s="22" t="n"/>
      <c r="C19" s="22" t="n"/>
      <c r="D19" s="22" t="n"/>
      <c r="E19" s="22" t="n"/>
      <c r="F19" s="22" t="n"/>
      <c r="G19" s="22" t="n"/>
    </row>
    <row r="20">
      <c r="B20" s="22" t="n"/>
      <c r="C20" s="22" t="n"/>
      <c r="D20" s="22" t="n"/>
      <c r="E20" s="22" t="n"/>
      <c r="F20" s="22" t="n"/>
      <c r="G20" s="22" t="n"/>
    </row>
    <row r="21">
      <c r="B21" s="22" t="n"/>
      <c r="C21" s="22" t="n"/>
      <c r="D21" s="22" t="n"/>
      <c r="E21" s="22" t="n"/>
      <c r="F21" s="22" t="n"/>
      <c r="G21" s="22" t="n"/>
    </row>
    <row r="22">
      <c r="B22" s="22" t="n"/>
      <c r="C22" s="22" t="n"/>
      <c r="D22" s="22" t="n"/>
      <c r="E22" s="22" t="n"/>
      <c r="F22" s="22" t="n"/>
      <c r="G22" s="22" t="n"/>
    </row>
    <row r="23">
      <c r="B23" s="22" t="n"/>
      <c r="C23" s="22" t="n"/>
      <c r="D23" s="22" t="n"/>
      <c r="E23" s="22" t="n"/>
      <c r="F23" s="22" t="n"/>
      <c r="G23" s="22" t="n"/>
    </row>
    <row r="24">
      <c r="B24" s="22" t="n"/>
      <c r="C24" s="22" t="n"/>
      <c r="D24" s="22" t="n"/>
      <c r="E24" s="22" t="n"/>
      <c r="F24" s="22" t="n"/>
      <c r="G24" s="22" t="n"/>
    </row>
    <row r="25">
      <c r="B25" s="22" t="n"/>
      <c r="C25" s="22" t="n"/>
      <c r="D25" s="22" t="n"/>
      <c r="E25" s="22" t="n"/>
      <c r="F25" s="22" t="n"/>
      <c r="G25" s="22" t="n"/>
    </row>
    <row r="26">
      <c r="B26" s="22" t="n"/>
      <c r="C26" s="22" t="n"/>
      <c r="D26" s="22" t="n"/>
      <c r="E26" s="22" t="n"/>
      <c r="F26" s="22" t="n"/>
      <c r="G26" s="22" t="n"/>
    </row>
    <row r="27">
      <c r="B27" s="22" t="n"/>
      <c r="C27" s="22" t="n"/>
      <c r="D27" s="22" t="n"/>
      <c r="E27" s="22" t="n"/>
      <c r="F27" s="22" t="n"/>
      <c r="G27" s="22" t="n"/>
    </row>
    <row r="28">
      <c r="B28" s="22" t="n"/>
      <c r="C28" s="22" t="n"/>
      <c r="D28" s="22" t="n"/>
      <c r="E28" s="22" t="n"/>
      <c r="F28" s="22" t="n"/>
      <c r="G28" s="22" t="n"/>
    </row>
    <row r="29">
      <c r="B29" s="22" t="n"/>
      <c r="C29" s="22" t="n"/>
      <c r="D29" s="22" t="n"/>
      <c r="E29" s="22" t="n"/>
      <c r="F29" s="22" t="n"/>
      <c r="G29" s="22" t="n"/>
    </row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2026-08-17T23:18:14Z</dcterms:created>
  <dcterms:modified xmlns:dcterms="http://purl.org/dc/terms/" xmlns:xsi="http://www.w3.org/2001/XMLSchema-instance" xsi:type="dcterms:W3CDTF">2026-08-17T23:18:14Z</dcterms:modified>
</cp:coreProperties>
</file>