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3" t="inlineStr">
        <is>
          <t>[Name / vintage]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  <c r="F64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B5" t="inlineStr"/>
      <c r="C5" t="inlineStr"/>
      <c r="D5" t="inlineStr">
        <is>
          <t>NAV roll-forward reconciles to capital called, distributed and fees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TVPI equals DPI plus RVPI at both FoF and look-through level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no single underlying fund exceeds the concentration limit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9" t="n">
        <v>500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15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3" t="inlineStr">
        <is>
          <t>[Fund A]</t>
        </is>
      </c>
      <c r="C5" s="15" t="n">
        <v>2016</v>
      </c>
      <c r="D5" s="3" t="inlineStr">
        <is>
          <t>Buyout</t>
        </is>
      </c>
      <c r="E5" s="9" t="n">
        <v>60</v>
      </c>
      <c r="F5" s="9" t="n">
        <v>58</v>
      </c>
      <c r="G5" s="9" t="n">
        <v>71</v>
      </c>
      <c r="H5" s="9" t="n">
        <v>42</v>
      </c>
      <c r="I5" s="10">
        <f>H5*(1-Assumptions!$E$10)</f>
        <v/>
      </c>
      <c r="J5" s="17">
        <f>IFERROR((G5+I5)/F5,0)</f>
        <v/>
      </c>
    </row>
    <row r="6">
      <c r="B6" s="3" t="inlineStr">
        <is>
          <t>[Fund B]</t>
        </is>
      </c>
      <c r="C6" s="15" t="n">
        <v>2017</v>
      </c>
      <c r="D6" s="3" t="inlineStr">
        <is>
          <t>Buyout</t>
        </is>
      </c>
      <c r="E6" s="9" t="n">
        <v>55</v>
      </c>
      <c r="F6" s="9" t="n">
        <v>52</v>
      </c>
      <c r="G6" s="9" t="n">
        <v>48</v>
      </c>
      <c r="H6" s="9" t="n">
        <v>55</v>
      </c>
      <c r="I6" s="10">
        <f>H6*(1-Assumptions!$E$10)</f>
        <v/>
      </c>
      <c r="J6" s="17">
        <f>IFERROR((G6+I6)/F6,0)</f>
        <v/>
      </c>
    </row>
    <row r="7">
      <c r="B7" s="3" t="inlineStr">
        <is>
          <t>[Fund C]</t>
        </is>
      </c>
      <c r="C7" s="15" t="n">
        <v>2018</v>
      </c>
      <c r="D7" s="3" t="inlineStr">
        <is>
          <t>Growth equity</t>
        </is>
      </c>
      <c r="E7" s="9" t="n">
        <v>65</v>
      </c>
      <c r="F7" s="9" t="n">
        <v>58</v>
      </c>
      <c r="G7" s="9" t="n">
        <v>30</v>
      </c>
      <c r="H7" s="9" t="n">
        <v>78</v>
      </c>
      <c r="I7" s="10">
        <f>H7*(1-Assumptions!$E$10)</f>
        <v/>
      </c>
      <c r="J7" s="17">
        <f>IFERROR((G7+I7)/F7,0)</f>
        <v/>
      </c>
    </row>
    <row r="8">
      <c r="B8" s="3" t="inlineStr">
        <is>
          <t>[Fund D]</t>
        </is>
      </c>
      <c r="C8" s="15" t="n">
        <v>2019</v>
      </c>
      <c r="D8" s="3" t="inlineStr">
        <is>
          <t>Venture</t>
        </is>
      </c>
      <c r="E8" s="9" t="n">
        <v>45</v>
      </c>
      <c r="F8" s="9" t="n">
        <v>38</v>
      </c>
      <c r="G8" s="9" t="n">
        <v>12</v>
      </c>
      <c r="H8" s="9" t="n">
        <v>58</v>
      </c>
      <c r="I8" s="10">
        <f>H8*(1-Assumptions!$E$10)</f>
        <v/>
      </c>
      <c r="J8" s="17">
        <f>IFERROR((G8+I8)/F8,0)</f>
        <v/>
      </c>
    </row>
    <row r="9">
      <c r="B9" s="3" t="inlineStr">
        <is>
          <t>[Fund E]</t>
        </is>
      </c>
      <c r="C9" s="15" t="n">
        <v>2019</v>
      </c>
      <c r="D9" s="3" t="inlineStr">
        <is>
          <t>Buyout</t>
        </is>
      </c>
      <c r="E9" s="9" t="n">
        <v>70</v>
      </c>
      <c r="F9" s="9" t="n">
        <v>63</v>
      </c>
      <c r="G9" s="9" t="n">
        <v>25</v>
      </c>
      <c r="H9" s="9" t="n">
        <v>82</v>
      </c>
      <c r="I9" s="10">
        <f>H9*(1-Assumptions!$E$10)</f>
        <v/>
      </c>
      <c r="J9" s="17">
        <f>IFERROR((G9+I9)/F9,0)</f>
        <v/>
      </c>
    </row>
    <row r="10">
      <c r="B10" s="3" t="inlineStr">
        <is>
          <t>[Fund F]</t>
        </is>
      </c>
      <c r="C10" s="15" t="n">
        <v>2020</v>
      </c>
      <c r="D10" s="3" t="inlineStr">
        <is>
          <t>Secondaries</t>
        </is>
      </c>
      <c r="E10" s="9" t="n">
        <v>50</v>
      </c>
      <c r="F10" s="9" t="n">
        <v>44</v>
      </c>
      <c r="G10" s="9" t="n">
        <v>18</v>
      </c>
      <c r="H10" s="9" t="n">
        <v>56</v>
      </c>
      <c r="I10" s="10">
        <f>H10*(1-Assumptions!$E$10)</f>
        <v/>
      </c>
      <c r="J10" s="17">
        <f>IFERROR((G10+I10)/F10,0)</f>
        <v/>
      </c>
    </row>
    <row r="11">
      <c r="B11" s="3" t="inlineStr">
        <is>
          <t>[Fund G]</t>
        </is>
      </c>
      <c r="C11" s="15" t="n">
        <v>2021</v>
      </c>
      <c r="D11" s="3" t="inlineStr">
        <is>
          <t>Growth equity</t>
        </is>
      </c>
      <c r="E11" s="9" t="n">
        <v>60</v>
      </c>
      <c r="F11" s="9" t="n">
        <v>41</v>
      </c>
      <c r="G11" s="9" t="n">
        <v>4</v>
      </c>
      <c r="H11" s="9" t="n">
        <v>51</v>
      </c>
      <c r="I11" s="10">
        <f>H11*(1-Assumptions!$E$10)</f>
        <v/>
      </c>
      <c r="J11" s="17">
        <f>IFERROR((G11+I11)/F11,0)</f>
        <v/>
      </c>
    </row>
    <row r="12">
      <c r="B12" s="3" t="inlineStr">
        <is>
          <t>[Fund H]</t>
        </is>
      </c>
      <c r="C12" s="15" t="n">
        <v>2022</v>
      </c>
      <c r="D12" s="3" t="inlineStr">
        <is>
          <t>Buyout</t>
        </is>
      </c>
      <c r="E12" s="9" t="n">
        <v>65</v>
      </c>
      <c r="F12" s="9" t="n">
        <v>32</v>
      </c>
      <c r="G12" s="9" t="n">
        <v>0.5</v>
      </c>
      <c r="H12" s="9" t="n">
        <v>36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9" t="n">
        <v>380</v>
      </c>
    </row>
    <row r="6">
      <c r="B6" t="inlineStr">
        <is>
          <t>+ Capital called from LPs this period</t>
        </is>
      </c>
      <c r="C6" s="9" t="n">
        <v>45</v>
      </c>
    </row>
    <row r="7">
      <c r="B7" t="inlineStr">
        <is>
          <t>- Distributions to LPs this period</t>
        </is>
      </c>
      <c r="C7" s="9" t="n">
        <v>38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9" t="n">
        <v>28.13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9" t="n">
        <v>411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9" t="n">
        <v>400</v>
      </c>
    </row>
    <row r="16">
      <c r="B16" t="inlineStr">
        <is>
          <t>Total LP distributions to date</t>
        </is>
      </c>
      <c r="C16" s="9" t="n">
        <v>165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n"/>
      <c r="C5" s="22" t="n"/>
      <c r="D5" s="22" t="n"/>
      <c r="E5" s="22" t="n"/>
      <c r="F5" s="22" t="n"/>
      <c r="G5" s="22" t="n"/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2026-08-17T23:31:30Z</dcterms:created>
  <dcterms:modified xmlns:dcterms="http://purl.org/dc/terms/" xmlns:xsi="http://www.w3.org/2001/XMLSchema-instance" xsi:type="dcterms:W3CDTF">2026-08-17T23:31:31Z</dcterms:modified>
</cp:coreProperties>
</file>