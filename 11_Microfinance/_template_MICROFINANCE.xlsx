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Loan Portfolio" sheetId="2" state="visible" r:id="rId4"/>
    <sheet name="Sustainability" sheetId="3" state="visible" r:id="rId5"/>
    <sheet name="Provisioning" sheetId="4" state="visible" r:id="rId6"/>
    <sheet name="Growth &amp; Productivity" sheetId="5" state="visible" r:id="rId7"/>
    <sheet name="Refresh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<sst xmlns="http://schemas.openxmlformats.org/spreadsheetml/2006/main" count="66" uniqueCount="63">
  <si>
    <t xml:space="preserve">[MFI] — Microfinance Model</t>
  </si>
  <si>
    <t xml:space="preserve">Institution:</t>
  </si>
  <si>
    <t xml:space="preserve">[fill in]</t>
  </si>
  <si>
    <t xml:space="preserve">Region:</t>
  </si>
  <si>
    <t xml:space="preserve">Last refreshed:</t>
  </si>
  <si>
    <t xml:space="preserve">[date]</t>
  </si>
  <si>
    <t xml:space="preserve">Refresh cadence:</t>
  </si>
  <si>
    <t xml:space="preserve">Weekly</t>
  </si>
  <si>
    <t xml:space="preserve">Loan Portfolio Overview</t>
  </si>
  <si>
    <t xml:space="preserve">Gross loan portfolio (GLP, $)</t>
  </si>
  <si>
    <t xml:space="preserve">Number of active borrowers</t>
  </si>
  <si>
    <t xml:space="preserve">Portfolio at risk &gt;30 days ($)</t>
  </si>
  <si>
    <t xml:space="preserve">Portfolio at risk &gt;90 days ($)</t>
  </si>
  <si>
    <t xml:space="preserve">Write-offs this period ($)</t>
  </si>
  <si>
    <t xml:space="preserve">Average loan balance ($)</t>
  </si>
  <si>
    <t xml:space="preserve">Portfolio Quality</t>
  </si>
  <si>
    <t xml:space="preserve">PAR 30 %</t>
  </si>
  <si>
    <t xml:space="preserve">PAR 90 %</t>
  </si>
  <si>
    <t xml:space="preserve">Write-off ratio (annualized)</t>
  </si>
  <si>
    <t xml:space="preserve">Avg loan / borrower check</t>
  </si>
  <si>
    <t xml:space="preserve">Operational &amp; Financial Self-Sufficiency (OSS/FSS)</t>
  </si>
  <si>
    <t xml:space="preserve">Inputs</t>
  </si>
  <si>
    <t xml:space="preserve">Financial revenue (interest + fees, $)</t>
  </si>
  <si>
    <t xml:space="preserve">Financial expense (cost of funds, $)</t>
  </si>
  <si>
    <t xml:space="preserve">Loan loss provision expense ($)</t>
  </si>
  <si>
    <t xml:space="preserve">Operating expense ($)</t>
  </si>
  <si>
    <t xml:space="preserve">Cost of capital at market rate (imputed, $)</t>
  </si>
  <si>
    <t xml:space="preserve">Outputs</t>
  </si>
  <si>
    <t xml:space="preserve">Operational Self-Sufficiency (OSS) = Rev / (Fin exp + Loss prov + Opex)</t>
  </si>
  <si>
    <t xml:space="preserve">&gt;100% = covering costs from operations, not subsidy-dependent</t>
  </si>
  <si>
    <t xml:space="preserve">Financial Self-Sufficiency (FSS) = Rev / (Fin exp + Loss prov + Opex + imputed cost of capital)</t>
  </si>
  <si>
    <t xml:space="preserve">Stricter than OSS — adjusts for subsidized funding cost vs. commercial rate</t>
  </si>
  <si>
    <t xml:space="preserve">Portfolio yield (Rev / avg GLP)</t>
  </si>
  <si>
    <t xml:space="preserve">Loan Loss Reserve Adequacy (days-past-due tiering)</t>
  </si>
  <si>
    <t xml:space="preserve">Aging bucket</t>
  </si>
  <si>
    <t xml:space="preserve">Outstanding balance ($)</t>
  </si>
  <si>
    <t xml:space="preserve">Reserve rate</t>
  </si>
  <si>
    <t xml:space="preserve">Required reserve ($)</t>
  </si>
  <si>
    <t xml:space="preserve">Current (0-30 days)</t>
  </si>
  <si>
    <t xml:space="preserve">31-90 days</t>
  </si>
  <si>
    <t xml:space="preserve">91-180 days</t>
  </si>
  <si>
    <t xml:space="preserve">180+ days / written off pending</t>
  </si>
  <si>
    <t xml:space="preserve">Total outstanding portfolio</t>
  </si>
  <si>
    <t xml:space="preserve">Total required reserve (sum of tiers)</t>
  </si>
  <si>
    <t xml:space="preserve">Actual reserve held ($)</t>
  </si>
  <si>
    <t xml:space="preserve">Reserve adequacy (actual / required)</t>
  </si>
  <si>
    <t xml:space="preserve">&lt;100% = under-reserved relative to portfolio risk profile — review provisioning policy</t>
  </si>
  <si>
    <t xml:space="preserve">Cross-check vs Loan Portfolio tab (should tie to GLP)</t>
  </si>
  <si>
    <t xml:space="preserve">Growth &amp; Loan Officer Productivity</t>
  </si>
  <si>
    <t xml:space="preserve">Active borrowers — prior period</t>
  </si>
  <si>
    <t xml:space="preserve">Active borrowers — current period</t>
  </si>
  <si>
    <t xml:space="preserve">New disbursements this period ($)</t>
  </si>
  <si>
    <t xml:space="preserve">Number of loan officers</t>
  </si>
  <si>
    <t xml:space="preserve">Borrower growth rate (period over period)</t>
  </si>
  <si>
    <t xml:space="preserve">Borrowers per loan officer (caseload)</t>
  </si>
  <si>
    <t xml:space="preserve">Typical sustainable caseload benchmark: 250-400 borrowers/officer, group-lending-dependent</t>
  </si>
  <si>
    <t xml:space="preserve">Disbursement per active borrower ($, avg)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</si>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</sst>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#,##0;\(#,##0\);\-"/>
    <numFmt numFmtId="167" formatCode="0.0%;\(0.0%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BFBFB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2</v>
      </c>
    </row>
    <row r="6" customFormat="false" ht="15" hidden="false" customHeight="false" outlineLevel="0" collapsed="false">
      <c r="B6" s="2" t="s">
        <v>4</v>
      </c>
      <c r="C6" s="3" t="s">
        <v>5</v>
      </c>
    </row>
    <row r="7" customFormat="false" ht="15" hidden="false" customHeight="false" outlineLevel="0" collapsed="false">
      <c r="B7" s="2" t="s">
        <v>6</v>
      </c>
      <c r="C7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8</v>
      </c>
    </row>
    <row r="5" customFormat="false" ht="15" hidden="false" customHeight="false" outlineLevel="0" collapsed="false">
      <c r="B5" s="4" t="s">
        <v>9</v>
      </c>
      <c r="C5" s="5" t="n">
        <v>0</v>
      </c>
    </row>
    <row r="6" customFormat="false" ht="15" hidden="false" customHeight="false" outlineLevel="0" collapsed="false">
      <c r="B6" s="4" t="s">
        <v>10</v>
      </c>
      <c r="C6" s="6" t="n">
        <v>0</v>
      </c>
    </row>
    <row r="7" customFormat="false" ht="15" hidden="false" customHeight="false" outlineLevel="0" collapsed="false">
      <c r="B7" s="4" t="s">
        <v>11</v>
      </c>
      <c r="C7" s="5" t="n">
        <v>0</v>
      </c>
    </row>
    <row r="8" customFormat="false" ht="15" hidden="false" customHeight="false" outlineLevel="0" collapsed="false">
      <c r="B8" s="4" t="s">
        <v>12</v>
      </c>
      <c r="C8" s="5" t="n">
        <v>0</v>
      </c>
    </row>
    <row r="9" customFormat="false" ht="15" hidden="false" customHeight="false" outlineLevel="0" collapsed="false">
      <c r="B9" s="4" t="s">
        <v>13</v>
      </c>
      <c r="C9" s="5" t="n">
        <v>0</v>
      </c>
    </row>
    <row r="10" customFormat="false" ht="15" hidden="false" customHeight="false" outlineLevel="0" collapsed="false">
      <c r="B10" s="4" t="s">
        <v>14</v>
      </c>
      <c r="C10" s="5" t="n">
        <v>0</v>
      </c>
    </row>
    <row r="12" customFormat="false" ht="15" hidden="false" customHeight="false" outlineLevel="0" collapsed="false">
      <c r="B12" s="7" t="s">
        <v>15</v>
      </c>
    </row>
    <row r="13" customFormat="false" ht="15" hidden="false" customHeight="false" outlineLevel="0" collapsed="false">
      <c r="B13" s="0" t="s">
        <v>16</v>
      </c>
      <c r="C13" s="8" t="str">
        <f aca="false">IFERROR(C7/C5,"-")</f>
        <v>-</v>
      </c>
    </row>
    <row r="14" customFormat="false" ht="15" hidden="false" customHeight="false" outlineLevel="0" collapsed="false">
      <c r="B14" s="0" t="s">
        <v>17</v>
      </c>
      <c r="C14" s="8" t="str">
        <f aca="false">IFERROR(C8/C5,"-")</f>
        <v>-</v>
      </c>
    </row>
    <row r="15" customFormat="false" ht="15" hidden="false" customHeight="false" outlineLevel="0" collapsed="false">
      <c r="B15" s="0" t="s">
        <v>18</v>
      </c>
      <c r="C15" s="8" t="str">
        <f aca="false">IFERROR(C9/C5,"-")</f>
        <v>-</v>
      </c>
    </row>
    <row r="16" customFormat="false" ht="15" hidden="false" customHeight="false" outlineLevel="0" collapsed="false">
      <c r="B16" s="0" t="s">
        <v>19</v>
      </c>
      <c r="C16" s="9" t="str">
        <f aca="false">IFERROR(C5/C6,"-")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20</v>
      </c>
    </row>
    <row r="4" customFormat="false" ht="15" hidden="false" customHeight="false" outlineLevel="0" collapsed="false">
      <c r="B4" s="7" t="s">
        <v>21</v>
      </c>
    </row>
    <row r="5" customFormat="false" ht="15" hidden="false" customHeight="false" outlineLevel="0" collapsed="false">
      <c r="B5" s="4" t="s">
        <v>22</v>
      </c>
      <c r="C5" s="5" t="n">
        <v>0</v>
      </c>
    </row>
    <row r="6" customFormat="false" ht="15" hidden="false" customHeight="false" outlineLevel="0" collapsed="false">
      <c r="B6" s="4" t="s">
        <v>23</v>
      </c>
      <c r="C6" s="5" t="n">
        <v>0</v>
      </c>
    </row>
    <row r="7" customFormat="false" ht="15" hidden="false" customHeight="false" outlineLevel="0" collapsed="false">
      <c r="B7" s="4" t="s">
        <v>24</v>
      </c>
      <c r="C7" s="5" t="n">
        <v>0</v>
      </c>
    </row>
    <row r="8" customFormat="false" ht="15" hidden="false" customHeight="false" outlineLevel="0" collapsed="false">
      <c r="B8" s="4" t="s">
        <v>25</v>
      </c>
      <c r="C8" s="5" t="n">
        <v>0</v>
      </c>
    </row>
    <row r="9" customFormat="false" ht="15" hidden="false" customHeight="false" outlineLevel="0" collapsed="false">
      <c r="B9" s="4" t="s">
        <v>26</v>
      </c>
      <c r="C9" s="5" t="n">
        <v>0</v>
      </c>
    </row>
    <row r="11" customFormat="false" ht="15" hidden="false" customHeight="false" outlineLevel="0" collapsed="false">
      <c r="B11" s="7" t="s">
        <v>27</v>
      </c>
    </row>
    <row r="12" customFormat="false" ht="15" hidden="false" customHeight="false" outlineLevel="0" collapsed="false">
      <c r="B12" s="0" t="s">
        <v>28</v>
      </c>
      <c r="C12" s="10" t="str">
        <f aca="false">IFERROR(C5/(C6+C7+C8),"-")</f>
        <v>-</v>
      </c>
      <c r="D12" s="11" t="s">
        <v>29</v>
      </c>
    </row>
    <row r="13" customFormat="false" ht="15" hidden="false" customHeight="false" outlineLevel="0" collapsed="false">
      <c r="B13" s="0" t="s">
        <v>30</v>
      </c>
      <c r="C13" s="10" t="str">
        <f aca="false">IFERROR(C5/(C6+C7+C8+C9),"-")</f>
        <v>-</v>
      </c>
      <c r="D13" s="11" t="s">
        <v>31</v>
      </c>
    </row>
    <row r="14" customFormat="false" ht="15" hidden="false" customHeight="false" outlineLevel="0" collapsed="false">
      <c r="B14" s="0" t="s">
        <v>32</v>
      </c>
      <c r="C14" s="8" t="str">
        <f aca="false">IFERROR(C5/'Loan Portfolio'!C5,"-")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40"/>
  </cols>
  <sheetData>
    <row r="2" customFormat="false" ht="19.7" hidden="false" customHeight="false" outlineLevel="0" collapsed="false">
      <c r="B2" s="1" t="s">
        <v>33</v>
      </c>
    </row>
    <row r="4" customFormat="false" ht="15" hidden="false" customHeight="false" outlineLevel="0" collapsed="false">
      <c r="B4" s="12" t="s">
        <v>34</v>
      </c>
      <c r="C4" s="12" t="s">
        <v>35</v>
      </c>
      <c r="D4" s="12" t="s">
        <v>36</v>
      </c>
      <c r="E4" s="12" t="s">
        <v>37</v>
      </c>
    </row>
    <row r="5" customFormat="false" ht="15" hidden="false" customHeight="false" outlineLevel="0" collapsed="false">
      <c r="B5" s="4" t="s">
        <v>38</v>
      </c>
      <c r="C5" s="5" t="n">
        <v>0</v>
      </c>
      <c r="D5" s="13" t="n">
        <v>0.01</v>
      </c>
      <c r="E5" s="9" t="n">
        <f aca="false">C5*D5</f>
        <v>0</v>
      </c>
    </row>
    <row r="6" customFormat="false" ht="15" hidden="false" customHeight="false" outlineLevel="0" collapsed="false">
      <c r="B6" s="4" t="s">
        <v>39</v>
      </c>
      <c r="C6" s="5" t="n">
        <v>0</v>
      </c>
      <c r="D6" s="13" t="n">
        <v>0.1</v>
      </c>
      <c r="E6" s="9" t="n">
        <f aca="false">C6*D6</f>
        <v>0</v>
      </c>
    </row>
    <row r="7" customFormat="false" ht="15" hidden="false" customHeight="false" outlineLevel="0" collapsed="false">
      <c r="B7" s="4" t="s">
        <v>40</v>
      </c>
      <c r="C7" s="5" t="n">
        <v>0</v>
      </c>
      <c r="D7" s="13" t="n">
        <v>0.5</v>
      </c>
      <c r="E7" s="9" t="n">
        <f aca="false">C7*D7</f>
        <v>0</v>
      </c>
    </row>
    <row r="8" customFormat="false" ht="15" hidden="false" customHeight="false" outlineLevel="0" collapsed="false">
      <c r="B8" s="4" t="s">
        <v>41</v>
      </c>
      <c r="C8" s="5" t="n">
        <v>0</v>
      </c>
      <c r="D8" s="13" t="n">
        <v>1</v>
      </c>
      <c r="E8" s="9" t="n">
        <f aca="false">C8*D8</f>
        <v>0</v>
      </c>
    </row>
    <row r="9" customFormat="false" ht="15" hidden="false" customHeight="false" outlineLevel="0" collapsed="false">
      <c r="B9" s="2" t="s">
        <v>42</v>
      </c>
      <c r="C9" s="14" t="n">
        <f aca="false">SUM(C5:C8)</f>
        <v>0</v>
      </c>
    </row>
    <row r="10" customFormat="false" ht="15" hidden="false" customHeight="false" outlineLevel="0" collapsed="false">
      <c r="B10" s="2" t="s">
        <v>43</v>
      </c>
      <c r="E10" s="14" t="n">
        <f aca="false">SUM(E5:E8)</f>
        <v>0</v>
      </c>
    </row>
    <row r="12" customFormat="false" ht="15" hidden="false" customHeight="false" outlineLevel="0" collapsed="false">
      <c r="B12" s="0" t="s">
        <v>44</v>
      </c>
      <c r="C12" s="5" t="n">
        <v>0</v>
      </c>
    </row>
    <row r="13" customFormat="false" ht="15" hidden="false" customHeight="false" outlineLevel="0" collapsed="false">
      <c r="B13" s="0" t="s">
        <v>45</v>
      </c>
      <c r="C13" s="15" t="str">
        <f aca="false">IFERROR(C12/E10,"-")</f>
        <v>-</v>
      </c>
      <c r="D13" s="11" t="s">
        <v>46</v>
      </c>
    </row>
    <row r="14" customFormat="false" ht="15" hidden="false" customHeight="false" outlineLevel="0" collapsed="false">
      <c r="B14" s="0" t="s">
        <v>47</v>
      </c>
      <c r="C14" s="16" t="n">
        <f aca="false">IFERROR(C9-'Loan Portfolio'!C5,"-")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48</v>
      </c>
    </row>
    <row r="4" customFormat="false" ht="15" hidden="false" customHeight="false" outlineLevel="0" collapsed="false">
      <c r="B4" s="7" t="s">
        <v>21</v>
      </c>
    </row>
    <row r="5" customFormat="false" ht="15" hidden="false" customHeight="false" outlineLevel="0" collapsed="false">
      <c r="B5" s="4" t="s">
        <v>49</v>
      </c>
      <c r="C5" s="6" t="n">
        <v>0</v>
      </c>
    </row>
    <row r="6" customFormat="false" ht="15" hidden="false" customHeight="false" outlineLevel="0" collapsed="false">
      <c r="B6" s="4" t="s">
        <v>50</v>
      </c>
      <c r="C6" s="6" t="n">
        <v>0</v>
      </c>
    </row>
    <row r="7" customFormat="false" ht="15" hidden="false" customHeight="false" outlineLevel="0" collapsed="false">
      <c r="B7" s="4" t="s">
        <v>51</v>
      </c>
      <c r="C7" s="5" t="n">
        <v>0</v>
      </c>
    </row>
    <row r="8" customFormat="false" ht="15" hidden="false" customHeight="false" outlineLevel="0" collapsed="false">
      <c r="B8" s="4" t="s">
        <v>52</v>
      </c>
      <c r="C8" s="6" t="n">
        <v>0</v>
      </c>
    </row>
    <row r="10" customFormat="false" ht="15" hidden="false" customHeight="false" outlineLevel="0" collapsed="false">
      <c r="B10" s="7" t="s">
        <v>27</v>
      </c>
    </row>
    <row r="11" customFormat="false" ht="15" hidden="false" customHeight="false" outlineLevel="0" collapsed="false">
      <c r="B11" s="0" t="s">
        <v>53</v>
      </c>
      <c r="C11" s="8" t="str">
        <f aca="false">IFERROR((C6-C5)/C5,"-")</f>
        <v>-</v>
      </c>
    </row>
    <row r="12" customFormat="false" ht="15" hidden="false" customHeight="false" outlineLevel="0" collapsed="false">
      <c r="B12" s="0" t="s">
        <v>54</v>
      </c>
      <c r="C12" s="17" t="str">
        <f aca="false">IFERROR(C6/C8,"-")</f>
        <v>-</v>
      </c>
      <c r="D12" s="11" t="s">
        <v>55</v>
      </c>
    </row>
    <row r="13" customFormat="false" ht="15" hidden="false" customHeight="false" outlineLevel="0" collapsed="false">
      <c r="B13" s="0" t="s">
        <v>56</v>
      </c>
      <c r="C13" s="9" t="str">
        <f aca="false">IFERROR(C7/C6,"-")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57</v>
      </c>
    </row>
    <row r="4" customFormat="false" ht="15" hidden="false" customHeight="false" outlineLevel="0" collapsed="false">
      <c r="B4" s="12" t="s">
        <v>58</v>
      </c>
      <c r="C4" s="12" t="s">
        <v>59</v>
      </c>
      <c r="D4" s="12" t="s">
        <v>60</v>
      </c>
      <c r="E4" s="12" t="s">
        <v>61</v>
      </c>
      <c r="F4" s="12" t="s">
        <v>62</v>
      </c>
    </row>
    <row r="5" customFormat="false" ht="15" hidden="false" customHeight="false" outlineLevel="0" collapsed="false">
      <c r="B5" s="18"/>
      <c r="C5" s="18"/>
      <c r="D5" s="18"/>
      <c r="E5" s="18"/>
      <c r="F5" s="18"/>
    </row>
    <row r="6" customFormat="false" ht="15" hidden="false" customHeight="false" outlineLevel="0" collapsed="false">
      <c r="B6" s="18"/>
      <c r="C6" s="18"/>
      <c r="D6" s="18"/>
      <c r="E6" s="18"/>
      <c r="F6" s="18"/>
    </row>
    <row r="7" customFormat="false" ht="15" hidden="false" customHeight="false" outlineLevel="0" collapsed="false">
      <c r="B7" s="18"/>
      <c r="C7" s="18"/>
      <c r="D7" s="18"/>
      <c r="E7" s="18"/>
      <c r="F7" s="18"/>
    </row>
    <row r="8" customFormat="false" ht="15" hidden="false" customHeight="false" outlineLevel="0" collapsed="false">
      <c r="B8" s="18"/>
      <c r="C8" s="18"/>
      <c r="D8" s="18"/>
      <c r="E8" s="18"/>
      <c r="F8" s="18"/>
    </row>
    <row r="9" customFormat="false" ht="15" hidden="false" customHeight="false" outlineLevel="0" collapsed="false">
      <c r="B9" s="18"/>
      <c r="C9" s="18"/>
      <c r="D9" s="18"/>
      <c r="E9" s="18"/>
      <c r="F9" s="18"/>
    </row>
    <row r="10" customFormat="false" ht="15" hidden="false" customHeight="false" outlineLevel="0" collapsed="false">
      <c r="B10" s="18"/>
      <c r="C10" s="18"/>
      <c r="D10" s="18"/>
      <c r="E10" s="18"/>
      <c r="F10" s="18"/>
    </row>
    <row r="11" customFormat="false" ht="15" hidden="false" customHeight="false" outlineLevel="0" collapsed="false">
      <c r="B11" s="18"/>
      <c r="C11" s="18"/>
      <c r="D11" s="18"/>
      <c r="E11" s="18"/>
      <c r="F11" s="18"/>
    </row>
    <row r="12" customFormat="false" ht="15" hidden="false" customHeight="false" outlineLevel="0" collapsed="false">
      <c r="B12" s="18"/>
      <c r="C12" s="18"/>
      <c r="D12" s="18"/>
      <c r="E12" s="18"/>
      <c r="F12" s="18"/>
    </row>
    <row r="13" customFormat="false" ht="15" hidden="false" customHeight="false" outlineLevel="0" collapsed="false">
      <c r="B13" s="18"/>
      <c r="C13" s="18"/>
      <c r="D13" s="18"/>
      <c r="E13" s="18"/>
      <c r="F13" s="18"/>
    </row>
    <row r="14" customFormat="false" ht="15" hidden="false" customHeight="false" outlineLevel="0" collapsed="false">
      <c r="B14" s="18"/>
      <c r="C14" s="18"/>
      <c r="D14" s="18"/>
      <c r="E14" s="18"/>
      <c r="F14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2026-08-03T22:47:02Z</dcterms:created>
  <dc:creator>openpyxl</dc:creator>
  <dc:description/>
  <dc:language>en-US</dc:language>
  <cp:lastModifiedBy/>
  <dcterms:modified xsi:type="dcterms:W3CDTF">2026-08-03T22:47:02Z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