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Loan Portfolio" sheetId="5" state="visible" r:id="rId5"/>
    <sheet name="Sustainability" sheetId="6" state="visible" r:id="rId6"/>
    <sheet name="Provisioning" sheetId="7" state="visible" r:id="rId7"/>
    <sheet name="Growth &amp; Productivity" sheetId="8" state="visible" r:id="rId8"/>
    <sheet name="RefreshLog" sheetId="9" state="visible" r:id="rId9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\$#,##0;&quot;($&quot;#,##0\);\-"/>
    <numFmt numFmtId="165" formatCode="#,##0;\(#,##0\);\-"/>
    <numFmt numFmtId="166" formatCode="0.0%;\(0.0%\)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general" vertical="bottom"/>
    </xf>
    <xf numFmtId="165" fontId="6" fillId="2" borderId="1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center" vertical="bottom"/>
    </xf>
    <xf numFmtId="166" fontId="6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6" fontId="5" fillId="2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1" fillId="5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5" borderId="0" pivotButton="0" quotePrefix="0" xfId="0"/>
    <xf numFmtId="0" fontId="12" fillId="6" borderId="2" applyAlignment="1" pivotButton="0" quotePrefix="0" xfId="0">
      <alignment wrapText="1"/>
    </xf>
    <xf numFmtId="0" fontId="7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general" vertical="bottom"/>
    </xf>
    <xf numFmtId="165" fontId="6" fillId="2" borderId="1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center" vertical="bottom"/>
    </xf>
    <xf numFmtId="166" fontId="6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6" fontId="5" fillId="2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9" min="1" max="1"/>
    <col width="30" customWidth="1" style="19" min="2" max="2"/>
    <col width="40" customWidth="1" style="19" min="3" max="3"/>
    <col width="4" customWidth="1" style="19" min="4" max="4"/>
  </cols>
  <sheetData>
    <row r="2" ht="19.7" customHeight="1" s="20">
      <c r="B2" s="21" t="inlineStr">
        <is>
          <t>[MFI] — Microfinance Model</t>
        </is>
      </c>
    </row>
    <row r="4" ht="15" customHeight="1" s="20">
      <c r="B4" s="22" t="inlineStr">
        <is>
          <t>Institution:</t>
        </is>
      </c>
      <c r="C4" s="23" t="inlineStr">
        <is>
          <t>[fill in]</t>
        </is>
      </c>
    </row>
    <row r="5" ht="15" customHeight="1" s="20">
      <c r="B5" s="22" t="inlineStr">
        <is>
          <t>Region:</t>
        </is>
      </c>
      <c r="C5" s="23" t="inlineStr">
        <is>
          <t>[fill in]</t>
        </is>
      </c>
    </row>
    <row r="6" ht="15" customHeight="1" s="20">
      <c r="B6" s="22" t="inlineStr">
        <is>
          <t>Last refreshed:</t>
        </is>
      </c>
      <c r="C6" s="23" t="inlineStr">
        <is>
          <t>[date]</t>
        </is>
      </c>
    </row>
    <row r="7" ht="15" customHeight="1" s="20">
      <c r="B7" s="22" t="inlineStr">
        <is>
          <t>Refresh cadence:</t>
        </is>
      </c>
      <c r="C7" s="23" t="inlineStr">
        <is>
          <t>Weekly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20" min="2" max="2"/>
    <col width="48" customWidth="1" style="20" min="3" max="3"/>
    <col width="24" customWidth="1" style="20" min="4" max="4"/>
    <col width="34" customWidth="1" style="20" min="5" max="5"/>
    <col width="20" customWidth="1" style="20" min="6" max="6"/>
  </cols>
  <sheetData>
    <row r="2">
      <c r="B2" s="24" t="inlineStr">
        <is>
          <t>Microfinance — Institutional Decision Surface</t>
        </is>
      </c>
    </row>
    <row r="4">
      <c r="B4" s="25" t="inlineStr">
        <is>
          <t>Model ID</t>
        </is>
      </c>
      <c r="C4" s="26" t="inlineStr">
        <is>
          <t>11</t>
        </is>
      </c>
    </row>
    <row r="5">
      <c r="B5" s="25" t="inlineStr">
        <is>
          <t>Domain</t>
        </is>
      </c>
      <c r="C5" s="26" t="inlineStr">
        <is>
          <t>Microfinance</t>
        </is>
      </c>
    </row>
    <row r="6">
      <c r="B6" s="25" t="inlineStr">
        <is>
          <t>Declared maturity</t>
        </is>
      </c>
      <c r="C6" s="26" t="inlineStr">
        <is>
          <t>M1</t>
        </is>
      </c>
    </row>
    <row r="7">
      <c r="B7" s="25" t="inlineStr">
        <is>
          <t>Canonical builder</t>
        </is>
      </c>
      <c r="C7" s="26" t="inlineStr">
        <is>
          <t>tools/builders/build_microfinance_template.py</t>
        </is>
      </c>
    </row>
    <row r="8">
      <c r="B8" s="25" t="inlineStr">
        <is>
          <t>Decision arena</t>
        </is>
      </c>
      <c r="C8" s="26" t="inlineStr">
        <is>
          <t>credit, field operations, treasury, social-performance committee and regulator</t>
        </is>
      </c>
    </row>
    <row r="9">
      <c r="B9" s="25" t="inlineStr">
        <is>
          <t>Committee artifact</t>
        </is>
      </c>
      <c r="C9" s="26" t="inlineStr">
        <is>
          <t>portfolio quality and sustainability pack</t>
        </is>
      </c>
    </row>
    <row r="10">
      <c r="B10" s="25" t="inlineStr">
        <is>
          <t>Operating cadence</t>
        </is>
      </c>
      <c r="C10" s="26" t="inlineStr">
        <is>
          <t>weekly collections; monthly portfolio; quarterly board</t>
        </is>
      </c>
    </row>
    <row r="12">
      <c r="B12" s="27" t="inlineStr">
        <is>
          <t>Key decision outputs</t>
        </is>
      </c>
    </row>
    <row r="13">
      <c r="B13" s="28" t="inlineStr">
        <is>
          <t>#</t>
        </is>
      </c>
      <c r="C13" s="28" t="inlineStr">
        <is>
          <t>Requirement</t>
        </is>
      </c>
      <c r="D13" s="28" t="inlineStr">
        <is>
          <t>Owner</t>
        </is>
      </c>
      <c r="E13" s="28" t="inlineStr">
        <is>
          <t>Evidence / location</t>
        </is>
      </c>
      <c r="F13" s="28" t="inlineStr">
        <is>
          <t>Status</t>
        </is>
      </c>
    </row>
    <row r="14">
      <c r="B14" t="n">
        <v>1</v>
      </c>
      <c r="C14" t="inlineStr">
        <is>
          <t>PAR30 / PAR90 and vintage loss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roll rates and cure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operational and financial self-sufficiency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7" t="inlineStr">
        <is>
          <t>Insider questions</t>
        </is>
      </c>
    </row>
    <row r="21">
      <c r="B21" s="28" t="inlineStr">
        <is>
          <t>#</t>
        </is>
      </c>
      <c r="C21" s="28" t="inlineStr">
        <is>
          <t>Requirement</t>
        </is>
      </c>
      <c r="D21" s="28" t="inlineStr">
        <is>
          <t>Owner</t>
        </is>
      </c>
      <c r="E21" s="28" t="inlineStr">
        <is>
          <t>Evidence / location</t>
        </is>
      </c>
      <c r="F21" s="28" t="inlineStr">
        <is>
          <t>Status</t>
        </is>
      </c>
    </row>
    <row r="22">
      <c r="B22" t="n">
        <v>1</v>
      </c>
      <c r="C22" t="inlineStr">
        <is>
          <t>What behavior signals rescheduling versus cure?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branches are growing faster than controls?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How much borrower debt sits outside the institution?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7" t="inlineStr">
        <is>
          <t>Scenario families</t>
        </is>
      </c>
    </row>
    <row r="29">
      <c r="B29" s="28" t="inlineStr">
        <is>
          <t>#</t>
        </is>
      </c>
      <c r="C29" s="28" t="inlineStr">
        <is>
          <t>Requirement</t>
        </is>
      </c>
      <c r="D29" s="28" t="inlineStr">
        <is>
          <t>Owner</t>
        </is>
      </c>
      <c r="E29" s="28" t="inlineStr">
        <is>
          <t>Evidence / location</t>
        </is>
      </c>
      <c r="F29" s="28" t="inlineStr">
        <is>
          <t>Status</t>
        </is>
      </c>
    </row>
    <row r="30">
      <c r="B30" t="n">
        <v>1</v>
      </c>
      <c r="C30" t="inlineStr">
        <is>
          <t>delinquency migration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collection disruption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currency devaluation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7" t="inlineStr">
        <is>
          <t>Primary diligence documents</t>
        </is>
      </c>
    </row>
    <row r="37">
      <c r="B37" s="28" t="inlineStr">
        <is>
          <t>#</t>
        </is>
      </c>
      <c r="C37" s="28" t="inlineStr">
        <is>
          <t>Requirement</t>
        </is>
      </c>
      <c r="D37" s="28" t="inlineStr">
        <is>
          <t>Owner</t>
        </is>
      </c>
      <c r="E37" s="28" t="inlineStr">
        <is>
          <t>Evidence / location</t>
        </is>
      </c>
      <c r="F37" s="28" t="inlineStr">
        <is>
          <t>Status</t>
        </is>
      </c>
    </row>
    <row r="38">
      <c r="B38" t="n">
        <v>1</v>
      </c>
      <c r="C38" t="inlineStr">
        <is>
          <t>loan tape and repayment schedule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branch / officer performance reports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funding agreements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7" t="inlineStr">
        <is>
          <t>Challenge tests</t>
        </is>
      </c>
    </row>
    <row r="45">
      <c r="B45" s="28" t="inlineStr">
        <is>
          <t>#</t>
        </is>
      </c>
      <c r="C45" s="28" t="inlineStr">
        <is>
          <t>Requirement</t>
        </is>
      </c>
      <c r="D45" s="28" t="inlineStr">
        <is>
          <t>Owner</t>
        </is>
      </c>
      <c r="E45" s="28" t="inlineStr">
        <is>
          <t>Evidence / location</t>
        </is>
      </c>
      <c r="F45" s="28" t="inlineStr">
        <is>
          <t>Status</t>
        </is>
      </c>
    </row>
    <row r="46">
      <c r="B46" t="n">
        <v>1</v>
      </c>
      <c r="C46" t="inlineStr">
        <is>
          <t>portfolio roll-forward balances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PAR denominators consistent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write-offs do not erase vintage history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7" t="inlineStr">
        <is>
          <t>Known failure modes</t>
        </is>
      </c>
    </row>
    <row r="53">
      <c r="B53" s="28" t="inlineStr">
        <is>
          <t>#</t>
        </is>
      </c>
      <c r="C53" s="28" t="inlineStr">
        <is>
          <t>Requirement</t>
        </is>
      </c>
      <c r="D53" s="28" t="inlineStr">
        <is>
          <t>Owner</t>
        </is>
      </c>
      <c r="E53" s="28" t="inlineStr">
        <is>
          <t>Evidence / location</t>
        </is>
      </c>
      <c r="F53" s="28" t="inlineStr">
        <is>
          <t>Status</t>
        </is>
      </c>
    </row>
    <row r="54">
      <c r="B54" t="n">
        <v>1</v>
      </c>
      <c r="C54" t="inlineStr">
        <is>
          <t>evergreening delinquent loans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using portfolio yield without cash realization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masking officer / branch concentration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7" t="inlineStr">
        <is>
          <t>Regulatory / methodological anchors</t>
        </is>
      </c>
    </row>
    <row r="61">
      <c r="B61" s="28" t="inlineStr">
        <is>
          <t>Standard</t>
        </is>
      </c>
      <c r="C61" s="28" t="inlineStr">
        <is>
          <t>Scope</t>
        </is>
      </c>
      <c r="D61" s="28" t="inlineStr">
        <is>
          <t>Source URL</t>
        </is>
      </c>
      <c r="E61" s="28" t="inlineStr">
        <is>
          <t>Applicability</t>
        </is>
      </c>
      <c r="F61" s="28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FASB CECL</t>
        </is>
      </c>
      <c r="C63" t="inlineStr">
        <is>
          <t>lifetime expected credit loss</t>
        </is>
      </c>
      <c r="D63" t="inlineStr">
        <is>
          <t>https://www.fasb.org/page/PageContent?pageId=/projects/recentlycompleted/credit-losses.html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20" min="2" max="2"/>
    <col width="22" customWidth="1" style="20" min="3" max="3"/>
    <col width="52" customWidth="1" style="20" min="4" max="4"/>
    <col width="46" customWidth="1" style="20" min="5" max="5"/>
    <col width="36" customWidth="1" style="20" min="6" max="6"/>
    <col width="14" customWidth="1" style="20" min="7" max="7"/>
    <col width="18" customWidth="1" style="20" min="8" max="8"/>
    <col width="14" customWidth="1" style="20" min="9" max="9"/>
  </cols>
  <sheetData>
    <row r="2">
      <c r="B2" s="24" t="inlineStr">
        <is>
          <t>Independent Challenge, Override and Closure Log</t>
        </is>
      </c>
    </row>
    <row r="4">
      <c r="B4" s="28" t="inlineStr">
        <is>
          <t>Date</t>
        </is>
      </c>
      <c r="C4" s="28" t="inlineStr">
        <is>
          <t>Reviewer</t>
        </is>
      </c>
      <c r="D4" s="28" t="inlineStr">
        <is>
          <t>Challenge</t>
        </is>
      </c>
      <c r="E4" s="28" t="inlineStr">
        <is>
          <t>Owner response</t>
        </is>
      </c>
      <c r="F4" s="28" t="inlineStr">
        <is>
          <t>Evidence</t>
        </is>
      </c>
      <c r="G4" s="28" t="inlineStr">
        <is>
          <t>Impact</t>
        </is>
      </c>
      <c r="H4" s="28" t="inlineStr">
        <is>
          <t>Status</t>
        </is>
      </c>
      <c r="I4" s="28" t="inlineStr">
        <is>
          <t>Closure</t>
        </is>
      </c>
    </row>
    <row r="5">
      <c r="B5" t="inlineStr"/>
      <c r="C5" t="inlineStr"/>
      <c r="D5" t="inlineStr">
        <is>
          <t>portfolio roll-forward balances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PAR denominators consistent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write-offs do not erase vintage history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20" min="2" max="2"/>
    <col width="18" customWidth="1" style="20" min="3" max="3"/>
    <col width="42" customWidth="1" style="20" min="4" max="4"/>
    <col width="24" customWidth="1" style="20" min="5" max="5"/>
    <col width="18" customWidth="1" style="20" min="6" max="6"/>
    <col width="22" customWidth="1" style="20" min="7" max="7"/>
    <col width="42" customWidth="1" style="20" min="8" max="8"/>
    <col width="30" customWidth="1" style="20" min="9" max="9"/>
    <col width="15" customWidth="1" style="20" min="10" max="10"/>
  </cols>
  <sheetData>
    <row r="2">
      <c r="B2" s="24" t="inlineStr">
        <is>
          <t>Source, Transformation, Ownership and Refresh Map</t>
        </is>
      </c>
    </row>
    <row r="4">
      <c r="B4" s="28" t="inlineStr">
        <is>
          <t>Source class</t>
        </is>
      </c>
      <c r="C4" s="28" t="inlineStr">
        <is>
          <t>Cadence</t>
        </is>
      </c>
      <c r="D4" s="28" t="inlineStr">
        <is>
          <t>Control</t>
        </is>
      </c>
      <c r="E4" s="28" t="inlineStr">
        <is>
          <t>System / provider</t>
        </is>
      </c>
      <c r="F4" s="28" t="inlineStr">
        <is>
          <t>As-of</t>
        </is>
      </c>
      <c r="G4" s="28" t="inlineStr">
        <is>
          <t>Owner</t>
        </is>
      </c>
      <c r="H4" s="28" t="inlineStr">
        <is>
          <t>Transform</t>
        </is>
      </c>
      <c r="I4" s="28" t="inlineStr">
        <is>
          <t>Downstream</t>
        </is>
      </c>
      <c r="J4" s="28" t="inlineStr">
        <is>
          <t>Status</t>
        </is>
      </c>
    </row>
    <row r="5">
      <c r="B5" t="inlineStr">
        <is>
          <t>loan-level collections</t>
        </is>
      </c>
      <c r="C5" t="inlineStr">
        <is>
          <t>daily/weekly</t>
        </is>
      </c>
      <c r="D5" t="inlineStr">
        <is>
          <t>cash and mobile-money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portfolio tape</t>
        </is>
      </c>
      <c r="C6" t="inlineStr">
        <is>
          <t>monthly</t>
        </is>
      </c>
      <c r="D6" t="inlineStr">
        <is>
          <t>borrower and group identifiers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C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9" min="1" max="1"/>
    <col width="30" customWidth="1" style="19" min="2" max="2"/>
    <col width="16" customWidth="1" style="19" min="3" max="3"/>
    <col width="40" customWidth="1" style="19" min="4" max="4"/>
  </cols>
  <sheetData>
    <row r="2" ht="19.7" customHeight="1" s="20">
      <c r="B2" s="21" t="inlineStr">
        <is>
          <t>Loan Portfolio Overview</t>
        </is>
      </c>
    </row>
    <row r="5" ht="15" customHeight="1" s="20">
      <c r="B5" s="29" t="inlineStr">
        <is>
          <t>Gross loan portfolio (GLP, $)</t>
        </is>
      </c>
      <c r="C5" s="30" t="n">
        <v>0</v>
      </c>
    </row>
    <row r="6" ht="15" customHeight="1" s="20">
      <c r="B6" s="29" t="inlineStr">
        <is>
          <t>Number of active borrowers</t>
        </is>
      </c>
      <c r="C6" s="31" t="n">
        <v>0</v>
      </c>
    </row>
    <row r="7" ht="15" customHeight="1" s="20">
      <c r="B7" s="29" t="inlineStr">
        <is>
          <t>Portfolio at risk &gt;30 days ($)</t>
        </is>
      </c>
      <c r="C7" s="30" t="n">
        <v>0</v>
      </c>
    </row>
    <row r="8" ht="15" customHeight="1" s="20">
      <c r="B8" s="29" t="inlineStr">
        <is>
          <t>Portfolio at risk &gt;90 days ($)</t>
        </is>
      </c>
      <c r="C8" s="30" t="n">
        <v>0</v>
      </c>
    </row>
    <row r="9" ht="15" customHeight="1" s="20">
      <c r="B9" s="29" t="inlineStr">
        <is>
          <t>Write-offs this period ($)</t>
        </is>
      </c>
      <c r="C9" s="30" t="n">
        <v>0</v>
      </c>
    </row>
    <row r="10" ht="15" customHeight="1" s="20">
      <c r="B10" s="29" t="inlineStr">
        <is>
          <t>Average loan balance ($)</t>
        </is>
      </c>
      <c r="C10" s="30" t="n">
        <v>0</v>
      </c>
    </row>
    <row r="12" ht="15" customHeight="1" s="20">
      <c r="B12" s="32" t="inlineStr">
        <is>
          <t>Portfolio Quality</t>
        </is>
      </c>
    </row>
    <row r="13" ht="15" customHeight="1" s="20">
      <c r="B13" s="19" t="inlineStr">
        <is>
          <t>PAR 30 %</t>
        </is>
      </c>
      <c r="C13" s="33">
        <f>IFERROR(C7/C5,"-")</f>
        <v/>
      </c>
    </row>
    <row r="14" ht="15" customHeight="1" s="20">
      <c r="B14" s="19" t="inlineStr">
        <is>
          <t>PAR 90 %</t>
        </is>
      </c>
      <c r="C14" s="33">
        <f>IFERROR(C8/C5,"-")</f>
        <v/>
      </c>
    </row>
    <row r="15" ht="15" customHeight="1" s="20">
      <c r="B15" s="19" t="inlineStr">
        <is>
          <t>Write-off ratio (annualized)</t>
        </is>
      </c>
      <c r="C15" s="33">
        <f>IFERROR(C9/C5,"-")</f>
        <v/>
      </c>
    </row>
    <row r="16" ht="15" customHeight="1" s="20">
      <c r="B16" s="19" t="inlineStr">
        <is>
          <t>Avg loan / borrower check</t>
        </is>
      </c>
      <c r="C16" s="34">
        <f>IFERROR(C5/C6,"-")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9" min="1" max="1"/>
    <col width="34" customWidth="1" style="19" min="2" max="2"/>
    <col width="16" customWidth="1" style="19" min="3" max="3"/>
    <col width="40" customWidth="1" style="19" min="4" max="4"/>
  </cols>
  <sheetData>
    <row r="2" ht="19.7" customHeight="1" s="20">
      <c r="B2" s="21" t="inlineStr">
        <is>
          <t>Operational &amp; Financial Self-Sufficiency (OSS/FSS)</t>
        </is>
      </c>
    </row>
    <row r="4" ht="15" customHeight="1" s="20">
      <c r="B4" s="32" t="inlineStr">
        <is>
          <t>Inputs</t>
        </is>
      </c>
    </row>
    <row r="5" ht="15" customHeight="1" s="20">
      <c r="B5" s="29" t="inlineStr">
        <is>
          <t>Financial revenue (interest + fees, $)</t>
        </is>
      </c>
      <c r="C5" s="30" t="n">
        <v>0</v>
      </c>
    </row>
    <row r="6" ht="15" customHeight="1" s="20">
      <c r="B6" s="29" t="inlineStr">
        <is>
          <t>Financial expense (cost of funds, $)</t>
        </is>
      </c>
      <c r="C6" s="30" t="n">
        <v>0</v>
      </c>
    </row>
    <row r="7" ht="15" customHeight="1" s="20">
      <c r="B7" s="29" t="inlineStr">
        <is>
          <t>Loan loss provision expense ($)</t>
        </is>
      </c>
      <c r="C7" s="30" t="n">
        <v>0</v>
      </c>
    </row>
    <row r="8" ht="15" customHeight="1" s="20">
      <c r="B8" s="29" t="inlineStr">
        <is>
          <t>Operating expense ($)</t>
        </is>
      </c>
      <c r="C8" s="30" t="n">
        <v>0</v>
      </c>
    </row>
    <row r="9" ht="15" customHeight="1" s="20">
      <c r="B9" s="29" t="inlineStr">
        <is>
          <t>Cost of capital at market rate (imputed, $)</t>
        </is>
      </c>
      <c r="C9" s="30" t="n">
        <v>0</v>
      </c>
    </row>
    <row r="11" ht="15" customHeight="1" s="20">
      <c r="B11" s="32" t="inlineStr">
        <is>
          <t>Outputs</t>
        </is>
      </c>
    </row>
    <row r="12" ht="15" customHeight="1" s="20">
      <c r="B12" s="19" t="inlineStr">
        <is>
          <t>Operational Self-Sufficiency (OSS) = Rev / (Fin exp + Loss prov + Opex)</t>
        </is>
      </c>
      <c r="C12" s="35">
        <f>IFERROR(C5/(C6+C7+C8),"-")</f>
        <v/>
      </c>
      <c r="D12" s="36" t="inlineStr">
        <is>
          <t>&gt;100% = covering costs from operations, not subsidy-dependent</t>
        </is>
      </c>
    </row>
    <row r="13" ht="15" customHeight="1" s="20">
      <c r="B13" s="19" t="inlineStr">
        <is>
          <t>Financial Self-Sufficiency (FSS) = Rev / (Fin exp + Loss prov + Opex + imputed cost of capital)</t>
        </is>
      </c>
      <c r="C13" s="35">
        <f>IFERROR(C5/(C6+C7+C8+C9),"-")</f>
        <v/>
      </c>
      <c r="D13" s="36" t="inlineStr">
        <is>
          <t>Stricter than OSS — adjusts for subsidized funding cost vs. commercial rate</t>
        </is>
      </c>
    </row>
    <row r="14" ht="15" customHeight="1" s="20">
      <c r="B14" s="19" t="inlineStr">
        <is>
          <t>Portfolio yield (Rev / avg GLP)</t>
        </is>
      </c>
      <c r="C14" s="33">
        <f>IFERROR(C5/'Loan Portfolio'!C5,"-")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9" min="1" max="1"/>
    <col width="26" customWidth="1" style="19" min="2" max="2"/>
    <col width="16" customWidth="1" style="19" min="3" max="3"/>
    <col width="14" customWidth="1" style="19" min="4" max="4"/>
    <col width="16" customWidth="1" style="19" min="5" max="5"/>
    <col width="40" customWidth="1" style="19" min="6" max="6"/>
  </cols>
  <sheetData>
    <row r="2" ht="19.7" customHeight="1" s="20">
      <c r="B2" s="21" t="inlineStr">
        <is>
          <t>Loan Loss Reserve Adequacy (days-past-due tiering)</t>
        </is>
      </c>
    </row>
    <row r="4" ht="15" customHeight="1" s="20">
      <c r="B4" s="37" t="inlineStr">
        <is>
          <t>Aging bucket</t>
        </is>
      </c>
      <c r="C4" s="37" t="inlineStr">
        <is>
          <t>Outstanding balance ($)</t>
        </is>
      </c>
      <c r="D4" s="37" t="inlineStr">
        <is>
          <t>Reserve rate</t>
        </is>
      </c>
      <c r="E4" s="37" t="inlineStr">
        <is>
          <t>Required reserve ($)</t>
        </is>
      </c>
    </row>
    <row r="5" ht="15" customHeight="1" s="20">
      <c r="B5" s="29" t="inlineStr">
        <is>
          <t>Current (0-30 days)</t>
        </is>
      </c>
      <c r="C5" s="30" t="n">
        <v>0</v>
      </c>
      <c r="D5" s="38" t="n">
        <v>0.01</v>
      </c>
      <c r="E5" s="34">
        <f>C5*D5</f>
        <v/>
      </c>
    </row>
    <row r="6" ht="15" customHeight="1" s="20">
      <c r="B6" s="29" t="inlineStr">
        <is>
          <t>31-90 days</t>
        </is>
      </c>
      <c r="C6" s="30" t="n">
        <v>0</v>
      </c>
      <c r="D6" s="38" t="n">
        <v>0.1</v>
      </c>
      <c r="E6" s="34">
        <f>C6*D6</f>
        <v/>
      </c>
    </row>
    <row r="7" ht="15" customHeight="1" s="20">
      <c r="B7" s="29" t="inlineStr">
        <is>
          <t>91-180 days</t>
        </is>
      </c>
      <c r="C7" s="30" t="n">
        <v>0</v>
      </c>
      <c r="D7" s="38" t="n">
        <v>0.5</v>
      </c>
      <c r="E7" s="34">
        <f>C7*D7</f>
        <v/>
      </c>
    </row>
    <row r="8" ht="15" customHeight="1" s="20">
      <c r="B8" s="29" t="inlineStr">
        <is>
          <t>180+ days / written off pending</t>
        </is>
      </c>
      <c r="C8" s="30" t="n">
        <v>0</v>
      </c>
      <c r="D8" s="38" t="n">
        <v>1</v>
      </c>
      <c r="E8" s="34">
        <f>C8*D8</f>
        <v/>
      </c>
    </row>
    <row r="9" ht="15" customHeight="1" s="20">
      <c r="B9" s="22" t="inlineStr">
        <is>
          <t>Total outstanding portfolio</t>
        </is>
      </c>
      <c r="C9" s="39">
        <f>SUM(C5:C8)</f>
        <v/>
      </c>
    </row>
    <row r="10" ht="15" customHeight="1" s="20">
      <c r="B10" s="22" t="inlineStr">
        <is>
          <t>Total required reserve (sum of tiers)</t>
        </is>
      </c>
      <c r="E10" s="39">
        <f>SUM(E5:E8)</f>
        <v/>
      </c>
    </row>
    <row r="12" ht="15" customHeight="1" s="20">
      <c r="B12" s="19" t="inlineStr">
        <is>
          <t>Actual reserve held ($)</t>
        </is>
      </c>
      <c r="C12" s="30" t="n">
        <v>0</v>
      </c>
    </row>
    <row r="13" ht="15" customHeight="1" s="20">
      <c r="B13" s="19" t="inlineStr">
        <is>
          <t>Reserve adequacy (actual / required)</t>
        </is>
      </c>
      <c r="C13" s="40">
        <f>IFERROR(C12/E10,"-")</f>
        <v/>
      </c>
      <c r="D13" s="36" t="inlineStr">
        <is>
          <t>&lt;100% = under-reserved relative to portfolio risk profile — review provisioning policy</t>
        </is>
      </c>
    </row>
    <row r="14" ht="15" customHeight="1" s="20">
      <c r="B14" s="19" t="inlineStr">
        <is>
          <t>Cross-check vs Loan Portfolio tab (should tie to GLP)</t>
        </is>
      </c>
      <c r="C14" s="41">
        <f>IFERROR(C9-'Loan Portfolio'!C5,"-")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9" min="1" max="1"/>
    <col width="34" customWidth="1" style="19" min="2" max="2"/>
    <col width="16" customWidth="1" style="19" min="3" max="3"/>
    <col width="40" customWidth="1" style="19" min="4" max="4"/>
  </cols>
  <sheetData>
    <row r="2" ht="19.7" customHeight="1" s="20">
      <c r="B2" s="21" t="inlineStr">
        <is>
          <t>Growth &amp; Loan Officer Productivity</t>
        </is>
      </c>
    </row>
    <row r="4" ht="15" customHeight="1" s="20">
      <c r="B4" s="32" t="inlineStr">
        <is>
          <t>Inputs</t>
        </is>
      </c>
    </row>
    <row r="5" ht="15" customHeight="1" s="20">
      <c r="B5" s="29" t="inlineStr">
        <is>
          <t>Active borrowers — prior period</t>
        </is>
      </c>
      <c r="C5" s="31" t="n">
        <v>0</v>
      </c>
    </row>
    <row r="6" ht="15" customHeight="1" s="20">
      <c r="B6" s="29" t="inlineStr">
        <is>
          <t>Active borrowers — current period</t>
        </is>
      </c>
      <c r="C6" s="31" t="n">
        <v>0</v>
      </c>
    </row>
    <row r="7" ht="15" customHeight="1" s="20">
      <c r="B7" s="29" t="inlineStr">
        <is>
          <t>New disbursements this period ($)</t>
        </is>
      </c>
      <c r="C7" s="30" t="n">
        <v>0</v>
      </c>
    </row>
    <row r="8" ht="15" customHeight="1" s="20">
      <c r="B8" s="29" t="inlineStr">
        <is>
          <t>Number of loan officers</t>
        </is>
      </c>
      <c r="C8" s="31" t="n">
        <v>0</v>
      </c>
    </row>
    <row r="10" ht="15" customHeight="1" s="20">
      <c r="B10" s="32" t="inlineStr">
        <is>
          <t>Outputs</t>
        </is>
      </c>
    </row>
    <row r="11" ht="15" customHeight="1" s="20">
      <c r="B11" s="19" t="inlineStr">
        <is>
          <t>Borrower growth rate (period over period)</t>
        </is>
      </c>
      <c r="C11" s="33">
        <f>IFERROR((C6-C5)/C5,"-")</f>
        <v/>
      </c>
    </row>
    <row r="12" ht="15" customHeight="1" s="20">
      <c r="B12" s="19" t="inlineStr">
        <is>
          <t>Borrowers per loan officer (caseload)</t>
        </is>
      </c>
      <c r="C12" s="42">
        <f>IFERROR(C6/C8,"-")</f>
        <v/>
      </c>
      <c r="D12" s="36" t="inlineStr">
        <is>
          <t>Typical sustainable caseload benchmark: 250-400 borrowers/officer, group-lending-dependent</t>
        </is>
      </c>
    </row>
    <row r="13" ht="15" customHeight="1" s="20">
      <c r="B13" s="19" t="inlineStr">
        <is>
          <t>Disbursement per active borrower ($, avg)</t>
        </is>
      </c>
      <c r="C13" s="34">
        <f>IFERROR(C7/C6,"-")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9" min="1" max="1"/>
    <col width="14" customWidth="1" style="19" min="2" max="2"/>
    <col width="16" customWidth="1" style="19" min="3" max="3"/>
    <col width="30" customWidth="1" style="19" min="4" max="5"/>
    <col width="16" customWidth="1" style="19" min="6" max="6"/>
  </cols>
  <sheetData>
    <row r="2" ht="19.7" customHeight="1" s="20">
      <c r="B2" s="21" t="inlineStr">
        <is>
          <t>Refresh Log</t>
        </is>
      </c>
    </row>
    <row r="4" ht="15" customHeight="1" s="20">
      <c r="B4" s="37" t="inlineStr">
        <is>
          <t>Date</t>
        </is>
      </c>
      <c r="C4" s="37" t="inlineStr">
        <is>
          <t>Trigger</t>
        </is>
      </c>
      <c r="D4" s="37" t="inlineStr">
        <is>
          <t>What changed</t>
        </is>
      </c>
      <c r="E4" s="37" t="inlineStr">
        <is>
          <t>Reviewer notes</t>
        </is>
      </c>
      <c r="F4" s="37" t="inlineStr">
        <is>
          <t>Next check</t>
        </is>
      </c>
    </row>
    <row r="5" ht="15" customHeight="1" s="20">
      <c r="B5" s="43" t="n"/>
      <c r="C5" s="43" t="n"/>
      <c r="D5" s="43" t="n"/>
      <c r="E5" s="43" t="n"/>
      <c r="F5" s="43" t="n"/>
    </row>
    <row r="6" ht="15" customHeight="1" s="20">
      <c r="B6" s="43" t="n"/>
      <c r="C6" s="43" t="n"/>
      <c r="D6" s="43" t="n"/>
      <c r="E6" s="43" t="n"/>
      <c r="F6" s="43" t="n"/>
    </row>
    <row r="7" ht="15" customHeight="1" s="20">
      <c r="B7" s="43" t="n"/>
      <c r="C7" s="43" t="n"/>
      <c r="D7" s="43" t="n"/>
      <c r="E7" s="43" t="n"/>
      <c r="F7" s="43" t="n"/>
    </row>
    <row r="8" ht="15" customHeight="1" s="20">
      <c r="B8" s="43" t="n"/>
      <c r="C8" s="43" t="n"/>
      <c r="D8" s="43" t="n"/>
      <c r="E8" s="43" t="n"/>
      <c r="F8" s="43" t="n"/>
    </row>
    <row r="9" ht="15" customHeight="1" s="20">
      <c r="B9" s="43" t="n"/>
      <c r="C9" s="43" t="n"/>
      <c r="D9" s="43" t="n"/>
      <c r="E9" s="43" t="n"/>
      <c r="F9" s="43" t="n"/>
    </row>
    <row r="10" ht="15" customHeight="1" s="20">
      <c r="B10" s="43" t="n"/>
      <c r="C10" s="43" t="n"/>
      <c r="D10" s="43" t="n"/>
      <c r="E10" s="43" t="n"/>
      <c r="F10" s="43" t="n"/>
    </row>
    <row r="11" ht="15" customHeight="1" s="20">
      <c r="B11" s="43" t="n"/>
      <c r="C11" s="43" t="n"/>
      <c r="D11" s="43" t="n"/>
      <c r="E11" s="43" t="n"/>
      <c r="F11" s="43" t="n"/>
    </row>
    <row r="12" ht="15" customHeight="1" s="20">
      <c r="B12" s="43" t="n"/>
      <c r="C12" s="43" t="n"/>
      <c r="D12" s="43" t="n"/>
      <c r="E12" s="43" t="n"/>
      <c r="F12" s="43" t="n"/>
    </row>
    <row r="13" ht="15" customHeight="1" s="20">
      <c r="B13" s="43" t="n"/>
      <c r="C13" s="43" t="n"/>
      <c r="D13" s="43" t="n"/>
      <c r="E13" s="43" t="n"/>
      <c r="F13" s="43" t="n"/>
    </row>
    <row r="14" ht="15" customHeight="1" s="20">
      <c r="B14" s="43" t="n"/>
      <c r="C14" s="43" t="n"/>
      <c r="D14" s="43" t="n"/>
      <c r="E14" s="43" t="n"/>
      <c r="F14" s="4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2026-08-03T22:47:02Z</dcterms:created>
  <dcterms:modified xsi:type="dcterms:W3CDTF">2026-08-04T03:48:33Z</dcterms:modified>
  <cp:revision>0</cp:revision>
</cp:coreProperties>
</file>