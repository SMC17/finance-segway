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Loan Portfolio" sheetId="5" state="visible" r:id="rId5"/>
    <sheet xmlns:r="http://schemas.openxmlformats.org/officeDocument/2006/relationships" name="Portfolio Rollforward" sheetId="6" state="visible" r:id="rId6"/>
    <sheet xmlns:r="http://schemas.openxmlformats.org/officeDocument/2006/relationships" name="Sustainability" sheetId="7" state="visible" r:id="rId7"/>
    <sheet xmlns:r="http://schemas.openxmlformats.org/officeDocument/2006/relationships" name="Funding &amp; Liquidity" sheetId="8" state="visible" r:id="rId8"/>
    <sheet xmlns:r="http://schemas.openxmlformats.org/officeDocument/2006/relationships" name="Client &amp; Conduct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Provisioning" sheetId="11" state="visible" r:id="rId11"/>
    <sheet xmlns:r="http://schemas.openxmlformats.org/officeDocument/2006/relationships" name="Growth &amp; Productivity" sheetId="12" state="visible" r:id="rId12"/>
    <sheet xmlns:r="http://schemas.openxmlformats.org/officeDocument/2006/relationships" name="RefreshLog" sheetId="13" state="visible" r:id="rId13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#,##0;\(#,##0\);\-"/>
    <numFmt numFmtId="166" formatCode="0.0%;\(0.0%\);\-"/>
    <numFmt numFmtId="167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bottom"/>
    </xf>
    <xf numFmtId="166" fontId="6" fillId="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7" fontId="6" fillId="4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5" fontId="14" fillId="7" borderId="2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bottom"/>
    </xf>
    <xf numFmtId="166" fontId="6" fillId="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7" fontId="6" fillId="4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0" customWidth="1" style="30" min="2" max="2"/>
    <col width="40" customWidth="1" style="30" min="3" max="3"/>
    <col width="4" customWidth="1" style="30" min="4" max="4"/>
  </cols>
  <sheetData>
    <row r="2" ht="19.7" customHeight="1" s="31">
      <c r="B2" s="32" t="inlineStr">
        <is>
          <t>[MFI] — Microfinance Model</t>
        </is>
      </c>
    </row>
    <row r="4" ht="15" customHeight="1" s="31">
      <c r="B4" s="33" t="inlineStr">
        <is>
          <t>Institution:</t>
        </is>
      </c>
      <c r="C4" s="34" t="inlineStr">
        <is>
          <t>[fill in]</t>
        </is>
      </c>
    </row>
    <row r="5" ht="15" customHeight="1" s="31">
      <c r="B5" s="33" t="inlineStr">
        <is>
          <t>Region:</t>
        </is>
      </c>
      <c r="C5" s="34" t="inlineStr">
        <is>
          <t>[fill in]</t>
        </is>
      </c>
    </row>
    <row r="6" ht="15" customHeight="1" s="31">
      <c r="B6" s="33" t="inlineStr">
        <is>
          <t>Last refreshed:</t>
        </is>
      </c>
      <c r="C6" s="35" t="inlineStr">
        <is>
          <t>2025-12-31</t>
        </is>
      </c>
    </row>
    <row r="7" ht="15" customHeight="1" s="31">
      <c r="B7" s="33" t="inlineStr">
        <is>
          <t>Refresh cadence:</t>
        </is>
      </c>
      <c r="C7" s="34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0" min="2" max="2"/>
    <col width="48" customWidth="1" style="30" min="3" max="3"/>
    <col width="24" customWidth="1" style="30" min="4" max="4"/>
    <col width="34" customWidth="1" style="30" min="5" max="5"/>
    <col width="20" customWidth="1" style="30" min="6" max="6"/>
  </cols>
  <sheetData>
    <row r="2" ht="18.55" customHeight="1" s="31">
      <c r="B2" s="36" t="inlineStr">
        <is>
          <t>Microfinance — Institutional Decision Surface</t>
        </is>
      </c>
    </row>
    <row r="4" ht="15" customHeight="1" s="31">
      <c r="B4" s="37" t="inlineStr">
        <is>
          <t>Model ID</t>
        </is>
      </c>
      <c r="C4" s="38" t="inlineStr">
        <is>
          <t>11</t>
        </is>
      </c>
    </row>
    <row r="5" ht="15" customHeight="1" s="31">
      <c r="B5" s="37" t="inlineStr">
        <is>
          <t>Domain</t>
        </is>
      </c>
      <c r="C5" s="38" t="inlineStr">
        <is>
          <t>Microfinance</t>
        </is>
      </c>
    </row>
    <row r="6" ht="15" customHeight="1" s="31">
      <c r="B6" s="37" t="inlineStr">
        <is>
          <t>Declared maturity</t>
        </is>
      </c>
      <c r="C6" s="38" t="inlineStr">
        <is>
          <t>M2</t>
        </is>
      </c>
    </row>
    <row r="7" ht="15" customHeight="1" s="31">
      <c r="B7" s="37" t="inlineStr">
        <is>
          <t>Canonical builder</t>
        </is>
      </c>
      <c r="C7" s="38" t="inlineStr">
        <is>
          <t>tools/builders/build_microfinance_release.py</t>
        </is>
      </c>
    </row>
    <row r="8" ht="15" customHeight="1" s="31">
      <c r="B8" s="37" t="inlineStr">
        <is>
          <t>Decision arena</t>
        </is>
      </c>
      <c r="C8" s="38" t="inlineStr">
        <is>
          <t>credit, field operations, treasury, social-performance committee and regulator</t>
        </is>
      </c>
    </row>
    <row r="9" ht="15" customHeight="1" s="31">
      <c r="B9" s="37" t="inlineStr">
        <is>
          <t>Committee artifact</t>
        </is>
      </c>
      <c r="C9" s="38" t="inlineStr">
        <is>
          <t>portfolio quality and sustainability pack</t>
        </is>
      </c>
    </row>
    <row r="10" ht="15" customHeight="1" s="31">
      <c r="B10" s="37" t="inlineStr">
        <is>
          <t>Operating cadence</t>
        </is>
      </c>
      <c r="C10" s="38" t="inlineStr">
        <is>
          <t>weekly collections; monthly portfolio; quarterly board</t>
        </is>
      </c>
    </row>
    <row r="12" ht="15" customHeight="1" s="31">
      <c r="B12" s="39" t="inlineStr">
        <is>
          <t>Key decision outputs</t>
        </is>
      </c>
    </row>
    <row r="13" ht="15" customHeight="1" s="31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 ht="15" customHeight="1" s="31">
      <c r="B14" s="30" t="n">
        <v>1</v>
      </c>
      <c r="C14" s="30" t="inlineStr">
        <is>
          <t>PAR30 / PAR90 and vintage loss</t>
        </is>
      </c>
      <c r="F14" s="30" t="inlineStr">
        <is>
          <t>OPEN</t>
        </is>
      </c>
    </row>
    <row r="15" ht="15" customHeight="1" s="31">
      <c r="B15" s="30" t="n">
        <v>2</v>
      </c>
      <c r="C15" s="30" t="inlineStr">
        <is>
          <t>roll rates and cure</t>
        </is>
      </c>
      <c r="F15" s="30" t="inlineStr">
        <is>
          <t>OPEN</t>
        </is>
      </c>
    </row>
    <row r="16" ht="15" customHeight="1" s="31">
      <c r="B16" s="30" t="n">
        <v>3</v>
      </c>
      <c r="C16" s="30" t="inlineStr">
        <is>
          <t>operational and financial self-sufficiency</t>
        </is>
      </c>
      <c r="F16" s="30" t="inlineStr">
        <is>
          <t>OPEN</t>
        </is>
      </c>
    </row>
    <row r="17" ht="15" customHeight="1" s="31">
      <c r="B17" s="30" t="n">
        <v>4</v>
      </c>
      <c r="C17" s="30" t="inlineStr">
        <is>
          <t>base, downside and break-even outputs</t>
        </is>
      </c>
      <c r="F17" s="30" t="inlineStr">
        <is>
          <t>OPEN</t>
        </is>
      </c>
    </row>
    <row r="18" ht="15" customHeight="1" s="31">
      <c r="B18" s="30" t="n">
        <v>5</v>
      </c>
      <c r="C18" s="30" t="inlineStr">
        <is>
          <t>liquidity / funding requirement and binding constraint</t>
        </is>
      </c>
      <c r="F18" s="30" t="inlineStr">
        <is>
          <t>OPEN</t>
        </is>
      </c>
    </row>
    <row r="20" ht="15" customHeight="1" s="31">
      <c r="B20" s="39" t="inlineStr">
        <is>
          <t>Insider questions</t>
        </is>
      </c>
    </row>
    <row r="21" ht="15" customHeight="1" s="3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 ht="15" customHeight="1" s="31">
      <c r="B22" s="30" t="n">
        <v>1</v>
      </c>
      <c r="C22" s="30" t="inlineStr">
        <is>
          <t>What behavior signals rescheduling versus cure?</t>
        </is>
      </c>
      <c r="F22" s="30" t="inlineStr">
        <is>
          <t>OPEN</t>
        </is>
      </c>
    </row>
    <row r="23" ht="15" customHeight="1" s="31">
      <c r="B23" s="30" t="n">
        <v>2</v>
      </c>
      <c r="C23" s="30" t="inlineStr">
        <is>
          <t>Which branches are growing faster than controls?</t>
        </is>
      </c>
      <c r="F23" s="30" t="inlineStr">
        <is>
          <t>OPEN</t>
        </is>
      </c>
    </row>
    <row r="24" ht="15" customHeight="1" s="31">
      <c r="B24" s="30" t="n">
        <v>3</v>
      </c>
      <c r="C24" s="30" t="inlineStr">
        <is>
          <t>How much borrower debt sits outside the institution?</t>
        </is>
      </c>
      <c r="F24" s="30" t="inlineStr">
        <is>
          <t>OPEN</t>
        </is>
      </c>
    </row>
    <row r="25" ht="15" customHeight="1" s="31">
      <c r="B25" s="30" t="n">
        <v>4</v>
      </c>
      <c r="C25" s="30" t="inlineStr">
        <is>
          <t>Which assumption is owner-approved versus modeler judgement?</t>
        </is>
      </c>
      <c r="F25" s="30" t="inlineStr">
        <is>
          <t>OPEN</t>
        </is>
      </c>
    </row>
    <row r="26" ht="15" customHeight="1" s="31">
      <c r="B26" s="30" t="n">
        <v>5</v>
      </c>
      <c r="C26" s="30" t="inlineStr">
        <is>
          <t>What fails first and who must act?</t>
        </is>
      </c>
      <c r="F26" s="30" t="inlineStr">
        <is>
          <t>OPEN</t>
        </is>
      </c>
    </row>
    <row r="28" ht="15" customHeight="1" s="31">
      <c r="B28" s="39" t="inlineStr">
        <is>
          <t>Scenario families</t>
        </is>
      </c>
    </row>
    <row r="29" ht="15" customHeight="1" s="31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 ht="15" customHeight="1" s="31">
      <c r="B30" s="30" t="n">
        <v>1</v>
      </c>
      <c r="C30" s="30" t="inlineStr">
        <is>
          <t>delinquency migration</t>
        </is>
      </c>
      <c r="F30" s="30" t="inlineStr">
        <is>
          <t>OPEN</t>
        </is>
      </c>
    </row>
    <row r="31" ht="15" customHeight="1" s="31">
      <c r="B31" s="30" t="n">
        <v>2</v>
      </c>
      <c r="C31" s="30" t="inlineStr">
        <is>
          <t>collection disruption</t>
        </is>
      </c>
      <c r="F31" s="30" t="inlineStr">
        <is>
          <t>OPEN</t>
        </is>
      </c>
    </row>
    <row r="32" ht="15" customHeight="1" s="31">
      <c r="B32" s="30" t="n">
        <v>3</v>
      </c>
      <c r="C32" s="30" t="inlineStr">
        <is>
          <t>currency devaluation</t>
        </is>
      </c>
      <c r="F32" s="30" t="inlineStr">
        <is>
          <t>OPEN</t>
        </is>
      </c>
    </row>
    <row r="33" ht="15" customHeight="1" s="31">
      <c r="B33" s="30" t="n">
        <v>4</v>
      </c>
      <c r="C33" s="30" t="inlineStr">
        <is>
          <t>data freshness / source failure</t>
        </is>
      </c>
      <c r="F33" s="30" t="inlineStr">
        <is>
          <t>OPEN</t>
        </is>
      </c>
    </row>
    <row r="34" ht="15" customHeight="1" s="31">
      <c r="B34" s="30" t="n">
        <v>5</v>
      </c>
      <c r="C34" s="30" t="inlineStr">
        <is>
          <t>combined severe-but-plausible downside</t>
        </is>
      </c>
      <c r="F34" s="30" t="inlineStr">
        <is>
          <t>OPEN</t>
        </is>
      </c>
    </row>
    <row r="36" ht="15" customHeight="1" s="31">
      <c r="B36" s="39" t="inlineStr">
        <is>
          <t>Primary diligence documents</t>
        </is>
      </c>
    </row>
    <row r="37" ht="15" customHeight="1" s="31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 ht="15" customHeight="1" s="31">
      <c r="B38" s="30" t="n">
        <v>1</v>
      </c>
      <c r="C38" s="30" t="inlineStr">
        <is>
          <t>loan tape and repayment schedule</t>
        </is>
      </c>
      <c r="F38" s="30" t="inlineStr">
        <is>
          <t>OPEN</t>
        </is>
      </c>
    </row>
    <row r="39" ht="15" customHeight="1" s="31">
      <c r="B39" s="30" t="n">
        <v>2</v>
      </c>
      <c r="C39" s="30" t="inlineStr">
        <is>
          <t>branch / officer performance reports</t>
        </is>
      </c>
      <c r="F39" s="30" t="inlineStr">
        <is>
          <t>OPEN</t>
        </is>
      </c>
    </row>
    <row r="40" ht="15" customHeight="1" s="31">
      <c r="B40" s="30" t="n">
        <v>3</v>
      </c>
      <c r="C40" s="30" t="inlineStr">
        <is>
          <t>funding agreements</t>
        </is>
      </c>
      <c r="F40" s="30" t="inlineStr">
        <is>
          <t>OPEN</t>
        </is>
      </c>
    </row>
    <row r="41" ht="15" customHeight="1" s="31">
      <c r="B41" s="30" t="n">
        <v>4</v>
      </c>
      <c r="C41" s="30" t="inlineStr">
        <is>
          <t>approved model card and assumption register</t>
        </is>
      </c>
      <c r="F41" s="30" t="inlineStr">
        <is>
          <t>OPEN</t>
        </is>
      </c>
    </row>
    <row r="42" ht="15" customHeight="1" s="31">
      <c r="B42" s="30" t="n">
        <v>5</v>
      </c>
      <c r="C42" s="30" t="inlineStr">
        <is>
          <t>independent validation and challenge record</t>
        </is>
      </c>
      <c r="F42" s="30" t="inlineStr">
        <is>
          <t>OPEN</t>
        </is>
      </c>
    </row>
    <row r="44" ht="15" customHeight="1" s="31">
      <c r="B44" s="39" t="inlineStr">
        <is>
          <t>Challenge tests</t>
        </is>
      </c>
    </row>
    <row r="45" ht="15" customHeight="1" s="31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 ht="15" customHeight="1" s="31">
      <c r="B46" s="30" t="n">
        <v>1</v>
      </c>
      <c r="C46" s="30" t="inlineStr">
        <is>
          <t>portfolio roll-forward balances</t>
        </is>
      </c>
      <c r="F46" s="30" t="inlineStr">
        <is>
          <t>OPEN</t>
        </is>
      </c>
    </row>
    <row r="47" ht="15" customHeight="1" s="31">
      <c r="B47" s="30" t="n">
        <v>2</v>
      </c>
      <c r="C47" s="30" t="inlineStr">
        <is>
          <t>PAR denominators consistent</t>
        </is>
      </c>
      <c r="F47" s="30" t="inlineStr">
        <is>
          <t>OPEN</t>
        </is>
      </c>
    </row>
    <row r="48" ht="15" customHeight="1" s="31">
      <c r="B48" s="30" t="n">
        <v>3</v>
      </c>
      <c r="C48" s="30" t="inlineStr">
        <is>
          <t>write-offs do not erase vintage history</t>
        </is>
      </c>
      <c r="F48" s="30" t="inlineStr">
        <is>
          <t>OPEN</t>
        </is>
      </c>
    </row>
    <row r="49" ht="15" customHeight="1" s="31">
      <c r="B49" s="30" t="n">
        <v>4</v>
      </c>
      <c r="C49" s="30" t="inlineStr">
        <is>
          <t>source-to-model lineage is reproducible</t>
        </is>
      </c>
      <c r="F49" s="30" t="inlineStr">
        <is>
          <t>OPEN</t>
        </is>
      </c>
    </row>
    <row r="50" ht="15" customHeight="1" s="31">
      <c r="B50" s="30" t="n">
        <v>5</v>
      </c>
      <c r="C50" s="30" t="inlineStr">
        <is>
          <t>units, signs, dates and legal definitions reconcile</t>
        </is>
      </c>
      <c r="F50" s="30" t="inlineStr">
        <is>
          <t>OPEN</t>
        </is>
      </c>
    </row>
    <row r="52" ht="15" customHeight="1" s="31">
      <c r="B52" s="39" t="inlineStr">
        <is>
          <t>Known failure modes</t>
        </is>
      </c>
    </row>
    <row r="53" ht="15" customHeight="1" s="31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 ht="15" customHeight="1" s="31">
      <c r="B54" s="30" t="n">
        <v>1</v>
      </c>
      <c r="C54" s="30" t="inlineStr">
        <is>
          <t>evergreening delinquent loans</t>
        </is>
      </c>
      <c r="F54" s="30" t="inlineStr">
        <is>
          <t>OPEN</t>
        </is>
      </c>
    </row>
    <row r="55" ht="15" customHeight="1" s="31">
      <c r="B55" s="30" t="n">
        <v>2</v>
      </c>
      <c r="C55" s="30" t="inlineStr">
        <is>
          <t>using portfolio yield without cash realization</t>
        </is>
      </c>
      <c r="F55" s="30" t="inlineStr">
        <is>
          <t>OPEN</t>
        </is>
      </c>
    </row>
    <row r="56" ht="15" customHeight="1" s="31">
      <c r="B56" s="30" t="n">
        <v>3</v>
      </c>
      <c r="C56" s="30" t="inlineStr">
        <is>
          <t>masking officer / branch concentration</t>
        </is>
      </c>
      <c r="F56" s="30" t="inlineStr">
        <is>
          <t>OPEN</t>
        </is>
      </c>
    </row>
    <row r="57" ht="15" customHeight="1" s="31">
      <c r="B57" s="30" t="n">
        <v>4</v>
      </c>
      <c r="C57" s="30" t="inlineStr">
        <is>
          <t>stale vintage presented as current</t>
        </is>
      </c>
      <c r="F57" s="30" t="inlineStr">
        <is>
          <t>OPEN</t>
        </is>
      </c>
    </row>
    <row r="58" ht="15" customHeight="1" s="31">
      <c r="B58" s="30" t="n">
        <v>5</v>
      </c>
      <c r="C58" s="30" t="inlineStr">
        <is>
          <t>decision output disconnected from a binding constraint</t>
        </is>
      </c>
      <c r="F58" s="30" t="inlineStr">
        <is>
          <t>OPEN</t>
        </is>
      </c>
    </row>
    <row r="60" ht="15" customHeight="1" s="31">
      <c r="B60" s="39" t="inlineStr">
        <is>
          <t>Regulatory / methodological anchors</t>
        </is>
      </c>
    </row>
    <row r="61" ht="15" customHeight="1" s="3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 ht="15" customHeight="1" s="31">
      <c r="B62" s="30" t="inlineStr">
        <is>
          <t>Federal Reserve SR 26-2 Model Risk Management</t>
        </is>
      </c>
      <c r="C62" s="30" t="inlineStr">
        <is>
          <t>governance, validation, change control, monitoring</t>
        </is>
      </c>
      <c r="D62" s="30" t="inlineStr">
        <is>
          <t>https://www.federalreserve.gov/supervisionreg/srletters/SR2602.htm</t>
        </is>
      </c>
      <c r="E62" s="30" t="inlineStr">
        <is>
          <t>Map explicitly</t>
        </is>
      </c>
    </row>
    <row r="63" ht="15" customHeight="1" s="31">
      <c r="B63" s="30" t="inlineStr">
        <is>
          <t>FASB CECL</t>
        </is>
      </c>
      <c r="C63" s="30" t="inlineStr">
        <is>
          <t>lifetime expected credit loss</t>
        </is>
      </c>
      <c r="D63" s="30" t="inlineStr">
        <is>
          <t>https://www.fasb.org/page/PageContent?pageId=/projects/recentlycompleted/credit-losses.html</t>
        </is>
      </c>
      <c r="E63" s="3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0" min="2" max="2"/>
    <col width="22" customWidth="1" style="30" min="3" max="3"/>
    <col width="52" customWidth="1" style="30" min="4" max="4"/>
    <col width="46" customWidth="1" style="30" min="5" max="5"/>
    <col width="36" customWidth="1" style="30" min="6" max="6"/>
    <col width="14" customWidth="1" style="30" min="7" max="7"/>
    <col width="18" customWidth="1" style="30" min="8" max="8"/>
    <col width="14" customWidth="1" style="30" min="9" max="9"/>
  </cols>
  <sheetData>
    <row r="2" ht="18.55" customHeight="1" s="31">
      <c r="B2" s="36" t="inlineStr">
        <is>
          <t>Independent Challenge, Override and Closure Log</t>
        </is>
      </c>
    </row>
    <row r="4" ht="15" customHeight="1" s="31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 ht="15" customHeight="1" s="31">
      <c r="D5" s="30" t="inlineStr">
        <is>
          <t>portfolio roll-forward balances</t>
        </is>
      </c>
      <c r="H5" s="30" t="inlineStr">
        <is>
          <t>OPEN</t>
        </is>
      </c>
    </row>
    <row r="6" ht="15" customHeight="1" s="31">
      <c r="D6" s="30" t="inlineStr">
        <is>
          <t>PAR denominators consistent</t>
        </is>
      </c>
      <c r="H6" s="30" t="inlineStr">
        <is>
          <t>OPEN</t>
        </is>
      </c>
    </row>
    <row r="7" ht="15" customHeight="1" s="31">
      <c r="D7" s="30" t="inlineStr">
        <is>
          <t>write-offs do not erase vintage history</t>
        </is>
      </c>
      <c r="H7" s="30" t="inlineStr">
        <is>
          <t>OPEN</t>
        </is>
      </c>
    </row>
    <row r="8" ht="15" customHeight="1" s="31">
      <c r="D8" s="30" t="inlineStr">
        <is>
          <t>source-to-model lineage is reproducible</t>
        </is>
      </c>
      <c r="H8" s="30" t="inlineStr">
        <is>
          <t>OPEN</t>
        </is>
      </c>
    </row>
    <row r="9" ht="15" customHeight="1" s="31">
      <c r="D9" s="30" t="inlineStr">
        <is>
          <t>units, signs, dates and legal definitions reconcile</t>
        </is>
      </c>
      <c r="H9" s="30" t="inlineStr">
        <is>
          <t>OPEN</t>
        </is>
      </c>
    </row>
    <row r="10" ht="15" customHeight="1" s="31">
      <c r="H10" s="30" t="n"/>
    </row>
    <row r="11" ht="15" customHeight="1" s="31">
      <c r="H11" s="30" t="n"/>
    </row>
    <row r="12" ht="15" customHeight="1" s="31">
      <c r="H12" s="30" t="n"/>
    </row>
    <row r="13" ht="15" customHeight="1" s="31">
      <c r="H13" s="30" t="n"/>
    </row>
    <row r="14" ht="15" customHeight="1" s="31">
      <c r="H14" s="30" t="n"/>
    </row>
    <row r="15" ht="15" customHeight="1" s="31">
      <c r="H15" s="30" t="n"/>
    </row>
    <row r="16" ht="15" customHeight="1" s="31">
      <c r="H16" s="30" t="n"/>
    </row>
    <row r="17" ht="15" customHeight="1" s="31">
      <c r="H17" s="30" t="n"/>
    </row>
    <row r="18" ht="15" customHeight="1" s="31">
      <c r="H18" s="30" t="n"/>
    </row>
    <row r="19" ht="15" customHeight="1" s="31">
      <c r="H19" s="30" t="n"/>
    </row>
    <row r="20" ht="15" customHeight="1" s="31">
      <c r="H20" s="30" t="n"/>
    </row>
    <row r="21" ht="15" customHeight="1" s="31">
      <c r="H21" s="30" t="n"/>
    </row>
    <row r="22" ht="15" customHeight="1" s="31">
      <c r="H22" s="30" t="n"/>
    </row>
    <row r="23" ht="15" customHeight="1" s="31">
      <c r="H23" s="30" t="n"/>
    </row>
    <row r="24" ht="15" customHeight="1" s="31">
      <c r="H24" s="30" t="n"/>
    </row>
    <row r="25" ht="15" customHeight="1" s="31">
      <c r="H25" s="30" t="n"/>
    </row>
    <row r="26" ht="15" customHeight="1" s="31">
      <c r="H26" s="30" t="n"/>
    </row>
    <row r="27" ht="15" customHeight="1" s="31">
      <c r="H27" s="30" t="n"/>
    </row>
    <row r="28" ht="15" customHeight="1" s="31">
      <c r="H28" s="30" t="n"/>
    </row>
    <row r="29" ht="15" customHeight="1" s="31">
      <c r="H29" s="30" t="n"/>
    </row>
    <row r="30" ht="15" customHeight="1" s="31">
      <c r="H30" s="30" t="n"/>
    </row>
    <row r="31" ht="15" customHeight="1" s="31">
      <c r="H31" s="30" t="n"/>
    </row>
    <row r="32" ht="15" customHeight="1" s="31">
      <c r="H32" s="30" t="n"/>
    </row>
    <row r="33" ht="15" customHeight="1" s="31">
      <c r="H33" s="30" t="n"/>
    </row>
    <row r="34" ht="15" customHeight="1" s="31">
      <c r="H34" s="30" t="n"/>
    </row>
    <row r="35" ht="15" customHeight="1" s="31">
      <c r="H35" s="30" t="n"/>
    </row>
    <row r="36" ht="15" customHeight="1" s="31">
      <c r="H36" s="30" t="n"/>
    </row>
    <row r="37" ht="15" customHeight="1" s="31">
      <c r="H37" s="30" t="n"/>
    </row>
    <row r="38" ht="15" customHeight="1" s="31">
      <c r="H38" s="30" t="n"/>
    </row>
    <row r="39" ht="15" customHeight="1" s="31">
      <c r="H39" s="30" t="n"/>
    </row>
    <row r="40" ht="15" customHeight="1" s="31">
      <c r="H40" s="30" t="n"/>
    </row>
    <row r="41" ht="15" customHeight="1" s="31">
      <c r="H41" s="30" t="n"/>
    </row>
    <row r="42" ht="15" customHeight="1" s="31">
      <c r="H42" s="30" t="n"/>
    </row>
    <row r="43" ht="15" customHeight="1" s="31">
      <c r="H43" s="30" t="n"/>
    </row>
    <row r="44" ht="15" customHeight="1" s="31">
      <c r="H44" s="30" t="n"/>
    </row>
    <row r="45" ht="15" customHeight="1" s="31">
      <c r="H45" s="30" t="n"/>
    </row>
    <row r="46" ht="15" customHeight="1" s="31">
      <c r="H46" s="30" t="n"/>
    </row>
    <row r="47" ht="15" customHeight="1" s="31">
      <c r="H47" s="30" t="n"/>
    </row>
    <row r="48" ht="15" customHeight="1" s="31">
      <c r="H48" s="30" t="n"/>
    </row>
    <row r="49" ht="15" customHeight="1" s="31">
      <c r="H49" s="30" t="n"/>
    </row>
    <row r="50" ht="15" customHeight="1" s="31">
      <c r="H50" s="30" t="n"/>
    </row>
    <row r="51" ht="15" customHeight="1" s="31">
      <c r="H51" s="30" t="n"/>
    </row>
    <row r="52" ht="15" customHeight="1" s="31">
      <c r="H52" s="30" t="n"/>
    </row>
    <row r="53" ht="15" customHeight="1" s="31">
      <c r="H53" s="30" t="n"/>
    </row>
    <row r="54" ht="15" customHeight="1" s="31">
      <c r="H54" s="3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0" min="2" max="2"/>
    <col width="18" customWidth="1" style="30" min="3" max="3"/>
    <col width="42" customWidth="1" style="30" min="4" max="4"/>
    <col width="24" customWidth="1" style="30" min="5" max="5"/>
    <col width="18" customWidth="1" style="30" min="6" max="6"/>
    <col width="22" customWidth="1" style="30" min="7" max="7"/>
    <col width="42" customWidth="1" style="30" min="8" max="8"/>
    <col width="30" customWidth="1" style="30" min="9" max="9"/>
    <col width="15" customWidth="1" style="30" min="10" max="10"/>
  </cols>
  <sheetData>
    <row r="2" ht="18.55" customHeight="1" s="31">
      <c r="B2" s="36" t="inlineStr">
        <is>
          <t>Source, Transformation, Ownership and Refresh Map</t>
        </is>
      </c>
    </row>
    <row r="4" ht="15" customHeight="1" s="31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 ht="15" customHeight="1" s="31">
      <c r="B5" s="30" t="inlineStr">
        <is>
          <t>loan-level collections</t>
        </is>
      </c>
      <c r="C5" s="30" t="inlineStr">
        <is>
          <t>daily/weekly</t>
        </is>
      </c>
      <c r="D5" s="30" t="inlineStr">
        <is>
          <t>cash and mobile-money reconciliation</t>
        </is>
      </c>
      <c r="J5" s="30" t="inlineStr">
        <is>
          <t>TO MAP</t>
        </is>
      </c>
    </row>
    <row r="6" ht="15" customHeight="1" s="31">
      <c r="B6" s="30" t="inlineStr">
        <is>
          <t>portfolio tape</t>
        </is>
      </c>
      <c r="C6" s="30" t="inlineStr">
        <is>
          <t>monthly</t>
        </is>
      </c>
      <c r="D6" s="30" t="inlineStr">
        <is>
          <t>borrower and group identifiers</t>
        </is>
      </c>
      <c r="J6" s="30" t="inlineStr">
        <is>
          <t>TO MAP</t>
        </is>
      </c>
    </row>
    <row r="7" ht="15" customHeight="1" s="31">
      <c r="B7" s="30" t="inlineStr">
        <is>
          <t>model governance evidence</t>
        </is>
      </c>
      <c r="C7" s="30" t="inlineStr">
        <is>
          <t>per release</t>
        </is>
      </c>
      <c r="D7" s="30" t="inlineStr">
        <is>
          <t>version, reviewer, sign-off and change log</t>
        </is>
      </c>
      <c r="J7" s="30" t="inlineStr">
        <is>
          <t>TO MAP</t>
        </is>
      </c>
    </row>
    <row r="8" ht="15" customHeight="1" s="31">
      <c r="B8" s="30" t="inlineStr">
        <is>
          <t>decision-use snapshot</t>
        </is>
      </c>
      <c r="C8" s="30" t="inlineStr">
        <is>
          <t>per decision</t>
        </is>
      </c>
      <c r="D8" s="30" t="inlineStr">
        <is>
          <t>immutable as-of date and source receipt</t>
        </is>
      </c>
      <c r="J8" s="30" t="inlineStr">
        <is>
          <t>TO MAP</t>
        </is>
      </c>
    </row>
    <row r="9" ht="15" customHeight="1" s="31">
      <c r="J9" s="30" t="n"/>
    </row>
    <row r="10" ht="15" customHeight="1" s="31">
      <c r="J10" s="30" t="n"/>
    </row>
    <row r="11" ht="15" customHeight="1" s="31">
      <c r="J11" s="30" t="n"/>
    </row>
    <row r="12" ht="15" customHeight="1" s="31">
      <c r="J12" s="30" t="n"/>
    </row>
    <row r="13" ht="15" customHeight="1" s="31">
      <c r="J13" s="30" t="n"/>
    </row>
    <row r="14" ht="15" customHeight="1" s="31">
      <c r="J14" s="30" t="n"/>
    </row>
    <row r="15" ht="15" customHeight="1" s="31">
      <c r="J15" s="30" t="n"/>
    </row>
    <row r="16" ht="15" customHeight="1" s="31">
      <c r="J16" s="30" t="n"/>
    </row>
    <row r="17" ht="15" customHeight="1" s="31">
      <c r="J17" s="30" t="n"/>
    </row>
    <row r="18" ht="15" customHeight="1" s="31">
      <c r="J18" s="30" t="n"/>
    </row>
    <row r="19" ht="15" customHeight="1" s="31">
      <c r="J19" s="30" t="n"/>
    </row>
    <row r="20" ht="15" customHeight="1" s="31">
      <c r="J20" s="30" t="n"/>
    </row>
    <row r="21" ht="15" customHeight="1" s="31">
      <c r="J21" s="30" t="n"/>
    </row>
    <row r="22" ht="15" customHeight="1" s="31">
      <c r="J22" s="30" t="n"/>
    </row>
    <row r="23" ht="15" customHeight="1" s="31">
      <c r="J23" s="30" t="n"/>
    </row>
    <row r="24" ht="15" customHeight="1" s="31">
      <c r="J24" s="30" t="n"/>
    </row>
    <row r="25" ht="15" customHeight="1" s="31">
      <c r="J25" s="30" t="n"/>
    </row>
    <row r="26" ht="15" customHeight="1" s="31">
      <c r="J26" s="30" t="n"/>
    </row>
    <row r="27" ht="15" customHeight="1" s="31">
      <c r="J27" s="30" t="n"/>
    </row>
    <row r="28" ht="15" customHeight="1" s="31">
      <c r="J28" s="30" t="n"/>
    </row>
    <row r="29" ht="15" customHeight="1" s="31">
      <c r="J29" s="30" t="n"/>
    </row>
    <row r="30" ht="15" customHeight="1" s="31">
      <c r="J30" s="30" t="n"/>
    </row>
    <row r="31" ht="15" customHeight="1" s="31">
      <c r="J31" s="30" t="n"/>
    </row>
    <row r="32" ht="15" customHeight="1" s="31">
      <c r="J32" s="30" t="n"/>
    </row>
    <row r="33" ht="15" customHeight="1" s="31">
      <c r="J33" s="30" t="n"/>
    </row>
    <row r="34" ht="15" customHeight="1" s="31">
      <c r="J34" s="30" t="n"/>
    </row>
    <row r="35" ht="15" customHeight="1" s="31">
      <c r="J35" s="30" t="n"/>
    </row>
    <row r="36" ht="15" customHeight="1" s="31">
      <c r="J36" s="30" t="n"/>
    </row>
    <row r="37" ht="15" customHeight="1" s="31">
      <c r="J37" s="30" t="n"/>
    </row>
    <row r="38" ht="15" customHeight="1" s="31">
      <c r="J38" s="30" t="n"/>
    </row>
    <row r="39" ht="15" customHeight="1" s="31">
      <c r="J39" s="30" t="n"/>
    </row>
    <row r="40" ht="15" customHeight="1" s="31">
      <c r="J40" s="3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0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Loan Portfolio Overview</t>
        </is>
      </c>
    </row>
    <row r="5" ht="15" customHeight="1" s="31">
      <c r="B5" s="41" t="inlineStr">
        <is>
          <t>Gross loan portfolio (GLP, $)</t>
        </is>
      </c>
      <c r="C5" s="42" t="n">
        <v>611</v>
      </c>
    </row>
    <row r="6" ht="15" customHeight="1" s="31">
      <c r="B6" s="41" t="inlineStr">
        <is>
          <t>Number of active borrowers</t>
        </is>
      </c>
      <c r="C6" s="43" t="n">
        <v>2800</v>
      </c>
    </row>
    <row r="7" ht="15" customHeight="1" s="31">
      <c r="B7" s="41" t="inlineStr">
        <is>
          <t>Portfolio at risk &gt;30 days ($)</t>
        </is>
      </c>
      <c r="C7" s="42" t="n">
        <v>10.998</v>
      </c>
    </row>
    <row r="8" ht="15" customHeight="1" s="31">
      <c r="B8" s="41" t="inlineStr">
        <is>
          <t>Portfolio at risk &gt;90 days ($)</t>
        </is>
      </c>
      <c r="C8" s="44" t="n">
        <v>0</v>
      </c>
    </row>
    <row r="9" ht="15" customHeight="1" s="31">
      <c r="B9" s="41" t="inlineStr">
        <is>
          <t>Write-offs this period ($)</t>
        </is>
      </c>
      <c r="C9" s="44" t="n">
        <v>0</v>
      </c>
    </row>
    <row r="10" ht="15" customHeight="1" s="31">
      <c r="B10" s="41" t="inlineStr">
        <is>
          <t>Average loan balance ($)</t>
        </is>
      </c>
      <c r="C10" s="42" t="n">
        <v>0.218214</v>
      </c>
    </row>
    <row r="12" ht="15" customHeight="1" s="31">
      <c r="B12" s="45" t="inlineStr">
        <is>
          <t>Portfolio Quality</t>
        </is>
      </c>
    </row>
    <row r="13" ht="15" customHeight="1" s="31">
      <c r="B13" s="30" t="inlineStr">
        <is>
          <t>PAR 30 %</t>
        </is>
      </c>
      <c r="C13" s="46">
        <f>IFERROR(C7/C5,"-")</f>
        <v/>
      </c>
    </row>
    <row r="14" ht="15" customHeight="1" s="31">
      <c r="B14" s="30" t="inlineStr">
        <is>
          <t>PAR 90 %</t>
        </is>
      </c>
      <c r="C14" s="46">
        <f>IFERROR(C8/C5,"-")</f>
        <v/>
      </c>
    </row>
    <row r="15" ht="15" customHeight="1" s="31">
      <c r="B15" s="30" t="inlineStr">
        <is>
          <t>Write-off ratio (period)</t>
        </is>
      </c>
      <c r="C15" s="46">
        <f>IFERROR(C9/C5,"-")</f>
        <v/>
      </c>
    </row>
    <row r="16" ht="15" customHeight="1" s="31">
      <c r="B16" s="30" t="inlineStr">
        <is>
          <t>Avg loan / borrower check</t>
        </is>
      </c>
      <c r="C16" s="47">
        <f>IFERROR(C5/C6,"-")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5"/>
    <col width="44" customWidth="1" style="30" min="6" max="6"/>
  </cols>
  <sheetData>
    <row r="2" ht="19.7" customHeight="1" s="31">
      <c r="B2" s="32" t="inlineStr">
        <is>
          <t>Gross Loan Portfolio Rollforward and Restructuring</t>
        </is>
      </c>
    </row>
    <row r="3" ht="15" customHeight="1" s="31">
      <c r="B3" s="30" t="inlineStr">
        <is>
          <t>Active scenario</t>
        </is>
      </c>
      <c r="C3" s="48" t="inlineStr">
        <is>
          <t>Base</t>
        </is>
      </c>
    </row>
    <row r="4" ht="15" customHeight="1" s="31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Interpretation</t>
        </is>
      </c>
    </row>
    <row r="5" ht="15" customHeight="1" s="31">
      <c r="B5" s="30" t="inlineStr">
        <is>
          <t>Beginning gross loan portfolio</t>
        </is>
      </c>
      <c r="C5" s="44" t="n">
        <v>100</v>
      </c>
      <c r="D5" s="44" t="n">
        <v>100</v>
      </c>
      <c r="E5" s="47">
        <f>IF($C$3="Downside",D5,C5)</f>
        <v/>
      </c>
      <c r="F5" s="30" t="inlineStr">
        <is>
          <t>opening principal balance</t>
        </is>
      </c>
    </row>
    <row r="6" ht="15" customHeight="1" s="31">
      <c r="B6" s="30" t="inlineStr">
        <is>
          <t>Disbursements</t>
        </is>
      </c>
      <c r="C6" s="44" t="n">
        <v>50</v>
      </c>
      <c r="D6" s="44" t="n">
        <v>10</v>
      </c>
      <c r="E6" s="47">
        <f>IF($C$3="Downside",D6,C6)</f>
        <v/>
      </c>
      <c r="F6" s="30" t="inlineStr">
        <is>
          <t>new principal advanced</t>
        </is>
      </c>
    </row>
    <row r="7" ht="15" customHeight="1" s="31">
      <c r="B7" s="30" t="inlineStr">
        <is>
          <t>Principal collections</t>
        </is>
      </c>
      <c r="C7" s="44" t="n">
        <v>45</v>
      </c>
      <c r="D7" s="44" t="n">
        <v>20</v>
      </c>
      <c r="E7" s="47">
        <f>IF($C$3="Downside",D7,C7)</f>
        <v/>
      </c>
      <c r="F7" s="30" t="inlineStr">
        <is>
          <t>cash principal received</t>
        </is>
      </c>
    </row>
    <row r="8" ht="15" customHeight="1" s="31">
      <c r="B8" s="30" t="inlineStr">
        <is>
          <t>Write-offs</t>
        </is>
      </c>
      <c r="C8" s="44" t="n">
        <v>2</v>
      </c>
      <c r="D8" s="44" t="n">
        <v>8</v>
      </c>
      <c r="E8" s="47">
        <f>IF($C$3="Downside",D8,C8)</f>
        <v/>
      </c>
      <c r="F8" s="30" t="inlineStr">
        <is>
          <t>principal removed under policy</t>
        </is>
      </c>
    </row>
    <row r="9" ht="15" customHeight="1" s="31">
      <c r="B9" s="30" t="inlineStr">
        <is>
          <t>PAR &gt;30 balance</t>
        </is>
      </c>
      <c r="C9" s="44" t="n">
        <v>5</v>
      </c>
      <c r="D9" s="44" t="n">
        <v>35</v>
      </c>
      <c r="E9" s="47">
        <f>IF($C$3="Downside",D9,C9)</f>
        <v/>
      </c>
      <c r="F9" s="30" t="inlineStr">
        <is>
          <t>outstanding balance past due over 30 days</t>
        </is>
      </c>
    </row>
    <row r="10" ht="15" customHeight="1" s="31">
      <c r="B10" s="30" t="inlineStr">
        <is>
          <t>PAR &gt;90 balance</t>
        </is>
      </c>
      <c r="C10" s="44" t="n">
        <v>2</v>
      </c>
      <c r="D10" s="44" t="n">
        <v>20</v>
      </c>
      <c r="E10" s="47">
        <f>IF($C$3="Downside",D10,C10)</f>
        <v/>
      </c>
      <c r="F10" s="30" t="inlineStr">
        <is>
          <t>subset past due over 90 days</t>
        </is>
      </c>
    </row>
    <row r="11" ht="15" customHeight="1" s="31">
      <c r="B11" s="30" t="inlineStr">
        <is>
          <t>Restructured / rescheduled balance</t>
        </is>
      </c>
      <c r="C11" s="44" t="n">
        <v>1</v>
      </c>
      <c r="D11" s="44" t="n">
        <v>15</v>
      </c>
      <c r="E11" s="47">
        <f>IF($C$3="Downside",D11,C11)</f>
        <v/>
      </c>
      <c r="F11" s="30" t="inlineStr">
        <is>
          <t>modified loans tracked separately</t>
        </is>
      </c>
    </row>
    <row r="12" ht="15" customHeight="1" s="31">
      <c r="B12" s="30" t="inlineStr">
        <is>
          <t>Credit-risk warning ratio</t>
        </is>
      </c>
      <c r="C12" s="50" t="n">
        <v>0.15</v>
      </c>
      <c r="D12" s="50" t="n">
        <v>0.15</v>
      </c>
      <c r="E12" s="46">
        <f>IF($C$3="Downside",D12,C12)</f>
        <v/>
      </c>
      <c r="F12" s="30" t="inlineStr">
        <is>
          <t>PAR30 + write-offs + restructures / portfolio</t>
        </is>
      </c>
    </row>
    <row r="15" ht="15" customHeight="1" s="31">
      <c r="B15" s="45" t="inlineStr">
        <is>
          <t>Derived outputs</t>
        </is>
      </c>
    </row>
    <row r="16" ht="15" customHeight="1" s="31">
      <c r="B16" s="30" t="inlineStr">
        <is>
          <t>Ending gross loan portfolio</t>
        </is>
      </c>
      <c r="E16" s="47">
        <f>E5+E6-E7-E8</f>
        <v/>
      </c>
    </row>
    <row r="17" ht="15" customHeight="1" s="31">
      <c r="B17" s="30" t="inlineStr">
        <is>
          <t>PAR 30</t>
        </is>
      </c>
      <c r="E17" s="46">
        <f>IFERROR(E9/E16,0)</f>
        <v/>
      </c>
    </row>
    <row r="18" ht="15" customHeight="1" s="31">
      <c r="B18" s="30" t="inlineStr">
        <is>
          <t>PAR 90</t>
        </is>
      </c>
      <c r="E18" s="46">
        <f>IFERROR(E10/E16,0)</f>
        <v/>
      </c>
    </row>
    <row r="19" ht="15" customHeight="1" s="31">
      <c r="B19" s="30" t="inlineStr">
        <is>
          <t>Write-off ratio</t>
        </is>
      </c>
      <c r="E19" s="46">
        <f>IFERROR(E8/AVERAGE(E5,E16),0)</f>
        <v/>
      </c>
    </row>
    <row r="20" ht="15" customHeight="1" s="31">
      <c r="B20" s="30" t="inlineStr">
        <is>
          <t>Restructured ratio</t>
        </is>
      </c>
      <c r="E20" s="46">
        <f>IFERROR(E11/E16,0)</f>
        <v/>
      </c>
    </row>
    <row r="21" ht="15" customHeight="1" s="31">
      <c r="B21" s="30" t="inlineStr">
        <is>
          <t>Composite credit-risk ratio</t>
        </is>
      </c>
      <c r="E21" s="46">
        <f>E17+E19+E20</f>
        <v/>
      </c>
    </row>
    <row r="23" ht="15" customHeight="1" s="31">
      <c r="B23" s="51" t="inlineStr">
        <is>
          <t>PAR and write-offs use outstanding balances and policy definitions; restructures remain visible rather than being treated as cured delinquency.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4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Operational &amp; Financial Self-Sufficiency (OSS/FSS)</t>
        </is>
      </c>
    </row>
    <row r="4" ht="15" customHeight="1" s="31">
      <c r="B4" s="45" t="inlineStr">
        <is>
          <t>Inputs</t>
        </is>
      </c>
    </row>
    <row r="5" ht="15" customHeight="1" s="31">
      <c r="B5" s="41" t="inlineStr">
        <is>
          <t>Financial revenue (interest + fees, $)</t>
        </is>
      </c>
      <c r="C5" s="44" t="n">
        <v>0</v>
      </c>
    </row>
    <row r="6" ht="15" customHeight="1" s="31">
      <c r="B6" s="41" t="inlineStr">
        <is>
          <t>Financial expense (cost of funds, $)</t>
        </is>
      </c>
      <c r="C6" s="44" t="n">
        <v>0</v>
      </c>
    </row>
    <row r="7" ht="15" customHeight="1" s="31">
      <c r="B7" s="41" t="inlineStr">
        <is>
          <t>Loan loss provision expense ($)</t>
        </is>
      </c>
      <c r="C7" s="44" t="n">
        <v>0</v>
      </c>
    </row>
    <row r="8" ht="15" customHeight="1" s="31">
      <c r="B8" s="41" t="inlineStr">
        <is>
          <t>Operating expense ($)</t>
        </is>
      </c>
      <c r="C8" s="44" t="n">
        <v>0</v>
      </c>
    </row>
    <row r="9" ht="15" customHeight="1" s="31">
      <c r="B9" s="41" t="inlineStr">
        <is>
          <t>Cost of capital at market rate (imputed, $)</t>
        </is>
      </c>
      <c r="C9" s="44" t="n">
        <v>0</v>
      </c>
    </row>
    <row r="11" ht="15" customHeight="1" s="31">
      <c r="B11" s="45" t="inlineStr">
        <is>
          <t>Outputs</t>
        </is>
      </c>
    </row>
    <row r="12" ht="15" customHeight="1" s="31">
      <c r="B12" s="30" t="inlineStr">
        <is>
          <t>Operational Self-Sufficiency (OSS) = Rev / (Fin exp + Loss prov + Opex)</t>
        </is>
      </c>
      <c r="C12" s="52">
        <f>IFERROR(C5/(C6+C7+C8),"-")</f>
        <v/>
      </c>
      <c r="D12" s="51" t="inlineStr">
        <is>
          <t>&gt;100% = covering costs from operations, not subsidy-dependent</t>
        </is>
      </c>
    </row>
    <row r="13" ht="15" customHeight="1" s="31">
      <c r="B13" s="30" t="inlineStr">
        <is>
          <t>Financial Self-Sufficiency (FSS) = Rev / (Fin exp + Loss prov + Opex + imputed cost of capital)</t>
        </is>
      </c>
      <c r="C13" s="52">
        <f>IFERROR(C5/(C6+C7+C8+C9),"-")</f>
        <v/>
      </c>
      <c r="D13" s="51" t="inlineStr">
        <is>
          <t>Stricter than OSS — adjusts for subsidized funding cost vs. commercial rate</t>
        </is>
      </c>
    </row>
    <row r="14" ht="15" customHeight="1" s="31">
      <c r="B14" s="30" t="inlineStr">
        <is>
          <t>Portfolio yield (Rev / avg GLP)</t>
        </is>
      </c>
      <c r="C14" s="46">
        <f>IFERROR(C5/'Loan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4"/>
    <col width="44" customWidth="1" style="30" min="5" max="5"/>
  </cols>
  <sheetData>
    <row r="2" ht="19.7" customHeight="1" s="31">
      <c r="B2" s="32" t="inlineStr">
        <is>
          <t>Funding Concentration, Maturity, and 30-Day Liquidity</t>
        </is>
      </c>
    </row>
    <row r="4" ht="15" customHeight="1" s="31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Control / interpretation</t>
        </is>
      </c>
    </row>
    <row r="5" ht="15" customHeight="1" s="31">
      <c r="B5" s="30" t="inlineStr">
        <is>
          <t>Liquid assets</t>
        </is>
      </c>
      <c r="C5" s="44" t="n">
        <v>12</v>
      </c>
      <c r="D5" s="44" t="n">
        <v>4</v>
      </c>
      <c r="E5" s="30" t="inlineStr">
        <is>
          <t>unrestricted cash and near-cash assets</t>
        </is>
      </c>
    </row>
    <row r="6" ht="15" customHeight="1" s="31">
      <c r="B6" s="30" t="inlineStr">
        <is>
          <t>Committed undrawn funding</t>
        </is>
      </c>
      <c r="C6" s="44" t="n">
        <v>8</v>
      </c>
      <c r="D6" s="44" t="n">
        <v>2</v>
      </c>
      <c r="E6" s="30" t="inlineStr">
        <is>
          <t>available under enforceable facilities</t>
        </is>
      </c>
    </row>
    <row r="7" ht="15" customHeight="1" s="31">
      <c r="B7" s="30" t="inlineStr">
        <is>
          <t>Thirty-day contractual outflows</t>
        </is>
      </c>
      <c r="C7" s="44" t="n">
        <v>15</v>
      </c>
      <c r="D7" s="44" t="n">
        <v>18</v>
      </c>
      <c r="E7" s="30" t="inlineStr">
        <is>
          <t>debt, operating, and disbursement obligations</t>
        </is>
      </c>
    </row>
    <row r="8" ht="15" customHeight="1" s="31">
      <c r="B8" s="30" t="inlineStr">
        <is>
          <t>Largest funding provider balance</t>
        </is>
      </c>
      <c r="C8" s="44" t="n">
        <v>20</v>
      </c>
      <c r="D8" s="44" t="n">
        <v>35</v>
      </c>
      <c r="E8" s="30" t="inlineStr">
        <is>
          <t>single-provider exposure</t>
        </is>
      </c>
    </row>
    <row r="9" ht="15" customHeight="1" s="31">
      <c r="B9" s="30" t="inlineStr">
        <is>
          <t>Total wholesale / institutional funding</t>
        </is>
      </c>
      <c r="C9" s="44" t="n">
        <v>80</v>
      </c>
      <c r="D9" s="44" t="n">
        <v>70</v>
      </c>
      <c r="E9" s="30" t="inlineStr">
        <is>
          <t>denominator for concentration</t>
        </is>
      </c>
    </row>
    <row r="10" ht="15" customHeight="1" s="31">
      <c r="B10" s="30" t="inlineStr">
        <is>
          <t>Minimum liquidity coverage</t>
        </is>
      </c>
      <c r="C10" s="53" t="n">
        <v>1.1</v>
      </c>
      <c r="D10" s="53" t="n">
        <v>1.1</v>
      </c>
      <c r="E10" s="30" t="inlineStr">
        <is>
          <t>liquid assets plus committed funding / outflows</t>
        </is>
      </c>
    </row>
    <row r="11" ht="15" customHeight="1" s="31">
      <c r="B11" s="30" t="inlineStr">
        <is>
          <t>Maximum provider concentration</t>
        </is>
      </c>
      <c r="C11" s="50" t="n">
        <v>0.3</v>
      </c>
      <c r="D11" s="50" t="n">
        <v>0.3</v>
      </c>
      <c r="E11" s="30" t="inlineStr">
        <is>
          <t>largest provider / total institutional funding</t>
        </is>
      </c>
    </row>
    <row r="14" ht="15" customHeight="1" s="31">
      <c r="B14" s="30" t="inlineStr">
        <is>
          <t>Liquidity coverage</t>
        </is>
      </c>
      <c r="C14" s="54">
        <f>IFERROR((C5+C6)/C7,0)</f>
        <v/>
      </c>
      <c r="D14" s="54">
        <f>IFERROR((D5+D6)/D7,0)</f>
        <v/>
      </c>
    </row>
    <row r="15" ht="15" customHeight="1" s="31">
      <c r="B15" s="30" t="inlineStr">
        <is>
          <t>Funding gap</t>
        </is>
      </c>
      <c r="C15" s="47">
        <f>C5+C6-C7</f>
        <v/>
      </c>
      <c r="D15" s="47">
        <f>D5+D6-D7</f>
        <v/>
      </c>
    </row>
    <row r="16" ht="15" customHeight="1" s="31">
      <c r="B16" s="30" t="inlineStr">
        <is>
          <t>Largest provider concentration</t>
        </is>
      </c>
      <c r="C16" s="46">
        <f>IFERROR(C8/C9,0)</f>
        <v/>
      </c>
      <c r="D16" s="46">
        <f>IFERROR(D8/D9,0)</f>
        <v/>
      </c>
    </row>
    <row r="17" ht="15" customHeight="1" s="31">
      <c r="B17" s="30" t="inlineStr">
        <is>
          <t>Base status</t>
        </is>
      </c>
      <c r="C17" s="55">
        <f>IF(AND(C14&gt;=C10,C16&lt;=C11),"PASS","BREACH")</f>
        <v/>
      </c>
      <c r="D17" s="55" t="n"/>
    </row>
    <row r="18" ht="15" customHeight="1" s="31">
      <c r="B18" s="30" t="inlineStr">
        <is>
          <t>Downside status</t>
        </is>
      </c>
      <c r="C18" s="55">
        <f>IF(AND(D14&gt;=D10,D16&lt;=D11),"PASS","BREACH")</f>
        <v/>
      </c>
      <c r="D18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4"/>
    <col width="48" customWidth="1" style="30" min="5" max="5"/>
  </cols>
  <sheetData>
    <row r="2" ht="19.7" customHeight="1" s="31">
      <c r="B2" s="32" t="inlineStr">
        <is>
          <t>Client Affordability, Pricing Transparency, and Conduct Controls</t>
        </is>
      </c>
    </row>
    <row r="4" ht="15" customHeight="1" s="31">
      <c r="B4" s="49" t="inlineStr">
        <is>
          <t>Metric / control</t>
        </is>
      </c>
      <c r="C4" s="49" t="inlineStr">
        <is>
          <t>Input</t>
        </is>
      </c>
      <c r="D4" s="49" t="inlineStr">
        <is>
          <t>Status</t>
        </is>
      </c>
      <c r="E4" s="49" t="inlineStr">
        <is>
          <t>Evidence / action</t>
        </is>
      </c>
    </row>
    <row r="5" ht="15" customHeight="1" s="31">
      <c r="B5" s="30" t="inlineStr">
        <is>
          <t>Median borrower monthly income</t>
        </is>
      </c>
      <c r="C5" s="44" t="n">
        <v>250</v>
      </c>
      <c r="D5" s="55">
        <f>IF(C5&gt;0,"PASS","BREACH")</f>
        <v/>
      </c>
      <c r="E5" s="30" t="inlineStr">
        <is>
          <t>document source and update cadence</t>
        </is>
      </c>
    </row>
    <row r="6" ht="15" customHeight="1" s="31">
      <c r="B6" s="30" t="inlineStr">
        <is>
          <t>Median monthly debt service</t>
        </is>
      </c>
      <c r="C6" s="44" t="n">
        <v>35</v>
      </c>
      <c r="D6" s="55">
        <f>IF(C6/C5&lt;=0.3,"PASS","REVIEW")</f>
        <v/>
      </c>
      <c r="E6" s="30" t="inlineStr">
        <is>
          <t>review repayment capacity and household cash-flow volatility</t>
        </is>
      </c>
    </row>
    <row r="7" ht="15" customHeight="1" s="31">
      <c r="B7" s="30" t="inlineStr">
        <is>
          <t>Effective annualized borrower cost</t>
        </is>
      </c>
      <c r="C7" s="50" t="n">
        <v>0.28</v>
      </c>
      <c r="D7" s="55">
        <f>IF(C7&lt;=0.4,"PASS","REVIEW")</f>
        <v/>
      </c>
      <c r="E7" s="30" t="inlineStr">
        <is>
          <t>include interest, compulsory savings, fees, insurance, and transaction costs</t>
        </is>
      </c>
    </row>
    <row r="8" ht="15" customHeight="1" s="31">
      <c r="B8" s="30" t="inlineStr">
        <is>
          <t>Clients with multiple active lenders (%)</t>
        </is>
      </c>
      <c r="C8" s="50" t="n">
        <v>0.15</v>
      </c>
      <c r="D8" s="55">
        <f>IF(C8&lt;=0.25,"PASS","REVIEW")</f>
        <v/>
      </c>
      <c r="E8" s="30" t="inlineStr">
        <is>
          <t>monitor over-indebtedness and bureau/data limitations</t>
        </is>
      </c>
    </row>
    <row r="9" ht="15" customHeight="1" s="31">
      <c r="B9" s="30" t="inlineStr">
        <is>
          <t>Complaints closed within approved SLA (%)</t>
        </is>
      </c>
      <c r="C9" s="50" t="n">
        <v>0.95</v>
      </c>
      <c r="D9" s="55">
        <f>IF(C9&gt;=0.9,"PASS","REVIEW")</f>
        <v/>
      </c>
      <c r="E9" s="30" t="inlineStr">
        <is>
          <t>retain complaint taxonomy, root cause, and remediation</t>
        </is>
      </c>
    </row>
    <row r="10" ht="15" customHeight="1" s="31">
      <c r="B10" s="30" t="inlineStr">
        <is>
          <t>Restructures receiving affordability reassessment (%)</t>
        </is>
      </c>
      <c r="C10" s="50" t="n">
        <v>1</v>
      </c>
      <c r="D10" s="55">
        <f>IF(C10=1,"PASS","BREACH")</f>
        <v/>
      </c>
      <c r="E10" s="30" t="inlineStr">
        <is>
          <t>1.0 means every restructure is reassessed and documented</t>
        </is>
      </c>
    </row>
    <row r="12" ht="15" customHeight="1" s="31">
      <c r="B12" s="51" t="inlineStr">
        <is>
          <t>These controls expose borrower harm and conduct risk; they are not a claim that a single universal affordability or pricing threshold applies across jurisdictions.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2" customWidth="1" style="30" min="2" max="2"/>
    <col width="18" customWidth="1" style="30" min="3" max="4"/>
    <col width="50" customWidth="1" style="30" min="5" max="5"/>
  </cols>
  <sheetData>
    <row r="2" ht="19.7" customHeight="1" s="31">
      <c r="B2" s="32" t="inlineStr">
        <is>
          <t>Microfinance Decision Dashboard and Independent Checks</t>
        </is>
      </c>
    </row>
    <row r="4" ht="15" customHeight="1" s="31">
      <c r="B4" s="49" t="inlineStr">
        <is>
          <t>Check / decision</t>
        </is>
      </c>
      <c r="C4" s="49" t="inlineStr">
        <is>
          <t>Metric</t>
        </is>
      </c>
      <c r="D4" s="49" t="inlineStr">
        <is>
          <t>Status</t>
        </is>
      </c>
      <c r="E4" s="49" t="inlineStr">
        <is>
          <t>Interpretation / action</t>
        </is>
      </c>
    </row>
    <row r="5" ht="15" customHeight="1" s="31">
      <c r="B5" s="30" t="inlineStr">
        <is>
          <t>Portfolio rollforward residual</t>
        </is>
      </c>
      <c r="C5" s="55">
        <f>'Portfolio Rollforward'!E16-('Portfolio Rollforward'!E5+'Portfolio Rollforward'!E6-'Portfolio Rollforward'!E7-'Portfolio Rollforward'!E8)</f>
        <v/>
      </c>
      <c r="D5" s="55">
        <f>IF(ABS(C5)&lt;0.01,"PASS","FAIL")</f>
        <v/>
      </c>
      <c r="E5" s="30" t="inlineStr">
        <is>
          <t>Ending portfolio must conserve across disbursements, collections, and write-offs.</t>
        </is>
      </c>
    </row>
    <row r="6" ht="15" customHeight="1" s="31">
      <c r="B6" s="30" t="inlineStr">
        <is>
          <t>PAR ordering</t>
        </is>
      </c>
      <c r="C6" s="55">
        <f>'Portfolio Rollforward'!E17-'Portfolio Rollforward'!E18</f>
        <v/>
      </c>
      <c r="D6" s="55">
        <f>IF(C6&gt;=-0.000001,"PASS","FAIL")</f>
        <v/>
      </c>
      <c r="E6" s="30" t="inlineStr">
        <is>
          <t>PAR90 must remain a subset of PAR30.</t>
        </is>
      </c>
    </row>
    <row r="7" ht="15" customHeight="1" s="31">
      <c r="B7" s="30" t="inlineStr">
        <is>
          <t>Composite credit-risk ratio</t>
        </is>
      </c>
      <c r="C7" s="46">
        <f>'Portfolio Rollforward'!E21</f>
        <v/>
      </c>
      <c r="D7" s="55">
        <f>IF(C7&lt;='Portfolio Rollforward'!E12,"PASS","BREACH")</f>
        <v/>
      </c>
      <c r="E7" s="30" t="inlineStr">
        <is>
          <t>Escalate delinquency, restructures, and write-offs together rather than separately.</t>
        </is>
      </c>
    </row>
    <row r="8" ht="15" customHeight="1" s="31">
      <c r="B8" s="30" t="inlineStr">
        <is>
          <t>Reserve tie residual</t>
        </is>
      </c>
      <c r="C8" s="55">
        <f>Provisioning!C9-'Loan Portfolio'!C5</f>
        <v/>
      </c>
      <c r="D8" s="55">
        <f>IF(OR(NOT(ISNUMBER(C8)),ABS(C8)&lt;0.01),"PASS","FAIL")</f>
        <v/>
      </c>
      <c r="E8" s="30" t="inlineStr">
        <is>
          <t>Aging buckets must tie to the reported gross loan portfolio.</t>
        </is>
      </c>
    </row>
    <row r="9" ht="15" customHeight="1" s="31">
      <c r="B9" s="30" t="inlineStr">
        <is>
          <t>Reserve adequacy</t>
        </is>
      </c>
      <c r="C9" s="55">
        <f>Provisioning!C13</f>
        <v/>
      </c>
      <c r="D9" s="55">
        <f>IF(NOT(ISNUMBER(C9)),"REVIEW",IF(C9&gt;=1,"PASS","BREACH"))</f>
        <v/>
      </c>
      <c r="E9" s="30" t="inlineStr">
        <is>
          <t>Actual reserves must cover the modeled policy requirement.</t>
        </is>
      </c>
    </row>
    <row r="10" ht="15" customHeight="1" s="31">
      <c r="B10" s="30" t="inlineStr">
        <is>
          <t>Operational self-sufficiency</t>
        </is>
      </c>
      <c r="C10" s="55">
        <f>Sustainability!C12</f>
        <v/>
      </c>
      <c r="D10" s="55">
        <f>IF(NOT(ISNUMBER(C10)),"REVIEW",IF(C10&gt;=1,"PASS","BREACH"))</f>
        <v/>
      </c>
      <c r="E10" s="30" t="inlineStr">
        <is>
          <t>OSS below 100% indicates operating dependence on subsidy or capital support.</t>
        </is>
      </c>
    </row>
    <row r="11" ht="15" customHeight="1" s="31">
      <c r="B11" s="30" t="inlineStr">
        <is>
          <t>Financial self-sufficiency</t>
        </is>
      </c>
      <c r="C11" s="55">
        <f>Sustainability!C13</f>
        <v/>
      </c>
      <c r="D11" s="55">
        <f>IF(NOT(ISNUMBER(C11)),"REVIEW",IF(C11&gt;=1,"PASS","BREACH"))</f>
        <v/>
      </c>
      <c r="E11" s="30" t="inlineStr">
        <is>
          <t>FSS also adjusts for subsidized funding and capital costs.</t>
        </is>
      </c>
    </row>
    <row r="12" ht="15" customHeight="1" s="31">
      <c r="B12" s="30" t="inlineStr">
        <is>
          <t>Downside funding gap</t>
        </is>
      </c>
      <c r="C12" s="47">
        <f>'Funding &amp; Liquidity'!D15</f>
        <v/>
      </c>
      <c r="D12" s="55">
        <f>IF(C12&gt;=0,"PASS","BREACH")</f>
        <v/>
      </c>
      <c r="E12" s="30" t="inlineStr">
        <is>
          <t>A negative 30-day gap requires committed funding, slower disbursement, or contingency liquidity.</t>
        </is>
      </c>
    </row>
    <row r="13" ht="15" customHeight="1" s="31">
      <c r="B13" s="30" t="inlineStr">
        <is>
          <t>Conduct-control exceptions</t>
        </is>
      </c>
      <c r="C13" s="55">
        <f>COUNTIF('Client &amp; Conduct'!D5:D10,"&lt;&gt;PASS")</f>
        <v/>
      </c>
      <c r="D13" s="55">
        <f>IF(C13=0,"PASS","REVIEW")</f>
        <v/>
      </c>
      <c r="E13" s="30" t="inlineStr">
        <is>
          <t>Growth and sustainability do not override affordability or conduct failures.</t>
        </is>
      </c>
    </row>
    <row r="15" ht="15" customHeight="1" s="31">
      <c r="B15" s="33" t="inlineStr">
        <is>
          <t>Overall model status</t>
        </is>
      </c>
      <c r="C15" s="56">
        <f>IF(COUNTIF(D5:D13,"FAIL")+COUNTIF(D5:D13,"BREACH")&gt;0,"BREACH",IF(COUNTIF(D5:D13,"REVIEW")&gt;0,"REVIEW","PASS"))</f>
        <v/>
      </c>
    </row>
    <row r="17" ht="15" customHeight="1" s="31">
      <c r="B17" s="45" t="inlineStr">
        <is>
          <t>Primary decision outputs</t>
        </is>
      </c>
    </row>
    <row r="18" ht="15" customHeight="1" s="31">
      <c r="B18" s="30" t="inlineStr">
        <is>
          <t>Ending gross loan portfolio</t>
        </is>
      </c>
      <c r="C18" s="47">
        <f>'Portfolio Rollforward'!E16</f>
        <v/>
      </c>
    </row>
    <row r="19" ht="15" customHeight="1" s="31">
      <c r="B19" s="30" t="inlineStr">
        <is>
          <t>PAR 30</t>
        </is>
      </c>
      <c r="C19" s="46">
        <f>'Portfolio Rollforward'!E17</f>
        <v/>
      </c>
    </row>
    <row r="20" ht="15" customHeight="1" s="31">
      <c r="B20" s="30" t="inlineStr">
        <is>
          <t>Write-off ratio</t>
        </is>
      </c>
      <c r="C20" s="46">
        <f>'Portfolio Rollforward'!E19</f>
        <v/>
      </c>
    </row>
    <row r="21" ht="15" customHeight="1" s="31">
      <c r="B21" s="30" t="inlineStr">
        <is>
          <t>OSS</t>
        </is>
      </c>
      <c r="C21" s="46">
        <f>Sustainability!C12</f>
        <v/>
      </c>
    </row>
    <row r="22" ht="15" customHeight="1" s="31">
      <c r="B22" s="30" t="inlineStr">
        <is>
          <t>FSS</t>
        </is>
      </c>
      <c r="C22" s="46">
        <f>Sustainability!C13</f>
        <v/>
      </c>
    </row>
    <row r="23" ht="15" customHeight="1" s="31">
      <c r="B23" s="30" t="inlineStr">
        <is>
          <t>Downside funding gap</t>
        </is>
      </c>
      <c r="C23" s="47">
        <f>'Funding &amp; Liquidity'!D15</f>
        <v/>
      </c>
    </row>
    <row r="24" ht="15" customHeight="1" s="31">
      <c r="B24" s="30" t="inlineStr">
        <is>
          <t>Reserve adequacy</t>
        </is>
      </c>
      <c r="C24" s="46">
        <f>Provisioning!C13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26" customWidth="1" style="30" min="2" max="2"/>
    <col width="16" customWidth="1" style="30" min="3" max="3"/>
    <col width="14" customWidth="1" style="30" min="4" max="4"/>
    <col width="16" customWidth="1" style="30" min="5" max="5"/>
    <col width="40" customWidth="1" style="30" min="6" max="6"/>
  </cols>
  <sheetData>
    <row r="2" ht="19.7" customHeight="1" s="31">
      <c r="B2" s="32" t="inlineStr">
        <is>
          <t>Loan Loss Reserve Adequacy (days-past-due tiering)</t>
        </is>
      </c>
    </row>
    <row r="4" ht="15" customHeight="1" s="31">
      <c r="B4" s="49" t="inlineStr">
        <is>
          <t>Aging bucket</t>
        </is>
      </c>
      <c r="C4" s="49" t="inlineStr">
        <is>
          <t>Outstanding balance ($)</t>
        </is>
      </c>
      <c r="D4" s="49" t="inlineStr">
        <is>
          <t>Reserve rate</t>
        </is>
      </c>
      <c r="E4" s="49" t="inlineStr">
        <is>
          <t>Required reserve ($)</t>
        </is>
      </c>
    </row>
    <row r="5" ht="15" customHeight="1" s="31">
      <c r="B5" s="41" t="inlineStr">
        <is>
          <t>Current (0-30 days)</t>
        </is>
      </c>
      <c r="C5" s="44" t="n">
        <v>0</v>
      </c>
      <c r="D5" s="57" t="n">
        <v>0.01</v>
      </c>
      <c r="E5" s="47">
        <f>C5*D5</f>
        <v/>
      </c>
    </row>
    <row r="6" ht="15" customHeight="1" s="31">
      <c r="B6" s="41" t="inlineStr">
        <is>
          <t>31-90 days</t>
        </is>
      </c>
      <c r="C6" s="44" t="n">
        <v>0</v>
      </c>
      <c r="D6" s="57" t="n">
        <v>0.1</v>
      </c>
      <c r="E6" s="47">
        <f>C6*D6</f>
        <v/>
      </c>
    </row>
    <row r="7" ht="15" customHeight="1" s="31">
      <c r="B7" s="41" t="inlineStr">
        <is>
          <t>91-180 days</t>
        </is>
      </c>
      <c r="C7" s="44" t="n">
        <v>0</v>
      </c>
      <c r="D7" s="57" t="n">
        <v>0.5</v>
      </c>
      <c r="E7" s="47">
        <f>C7*D7</f>
        <v/>
      </c>
    </row>
    <row r="8" ht="15" customHeight="1" s="31">
      <c r="B8" s="41" t="inlineStr">
        <is>
          <t>180+ days / written off pending</t>
        </is>
      </c>
      <c r="C8" s="44" t="n">
        <v>0</v>
      </c>
      <c r="D8" s="57" t="n">
        <v>1</v>
      </c>
      <c r="E8" s="47">
        <f>C8*D8</f>
        <v/>
      </c>
    </row>
    <row r="9" ht="15" customHeight="1" s="31">
      <c r="B9" s="33" t="inlineStr">
        <is>
          <t>Total outstanding portfolio</t>
        </is>
      </c>
      <c r="C9" s="58">
        <f>SUM(C5:C8)</f>
        <v/>
      </c>
    </row>
    <row r="10" ht="15" customHeight="1" s="31">
      <c r="B10" s="33" t="inlineStr">
        <is>
          <t>Total required reserve (sum of tiers)</t>
        </is>
      </c>
      <c r="E10" s="58">
        <f>SUM(E5:E8)</f>
        <v/>
      </c>
    </row>
    <row r="12" ht="15" customHeight="1" s="31">
      <c r="B12" s="30" t="inlineStr">
        <is>
          <t>Actual reserve held ($)</t>
        </is>
      </c>
      <c r="C12" s="44" t="n">
        <v>0</v>
      </c>
    </row>
    <row r="13" ht="15" customHeight="1" s="31">
      <c r="B13" s="30" t="inlineStr">
        <is>
          <t>Reserve adequacy (actual / required)</t>
        </is>
      </c>
      <c r="C13" s="59">
        <f>IFERROR(C12/E10,"-")</f>
        <v/>
      </c>
      <c r="D13" s="51" t="inlineStr">
        <is>
          <t>&lt;100% = under-reserved relative to portfolio risk profile — review provisioning policy</t>
        </is>
      </c>
    </row>
    <row r="14" ht="15" customHeight="1" s="31">
      <c r="B14" s="30" t="inlineStr">
        <is>
          <t>Cross-check vs Loan Portfolio tab (should tie to GLP)</t>
        </is>
      </c>
      <c r="C14" s="60">
        <f>IFERROR(C9-'Loan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4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Growth &amp; Loan Officer Productivity</t>
        </is>
      </c>
    </row>
    <row r="4" ht="15" customHeight="1" s="31">
      <c r="B4" s="45" t="inlineStr">
        <is>
          <t>Inputs</t>
        </is>
      </c>
    </row>
    <row r="5" ht="15" customHeight="1" s="31">
      <c r="B5" s="41" t="inlineStr">
        <is>
          <t>Active borrowers — prior period</t>
        </is>
      </c>
      <c r="C5" s="61" t="n">
        <v>0</v>
      </c>
    </row>
    <row r="6" ht="15" customHeight="1" s="31">
      <c r="B6" s="41" t="inlineStr">
        <is>
          <t>Active borrowers — current period</t>
        </is>
      </c>
      <c r="C6" s="61" t="n">
        <v>0</v>
      </c>
    </row>
    <row r="7" ht="15" customHeight="1" s="31">
      <c r="B7" s="41" t="inlineStr">
        <is>
          <t>New disbursements this period ($)</t>
        </is>
      </c>
      <c r="C7" s="44" t="n">
        <v>0</v>
      </c>
    </row>
    <row r="8" ht="15" customHeight="1" s="31">
      <c r="B8" s="41" t="inlineStr">
        <is>
          <t>Number of loan officers</t>
        </is>
      </c>
      <c r="C8" s="61" t="n">
        <v>0</v>
      </c>
    </row>
    <row r="10" ht="15" customHeight="1" s="31">
      <c r="B10" s="45" t="inlineStr">
        <is>
          <t>Outputs</t>
        </is>
      </c>
    </row>
    <row r="11" ht="15" customHeight="1" s="31">
      <c r="B11" s="30" t="inlineStr">
        <is>
          <t>Borrower growth rate (period over period)</t>
        </is>
      </c>
      <c r="C11" s="46">
        <f>IFERROR((C6-C5)/C5,"-")</f>
        <v/>
      </c>
    </row>
    <row r="12" ht="15" customHeight="1" s="31">
      <c r="B12" s="30" t="inlineStr">
        <is>
          <t>Borrowers per loan officer (caseload)</t>
        </is>
      </c>
      <c r="C12" s="62">
        <f>IFERROR(C6/C8,"-")</f>
        <v/>
      </c>
      <c r="D12" s="51" t="inlineStr">
        <is>
          <t>Typical sustainable caseload benchmark: 250-400 borrowers/officer, group-lending-dependent</t>
        </is>
      </c>
    </row>
    <row r="13" ht="15" customHeight="1" s="31">
      <c r="B13" s="30" t="inlineStr">
        <is>
          <t>Disbursement per active borrower ($, avg)</t>
        </is>
      </c>
      <c r="C13" s="47">
        <f>IFERROR(C7/C6,"-")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14" customWidth="1" style="30" min="2" max="2"/>
    <col width="16" customWidth="1" style="30" min="3" max="3"/>
    <col width="30" customWidth="1" style="30" min="4" max="5"/>
    <col width="16" customWidth="1" style="30" min="6" max="6"/>
  </cols>
  <sheetData>
    <row r="2" ht="19.7" customHeight="1" s="31">
      <c r="B2" s="32" t="inlineStr">
        <is>
          <t>Refresh Log</t>
        </is>
      </c>
    </row>
    <row r="4" ht="15" customHeight="1" s="31">
      <c r="B4" s="49" t="inlineStr">
        <is>
          <t>Date</t>
        </is>
      </c>
      <c r="C4" s="49" t="inlineStr">
        <is>
          <t>Trigger</t>
        </is>
      </c>
      <c r="D4" s="49" t="inlineStr">
        <is>
          <t>What changed</t>
        </is>
      </c>
      <c r="E4" s="49" t="inlineStr">
        <is>
          <t>Reviewer notes</t>
        </is>
      </c>
      <c r="F4" s="49" t="inlineStr">
        <is>
          <t>Next check</t>
        </is>
      </c>
    </row>
    <row r="5" ht="15" customHeight="1" s="31">
      <c r="B5" s="55" t="inlineStr">
        <is>
          <t>2026-08-04</t>
        </is>
      </c>
      <c r="C5" s="55" t="inlineStr">
        <is>
          <t>External historical evidence materialization</t>
        </is>
      </c>
      <c r="D5" s="55" t="inlineStr">
        <is>
          <t>Generated public case microfinance-public-asa-2025 from canonical release template</t>
        </is>
      </c>
      <c r="E5" s="55" t="inlineStr">
        <is>
          <t>External historical case; human stakeholder approval remains pending</t>
        </is>
      </c>
      <c r="F5" s="55" t="inlineStr">
        <is>
          <t>On source revision, builder change, monitoring breach, or annual review</t>
        </is>
      </c>
    </row>
    <row r="6" ht="15" customHeight="1" s="31">
      <c r="B6" s="55" t="n"/>
      <c r="C6" s="55" t="n"/>
      <c r="D6" s="55" t="n"/>
      <c r="E6" s="55" t="n"/>
      <c r="F6" s="55" t="n"/>
    </row>
    <row r="7" ht="15" customHeight="1" s="31">
      <c r="B7" s="55" t="n"/>
      <c r="C7" s="55" t="n"/>
      <c r="D7" s="55" t="n"/>
      <c r="E7" s="55" t="n"/>
      <c r="F7" s="55" t="n"/>
    </row>
    <row r="8" ht="15" customHeight="1" s="31">
      <c r="B8" s="55" t="n"/>
      <c r="C8" s="55" t="n"/>
      <c r="D8" s="55" t="n"/>
      <c r="E8" s="55" t="n"/>
      <c r="F8" s="55" t="n"/>
    </row>
    <row r="9" ht="15" customHeight="1" s="31">
      <c r="B9" s="55" t="n"/>
      <c r="C9" s="55" t="n"/>
      <c r="D9" s="55" t="n"/>
      <c r="E9" s="55" t="n"/>
      <c r="F9" s="55" t="n"/>
    </row>
    <row r="10" ht="15" customHeight="1" s="31">
      <c r="B10" s="55" t="n"/>
      <c r="C10" s="55" t="n"/>
      <c r="D10" s="55" t="n"/>
      <c r="E10" s="55" t="n"/>
      <c r="F10" s="55" t="n"/>
    </row>
    <row r="11" ht="15" customHeight="1" s="31">
      <c r="B11" s="55" t="n"/>
      <c r="C11" s="55" t="n"/>
      <c r="D11" s="55" t="n"/>
      <c r="E11" s="55" t="n"/>
      <c r="F11" s="55" t="n"/>
    </row>
    <row r="12" ht="15" customHeight="1" s="31">
      <c r="B12" s="55" t="n"/>
      <c r="C12" s="55" t="n"/>
      <c r="D12" s="55" t="n"/>
      <c r="E12" s="55" t="n"/>
      <c r="F12" s="55" t="n"/>
    </row>
    <row r="13" ht="15" customHeight="1" s="31">
      <c r="B13" s="55" t="n"/>
      <c r="C13" s="55" t="n"/>
      <c r="D13" s="55" t="n"/>
      <c r="E13" s="55" t="n"/>
      <c r="F13" s="55" t="n"/>
    </row>
    <row r="14" ht="15" customHeight="1" s="31">
      <c r="B14" s="55" t="n"/>
      <c r="C14" s="55" t="n"/>
      <c r="D14" s="55" t="n"/>
      <c r="E14" s="55" t="n"/>
      <c r="F14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