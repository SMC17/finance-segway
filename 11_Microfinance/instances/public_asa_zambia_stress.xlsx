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Loan Portfolio" sheetId="5" state="visible" r:id="rId7"/>
    <sheet name="Portfolio Rollforward" sheetId="6" state="visible" r:id="rId8"/>
    <sheet name="Sustainability" sheetId="7" state="visible" r:id="rId9"/>
    <sheet name="Funding &amp; Liquidity" sheetId="8" state="visible" r:id="rId10"/>
    <sheet name="Client &amp; Conduct" sheetId="9" state="visible" r:id="rId11"/>
    <sheet name="Decision &amp; Checks" sheetId="10" state="visible" r:id="rId12"/>
    <sheet name="Provisioning" sheetId="11" state="visible" r:id="rId13"/>
    <sheet name="Growth &amp; Productivity" sheetId="12" state="visible" r:id="rId14"/>
    <sheet name="RefreshLog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<sst xmlns="http://schemas.openxmlformats.org/spreadsheetml/2006/main" count="347" uniqueCount="259">
  <si>
    <t xml:space="preserve">[MFI] — Microfinance Model</t>
  </si>
  <si>
    <t xml:space="preserve">Institution:</t>
  </si>
  <si>
    <t xml:space="preserve">[fill in]</t>
  </si>
  <si>
    <t xml:space="preserve">Region:</t>
  </si>
  <si>
    <t xml:space="preserve">Last refreshed:</t>
  </si>
  <si>
    <t xml:space="preserve">2025-12-31</t>
  </si>
  <si>
    <t xml:space="preserve">Refresh cadence:</t>
  </si>
  <si>
    <t xml:space="preserve">Weekly</t>
  </si>
  <si>
    <t xml:space="preserve">Microfinance — Institutional Decision Surface</t>
  </si>
  <si>
    <t xml:space="preserve">Model ID</t>
  </si>
  <si>
    <t xml:space="preserve">11</t>
  </si>
  <si>
    <t xml:space="preserve">Domain</t>
  </si>
  <si>
    <t xml:space="preserve">Microfinance</t>
  </si>
  <si>
    <t xml:space="preserve">Declared maturity</t>
  </si>
  <si>
    <t xml:space="preserve">M2</t>
  </si>
  <si>
    <t xml:space="preserve">Canonical builder</t>
  </si>
  <si>
    <t xml:space="preserve">tools/builders/build_microfinance_release.py</t>
  </si>
  <si>
    <t xml:space="preserve">Decision arena</t>
  </si>
  <si>
    <t xml:space="preserve">credit, field operations, treasury, social-performance committee and regulator</t>
  </si>
  <si>
    <t xml:space="preserve">Committee artifact</t>
  </si>
  <si>
    <t xml:space="preserve">portfolio quality and sustainability pack</t>
  </si>
  <si>
    <t xml:space="preserve">Operating cadence</t>
  </si>
  <si>
    <t xml:space="preserve">weekly collections; monthly portfolio;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</si>
  <si>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</si>
  <si>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</si>
  <si>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</si>
  <si>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</si>
  <si>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</si>
  <si>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</si>
  <si>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PAR30 / PAR90 and vintage loss</t>
  </si>
  <si>
    <t xml:space="preserve">OPEN</t>
  </si>
  <si>
    <t xml:space="preserve">roll rates and cure</t>
  </si>
  <si>
    <t xml:space="preserve">operational and financial self-sufficiency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</si>
  <si>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</si>
  <si>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</si>
  <si>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</si>
  <si>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behavior signals rescheduling versus cure?</t>
  </si>
  <si>
    <t xml:space="preserve">Which branches are growing faster than controls?</t>
  </si>
  <si>
    <t xml:space="preserve">How much borrower debt sits outside the institution?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</si>
  <si>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</si>
  <si>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</si>
  <si>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</si>
  <si>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delinquency migration</t>
  </si>
  <si>
    <t xml:space="preserve">collection disruption</t>
  </si>
  <si>
    <t xml:space="preserve">currency devaluation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</si>
  <si>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</si>
  <si>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</si>
  <si>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</si>
  <si>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loan tape and repayment schedule</t>
  </si>
  <si>
    <t xml:space="preserve">branch / officer performance reports</t>
  </si>
  <si>
    <t xml:space="preserve">funding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</si>
  <si>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</si>
  <si>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</si>
  <si>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</si>
  <si>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portfolio roll-forward balances</t>
  </si>
  <si>
    <t xml:space="preserve">PAR denominators consistent</t>
  </si>
  <si>
    <t xml:space="preserve">write-offs do not erase vintage history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</si>
  <si>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</si>
  <si>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</si>
  <si>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</si>
  <si>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evergreening delinquent loans</t>
  </si>
  <si>
    <t xml:space="preserve">using portfolio yield without cash realization</t>
  </si>
  <si>
    <t xml:space="preserve">masking officer / branch concentration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</si>
  <si>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</si>
  <si>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</si>
  <si>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</si>
  <si>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</si>
  <si>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</si>
  <si>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</si>
  <si>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</si>
  <si>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</si>
  <si>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</si>
  <si>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</si>
  <si>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</si>
  <si>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</si>
  <si>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</si>
  <si>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</si>
  <si>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</si>
  <si>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</si>
  <si>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</si>
  <si>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</si>
  <si>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</si>
  <si>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</si>
  <si>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</si>
  <si>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</si>
  <si>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</si>
  <si>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</si>
  <si>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</si>
  <si>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</si>
  <si>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</si>
  <si>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</si>
  <si>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</si>
  <si>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</si>
  <si>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</si>
  <si>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loan-level collections</t>
  </si>
  <si>
    <t xml:space="preserve">daily/weekly</t>
  </si>
  <si>
    <t xml:space="preserve">cash and mobile-money reconciliation</t>
  </si>
  <si>
    <t xml:space="preserve">TO MAP</t>
  </si>
  <si>
    <t xml:space="preserve">portfolio tape</t>
  </si>
  <si>
    <t xml:space="preserve">monthly</t>
  </si>
  <si>
    <t xml:space="preserve">borrower and group identifiers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</si>
  <si>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</si>
  <si>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</si>
  <si>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</si>
  <si>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</si>
  <si>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</si>
  <si>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</si>
  <si>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Loan Portfolio Overview</t>
  </si>
  <si>
    <t xml:space="preserve">Gross loan portfolio (GLP, $)</t>
  </si>
  <si>
    <t xml:space="preserve">Number of active borrowers</t>
  </si>
  <si>
    <t xml:space="preserve">Portfolio at risk &gt;30 days ($)</t>
  </si>
  <si>
    <t xml:space="preserve">Portfolio at risk &gt;90 days ($)</t>
  </si>
  <si>
    <t xml:space="preserve">Write-offs this period ($)</t>
  </si>
  <si>
    <t xml:space="preserve">Average loan balance ($)</t>
  </si>
  <si>
    <t xml:space="preserve">Portfolio Quality</t>
  </si>
  <si>
    <t xml:space="preserve">PAR 30 %</t>
  </si>
  <si>
    <t xml:space="preserve">PAR 90 %</t>
  </si>
  <si>
    <t xml:space="preserve">Write-off ratio (period)</t>
  </si>
  <si>
    <t xml:space="preserve">Avg loan / borrower check</t>
  </si>
  <si>
    <t xml:space="preserve">Gross Loan Portfolio Rollforward and Restructuring</t>
  </si>
  <si>
    <t xml:space="preserve">Active scenario</t>
  </si>
  <si>
    <t xml:space="preserve">Downside</t>
  </si>
  <si>
    <t xml:space="preserve">Metric</t>
  </si>
  <si>
    <t xml:space="preserve">Base</t>
  </si>
  <si>
    <t xml:space="preserve">Active</t>
  </si>
  <si>
    <t xml:space="preserve">Interpretation</t>
  </si>
  <si>
    <t xml:space="preserve">Beginning gross loan portfolio</t>
  </si>
  <si>
    <t xml:space="preserve">opening principal balance</t>
  </si>
  <si>
    <t xml:space="preserve">Disbursements</t>
  </si>
  <si>
    <t xml:space="preserve">new principal advanced</t>
  </si>
  <si>
    <t xml:space="preserve">Principal collections</t>
  </si>
  <si>
    <t xml:space="preserve">cash principal received</t>
  </si>
  <si>
    <t xml:space="preserve">Write-offs</t>
  </si>
  <si>
    <t xml:space="preserve">principal removed under policy</t>
  </si>
  <si>
    <t xml:space="preserve">PAR &gt;30 balance</t>
  </si>
  <si>
    <t xml:space="preserve">outstanding balance past due over 30 days</t>
  </si>
  <si>
    <t xml:space="preserve">PAR &gt;90 balance</t>
  </si>
  <si>
    <t xml:space="preserve">subset past due over 90 days</t>
  </si>
  <si>
    <t xml:space="preserve">Restructured / rescheduled balance</t>
  </si>
  <si>
    <t xml:space="preserve">modified loans tracked separately</t>
  </si>
  <si>
    <t xml:space="preserve">Credit-risk warning ratio</t>
  </si>
  <si>
    <t xml:space="preserve">PAR30 + write-offs + restructures / portfolio</t>
  </si>
  <si>
    <t xml:space="preserve">Derived outputs</t>
  </si>
  <si>
    <t xml:space="preserve">Ending gross loan portfolio</t>
  </si>
  <si>
    <t xml:space="preserve">PAR 30</t>
  </si>
  <si>
    <t xml:space="preserve">PAR 90</t>
  </si>
  <si>
    <t xml:space="preserve">Write-off ratio</t>
  </si>
  <si>
    <t xml:space="preserve">Restructured ratio</t>
  </si>
  <si>
    <t xml:space="preserve">Composite credit-risk ratio</t>
  </si>
  <si>
    <t xml:space="preserve">PAR and write-offs use outstanding balances and policy definitions; restructures remain visible rather than being treated as cured delinquency.</t>
  </si>
  <si>
    <t xml:space="preserve">Operational &amp; Financial Self-Sufficiency (OSS/FSS)</t>
  </si>
  <si>
    <t xml:space="preserve">Inputs</t>
  </si>
  <si>
    <t xml:space="preserve">Financial revenue (interest + fees, $)</t>
  </si>
  <si>
    <t xml:space="preserve">Financial expense (cost of funds, $)</t>
  </si>
  <si>
    <t xml:space="preserve">Loan loss provision expense ($)</t>
  </si>
  <si>
    <t xml:space="preserve">Operating expense ($)</t>
  </si>
  <si>
    <t xml:space="preserve">Cost of capital at market rate (imputed, $)</t>
  </si>
  <si>
    <t xml:space="preserve">Outputs</t>
  </si>
  <si>
    <t xml:space="preserve">Operational Self-Sufficiency (OSS) = Rev / (Fin exp + Loss prov + Opex)</t>
  </si>
  <si>
    <t xml:space="preserve">&gt;100% = covering costs from operations, not subsidy-dependent</t>
  </si>
  <si>
    <t xml:space="preserve">Financial Self-Sufficiency (FSS) = Rev / (Fin exp + Loss prov + Opex + imputed cost of capital)</t>
  </si>
  <si>
    <t xml:space="preserve">Stricter than OSS — adjusts for subsidized funding cost vs. commercial rate</t>
  </si>
  <si>
    <t xml:space="preserve">Portfolio yield (Rev / avg GLP)</t>
  </si>
  <si>
    <t xml:space="preserve">Funding Concentration, Maturity, and 30-Day Liquidity</t>
  </si>
  <si>
    <t xml:space="preserve">Control / interpretation</t>
  </si>
  <si>
    <t xml:space="preserve">Liquid assets</t>
  </si>
  <si>
    <t xml:space="preserve">unrestricted cash and near-cash assets</t>
  </si>
  <si>
    <t xml:space="preserve">Committed undrawn funding</t>
  </si>
  <si>
    <t xml:space="preserve">available under enforceable facilities</t>
  </si>
  <si>
    <t xml:space="preserve">Thirty-day contractual outflows</t>
  </si>
  <si>
    <t xml:space="preserve">debt, operating, and disbursement obligations</t>
  </si>
  <si>
    <t xml:space="preserve">Largest funding provider balance</t>
  </si>
  <si>
    <t xml:space="preserve">single-provider exposure</t>
  </si>
  <si>
    <t xml:space="preserve">Total wholesale / institutional funding</t>
  </si>
  <si>
    <t xml:space="preserve">denominator for concentration</t>
  </si>
  <si>
    <t xml:space="preserve">Minimum liquidity coverage</t>
  </si>
  <si>
    <t xml:space="preserve">liquid assets plus committed funding / outflows</t>
  </si>
  <si>
    <t xml:space="preserve">Maximum provider concentration</t>
  </si>
  <si>
    <t xml:space="preserve">largest provider / total institutional funding</t>
  </si>
  <si>
    <t xml:space="preserve">Liquidity coverage</t>
  </si>
  <si>
    <t xml:space="preserve">Funding gap</t>
  </si>
  <si>
    <t xml:space="preserve">Largest provider concentration</t>
  </si>
  <si>
    <t xml:space="preserve">Base status</t>
  </si>
  <si>
    <t xml:space="preserve">Downside status</t>
  </si>
  <si>
    <t xml:space="preserve">Client Affordability, Pricing Transparency, and Conduct Controls</t>
  </si>
  <si>
    <t xml:space="preserve">Metric / control</t>
  </si>
  <si>
    <t xml:space="preserve">Input</t>
  </si>
  <si>
    <t xml:space="preserve">Evidence / action</t>
  </si>
  <si>
    <t xml:space="preserve">Median borrower monthly income</t>
  </si>
  <si>
    <t xml:space="preserve">document source and update cadence</t>
  </si>
  <si>
    <t xml:space="preserve">Median monthly debt service</t>
  </si>
  <si>
    <t xml:space="preserve">review repayment capacity and household cash-flow volatility</t>
  </si>
  <si>
    <t xml:space="preserve">Effective annualized borrower cost</t>
  </si>
  <si>
    <t xml:space="preserve">include interest, compulsory savings, fees, insurance, and transaction costs</t>
  </si>
  <si>
    <t xml:space="preserve">Clients with multiple active lenders (%)</t>
  </si>
  <si>
    <t xml:space="preserve">monitor over-indebtedness and bureau/data limitations</t>
  </si>
  <si>
    <t xml:space="preserve">Complaints closed within approved SLA (%)</t>
  </si>
  <si>
    <t xml:space="preserve">retain complaint taxonomy, root cause, and remediation</t>
  </si>
  <si>
    <t xml:space="preserve">Restructures receiving affordability reassessment (%)</t>
  </si>
  <si>
    <t xml:space="preserve">1.0 means every restructure is reassessed and documented</t>
  </si>
  <si>
    <t xml:space="preserve">These controls expose borrower harm and conduct risk; they are not a claim that a single universal affordability or pricing threshold applies across jurisdictions.</t>
  </si>
  <si>
    <t xml:space="preserve">Microfinance Decision Dashboard and Independent Checks</t>
  </si>
  <si>
    <t xml:space="preserve">Check / decision</t>
  </si>
  <si>
    <t xml:space="preserve">Interpretation / action</t>
  </si>
  <si>
    <t xml:space="preserve">Portfolio rollforward residual</t>
  </si>
  <si>
    <t xml:space="preserve">Ending portfolio must conserve across disbursements, collections, and write-offs.</t>
  </si>
  <si>
    <t xml:space="preserve">PAR ordering</t>
  </si>
  <si>
    <t xml:space="preserve">PAR90 must remain a subset of PAR30.</t>
  </si>
  <si>
    <t xml:space="preserve">Escalate delinquency, restructures, and write-offs together rather than separately.</t>
  </si>
  <si>
    <t xml:space="preserve">Reserve tie residual</t>
  </si>
  <si>
    <t xml:space="preserve">Aging buckets must tie to the reported gross loan portfolio.</t>
  </si>
  <si>
    <t xml:space="preserve">Reserve adequacy</t>
  </si>
  <si>
    <t xml:space="preserve">Actual reserves must cover the modeled policy requirement.</t>
  </si>
  <si>
    <t xml:space="preserve">Operational self-sufficiency</t>
  </si>
  <si>
    <t xml:space="preserve">OSS below 100% indicates operating dependence on subsidy or capital support.</t>
  </si>
  <si>
    <t xml:space="preserve">Financial self-sufficiency</t>
  </si>
  <si>
    <t xml:space="preserve">FSS also adjusts for subsidized funding and capital costs.</t>
  </si>
  <si>
    <t xml:space="preserve">Downside funding gap</t>
  </si>
  <si>
    <t xml:space="preserve">A negative 30-day gap requires committed funding, slower disbursement, or contingency liquidity.</t>
  </si>
  <si>
    <t xml:space="preserve">Conduct-control exceptions</t>
  </si>
  <si>
    <t xml:space="preserve">Growth and sustainability do not override affordability or conduct failures.</t>
  </si>
  <si>
    <t xml:space="preserve">Overall model status</t>
  </si>
  <si>
    <t xml:space="preserve">Primary decision outputs</t>
  </si>
  <si>
    <t xml:space="preserve">OSS</t>
  </si>
  <si>
    <t xml:space="preserve">FSS</t>
  </si>
  <si>
    <t xml:space="preserve">Loan Loss Reserve Adequacy (days-past-due tiering)</t>
  </si>
  <si>
    <t xml:space="preserve">Aging bucket</t>
  </si>
  <si>
    <t xml:space="preserve">Outstanding balance ($)</t>
  </si>
  <si>
    <t xml:space="preserve">Reserve rate</t>
  </si>
  <si>
    <t xml:space="preserve">Required reserve ($)</t>
  </si>
  <si>
    <t xml:space="preserve">Current (0-30 days)</t>
  </si>
  <si>
    <t xml:space="preserve">31-90 days</t>
  </si>
  <si>
    <t xml:space="preserve">91-180 days</t>
  </si>
  <si>
    <t xml:space="preserve">180+ days / written off pending</t>
  </si>
  <si>
    <t xml:space="preserve">Total outstanding portfolio</t>
  </si>
  <si>
    <t xml:space="preserve">Total required reserve (sum of tiers)</t>
  </si>
  <si>
    <t xml:space="preserve">Actual reserve held ($)</t>
  </si>
  <si>
    <t xml:space="preserve">Reserve adequacy (actual / required)</t>
  </si>
  <si>
    <t xml:space="preserve">&lt;100% = under-reserved relative to portfolio risk profile — review provisioning policy</t>
  </si>
  <si>
    <t xml:space="preserve">Cross-check vs Loan Portfolio tab (should tie to GLP)</t>
  </si>
  <si>
    <t xml:space="preserve">Growth &amp; Loan Officer Productivity</t>
  </si>
  <si>
    <t xml:space="preserve">Active borrowers — prior period</t>
  </si>
  <si>
    <t xml:space="preserve">Active borrowers — current period</t>
  </si>
  <si>
    <t xml:space="preserve">New disbursements this period ($)</t>
  </si>
  <si>
    <t xml:space="preserve">Number of loan officers</t>
  </si>
  <si>
    <t xml:space="preserve">Borrower growth rate (period over period)</t>
  </si>
  <si>
    <t xml:space="preserve">Borrowers per loan officer (caseload)</t>
  </si>
  <si>
    <t xml:space="preserve">Typical sustainable caseload benchmark: 250-400 borrowers/officer, group-lending-dependent</t>
  </si>
  <si>
    <t xml:space="preserve">Disbursement per active borrower ($, avg)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</si>
  <si>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</si>
  <si>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</si>
  <si>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</si>
  <si>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</si>
  <si>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</si>
  <si>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</si>
  <si>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</si>
  <si>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microfinance-public-asa-zambia-stress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</si>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</sst>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2</v>
      </c>
    </row>
    <row r="6" customFormat="false" ht="15" hidden="false" customHeight="true" outlineLevel="0" collapsed="false">
      <c r="B6" s="3" t="s">
        <v>4</v>
      </c>
      <c r="C6" s="5" t="s">
        <v>5</v>
      </c>
    </row>
    <row r="7" customFormat="false" ht="15" hidden="false" customHeight="true" outlineLevel="0" collapsed="false">
      <c r="B7" s="3" t="s">
        <v>6</v>
      </c>
      <c r="C7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6" t="s">
        <v>8</v>
      </c>
      <c r="C2" s="6"/>
      <c r="D2" s="6"/>
      <c r="E2" s="6"/>
      <c r="F2" s="6"/>
    </row>
    <row r="4" customFormat="false" ht="15" hidden="false" customHeight="true" outlineLevel="0" collapsed="false">
      <c r="B4" s="7" t="s">
        <v>9</v>
      </c>
      <c r="C4" s="8" t="s">
        <v>10</v>
      </c>
      <c r="D4" s="8"/>
      <c r="E4" s="8"/>
      <c r="F4" s="8"/>
    </row>
    <row r="5" customFormat="false" ht="15" hidden="false" customHeight="true" outlineLevel="0" collapsed="false">
      <c r="B5" s="7" t="s">
        <v>11</v>
      </c>
      <c r="C5" s="8" t="s">
        <v>12</v>
      </c>
      <c r="D5" s="8"/>
      <c r="E5" s="8"/>
      <c r="F5" s="8"/>
    </row>
    <row r="6" customFormat="false" ht="15" hidden="false" customHeight="true" outlineLevel="0" collapsed="false">
      <c r="B6" s="7" t="s">
        <v>13</v>
      </c>
      <c r="C6" s="8" t="s">
        <v>14</v>
      </c>
      <c r="D6" s="8"/>
      <c r="E6" s="8"/>
      <c r="F6" s="8"/>
    </row>
    <row r="7" customFormat="false" ht="15" hidden="false" customHeight="true" outlineLevel="0" collapsed="false">
      <c r="B7" s="7" t="s">
        <v>15</v>
      </c>
      <c r="C7" s="8" t="s">
        <v>16</v>
      </c>
      <c r="D7" s="8"/>
      <c r="E7" s="8"/>
      <c r="F7" s="8"/>
    </row>
    <row r="8" customFormat="false" ht="15" hidden="false" customHeight="true" outlineLevel="0" collapsed="false">
      <c r="B8" s="7" t="s">
        <v>17</v>
      </c>
      <c r="C8" s="8" t="s">
        <v>18</v>
      </c>
      <c r="D8" s="8"/>
      <c r="E8" s="8"/>
      <c r="F8" s="8"/>
    </row>
    <row r="9" customFormat="false" ht="15" hidden="false" customHeight="true" outlineLevel="0" collapsed="false">
      <c r="B9" s="7" t="s">
        <v>19</v>
      </c>
      <c r="C9" s="8" t="s">
        <v>20</v>
      </c>
      <c r="D9" s="8"/>
      <c r="E9" s="8"/>
      <c r="F9" s="8"/>
    </row>
    <row r="10" customFormat="false" ht="15" hidden="false" customHeight="true" outlineLevel="0" collapsed="false">
      <c r="B10" s="7" t="s">
        <v>21</v>
      </c>
      <c r="C10" s="8" t="s">
        <v>22</v>
      </c>
      <c r="D10" s="8"/>
      <c r="E10" s="8"/>
      <c r="F10" s="8"/>
    </row>
    <row r="12" customFormat="false" ht="15" hidden="false" customHeight="true" outlineLevel="0" collapsed="false">
      <c r="B12" s="9" t="s">
        <v>23</v>
      </c>
      <c r="C12" s="9"/>
      <c r="D12" s="9"/>
      <c r="E12" s="9"/>
      <c r="F12" s="9"/>
    </row>
    <row r="13" customFormat="false" ht="15" hidden="false" customHeight="true" outlineLevel="0" collapsed="false">
      <c r="B13" s="10" t="s">
        <v>24</v>
      </c>
      <c r="C13" s="10" t="s">
        <v>25</v>
      </c>
      <c r="D13" s="10" t="s">
        <v>26</v>
      </c>
      <c r="E13" s="10" t="s">
        <v>27</v>
      </c>
      <c r="F13" s="10" t="s">
        <v>28</v>
      </c>
    </row>
    <row r="14" customFormat="false" ht="15" hidden="false" customHeight="true" outlineLevel="0" collapsed="false">
      <c r="B14" s="1" t="n">
        <v>1</v>
      </c>
      <c r="C14" s="1" t="s">
        <v>29</v>
      </c>
      <c r="F14" s="11" t="s">
        <v>30</v>
      </c>
    </row>
    <row r="15" customFormat="false" ht="15" hidden="false" customHeight="true" outlineLevel="0" collapsed="false">
      <c r="B15" s="1" t="n">
        <v>2</v>
      </c>
      <c r="C15" s="1" t="s">
        <v>31</v>
      </c>
      <c r="F15" s="11" t="s">
        <v>30</v>
      </c>
    </row>
    <row r="16" customFormat="false" ht="15" hidden="false" customHeight="true" outlineLevel="0" collapsed="false">
      <c r="B16" s="1" t="n">
        <v>3</v>
      </c>
      <c r="C16" s="1" t="s">
        <v>32</v>
      </c>
      <c r="F16" s="11" t="s">
        <v>30</v>
      </c>
    </row>
    <row r="17" customFormat="false" ht="15" hidden="false" customHeight="true" outlineLevel="0" collapsed="false">
      <c r="B17" s="1" t="n">
        <v>4</v>
      </c>
      <c r="C17" s="1" t="s">
        <v>33</v>
      </c>
      <c r="F17" s="11" t="s">
        <v>30</v>
      </c>
    </row>
    <row r="18" customFormat="false" ht="15" hidden="false" customHeight="true" outlineLevel="0" collapsed="false">
      <c r="B18" s="1" t="n">
        <v>5</v>
      </c>
      <c r="C18" s="1" t="s">
        <v>34</v>
      </c>
      <c r="F18" s="11" t="s">
        <v>30</v>
      </c>
    </row>
    <row r="20" customFormat="false" ht="15" hidden="false" customHeight="true" outlineLevel="0" collapsed="false">
      <c r="B20" s="9" t="s">
        <v>35</v>
      </c>
      <c r="C20" s="9"/>
      <c r="D20" s="9"/>
      <c r="E20" s="9"/>
      <c r="F20" s="9"/>
    </row>
    <row r="21" customFormat="false" ht="15" hidden="false" customHeight="true" outlineLevel="0" collapsed="false">
      <c r="B21" s="10" t="s">
        <v>24</v>
      </c>
      <c r="C21" s="10" t="s">
        <v>25</v>
      </c>
      <c r="D21" s="10" t="s">
        <v>26</v>
      </c>
      <c r="E21" s="10" t="s">
        <v>27</v>
      </c>
      <c r="F21" s="10" t="s">
        <v>28</v>
      </c>
    </row>
    <row r="22" customFormat="false" ht="15" hidden="false" customHeight="true" outlineLevel="0" collapsed="false">
      <c r="B22" s="1" t="n">
        <v>1</v>
      </c>
      <c r="C22" s="1" t="s">
        <v>36</v>
      </c>
      <c r="F22" s="11" t="s">
        <v>30</v>
      </c>
    </row>
    <row r="23" customFormat="false" ht="15" hidden="false" customHeight="true" outlineLevel="0" collapsed="false">
      <c r="B23" s="1" t="n">
        <v>2</v>
      </c>
      <c r="C23" s="1" t="s">
        <v>37</v>
      </c>
      <c r="F23" s="11" t="s">
        <v>30</v>
      </c>
    </row>
    <row r="24" customFormat="false" ht="15" hidden="false" customHeight="true" outlineLevel="0" collapsed="false">
      <c r="B24" s="1" t="n">
        <v>3</v>
      </c>
      <c r="C24" s="1" t="s">
        <v>38</v>
      </c>
      <c r="F24" s="11" t="s">
        <v>30</v>
      </c>
    </row>
    <row r="25" customFormat="false" ht="15" hidden="false" customHeight="true" outlineLevel="0" collapsed="false">
      <c r="B25" s="1" t="n">
        <v>4</v>
      </c>
      <c r="C25" s="1" t="s">
        <v>39</v>
      </c>
      <c r="F25" s="11" t="s">
        <v>30</v>
      </c>
    </row>
    <row r="26" customFormat="false" ht="15" hidden="false" customHeight="true" outlineLevel="0" collapsed="false">
      <c r="B26" s="1" t="n">
        <v>5</v>
      </c>
      <c r="C26" s="1" t="s">
        <v>40</v>
      </c>
      <c r="F26" s="11" t="s">
        <v>30</v>
      </c>
    </row>
    <row r="28" customFormat="false" ht="15" hidden="false" customHeight="true" outlineLevel="0" collapsed="false">
      <c r="B28" s="9" t="s">
        <v>41</v>
      </c>
      <c r="C28" s="9"/>
      <c r="D28" s="9"/>
      <c r="E28" s="9"/>
      <c r="F28" s="9"/>
    </row>
    <row r="29" customFormat="false" ht="15" hidden="false" customHeight="true" outlineLevel="0" collapsed="false">
      <c r="B29" s="10" t="s">
        <v>24</v>
      </c>
      <c r="C29" s="10" t="s">
        <v>25</v>
      </c>
      <c r="D29" s="10" t="s">
        <v>26</v>
      </c>
      <c r="E29" s="10" t="s">
        <v>27</v>
      </c>
      <c r="F29" s="10" t="s">
        <v>28</v>
      </c>
    </row>
    <row r="30" customFormat="false" ht="15" hidden="false" customHeight="true" outlineLevel="0" collapsed="false">
      <c r="B30" s="1" t="n">
        <v>1</v>
      </c>
      <c r="C30" s="1" t="s">
        <v>42</v>
      </c>
      <c r="F30" s="11" t="s">
        <v>30</v>
      </c>
    </row>
    <row r="31" customFormat="false" ht="15" hidden="false" customHeight="true" outlineLevel="0" collapsed="false">
      <c r="B31" s="1" t="n">
        <v>2</v>
      </c>
      <c r="C31" s="1" t="s">
        <v>43</v>
      </c>
      <c r="F31" s="11" t="s">
        <v>30</v>
      </c>
    </row>
    <row r="32" customFormat="false" ht="15" hidden="false" customHeight="true" outlineLevel="0" collapsed="false">
      <c r="B32" s="1" t="n">
        <v>3</v>
      </c>
      <c r="C32" s="1" t="s">
        <v>44</v>
      </c>
      <c r="F32" s="11" t="s">
        <v>30</v>
      </c>
    </row>
    <row r="33" customFormat="false" ht="15" hidden="false" customHeight="true" outlineLevel="0" collapsed="false">
      <c r="B33" s="1" t="n">
        <v>4</v>
      </c>
      <c r="C33" s="1" t="s">
        <v>45</v>
      </c>
      <c r="F33" s="11" t="s">
        <v>30</v>
      </c>
    </row>
    <row r="34" customFormat="false" ht="15" hidden="false" customHeight="true" outlineLevel="0" collapsed="false">
      <c r="B34" s="1" t="n">
        <v>5</v>
      </c>
      <c r="C34" s="1" t="s">
        <v>46</v>
      </c>
      <c r="F34" s="11" t="s">
        <v>30</v>
      </c>
    </row>
    <row r="36" customFormat="false" ht="15" hidden="false" customHeight="true" outlineLevel="0" collapsed="false">
      <c r="B36" s="9" t="s">
        <v>47</v>
      </c>
      <c r="C36" s="9"/>
      <c r="D36" s="9"/>
      <c r="E36" s="9"/>
      <c r="F36" s="9"/>
    </row>
    <row r="37" customFormat="false" ht="15" hidden="false" customHeight="true" outlineLevel="0" collapsed="false">
      <c r="B37" s="10" t="s">
        <v>24</v>
      </c>
      <c r="C37" s="10" t="s">
        <v>25</v>
      </c>
      <c r="D37" s="10" t="s">
        <v>26</v>
      </c>
      <c r="E37" s="10" t="s">
        <v>27</v>
      </c>
      <c r="F37" s="10" t="s">
        <v>28</v>
      </c>
    </row>
    <row r="38" customFormat="false" ht="15" hidden="false" customHeight="true" outlineLevel="0" collapsed="false">
      <c r="B38" s="1" t="n">
        <v>1</v>
      </c>
      <c r="C38" s="1" t="s">
        <v>48</v>
      </c>
      <c r="F38" s="11" t="s">
        <v>30</v>
      </c>
    </row>
    <row r="39" customFormat="false" ht="15" hidden="false" customHeight="true" outlineLevel="0" collapsed="false">
      <c r="B39" s="1" t="n">
        <v>2</v>
      </c>
      <c r="C39" s="1" t="s">
        <v>49</v>
      </c>
      <c r="F39" s="11" t="s">
        <v>30</v>
      </c>
    </row>
    <row r="40" customFormat="false" ht="15" hidden="false" customHeight="true" outlineLevel="0" collapsed="false">
      <c r="B40" s="1" t="n">
        <v>3</v>
      </c>
      <c r="C40" s="1" t="s">
        <v>50</v>
      </c>
      <c r="F40" s="11" t="s">
        <v>30</v>
      </c>
    </row>
    <row r="41" customFormat="false" ht="15" hidden="false" customHeight="true" outlineLevel="0" collapsed="false">
      <c r="B41" s="1" t="n">
        <v>4</v>
      </c>
      <c r="C41" s="1" t="s">
        <v>51</v>
      </c>
      <c r="F41" s="11" t="s">
        <v>30</v>
      </c>
    </row>
    <row r="42" customFormat="false" ht="15" hidden="false" customHeight="true" outlineLevel="0" collapsed="false">
      <c r="B42" s="1" t="n">
        <v>5</v>
      </c>
      <c r="C42" s="1" t="s">
        <v>52</v>
      </c>
      <c r="F42" s="11" t="s">
        <v>30</v>
      </c>
    </row>
    <row r="44" customFormat="false" ht="15" hidden="false" customHeight="true" outlineLevel="0" collapsed="false">
      <c r="B44" s="9" t="s">
        <v>53</v>
      </c>
      <c r="C44" s="9"/>
      <c r="D44" s="9"/>
      <c r="E44" s="9"/>
      <c r="F44" s="9"/>
    </row>
    <row r="45" customFormat="false" ht="15" hidden="false" customHeight="true" outlineLevel="0" collapsed="false">
      <c r="B45" s="10" t="s">
        <v>24</v>
      </c>
      <c r="C45" s="10" t="s">
        <v>25</v>
      </c>
      <c r="D45" s="10" t="s">
        <v>26</v>
      </c>
      <c r="E45" s="10" t="s">
        <v>27</v>
      </c>
      <c r="F45" s="10" t="s">
        <v>28</v>
      </c>
    </row>
    <row r="46" customFormat="false" ht="15" hidden="false" customHeight="true" outlineLevel="0" collapsed="false">
      <c r="B46" s="1" t="n">
        <v>1</v>
      </c>
      <c r="C46" s="1" t="s">
        <v>54</v>
      </c>
      <c r="F46" s="11" t="s">
        <v>30</v>
      </c>
    </row>
    <row r="47" customFormat="false" ht="15" hidden="false" customHeight="true" outlineLevel="0" collapsed="false">
      <c r="B47" s="1" t="n">
        <v>2</v>
      </c>
      <c r="C47" s="1" t="s">
        <v>55</v>
      </c>
      <c r="F47" s="11" t="s">
        <v>30</v>
      </c>
    </row>
    <row r="48" customFormat="false" ht="15" hidden="false" customHeight="true" outlineLevel="0" collapsed="false">
      <c r="B48" s="1" t="n">
        <v>3</v>
      </c>
      <c r="C48" s="1" t="s">
        <v>56</v>
      </c>
      <c r="F48" s="11" t="s">
        <v>30</v>
      </c>
    </row>
    <row r="49" customFormat="false" ht="15" hidden="false" customHeight="true" outlineLevel="0" collapsed="false">
      <c r="B49" s="1" t="n">
        <v>4</v>
      </c>
      <c r="C49" s="1" t="s">
        <v>57</v>
      </c>
      <c r="F49" s="11" t="s">
        <v>30</v>
      </c>
    </row>
    <row r="50" customFormat="false" ht="15" hidden="false" customHeight="true" outlineLevel="0" collapsed="false">
      <c r="B50" s="1" t="n">
        <v>5</v>
      </c>
      <c r="C50" s="1" t="s">
        <v>58</v>
      </c>
      <c r="F50" s="11" t="s">
        <v>30</v>
      </c>
    </row>
    <row r="52" customFormat="false" ht="15" hidden="false" customHeight="true" outlineLevel="0" collapsed="false">
      <c r="B52" s="9" t="s">
        <v>59</v>
      </c>
      <c r="C52" s="9"/>
      <c r="D52" s="9"/>
      <c r="E52" s="9"/>
      <c r="F52" s="9"/>
    </row>
    <row r="53" customFormat="false" ht="15" hidden="false" customHeight="true" outlineLevel="0" collapsed="false">
      <c r="B53" s="10" t="s">
        <v>24</v>
      </c>
      <c r="C53" s="10" t="s">
        <v>25</v>
      </c>
      <c r="D53" s="10" t="s">
        <v>26</v>
      </c>
      <c r="E53" s="10" t="s">
        <v>27</v>
      </c>
      <c r="F53" s="10" t="s">
        <v>28</v>
      </c>
    </row>
    <row r="54" customFormat="false" ht="15" hidden="false" customHeight="true" outlineLevel="0" collapsed="false">
      <c r="B54" s="1" t="n">
        <v>1</v>
      </c>
      <c r="C54" s="1" t="s">
        <v>60</v>
      </c>
      <c r="F54" s="11" t="s">
        <v>30</v>
      </c>
    </row>
    <row r="55" customFormat="false" ht="15" hidden="false" customHeight="true" outlineLevel="0" collapsed="false">
      <c r="B55" s="1" t="n">
        <v>2</v>
      </c>
      <c r="C55" s="1" t="s">
        <v>61</v>
      </c>
      <c r="F55" s="11" t="s">
        <v>30</v>
      </c>
    </row>
    <row r="56" customFormat="false" ht="15" hidden="false" customHeight="true" outlineLevel="0" collapsed="false">
      <c r="B56" s="1" t="n">
        <v>3</v>
      </c>
      <c r="C56" s="1" t="s">
        <v>62</v>
      </c>
      <c r="F56" s="11" t="s">
        <v>30</v>
      </c>
    </row>
    <row r="57" customFormat="false" ht="15" hidden="false" customHeight="true" outlineLevel="0" collapsed="false">
      <c r="B57" s="1" t="n">
        <v>4</v>
      </c>
      <c r="C57" s="1" t="s">
        <v>63</v>
      </c>
      <c r="F57" s="11" t="s">
        <v>30</v>
      </c>
    </row>
    <row r="58" customFormat="false" ht="15" hidden="false" customHeight="true" outlineLevel="0" collapsed="false">
      <c r="B58" s="1" t="n">
        <v>5</v>
      </c>
      <c r="C58" s="1" t="s">
        <v>64</v>
      </c>
      <c r="F58" s="11" t="s">
        <v>30</v>
      </c>
    </row>
    <row r="60" customFormat="false" ht="15" hidden="false" customHeight="true" outlineLevel="0" collapsed="false">
      <c r="B60" s="9" t="s">
        <v>65</v>
      </c>
      <c r="C60" s="9"/>
      <c r="D60" s="9"/>
      <c r="E60" s="9"/>
      <c r="F60" s="9"/>
    </row>
    <row r="61" customFormat="false" ht="15" hidden="false" customHeight="true" outlineLevel="0" collapsed="false">
      <c r="B61" s="10" t="s">
        <v>66</v>
      </c>
      <c r="C61" s="10" t="s">
        <v>67</v>
      </c>
      <c r="D61" s="10" t="s">
        <v>68</v>
      </c>
      <c r="E61" s="10" t="s">
        <v>69</v>
      </c>
      <c r="F61" s="10" t="s">
        <v>70</v>
      </c>
    </row>
    <row r="62" customFormat="false" ht="15" hidden="false" customHeight="true" outlineLevel="0" collapsed="false">
      <c r="B62" s="1" t="s">
        <v>71</v>
      </c>
      <c r="C62" s="1" t="s">
        <v>72</v>
      </c>
      <c r="D62" s="1" t="s">
        <v>73</v>
      </c>
      <c r="E62" s="1" t="s">
        <v>74</v>
      </c>
    </row>
    <row r="63" customFormat="false" ht="15" hidden="false" customHeight="true" outlineLevel="0" collapsed="false">
      <c r="B63" s="1" t="s">
        <v>75</v>
      </c>
      <c r="C63" s="1" t="s">
        <v>76</v>
      </c>
      <c r="D63" s="1" t="s">
        <v>77</v>
      </c>
      <c r="E63" s="1" t="s">
        <v>74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6" t="s">
        <v>78</v>
      </c>
      <c r="C2" s="6"/>
      <c r="D2" s="6"/>
      <c r="E2" s="6"/>
      <c r="F2" s="6"/>
      <c r="G2" s="6"/>
      <c r="H2" s="6"/>
      <c r="I2" s="6"/>
    </row>
    <row r="4" customFormat="false" ht="15" hidden="false" customHeight="true" outlineLevel="0" collapsed="false">
      <c r="B4" s="10" t="s">
        <v>79</v>
      </c>
      <c r="C4" s="10" t="s">
        <v>80</v>
      </c>
      <c r="D4" s="10" t="s">
        <v>81</v>
      </c>
      <c r="E4" s="10" t="s">
        <v>82</v>
      </c>
      <c r="F4" s="10" t="s">
        <v>83</v>
      </c>
      <c r="G4" s="10" t="s">
        <v>84</v>
      </c>
      <c r="H4" s="10" t="s">
        <v>28</v>
      </c>
      <c r="I4" s="10" t="s">
        <v>85</v>
      </c>
    </row>
    <row r="5" customFormat="false" ht="15" hidden="false" customHeight="true" outlineLevel="0" collapsed="false">
      <c r="D5" s="1" t="s">
        <v>54</v>
      </c>
      <c r="H5" s="11" t="s">
        <v>30</v>
      </c>
    </row>
    <row r="6" customFormat="false" ht="15" hidden="false" customHeight="true" outlineLevel="0" collapsed="false">
      <c r="D6" s="1" t="s">
        <v>55</v>
      </c>
      <c r="H6" s="11" t="s">
        <v>30</v>
      </c>
    </row>
    <row r="7" customFormat="false" ht="15" hidden="false" customHeight="true" outlineLevel="0" collapsed="false">
      <c r="D7" s="1" t="s">
        <v>56</v>
      </c>
      <c r="H7" s="11" t="s">
        <v>30</v>
      </c>
    </row>
    <row r="8" customFormat="false" ht="15" hidden="false" customHeight="true" outlineLevel="0" collapsed="false">
      <c r="D8" s="1" t="s">
        <v>57</v>
      </c>
      <c r="H8" s="11" t="s">
        <v>30</v>
      </c>
    </row>
    <row r="9" customFormat="false" ht="15" hidden="false" customHeight="true" outlineLevel="0" collapsed="false">
      <c r="D9" s="1" t="s">
        <v>58</v>
      </c>
      <c r="H9" s="11" t="s">
        <v>30</v>
      </c>
    </row>
    <row r="10" customFormat="false" ht="15" hidden="false" customHeight="true" outlineLevel="0" collapsed="false">
      <c r="H10" s="11"/>
    </row>
    <row r="11" customFormat="false" ht="15" hidden="false" customHeight="true" outlineLevel="0" collapsed="false">
      <c r="H11" s="11"/>
    </row>
    <row r="12" customFormat="false" ht="15" hidden="false" customHeight="true" outlineLevel="0" collapsed="false">
      <c r="H12" s="11"/>
    </row>
    <row r="13" customFormat="false" ht="15" hidden="false" customHeight="true" outlineLevel="0" collapsed="false">
      <c r="H13" s="11"/>
    </row>
    <row r="14" customFormat="false" ht="15" hidden="false" customHeight="true" outlineLevel="0" collapsed="false">
      <c r="H14" s="11"/>
    </row>
    <row r="15" customFormat="false" ht="15" hidden="false" customHeight="true" outlineLevel="0" collapsed="false">
      <c r="H15" s="11"/>
    </row>
    <row r="16" customFormat="false" ht="15" hidden="false" customHeight="true" outlineLevel="0" collapsed="false">
      <c r="H16" s="11"/>
    </row>
    <row r="17" customFormat="false" ht="15" hidden="false" customHeight="true" outlineLevel="0" collapsed="false">
      <c r="H17" s="11"/>
    </row>
    <row r="18" customFormat="false" ht="15" hidden="false" customHeight="true" outlineLevel="0" collapsed="false">
      <c r="H18" s="11"/>
    </row>
    <row r="19" customFormat="false" ht="15" hidden="false" customHeight="true" outlineLevel="0" collapsed="false">
      <c r="H19" s="11"/>
    </row>
    <row r="20" customFormat="false" ht="15" hidden="false" customHeight="true" outlineLevel="0" collapsed="false">
      <c r="H20" s="11"/>
    </row>
    <row r="21" customFormat="false" ht="15" hidden="false" customHeight="true" outlineLevel="0" collapsed="false">
      <c r="H21" s="11"/>
    </row>
    <row r="22" customFormat="false" ht="15" hidden="false" customHeight="true" outlineLevel="0" collapsed="false">
      <c r="H22" s="11"/>
    </row>
    <row r="23" customFormat="false" ht="15" hidden="false" customHeight="true" outlineLevel="0" collapsed="false">
      <c r="H23" s="11"/>
    </row>
    <row r="24" customFormat="false" ht="15" hidden="false" customHeight="true" outlineLevel="0" collapsed="false">
      <c r="H24" s="11"/>
    </row>
    <row r="25" customFormat="false" ht="15" hidden="false" customHeight="true" outlineLevel="0" collapsed="false">
      <c r="H25" s="11"/>
    </row>
    <row r="26" customFormat="false" ht="15" hidden="false" customHeight="true" outlineLevel="0" collapsed="false">
      <c r="H26" s="11"/>
    </row>
    <row r="27" customFormat="false" ht="15" hidden="false" customHeight="true" outlineLevel="0" collapsed="false">
      <c r="H27" s="11"/>
    </row>
    <row r="28" customFormat="false" ht="15" hidden="false" customHeight="true" outlineLevel="0" collapsed="false">
      <c r="H28" s="11"/>
    </row>
    <row r="29" customFormat="false" ht="15" hidden="false" customHeight="true" outlineLevel="0" collapsed="false">
      <c r="H29" s="11"/>
    </row>
    <row r="30" customFormat="false" ht="15" hidden="false" customHeight="true" outlineLevel="0" collapsed="false">
      <c r="H30" s="11"/>
    </row>
    <row r="31" customFormat="false" ht="15" hidden="false" customHeight="true" outlineLevel="0" collapsed="false">
      <c r="H31" s="11"/>
    </row>
    <row r="32" customFormat="false" ht="15" hidden="false" customHeight="true" outlineLevel="0" collapsed="false">
      <c r="H32" s="11"/>
    </row>
    <row r="33" customFormat="false" ht="15" hidden="false" customHeight="true" outlineLevel="0" collapsed="false">
      <c r="H33" s="11"/>
    </row>
    <row r="34" customFormat="false" ht="15" hidden="false" customHeight="true" outlineLevel="0" collapsed="false">
      <c r="H34" s="11"/>
    </row>
    <row r="35" customFormat="false" ht="15" hidden="false" customHeight="true" outlineLevel="0" collapsed="false">
      <c r="H35" s="11"/>
    </row>
    <row r="36" customFormat="false" ht="15" hidden="false" customHeight="true" outlineLevel="0" collapsed="false">
      <c r="H36" s="11"/>
    </row>
    <row r="37" customFormat="false" ht="15" hidden="false" customHeight="true" outlineLevel="0" collapsed="false">
      <c r="H37" s="11"/>
    </row>
    <row r="38" customFormat="false" ht="15" hidden="false" customHeight="true" outlineLevel="0" collapsed="false">
      <c r="H38" s="11"/>
    </row>
    <row r="39" customFormat="false" ht="15" hidden="false" customHeight="true" outlineLevel="0" collapsed="false">
      <c r="H39" s="11"/>
    </row>
    <row r="40" customFormat="false" ht="15" hidden="false" customHeight="true" outlineLevel="0" collapsed="false">
      <c r="H40" s="11"/>
    </row>
    <row r="41" customFormat="false" ht="15" hidden="false" customHeight="true" outlineLevel="0" collapsed="false">
      <c r="H41" s="11"/>
    </row>
    <row r="42" customFormat="false" ht="15" hidden="false" customHeight="true" outlineLevel="0" collapsed="false">
      <c r="H42" s="11"/>
    </row>
    <row r="43" customFormat="false" ht="15" hidden="false" customHeight="true" outlineLevel="0" collapsed="false">
      <c r="H43" s="11"/>
    </row>
    <row r="44" customFormat="false" ht="15" hidden="false" customHeight="true" outlineLevel="0" collapsed="false">
      <c r="H44" s="11"/>
    </row>
    <row r="45" customFormat="false" ht="15" hidden="false" customHeight="true" outlineLevel="0" collapsed="false">
      <c r="H45" s="11"/>
    </row>
    <row r="46" customFormat="false" ht="15" hidden="false" customHeight="true" outlineLevel="0" collapsed="false">
      <c r="H46" s="11"/>
    </row>
    <row r="47" customFormat="false" ht="15" hidden="false" customHeight="true" outlineLevel="0" collapsed="false">
      <c r="H47" s="11"/>
    </row>
    <row r="48" customFormat="false" ht="15" hidden="false" customHeight="true" outlineLevel="0" collapsed="false">
      <c r="H48" s="11"/>
    </row>
    <row r="49" customFormat="false" ht="15" hidden="false" customHeight="true" outlineLevel="0" collapsed="false">
      <c r="H49" s="11"/>
    </row>
    <row r="50" customFormat="false" ht="15" hidden="false" customHeight="true" outlineLevel="0" collapsed="false">
      <c r="H50" s="11"/>
    </row>
    <row r="51" customFormat="false" ht="15" hidden="false" customHeight="true" outlineLevel="0" collapsed="false">
      <c r="H51" s="11"/>
    </row>
    <row r="52" customFormat="false" ht="15" hidden="false" customHeight="true" outlineLevel="0" collapsed="false">
      <c r="H52" s="11"/>
    </row>
    <row r="53" customFormat="false" ht="15" hidden="false" customHeight="true" outlineLevel="0" collapsed="false">
      <c r="H53" s="11"/>
    </row>
    <row r="54" customFormat="false" ht="15" hidden="false" customHeight="true" outlineLevel="0" collapsed="false">
      <c r="H54" s="1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6" t="s">
        <v>86</v>
      </c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26</v>
      </c>
      <c r="H4" s="10" t="s">
        <v>92</v>
      </c>
      <c r="I4" s="10" t="s">
        <v>93</v>
      </c>
      <c r="J4" s="10" t="s">
        <v>28</v>
      </c>
    </row>
    <row r="5" customFormat="false" ht="15" hidden="false" customHeight="true" outlineLevel="0" collapsed="false">
      <c r="B5" s="1" t="s">
        <v>94</v>
      </c>
      <c r="C5" s="1" t="s">
        <v>95</v>
      </c>
      <c r="D5" s="1" t="s">
        <v>96</v>
      </c>
      <c r="J5" s="11" t="s">
        <v>97</v>
      </c>
    </row>
    <row r="6" customFormat="false" ht="15" hidden="false" customHeight="true" outlineLevel="0" collapsed="false">
      <c r="B6" s="1" t="s">
        <v>98</v>
      </c>
      <c r="C6" s="1" t="s">
        <v>99</v>
      </c>
      <c r="D6" s="1" t="s">
        <v>100</v>
      </c>
      <c r="J6" s="11" t="s">
        <v>97</v>
      </c>
    </row>
    <row r="7" customFormat="false" ht="15" hidden="false" customHeight="true" outlineLevel="0" collapsed="false">
      <c r="B7" s="1" t="s">
        <v>101</v>
      </c>
      <c r="C7" s="1" t="s">
        <v>102</v>
      </c>
      <c r="D7" s="1" t="s">
        <v>103</v>
      </c>
      <c r="J7" s="11" t="s">
        <v>97</v>
      </c>
    </row>
    <row r="8" customFormat="false" ht="15" hidden="false" customHeight="true" outlineLevel="0" collapsed="false">
      <c r="B8" s="1" t="s">
        <v>104</v>
      </c>
      <c r="C8" s="1" t="s">
        <v>105</v>
      </c>
      <c r="D8" s="1" t="s">
        <v>106</v>
      </c>
      <c r="J8" s="11" t="s">
        <v>97</v>
      </c>
    </row>
    <row r="9" customFormat="false" ht="15" hidden="false" customHeight="true" outlineLevel="0" collapsed="false">
      <c r="J9" s="11"/>
    </row>
    <row r="10" customFormat="false" ht="15" hidden="false" customHeight="true" outlineLevel="0" collapsed="false">
      <c r="J10" s="11"/>
    </row>
    <row r="11" customFormat="false" ht="15" hidden="false" customHeight="true" outlineLevel="0" collapsed="false">
      <c r="J11" s="11"/>
    </row>
    <row r="12" customFormat="false" ht="15" hidden="false" customHeight="true" outlineLevel="0" collapsed="false">
      <c r="J12" s="11"/>
    </row>
    <row r="13" customFormat="false" ht="15" hidden="false" customHeight="true" outlineLevel="0" collapsed="false">
      <c r="J13" s="11"/>
    </row>
    <row r="14" customFormat="false" ht="15" hidden="false" customHeight="true" outlineLevel="0" collapsed="false">
      <c r="J14" s="11"/>
    </row>
    <row r="15" customFormat="false" ht="15" hidden="false" customHeight="true" outlineLevel="0" collapsed="false">
      <c r="J15" s="11"/>
    </row>
    <row r="16" customFormat="false" ht="15" hidden="false" customHeight="true" outlineLevel="0" collapsed="false">
      <c r="J16" s="11"/>
    </row>
    <row r="17" customFormat="false" ht="15" hidden="false" customHeight="true" outlineLevel="0" collapsed="false">
      <c r="J17" s="11"/>
    </row>
    <row r="18" customFormat="false" ht="15" hidden="false" customHeight="true" outlineLevel="0" collapsed="false">
      <c r="J18" s="11"/>
    </row>
    <row r="19" customFormat="false" ht="15" hidden="false" customHeight="true" outlineLevel="0" collapsed="false">
      <c r="J19" s="11"/>
    </row>
    <row r="20" customFormat="false" ht="15" hidden="false" customHeight="true" outlineLevel="0" collapsed="false">
      <c r="J20" s="11"/>
    </row>
    <row r="21" customFormat="false" ht="15" hidden="false" customHeight="true" outlineLevel="0" collapsed="false">
      <c r="J21" s="11"/>
    </row>
    <row r="22" customFormat="false" ht="15" hidden="false" customHeight="true" outlineLevel="0" collapsed="false">
      <c r="J22" s="11"/>
    </row>
    <row r="23" customFormat="false" ht="15" hidden="false" customHeight="true" outlineLevel="0" collapsed="false">
      <c r="J23" s="11"/>
    </row>
    <row r="24" customFormat="false" ht="15" hidden="false" customHeight="true" outlineLevel="0" collapsed="false">
      <c r="J24" s="11"/>
    </row>
    <row r="25" customFormat="false" ht="15" hidden="false" customHeight="true" outlineLevel="0" collapsed="false">
      <c r="J25" s="11"/>
    </row>
    <row r="26" customFormat="false" ht="15" hidden="false" customHeight="true" outlineLevel="0" collapsed="false">
      <c r="J26" s="11"/>
    </row>
    <row r="27" customFormat="false" ht="15" hidden="false" customHeight="true" outlineLevel="0" collapsed="false">
      <c r="J27" s="11"/>
    </row>
    <row r="28" customFormat="false" ht="15" hidden="false" customHeight="true" outlineLevel="0" collapsed="false">
      <c r="J28" s="11"/>
    </row>
    <row r="29" customFormat="false" ht="15" hidden="false" customHeight="true" outlineLevel="0" collapsed="false">
      <c r="J29" s="11"/>
    </row>
    <row r="30" customFormat="false" ht="15" hidden="false" customHeight="true" outlineLevel="0" collapsed="false">
      <c r="J30" s="11"/>
    </row>
    <row r="31" customFormat="false" ht="15" hidden="false" customHeight="true" outlineLevel="0" collapsed="false">
      <c r="J31" s="11"/>
    </row>
    <row r="32" customFormat="false" ht="15" hidden="false" customHeight="true" outlineLevel="0" collapsed="false">
      <c r="J32" s="11"/>
    </row>
    <row r="33" customFormat="false" ht="15" hidden="false" customHeight="true" outlineLevel="0" collapsed="false">
      <c r="J33" s="11"/>
    </row>
    <row r="34" customFormat="false" ht="15" hidden="false" customHeight="true" outlineLevel="0" collapsed="false">
      <c r="J34" s="11"/>
    </row>
    <row r="35" customFormat="false" ht="15" hidden="false" customHeight="true" outlineLevel="0" collapsed="false">
      <c r="J35" s="11"/>
    </row>
    <row r="36" customFormat="false" ht="15" hidden="false" customHeight="true" outlineLevel="0" collapsed="false">
      <c r="J36" s="11"/>
    </row>
    <row r="37" customFormat="false" ht="15" hidden="false" customHeight="true" outlineLevel="0" collapsed="false">
      <c r="J37" s="11"/>
    </row>
    <row r="38" customFormat="false" ht="15" hidden="false" customHeight="true" outlineLevel="0" collapsed="false">
      <c r="J38" s="11"/>
    </row>
    <row r="39" customFormat="false" ht="15" hidden="false" customHeight="true" outlineLevel="0" collapsed="false">
      <c r="J39" s="11"/>
    </row>
    <row r="40" customFormat="false" ht="15" hidden="false" customHeight="true" outlineLevel="0" collapsed="false">
      <c r="J40" s="11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107</v>
      </c>
    </row>
    <row r="5" customFormat="false" ht="15" hidden="false" customHeight="true" outlineLevel="0" collapsed="false">
      <c r="B5" s="12" t="s">
        <v>108</v>
      </c>
      <c r="C5" s="13" t="n">
        <v>7.5</v>
      </c>
    </row>
    <row r="6" customFormat="false" ht="15" hidden="false" customHeight="true" outlineLevel="0" collapsed="false">
      <c r="B6" s="12" t="s">
        <v>109</v>
      </c>
      <c r="C6" s="14" t="n">
        <v>35</v>
      </c>
    </row>
    <row r="7" customFormat="false" ht="15" hidden="false" customHeight="true" outlineLevel="0" collapsed="false">
      <c r="B7" s="12" t="s">
        <v>110</v>
      </c>
      <c r="C7" s="13" t="n">
        <v>0.69</v>
      </c>
    </row>
    <row r="8" customFormat="false" ht="15" hidden="false" customHeight="true" outlineLevel="0" collapsed="false">
      <c r="B8" s="12" t="s">
        <v>111</v>
      </c>
      <c r="C8" s="13" t="n">
        <v>20</v>
      </c>
    </row>
    <row r="9" customFormat="false" ht="15" hidden="false" customHeight="true" outlineLevel="0" collapsed="false">
      <c r="B9" s="12" t="s">
        <v>112</v>
      </c>
      <c r="C9" s="13" t="n">
        <v>8</v>
      </c>
    </row>
    <row r="10" customFormat="false" ht="15" hidden="false" customHeight="true" outlineLevel="0" collapsed="false">
      <c r="B10" s="12" t="s">
        <v>113</v>
      </c>
      <c r="C10" s="13" t="n">
        <v>0.214286</v>
      </c>
    </row>
    <row r="12" customFormat="false" ht="15" hidden="false" customHeight="true" outlineLevel="0" collapsed="false">
      <c r="B12" s="15" t="s">
        <v>114</v>
      </c>
    </row>
    <row r="13" customFormat="false" ht="15" hidden="false" customHeight="true" outlineLevel="0" collapsed="false">
      <c r="B13" s="1" t="s">
        <v>115</v>
      </c>
      <c r="C13" s="16" t="n">
        <f aca="false">IFERROR(C7/C5,"-")</f>
        <v>0.092</v>
      </c>
    </row>
    <row r="14" customFormat="false" ht="15" hidden="false" customHeight="true" outlineLevel="0" collapsed="false">
      <c r="B14" s="1" t="s">
        <v>116</v>
      </c>
      <c r="C14" s="16" t="n">
        <f aca="false">IFERROR(C8/C5,"-")</f>
        <v>2.66666666666667</v>
      </c>
    </row>
    <row r="15" customFormat="false" ht="15" hidden="false" customHeight="true" outlineLevel="0" collapsed="false">
      <c r="B15" s="1" t="s">
        <v>117</v>
      </c>
      <c r="C15" s="16" t="n">
        <f aca="false">IFERROR(C9/C5,"-")</f>
        <v>1.06666666666667</v>
      </c>
    </row>
    <row r="16" customFormat="false" ht="15" hidden="false" customHeight="true" outlineLevel="0" collapsed="false">
      <c r="B16" s="1" t="s">
        <v>118</v>
      </c>
      <c r="C16" s="17" t="n">
        <f aca="false">IFERROR(C5/C6,"-")</f>
        <v>0.214285714285714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8"/>
    <col collapsed="false" customWidth="true" hidden="false" outlineLevel="0" max="6" min="6" style="1" width="44"/>
  </cols>
  <sheetData>
    <row r="2" customFormat="false" ht="19.5" hidden="false" customHeight="true" outlineLevel="0" collapsed="false">
      <c r="B2" s="2" t="s">
        <v>119</v>
      </c>
    </row>
    <row r="3" customFormat="false" ht="15" hidden="false" customHeight="true" outlineLevel="0" collapsed="false">
      <c r="B3" s="1" t="s">
        <v>120</v>
      </c>
      <c r="C3" s="18" t="s">
        <v>121</v>
      </c>
    </row>
    <row r="4" customFormat="false" ht="15" hidden="false" customHeight="true" outlineLevel="0" collapsed="false">
      <c r="B4" s="19" t="s">
        <v>122</v>
      </c>
      <c r="C4" s="19" t="s">
        <v>123</v>
      </c>
      <c r="D4" s="19" t="s">
        <v>121</v>
      </c>
      <c r="E4" s="19" t="s">
        <v>124</v>
      </c>
      <c r="F4" s="19" t="s">
        <v>125</v>
      </c>
    </row>
    <row r="5" customFormat="false" ht="15" hidden="false" customHeight="true" outlineLevel="0" collapsed="false">
      <c r="B5" s="1" t="s">
        <v>126</v>
      </c>
      <c r="C5" s="13" t="n">
        <v>100</v>
      </c>
      <c r="D5" s="13" t="n">
        <v>100</v>
      </c>
      <c r="E5" s="17" t="n">
        <f aca="false">IF($C$3="Downside",D5,C5)</f>
        <v>100</v>
      </c>
      <c r="F5" s="1" t="s">
        <v>127</v>
      </c>
    </row>
    <row r="6" customFormat="false" ht="15" hidden="false" customHeight="true" outlineLevel="0" collapsed="false">
      <c r="B6" s="1" t="s">
        <v>128</v>
      </c>
      <c r="C6" s="13" t="n">
        <v>50</v>
      </c>
      <c r="D6" s="13" t="n">
        <v>10</v>
      </c>
      <c r="E6" s="17" t="n">
        <f aca="false">IF($C$3="Downside",D6,C6)</f>
        <v>10</v>
      </c>
      <c r="F6" s="1" t="s">
        <v>129</v>
      </c>
    </row>
    <row r="7" customFormat="false" ht="15" hidden="false" customHeight="true" outlineLevel="0" collapsed="false">
      <c r="B7" s="1" t="s">
        <v>130</v>
      </c>
      <c r="C7" s="13" t="n">
        <v>45</v>
      </c>
      <c r="D7" s="13" t="n">
        <v>20</v>
      </c>
      <c r="E7" s="17" t="n">
        <f aca="false">IF($C$3="Downside",D7,C7)</f>
        <v>20</v>
      </c>
      <c r="F7" s="1" t="s">
        <v>131</v>
      </c>
    </row>
    <row r="8" customFormat="false" ht="15" hidden="false" customHeight="true" outlineLevel="0" collapsed="false">
      <c r="B8" s="1" t="s">
        <v>132</v>
      </c>
      <c r="C8" s="13" t="n">
        <v>2</v>
      </c>
      <c r="D8" s="13" t="n">
        <v>8</v>
      </c>
      <c r="E8" s="17" t="n">
        <f aca="false">IF($C$3="Downside",D8,C8)</f>
        <v>8</v>
      </c>
      <c r="F8" s="1" t="s">
        <v>133</v>
      </c>
    </row>
    <row r="9" customFormat="false" ht="15" hidden="false" customHeight="true" outlineLevel="0" collapsed="false">
      <c r="B9" s="1" t="s">
        <v>134</v>
      </c>
      <c r="C9" s="13" t="n">
        <v>5</v>
      </c>
      <c r="D9" s="13" t="n">
        <v>35</v>
      </c>
      <c r="E9" s="17" t="n">
        <f aca="false">IF($C$3="Downside",D9,C9)</f>
        <v>35</v>
      </c>
      <c r="F9" s="1" t="s">
        <v>135</v>
      </c>
    </row>
    <row r="10" customFormat="false" ht="15" hidden="false" customHeight="true" outlineLevel="0" collapsed="false">
      <c r="B10" s="1" t="s">
        <v>136</v>
      </c>
      <c r="C10" s="13" t="n">
        <v>2</v>
      </c>
      <c r="D10" s="13" t="n">
        <v>20</v>
      </c>
      <c r="E10" s="17" t="n">
        <f aca="false">IF($C$3="Downside",D10,C10)</f>
        <v>20</v>
      </c>
      <c r="F10" s="1" t="s">
        <v>137</v>
      </c>
    </row>
    <row r="11" customFormat="false" ht="15" hidden="false" customHeight="true" outlineLevel="0" collapsed="false">
      <c r="B11" s="1" t="s">
        <v>138</v>
      </c>
      <c r="C11" s="13" t="n">
        <v>1</v>
      </c>
      <c r="D11" s="13" t="n">
        <v>15</v>
      </c>
      <c r="E11" s="17" t="n">
        <f aca="false">IF($C$3="Downside",D11,C11)</f>
        <v>15</v>
      </c>
      <c r="F11" s="1" t="s">
        <v>139</v>
      </c>
    </row>
    <row r="12" customFormat="false" ht="15" hidden="false" customHeight="true" outlineLevel="0" collapsed="false">
      <c r="B12" s="1" t="s">
        <v>140</v>
      </c>
      <c r="C12" s="20" t="n">
        <v>0.15</v>
      </c>
      <c r="D12" s="20" t="n">
        <v>0.15</v>
      </c>
      <c r="E12" s="16" t="n">
        <f aca="false">IF($C$3="Downside",D12,C12)</f>
        <v>0.15</v>
      </c>
      <c r="F12" s="1" t="s">
        <v>141</v>
      </c>
    </row>
    <row r="15" customFormat="false" ht="15" hidden="false" customHeight="true" outlineLevel="0" collapsed="false">
      <c r="B15" s="15" t="s">
        <v>142</v>
      </c>
    </row>
    <row r="16" customFormat="false" ht="15" hidden="false" customHeight="true" outlineLevel="0" collapsed="false">
      <c r="B16" s="1" t="s">
        <v>143</v>
      </c>
      <c r="E16" s="17" t="n">
        <f aca="false">E5+E6-E7-E8</f>
        <v>82</v>
      </c>
    </row>
    <row r="17" customFormat="false" ht="15" hidden="false" customHeight="true" outlineLevel="0" collapsed="false">
      <c r="B17" s="1" t="s">
        <v>144</v>
      </c>
      <c r="E17" s="16" t="n">
        <f aca="false">IFERROR(E9/E16,0)</f>
        <v>0.426829268292683</v>
      </c>
    </row>
    <row r="18" customFormat="false" ht="15" hidden="false" customHeight="true" outlineLevel="0" collapsed="false">
      <c r="B18" s="1" t="s">
        <v>145</v>
      </c>
      <c r="E18" s="16" t="n">
        <f aca="false">IFERROR(E10/E16,0)</f>
        <v>0.24390243902439</v>
      </c>
    </row>
    <row r="19" customFormat="false" ht="15" hidden="false" customHeight="true" outlineLevel="0" collapsed="false">
      <c r="B19" s="1" t="s">
        <v>146</v>
      </c>
      <c r="E19" s="16" t="n">
        <f aca="false">IFERROR(E8/AVERAGE(E5,E16),0)</f>
        <v>0.0879120879120879</v>
      </c>
    </row>
    <row r="20" customFormat="false" ht="15" hidden="false" customHeight="true" outlineLevel="0" collapsed="false">
      <c r="B20" s="1" t="s">
        <v>147</v>
      </c>
      <c r="E20" s="16" t="n">
        <f aca="false">IFERROR(E11/E16,0)</f>
        <v>0.182926829268293</v>
      </c>
    </row>
    <row r="21" customFormat="false" ht="15" hidden="false" customHeight="true" outlineLevel="0" collapsed="false">
      <c r="B21" s="1" t="s">
        <v>148</v>
      </c>
      <c r="E21" s="16" t="n">
        <f aca="false">E17+E19+E20</f>
        <v>0.697668185473064</v>
      </c>
    </row>
    <row r="23" customFormat="false" ht="15" hidden="false" customHeight="true" outlineLevel="0" collapsed="false">
      <c r="B23" s="21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150</v>
      </c>
    </row>
    <row r="4" customFormat="false" ht="15" hidden="false" customHeight="true" outlineLevel="0" collapsed="false">
      <c r="B4" s="15" t="s">
        <v>151</v>
      </c>
    </row>
    <row r="5" customFormat="false" ht="15" hidden="false" customHeight="true" outlineLevel="0" collapsed="false">
      <c r="B5" s="12" t="s">
        <v>152</v>
      </c>
      <c r="C5" s="13" t="n">
        <v>8</v>
      </c>
    </row>
    <row r="6" customFormat="false" ht="15" hidden="false" customHeight="true" outlineLevel="0" collapsed="false">
      <c r="B6" s="12" t="s">
        <v>153</v>
      </c>
      <c r="C6" s="13" t="n">
        <v>5</v>
      </c>
    </row>
    <row r="7" customFormat="false" ht="15" hidden="false" customHeight="true" outlineLevel="0" collapsed="false">
      <c r="B7" s="12" t="s">
        <v>154</v>
      </c>
      <c r="C7" s="13" t="n">
        <v>8</v>
      </c>
    </row>
    <row r="8" customFormat="false" ht="15" hidden="false" customHeight="true" outlineLevel="0" collapsed="false">
      <c r="B8" s="12" t="s">
        <v>155</v>
      </c>
      <c r="C8" s="13" t="n">
        <v>10</v>
      </c>
    </row>
    <row r="9" customFormat="false" ht="15" hidden="false" customHeight="true" outlineLevel="0" collapsed="false">
      <c r="B9" s="12" t="s">
        <v>156</v>
      </c>
      <c r="C9" s="13" t="n">
        <v>2</v>
      </c>
    </row>
    <row r="11" customFormat="false" ht="15" hidden="false" customHeight="true" outlineLevel="0" collapsed="false">
      <c r="B11" s="15" t="s">
        <v>157</v>
      </c>
    </row>
    <row r="12" customFormat="false" ht="15" hidden="false" customHeight="true" outlineLevel="0" collapsed="false">
      <c r="B12" s="1" t="s">
        <v>158</v>
      </c>
      <c r="C12" s="22" t="n">
        <f aca="false">IFERROR(C5/(C6+C7+C8),"-")</f>
        <v>0.347826086956522</v>
      </c>
      <c r="D12" s="21" t="s">
        <v>159</v>
      </c>
    </row>
    <row r="13" customFormat="false" ht="15" hidden="false" customHeight="true" outlineLevel="0" collapsed="false">
      <c r="B13" s="1" t="s">
        <v>160</v>
      </c>
      <c r="C13" s="22" t="n">
        <f aca="false">IFERROR(C5/(C6+C7+C8+C9),"-")</f>
        <v>0.32</v>
      </c>
      <c r="D13" s="21" t="s">
        <v>161</v>
      </c>
    </row>
    <row r="14" customFormat="false" ht="15" hidden="false" customHeight="true" outlineLevel="0" collapsed="false">
      <c r="B14" s="1" t="s">
        <v>162</v>
      </c>
      <c r="C14" s="16" t="n">
        <f aca="false">IFERROR(C5/'Loan Portfolio'!C5,"-")</f>
        <v>1.06666666666667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163</v>
      </c>
    </row>
    <row r="4" customFormat="false" ht="15" hidden="false" customHeight="true" outlineLevel="0" collapsed="false">
      <c r="B4" s="19" t="s">
        <v>122</v>
      </c>
      <c r="C4" s="19" t="s">
        <v>123</v>
      </c>
      <c r="D4" s="19" t="s">
        <v>121</v>
      </c>
      <c r="E4" s="19" t="s">
        <v>164</v>
      </c>
    </row>
    <row r="5" customFormat="false" ht="15" hidden="false" customHeight="true" outlineLevel="0" collapsed="false">
      <c r="B5" s="1" t="s">
        <v>165</v>
      </c>
      <c r="C5" s="13" t="n">
        <v>12</v>
      </c>
      <c r="D5" s="13" t="n">
        <v>4</v>
      </c>
      <c r="E5" s="1" t="s">
        <v>166</v>
      </c>
    </row>
    <row r="6" customFormat="false" ht="15" hidden="false" customHeight="true" outlineLevel="0" collapsed="false">
      <c r="B6" s="1" t="s">
        <v>167</v>
      </c>
      <c r="C6" s="13" t="n">
        <v>8</v>
      </c>
      <c r="D6" s="13" t="n">
        <v>2</v>
      </c>
      <c r="E6" s="1" t="s">
        <v>168</v>
      </c>
    </row>
    <row r="7" customFormat="false" ht="15" hidden="false" customHeight="true" outlineLevel="0" collapsed="false">
      <c r="B7" s="1" t="s">
        <v>169</v>
      </c>
      <c r="C7" s="13" t="n">
        <v>15</v>
      </c>
      <c r="D7" s="13" t="n">
        <v>18</v>
      </c>
      <c r="E7" s="1" t="s">
        <v>170</v>
      </c>
    </row>
    <row r="8" customFormat="false" ht="15" hidden="false" customHeight="true" outlineLevel="0" collapsed="false">
      <c r="B8" s="1" t="s">
        <v>171</v>
      </c>
      <c r="C8" s="13" t="n">
        <v>20</v>
      </c>
      <c r="D8" s="13" t="n">
        <v>35</v>
      </c>
      <c r="E8" s="1" t="s">
        <v>172</v>
      </c>
    </row>
    <row r="9" customFormat="false" ht="15" hidden="false" customHeight="true" outlineLevel="0" collapsed="false">
      <c r="B9" s="1" t="s">
        <v>173</v>
      </c>
      <c r="C9" s="13" t="n">
        <v>80</v>
      </c>
      <c r="D9" s="13" t="n">
        <v>70</v>
      </c>
      <c r="E9" s="1" t="s">
        <v>174</v>
      </c>
    </row>
    <row r="10" customFormat="false" ht="15" hidden="false" customHeight="true" outlineLevel="0" collapsed="false">
      <c r="B10" s="1" t="s">
        <v>175</v>
      </c>
      <c r="C10" s="23" t="n">
        <v>1.1</v>
      </c>
      <c r="D10" s="23" t="n">
        <v>1.1</v>
      </c>
      <c r="E10" s="1" t="s">
        <v>176</v>
      </c>
    </row>
    <row r="11" customFormat="false" ht="15" hidden="false" customHeight="true" outlineLevel="0" collapsed="false">
      <c r="B11" s="1" t="s">
        <v>177</v>
      </c>
      <c r="C11" s="20" t="n">
        <v>0.3</v>
      </c>
      <c r="D11" s="20" t="n">
        <v>0.3</v>
      </c>
      <c r="E11" s="1" t="s">
        <v>178</v>
      </c>
    </row>
    <row r="14" customFormat="false" ht="15" hidden="false" customHeight="true" outlineLevel="0" collapsed="false">
      <c r="B14" s="1" t="s">
        <v>179</v>
      </c>
      <c r="C14" s="24" t="n">
        <f aca="false">IFERROR((C5+C6)/C7,0)</f>
        <v>1.33333333333333</v>
      </c>
      <c r="D14" s="24" t="n">
        <f aca="false">IFERROR((D5+D6)/D7,0)</f>
        <v>0.333333333333333</v>
      </c>
    </row>
    <row r="15" customFormat="false" ht="15" hidden="false" customHeight="true" outlineLevel="0" collapsed="false">
      <c r="B15" s="1" t="s">
        <v>180</v>
      </c>
      <c r="C15" s="17" t="n">
        <f aca="false">C5+C6-C7</f>
        <v>5</v>
      </c>
      <c r="D15" s="17" t="n">
        <f aca="false">D5+D6-D7</f>
        <v>-12</v>
      </c>
    </row>
    <row r="16" customFormat="false" ht="15" hidden="false" customHeight="true" outlineLevel="0" collapsed="false">
      <c r="B16" s="1" t="s">
        <v>181</v>
      </c>
      <c r="C16" s="16" t="n">
        <f aca="false">IFERROR(C8/C9,0)</f>
        <v>0.25</v>
      </c>
      <c r="D16" s="16" t="n">
        <f aca="false">IFERROR(D8/D9,0)</f>
        <v>0.5</v>
      </c>
    </row>
    <row r="17" customFormat="false" ht="15" hidden="false" customHeight="true" outlineLevel="0" collapsed="false">
      <c r="B17" s="1" t="s">
        <v>182</v>
      </c>
      <c r="C17" s="25" t="str">
        <f aca="false">IF(AND(C14&gt;=C10,C16&lt;=C11),"PASS","BREACH")</f>
        <v>PASS</v>
      </c>
      <c r="D17" s="25"/>
    </row>
    <row r="18" customFormat="false" ht="15" hidden="false" customHeight="true" outlineLevel="0" collapsed="false">
      <c r="B18" s="1" t="s">
        <v>183</v>
      </c>
      <c r="C18" s="25" t="str">
        <f aca="false">IF(AND(D14&gt;=D10,D16&lt;=D11),"PASS","BREACH")</f>
        <v>BREACH</v>
      </c>
      <c r="D18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184</v>
      </c>
    </row>
    <row r="4" customFormat="false" ht="15" hidden="false" customHeight="true" outlineLevel="0" collapsed="false">
      <c r="B4" s="19" t="s">
        <v>185</v>
      </c>
      <c r="C4" s="19" t="s">
        <v>186</v>
      </c>
      <c r="D4" s="19" t="s">
        <v>28</v>
      </c>
      <c r="E4" s="19" t="s">
        <v>187</v>
      </c>
    </row>
    <row r="5" customFormat="false" ht="15" hidden="false" customHeight="true" outlineLevel="0" collapsed="false">
      <c r="B5" s="1" t="s">
        <v>188</v>
      </c>
      <c r="C5" s="13" t="n">
        <v>250</v>
      </c>
      <c r="D5" s="25" t="str">
        <f aca="false">IF(C5&gt;0,"PASS","BREACH")</f>
        <v>PASS</v>
      </c>
      <c r="E5" s="1" t="s">
        <v>189</v>
      </c>
    </row>
    <row r="6" customFormat="false" ht="15" hidden="false" customHeight="true" outlineLevel="0" collapsed="false">
      <c r="B6" s="1" t="s">
        <v>190</v>
      </c>
      <c r="C6" s="13" t="n">
        <v>35</v>
      </c>
      <c r="D6" s="25" t="str">
        <f aca="false">IF(C6/C5&lt;=0.3,"PASS","REVIEW")</f>
        <v>PASS</v>
      </c>
      <c r="E6" s="1" t="s">
        <v>191</v>
      </c>
    </row>
    <row r="7" customFormat="false" ht="15" hidden="false" customHeight="true" outlineLevel="0" collapsed="false">
      <c r="B7" s="1" t="s">
        <v>192</v>
      </c>
      <c r="C7" s="20" t="n">
        <v>0.28</v>
      </c>
      <c r="D7" s="25" t="str">
        <f aca="false">IF(C7&lt;=0.4,"PASS","REVIEW")</f>
        <v>PASS</v>
      </c>
      <c r="E7" s="1" t="s">
        <v>193</v>
      </c>
    </row>
    <row r="8" customFormat="false" ht="15" hidden="false" customHeight="true" outlineLevel="0" collapsed="false">
      <c r="B8" s="1" t="s">
        <v>194</v>
      </c>
      <c r="C8" s="20" t="n">
        <v>0.15</v>
      </c>
      <c r="D8" s="25" t="str">
        <f aca="false">IF(C8&lt;=0.25,"PASS","REVIEW")</f>
        <v>PASS</v>
      </c>
      <c r="E8" s="1" t="s">
        <v>195</v>
      </c>
    </row>
    <row r="9" customFormat="false" ht="15" hidden="false" customHeight="true" outlineLevel="0" collapsed="false">
      <c r="B9" s="1" t="s">
        <v>196</v>
      </c>
      <c r="C9" s="20" t="n">
        <v>0.95</v>
      </c>
      <c r="D9" s="25" t="str">
        <f aca="false">IF(C9&gt;=0.9,"PASS","REVIEW")</f>
        <v>PASS</v>
      </c>
      <c r="E9" s="1" t="s">
        <v>197</v>
      </c>
    </row>
    <row r="10" customFormat="false" ht="15" hidden="false" customHeight="true" outlineLevel="0" collapsed="false">
      <c r="B10" s="1" t="s">
        <v>198</v>
      </c>
      <c r="C10" s="20" t="n">
        <v>1</v>
      </c>
      <c r="D10" s="25" t="str">
        <f aca="false">IF(C10=1,"PASS","BREACH")</f>
        <v>PASS</v>
      </c>
      <c r="E10" s="1" t="s">
        <v>199</v>
      </c>
    </row>
    <row r="12" customFormat="false" ht="15" hidden="false" customHeight="true" outlineLevel="0" collapsed="false">
      <c r="B12" s="21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0"/>
  </cols>
  <sheetData>
    <row r="2" customFormat="false" ht="19.5" hidden="false" customHeight="true" outlineLevel="0" collapsed="false">
      <c r="B2" s="2" t="s">
        <v>201</v>
      </c>
    </row>
    <row r="4" customFormat="false" ht="15" hidden="false" customHeight="true" outlineLevel="0" collapsed="false">
      <c r="B4" s="19" t="s">
        <v>202</v>
      </c>
      <c r="C4" s="19" t="s">
        <v>122</v>
      </c>
      <c r="D4" s="19" t="s">
        <v>28</v>
      </c>
      <c r="E4" s="19" t="s">
        <v>203</v>
      </c>
    </row>
    <row r="5" customFormat="false" ht="15" hidden="false" customHeight="true" outlineLevel="0" collapsed="false">
      <c r="B5" s="1" t="s">
        <v>204</v>
      </c>
      <c r="C5" s="25" t="n">
        <f aca="false">'Portfolio Rollforward'!E16-('Portfolio Rollforward'!E5+'Portfolio Rollforward'!E6-'Portfolio Rollforward'!E7-'Portfolio Rollforward'!E8)</f>
        <v>0</v>
      </c>
      <c r="D5" s="25" t="str">
        <f aca="false">IF(ABS(C5)&lt;0.01,"PASS","FAIL")</f>
        <v>PASS</v>
      </c>
      <c r="E5" s="1" t="s">
        <v>205</v>
      </c>
    </row>
    <row r="6" customFormat="false" ht="15" hidden="false" customHeight="true" outlineLevel="0" collapsed="false">
      <c r="B6" s="1" t="s">
        <v>206</v>
      </c>
      <c r="C6" s="25" t="n">
        <f aca="false">'Portfolio Rollforward'!E17-'Portfolio Rollforward'!E18</f>
        <v>0.182926829268293</v>
      </c>
      <c r="D6" s="25" t="str">
        <f aca="false">IF(C6&gt;=-0.000001,"PASS","FAIL")</f>
        <v>PASS</v>
      </c>
      <c r="E6" s="1" t="s">
        <v>207</v>
      </c>
    </row>
    <row r="7" customFormat="false" ht="15" hidden="false" customHeight="true" outlineLevel="0" collapsed="false">
      <c r="B7" s="1" t="s">
        <v>148</v>
      </c>
      <c r="C7" s="16" t="n">
        <f aca="false">'Portfolio Rollforward'!E21</f>
        <v>0.697668185473064</v>
      </c>
      <c r="D7" s="25" t="str">
        <f aca="false">IF(C7&lt;='Portfolio Rollforward'!E12,"PASS","BREACH")</f>
        <v>BREACH</v>
      </c>
      <c r="E7" s="1" t="s">
        <v>208</v>
      </c>
    </row>
    <row r="8" customFormat="false" ht="15" hidden="false" customHeight="true" outlineLevel="0" collapsed="false">
      <c r="B8" s="1" t="s">
        <v>209</v>
      </c>
      <c r="C8" s="25" t="n">
        <f aca="false">Provisioning!C9-'Loan Portfolio'!C5</f>
        <v>74.5</v>
      </c>
      <c r="D8" s="25" t="str">
        <f aca="false">IF(OR(NOT(ISNUMBER(C8)),ABS(C8)&lt;0.01),"PASS","FAIL")</f>
        <v>FAIL</v>
      </c>
      <c r="E8" s="1" t="s">
        <v>210</v>
      </c>
    </row>
    <row r="9" customFormat="false" ht="15" hidden="false" customHeight="true" outlineLevel="0" collapsed="false">
      <c r="B9" s="1" t="s">
        <v>211</v>
      </c>
      <c r="C9" s="16" t="n">
        <f aca="false">Provisioning!C13</f>
        <v>0.591715976331361</v>
      </c>
      <c r="D9" s="25" t="str">
        <f aca="false">IF(NOT(ISNUMBER(C9)),"REVIEW",IF(C9&gt;=1,"PASS","BREACH"))</f>
        <v>BREACH</v>
      </c>
      <c r="E9" s="1" t="s">
        <v>212</v>
      </c>
    </row>
    <row r="10" customFormat="false" ht="15" hidden="false" customHeight="true" outlineLevel="0" collapsed="false">
      <c r="B10" s="1" t="s">
        <v>213</v>
      </c>
      <c r="C10" s="16" t="n">
        <f aca="false">Sustainability!C12</f>
        <v>0.347826086956522</v>
      </c>
      <c r="D10" s="25" t="str">
        <f aca="false">IF(NOT(ISNUMBER(C10)),"REVIEW",IF(C10&gt;=1,"PASS","BREACH"))</f>
        <v>BREACH</v>
      </c>
      <c r="E10" s="1" t="s">
        <v>214</v>
      </c>
    </row>
    <row r="11" customFormat="false" ht="15" hidden="false" customHeight="true" outlineLevel="0" collapsed="false">
      <c r="B11" s="1" t="s">
        <v>215</v>
      </c>
      <c r="C11" s="16" t="n">
        <f aca="false">Sustainability!C13</f>
        <v>0.32</v>
      </c>
      <c r="D11" s="25" t="str">
        <f aca="false">IF(NOT(ISNUMBER(C11)),"REVIEW",IF(C11&gt;=1,"PASS","BREACH"))</f>
        <v>BREACH</v>
      </c>
      <c r="E11" s="1" t="s">
        <v>216</v>
      </c>
    </row>
    <row r="12" customFormat="false" ht="15" hidden="false" customHeight="true" outlineLevel="0" collapsed="false">
      <c r="B12" s="1" t="s">
        <v>217</v>
      </c>
      <c r="C12" s="17" t="n">
        <f aca="false">'Funding &amp; Liquidity'!D15</f>
        <v>-12</v>
      </c>
      <c r="D12" s="25" t="str">
        <f aca="false">IF(C12&gt;=0,"PASS","BREACH")</f>
        <v>BREACH</v>
      </c>
      <c r="E12" s="1" t="s">
        <v>218</v>
      </c>
    </row>
    <row r="13" customFormat="false" ht="15" hidden="false" customHeight="true" outlineLevel="0" collapsed="false">
      <c r="B13" s="1" t="s">
        <v>219</v>
      </c>
      <c r="C13" s="25" t="n">
        <f aca="false">COUNTIF('Client &amp; Conduct'!D5:D10,"&lt;&gt;PASS")</f>
        <v>0</v>
      </c>
      <c r="D13" s="25" t="str">
        <f aca="false">IF(C13=0,"PASS","REVIEW")</f>
        <v>PASS</v>
      </c>
      <c r="E13" s="1" t="s">
        <v>220</v>
      </c>
    </row>
    <row r="15" customFormat="false" ht="15" hidden="false" customHeight="true" outlineLevel="0" collapsed="false">
      <c r="B15" s="3" t="s">
        <v>221</v>
      </c>
      <c r="C15" s="26" t="str">
        <f aca="false">IF(COUNTIF(D5:D13,"FAIL")+COUNTIF(D5:D13,"BREACH")&gt;0,"BREACH",IF(COUNTIF(D5:D13,"REVIEW")&gt;0,"REVIEW","PASS"))</f>
        <v>BREACH</v>
      </c>
    </row>
    <row r="17" customFormat="false" ht="15" hidden="false" customHeight="true" outlineLevel="0" collapsed="false">
      <c r="B17" s="15" t="s">
        <v>222</v>
      </c>
    </row>
    <row r="18" customFormat="false" ht="15" hidden="false" customHeight="true" outlineLevel="0" collapsed="false">
      <c r="B18" s="1" t="s">
        <v>143</v>
      </c>
      <c r="C18" s="17" t="n">
        <f aca="false">'Portfolio Rollforward'!E16</f>
        <v>82</v>
      </c>
    </row>
    <row r="19" customFormat="false" ht="15" hidden="false" customHeight="true" outlineLevel="0" collapsed="false">
      <c r="B19" s="1" t="s">
        <v>144</v>
      </c>
      <c r="C19" s="16" t="n">
        <f aca="false">'Portfolio Rollforward'!E17</f>
        <v>0.426829268292683</v>
      </c>
    </row>
    <row r="20" customFormat="false" ht="15" hidden="false" customHeight="true" outlineLevel="0" collapsed="false">
      <c r="B20" s="1" t="s">
        <v>146</v>
      </c>
      <c r="C20" s="16" t="n">
        <f aca="false">'Portfolio Rollforward'!E19</f>
        <v>0.0879120879120879</v>
      </c>
    </row>
    <row r="21" customFormat="false" ht="15" hidden="false" customHeight="true" outlineLevel="0" collapsed="false">
      <c r="B21" s="1" t="s">
        <v>223</v>
      </c>
      <c r="C21" s="16" t="n">
        <f aca="false">Sustainability!C12</f>
        <v>0.347826086956522</v>
      </c>
    </row>
    <row r="22" customFormat="false" ht="15" hidden="false" customHeight="true" outlineLevel="0" collapsed="false">
      <c r="B22" s="1" t="s">
        <v>224</v>
      </c>
      <c r="C22" s="16" t="n">
        <f aca="false">Sustainability!C13</f>
        <v>0.32</v>
      </c>
    </row>
    <row r="23" customFormat="false" ht="15" hidden="false" customHeight="true" outlineLevel="0" collapsed="false">
      <c r="B23" s="1" t="s">
        <v>217</v>
      </c>
      <c r="C23" s="17" t="n">
        <f aca="false">'Funding &amp; Liquidity'!D15</f>
        <v>-12</v>
      </c>
    </row>
    <row r="24" customFormat="false" ht="15" hidden="false" customHeight="true" outlineLevel="0" collapsed="false">
      <c r="B24" s="1" t="s">
        <v>211</v>
      </c>
      <c r="C24" s="16" t="n">
        <f aca="false">Provisioning!C13</f>
        <v>0.591715976331361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0"/>
  </cols>
  <sheetData>
    <row r="2" customFormat="false" ht="19.5" hidden="false" customHeight="true" outlineLevel="0" collapsed="false">
      <c r="B2" s="2" t="s">
        <v>225</v>
      </c>
    </row>
    <row r="4" customFormat="false" ht="15" hidden="false" customHeight="true" outlineLevel="0" collapsed="false">
      <c r="B4" s="19" t="s">
        <v>226</v>
      </c>
      <c r="C4" s="19" t="s">
        <v>227</v>
      </c>
      <c r="D4" s="19" t="s">
        <v>228</v>
      </c>
      <c r="E4" s="19" t="s">
        <v>229</v>
      </c>
    </row>
    <row r="5" customFormat="false" ht="15" hidden="false" customHeight="true" outlineLevel="0" collapsed="false">
      <c r="B5" s="12" t="s">
        <v>230</v>
      </c>
      <c r="C5" s="13" t="n">
        <v>40</v>
      </c>
      <c r="D5" s="27" t="n">
        <v>0.01</v>
      </c>
      <c r="E5" s="17" t="n">
        <f aca="false">C5*D5</f>
        <v>0.4</v>
      </c>
    </row>
    <row r="6" customFormat="false" ht="15" hidden="false" customHeight="true" outlineLevel="0" collapsed="false">
      <c r="B6" s="12" t="s">
        <v>231</v>
      </c>
      <c r="C6" s="13" t="n">
        <v>20</v>
      </c>
      <c r="D6" s="27" t="n">
        <v>0.1</v>
      </c>
      <c r="E6" s="17" t="n">
        <f aca="false">C6*D6</f>
        <v>2</v>
      </c>
    </row>
    <row r="7" customFormat="false" ht="15" hidden="false" customHeight="true" outlineLevel="0" collapsed="false">
      <c r="B7" s="12" t="s">
        <v>232</v>
      </c>
      <c r="C7" s="13" t="n">
        <v>15</v>
      </c>
      <c r="D7" s="27" t="n">
        <v>0.5</v>
      </c>
      <c r="E7" s="17" t="n">
        <f aca="false">C7*D7</f>
        <v>7.5</v>
      </c>
    </row>
    <row r="8" customFormat="false" ht="15" hidden="false" customHeight="true" outlineLevel="0" collapsed="false">
      <c r="B8" s="12" t="s">
        <v>233</v>
      </c>
      <c r="C8" s="13" t="n">
        <v>7</v>
      </c>
      <c r="D8" s="27" t="n">
        <v>1</v>
      </c>
      <c r="E8" s="17" t="n">
        <f aca="false">C8*D8</f>
        <v>7</v>
      </c>
    </row>
    <row r="9" customFormat="false" ht="15" hidden="false" customHeight="true" outlineLevel="0" collapsed="false">
      <c r="B9" s="3" t="s">
        <v>234</v>
      </c>
      <c r="C9" s="28" t="n">
        <f aca="false">SUM(C5:C8)</f>
        <v>82</v>
      </c>
    </row>
    <row r="10" customFormat="false" ht="15" hidden="false" customHeight="true" outlineLevel="0" collapsed="false">
      <c r="B10" s="3" t="s">
        <v>235</v>
      </c>
      <c r="E10" s="28" t="n">
        <f aca="false">SUM(E5:E8)</f>
        <v>16.9</v>
      </c>
    </row>
    <row r="12" customFormat="false" ht="15" hidden="false" customHeight="true" outlineLevel="0" collapsed="false">
      <c r="B12" s="1" t="s">
        <v>236</v>
      </c>
      <c r="C12" s="13" t="n">
        <v>10</v>
      </c>
    </row>
    <row r="13" customFormat="false" ht="15" hidden="false" customHeight="true" outlineLevel="0" collapsed="false">
      <c r="B13" s="1" t="s">
        <v>237</v>
      </c>
      <c r="C13" s="29" t="n">
        <f aca="false">IFERROR(C12/E10,"-")</f>
        <v>0.591715976331361</v>
      </c>
      <c r="D13" s="21" t="s">
        <v>238</v>
      </c>
    </row>
    <row r="14" customFormat="false" ht="15" hidden="false" customHeight="true" outlineLevel="0" collapsed="false">
      <c r="B14" s="1" t="s">
        <v>239</v>
      </c>
      <c r="C14" s="30" t="n">
        <f aca="false">IFERROR(C9-'Loan Portfolio'!C5,"-")</f>
        <v>74.5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240</v>
      </c>
    </row>
    <row r="4" customFormat="false" ht="15" hidden="false" customHeight="true" outlineLevel="0" collapsed="false">
      <c r="B4" s="15" t="s">
        <v>151</v>
      </c>
    </row>
    <row r="5" customFormat="false" ht="15" hidden="false" customHeight="true" outlineLevel="0" collapsed="false">
      <c r="B5" s="12" t="s">
        <v>241</v>
      </c>
      <c r="C5" s="14" t="n">
        <v>0</v>
      </c>
    </row>
    <row r="6" customFormat="false" ht="15" hidden="false" customHeight="true" outlineLevel="0" collapsed="false">
      <c r="B6" s="12" t="s">
        <v>242</v>
      </c>
      <c r="C6" s="14" t="n">
        <v>0</v>
      </c>
    </row>
    <row r="7" customFormat="false" ht="15" hidden="false" customHeight="true" outlineLevel="0" collapsed="false">
      <c r="B7" s="12" t="s">
        <v>243</v>
      </c>
      <c r="C7" s="13" t="n">
        <v>0</v>
      </c>
    </row>
    <row r="8" customFormat="false" ht="15" hidden="false" customHeight="true" outlineLevel="0" collapsed="false">
      <c r="B8" s="12" t="s">
        <v>244</v>
      </c>
      <c r="C8" s="14" t="n">
        <v>0</v>
      </c>
    </row>
    <row r="10" customFormat="false" ht="15" hidden="false" customHeight="true" outlineLevel="0" collapsed="false">
      <c r="B10" s="15" t="s">
        <v>157</v>
      </c>
    </row>
    <row r="11" customFormat="false" ht="15" hidden="false" customHeight="true" outlineLevel="0" collapsed="false">
      <c r="B11" s="1" t="s">
        <v>245</v>
      </c>
      <c r="C11" s="16" t="str">
        <f aca="false">IFERROR((C6-C5)/C5,"-")</f>
        <v>-</v>
      </c>
    </row>
    <row r="12" customFormat="false" ht="15" hidden="false" customHeight="true" outlineLevel="0" collapsed="false">
      <c r="B12" s="1" t="s">
        <v>246</v>
      </c>
      <c r="C12" s="31" t="str">
        <f aca="false">IFERROR(C6/C8,"-")</f>
        <v>-</v>
      </c>
      <c r="D12" s="21" t="s">
        <v>247</v>
      </c>
    </row>
    <row r="13" customFormat="false" ht="15" hidden="false" customHeight="true" outlineLevel="0" collapsed="false">
      <c r="B13" s="1" t="s">
        <v>248</v>
      </c>
      <c r="C13" s="17" t="str">
        <f aca="false">IFERROR(C7/C6,"-")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249</v>
      </c>
    </row>
    <row r="4" customFormat="false" ht="15" hidden="false" customHeight="true" outlineLevel="0" collapsed="false">
      <c r="B4" s="19" t="s">
        <v>79</v>
      </c>
      <c r="C4" s="19" t="s">
        <v>250</v>
      </c>
      <c r="D4" s="19" t="s">
        <v>251</v>
      </c>
      <c r="E4" s="19" t="s">
        <v>252</v>
      </c>
      <c r="F4" s="19" t="s">
        <v>253</v>
      </c>
    </row>
    <row r="5" customFormat="false" ht="15" hidden="false" customHeight="true" outlineLevel="0" collapsed="false">
      <c r="B5" s="25" t="s">
        <v>254</v>
      </c>
      <c r="C5" s="25" t="s">
        <v>255</v>
      </c>
      <c r="D5" s="25" t="s">
        <v>256</v>
      </c>
      <c r="E5" s="25" t="s">
        <v>257</v>
      </c>
      <c r="F5" s="25" t="s">
        <v>258</v>
      </c>
    </row>
    <row r="6" customFormat="false" ht="15" hidden="false" customHeight="true" outlineLevel="0" collapsed="false">
      <c r="B6" s="25"/>
      <c r="C6" s="25"/>
      <c r="D6" s="25"/>
      <c r="E6" s="25"/>
      <c r="F6" s="25"/>
    </row>
    <row r="7" customFormat="false" ht="15" hidden="false" customHeight="true" outlineLevel="0" collapsed="false">
      <c r="B7" s="25"/>
      <c r="C7" s="25"/>
      <c r="D7" s="25"/>
      <c r="E7" s="25"/>
      <c r="F7" s="25"/>
    </row>
    <row r="8" customFormat="false" ht="15" hidden="false" customHeight="true" outlineLevel="0" collapsed="false">
      <c r="B8" s="25"/>
      <c r="C8" s="25"/>
      <c r="D8" s="25"/>
      <c r="E8" s="25"/>
      <c r="F8" s="25"/>
    </row>
    <row r="9" customFormat="false" ht="15" hidden="false" customHeight="true" outlineLevel="0" collapsed="false">
      <c r="B9" s="25"/>
      <c r="C9" s="25"/>
      <c r="D9" s="25"/>
      <c r="E9" s="25"/>
      <c r="F9" s="25"/>
    </row>
    <row r="10" customFormat="false" ht="15" hidden="false" customHeight="true" outlineLevel="0" collapsed="false">
      <c r="B10" s="25"/>
      <c r="C10" s="25"/>
      <c r="D10" s="25"/>
      <c r="E10" s="25"/>
      <c r="F10" s="25"/>
    </row>
    <row r="11" customFormat="false" ht="15" hidden="false" customHeight="true" outlineLevel="0" collapsed="false">
      <c r="B11" s="25"/>
      <c r="C11" s="25"/>
      <c r="D11" s="25"/>
      <c r="E11" s="25"/>
      <c r="F11" s="25"/>
    </row>
    <row r="12" customFormat="false" ht="15" hidden="false" customHeight="true" outlineLevel="0" collapsed="false">
      <c r="B12" s="25"/>
      <c r="C12" s="25"/>
      <c r="D12" s="25"/>
      <c r="E12" s="25"/>
      <c r="F12" s="25"/>
    </row>
    <row r="13" customFormat="false" ht="15" hidden="false" customHeight="true" outlineLevel="0" collapsed="false">
      <c r="B13" s="25"/>
      <c r="C13" s="25"/>
      <c r="D13" s="25"/>
      <c r="E13" s="25"/>
      <c r="F13" s="25"/>
    </row>
    <row r="14" customFormat="false" ht="15" hidden="false" customHeight="true" outlineLevel="0" collapsed="false">
      <c r="B14" s="25"/>
      <c r="C14" s="25"/>
      <c r="D14" s="25"/>
      <c r="E14" s="25"/>
      <c r="F1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2026-08-04T16:57:15Z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