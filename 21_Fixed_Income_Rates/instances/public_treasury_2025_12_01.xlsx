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Zero Curve" sheetId="6" state="visible" r:id="rId8"/>
    <sheet name="Bond Analytics" sheetId="7" state="visible" r:id="rId9"/>
    <sheet name="Portfolio" sheetId="8" state="visible" r:id="rId10"/>
    <sheet name="Key Rate Risk" sheetId="9" state="visible" r:id="rId11"/>
    <sheet name="Carry &amp; Roll" sheetId="10" state="visible" r:id="rId12"/>
    <sheet name="Scenarios" sheetId="11" state="visible" r:id="rId13"/>
    <sheet name="P&amp;L Explain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<sst xmlns="http://schemas.openxmlformats.org/spreadsheetml/2006/main" count="394" uniqueCount="283">
  <si>
    <t xml:space="preserve">[PORTFOLIO / SECURITY] — Fixed Income &amp; Rates Model</t>
  </si>
  <si>
    <t xml:space="preserve">Portfolio / security:</t>
  </si>
  <si>
    <t xml:space="preserve">[Name]</t>
  </si>
  <si>
    <t xml:space="preserve">Currency / curve:</t>
  </si>
  <si>
    <t xml:space="preserve">[Currency and benchmark]</t>
  </si>
  <si>
    <t xml:space="preserve">Last refreshed:</t>
  </si>
  <si>
    <t xml:space="preserve">2025-12-01</t>
  </si>
  <si>
    <t xml:space="preserve">Next coupon / auction / event:</t>
  </si>
  <si>
    <t xml:space="preserve">[date]</t>
  </si>
  <si>
    <t xml:space="preserve">Refresh cadence:</t>
  </si>
  <si>
    <t xml:space="preserve">Daily</t>
  </si>
  <si>
    <t xml:space="preserve">Active scenario:</t>
  </si>
  <si>
    <t xml:space="preserve">Base</t>
  </si>
  <si>
    <t xml:space="preserve">Units:</t>
  </si>
  <si>
    <t xml:space="preserve">$ in millions; yields in percent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</si>
  <si>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</si>
  <si>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</si>
  <si>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</si>
  <si>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</si>
  <si>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</si>
  <si>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</si>
  <si>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</si>
  <si>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</si>
  <si>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</si>
  <si>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Fixed Income &amp; Rates — Institutional Decision Surface</t>
  </si>
  <si>
    <t xml:space="preserve">Model ID</t>
  </si>
  <si>
    <t xml:space="preserve">21</t>
  </si>
  <si>
    <t xml:space="preserve">Domain</t>
  </si>
  <si>
    <t xml:space="preserve">Fixed Income &amp; Rates</t>
  </si>
  <si>
    <t xml:space="preserve">Declared maturity</t>
  </si>
  <si>
    <t xml:space="preserve">M2</t>
  </si>
  <si>
    <t xml:space="preserve">Canonical builder</t>
  </si>
  <si>
    <t xml:space="preserve">tools/builders/build_fixed_income_release.py</t>
  </si>
  <si>
    <t xml:space="preserve">Decision arena</t>
  </si>
  <si>
    <t xml:space="preserve">trading desk, portfolio management, treasury, ALCO and independent risk</t>
  </si>
  <si>
    <t xml:space="preserve">Committee artifact</t>
  </si>
  <si>
    <t xml:space="preserve">curve, carry and risk pack</t>
  </si>
  <si>
    <t xml:space="preserve">Operating cadence</t>
  </si>
  <si>
    <t xml:space="preserve">intraday desk; daily risk; monthly ALCO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</si>
  <si>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</si>
  <si>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</si>
  <si>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</si>
  <si>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</si>
  <si>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</si>
  <si>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</si>
  <si>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price, yield, duration and convexity</t>
  </si>
  <si>
    <t xml:space="preserve">OPEN</t>
  </si>
  <si>
    <t xml:space="preserve">key-rate and spread DV01</t>
  </si>
  <si>
    <t xml:space="preserve">carry and roll-down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</si>
  <si>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</si>
  <si>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</si>
  <si>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</si>
  <si>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part of carry is rolldown versus credit?</t>
  </si>
  <si>
    <t xml:space="preserve">Which curve and interpolation method is authoritative?</t>
  </si>
  <si>
    <t xml:space="preserve">Where does optionality invalidate duration?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</si>
  <si>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</si>
  <si>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</si>
  <si>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</si>
  <si>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parallel and nonparallel curve shocks</t>
  </si>
  <si>
    <t xml:space="preserve">spread widening</t>
  </si>
  <si>
    <t xml:space="preserve">basis and swap-spread move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</si>
  <si>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</si>
  <si>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</si>
  <si>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</si>
  <si>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security terms and prospectus</t>
  </si>
  <si>
    <t xml:space="preserve">curve construction policy</t>
  </si>
  <si>
    <t xml:space="preserve">repo / financing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</si>
  <si>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</si>
  <si>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</si>
  <si>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</si>
  <si>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price-yield monotonicity</t>
  </si>
  <si>
    <t xml:space="preserve">duration and convexity signs</t>
  </si>
  <si>
    <t xml:space="preserve">key-rate DV01 reconciles to parallel risk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</si>
  <si>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</si>
  <si>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</si>
  <si>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</si>
  <si>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yield duration for callable instruments</t>
  </si>
  <si>
    <t xml:space="preserve">mixing clean and dirty price</t>
  </si>
  <si>
    <t xml:space="preserve">failing to map off-the-run liquidity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</si>
  <si>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</si>
  <si>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</si>
  <si>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</si>
  <si>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</si>
  <si>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</si>
  <si>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</si>
  <si>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</si>
  <si>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</si>
  <si>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</si>
  <si>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</si>
  <si>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</si>
  <si>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</si>
  <si>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</si>
  <si>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</si>
  <si>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</si>
  <si>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</si>
  <si>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</si>
  <si>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</si>
  <si>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</si>
  <si>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</si>
  <si>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</si>
  <si>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</si>
  <si>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</si>
  <si>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</si>
  <si>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</si>
  <si>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</si>
  <si>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</si>
  <si>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</si>
  <si>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</si>
  <si>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</si>
  <si>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</si>
  <si>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</si>
  <si>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</si>
  <si>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</si>
  <si>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prices and curves</t>
  </si>
  <si>
    <t xml:space="preserve">intraday/daily</t>
  </si>
  <si>
    <t xml:space="preserve">source and interpolation control</t>
  </si>
  <si>
    <t xml:space="preserve">TO MAP</t>
  </si>
  <si>
    <t xml:space="preserve">positions</t>
  </si>
  <si>
    <t xml:space="preserve">security and lot reconciliation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</si>
  <si>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</si>
  <si>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</si>
  <si>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</si>
  <si>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</si>
  <si>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</si>
  <si>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</si>
  <si>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Pricing and Risk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</si>
  <si>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</si>
  <si>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</si>
  <si>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</si>
  <si>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</si>
  <si>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Face value</t>
  </si>
  <si>
    <t xml:space="preserve">currency</t>
  </si>
  <si>
    <t xml:space="preserve">Coupon rate</t>
  </si>
  <si>
    <t xml:space="preserve">%</t>
  </si>
  <si>
    <t xml:space="preserve">Yield to maturity</t>
  </si>
  <si>
    <t xml:space="preserve">Maturity</t>
  </si>
  <si>
    <t xml:space="preserve">years</t>
  </si>
  <si>
    <t xml:space="preserve">Coupon frequency</t>
  </si>
  <si>
    <t xml:space="preserve">per year</t>
  </si>
  <si>
    <t xml:space="preserve">Parallel yield shock</t>
  </si>
  <si>
    <t xml:space="preserve">One-basis-point bump</t>
  </si>
  <si>
    <t xml:space="preserve">Holding period</t>
  </si>
  <si>
    <t xml:space="preserve">Financing / repo rate</t>
  </si>
  <si>
    <t xml:space="preserve">Position market value</t>
  </si>
  <si>
    <t xml:space="preserve">$mm</t>
  </si>
  <si>
    <t xml:space="preserve">Zero Curve and Discount Factors</t>
  </si>
  <si>
    <t xml:space="preserve">Tenor</t>
  </si>
  <si>
    <t xml:space="preserve">Base zero</t>
  </si>
  <si>
    <t xml:space="preserve">Downside zero</t>
  </si>
  <si>
    <t xml:space="preserve">Active zero</t>
  </si>
  <si>
    <t xml:space="preserve">Discount factor</t>
  </si>
  <si>
    <t xml:space="preserve">1Y forward</t>
  </si>
  <si>
    <t xml:space="preserve">Bond Price, Duration, and Convexity</t>
  </si>
  <si>
    <t xml:space="preserve">Metric</t>
  </si>
  <si>
    <t xml:space="preserve">Value</t>
  </si>
  <si>
    <t xml:space="preserve">Units</t>
  </si>
  <si>
    <t xml:space="preserve">Method</t>
  </si>
  <si>
    <t xml:space="preserve">Price</t>
  </si>
  <si>
    <t xml:space="preserve">coupon annuity plus principal</t>
  </si>
  <si>
    <t xml:space="preserve">Price +1bp</t>
  </si>
  <si>
    <t xml:space="preserve">finite difference</t>
  </si>
  <si>
    <t xml:space="preserve">Price -1bp</t>
  </si>
  <si>
    <t xml:space="preserve">Numerical modified duration</t>
  </si>
  <si>
    <t xml:space="preserve">central difference</t>
  </si>
  <si>
    <t xml:space="preserve">Numerical convexity</t>
  </si>
  <si>
    <t xml:space="preserve">years^2</t>
  </si>
  <si>
    <t xml:space="preserve">second difference</t>
  </si>
  <si>
    <t xml:space="preserve">DV01</t>
  </si>
  <si>
    <t xml:space="preserve">price value of 1bp</t>
  </si>
  <si>
    <t xml:space="preserve">Current yield</t>
  </si>
  <si>
    <t xml:space="preserve">annual coupon / price</t>
  </si>
  <si>
    <t xml:space="preserve">Price under parallel shock</t>
  </si>
  <si>
    <t xml:space="preserve">full repricing</t>
  </si>
  <si>
    <t xml:space="preserve">Duration-convexity estimate</t>
  </si>
  <si>
    <t xml:space="preserve">second-order approximation</t>
  </si>
  <si>
    <t xml:space="preserve">Approximation residual</t>
  </si>
  <si>
    <t xml:space="preserve">full price less estimate</t>
  </si>
  <si>
    <t xml:space="preserve">Fixed-Income Portfolio Analytics</t>
  </si>
  <si>
    <t xml:space="preserve">Security</t>
  </si>
  <si>
    <t xml:space="preserve">Market value</t>
  </si>
  <si>
    <t xml:space="preserve">Coupon</t>
  </si>
  <si>
    <t xml:space="preserve">Yield</t>
  </si>
  <si>
    <t xml:space="preserve">Spread duration</t>
  </si>
  <si>
    <t xml:space="preserve">Mod duration</t>
  </si>
  <si>
    <t xml:space="preserve">Convexity</t>
  </si>
  <si>
    <t xml:space="preserve">2Y Treasury</t>
  </si>
  <si>
    <t xml:space="preserve">5Y Treasury</t>
  </si>
  <si>
    <t xml:space="preserve">10Y Treasury</t>
  </si>
  <si>
    <t xml:space="preserve">IG Corporate</t>
  </si>
  <si>
    <t xml:space="preserve">HY Corporate</t>
  </si>
  <si>
    <t xml:space="preserve">Municipal</t>
  </si>
  <si>
    <t xml:space="preserve">Portfolio total / weighted</t>
  </si>
  <si>
    <t xml:space="preserve">Key-Rate DV01 Approximation</t>
  </si>
  <si>
    <t xml:space="preserve">2Y</t>
  </si>
  <si>
    <t xml:space="preserve">5Y</t>
  </si>
  <si>
    <t xml:space="preserve">10Y</t>
  </si>
  <si>
    <t xml:space="preserve">20Y</t>
  </si>
  <si>
    <t xml:space="preserve">30Y</t>
  </si>
  <si>
    <t xml:space="preserve">Total DV01</t>
  </si>
  <si>
    <t xml:space="preserve">Portfolio key-rate DV01</t>
  </si>
  <si>
    <t xml:space="preserve">One-Year Carry and Roll-Down</t>
  </si>
  <si>
    <t xml:space="preserve">Coupon carry</t>
  </si>
  <si>
    <t xml:space="preserve">Financing cost</t>
  </si>
  <si>
    <t xml:space="preserve">Yield after roll</t>
  </si>
  <si>
    <t xml:space="preserve">Roll P&amp;L</t>
  </si>
  <si>
    <t xml:space="preserve">Total carry + roll</t>
  </si>
  <si>
    <t xml:space="preserve">Portfolio total</t>
  </si>
  <si>
    <t xml:space="preserve">Curve and Spread Scenarios</t>
  </si>
  <si>
    <t xml:space="preserve">Scenario</t>
  </si>
  <si>
    <t xml:space="preserve">Credit spread</t>
  </si>
  <si>
    <t xml:space="preserve">Estimated P&amp;L</t>
  </si>
  <si>
    <t xml:space="preserve">Parallel +100bp</t>
  </si>
  <si>
    <t xml:space="preserve">Parallel -100bp</t>
  </si>
  <si>
    <t xml:space="preserve">Bear steepener</t>
  </si>
  <si>
    <t xml:space="preserve">Bull flattener</t>
  </si>
  <si>
    <t xml:space="preserve">Credit widening</t>
  </si>
  <si>
    <t xml:space="preserve">Risk-off rally</t>
  </si>
  <si>
    <t xml:space="preserve">Rates Portfolio P&amp;L Explain</t>
  </si>
  <si>
    <t xml:space="preserve">Driver</t>
  </si>
  <si>
    <t xml:space="preserve">Exposure</t>
  </si>
  <si>
    <t xml:space="preserve">Move</t>
  </si>
  <si>
    <t xml:space="preserve">P&amp;L</t>
  </si>
  <si>
    <t xml:space="preserve">Notes</t>
  </si>
  <si>
    <t xml:space="preserve">Carry</t>
  </si>
  <si>
    <t xml:space="preserve">coupon less financing</t>
  </si>
  <si>
    <t xml:space="preserve">Roll-down</t>
  </si>
  <si>
    <t xml:space="preserve">curve roll</t>
  </si>
  <si>
    <t xml:space="preserve">Parallel rates</t>
  </si>
  <si>
    <t xml:space="preserve">DV01 x move</t>
  </si>
  <si>
    <t xml:space="preserve">Curve shape</t>
  </si>
  <si>
    <t xml:space="preserve">key-rate attribution</t>
  </si>
  <si>
    <t xml:space="preserve">spread duration</t>
  </si>
  <si>
    <t xml:space="preserve">second order</t>
  </si>
  <si>
    <t xml:space="preserve">Explained P&amp;L</t>
  </si>
  <si>
    <t xml:space="preserve">Actual P&amp;L</t>
  </si>
  <si>
    <t xml:space="preserve">Unexplained P&amp;L</t>
  </si>
  <si>
    <t xml:space="preserve">Fixed-Income Model Checks</t>
  </si>
  <si>
    <t xml:space="preserve">Check</t>
  </si>
  <si>
    <t xml:space="preserve">Price positive</t>
  </si>
  <si>
    <t xml:space="preserve">Price decreases as yield rises</t>
  </si>
  <si>
    <t xml:space="preserve">Duration positive</t>
  </si>
  <si>
    <t xml:space="preserve">Convexity positive</t>
  </si>
  <si>
    <t xml:space="preserve">Key-rate DV01 reconciles</t>
  </si>
  <si>
    <t xml:space="preserve">Curve discount factors decreasing</t>
  </si>
  <si>
    <t xml:space="preserve">P&amp;L explain populated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</si>
  <si>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</si>
  <si>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</si>
  <si>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</si>
  <si>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</si>
  <si>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</si>
  <si>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Security terms and cash flows</t>
  </si>
  <si>
    <t xml:space="preserve">[prospectus / terms URL]</t>
  </si>
  <si>
    <t xml:space="preserve">Coupon, maturity, callability, indexation</t>
  </si>
  <si>
    <t xml:space="preserve">Benchmark and zero curves</t>
  </si>
  <si>
    <t xml:space="preserve">https://home.treasury.gov/resource-center/data-chart-center/interest-rates</t>
  </si>
  <si>
    <t xml:space="preserve">[timestamp]</t>
  </si>
  <si>
    <t xml:space="preserve">Document interpolation and compounding</t>
  </si>
  <si>
    <t xml:space="preserve">Credit spreads and prices</t>
  </si>
  <si>
    <t xml:space="preserve">[market data URL]</t>
  </si>
  <si>
    <t xml:space="preserve">Bid/ask, liquidity, source hierarchy</t>
  </si>
  <si>
    <t xml:space="preserve">Financing and repo</t>
  </si>
  <si>
    <t xml:space="preserve">[broker / central bank source]</t>
  </si>
  <si>
    <t xml:space="preserve">Haircuts, specials, term, and currency basis</t>
  </si>
  <si>
    <t xml:space="preserve">Portfolio positions</t>
  </si>
  <si>
    <t xml:space="preserve">[OMS / custody source]</t>
  </si>
  <si>
    <t xml:space="preserve">Reconcile quantities, accrued interest, and market value</t>
  </si>
  <si>
    <t xml:space="preserve">Daily Treasury Par Yield Curve Rates</t>
  </si>
  <si>
    <t xml:space="preserve">https://home.treasury.gov/resource-center/data-chart-center/interest-rates/TextView?field_tdr_date_value_month=202512&amp;type=daily_treasury_yield_curve</t>
  </si>
  <si>
    <t xml:space="preserve">U.S. Department of the Treasury; frozen curated observation as of case date</t>
  </si>
  <si>
    <t xml:space="preserve">Frozen source snapshot</t>
  </si>
  <si>
    <t xml:space="preserve">repo://21_Fixed_Income_Rates/sources/snapshots/rates-treasury-2025-12-01.json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</si>
  <si>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</si>
  <si>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</si>
  <si>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</si>
  <si>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</si>
  <si>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</si>
  <si>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</si>
  <si>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</si>
  <si>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</si>
  <si>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</si>
  <si>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rates-treasury-2025-12-01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</si>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</sst>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($&quot;#,##0.00\);\-"/>
    <numFmt numFmtId="166" formatCode="0.00%;[RED]\(0.00%\);\-"/>
    <numFmt numFmtId="167" formatCode="0.0"/>
    <numFmt numFmtId="168" formatCode="0"/>
    <numFmt numFmtId="169" formatCode="0.0000%"/>
    <numFmt numFmtId="170" formatCode="\$#,##0.0;[RED]&quot;($&quot;#,##0.0\);\-"/>
    <numFmt numFmtId="171" formatCode="0.00"/>
    <numFmt numFmtId="172" formatCode="0.000000"/>
    <numFmt numFmtId="173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114</v>
      </c>
      <c r="D6" s="1" t="s">
        <v>118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119</v>
      </c>
      <c r="C7" s="1" t="s">
        <v>120</v>
      </c>
      <c r="D7" s="1" t="s">
        <v>121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122</v>
      </c>
      <c r="C8" s="1" t="s">
        <v>123</v>
      </c>
      <c r="D8" s="1" t="s">
        <v>124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125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126</v>
      </c>
      <c r="C4" s="16" t="s">
        <v>12</v>
      </c>
      <c r="D4" s="16" t="s">
        <v>127</v>
      </c>
      <c r="E4" s="16" t="s">
        <v>128</v>
      </c>
      <c r="F4" s="16" t="s">
        <v>129</v>
      </c>
    </row>
    <row r="5" customFormat="false" ht="15" hidden="false" customHeight="true" outlineLevel="0" collapsed="false">
      <c r="B5" s="1" t="s">
        <v>130</v>
      </c>
      <c r="C5" s="17" t="n">
        <v>1000</v>
      </c>
      <c r="D5" s="17" t="n">
        <v>1000</v>
      </c>
      <c r="E5" s="18" t="n">
        <f aca="false">IF(Cover!$C$9="Downside",D5,C5)</f>
        <v>1000</v>
      </c>
      <c r="F5" s="1" t="s">
        <v>131</v>
      </c>
    </row>
    <row r="6" customFormat="false" ht="15" hidden="false" customHeight="true" outlineLevel="0" collapsed="false">
      <c r="B6" s="1" t="s">
        <v>132</v>
      </c>
      <c r="C6" s="19" t="n">
        <v>0.05</v>
      </c>
      <c r="D6" s="19" t="n">
        <v>0.05</v>
      </c>
      <c r="E6" s="20" t="n">
        <f aca="false">IF(Cover!$C$9="Downside",D6,C6)</f>
        <v>0.05</v>
      </c>
      <c r="F6" s="1" t="s">
        <v>133</v>
      </c>
    </row>
    <row r="7" customFormat="false" ht="15" hidden="false" customHeight="true" outlineLevel="0" collapsed="false">
      <c r="B7" s="1" t="s">
        <v>134</v>
      </c>
      <c r="C7" s="21" t="n">
        <v>0.0409</v>
      </c>
      <c r="D7" s="19" t="n">
        <v>0.07</v>
      </c>
      <c r="E7" s="20" t="n">
        <f aca="false">IF(Cover!$C$9="Downside",D7,C7)</f>
        <v>0.0409</v>
      </c>
      <c r="F7" s="1" t="s">
        <v>133</v>
      </c>
    </row>
    <row r="8" customFormat="false" ht="15" hidden="false" customHeight="true" outlineLevel="0" collapsed="false">
      <c r="B8" s="1" t="s">
        <v>135</v>
      </c>
      <c r="C8" s="22" t="n">
        <v>10</v>
      </c>
      <c r="D8" s="22" t="n">
        <v>10</v>
      </c>
      <c r="E8" s="23" t="n">
        <f aca="false">IF(Cover!$C$9="Downside",D8,C8)</f>
        <v>10</v>
      </c>
      <c r="F8" s="1" t="s">
        <v>136</v>
      </c>
    </row>
    <row r="9" customFormat="false" ht="15" hidden="false" customHeight="true" outlineLevel="0" collapsed="false">
      <c r="B9" s="1" t="s">
        <v>137</v>
      </c>
      <c r="C9" s="24" t="n">
        <v>2</v>
      </c>
      <c r="D9" s="24" t="n">
        <v>2</v>
      </c>
      <c r="E9" s="25" t="n">
        <f aca="false">IF(Cover!$C$9="Downside",D9,C9)</f>
        <v>2</v>
      </c>
      <c r="F9" s="1" t="s">
        <v>138</v>
      </c>
    </row>
    <row r="10" customFormat="false" ht="15" hidden="false" customHeight="true" outlineLevel="0" collapsed="false">
      <c r="B10" s="1" t="s">
        <v>139</v>
      </c>
      <c r="C10" s="19" t="n">
        <v>0.01</v>
      </c>
      <c r="D10" s="19" t="n">
        <v>0.02</v>
      </c>
      <c r="E10" s="20" t="n">
        <f aca="false">IF(Cover!$C$9="Downside",D10,C10)</f>
        <v>0.01</v>
      </c>
      <c r="F10" s="1" t="s">
        <v>133</v>
      </c>
    </row>
    <row r="11" customFormat="false" ht="15" hidden="false" customHeight="true" outlineLevel="0" collapsed="false">
      <c r="B11" s="1" t="s">
        <v>140</v>
      </c>
      <c r="C11" s="26" t="n">
        <v>0.0001</v>
      </c>
      <c r="D11" s="26" t="n">
        <v>0.0001</v>
      </c>
      <c r="E11" s="27" t="n">
        <f aca="false">IF(Cover!$C$9="Downside",D11,C11)</f>
        <v>0.0001</v>
      </c>
      <c r="F11" s="1" t="s">
        <v>133</v>
      </c>
    </row>
    <row r="12" customFormat="false" ht="15" hidden="false" customHeight="true" outlineLevel="0" collapsed="false">
      <c r="B12" s="1" t="s">
        <v>141</v>
      </c>
      <c r="C12" s="22" t="n">
        <v>1</v>
      </c>
      <c r="D12" s="22" t="n">
        <v>1</v>
      </c>
      <c r="E12" s="23" t="n">
        <f aca="false">IF(Cover!$C$9="Downside",D12,C12)</f>
        <v>1</v>
      </c>
      <c r="F12" s="1" t="s">
        <v>136</v>
      </c>
    </row>
    <row r="13" customFormat="false" ht="15" hidden="false" customHeight="true" outlineLevel="0" collapsed="false">
      <c r="B13" s="1" t="s">
        <v>142</v>
      </c>
      <c r="C13" s="19" t="n">
        <v>0.045</v>
      </c>
      <c r="D13" s="19" t="n">
        <v>0.06</v>
      </c>
      <c r="E13" s="20" t="n">
        <f aca="false">IF(Cover!$C$9="Downside",D13,C13)</f>
        <v>0.045</v>
      </c>
      <c r="F13" s="1" t="s">
        <v>133</v>
      </c>
    </row>
    <row r="14" customFormat="false" ht="15" hidden="false" customHeight="true" outlineLevel="0" collapsed="false">
      <c r="B14" s="1" t="s">
        <v>143</v>
      </c>
      <c r="C14" s="28" t="n">
        <v>50</v>
      </c>
      <c r="D14" s="28" t="n">
        <v>50</v>
      </c>
      <c r="E14" s="29" t="n">
        <f aca="false">IF(Cover!$C$9="Downside",D14,C14)</f>
        <v>50</v>
      </c>
      <c r="F14" s="1" t="s">
        <v>144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16"/>
  </cols>
  <sheetData>
    <row r="2" customFormat="false" ht="27.75" hidden="false" customHeight="true" outlineLevel="0" collapsed="false">
      <c r="B2" s="2" t="s">
        <v>145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146</v>
      </c>
      <c r="C4" s="16" t="s">
        <v>147</v>
      </c>
      <c r="D4" s="16" t="s">
        <v>148</v>
      </c>
      <c r="E4" s="16" t="s">
        <v>149</v>
      </c>
      <c r="F4" s="16" t="s">
        <v>150</v>
      </c>
      <c r="G4" s="16" t="s">
        <v>151</v>
      </c>
    </row>
    <row r="5" customFormat="false" ht="15" hidden="false" customHeight="true" outlineLevel="0" collapsed="false">
      <c r="B5" s="30" t="n">
        <v>0.25</v>
      </c>
      <c r="C5" s="19" t="n">
        <v>0.048</v>
      </c>
      <c r="D5" s="19" t="n">
        <v>0.053</v>
      </c>
      <c r="E5" s="20" t="n">
        <f aca="false">IF(Cover!$C$9="Downside",D5,C5)</f>
        <v>0.048</v>
      </c>
      <c r="F5" s="31" t="n">
        <f aca="false">EXP(-E5*B5)</f>
        <v>0.988071712861931</v>
      </c>
      <c r="G5" s="20" t="n">
        <f aca="false">E5</f>
        <v>0.048</v>
      </c>
    </row>
    <row r="6" customFormat="false" ht="15" hidden="false" customHeight="true" outlineLevel="0" collapsed="false">
      <c r="B6" s="30" t="n">
        <v>0.5</v>
      </c>
      <c r="C6" s="19" t="n">
        <v>0.047</v>
      </c>
      <c r="D6" s="19" t="n">
        <v>0.052</v>
      </c>
      <c r="E6" s="20" t="n">
        <f aca="false">IF(Cover!$C$9="Downside",D6,C6)</f>
        <v>0.047</v>
      </c>
      <c r="F6" s="31" t="n">
        <f aca="false">EXP(-E6*B6)</f>
        <v>0.976773974668844</v>
      </c>
      <c r="G6" s="20" t="n">
        <f aca="false">IFERROR(-LN(F6/F5)/(B6-B5),0)</f>
        <v>0.0459999999999999</v>
      </c>
    </row>
    <row r="7" customFormat="false" ht="15" hidden="false" customHeight="true" outlineLevel="0" collapsed="false">
      <c r="B7" s="30" t="n">
        <v>1</v>
      </c>
      <c r="C7" s="19" t="n">
        <v>0.045</v>
      </c>
      <c r="D7" s="19" t="n">
        <v>0.05</v>
      </c>
      <c r="E7" s="20" t="n">
        <f aca="false">IF(Cover!$C$9="Downside",D7,C7)</f>
        <v>0.045</v>
      </c>
      <c r="F7" s="31" t="n">
        <f aca="false">EXP(-E7*B7)</f>
        <v>0.9559974818331</v>
      </c>
      <c r="G7" s="20" t="n">
        <f aca="false">IFERROR(-LN(F7/F6)/(B7-B6),0)</f>
        <v>0.0429999999999999</v>
      </c>
    </row>
    <row r="8" customFormat="false" ht="15" hidden="false" customHeight="true" outlineLevel="0" collapsed="false">
      <c r="B8" s="30" t="n">
        <v>2</v>
      </c>
      <c r="C8" s="19" t="n">
        <v>0.043</v>
      </c>
      <c r="D8" s="19" t="n">
        <v>0.048</v>
      </c>
      <c r="E8" s="20" t="n">
        <f aca="false">IF(Cover!$C$9="Downside",D8,C8)</f>
        <v>0.043</v>
      </c>
      <c r="F8" s="31" t="n">
        <f aca="false">EXP(-E8*B8)</f>
        <v>0.917594231220151</v>
      </c>
      <c r="G8" s="20" t="n">
        <f aca="false">IFERROR(-LN(F8/F7)/(B8-B7),0)</f>
        <v>0.0410000000000001</v>
      </c>
    </row>
    <row r="9" customFormat="false" ht="15" hidden="false" customHeight="true" outlineLevel="0" collapsed="false">
      <c r="B9" s="30" t="n">
        <v>3</v>
      </c>
      <c r="C9" s="19" t="n">
        <v>0.042</v>
      </c>
      <c r="D9" s="19" t="n">
        <v>0.047</v>
      </c>
      <c r="E9" s="20" t="n">
        <f aca="false">IF(Cover!$C$9="Downside",D9,C9)</f>
        <v>0.042</v>
      </c>
      <c r="F9" s="31" t="n">
        <f aca="false">EXP(-E9*B9)</f>
        <v>0.881614846783416</v>
      </c>
      <c r="G9" s="20" t="n">
        <f aca="false">IFERROR(-LN(F9/F8)/(B9-B8),0)</f>
        <v>0.0399999999999999</v>
      </c>
    </row>
    <row r="10" customFormat="false" ht="15" hidden="false" customHeight="true" outlineLevel="0" collapsed="false">
      <c r="B10" s="30" t="n">
        <v>5</v>
      </c>
      <c r="C10" s="19" t="n">
        <v>0.043</v>
      </c>
      <c r="D10" s="19" t="n">
        <v>0.055</v>
      </c>
      <c r="E10" s="20" t="n">
        <f aca="false">IF(Cover!$C$9="Downside",D10,C10)</f>
        <v>0.043</v>
      </c>
      <c r="F10" s="31" t="n">
        <f aca="false">EXP(-E10*B10)</f>
        <v>0.806541440177327</v>
      </c>
      <c r="G10" s="20" t="n">
        <f aca="false">IFERROR(-LN(F10/F9)/(B10-B9),0)</f>
        <v>0.0445</v>
      </c>
    </row>
    <row r="11" customFormat="false" ht="15" hidden="false" customHeight="true" outlineLevel="0" collapsed="false">
      <c r="B11" s="30" t="n">
        <v>7</v>
      </c>
      <c r="C11" s="19" t="n">
        <v>0.045</v>
      </c>
      <c r="D11" s="19" t="n">
        <v>0.057</v>
      </c>
      <c r="E11" s="20" t="n">
        <f aca="false">IF(Cover!$C$9="Downside",D11,C11)</f>
        <v>0.045</v>
      </c>
      <c r="F11" s="31" t="n">
        <f aca="false">EXP(-E11*B11)</f>
        <v>0.729788874269057</v>
      </c>
      <c r="G11" s="20" t="n">
        <f aca="false">IFERROR(-LN(F11/F10)/(B11-B10),0)</f>
        <v>0.05</v>
      </c>
    </row>
    <row r="12" customFormat="false" ht="15" hidden="false" customHeight="true" outlineLevel="0" collapsed="false">
      <c r="B12" s="30" t="n">
        <v>10</v>
      </c>
      <c r="C12" s="19" t="n">
        <v>0.047</v>
      </c>
      <c r="D12" s="19" t="n">
        <v>0.059</v>
      </c>
      <c r="E12" s="20" t="n">
        <f aca="false">IF(Cover!$C$9="Downside",D12,C12)</f>
        <v>0.047</v>
      </c>
      <c r="F12" s="31" t="n">
        <f aca="false">EXP(-E12*B12)</f>
        <v>0.625002268282701</v>
      </c>
      <c r="G12" s="20" t="n">
        <f aca="false">IFERROR(-LN(F12/F11)/(B12-B11),0)</f>
        <v>0.0516666666666667</v>
      </c>
    </row>
    <row r="13" customFormat="false" ht="15" hidden="false" customHeight="true" outlineLevel="0" collapsed="false">
      <c r="B13" s="30" t="n">
        <v>20</v>
      </c>
      <c r="C13" s="19" t="n">
        <v>0.049</v>
      </c>
      <c r="D13" s="19" t="n">
        <v>0.061</v>
      </c>
      <c r="E13" s="20" t="n">
        <f aca="false">IF(Cover!$C$9="Downside",D13,C13)</f>
        <v>0.049</v>
      </c>
      <c r="F13" s="31" t="n">
        <f aca="false">EXP(-E13*B13)</f>
        <v>0.3753110988514</v>
      </c>
      <c r="G13" s="20" t="n">
        <f aca="false">IFERROR(-LN(F13/F12)/(B13-B12),0)</f>
        <v>0.051</v>
      </c>
    </row>
    <row r="14" customFormat="false" ht="15" hidden="false" customHeight="true" outlineLevel="0" collapsed="false">
      <c r="B14" s="30" t="n">
        <v>30</v>
      </c>
      <c r="C14" s="19" t="n">
        <v>0.05</v>
      </c>
      <c r="D14" s="19" t="n">
        <v>0.062</v>
      </c>
      <c r="E14" s="20" t="n">
        <f aca="false">IF(Cover!$C$9="Downside",D14,C14)</f>
        <v>0.05</v>
      </c>
      <c r="F14" s="31" t="n">
        <f aca="false">EXP(-E14*B14)</f>
        <v>0.22313016014843</v>
      </c>
      <c r="G14" s="20" t="n">
        <f aca="false">IFERROR(-LN(F14/F13)/(B14-B13),0)</f>
        <v>0.052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4"/>
  </cols>
  <sheetData>
    <row r="2" customFormat="false" ht="27.75" hidden="false" customHeight="true" outlineLevel="0" collapsed="false">
      <c r="B2" s="2" t="s">
        <v>152</v>
      </c>
      <c r="C2" s="2"/>
      <c r="D2" s="2"/>
      <c r="E2" s="2"/>
    </row>
    <row r="4" customFormat="false" ht="15" hidden="false" customHeight="true" outlineLevel="0" collapsed="false">
      <c r="B4" s="16" t="s">
        <v>153</v>
      </c>
      <c r="C4" s="16" t="s">
        <v>154</v>
      </c>
      <c r="D4" s="16" t="s">
        <v>155</v>
      </c>
      <c r="E4" s="16" t="s">
        <v>156</v>
      </c>
    </row>
    <row r="5" customFormat="false" ht="15" hidden="false" customHeight="true" outlineLevel="0" collapsed="false">
      <c r="B5" s="1" t="s">
        <v>157</v>
      </c>
      <c r="C5" s="18" t="n">
        <f aca="false">-PV(Assumptions!E7/Assumptions!E9,Assumptions!E8*Assumptions!E9,Assumptions!E5*Assumptions!E6/Assumptions!E9,Assumptions!E5)</f>
        <v>1074.07694385674</v>
      </c>
      <c r="D5" s="1" t="s">
        <v>131</v>
      </c>
      <c r="E5" s="1" t="s">
        <v>158</v>
      </c>
    </row>
    <row r="6" customFormat="false" ht="15" hidden="false" customHeight="true" outlineLevel="0" collapsed="false">
      <c r="B6" s="1" t="s">
        <v>159</v>
      </c>
      <c r="C6" s="18" t="n">
        <f aca="false">-PV((Assumptions!E7+Assumptions!E11)/Assumptions!E9,Assumptions!E8*Assumptions!E9,Assumptions!E5*Assumptions!E6/Assumptions!E9,Assumptions!E5)</f>
        <v>1073.22764121166</v>
      </c>
      <c r="D6" s="1" t="s">
        <v>131</v>
      </c>
      <c r="E6" s="1" t="s">
        <v>160</v>
      </c>
    </row>
    <row r="7" customFormat="false" ht="15" hidden="false" customHeight="true" outlineLevel="0" collapsed="false">
      <c r="B7" s="1" t="s">
        <v>161</v>
      </c>
      <c r="C7" s="18" t="n">
        <f aca="false">-PV((Assumptions!E7-Assumptions!E11)/Assumptions!E9,Assumptions!E8*Assumptions!E9,Assumptions!E5*Assumptions!E6/Assumptions!E9,Assumptions!E5)</f>
        <v>1074.92705535209</v>
      </c>
      <c r="D7" s="1" t="s">
        <v>131</v>
      </c>
      <c r="E7" s="1" t="s">
        <v>160</v>
      </c>
    </row>
    <row r="8" customFormat="false" ht="15" hidden="false" customHeight="true" outlineLevel="0" collapsed="false">
      <c r="B8" s="1" t="s">
        <v>162</v>
      </c>
      <c r="C8" s="32" t="n">
        <f aca="false">IFERROR((C7-C6)/(2*C5*Assumptions!E11),0)</f>
        <v>7.91104468889933</v>
      </c>
      <c r="D8" s="1" t="s">
        <v>136</v>
      </c>
      <c r="E8" s="1" t="s">
        <v>163</v>
      </c>
    </row>
    <row r="9" customFormat="false" ht="15" hidden="false" customHeight="true" outlineLevel="0" collapsed="false">
      <c r="B9" s="1" t="s">
        <v>164</v>
      </c>
      <c r="C9" s="32" t="n">
        <f aca="false">IFERROR((C6+C7-2*C5)/(C5*Assumptions!E11^2),0)</f>
        <v>75.3065484482998</v>
      </c>
      <c r="D9" s="1" t="s">
        <v>165</v>
      </c>
      <c r="E9" s="1" t="s">
        <v>166</v>
      </c>
    </row>
    <row r="10" customFormat="false" ht="15" hidden="false" customHeight="true" outlineLevel="0" collapsed="false">
      <c r="B10" s="1" t="s">
        <v>167</v>
      </c>
      <c r="C10" s="18" t="n">
        <f aca="false">(C7-C6)/2</f>
        <v>0.849707070216709</v>
      </c>
      <c r="D10" s="1" t="s">
        <v>131</v>
      </c>
      <c r="E10" s="1" t="s">
        <v>168</v>
      </c>
    </row>
    <row r="11" customFormat="false" ht="15" hidden="false" customHeight="true" outlineLevel="0" collapsed="false">
      <c r="B11" s="1" t="s">
        <v>169</v>
      </c>
      <c r="C11" s="20" t="n">
        <f aca="false">Assumptions!E5*Assumptions!E6/C5</f>
        <v>0.0465515997582655</v>
      </c>
      <c r="D11" s="1" t="s">
        <v>133</v>
      </c>
      <c r="E11" s="1" t="s">
        <v>170</v>
      </c>
    </row>
    <row r="12" customFormat="false" ht="15" hidden="false" customHeight="true" outlineLevel="0" collapsed="false">
      <c r="B12" s="1" t="s">
        <v>171</v>
      </c>
      <c r="C12" s="18" t="n">
        <f aca="false">-PV((Assumptions!E7+Assumptions!E10)/Assumptions!E9,Assumptions!E8*Assumptions!E9,Assumptions!E5*Assumptions!E6/Assumptions!E9,Assumptions!E5)</f>
        <v>993.014604703508</v>
      </c>
      <c r="D12" s="1" t="s">
        <v>131</v>
      </c>
      <c r="E12" s="1" t="s">
        <v>172</v>
      </c>
    </row>
    <row r="13" customFormat="false" ht="15" hidden="false" customHeight="true" outlineLevel="0" collapsed="false">
      <c r="B13" s="1" t="s">
        <v>173</v>
      </c>
      <c r="C13" s="18" t="n">
        <f aca="false">C5*(1-C8*Assumptions!E10+0.5*C9*Assumptions!E10^2)</f>
        <v>993.150488205558</v>
      </c>
      <c r="D13" s="1" t="s">
        <v>131</v>
      </c>
      <c r="E13" s="1" t="s">
        <v>174</v>
      </c>
    </row>
    <row r="14" customFormat="false" ht="15" hidden="false" customHeight="true" outlineLevel="0" collapsed="false">
      <c r="B14" s="1" t="s">
        <v>175</v>
      </c>
      <c r="C14" s="18" t="n">
        <f aca="false">C12-C13</f>
        <v>-0.135883502049637</v>
      </c>
      <c r="D14" s="1" t="s">
        <v>131</v>
      </c>
      <c r="E14" s="1" t="s">
        <v>176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6" min="4" style="1" width="13"/>
    <col collapsed="false" customWidth="true" hidden="false" outlineLevel="0" max="11" min="7" style="1" width="14"/>
    <col collapsed="false" customWidth="true" hidden="false" outlineLevel="0" max="12" min="12" style="1" width="16"/>
  </cols>
  <sheetData>
    <row r="2" customFormat="false" ht="27.75" hidden="false" customHeight="true" outlineLevel="0" collapsed="false">
      <c r="B2" s="2" t="s">
        <v>177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B4" s="16" t="s">
        <v>178</v>
      </c>
      <c r="C4" s="16" t="s">
        <v>179</v>
      </c>
      <c r="D4" s="16" t="s">
        <v>180</v>
      </c>
      <c r="E4" s="16" t="s">
        <v>181</v>
      </c>
      <c r="F4" s="16" t="s">
        <v>135</v>
      </c>
      <c r="G4" s="16" t="s">
        <v>182</v>
      </c>
      <c r="H4" s="16" t="s">
        <v>157</v>
      </c>
      <c r="I4" s="16" t="s">
        <v>183</v>
      </c>
      <c r="J4" s="16" t="s">
        <v>184</v>
      </c>
      <c r="K4" s="16" t="s">
        <v>167</v>
      </c>
    </row>
    <row r="5" customFormat="false" ht="15" hidden="false" customHeight="true" outlineLevel="0" collapsed="false">
      <c r="B5" s="22" t="s">
        <v>185</v>
      </c>
      <c r="C5" s="28" t="n">
        <v>30</v>
      </c>
      <c r="D5" s="19" t="n">
        <v>0.045</v>
      </c>
      <c r="E5" s="19" t="n">
        <v>0.044</v>
      </c>
      <c r="F5" s="22" t="n">
        <v>2</v>
      </c>
      <c r="G5" s="22" t="n">
        <v>0</v>
      </c>
      <c r="H5" s="18" t="n">
        <f aca="false">-PV(E5/2,F5*2,100*D5/2,100)</f>
        <v>100.189466000932</v>
      </c>
      <c r="I5" s="32" t="n">
        <f aca="false">IFERROR(((-PV((E5-0.0001)/2,F5*2,100*D5/2,100))-(-PV((E5+0.0001)/2,F5*2,100*D5/2,100)))/(2*H5*0.0001),0)</f>
        <v>1.89336488133197</v>
      </c>
      <c r="J5" s="32" t="n">
        <f aca="false">IFERROR(((-PV((E5+0.0001)/2,F5*2,100*D5/2,100))+(-PV((E5-0.0001)/2,F5*2,100*D5/2,100))-2*H5)/(H5*0.0001^2),0)</f>
        <v>4.58004825211457</v>
      </c>
      <c r="K5" s="29" t="n">
        <f aca="false">C5*I5*0.0001</f>
        <v>0.00568009464399591</v>
      </c>
      <c r="L5" s="32"/>
    </row>
    <row r="6" customFormat="false" ht="15" hidden="false" customHeight="true" outlineLevel="0" collapsed="false">
      <c r="B6" s="22" t="s">
        <v>186</v>
      </c>
      <c r="C6" s="28" t="n">
        <v>40</v>
      </c>
      <c r="D6" s="19" t="n">
        <v>0.043</v>
      </c>
      <c r="E6" s="19" t="n">
        <v>0.045</v>
      </c>
      <c r="F6" s="22" t="n">
        <v>5</v>
      </c>
      <c r="G6" s="22" t="n">
        <v>0</v>
      </c>
      <c r="H6" s="18" t="n">
        <f aca="false">-PV(E6/2,F6*2,100*D6/2,100)</f>
        <v>99.1133783651132</v>
      </c>
      <c r="I6" s="32" t="n">
        <f aca="false">IFERROR(((-PV((E6-0.0001)/2,F6*2,100*D6/2,100))-(-PV((E6+0.0001)/2,F6*2,100*D6/2,100)))/(2*H6*0.0001),0)</f>
        <v>4.44950833441694</v>
      </c>
      <c r="J6" s="32" t="n">
        <f aca="false">IFERROR(((-PV((E6+0.0001)/2,F6*2,100*D6/2,100))+(-PV((E6-0.0001)/2,F6*2,100*D6/2,100))-2*H6)/(H6*0.0001^2),0)</f>
        <v>23.1671250475456</v>
      </c>
      <c r="K6" s="29" t="n">
        <f aca="false">C6*I6*0.0001</f>
        <v>0.0177980333376678</v>
      </c>
      <c r="L6" s="32"/>
    </row>
    <row r="7" customFormat="false" ht="15" hidden="false" customHeight="true" outlineLevel="0" collapsed="false">
      <c r="B7" s="22" t="s">
        <v>187</v>
      </c>
      <c r="C7" s="28" t="n">
        <v>50</v>
      </c>
      <c r="D7" s="19" t="n">
        <v>0.05</v>
      </c>
      <c r="E7" s="19" t="n">
        <v>0.055</v>
      </c>
      <c r="F7" s="22" t="n">
        <v>10</v>
      </c>
      <c r="G7" s="22" t="n">
        <v>0</v>
      </c>
      <c r="H7" s="18" t="n">
        <f aca="false">-PV(E7/2,F7*2,100*D7/2,100)</f>
        <v>96.1931869665561</v>
      </c>
      <c r="I7" s="32" t="n">
        <f aca="false">IFERROR(((-PV((E7-0.0001)/2,F7*2,100*D7/2,100))-(-PV((E7+0.0001)/2,F7*2,100*D7/2,100)))/(2*H7*0.0001),0)</f>
        <v>7.73001387093778</v>
      </c>
      <c r="J7" s="32" t="n">
        <f aca="false">IFERROR(((-PV((E7+0.0001)/2,F7*2,100*D7/2,100))+(-PV((E7-0.0001)/2,F7*2,100*D7/2,100))-2*H7)/(H7*0.0001^2),0)</f>
        <v>72.7069531256049</v>
      </c>
      <c r="K7" s="29" t="n">
        <f aca="false">C7*I7*0.0001</f>
        <v>0.0386500693546889</v>
      </c>
      <c r="L7" s="32"/>
    </row>
    <row r="8" customFormat="false" ht="15" hidden="false" customHeight="true" outlineLevel="0" collapsed="false">
      <c r="B8" s="22" t="s">
        <v>188</v>
      </c>
      <c r="C8" s="28" t="n">
        <v>45</v>
      </c>
      <c r="D8" s="19" t="n">
        <v>0.06</v>
      </c>
      <c r="E8" s="19" t="n">
        <v>0.068</v>
      </c>
      <c r="F8" s="22" t="n">
        <v>7</v>
      </c>
      <c r="G8" s="22" t="n">
        <v>5.5</v>
      </c>
      <c r="H8" s="18" t="n">
        <f aca="false">-PV(E8/2,F8*2,100*D8/2,100)</f>
        <v>95.602342663271</v>
      </c>
      <c r="I8" s="32" t="n">
        <f aca="false">IFERROR(((-PV((E8-0.0001)/2,F8*2,100*D8/2,100))-(-PV((E8+0.0001)/2,F8*2,100*D8/2,100)))/(2*H8*0.0001),0)</f>
        <v>5.59514968086704</v>
      </c>
      <c r="J8" s="32" t="n">
        <f aca="false">IFERROR(((-PV((E8+0.0001)/2,F8*2,100*D8/2,100))+(-PV((E8-0.0001)/2,F8*2,100*D8/2,100))-2*H8)/(H8*0.0001^2),0)</f>
        <v>37.9276522067983</v>
      </c>
      <c r="K8" s="29" t="n">
        <f aca="false">C8*I8*0.0001</f>
        <v>0.0251781735639017</v>
      </c>
      <c r="L8" s="32"/>
    </row>
    <row r="9" customFormat="false" ht="15" hidden="false" customHeight="true" outlineLevel="0" collapsed="false">
      <c r="B9" s="22" t="s">
        <v>189</v>
      </c>
      <c r="C9" s="28" t="n">
        <v>25</v>
      </c>
      <c r="D9" s="19" t="n">
        <v>0.085</v>
      </c>
      <c r="E9" s="19" t="n">
        <v>0.105</v>
      </c>
      <c r="F9" s="22" t="n">
        <v>5</v>
      </c>
      <c r="G9" s="22" t="n">
        <v>3.8</v>
      </c>
      <c r="H9" s="18" t="n">
        <f aca="false">-PV(E9/2,F9*2,100*D9/2,100)</f>
        <v>92.3711595277973</v>
      </c>
      <c r="I9" s="32" t="n">
        <f aca="false">IFERROR(((-PV((E9-0.0001)/2,F9*2,100*D9/2,100))-(-PV((E9+0.0001)/2,F9*2,100*D9/2,100)))/(2*H9*0.0001),0)</f>
        <v>3.93014873032941</v>
      </c>
      <c r="J9" s="32" t="n">
        <f aca="false">IFERROR(((-PV((E9+0.0001)/2,F9*2,100*D9/2,100))+(-PV((E9-0.0001)/2,F9*2,100*D9/2,100))-2*H9)/(H9*0.0001^2),0)</f>
        <v>19.2026958764139</v>
      </c>
      <c r="K9" s="29" t="n">
        <f aca="false">C9*I9*0.0001</f>
        <v>0.00982537182582354</v>
      </c>
      <c r="L9" s="32"/>
    </row>
    <row r="10" customFormat="false" ht="15" hidden="false" customHeight="true" outlineLevel="0" collapsed="false">
      <c r="B10" s="22" t="s">
        <v>190</v>
      </c>
      <c r="C10" s="28" t="n">
        <v>20</v>
      </c>
      <c r="D10" s="19" t="n">
        <v>0.04</v>
      </c>
      <c r="E10" s="19" t="n">
        <v>0.046</v>
      </c>
      <c r="F10" s="22" t="n">
        <v>12</v>
      </c>
      <c r="G10" s="22" t="n">
        <v>7.5</v>
      </c>
      <c r="H10" s="18" t="n">
        <f aca="false">-PV(E10/2,F10*2,100*D10/2,100)</f>
        <v>94.514022674657</v>
      </c>
      <c r="I10" s="32" t="n">
        <f aca="false">IFERROR(((-PV((E10-0.0001)/2,F10*2,100*D10/2,100))-(-PV((E10+0.0001)/2,F10*2,100*D10/2,100)))/(2*H10*0.0001),0)</f>
        <v>9.35015135658426</v>
      </c>
      <c r="J10" s="32" t="n">
        <f aca="false">IFERROR(((-PV((E10+0.0001)/2,F10*2,100*D10/2,100))+(-PV((E10-0.0001)/2,F10*2,100*D10/2,100))-2*H10)/(H10*0.0001^2),0)</f>
        <v>105.33354827567</v>
      </c>
      <c r="K10" s="29" t="n">
        <f aca="false">C10*I10*0.0001</f>
        <v>0.0187003027131685</v>
      </c>
      <c r="L10" s="32"/>
    </row>
    <row r="12" customFormat="false" ht="15" hidden="false" customHeight="true" outlineLevel="0" collapsed="false">
      <c r="B12" s="33" t="s">
        <v>191</v>
      </c>
      <c r="C12" s="34" t="n">
        <f aca="false">SUM(C5:C10)</f>
        <v>210</v>
      </c>
      <c r="D12" s="33"/>
      <c r="E12" s="33"/>
      <c r="F12" s="33"/>
      <c r="G12" s="35" t="n">
        <f aca="false">SUMPRODUCT(C5:C10,G5:G10)/SUM(C5:C10)</f>
        <v>2.3452380952381</v>
      </c>
      <c r="H12" s="33"/>
      <c r="I12" s="35" t="n">
        <f aca="false">SUMPRODUCT(C5:C10,I5:I10)/SUM(C5:C10)</f>
        <v>5.51581168758316</v>
      </c>
      <c r="J12" s="35" t="n">
        <f aca="false">SUMPRODUCT(C5:C10,J5:J10)/SUM(C5:C10)</f>
        <v>42.8234134165485</v>
      </c>
      <c r="K12" s="34" t="n">
        <f aca="false">SUM(K5:K10)</f>
        <v>0.115832045439246</v>
      </c>
      <c r="L12" s="35"/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4"/>
    <col collapsed="false" customWidth="true" hidden="false" outlineLevel="0" max="8" min="8" style="1" width="16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178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  <c r="H4" s="16" t="s">
        <v>198</v>
      </c>
    </row>
    <row r="5" customFormat="false" ht="15" hidden="false" customHeight="true" outlineLevel="0" collapsed="false">
      <c r="B5" s="1" t="str">
        <f aca="false">Portfolio!B5</f>
        <v>2Y Treasury</v>
      </c>
      <c r="C5" s="29" t="n">
        <f aca="false">Portfolio!K5*MAX(0,1-ABS(Portfolio!F5-2)/MAX(2,2))</f>
        <v>0.00568009464399591</v>
      </c>
      <c r="D5" s="29" t="n">
        <f aca="false">Portfolio!K5*MAX(0,1-ABS(Portfolio!F5-5)/MAX(2,5))</f>
        <v>0.00227203785759836</v>
      </c>
      <c r="E5" s="29" t="n">
        <f aca="false">Portfolio!K5*MAX(0,1-ABS(Portfolio!F5-10)/MAX(2,10))</f>
        <v>0.00113601892879918</v>
      </c>
      <c r="F5" s="29" t="n">
        <f aca="false">Portfolio!K5*MAX(0,1-ABS(Portfolio!F5-20)/MAX(2,20))</f>
        <v>0.000568009464399591</v>
      </c>
      <c r="G5" s="29" t="n">
        <f aca="false">Portfolio!K5*MAX(0,1-ABS(Portfolio!F5-30)/MAX(2,30))</f>
        <v>0.000378672976266394</v>
      </c>
      <c r="H5" s="29" t="n">
        <f aca="false">SUM(C5:G5)</f>
        <v>0.0100348338710594</v>
      </c>
    </row>
    <row r="6" customFormat="false" ht="15" hidden="false" customHeight="true" outlineLevel="0" collapsed="false">
      <c r="B6" s="1" t="str">
        <f aca="false">Portfolio!B6</f>
        <v>5Y Treasury</v>
      </c>
      <c r="C6" s="29" t="n">
        <f aca="false">Portfolio!K6*MAX(0,1-ABS(Portfolio!F6-2)/MAX(2,2))</f>
        <v>0</v>
      </c>
      <c r="D6" s="29" t="n">
        <f aca="false">Portfolio!K6*MAX(0,1-ABS(Portfolio!F6-5)/MAX(2,5))</f>
        <v>0.0177980333376678</v>
      </c>
      <c r="E6" s="29" t="n">
        <f aca="false">Portfolio!K6*MAX(0,1-ABS(Portfolio!F6-10)/MAX(2,10))</f>
        <v>0.00889901666883388</v>
      </c>
      <c r="F6" s="29" t="n">
        <f aca="false">Portfolio!K6*MAX(0,1-ABS(Portfolio!F6-20)/MAX(2,20))</f>
        <v>0.00444950833441694</v>
      </c>
      <c r="G6" s="29" t="n">
        <f aca="false">Portfolio!K6*MAX(0,1-ABS(Portfolio!F6-30)/MAX(2,30))</f>
        <v>0.00296633888961129</v>
      </c>
      <c r="H6" s="29" t="n">
        <f aca="false">SUM(C6:G6)</f>
        <v>0.0341128972305299</v>
      </c>
    </row>
    <row r="7" customFormat="false" ht="15" hidden="false" customHeight="true" outlineLevel="0" collapsed="false">
      <c r="B7" s="1" t="str">
        <f aca="false">Portfolio!B7</f>
        <v>10Y Treasury</v>
      </c>
      <c r="C7" s="29" t="n">
        <f aca="false">Portfolio!K7*MAX(0,1-ABS(Portfolio!F7-2)/MAX(2,2))</f>
        <v>0</v>
      </c>
      <c r="D7" s="29" t="n">
        <f aca="false">Portfolio!K7*MAX(0,1-ABS(Portfolio!F7-5)/MAX(2,5))</f>
        <v>0</v>
      </c>
      <c r="E7" s="29" t="n">
        <f aca="false">Portfolio!K7*MAX(0,1-ABS(Portfolio!F7-10)/MAX(2,10))</f>
        <v>0.0386500693546889</v>
      </c>
      <c r="F7" s="29" t="n">
        <f aca="false">Portfolio!K7*MAX(0,1-ABS(Portfolio!F7-20)/MAX(2,20))</f>
        <v>0.0193250346773444</v>
      </c>
      <c r="G7" s="29" t="n">
        <f aca="false">Portfolio!K7*MAX(0,1-ABS(Portfolio!F7-30)/MAX(2,30))</f>
        <v>0.012883356451563</v>
      </c>
      <c r="H7" s="29" t="n">
        <f aca="false">SUM(C7:G7)</f>
        <v>0.0708584604835963</v>
      </c>
    </row>
    <row r="8" customFormat="false" ht="15" hidden="false" customHeight="true" outlineLevel="0" collapsed="false">
      <c r="B8" s="1" t="str">
        <f aca="false">Portfolio!B8</f>
        <v>IG Corporate</v>
      </c>
      <c r="C8" s="29" t="n">
        <f aca="false">Portfolio!K8*MAX(0,1-ABS(Portfolio!F8-2)/MAX(2,2))</f>
        <v>0</v>
      </c>
      <c r="D8" s="29" t="n">
        <f aca="false">Portfolio!K8*MAX(0,1-ABS(Portfolio!F8-5)/MAX(2,5))</f>
        <v>0.015106904138341</v>
      </c>
      <c r="E8" s="29" t="n">
        <f aca="false">Portfolio!K8*MAX(0,1-ABS(Portfolio!F8-10)/MAX(2,10))</f>
        <v>0.0176247214947312</v>
      </c>
      <c r="F8" s="29" t="n">
        <f aca="false">Portfolio!K8*MAX(0,1-ABS(Portfolio!F8-20)/MAX(2,20))</f>
        <v>0.00881236074736558</v>
      </c>
      <c r="G8" s="29" t="n">
        <f aca="false">Portfolio!K8*MAX(0,1-ABS(Portfolio!F8-30)/MAX(2,30))</f>
        <v>0.00587490716491039</v>
      </c>
      <c r="H8" s="29" t="n">
        <f aca="false">SUM(C8:G8)</f>
        <v>0.0474188935453481</v>
      </c>
    </row>
    <row r="9" customFormat="false" ht="15" hidden="false" customHeight="true" outlineLevel="0" collapsed="false">
      <c r="B9" s="1" t="str">
        <f aca="false">Portfolio!B9</f>
        <v>HY Corporate</v>
      </c>
      <c r="C9" s="29" t="n">
        <f aca="false">Portfolio!K9*MAX(0,1-ABS(Portfolio!F9-2)/MAX(2,2))</f>
        <v>0</v>
      </c>
      <c r="D9" s="29" t="n">
        <f aca="false">Portfolio!K9*MAX(0,1-ABS(Portfolio!F9-5)/MAX(2,5))</f>
        <v>0.00982537182582354</v>
      </c>
      <c r="E9" s="29" t="n">
        <f aca="false">Portfolio!K9*MAX(0,1-ABS(Portfolio!F9-10)/MAX(2,10))</f>
        <v>0.00491268591291177</v>
      </c>
      <c r="F9" s="29" t="n">
        <f aca="false">Portfolio!K9*MAX(0,1-ABS(Portfolio!F9-20)/MAX(2,20))</f>
        <v>0.00245634295645588</v>
      </c>
      <c r="G9" s="29" t="n">
        <f aca="false">Portfolio!K9*MAX(0,1-ABS(Portfolio!F9-30)/MAX(2,30))</f>
        <v>0.00163756197097059</v>
      </c>
      <c r="H9" s="29" t="n">
        <f aca="false">SUM(C9:G9)</f>
        <v>0.0188319626661618</v>
      </c>
    </row>
    <row r="10" customFormat="false" ht="15" hidden="false" customHeight="true" outlineLevel="0" collapsed="false">
      <c r="B10" s="1" t="str">
        <f aca="false">Portfolio!B10</f>
        <v>Municipal</v>
      </c>
      <c r="C10" s="29" t="n">
        <f aca="false">Portfolio!K10*MAX(0,1-ABS(Portfolio!F10-2)/MAX(2,2))</f>
        <v>0</v>
      </c>
      <c r="D10" s="29" t="n">
        <f aca="false">Portfolio!K10*MAX(0,1-ABS(Portfolio!F10-5)/MAX(2,5))</f>
        <v>0</v>
      </c>
      <c r="E10" s="29" t="n">
        <f aca="false">Portfolio!K10*MAX(0,1-ABS(Portfolio!F10-10)/MAX(2,10))</f>
        <v>0.0149602421705348</v>
      </c>
      <c r="F10" s="29" t="n">
        <f aca="false">Portfolio!K10*MAX(0,1-ABS(Portfolio!F10-20)/MAX(2,20))</f>
        <v>0.0112201816279011</v>
      </c>
      <c r="G10" s="29" t="n">
        <f aca="false">Portfolio!K10*MAX(0,1-ABS(Portfolio!F10-30)/MAX(2,30))</f>
        <v>0.00748012108526741</v>
      </c>
      <c r="H10" s="29" t="n">
        <f aca="false">SUM(C10:G10)</f>
        <v>0.0336605448837034</v>
      </c>
    </row>
    <row r="12" customFormat="false" ht="15" hidden="false" customHeight="true" outlineLevel="0" collapsed="false">
      <c r="B12" s="33" t="s">
        <v>199</v>
      </c>
      <c r="C12" s="34" t="n">
        <f aca="false">SUM(C5:C10)</f>
        <v>0.00568009464399591</v>
      </c>
      <c r="D12" s="34" t="n">
        <f aca="false">SUM(D5:D10)</f>
        <v>0.0450023471594307</v>
      </c>
      <c r="E12" s="34" t="n">
        <f aca="false">SUM(E5:E10)</f>
        <v>0.0861827545304997</v>
      </c>
      <c r="F12" s="34" t="n">
        <f aca="false">SUM(F5:F10)</f>
        <v>0.0468314378078836</v>
      </c>
      <c r="G12" s="34" t="n">
        <f aca="false">SUM(G5:G10)</f>
        <v>0.031220958538589</v>
      </c>
      <c r="H12" s="34" t="n">
        <f aca="false">SUM(H5:H10)</f>
        <v>0.214917592680399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6" min="3" style="1" width="16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200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178</v>
      </c>
      <c r="C4" s="16" t="s">
        <v>201</v>
      </c>
      <c r="D4" s="16" t="s">
        <v>202</v>
      </c>
      <c r="E4" s="16" t="s">
        <v>203</v>
      </c>
      <c r="F4" s="16" t="s">
        <v>204</v>
      </c>
      <c r="G4" s="16" t="s">
        <v>205</v>
      </c>
    </row>
    <row r="5" customFormat="false" ht="15" hidden="false" customHeight="true" outlineLevel="0" collapsed="false">
      <c r="B5" s="1" t="str">
        <f aca="false">Portfolio!B5</f>
        <v>2Y Treasury</v>
      </c>
      <c r="C5" s="29" t="n">
        <f aca="false">Portfolio!C5*Portfolio!D5</f>
        <v>1.35</v>
      </c>
      <c r="D5" s="29" t="n">
        <f aca="false">Portfolio!C5*Assumptions!E13</f>
        <v>1.35</v>
      </c>
      <c r="E5" s="20" t="n">
        <f aca="false">MAX(0,Portfolio!E5-0.002)</f>
        <v>0.042</v>
      </c>
      <c r="F5" s="29" t="n">
        <f aca="false">Portfolio!C5*Portfolio!I5*(Portfolio!E5-E5)</f>
        <v>0.113601892879918</v>
      </c>
      <c r="G5" s="29" t="n">
        <f aca="false">C5-D5+F5</f>
        <v>0.113601892879918</v>
      </c>
    </row>
    <row r="6" customFormat="false" ht="15" hidden="false" customHeight="true" outlineLevel="0" collapsed="false">
      <c r="B6" s="1" t="str">
        <f aca="false">Portfolio!B6</f>
        <v>5Y Treasury</v>
      </c>
      <c r="C6" s="29" t="n">
        <f aca="false">Portfolio!C6*Portfolio!D6</f>
        <v>1.72</v>
      </c>
      <c r="D6" s="29" t="n">
        <f aca="false">Portfolio!C6*Assumptions!E13</f>
        <v>1.8</v>
      </c>
      <c r="E6" s="20" t="n">
        <f aca="false">MAX(0,Portfolio!E6-0.002)</f>
        <v>0.043</v>
      </c>
      <c r="F6" s="29" t="n">
        <f aca="false">Portfolio!C6*Portfolio!I6*(Portfolio!E6-E6)</f>
        <v>0.355960666753355</v>
      </c>
      <c r="G6" s="29" t="n">
        <f aca="false">C6-D6+F6</f>
        <v>0.275960666753355</v>
      </c>
    </row>
    <row r="7" customFormat="false" ht="15" hidden="false" customHeight="true" outlineLevel="0" collapsed="false">
      <c r="B7" s="1" t="str">
        <f aca="false">Portfolio!B7</f>
        <v>10Y Treasury</v>
      </c>
      <c r="C7" s="29" t="n">
        <f aca="false">Portfolio!C7*Portfolio!D7</f>
        <v>2.5</v>
      </c>
      <c r="D7" s="29" t="n">
        <f aca="false">Portfolio!C7*Assumptions!E13</f>
        <v>2.25</v>
      </c>
      <c r="E7" s="20" t="n">
        <f aca="false">MAX(0,Portfolio!E7-0.002)</f>
        <v>0.053</v>
      </c>
      <c r="F7" s="29" t="n">
        <f aca="false">Portfolio!C7*Portfolio!I7*(Portfolio!E7-E7)</f>
        <v>0.773001387093778</v>
      </c>
      <c r="G7" s="29" t="n">
        <f aca="false">C7-D7+F7</f>
        <v>1.02300138709378</v>
      </c>
    </row>
    <row r="8" customFormat="false" ht="15" hidden="false" customHeight="true" outlineLevel="0" collapsed="false">
      <c r="B8" s="1" t="str">
        <f aca="false">Portfolio!B8</f>
        <v>IG Corporate</v>
      </c>
      <c r="C8" s="29" t="n">
        <f aca="false">Portfolio!C8*Portfolio!D8</f>
        <v>2.7</v>
      </c>
      <c r="D8" s="29" t="n">
        <f aca="false">Portfolio!C8*Assumptions!E13</f>
        <v>2.025</v>
      </c>
      <c r="E8" s="20" t="n">
        <f aca="false">MAX(0,Portfolio!E8-0.002)</f>
        <v>0.066</v>
      </c>
      <c r="F8" s="29" t="n">
        <f aca="false">Portfolio!C8*Portfolio!I8*(Portfolio!E8-E8)</f>
        <v>0.503563471278034</v>
      </c>
      <c r="G8" s="29" t="n">
        <f aca="false">C8-D8+F8</f>
        <v>1.17856347127803</v>
      </c>
    </row>
    <row r="9" customFormat="false" ht="15" hidden="false" customHeight="true" outlineLevel="0" collapsed="false">
      <c r="B9" s="1" t="str">
        <f aca="false">Portfolio!B9</f>
        <v>HY Corporate</v>
      </c>
      <c r="C9" s="29" t="n">
        <f aca="false">Portfolio!C9*Portfolio!D9</f>
        <v>2.125</v>
      </c>
      <c r="D9" s="29" t="n">
        <f aca="false">Portfolio!C9*Assumptions!E13</f>
        <v>1.125</v>
      </c>
      <c r="E9" s="20" t="n">
        <f aca="false">MAX(0,Portfolio!E9-0.002)</f>
        <v>0.103</v>
      </c>
      <c r="F9" s="29" t="n">
        <f aca="false">Portfolio!C9*Portfolio!I9*(Portfolio!E9-E9)</f>
        <v>0.196507436516471</v>
      </c>
      <c r="G9" s="29" t="n">
        <f aca="false">C9-D9+F9</f>
        <v>1.19650743651647</v>
      </c>
    </row>
    <row r="10" customFormat="false" ht="15" hidden="false" customHeight="true" outlineLevel="0" collapsed="false">
      <c r="B10" s="1" t="str">
        <f aca="false">Portfolio!B10</f>
        <v>Municipal</v>
      </c>
      <c r="C10" s="29" t="n">
        <f aca="false">Portfolio!C10*Portfolio!D10</f>
        <v>0.8</v>
      </c>
      <c r="D10" s="29" t="n">
        <f aca="false">Portfolio!C10*Assumptions!E13</f>
        <v>0.9</v>
      </c>
      <c r="E10" s="20" t="n">
        <f aca="false">MAX(0,Portfolio!E10-0.002)</f>
        <v>0.044</v>
      </c>
      <c r="F10" s="29" t="n">
        <f aca="false">Portfolio!C10*Portfolio!I10*(Portfolio!E10-E10)</f>
        <v>0.374006054263371</v>
      </c>
      <c r="G10" s="29" t="n">
        <f aca="false">C10-D10+F10</f>
        <v>0.274006054263371</v>
      </c>
    </row>
    <row r="12" customFormat="false" ht="15" hidden="false" customHeight="true" outlineLevel="0" collapsed="false">
      <c r="B12" s="33" t="s">
        <v>206</v>
      </c>
      <c r="C12" s="34" t="n">
        <f aca="false">SUM(C5:C10)</f>
        <v>11.195</v>
      </c>
      <c r="D12" s="34" t="n">
        <f aca="false">SUM(D5:D10)</f>
        <v>9.45</v>
      </c>
      <c r="E12" s="34"/>
      <c r="F12" s="34" t="n">
        <f aca="false">SUM(F5:F10)</f>
        <v>2.31664090878493</v>
      </c>
      <c r="G12" s="34" t="n">
        <f aca="false">SUM(G5:G10)</f>
        <v>4.06164090878493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3"/>
    <col collapsed="false" customWidth="true" hidden="false" outlineLevel="0" max="8" min="8" style="1" width="16"/>
    <col collapsed="false" customWidth="true" hidden="false" outlineLevel="0" max="9" min="9" style="1" width="18"/>
  </cols>
  <sheetData>
    <row r="2" customFormat="false" ht="27.75" hidden="false" customHeight="true" outlineLevel="0" collapsed="false">
      <c r="B2" s="2" t="s">
        <v>207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208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  <c r="H4" s="16" t="s">
        <v>209</v>
      </c>
      <c r="I4" s="16" t="s">
        <v>210</v>
      </c>
    </row>
    <row r="5" customFormat="false" ht="15" hidden="false" customHeight="true" outlineLevel="0" collapsed="false">
      <c r="B5" s="1" t="s">
        <v>211</v>
      </c>
      <c r="C5" s="19" t="n">
        <v>0.01</v>
      </c>
      <c r="D5" s="19" t="n">
        <v>0.01</v>
      </c>
      <c r="E5" s="19" t="n">
        <v>0.01</v>
      </c>
      <c r="F5" s="19" t="n">
        <v>0.01</v>
      </c>
      <c r="G5" s="19" t="n">
        <v>0.01</v>
      </c>
      <c r="H5" s="19" t="n">
        <v>0</v>
      </c>
      <c r="I5" s="29" t="n">
        <f aca="false">-SUMPRODUCT('Key Rate Risk'!C12:G12,C5:G5)/0.0001-SUMPRODUCT(Portfolio!C5:C10,Portfolio!G5:G10)*H5</f>
        <v>-21.4917592680399</v>
      </c>
    </row>
    <row r="6" customFormat="false" ht="15" hidden="false" customHeight="true" outlineLevel="0" collapsed="false">
      <c r="B6" s="1" t="s">
        <v>212</v>
      </c>
      <c r="C6" s="19" t="n">
        <v>-0.01</v>
      </c>
      <c r="D6" s="19" t="n">
        <v>-0.01</v>
      </c>
      <c r="E6" s="19" t="n">
        <v>-0.01</v>
      </c>
      <c r="F6" s="19" t="n">
        <v>-0.01</v>
      </c>
      <c r="G6" s="19" t="n">
        <v>-0.01</v>
      </c>
      <c r="H6" s="19" t="n">
        <v>0</v>
      </c>
      <c r="I6" s="29" t="n">
        <f aca="false">-SUMPRODUCT('Key Rate Risk'!C12:G12,C6:G6)/0.0001-SUMPRODUCT(Portfolio!C5:C10,Portfolio!G5:G10)*H6</f>
        <v>21.4917592680399</v>
      </c>
    </row>
    <row r="7" customFormat="false" ht="15" hidden="false" customHeight="true" outlineLevel="0" collapsed="false">
      <c r="B7" s="1" t="s">
        <v>213</v>
      </c>
      <c r="C7" s="19" t="n">
        <v>0.005</v>
      </c>
      <c r="D7" s="19" t="n">
        <v>0.008</v>
      </c>
      <c r="E7" s="19" t="n">
        <v>0.012</v>
      </c>
      <c r="F7" s="19" t="n">
        <v>0.015</v>
      </c>
      <c r="G7" s="19" t="n">
        <v>0.018</v>
      </c>
      <c r="H7" s="19" t="n">
        <v>0.002</v>
      </c>
      <c r="I7" s="29" t="n">
        <f aca="false">-SUMPRODUCT('Key Rate Risk'!C12:G12,C7:G7)/0.0001-SUMPRODUCT(Portfolio!C5:C10,Portfolio!G5:G10)*H7</f>
        <v>-27.8556112567428</v>
      </c>
    </row>
    <row r="8" customFormat="false" ht="15" hidden="false" customHeight="true" outlineLevel="0" collapsed="false">
      <c r="B8" s="1" t="s">
        <v>214</v>
      </c>
      <c r="C8" s="19" t="n">
        <v>-0.012</v>
      </c>
      <c r="D8" s="19" t="n">
        <v>-0.01</v>
      </c>
      <c r="E8" s="19" t="n">
        <v>-0.008</v>
      </c>
      <c r="F8" s="19" t="n">
        <v>-0.006</v>
      </c>
      <c r="G8" s="19" t="n">
        <v>-0.005</v>
      </c>
      <c r="H8" s="19" t="n">
        <v>-0.001</v>
      </c>
      <c r="I8" s="29" t="n">
        <f aca="false">-SUMPRODUCT('Key Rate Risk'!C12:G12,C8:G8)/0.0001-SUMPRODUCT(Portfolio!C5:C10,Portfolio!G5:G10)*H8</f>
        <v>16.939900631065</v>
      </c>
    </row>
    <row r="9" customFormat="false" ht="15" hidden="false" customHeight="true" outlineLevel="0" collapsed="false">
      <c r="B9" s="1" t="s">
        <v>215</v>
      </c>
      <c r="C9" s="19" t="n">
        <v>0.002</v>
      </c>
      <c r="D9" s="19" t="n">
        <v>0.003</v>
      </c>
      <c r="E9" s="19" t="n">
        <v>0.004</v>
      </c>
      <c r="F9" s="19" t="n">
        <v>0.005</v>
      </c>
      <c r="G9" s="19" t="n">
        <v>0.005</v>
      </c>
      <c r="H9" s="19" t="n">
        <v>0.015</v>
      </c>
      <c r="I9" s="29" t="n">
        <f aca="false">-SUMPRODUCT('Key Rate Risk'!C12:G12,C9:G9)/0.0001-SUMPRODUCT(Portfolio!C5:C10,Portfolio!G5:G10)*H9</f>
        <v>-16.2011023062065</v>
      </c>
    </row>
    <row r="10" customFormat="false" ht="15" hidden="false" customHeight="true" outlineLevel="0" collapsed="false">
      <c r="B10" s="1" t="s">
        <v>216</v>
      </c>
      <c r="C10" s="19" t="n">
        <v>-0.008</v>
      </c>
      <c r="D10" s="19" t="n">
        <v>-0.01</v>
      </c>
      <c r="E10" s="19" t="n">
        <v>-0.012</v>
      </c>
      <c r="F10" s="19" t="n">
        <v>-0.01</v>
      </c>
      <c r="G10" s="19" t="n">
        <v>-0.008</v>
      </c>
      <c r="H10" s="19" t="n">
        <v>0.02</v>
      </c>
      <c r="I10" s="29" t="n">
        <f aca="false">-SUMPRODUCT('Key Rate Risk'!C12:G12,C10:G10)/0.0001-SUMPRODUCT(Portfolio!C5:C10,Portfolio!G5:G10)*H10</f>
        <v>12.6273932949982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38"/>
  </cols>
  <sheetData>
    <row r="2" customFormat="false" ht="27.75" hidden="false" customHeight="true" outlineLevel="0" collapsed="false">
      <c r="B2" s="2" t="s">
        <v>217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218</v>
      </c>
      <c r="C4" s="16" t="s">
        <v>219</v>
      </c>
      <c r="D4" s="16" t="s">
        <v>220</v>
      </c>
      <c r="E4" s="16" t="s">
        <v>221</v>
      </c>
      <c r="F4" s="16" t="s">
        <v>222</v>
      </c>
    </row>
    <row r="5" customFormat="false" ht="15" hidden="false" customHeight="true" outlineLevel="0" collapsed="false">
      <c r="B5" s="1" t="s">
        <v>223</v>
      </c>
      <c r="C5" s="29" t="n">
        <f aca="false">'Carry &amp; Roll'!C12-'Carry &amp; Roll'!D12</f>
        <v>1.745</v>
      </c>
      <c r="D5" s="36" t="n">
        <v>1</v>
      </c>
      <c r="E5" s="29" t="n">
        <f aca="false">C5*D5</f>
        <v>1.745</v>
      </c>
      <c r="F5" s="1" t="s">
        <v>224</v>
      </c>
    </row>
    <row r="6" customFormat="false" ht="15" hidden="false" customHeight="true" outlineLevel="0" collapsed="false">
      <c r="B6" s="1" t="s">
        <v>225</v>
      </c>
      <c r="C6" s="29" t="n">
        <f aca="false">'Carry &amp; Roll'!F12</f>
        <v>2.31664090878493</v>
      </c>
      <c r="D6" s="36" t="n">
        <v>1</v>
      </c>
      <c r="E6" s="29" t="n">
        <f aca="false">C6*D6</f>
        <v>2.31664090878493</v>
      </c>
      <c r="F6" s="1" t="s">
        <v>226</v>
      </c>
    </row>
    <row r="7" customFormat="false" ht="15" hidden="false" customHeight="true" outlineLevel="0" collapsed="false">
      <c r="B7" s="1" t="s">
        <v>227</v>
      </c>
      <c r="C7" s="29" t="n">
        <f aca="false">-Portfolio!K12/0.0001</f>
        <v>-1158.32045439246</v>
      </c>
      <c r="D7" s="19" t="n">
        <v>0.0005</v>
      </c>
      <c r="E7" s="29" t="n">
        <f aca="false">C7*D7</f>
        <v>-0.579160227196231</v>
      </c>
      <c r="F7" s="1" t="s">
        <v>228</v>
      </c>
    </row>
    <row r="8" customFormat="false" ht="15" hidden="false" customHeight="true" outlineLevel="0" collapsed="false">
      <c r="B8" s="1" t="s">
        <v>229</v>
      </c>
      <c r="C8" s="29" t="n">
        <f aca="false">-('Key Rate Risk'!C12*0.0002+'Key Rate Risk'!D12*0.0001-'Key Rate Risk'!F12*0.0001)/0.0001</f>
        <v>-0.00953109863953892</v>
      </c>
      <c r="D8" s="36" t="n">
        <v>1</v>
      </c>
      <c r="E8" s="29" t="n">
        <f aca="false">C8*D8</f>
        <v>-0.00953109863953892</v>
      </c>
      <c r="F8" s="1" t="s">
        <v>230</v>
      </c>
    </row>
    <row r="9" customFormat="false" ht="15" hidden="false" customHeight="true" outlineLevel="0" collapsed="false">
      <c r="B9" s="1" t="s">
        <v>209</v>
      </c>
      <c r="C9" s="29" t="n">
        <f aca="false">-SUMPRODUCT(Portfolio!C5:C10,Portfolio!G5:G10)</f>
        <v>-492.5</v>
      </c>
      <c r="D9" s="19" t="n">
        <v>0.0015</v>
      </c>
      <c r="E9" s="29" t="n">
        <f aca="false">C9*D9</f>
        <v>-0.73875</v>
      </c>
      <c r="F9" s="1" t="s">
        <v>231</v>
      </c>
    </row>
    <row r="10" customFormat="false" ht="15" hidden="false" customHeight="true" outlineLevel="0" collapsed="false">
      <c r="B10" s="1" t="s">
        <v>184</v>
      </c>
      <c r="C10" s="29" t="n">
        <f aca="false">0.5*SUMPRODUCT(Portfolio!C5:C10,Portfolio!J5:J10)</f>
        <v>4496.45840873759</v>
      </c>
      <c r="D10" s="19" t="n">
        <v>2.5E-007</v>
      </c>
      <c r="E10" s="29" t="n">
        <f aca="false">C10*D10</f>
        <v>0.0011241146021844</v>
      </c>
      <c r="F10" s="1" t="s">
        <v>232</v>
      </c>
    </row>
    <row r="13" customFormat="false" ht="15" hidden="false" customHeight="true" outlineLevel="0" collapsed="false">
      <c r="B13" s="1" t="s">
        <v>233</v>
      </c>
      <c r="E13" s="29" t="n">
        <f aca="false">SUM(E5:E10)</f>
        <v>2.73532369755134</v>
      </c>
    </row>
    <row r="14" customFormat="false" ht="15" hidden="false" customHeight="true" outlineLevel="0" collapsed="false">
      <c r="B14" s="1" t="s">
        <v>234</v>
      </c>
      <c r="E14" s="28" t="n">
        <v>1.2</v>
      </c>
    </row>
    <row r="15" customFormat="false" ht="15" hidden="false" customHeight="true" outlineLevel="0" collapsed="false">
      <c r="B15" s="1" t="s">
        <v>235</v>
      </c>
      <c r="E15" s="29" t="n">
        <f aca="false">E14-E13</f>
        <v>-1.53532369755134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236</v>
      </c>
      <c r="C2" s="2"/>
    </row>
    <row r="4" customFormat="false" ht="15" hidden="false" customHeight="true" outlineLevel="0" collapsed="false">
      <c r="B4" s="16" t="s">
        <v>237</v>
      </c>
      <c r="C4" s="16" t="s">
        <v>44</v>
      </c>
    </row>
    <row r="5" customFormat="false" ht="15" hidden="false" customHeight="true" outlineLevel="0" collapsed="false">
      <c r="B5" s="1" t="s">
        <v>238</v>
      </c>
      <c r="C5" s="1" t="str">
        <f aca="false">IF('Bond Analytics'!C5&gt;0,"PASS","FAIL")</f>
        <v>PASS</v>
      </c>
    </row>
    <row r="6" customFormat="false" ht="15" hidden="false" customHeight="true" outlineLevel="0" collapsed="false">
      <c r="B6" s="1" t="s">
        <v>239</v>
      </c>
      <c r="C6" s="1" t="str">
        <f aca="false">IF('Bond Analytics'!C6&lt;'Bond Analytics'!C5,"PASS","FAIL")</f>
        <v>PASS</v>
      </c>
    </row>
    <row r="7" customFormat="false" ht="15" hidden="false" customHeight="true" outlineLevel="0" collapsed="false">
      <c r="B7" s="1" t="s">
        <v>240</v>
      </c>
      <c r="C7" s="1" t="str">
        <f aca="false">IF('Bond Analytics'!C8&gt;0,"PASS","FAIL")</f>
        <v>PASS</v>
      </c>
    </row>
    <row r="8" customFormat="false" ht="15" hidden="false" customHeight="true" outlineLevel="0" collapsed="false">
      <c r="B8" s="1" t="s">
        <v>241</v>
      </c>
      <c r="C8" s="1" t="str">
        <f aca="false">IF('Bond Analytics'!C9&gt;0,"PASS","FAIL")</f>
        <v>PASS</v>
      </c>
    </row>
    <row r="9" customFormat="false" ht="15" hidden="false" customHeight="true" outlineLevel="0" collapsed="false">
      <c r="B9" s="1" t="s">
        <v>242</v>
      </c>
      <c r="C9" s="1" t="str">
        <f aca="false">IF(ABS('Key Rate Risk'!H12-Portfolio!K12)&lt;0.1,"PASS","REVIEW")</f>
        <v>PASS</v>
      </c>
    </row>
    <row r="10" customFormat="false" ht="15" hidden="false" customHeight="true" outlineLevel="0" collapsed="false">
      <c r="B10" s="1" t="s">
        <v>243</v>
      </c>
      <c r="C10" s="1" t="str">
        <f aca="false">IF(MAX('Zero Curve'!F6:F14-'Zero Curve'!F5:F13)&lt;=0,"PASS","REVIEW")</f>
        <v>PASS</v>
      </c>
    </row>
    <row r="11" customFormat="false" ht="15" hidden="false" customHeight="true" outlineLevel="0" collapsed="false">
      <c r="B11" s="1" t="s">
        <v>244</v>
      </c>
      <c r="C11" s="1" t="str">
        <f aca="false">IF(COUNT('P&amp;L Explain'!E5:E10)=6,"PASS","FAIL")</f>
        <v>PASS</v>
      </c>
    </row>
    <row r="12" customFormat="false" ht="15" hidden="false" customHeight="true" outlineLevel="0" collapsed="false">
      <c r="B12" s="1" t="s">
        <v>245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246</v>
      </c>
      <c r="C2" s="2"/>
      <c r="D2" s="2"/>
      <c r="E2" s="2"/>
    </row>
    <row r="4" customFormat="false" ht="15" hidden="false" customHeight="true" outlineLevel="0" collapsed="false">
      <c r="B4" s="16" t="s">
        <v>247</v>
      </c>
      <c r="C4" s="16" t="s">
        <v>248</v>
      </c>
      <c r="D4" s="16" t="s">
        <v>110</v>
      </c>
      <c r="E4" s="16" t="s">
        <v>249</v>
      </c>
    </row>
    <row r="5" customFormat="false" ht="15" hidden="false" customHeight="true" outlineLevel="0" collapsed="false">
      <c r="B5" s="37" t="s">
        <v>250</v>
      </c>
      <c r="C5" s="37" t="s">
        <v>251</v>
      </c>
      <c r="D5" s="37" t="s">
        <v>8</v>
      </c>
      <c r="E5" s="37" t="s">
        <v>252</v>
      </c>
    </row>
    <row r="6" customFormat="false" ht="15" hidden="false" customHeight="true" outlineLevel="0" collapsed="false">
      <c r="B6" s="37" t="s">
        <v>253</v>
      </c>
      <c r="C6" s="37" t="s">
        <v>254</v>
      </c>
      <c r="D6" s="37" t="s">
        <v>255</v>
      </c>
      <c r="E6" s="37" t="s">
        <v>256</v>
      </c>
    </row>
    <row r="7" customFormat="false" ht="15" hidden="false" customHeight="true" outlineLevel="0" collapsed="false">
      <c r="B7" s="37" t="s">
        <v>257</v>
      </c>
      <c r="C7" s="37" t="s">
        <v>258</v>
      </c>
      <c r="D7" s="37" t="s">
        <v>255</v>
      </c>
      <c r="E7" s="37" t="s">
        <v>259</v>
      </c>
    </row>
    <row r="8" customFormat="false" ht="15" hidden="false" customHeight="true" outlineLevel="0" collapsed="false">
      <c r="B8" s="37" t="s">
        <v>260</v>
      </c>
      <c r="C8" s="37" t="s">
        <v>261</v>
      </c>
      <c r="D8" s="37" t="s">
        <v>8</v>
      </c>
      <c r="E8" s="37" t="s">
        <v>262</v>
      </c>
    </row>
    <row r="9" customFormat="false" ht="15" hidden="false" customHeight="true" outlineLevel="0" collapsed="false">
      <c r="B9" s="37" t="s">
        <v>263</v>
      </c>
      <c r="C9" s="37" t="s">
        <v>264</v>
      </c>
      <c r="D9" s="37" t="s">
        <v>255</v>
      </c>
      <c r="E9" s="37" t="s">
        <v>265</v>
      </c>
    </row>
    <row r="10" customFormat="false" ht="15" hidden="false" customHeight="false" outlineLevel="0" collapsed="false">
      <c r="B10" s="38" t="s">
        <v>266</v>
      </c>
      <c r="C10" s="38" t="s">
        <v>267</v>
      </c>
      <c r="D10" s="38" t="s">
        <v>6</v>
      </c>
      <c r="E10" s="38" t="s">
        <v>268</v>
      </c>
    </row>
    <row r="11" customFormat="false" ht="15" hidden="false" customHeight="false" outlineLevel="0" collapsed="false">
      <c r="B11" s="38" t="s">
        <v>269</v>
      </c>
      <c r="C11" s="38" t="s">
        <v>270</v>
      </c>
      <c r="D11" s="38" t="s">
        <v>6</v>
      </c>
      <c r="E11" s="38" t="s">
        <v>271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272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273</v>
      </c>
      <c r="D4" s="16" t="s">
        <v>274</v>
      </c>
      <c r="E4" s="16" t="s">
        <v>275</v>
      </c>
      <c r="F4" s="16" t="s">
        <v>276</v>
      </c>
      <c r="G4" s="16" t="s">
        <v>277</v>
      </c>
    </row>
    <row r="5" customFormat="false" ht="15" hidden="false" customHeight="true" outlineLevel="0" collapsed="false">
      <c r="B5" s="39" t="s">
        <v>278</v>
      </c>
      <c r="C5" s="39" t="s">
        <v>279</v>
      </c>
      <c r="D5" s="39" t="s">
        <v>270</v>
      </c>
      <c r="E5" s="39" t="s">
        <v>280</v>
      </c>
      <c r="F5" s="39" t="s">
        <v>281</v>
      </c>
      <c r="G5" s="39" t="s">
        <v>282</v>
      </c>
    </row>
    <row r="6" customFormat="false" ht="15" hidden="false" customHeight="true" outlineLevel="0" collapsed="false">
      <c r="B6" s="39"/>
      <c r="C6" s="39"/>
      <c r="D6" s="39"/>
      <c r="E6" s="39"/>
      <c r="F6" s="39"/>
      <c r="G6" s="39"/>
    </row>
    <row r="7" customFormat="false" ht="15" hidden="false" customHeight="true" outlineLevel="0" collapsed="false">
      <c r="B7" s="39"/>
      <c r="C7" s="39"/>
      <c r="D7" s="39"/>
      <c r="E7" s="39"/>
      <c r="F7" s="39"/>
      <c r="G7" s="39"/>
    </row>
    <row r="8" customFormat="false" ht="15" hidden="false" customHeight="true" outlineLevel="0" collapsed="false">
      <c r="B8" s="39"/>
      <c r="C8" s="39"/>
      <c r="D8" s="39"/>
      <c r="E8" s="39"/>
      <c r="F8" s="39"/>
      <c r="G8" s="39"/>
    </row>
    <row r="9" customFormat="false" ht="15" hidden="false" customHeight="true" outlineLevel="0" collapsed="false">
      <c r="B9" s="39"/>
      <c r="C9" s="39"/>
      <c r="D9" s="39"/>
      <c r="E9" s="39"/>
      <c r="F9" s="39"/>
      <c r="G9" s="39"/>
    </row>
    <row r="10" customFormat="false" ht="15" hidden="false" customHeight="true" outlineLevel="0" collapsed="false">
      <c r="B10" s="39"/>
      <c r="C10" s="39"/>
      <c r="D10" s="39"/>
      <c r="E10" s="39"/>
      <c r="F10" s="39"/>
      <c r="G10" s="39"/>
    </row>
    <row r="11" customFormat="false" ht="15" hidden="false" customHeight="true" outlineLevel="0" collapsed="false">
      <c r="B11" s="39"/>
      <c r="C11" s="39"/>
      <c r="D11" s="39"/>
      <c r="E11" s="39"/>
      <c r="F11" s="39"/>
      <c r="G11" s="39"/>
    </row>
    <row r="12" customFormat="false" ht="15" hidden="false" customHeight="true" outlineLevel="0" collapsed="false">
      <c r="B12" s="39"/>
      <c r="C12" s="39"/>
      <c r="D12" s="39"/>
      <c r="E12" s="39"/>
      <c r="F12" s="39"/>
      <c r="G12" s="39"/>
    </row>
    <row r="13" customFormat="false" ht="15" hidden="false" customHeight="true" outlineLevel="0" collapsed="false">
      <c r="B13" s="39"/>
      <c r="C13" s="39"/>
      <c r="D13" s="39"/>
      <c r="E13" s="39"/>
      <c r="F13" s="39"/>
      <c r="G13" s="39"/>
    </row>
    <row r="14" customFormat="false" ht="15" hidden="false" customHeight="true" outlineLevel="0" collapsed="false">
      <c r="B14" s="39"/>
      <c r="C14" s="39"/>
      <c r="D14" s="39"/>
      <c r="E14" s="39"/>
      <c r="F14" s="39"/>
      <c r="G14" s="39"/>
    </row>
    <row r="15" customFormat="false" ht="15" hidden="false" customHeight="true" outlineLevel="0" collapsed="false">
      <c r="B15" s="39"/>
      <c r="C15" s="39"/>
      <c r="D15" s="39"/>
      <c r="E15" s="39"/>
      <c r="F15" s="39"/>
      <c r="G15" s="39"/>
    </row>
    <row r="16" customFormat="false" ht="15" hidden="false" customHeight="true" outlineLevel="0" collapsed="false">
      <c r="B16" s="39"/>
      <c r="C16" s="39"/>
      <c r="D16" s="39"/>
      <c r="E16" s="39"/>
      <c r="F16" s="39"/>
      <c r="G16" s="39"/>
    </row>
    <row r="17" customFormat="false" ht="15" hidden="false" customHeight="true" outlineLevel="0" collapsed="false">
      <c r="B17" s="39"/>
      <c r="C17" s="39"/>
      <c r="D17" s="39"/>
      <c r="E17" s="39"/>
      <c r="F17" s="39"/>
      <c r="G17" s="39"/>
    </row>
    <row r="18" customFormat="false" ht="15" hidden="false" customHeight="true" outlineLevel="0" collapsed="false">
      <c r="B18" s="39"/>
      <c r="C18" s="39"/>
      <c r="D18" s="39"/>
      <c r="E18" s="39"/>
      <c r="F18" s="39"/>
      <c r="G18" s="39"/>
    </row>
    <row r="19" customFormat="false" ht="15" hidden="false" customHeight="true" outlineLevel="0" collapsed="false">
      <c r="B19" s="39"/>
      <c r="C19" s="39"/>
      <c r="D19" s="39"/>
      <c r="E19" s="39"/>
      <c r="F19" s="39"/>
      <c r="G19" s="39"/>
    </row>
    <row r="20" customFormat="false" ht="15" hidden="false" customHeight="true" outlineLevel="0" collapsed="false">
      <c r="B20" s="39"/>
      <c r="C20" s="39"/>
      <c r="D20" s="39"/>
      <c r="E20" s="39"/>
      <c r="F20" s="39"/>
      <c r="G20" s="39"/>
    </row>
    <row r="21" customFormat="false" ht="15" hidden="false" customHeight="true" outlineLevel="0" collapsed="false">
      <c r="B21" s="39"/>
      <c r="C21" s="39"/>
      <c r="D21" s="39"/>
      <c r="E21" s="39"/>
      <c r="F21" s="39"/>
      <c r="G21" s="39"/>
    </row>
    <row r="22" customFormat="false" ht="15" hidden="false" customHeight="true" outlineLevel="0" collapsed="false">
      <c r="B22" s="39"/>
      <c r="C22" s="39"/>
      <c r="D22" s="39"/>
      <c r="E22" s="39"/>
      <c r="F22" s="39"/>
      <c r="G22" s="39"/>
    </row>
    <row r="23" customFormat="false" ht="15" hidden="false" customHeight="true" outlineLevel="0" collapsed="false">
      <c r="B23" s="39"/>
      <c r="C23" s="39"/>
      <c r="D23" s="39"/>
      <c r="E23" s="39"/>
      <c r="F23" s="39"/>
      <c r="G23" s="39"/>
    </row>
    <row r="24" customFormat="false" ht="15" hidden="false" customHeight="true" outlineLevel="0" collapsed="false">
      <c r="B24" s="39"/>
      <c r="C24" s="39"/>
      <c r="D24" s="39"/>
      <c r="E24" s="39"/>
      <c r="F24" s="39"/>
      <c r="G24" s="39"/>
    </row>
    <row r="25" customFormat="false" ht="15" hidden="false" customHeight="true" outlineLevel="0" collapsed="false">
      <c r="B25" s="39"/>
      <c r="C25" s="39"/>
      <c r="D25" s="39"/>
      <c r="E25" s="39"/>
      <c r="F25" s="39"/>
      <c r="G25" s="39"/>
    </row>
    <row r="26" customFormat="false" ht="15" hidden="false" customHeight="true" outlineLevel="0" collapsed="false">
      <c r="B26" s="39"/>
      <c r="C26" s="39"/>
      <c r="D26" s="39"/>
      <c r="E26" s="39"/>
      <c r="F26" s="39"/>
      <c r="G26" s="39"/>
    </row>
    <row r="27" customFormat="false" ht="15" hidden="false" customHeight="true" outlineLevel="0" collapsed="false">
      <c r="B27" s="39"/>
      <c r="C27" s="39"/>
      <c r="D27" s="39"/>
      <c r="E27" s="39"/>
      <c r="F27" s="39"/>
      <c r="G27" s="39"/>
    </row>
    <row r="28" customFormat="false" ht="15" hidden="false" customHeight="true" outlineLevel="0" collapsed="false">
      <c r="B28" s="39"/>
      <c r="C28" s="39"/>
      <c r="D28" s="39"/>
      <c r="E28" s="39"/>
      <c r="F28" s="39"/>
      <c r="G28" s="39"/>
    </row>
    <row r="29" customFormat="false" ht="15" hidden="false" customHeight="true" outlineLevel="0" collapsed="false">
      <c r="B29" s="39"/>
      <c r="C29" s="39"/>
      <c r="D29" s="39"/>
      <c r="E29" s="39"/>
      <c r="F29" s="39"/>
      <c r="G29" s="39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2026-08-04T18:30:41Z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