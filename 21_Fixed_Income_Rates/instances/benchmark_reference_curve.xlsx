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Zero Curve" sheetId="3" state="visible" r:id="rId5"/>
    <sheet name="Bond Analytics" sheetId="4" state="visible" r:id="rId6"/>
    <sheet name="Portfolio" sheetId="5" state="visible" r:id="rId7"/>
    <sheet name="Key Rate Risk" sheetId="6" state="visible" r:id="rId8"/>
    <sheet name="Carry &amp; Roll" sheetId="7" state="visible" r:id="rId9"/>
    <sheet name="Scenarios" sheetId="8" state="visible" r:id="rId10"/>
    <sheet name="P&amp;L Explain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<sst xmlns="http://schemas.openxmlformats.org/spreadsheetml/2006/main" count="216" uniqueCount="181">
  <si>
    <t xml:space="preserve">[PORTFOLIO / SECURITY] — Fixed Income &amp; Rates Model</t>
  </si>
  <si>
    <t xml:space="preserve">Portfolio / security:</t>
  </si>
  <si>
    <t xml:space="preserve">Reference Rates and Credit Portfolio</t>
  </si>
  <si>
    <t xml:space="preserve">Currency / curve:</t>
  </si>
  <si>
    <t xml:space="preserve">[Currency and benchmark]</t>
  </si>
  <si>
    <t xml:space="preserve">Last refreshed:</t>
  </si>
  <si>
    <t xml:space="preserve">2026-08-03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</si>
  <si>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</si>
  <si>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</si>
  <si>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</si>
  <si>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</si>
  <si>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</si>
  <si>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Base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</si>
  <si>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</si>
  <si>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</si>
  <si>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</si>
  <si>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</si>
  <si>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</si>
  <si>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</si>
  <si>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</si>
  <si>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</si>
  <si>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</si>
  <si>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</si>
  <si>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</si>
  <si>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</si>
  <si>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</si>
  <si>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</si>
  <si>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</si>
  <si>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</si>
  <si>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</si>
  <si>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</si>
  <si>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</si>
  <si>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</si>
  <si>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</si>
  <si>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</si>
  <si>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</si>
  <si>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</si>
  <si>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</si>
  <si>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</si>
  <si>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</si>
  <si>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</si>
  <si>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</si>
  <si>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</si>
  <si>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</si>
  <si>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</si>
  <si>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</si>
  <si>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</si>
  <si>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</si>
  <si>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</si>
  <si>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</si>
  <si>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</si>
  <si>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</si>
  <si>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</si>
  <si>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</si>
  <si>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</si>
  <si>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</si>
  <si>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</si>
  <si>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</si>
  <si>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</si>
  <si>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</si>
  <si>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</si>
  <si>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</si>
  <si>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</si>
  <si>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</si>
  <si>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</si>
  <si>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</si>
  <si>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</si>
  <si>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</si>
  <si>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</si>
  <si>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</si>
  <si>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</si>
  <si>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</si>
  <si>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</si>
  <si>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</si>
  <si>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</si>
  <si>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</si>
  <si>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</si>
  <si>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</si>
  <si>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</si>
  <si>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</si>
  <si>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</si>
  <si>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</si>
  <si>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</si>
  <si>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</si>
  <si>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</si>
  <si>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</si>
  <si>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</si>
  <si>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</si>
  <si>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</si>
  <si>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</si>
  <si>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</si>
  <si>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</si>
  <si>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</si>
  <si>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</si>
  <si>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</si>
  <si>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</si>
  <si>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</si>
  <si>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</si>
  <si>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</si>
  <si>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</si>
  <si>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</si>
  <si>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</si>
  <si>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</si>
  <si>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</si>
  <si>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</si>
  <si>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</si>
  <si>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</si>
  <si>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</si>
  <si>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</si>
  <si>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</si>
  <si>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</si>
  <si>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</si>
  <si>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</si>
  <si>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</si>
  <si>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</si>
  <si>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</si>
  <si>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</si>
  <si>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</si>
  <si>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</si>
  <si>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</si>
  <si>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</si>
  <si>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</si>
  <si>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</si>
  <si>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</si>
  <si>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</si>
  <si>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</si>
  <si>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</si>
  <si>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</si>
  <si>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</si>
  <si>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</si>
  <si>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</si>
  <si>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</si>
  <si>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</si>
  <si>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</si>
  <si>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</si>
  <si>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</si>
  <si>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</si>
  <si>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Status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</si>
  <si>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</si>
  <si>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</si>
  <si>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</si>
  <si>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</si>
  <si>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</si>
  <si>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</si>
  <si>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</si>
  <si>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</si>
  <si>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</si>
  <si>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</si>
  <si>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</si>
  <si>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</si>
  <si>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</si>
  <si>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</si>
  <si>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</si>
  <si>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</si>
  <si>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</si>
  <si>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</si>
  <si>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</si>
  <si>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</si>
  <si>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</si>
  <si>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</si>
  <si>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</si>
  <si>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</si>
  <si>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</si>
  <si>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</si>
  <si>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</si>
  <si>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</si>
  <si>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</si>
  <si>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Finance-Segway benchmark fixture rates-reference-curve</t>
  </si>
  <si>
    <t xml:space="preserve">repo://standards/benchmark_cases/rates-reference-curve.json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</si>
  <si>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</si>
  <si>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</si>
  <si>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</si>
  <si>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</si>
  <si>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</si>
  <si>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</si>
  <si>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</si>
  <si>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</si>
  <si>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</si>
  <si>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rates-reference-curve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</si>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</sst>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12</v>
      </c>
      <c r="D4" s="10" t="s">
        <v>26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1000</v>
      </c>
      <c r="D5" s="11" t="n">
        <v>1000</v>
      </c>
      <c r="E5" s="12" t="n">
        <f aca="false">IF(Cover!$C$9="Downside",D5,C5)</f>
        <v>1000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3" t="n">
        <v>0.05</v>
      </c>
      <c r="D6" s="14" t="n">
        <v>0.05</v>
      </c>
      <c r="E6" s="15" t="n">
        <f aca="false">IF(Cover!$C$9="Downside",D6,C6)</f>
        <v>0.05</v>
      </c>
      <c r="F6" s="1" t="s">
        <v>32</v>
      </c>
    </row>
    <row r="7" customFormat="false" ht="15" hidden="false" customHeight="true" outlineLevel="0" collapsed="false">
      <c r="B7" s="1" t="s">
        <v>33</v>
      </c>
      <c r="C7" s="13" t="n">
        <v>0.055</v>
      </c>
      <c r="D7" s="14" t="n">
        <v>0.07</v>
      </c>
      <c r="E7" s="15" t="n">
        <f aca="false">IF(Cover!$C$9="Downside",D7,C7)</f>
        <v>0.055</v>
      </c>
      <c r="F7" s="1" t="s">
        <v>32</v>
      </c>
    </row>
    <row r="8" customFormat="false" ht="15" hidden="false" customHeight="true" outlineLevel="0" collapsed="false">
      <c r="B8" s="1" t="s">
        <v>34</v>
      </c>
      <c r="C8" s="16" t="n">
        <v>10</v>
      </c>
      <c r="D8" s="17" t="n">
        <v>10</v>
      </c>
      <c r="E8" s="18" t="n">
        <f aca="false">IF(Cover!$C$9="Downside",D8,C8)</f>
        <v>10</v>
      </c>
      <c r="F8" s="1" t="s">
        <v>35</v>
      </c>
    </row>
    <row r="9" customFormat="false" ht="15" hidden="false" customHeight="true" outlineLevel="0" collapsed="false">
      <c r="B9" s="1" t="s">
        <v>36</v>
      </c>
      <c r="C9" s="19" t="n">
        <v>2</v>
      </c>
      <c r="D9" s="19" t="n">
        <v>2</v>
      </c>
      <c r="E9" s="20" t="n">
        <f aca="false">IF(Cover!$C$9="Downside",D9,C9)</f>
        <v>2</v>
      </c>
      <c r="F9" s="1" t="s">
        <v>37</v>
      </c>
    </row>
    <row r="10" customFormat="false" ht="15" hidden="false" customHeight="true" outlineLevel="0" collapsed="false">
      <c r="B10" s="1" t="s">
        <v>38</v>
      </c>
      <c r="C10" s="14" t="n">
        <v>0.01</v>
      </c>
      <c r="D10" s="14" t="n">
        <v>0.02</v>
      </c>
      <c r="E10" s="15" t="n">
        <f aca="false">IF(Cover!$C$9="Downside",D10,C10)</f>
        <v>0.01</v>
      </c>
      <c r="F10" s="1" t="s">
        <v>32</v>
      </c>
    </row>
    <row r="11" customFormat="false" ht="15" hidden="false" customHeight="true" outlineLevel="0" collapsed="false">
      <c r="B11" s="1" t="s">
        <v>39</v>
      </c>
      <c r="C11" s="21" t="n">
        <v>0.0001</v>
      </c>
      <c r="D11" s="21" t="n">
        <v>0.0001</v>
      </c>
      <c r="E11" s="22" t="n">
        <f aca="false">IF(Cover!$C$9="Downside",D11,C11)</f>
        <v>0.0001</v>
      </c>
      <c r="F11" s="1" t="s">
        <v>32</v>
      </c>
    </row>
    <row r="12" customFormat="false" ht="15" hidden="false" customHeight="true" outlineLevel="0" collapsed="false">
      <c r="B12" s="1" t="s">
        <v>40</v>
      </c>
      <c r="C12" s="17" t="n">
        <v>1</v>
      </c>
      <c r="D12" s="17" t="n">
        <v>1</v>
      </c>
      <c r="E12" s="18" t="n">
        <f aca="false">IF(Cover!$C$9="Downside",D12,C12)</f>
        <v>1</v>
      </c>
      <c r="F12" s="1" t="s">
        <v>35</v>
      </c>
    </row>
    <row r="13" customFormat="false" ht="15" hidden="false" customHeight="true" outlineLevel="0" collapsed="false">
      <c r="B13" s="1" t="s">
        <v>41</v>
      </c>
      <c r="C13" s="14" t="n">
        <v>0.045</v>
      </c>
      <c r="D13" s="14" t="n">
        <v>0.06</v>
      </c>
      <c r="E13" s="15" t="n">
        <f aca="false">IF(Cover!$C$9="Downside",D13,C13)</f>
        <v>0.045</v>
      </c>
      <c r="F13" s="1" t="s">
        <v>32</v>
      </c>
    </row>
    <row r="14" customFormat="false" ht="15" hidden="false" customHeight="true" outlineLevel="0" collapsed="false">
      <c r="B14" s="1" t="s">
        <v>42</v>
      </c>
      <c r="C14" s="23" t="n">
        <v>75</v>
      </c>
      <c r="D14" s="24" t="n">
        <v>50</v>
      </c>
      <c r="E14" s="25" t="n">
        <f aca="false">IF(Cover!$C$9="Downside",D14,C14)</f>
        <v>75</v>
      </c>
      <c r="F14" s="1" t="s">
        <v>43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44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45</v>
      </c>
      <c r="C4" s="10" t="s">
        <v>46</v>
      </c>
      <c r="D4" s="10" t="s">
        <v>47</v>
      </c>
      <c r="E4" s="10" t="s">
        <v>48</v>
      </c>
      <c r="F4" s="10" t="s">
        <v>49</v>
      </c>
      <c r="G4" s="10" t="s">
        <v>50</v>
      </c>
    </row>
    <row r="5" customFormat="false" ht="15" hidden="false" customHeight="true" outlineLevel="0" collapsed="false">
      <c r="B5" s="26" t="n">
        <v>0.25</v>
      </c>
      <c r="C5" s="14" t="n">
        <v>0.048</v>
      </c>
      <c r="D5" s="14" t="n">
        <v>0.053</v>
      </c>
      <c r="E5" s="15" t="n">
        <f aca="false">IF(Cover!$C$9="Downside",D5,C5)</f>
        <v>0.048</v>
      </c>
      <c r="F5" s="27" t="n">
        <f aca="false">EXP(-E5*B5)</f>
        <v>0.988071712861931</v>
      </c>
      <c r="G5" s="15" t="n">
        <f aca="false">E5</f>
        <v>0.048</v>
      </c>
    </row>
    <row r="6" customFormat="false" ht="15" hidden="false" customHeight="true" outlineLevel="0" collapsed="false">
      <c r="B6" s="26" t="n">
        <v>0.5</v>
      </c>
      <c r="C6" s="14" t="n">
        <v>0.047</v>
      </c>
      <c r="D6" s="14" t="n">
        <v>0.052</v>
      </c>
      <c r="E6" s="15" t="n">
        <f aca="false">IF(Cover!$C$9="Downside",D6,C6)</f>
        <v>0.047</v>
      </c>
      <c r="F6" s="27" t="n">
        <f aca="false">EXP(-E6*B6)</f>
        <v>0.976773974668844</v>
      </c>
      <c r="G6" s="15" t="n">
        <f aca="false">IFERROR(-LN(F6/F5)/(B6-B5),0)</f>
        <v>0.0459999999999999</v>
      </c>
    </row>
    <row r="7" customFormat="false" ht="15" hidden="false" customHeight="true" outlineLevel="0" collapsed="false">
      <c r="B7" s="26" t="n">
        <v>1</v>
      </c>
      <c r="C7" s="14" t="n">
        <v>0.045</v>
      </c>
      <c r="D7" s="14" t="n">
        <v>0.05</v>
      </c>
      <c r="E7" s="15" t="n">
        <f aca="false">IF(Cover!$C$9="Downside",D7,C7)</f>
        <v>0.045</v>
      </c>
      <c r="F7" s="27" t="n">
        <f aca="false">EXP(-E7*B7)</f>
        <v>0.9559974818331</v>
      </c>
      <c r="G7" s="15" t="n">
        <f aca="false">IFERROR(-LN(F7/F6)/(B7-B6),0)</f>
        <v>0.0429999999999999</v>
      </c>
    </row>
    <row r="8" customFormat="false" ht="15" hidden="false" customHeight="true" outlineLevel="0" collapsed="false">
      <c r="B8" s="26" t="n">
        <v>2</v>
      </c>
      <c r="C8" s="14" t="n">
        <v>0.043</v>
      </c>
      <c r="D8" s="14" t="n">
        <v>0.048</v>
      </c>
      <c r="E8" s="15" t="n">
        <f aca="false">IF(Cover!$C$9="Downside",D8,C8)</f>
        <v>0.043</v>
      </c>
      <c r="F8" s="27" t="n">
        <f aca="false">EXP(-E8*B8)</f>
        <v>0.917594231220151</v>
      </c>
      <c r="G8" s="15" t="n">
        <f aca="false">IFERROR(-LN(F8/F7)/(B8-B7),0)</f>
        <v>0.0410000000000001</v>
      </c>
    </row>
    <row r="9" customFormat="false" ht="15" hidden="false" customHeight="true" outlineLevel="0" collapsed="false">
      <c r="B9" s="26" t="n">
        <v>3</v>
      </c>
      <c r="C9" s="14" t="n">
        <v>0.042</v>
      </c>
      <c r="D9" s="14" t="n">
        <v>0.047</v>
      </c>
      <c r="E9" s="15" t="n">
        <f aca="false">IF(Cover!$C$9="Downside",D9,C9)</f>
        <v>0.042</v>
      </c>
      <c r="F9" s="27" t="n">
        <f aca="false">EXP(-E9*B9)</f>
        <v>0.881614846783416</v>
      </c>
      <c r="G9" s="15" t="n">
        <f aca="false">IFERROR(-LN(F9/F8)/(B9-B8),0)</f>
        <v>0.0399999999999999</v>
      </c>
    </row>
    <row r="10" customFormat="false" ht="15" hidden="false" customHeight="true" outlineLevel="0" collapsed="false">
      <c r="B10" s="26" t="n">
        <v>5</v>
      </c>
      <c r="C10" s="14" t="n">
        <v>0.043</v>
      </c>
      <c r="D10" s="14" t="n">
        <v>0.055</v>
      </c>
      <c r="E10" s="15" t="n">
        <f aca="false">IF(Cover!$C$9="Downside",D10,C10)</f>
        <v>0.043</v>
      </c>
      <c r="F10" s="27" t="n">
        <f aca="false">EXP(-E10*B10)</f>
        <v>0.806541440177327</v>
      </c>
      <c r="G10" s="15" t="n">
        <f aca="false">IFERROR(-LN(F10/F9)/(B10-B9),0)</f>
        <v>0.0445</v>
      </c>
    </row>
    <row r="11" customFormat="false" ht="15" hidden="false" customHeight="true" outlineLevel="0" collapsed="false">
      <c r="B11" s="26" t="n">
        <v>7</v>
      </c>
      <c r="C11" s="14" t="n">
        <v>0.045</v>
      </c>
      <c r="D11" s="14" t="n">
        <v>0.057</v>
      </c>
      <c r="E11" s="15" t="n">
        <f aca="false">IF(Cover!$C$9="Downside",D11,C11)</f>
        <v>0.045</v>
      </c>
      <c r="F11" s="27" t="n">
        <f aca="false">EXP(-E11*B11)</f>
        <v>0.729788874269057</v>
      </c>
      <c r="G11" s="15" t="n">
        <f aca="false">IFERROR(-LN(F11/F10)/(B11-B10),0)</f>
        <v>0.05</v>
      </c>
    </row>
    <row r="12" customFormat="false" ht="15" hidden="false" customHeight="true" outlineLevel="0" collapsed="false">
      <c r="B12" s="26" t="n">
        <v>10</v>
      </c>
      <c r="C12" s="14" t="n">
        <v>0.047</v>
      </c>
      <c r="D12" s="14" t="n">
        <v>0.059</v>
      </c>
      <c r="E12" s="15" t="n">
        <f aca="false">IF(Cover!$C$9="Downside",D12,C12)</f>
        <v>0.047</v>
      </c>
      <c r="F12" s="27" t="n">
        <f aca="false">EXP(-E12*B12)</f>
        <v>0.625002268282701</v>
      </c>
      <c r="G12" s="15" t="n">
        <f aca="false">IFERROR(-LN(F12/F11)/(B12-B11),0)</f>
        <v>0.0516666666666667</v>
      </c>
    </row>
    <row r="13" customFormat="false" ht="15" hidden="false" customHeight="true" outlineLevel="0" collapsed="false">
      <c r="B13" s="26" t="n">
        <v>20</v>
      </c>
      <c r="C13" s="14" t="n">
        <v>0.049</v>
      </c>
      <c r="D13" s="14" t="n">
        <v>0.061</v>
      </c>
      <c r="E13" s="15" t="n">
        <f aca="false">IF(Cover!$C$9="Downside",D13,C13)</f>
        <v>0.049</v>
      </c>
      <c r="F13" s="27" t="n">
        <f aca="false">EXP(-E13*B13)</f>
        <v>0.3753110988514</v>
      </c>
      <c r="G13" s="15" t="n">
        <f aca="false">IFERROR(-LN(F13/F12)/(B13-B12),0)</f>
        <v>0.051</v>
      </c>
    </row>
    <row r="14" customFormat="false" ht="15" hidden="false" customHeight="true" outlineLevel="0" collapsed="false">
      <c r="B14" s="26" t="n">
        <v>30</v>
      </c>
      <c r="C14" s="14" t="n">
        <v>0.05</v>
      </c>
      <c r="D14" s="14" t="n">
        <v>0.062</v>
      </c>
      <c r="E14" s="15" t="n">
        <f aca="false">IF(Cover!$C$9="Downside",D14,C14)</f>
        <v>0.05</v>
      </c>
      <c r="F14" s="27" t="n">
        <f aca="false">EXP(-E14*B14)</f>
        <v>0.22313016014843</v>
      </c>
      <c r="G14" s="15" t="n">
        <f aca="false">IFERROR(-LN(F14/F13)/(B14-B13),0)</f>
        <v>0.052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51</v>
      </c>
      <c r="C2" s="2"/>
      <c r="D2" s="2"/>
      <c r="E2" s="2"/>
    </row>
    <row r="4" customFormat="false" ht="15" hidden="false" customHeight="true" outlineLevel="0" collapsed="false">
      <c r="B4" s="10" t="s">
        <v>52</v>
      </c>
      <c r="C4" s="10" t="s">
        <v>53</v>
      </c>
      <c r="D4" s="10" t="s">
        <v>54</v>
      </c>
      <c r="E4" s="10" t="s">
        <v>55</v>
      </c>
    </row>
    <row r="5" customFormat="false" ht="15" hidden="false" customHeight="true" outlineLevel="0" collapsed="false">
      <c r="B5" s="1" t="s">
        <v>56</v>
      </c>
      <c r="C5" s="12" t="n">
        <f aca="false">-PV(Assumptions!E7/Assumptions!E9,Assumptions!E8*Assumptions!E9,Assumptions!E5*Assumptions!E6/Assumptions!E9,Assumptions!E5)</f>
        <v>961.931869665561</v>
      </c>
      <c r="D5" s="1" t="s">
        <v>30</v>
      </c>
      <c r="E5" s="1" t="s">
        <v>57</v>
      </c>
    </row>
    <row r="6" customFormat="false" ht="15" hidden="false" customHeight="true" outlineLevel="0" collapsed="false">
      <c r="B6" s="1" t="s">
        <v>58</v>
      </c>
      <c r="C6" s="12" t="n">
        <f aca="false">-PV((Assumptions!E7+Assumptions!E11)/Assumptions!E9,Assumptions!E8*Assumptions!E9,Assumptions!E5*Assumptions!E6/Assumptions!E9,Assumptions!E5)</f>
        <v>961.188644691696</v>
      </c>
      <c r="D6" s="1" t="s">
        <v>30</v>
      </c>
      <c r="E6" s="1" t="s">
        <v>59</v>
      </c>
    </row>
    <row r="7" customFormat="false" ht="15" hidden="false" customHeight="true" outlineLevel="0" collapsed="false">
      <c r="B7" s="1" t="s">
        <v>60</v>
      </c>
      <c r="C7" s="12" t="n">
        <f aca="false">-PV((Assumptions!E7-Assumptions!E11)/Assumptions!E9,Assumptions!E8*Assumptions!E9,Assumptions!E5*Assumptions!E6/Assumptions!E9,Assumptions!E5)</f>
        <v>962.675794030779</v>
      </c>
      <c r="D7" s="1" t="s">
        <v>30</v>
      </c>
      <c r="E7" s="1" t="s">
        <v>59</v>
      </c>
    </row>
    <row r="8" customFormat="false" ht="15" hidden="false" customHeight="true" outlineLevel="0" collapsed="false">
      <c r="B8" s="1" t="s">
        <v>61</v>
      </c>
      <c r="C8" s="28" t="n">
        <f aca="false">IFERROR((C7-C6)/(2*C5*Assumptions!E11),0)</f>
        <v>7.73001387093792</v>
      </c>
      <c r="D8" s="1" t="s">
        <v>35</v>
      </c>
      <c r="E8" s="1" t="s">
        <v>62</v>
      </c>
    </row>
    <row r="9" customFormat="false" ht="15" hidden="false" customHeight="true" outlineLevel="0" collapsed="false">
      <c r="B9" s="1" t="s">
        <v>63</v>
      </c>
      <c r="C9" s="28" t="n">
        <f aca="false">IFERROR((C6+C7-2*C5)/(C5*Assumptions!E11^2),0)</f>
        <v>72.7069530665119</v>
      </c>
      <c r="D9" s="1" t="s">
        <v>64</v>
      </c>
      <c r="E9" s="1" t="s">
        <v>65</v>
      </c>
    </row>
    <row r="10" customFormat="false" ht="15" hidden="false" customHeight="true" outlineLevel="0" collapsed="false">
      <c r="B10" s="1" t="s">
        <v>66</v>
      </c>
      <c r="C10" s="12" t="n">
        <f aca="false">(C7-C6)/2</f>
        <v>0.743574669541204</v>
      </c>
      <c r="D10" s="1" t="s">
        <v>30</v>
      </c>
      <c r="E10" s="1" t="s">
        <v>67</v>
      </c>
    </row>
    <row r="11" customFormat="false" ht="15" hidden="false" customHeight="true" outlineLevel="0" collapsed="false">
      <c r="B11" s="1" t="s">
        <v>68</v>
      </c>
      <c r="C11" s="15" t="n">
        <f aca="false">Assumptions!E5*Assumptions!E6/C5</f>
        <v>0.0519787331896839</v>
      </c>
      <c r="D11" s="1" t="s">
        <v>32</v>
      </c>
      <c r="E11" s="1" t="s">
        <v>69</v>
      </c>
    </row>
    <row r="12" customFormat="false" ht="15" hidden="false" customHeight="true" outlineLevel="0" collapsed="false">
      <c r="B12" s="1" t="s">
        <v>70</v>
      </c>
      <c r="C12" s="12" t="n">
        <f aca="false">-PV((Assumptions!E7+Assumptions!E10)/Assumptions!E9,Assumptions!E8*Assumptions!E9,Assumptions!E5*Assumptions!E6/Assumptions!E9,Assumptions!E5)</f>
        <v>890.954903897993</v>
      </c>
      <c r="D12" s="1" t="s">
        <v>30</v>
      </c>
      <c r="E12" s="1" t="s">
        <v>71</v>
      </c>
    </row>
    <row r="13" customFormat="false" ht="15" hidden="false" customHeight="true" outlineLevel="0" collapsed="false">
      <c r="B13" s="1" t="s">
        <v>72</v>
      </c>
      <c r="C13" s="12" t="n">
        <f aca="false">C5*(1-C8*Assumptions!E10+0.5*C9*Assumptions!E10^2)</f>
        <v>891.071359476488</v>
      </c>
      <c r="D13" s="1" t="s">
        <v>30</v>
      </c>
      <c r="E13" s="1" t="s">
        <v>73</v>
      </c>
    </row>
    <row r="14" customFormat="false" ht="15" hidden="false" customHeight="true" outlineLevel="0" collapsed="false">
      <c r="B14" s="1" t="s">
        <v>74</v>
      </c>
      <c r="C14" s="12" t="n">
        <f aca="false">C12-C13</f>
        <v>-0.116455578494993</v>
      </c>
      <c r="D14" s="1" t="s">
        <v>30</v>
      </c>
      <c r="E14" s="1" t="s">
        <v>75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76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0" t="s">
        <v>77</v>
      </c>
      <c r="C4" s="10" t="s">
        <v>78</v>
      </c>
      <c r="D4" s="10" t="s">
        <v>79</v>
      </c>
      <c r="E4" s="10" t="s">
        <v>80</v>
      </c>
      <c r="F4" s="10" t="s">
        <v>34</v>
      </c>
      <c r="G4" s="10" t="s">
        <v>81</v>
      </c>
      <c r="H4" s="10" t="s">
        <v>56</v>
      </c>
      <c r="I4" s="10" t="s">
        <v>82</v>
      </c>
      <c r="J4" s="10" t="s">
        <v>83</v>
      </c>
      <c r="K4" s="10" t="s">
        <v>66</v>
      </c>
    </row>
    <row r="5" customFormat="false" ht="15" hidden="false" customHeight="true" outlineLevel="0" collapsed="false">
      <c r="B5" s="17" t="s">
        <v>84</v>
      </c>
      <c r="C5" s="24" t="n">
        <v>30</v>
      </c>
      <c r="D5" s="14" t="n">
        <v>0.045</v>
      </c>
      <c r="E5" s="14" t="n">
        <v>0.044</v>
      </c>
      <c r="F5" s="17" t="n">
        <v>2</v>
      </c>
      <c r="G5" s="17" t="n">
        <v>0</v>
      </c>
      <c r="H5" s="12" t="n">
        <f aca="false">-PV(E5/2,F5*2,100*D5/2,100)</f>
        <v>100.189466000932</v>
      </c>
      <c r="I5" s="28" t="n">
        <f aca="false">IFERROR(((-PV((E5-0.0001)/2,F5*2,100*D5/2,100))-(-PV((E5+0.0001)/2,F5*2,100*D5/2,100)))/(2*H5*0.0001),0)</f>
        <v>1.89336488133126</v>
      </c>
      <c r="J5" s="28" t="n">
        <f aca="false">IFERROR(((-PV((E5+0.0001)/2,F5*2,100*D5/2,100))+(-PV((E5-0.0001)/2,F5*2,100*D5/2,100))-2*H5)/(H5*0.0001^2),0)</f>
        <v>4.58004825211457</v>
      </c>
      <c r="K5" s="25" t="n">
        <f aca="false">C5*I5*0.0001</f>
        <v>0.00568009464399378</v>
      </c>
      <c r="L5" s="28"/>
    </row>
    <row r="6" customFormat="false" ht="15" hidden="false" customHeight="true" outlineLevel="0" collapsed="false">
      <c r="B6" s="17" t="s">
        <v>85</v>
      </c>
      <c r="C6" s="24" t="n">
        <v>40</v>
      </c>
      <c r="D6" s="14" t="n">
        <v>0.043</v>
      </c>
      <c r="E6" s="14" t="n">
        <v>0.045</v>
      </c>
      <c r="F6" s="17" t="n">
        <v>5</v>
      </c>
      <c r="G6" s="17" t="n">
        <v>0</v>
      </c>
      <c r="H6" s="12" t="n">
        <f aca="false">-PV(E6/2,F6*2,100*D6/2,100)</f>
        <v>99.1133783651132</v>
      </c>
      <c r="I6" s="28" t="n">
        <f aca="false">IFERROR(((-PV((E6-0.0001)/2,F6*2,100*D6/2,100))-(-PV((E6+0.0001)/2,F6*2,100*D6/2,100)))/(2*H6*0.0001),0)</f>
        <v>4.44950833441694</v>
      </c>
      <c r="J6" s="28" t="n">
        <f aca="false">IFERROR(((-PV((E6+0.0001)/2,F6*2,100*D6/2,100))+(-PV((E6-0.0001)/2,F6*2,100*D6/2,100))-2*H6)/(H6*0.0001^2),0)</f>
        <v>23.1671250475456</v>
      </c>
      <c r="K6" s="25" t="n">
        <f aca="false">C6*I6*0.0001</f>
        <v>0.0177980333376678</v>
      </c>
      <c r="L6" s="28"/>
    </row>
    <row r="7" customFormat="false" ht="15" hidden="false" customHeight="true" outlineLevel="0" collapsed="false">
      <c r="B7" s="17" t="s">
        <v>86</v>
      </c>
      <c r="C7" s="24" t="n">
        <v>50</v>
      </c>
      <c r="D7" s="14" t="n">
        <v>0.05</v>
      </c>
      <c r="E7" s="14" t="n">
        <v>0.055</v>
      </c>
      <c r="F7" s="17" t="n">
        <v>10</v>
      </c>
      <c r="G7" s="17" t="n">
        <v>0</v>
      </c>
      <c r="H7" s="12" t="n">
        <f aca="false">-PV(E7/2,F7*2,100*D7/2,100)</f>
        <v>96.1931869665561</v>
      </c>
      <c r="I7" s="28" t="n">
        <f aca="false">IFERROR(((-PV((E7-0.0001)/2,F7*2,100*D7/2,100))-(-PV((E7+0.0001)/2,F7*2,100*D7/2,100)))/(2*H7*0.0001),0)</f>
        <v>7.73001387093704</v>
      </c>
      <c r="J7" s="28" t="n">
        <f aca="false">IFERROR(((-PV((E7+0.0001)/2,F7*2,100*D7/2,100))+(-PV((E7-0.0001)/2,F7*2,100*D7/2,100))-2*H7)/(H7*0.0001^2),0)</f>
        <v>72.7069530960584</v>
      </c>
      <c r="K7" s="25" t="n">
        <f aca="false">C7*I7*0.0001</f>
        <v>0.0386500693546852</v>
      </c>
      <c r="L7" s="28"/>
    </row>
    <row r="8" customFormat="false" ht="15" hidden="false" customHeight="true" outlineLevel="0" collapsed="false">
      <c r="B8" s="17" t="s">
        <v>87</v>
      </c>
      <c r="C8" s="24" t="n">
        <v>45</v>
      </c>
      <c r="D8" s="14" t="n">
        <v>0.06</v>
      </c>
      <c r="E8" s="14" t="n">
        <v>0.068</v>
      </c>
      <c r="F8" s="17" t="n">
        <v>7</v>
      </c>
      <c r="G8" s="17" t="n">
        <v>5.5</v>
      </c>
      <c r="H8" s="12" t="n">
        <f aca="false">-PV(E8/2,F8*2,100*D8/2,100)</f>
        <v>95.602342663271</v>
      </c>
      <c r="I8" s="28" t="n">
        <f aca="false">IFERROR(((-PV((E8-0.0001)/2,F8*2,100*D8/2,100))-(-PV((E8+0.0001)/2,F8*2,100*D8/2,100)))/(2*H8*0.0001),0)</f>
        <v>5.59514968086704</v>
      </c>
      <c r="J8" s="28" t="n">
        <f aca="false">IFERROR(((-PV((E8+0.0001)/2,F8*2,100*D8/2,100))+(-PV((E8-0.0001)/2,F8*2,100*D8/2,100))-2*H8)/(H8*0.0001^2),0)</f>
        <v>37.9276522067983</v>
      </c>
      <c r="K8" s="25" t="n">
        <f aca="false">C8*I8*0.0001</f>
        <v>0.0251781735639017</v>
      </c>
      <c r="L8" s="28"/>
    </row>
    <row r="9" customFormat="false" ht="15" hidden="false" customHeight="true" outlineLevel="0" collapsed="false">
      <c r="B9" s="17" t="s">
        <v>88</v>
      </c>
      <c r="C9" s="24" t="n">
        <v>25</v>
      </c>
      <c r="D9" s="14" t="n">
        <v>0.085</v>
      </c>
      <c r="E9" s="14" t="n">
        <v>0.105</v>
      </c>
      <c r="F9" s="17" t="n">
        <v>5</v>
      </c>
      <c r="G9" s="17" t="n">
        <v>3.8</v>
      </c>
      <c r="H9" s="12" t="n">
        <f aca="false">-PV(E9/2,F9*2,100*D9/2,100)</f>
        <v>92.3711595277973</v>
      </c>
      <c r="I9" s="28" t="n">
        <f aca="false">IFERROR(((-PV((E9-0.0001)/2,F9*2,100*D9/2,100))-(-PV((E9+0.0001)/2,F9*2,100*D9/2,100)))/(2*H9*0.0001),0)</f>
        <v>3.93014873032941</v>
      </c>
      <c r="J9" s="28" t="n">
        <f aca="false">IFERROR(((-PV((E9+0.0001)/2,F9*2,100*D9/2,100))+(-PV((E9-0.0001)/2,F9*2,100*D9/2,100))-2*H9)/(H9*0.0001^2),0)</f>
        <v>19.2026958764139</v>
      </c>
      <c r="K9" s="25" t="n">
        <f aca="false">C9*I9*0.0001</f>
        <v>0.00982537182582354</v>
      </c>
      <c r="L9" s="28"/>
    </row>
    <row r="10" customFormat="false" ht="15" hidden="false" customHeight="true" outlineLevel="0" collapsed="false">
      <c r="B10" s="17" t="s">
        <v>89</v>
      </c>
      <c r="C10" s="24" t="n">
        <v>20</v>
      </c>
      <c r="D10" s="14" t="n">
        <v>0.04</v>
      </c>
      <c r="E10" s="14" t="n">
        <v>0.046</v>
      </c>
      <c r="F10" s="17" t="n">
        <v>12</v>
      </c>
      <c r="G10" s="17" t="n">
        <v>7.5</v>
      </c>
      <c r="H10" s="12" t="n">
        <f aca="false">-PV(E10/2,F10*2,100*D10/2,100)</f>
        <v>94.514022674657</v>
      </c>
      <c r="I10" s="28" t="n">
        <f aca="false">IFERROR(((-PV((E10-0.0001)/2,F10*2,100*D10/2,100))-(-PV((E10+0.0001)/2,F10*2,100*D10/2,100)))/(2*H10*0.0001),0)</f>
        <v>9.35015135658426</v>
      </c>
      <c r="J10" s="28" t="n">
        <f aca="false">IFERROR(((-PV((E10+0.0001)/2,F10*2,100*D10/2,100))+(-PV((E10-0.0001)/2,F10*2,100*D10/2,100))-2*H10)/(H10*0.0001^2),0)</f>
        <v>105.33354827567</v>
      </c>
      <c r="K10" s="25" t="n">
        <f aca="false">C10*I10*0.0001</f>
        <v>0.0187003027131685</v>
      </c>
      <c r="L10" s="28"/>
    </row>
    <row r="12" customFormat="false" ht="15" hidden="false" customHeight="true" outlineLevel="0" collapsed="false">
      <c r="B12" s="29" t="s">
        <v>90</v>
      </c>
      <c r="C12" s="30" t="n">
        <f aca="false">SUM(C5:C10)</f>
        <v>210</v>
      </c>
      <c r="D12" s="29"/>
      <c r="E12" s="29"/>
      <c r="F12" s="29"/>
      <c r="G12" s="31" t="n">
        <f aca="false">SUMPRODUCT(C5:C10,G5:G10)/SUM(C5:C10)</f>
        <v>2.3452380952381</v>
      </c>
      <c r="H12" s="29"/>
      <c r="I12" s="31" t="n">
        <f aca="false">SUMPRODUCT(C5:C10,I5:I10)/SUM(C5:C10)</f>
        <v>5.51581168758288</v>
      </c>
      <c r="J12" s="31" t="n">
        <f aca="false">SUMPRODUCT(C5:C10,J5:J10)/SUM(C5:C10)</f>
        <v>42.8234134095136</v>
      </c>
      <c r="K12" s="30" t="n">
        <f aca="false">SUM(K5:K10)</f>
        <v>0.11583204543924</v>
      </c>
      <c r="L12" s="31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91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77</v>
      </c>
      <c r="C4" s="10" t="s">
        <v>92</v>
      </c>
      <c r="D4" s="10" t="s">
        <v>93</v>
      </c>
      <c r="E4" s="10" t="s">
        <v>94</v>
      </c>
      <c r="F4" s="10" t="s">
        <v>95</v>
      </c>
      <c r="G4" s="10" t="s">
        <v>96</v>
      </c>
      <c r="H4" s="10" t="s">
        <v>97</v>
      </c>
    </row>
    <row r="5" customFormat="false" ht="15" hidden="false" customHeight="true" outlineLevel="0" collapsed="false">
      <c r="B5" s="1" t="str">
        <f aca="false">Portfolio!B5</f>
        <v>2Y Treasury</v>
      </c>
      <c r="C5" s="25" t="n">
        <f aca="false">Portfolio!K5*MAX(0,1-ABS(Portfolio!F5-2)/MAX(2,2))</f>
        <v>0.00568009464399378</v>
      </c>
      <c r="D5" s="25" t="n">
        <f aca="false">Portfolio!K5*MAX(0,1-ABS(Portfolio!F5-5)/MAX(2,5))</f>
        <v>0.00227203785759751</v>
      </c>
      <c r="E5" s="25" t="n">
        <f aca="false">Portfolio!K5*MAX(0,1-ABS(Portfolio!F5-10)/MAX(2,10))</f>
        <v>0.00113601892879876</v>
      </c>
      <c r="F5" s="25" t="n">
        <f aca="false">Portfolio!K5*MAX(0,1-ABS(Portfolio!F5-20)/MAX(2,20))</f>
        <v>0.000568009464399378</v>
      </c>
      <c r="G5" s="25" t="n">
        <f aca="false">Portfolio!K5*MAX(0,1-ABS(Portfolio!F5-30)/MAX(2,30))</f>
        <v>0.000378672976266252</v>
      </c>
      <c r="H5" s="25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25" t="n">
        <f aca="false">Portfolio!K6*MAX(0,1-ABS(Portfolio!F6-2)/MAX(2,2))</f>
        <v>0</v>
      </c>
      <c r="D6" s="25" t="n">
        <f aca="false">Portfolio!K6*MAX(0,1-ABS(Portfolio!F6-5)/MAX(2,5))</f>
        <v>0.0177980333376678</v>
      </c>
      <c r="E6" s="25" t="n">
        <f aca="false">Portfolio!K6*MAX(0,1-ABS(Portfolio!F6-10)/MAX(2,10))</f>
        <v>0.00889901666883388</v>
      </c>
      <c r="F6" s="25" t="n">
        <f aca="false">Portfolio!K6*MAX(0,1-ABS(Portfolio!F6-20)/MAX(2,20))</f>
        <v>0.00444950833441694</v>
      </c>
      <c r="G6" s="25" t="n">
        <f aca="false">Portfolio!K6*MAX(0,1-ABS(Portfolio!F6-30)/MAX(2,30))</f>
        <v>0.00296633888961129</v>
      </c>
      <c r="H6" s="25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25" t="n">
        <f aca="false">Portfolio!K7*MAX(0,1-ABS(Portfolio!F7-2)/MAX(2,2))</f>
        <v>0</v>
      </c>
      <c r="D7" s="25" t="n">
        <f aca="false">Portfolio!K7*MAX(0,1-ABS(Portfolio!F7-5)/MAX(2,5))</f>
        <v>0</v>
      </c>
      <c r="E7" s="25" t="n">
        <f aca="false">Portfolio!K7*MAX(0,1-ABS(Portfolio!F7-10)/MAX(2,10))</f>
        <v>0.0386500693546852</v>
      </c>
      <c r="F7" s="25" t="n">
        <f aca="false">Portfolio!K7*MAX(0,1-ABS(Portfolio!F7-20)/MAX(2,20))</f>
        <v>0.0193250346773426</v>
      </c>
      <c r="G7" s="25" t="n">
        <f aca="false">Portfolio!K7*MAX(0,1-ABS(Portfolio!F7-30)/MAX(2,30))</f>
        <v>0.0128833564515617</v>
      </c>
      <c r="H7" s="25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25" t="n">
        <f aca="false">Portfolio!K8*MAX(0,1-ABS(Portfolio!F8-2)/MAX(2,2))</f>
        <v>0</v>
      </c>
      <c r="D8" s="25" t="n">
        <f aca="false">Portfolio!K8*MAX(0,1-ABS(Portfolio!F8-5)/MAX(2,5))</f>
        <v>0.015106904138341</v>
      </c>
      <c r="E8" s="25" t="n">
        <f aca="false">Portfolio!K8*MAX(0,1-ABS(Portfolio!F8-10)/MAX(2,10))</f>
        <v>0.0176247214947312</v>
      </c>
      <c r="F8" s="25" t="n">
        <f aca="false">Portfolio!K8*MAX(0,1-ABS(Portfolio!F8-20)/MAX(2,20))</f>
        <v>0.00881236074736558</v>
      </c>
      <c r="G8" s="25" t="n">
        <f aca="false">Portfolio!K8*MAX(0,1-ABS(Portfolio!F8-30)/MAX(2,30))</f>
        <v>0.00587490716491039</v>
      </c>
      <c r="H8" s="25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25" t="n">
        <f aca="false">Portfolio!K9*MAX(0,1-ABS(Portfolio!F9-2)/MAX(2,2))</f>
        <v>0</v>
      </c>
      <c r="D9" s="25" t="n">
        <f aca="false">Portfolio!K9*MAX(0,1-ABS(Portfolio!F9-5)/MAX(2,5))</f>
        <v>0.00982537182582354</v>
      </c>
      <c r="E9" s="25" t="n">
        <f aca="false">Portfolio!K9*MAX(0,1-ABS(Portfolio!F9-10)/MAX(2,10))</f>
        <v>0.00491268591291177</v>
      </c>
      <c r="F9" s="25" t="n">
        <f aca="false">Portfolio!K9*MAX(0,1-ABS(Portfolio!F9-20)/MAX(2,20))</f>
        <v>0.00245634295645588</v>
      </c>
      <c r="G9" s="25" t="n">
        <f aca="false">Portfolio!K9*MAX(0,1-ABS(Portfolio!F9-30)/MAX(2,30))</f>
        <v>0.00163756197097059</v>
      </c>
      <c r="H9" s="25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25" t="n">
        <f aca="false">Portfolio!K10*MAX(0,1-ABS(Portfolio!F10-2)/MAX(2,2))</f>
        <v>0</v>
      </c>
      <c r="D10" s="25" t="n">
        <f aca="false">Portfolio!K10*MAX(0,1-ABS(Portfolio!F10-5)/MAX(2,5))</f>
        <v>0</v>
      </c>
      <c r="E10" s="25" t="n">
        <f aca="false">Portfolio!K10*MAX(0,1-ABS(Portfolio!F10-10)/MAX(2,10))</f>
        <v>0.0149602421705348</v>
      </c>
      <c r="F10" s="25" t="n">
        <f aca="false">Portfolio!K10*MAX(0,1-ABS(Portfolio!F10-20)/MAX(2,20))</f>
        <v>0.0112201816279011</v>
      </c>
      <c r="G10" s="25" t="n">
        <f aca="false">Portfolio!K10*MAX(0,1-ABS(Portfolio!F10-30)/MAX(2,30))</f>
        <v>0.00748012108526741</v>
      </c>
      <c r="H10" s="25" t="n">
        <f aca="false">SUM(C10:G10)</f>
        <v>0.0336605448837034</v>
      </c>
    </row>
    <row r="12" customFormat="false" ht="15" hidden="false" customHeight="true" outlineLevel="0" collapsed="false">
      <c r="B12" s="29" t="s">
        <v>98</v>
      </c>
      <c r="C12" s="30" t="n">
        <f aca="false">SUM(C5:C10)</f>
        <v>0.00568009464399378</v>
      </c>
      <c r="D12" s="30" t="n">
        <f aca="false">SUM(D5:D10)</f>
        <v>0.0450023471594298</v>
      </c>
      <c r="E12" s="30" t="n">
        <f aca="false">SUM(E5:E10)</f>
        <v>0.0861827545304956</v>
      </c>
      <c r="F12" s="30" t="n">
        <f aca="false">SUM(F5:F10)</f>
        <v>0.0468314378078815</v>
      </c>
      <c r="G12" s="30" t="n">
        <f aca="false">SUM(G5:G10)</f>
        <v>0.0312209585385877</v>
      </c>
      <c r="H12" s="30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99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77</v>
      </c>
      <c r="C4" s="10" t="s">
        <v>100</v>
      </c>
      <c r="D4" s="10" t="s">
        <v>101</v>
      </c>
      <c r="E4" s="10" t="s">
        <v>102</v>
      </c>
      <c r="F4" s="10" t="s">
        <v>103</v>
      </c>
      <c r="G4" s="10" t="s">
        <v>104</v>
      </c>
    </row>
    <row r="5" customFormat="false" ht="15" hidden="false" customHeight="true" outlineLevel="0" collapsed="false">
      <c r="B5" s="1" t="str">
        <f aca="false">Portfolio!B5</f>
        <v>2Y Treasury</v>
      </c>
      <c r="C5" s="25" t="n">
        <f aca="false">Portfolio!C5*Portfolio!D5</f>
        <v>1.35</v>
      </c>
      <c r="D5" s="25" t="n">
        <f aca="false">Portfolio!C5*Assumptions!E13</f>
        <v>1.35</v>
      </c>
      <c r="E5" s="15" t="n">
        <f aca="false">MAX(0,Portfolio!E5-0.002)</f>
        <v>0.042</v>
      </c>
      <c r="F5" s="25" t="n">
        <f aca="false">Portfolio!C5*Portfolio!I5*(Portfolio!E5-E5)</f>
        <v>0.113601892879876</v>
      </c>
      <c r="G5" s="25" t="n">
        <f aca="false">C5-D5+F5</f>
        <v>0.113601892879876</v>
      </c>
    </row>
    <row r="6" customFormat="false" ht="15" hidden="false" customHeight="true" outlineLevel="0" collapsed="false">
      <c r="B6" s="1" t="str">
        <f aca="false">Portfolio!B6</f>
        <v>5Y Treasury</v>
      </c>
      <c r="C6" s="25" t="n">
        <f aca="false">Portfolio!C6*Portfolio!D6</f>
        <v>1.72</v>
      </c>
      <c r="D6" s="25" t="n">
        <f aca="false">Portfolio!C6*Assumptions!E13</f>
        <v>1.8</v>
      </c>
      <c r="E6" s="15" t="n">
        <f aca="false">MAX(0,Portfolio!E6-0.002)</f>
        <v>0.043</v>
      </c>
      <c r="F6" s="25" t="n">
        <f aca="false">Portfolio!C6*Portfolio!I6*(Portfolio!E6-E6)</f>
        <v>0.355960666753355</v>
      </c>
      <c r="G6" s="25" t="n">
        <f aca="false">C6-D6+F6</f>
        <v>0.275960666753355</v>
      </c>
    </row>
    <row r="7" customFormat="false" ht="15" hidden="false" customHeight="true" outlineLevel="0" collapsed="false">
      <c r="B7" s="1" t="str">
        <f aca="false">Portfolio!B7</f>
        <v>10Y Treasury</v>
      </c>
      <c r="C7" s="25" t="n">
        <f aca="false">Portfolio!C7*Portfolio!D7</f>
        <v>2.5</v>
      </c>
      <c r="D7" s="25" t="n">
        <f aca="false">Portfolio!C7*Assumptions!E13</f>
        <v>2.25</v>
      </c>
      <c r="E7" s="15" t="n">
        <f aca="false">MAX(0,Portfolio!E7-0.002)</f>
        <v>0.053</v>
      </c>
      <c r="F7" s="25" t="n">
        <f aca="false">Portfolio!C7*Portfolio!I7*(Portfolio!E7-E7)</f>
        <v>0.773001387093704</v>
      </c>
      <c r="G7" s="25" t="n">
        <f aca="false">C7-D7+F7</f>
        <v>1.0230013870937</v>
      </c>
    </row>
    <row r="8" customFormat="false" ht="15" hidden="false" customHeight="true" outlineLevel="0" collapsed="false">
      <c r="B8" s="1" t="str">
        <f aca="false">Portfolio!B8</f>
        <v>IG Corporate</v>
      </c>
      <c r="C8" s="25" t="n">
        <f aca="false">Portfolio!C8*Portfolio!D8</f>
        <v>2.7</v>
      </c>
      <c r="D8" s="25" t="n">
        <f aca="false">Portfolio!C8*Assumptions!E13</f>
        <v>2.025</v>
      </c>
      <c r="E8" s="15" t="n">
        <f aca="false">MAX(0,Portfolio!E8-0.002)</f>
        <v>0.066</v>
      </c>
      <c r="F8" s="25" t="n">
        <f aca="false">Portfolio!C8*Portfolio!I8*(Portfolio!E8-E8)</f>
        <v>0.503563471278034</v>
      </c>
      <c r="G8" s="25" t="n">
        <f aca="false">C8-D8+F8</f>
        <v>1.17856347127803</v>
      </c>
    </row>
    <row r="9" customFormat="false" ht="15" hidden="false" customHeight="true" outlineLevel="0" collapsed="false">
      <c r="B9" s="1" t="str">
        <f aca="false">Portfolio!B9</f>
        <v>HY Corporate</v>
      </c>
      <c r="C9" s="25" t="n">
        <f aca="false">Portfolio!C9*Portfolio!D9</f>
        <v>2.125</v>
      </c>
      <c r="D9" s="25" t="n">
        <f aca="false">Portfolio!C9*Assumptions!E13</f>
        <v>1.125</v>
      </c>
      <c r="E9" s="15" t="n">
        <f aca="false">MAX(0,Portfolio!E9-0.002)</f>
        <v>0.103</v>
      </c>
      <c r="F9" s="25" t="n">
        <f aca="false">Portfolio!C9*Portfolio!I9*(Portfolio!E9-E9)</f>
        <v>0.196507436516471</v>
      </c>
      <c r="G9" s="25" t="n">
        <f aca="false">C9-D9+F9</f>
        <v>1.19650743651647</v>
      </c>
    </row>
    <row r="10" customFormat="false" ht="15" hidden="false" customHeight="true" outlineLevel="0" collapsed="false">
      <c r="B10" s="1" t="str">
        <f aca="false">Portfolio!B10</f>
        <v>Municipal</v>
      </c>
      <c r="C10" s="25" t="n">
        <f aca="false">Portfolio!C10*Portfolio!D10</f>
        <v>0.8</v>
      </c>
      <c r="D10" s="25" t="n">
        <f aca="false">Portfolio!C10*Assumptions!E13</f>
        <v>0.9</v>
      </c>
      <c r="E10" s="15" t="n">
        <f aca="false">MAX(0,Portfolio!E10-0.002)</f>
        <v>0.044</v>
      </c>
      <c r="F10" s="25" t="n">
        <f aca="false">Portfolio!C10*Portfolio!I10*(Portfolio!E10-E10)</f>
        <v>0.374006054263371</v>
      </c>
      <c r="G10" s="25" t="n">
        <f aca="false">C10-D10+F10</f>
        <v>0.274006054263371</v>
      </c>
    </row>
    <row r="12" customFormat="false" ht="15" hidden="false" customHeight="true" outlineLevel="0" collapsed="false">
      <c r="B12" s="29" t="s">
        <v>105</v>
      </c>
      <c r="C12" s="30" t="n">
        <f aca="false">SUM(C5:C10)</f>
        <v>11.195</v>
      </c>
      <c r="D12" s="30" t="n">
        <f aca="false">SUM(D5:D10)</f>
        <v>9.45</v>
      </c>
      <c r="E12" s="30"/>
      <c r="F12" s="30" t="n">
        <f aca="false">SUM(F5:F10)</f>
        <v>2.31664090878481</v>
      </c>
      <c r="G12" s="30" t="n">
        <f aca="false">SUM(G5:G10)</f>
        <v>4.06164090878481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107</v>
      </c>
      <c r="C4" s="10" t="s">
        <v>92</v>
      </c>
      <c r="D4" s="10" t="s">
        <v>93</v>
      </c>
      <c r="E4" s="10" t="s">
        <v>94</v>
      </c>
      <c r="F4" s="10" t="s">
        <v>95</v>
      </c>
      <c r="G4" s="10" t="s">
        <v>96</v>
      </c>
      <c r="H4" s="10" t="s">
        <v>108</v>
      </c>
      <c r="I4" s="10" t="s">
        <v>109</v>
      </c>
    </row>
    <row r="5" customFormat="false" ht="15" hidden="false" customHeight="true" outlineLevel="0" collapsed="false">
      <c r="B5" s="1" t="s">
        <v>110</v>
      </c>
      <c r="C5" s="14" t="n">
        <v>0.01</v>
      </c>
      <c r="D5" s="14" t="n">
        <v>0.01</v>
      </c>
      <c r="E5" s="14" t="n">
        <v>0.01</v>
      </c>
      <c r="F5" s="14" t="n">
        <v>0.01</v>
      </c>
      <c r="G5" s="14" t="n">
        <v>0.01</v>
      </c>
      <c r="H5" s="14" t="n">
        <v>0</v>
      </c>
      <c r="I5" s="25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111</v>
      </c>
      <c r="C6" s="14" t="n">
        <v>-0.01</v>
      </c>
      <c r="D6" s="14" t="n">
        <v>-0.01</v>
      </c>
      <c r="E6" s="14" t="n">
        <v>-0.01</v>
      </c>
      <c r="F6" s="14" t="n">
        <v>-0.01</v>
      </c>
      <c r="G6" s="14" t="n">
        <v>-0.01</v>
      </c>
      <c r="H6" s="14" t="n">
        <v>0</v>
      </c>
      <c r="I6" s="25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112</v>
      </c>
      <c r="C7" s="14" t="n">
        <v>0.005</v>
      </c>
      <c r="D7" s="14" t="n">
        <v>0.008</v>
      </c>
      <c r="E7" s="14" t="n">
        <v>0.012</v>
      </c>
      <c r="F7" s="14" t="n">
        <v>0.015</v>
      </c>
      <c r="G7" s="14" t="n">
        <v>0.018</v>
      </c>
      <c r="H7" s="14" t="n">
        <v>0.002</v>
      </c>
      <c r="I7" s="25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113</v>
      </c>
      <c r="C8" s="14" t="n">
        <v>-0.012</v>
      </c>
      <c r="D8" s="14" t="n">
        <v>-0.01</v>
      </c>
      <c r="E8" s="14" t="n">
        <v>-0.008</v>
      </c>
      <c r="F8" s="14" t="n">
        <v>-0.006</v>
      </c>
      <c r="G8" s="14" t="n">
        <v>-0.005</v>
      </c>
      <c r="H8" s="14" t="n">
        <v>-0.001</v>
      </c>
      <c r="I8" s="25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114</v>
      </c>
      <c r="C9" s="14" t="n">
        <v>0.002</v>
      </c>
      <c r="D9" s="14" t="n">
        <v>0.003</v>
      </c>
      <c r="E9" s="14" t="n">
        <v>0.004</v>
      </c>
      <c r="F9" s="14" t="n">
        <v>0.005</v>
      </c>
      <c r="G9" s="14" t="n">
        <v>0.005</v>
      </c>
      <c r="H9" s="14" t="n">
        <v>0.015</v>
      </c>
      <c r="I9" s="25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115</v>
      </c>
      <c r="C10" s="14" t="n">
        <v>-0.008</v>
      </c>
      <c r="D10" s="14" t="n">
        <v>-0.01</v>
      </c>
      <c r="E10" s="14" t="n">
        <v>-0.012</v>
      </c>
      <c r="F10" s="14" t="n">
        <v>-0.01</v>
      </c>
      <c r="G10" s="14" t="n">
        <v>-0.008</v>
      </c>
      <c r="H10" s="14" t="n">
        <v>0.02</v>
      </c>
      <c r="I10" s="25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116</v>
      </c>
      <c r="C2" s="2"/>
      <c r="D2" s="2"/>
      <c r="E2" s="2"/>
      <c r="F2" s="2"/>
    </row>
    <row r="4" customFormat="false" ht="15" hidden="false" customHeight="true" outlineLevel="0" collapsed="false">
      <c r="B4" s="10" t="s">
        <v>117</v>
      </c>
      <c r="C4" s="10" t="s">
        <v>118</v>
      </c>
      <c r="D4" s="10" t="s">
        <v>119</v>
      </c>
      <c r="E4" s="10" t="s">
        <v>120</v>
      </c>
      <c r="F4" s="10" t="s">
        <v>121</v>
      </c>
    </row>
    <row r="5" customFormat="false" ht="15" hidden="false" customHeight="true" outlineLevel="0" collapsed="false">
      <c r="B5" s="1" t="s">
        <v>122</v>
      </c>
      <c r="C5" s="25" t="n">
        <f aca="false">'Carry &amp; Roll'!C12-'Carry &amp; Roll'!D12</f>
        <v>1.745</v>
      </c>
      <c r="D5" s="32" t="n">
        <v>1</v>
      </c>
      <c r="E5" s="25" t="n">
        <f aca="false">C5*D5</f>
        <v>1.745</v>
      </c>
      <c r="F5" s="1" t="s">
        <v>123</v>
      </c>
    </row>
    <row r="6" customFormat="false" ht="15" hidden="false" customHeight="true" outlineLevel="0" collapsed="false">
      <c r="B6" s="1" t="s">
        <v>124</v>
      </c>
      <c r="C6" s="25" t="n">
        <f aca="false">'Carry &amp; Roll'!F12</f>
        <v>2.31664090878481</v>
      </c>
      <c r="D6" s="32" t="n">
        <v>1</v>
      </c>
      <c r="E6" s="25" t="n">
        <f aca="false">C6*D6</f>
        <v>2.31664090878481</v>
      </c>
      <c r="F6" s="1" t="s">
        <v>125</v>
      </c>
    </row>
    <row r="7" customFormat="false" ht="15" hidden="false" customHeight="true" outlineLevel="0" collapsed="false">
      <c r="B7" s="1" t="s">
        <v>126</v>
      </c>
      <c r="C7" s="25" t="n">
        <f aca="false">-Portfolio!K12/0.0001</f>
        <v>-1158.3204543924</v>
      </c>
      <c r="D7" s="14" t="n">
        <v>0.0005</v>
      </c>
      <c r="E7" s="25" t="n">
        <f aca="false">C7*D7</f>
        <v>-0.579160227196202</v>
      </c>
      <c r="F7" s="1" t="s">
        <v>127</v>
      </c>
    </row>
    <row r="8" customFormat="false" ht="15" hidden="false" customHeight="true" outlineLevel="0" collapsed="false">
      <c r="B8" s="1" t="s">
        <v>128</v>
      </c>
      <c r="C8" s="25" t="n">
        <f aca="false">-('Key Rate Risk'!C12*0.0002+'Key Rate Risk'!D12*0.0001-'Key Rate Risk'!F12*0.0001)/0.0001</f>
        <v>-0.00953109863953586</v>
      </c>
      <c r="D8" s="32" t="n">
        <v>1</v>
      </c>
      <c r="E8" s="25" t="n">
        <f aca="false">C8*D8</f>
        <v>-0.00953109863953586</v>
      </c>
      <c r="F8" s="1" t="s">
        <v>129</v>
      </c>
    </row>
    <row r="9" customFormat="false" ht="15" hidden="false" customHeight="true" outlineLevel="0" collapsed="false">
      <c r="B9" s="1" t="s">
        <v>108</v>
      </c>
      <c r="C9" s="25" t="n">
        <f aca="false">-SUMPRODUCT(Portfolio!C5:C10,Portfolio!G5:G10)</f>
        <v>-492.5</v>
      </c>
      <c r="D9" s="14" t="n">
        <v>0.0015</v>
      </c>
      <c r="E9" s="25" t="n">
        <f aca="false">C9*D9</f>
        <v>-0.73875</v>
      </c>
      <c r="F9" s="1" t="s">
        <v>130</v>
      </c>
    </row>
    <row r="10" customFormat="false" ht="15" hidden="false" customHeight="true" outlineLevel="0" collapsed="false">
      <c r="B10" s="1" t="s">
        <v>83</v>
      </c>
      <c r="C10" s="25" t="n">
        <f aca="false">0.5*SUMPRODUCT(Portfolio!C5:C10,Portfolio!J5:J10)</f>
        <v>4496.45840799893</v>
      </c>
      <c r="D10" s="14" t="n">
        <v>2.5E-007</v>
      </c>
      <c r="E10" s="25" t="n">
        <f aca="false">C10*D10</f>
        <v>0.00112411460199973</v>
      </c>
      <c r="F10" s="1" t="s">
        <v>131</v>
      </c>
    </row>
    <row r="13" customFormat="false" ht="15" hidden="false" customHeight="true" outlineLevel="0" collapsed="false">
      <c r="B13" s="1" t="s">
        <v>132</v>
      </c>
      <c r="E13" s="25" t="n">
        <f aca="false">SUM(E5:E10)</f>
        <v>2.73532369755107</v>
      </c>
    </row>
    <row r="14" customFormat="false" ht="15" hidden="false" customHeight="true" outlineLevel="0" collapsed="false">
      <c r="B14" s="1" t="s">
        <v>133</v>
      </c>
      <c r="E14" s="24" t="n">
        <v>1.2</v>
      </c>
    </row>
    <row r="15" customFormat="false" ht="15" hidden="false" customHeight="true" outlineLevel="0" collapsed="false">
      <c r="B15" s="1" t="s">
        <v>134</v>
      </c>
      <c r="E15" s="25" t="n">
        <f aca="false">E14-E13</f>
        <v>-1.53532369755107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135</v>
      </c>
      <c r="C2" s="2"/>
    </row>
    <row r="4" customFormat="false" ht="15" hidden="false" customHeight="true" outlineLevel="0" collapsed="false">
      <c r="B4" s="10" t="s">
        <v>136</v>
      </c>
      <c r="C4" s="10" t="s">
        <v>137</v>
      </c>
    </row>
    <row r="5" customFormat="false" ht="15" hidden="false" customHeight="true" outlineLevel="0" collapsed="false">
      <c r="B5" s="1" t="s">
        <v>138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139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140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141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142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143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144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145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146</v>
      </c>
      <c r="C2" s="2"/>
      <c r="D2" s="2"/>
      <c r="E2" s="2"/>
    </row>
    <row r="4" customFormat="false" ht="15" hidden="false" customHeight="true" outlineLevel="0" collapsed="false">
      <c r="B4" s="10" t="s">
        <v>147</v>
      </c>
      <c r="C4" s="10" t="s">
        <v>148</v>
      </c>
      <c r="D4" s="10" t="s">
        <v>149</v>
      </c>
      <c r="E4" s="10" t="s">
        <v>150</v>
      </c>
    </row>
    <row r="5" customFormat="false" ht="15" hidden="false" customHeight="true" outlineLevel="0" collapsed="false">
      <c r="B5" s="33" t="s">
        <v>151</v>
      </c>
      <c r="C5" s="33" t="s">
        <v>152</v>
      </c>
      <c r="D5" s="33" t="s">
        <v>8</v>
      </c>
      <c r="E5" s="33" t="s">
        <v>153</v>
      </c>
    </row>
    <row r="6" customFormat="false" ht="15" hidden="false" customHeight="true" outlineLevel="0" collapsed="false">
      <c r="B6" s="33" t="s">
        <v>154</v>
      </c>
      <c r="C6" s="33" t="s">
        <v>155</v>
      </c>
      <c r="D6" s="33" t="s">
        <v>156</v>
      </c>
      <c r="E6" s="33" t="s">
        <v>157</v>
      </c>
    </row>
    <row r="7" customFormat="false" ht="15" hidden="false" customHeight="true" outlineLevel="0" collapsed="false">
      <c r="B7" s="33" t="s">
        <v>158</v>
      </c>
      <c r="C7" s="33" t="s">
        <v>159</v>
      </c>
      <c r="D7" s="33" t="s">
        <v>156</v>
      </c>
      <c r="E7" s="33" t="s">
        <v>160</v>
      </c>
    </row>
    <row r="8" customFormat="false" ht="15" hidden="false" customHeight="true" outlineLevel="0" collapsed="false">
      <c r="B8" s="33" t="s">
        <v>161</v>
      </c>
      <c r="C8" s="33" t="s">
        <v>162</v>
      </c>
      <c r="D8" s="33" t="s">
        <v>8</v>
      </c>
      <c r="E8" s="33" t="s">
        <v>163</v>
      </c>
    </row>
    <row r="9" customFormat="false" ht="15" hidden="false" customHeight="true" outlineLevel="0" collapsed="false">
      <c r="B9" s="33" t="s">
        <v>164</v>
      </c>
      <c r="C9" s="33" t="s">
        <v>165</v>
      </c>
      <c r="D9" s="33" t="s">
        <v>156</v>
      </c>
      <c r="E9" s="33" t="s">
        <v>166</v>
      </c>
    </row>
    <row r="10" customFormat="false" ht="15" hidden="false" customHeight="false" outlineLevel="0" collapsed="false">
      <c r="B10" s="34" t="s">
        <v>167</v>
      </c>
      <c r="C10" s="34" t="s">
        <v>168</v>
      </c>
      <c r="D10" s="34" t="s">
        <v>6</v>
      </c>
      <c r="E10" s="34" t="s">
        <v>169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171</v>
      </c>
      <c r="C4" s="10" t="s">
        <v>172</v>
      </c>
      <c r="D4" s="10" t="s">
        <v>173</v>
      </c>
      <c r="E4" s="10" t="s">
        <v>174</v>
      </c>
      <c r="F4" s="10" t="s">
        <v>175</v>
      </c>
      <c r="G4" s="10" t="s">
        <v>176</v>
      </c>
    </row>
    <row r="5" customFormat="false" ht="15" hidden="false" customHeight="true" outlineLevel="0" collapsed="false">
      <c r="B5" s="35" t="s">
        <v>6</v>
      </c>
      <c r="C5" s="35" t="s">
        <v>177</v>
      </c>
      <c r="D5" s="35" t="s">
        <v>168</v>
      </c>
      <c r="E5" s="35" t="s">
        <v>178</v>
      </c>
      <c r="F5" s="35" t="s">
        <v>179</v>
      </c>
      <c r="G5" s="35" t="s">
        <v>180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