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12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Cover" sheetId="1" state="visible" r:id="rId3"/>
    <sheet name="Assumptions" sheetId="2" state="visible" r:id="rId4"/>
    <sheet name="Zero Curve" sheetId="3" state="visible" r:id="rId5"/>
    <sheet name="Bond Analytics" sheetId="4" state="visible" r:id="rId6"/>
    <sheet name="Portfolio" sheetId="5" state="visible" r:id="rId7"/>
    <sheet name="Key Rate Risk" sheetId="6" state="visible" r:id="rId8"/>
    <sheet name="Carry &amp; Roll" sheetId="7" state="visible" r:id="rId9"/>
    <sheet name="Scenarios" sheetId="8" state="visible" r:id="rId10"/>
    <sheet name="P&amp;L Explain" sheetId="9" state="visible" r:id="rId11"/>
    <sheet name="Checks" sheetId="10" state="visible" r:id="rId12"/>
    <sheet name="Sources" sheetId="11" state="visible" r:id="rId13"/>
    <sheet name="RefreshLog" sheetId="12" state="visible" r:id="rId14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<sst xmlns="http://schemas.openxmlformats.org/spreadsheetml/2006/main" count="206" uniqueCount="173">
  <si>
    <t xml:space="preserve">[PORTFOLIO / SECURITY] — Fixed Income &amp; Rates Model</t>
  </si>
  <si>
    <t xml:space="preserve">Portfolio / security:</t>
  </si>
  <si>
    <t xml:space="preserve">[Name]</t>
  </si>
  <si>
    <t xml:space="preserve">Currency / curve:</t>
  </si>
  <si>
    <t xml:space="preserve">[Currency and benchmark]</t>
  </si>
  <si>
    <t xml:space="preserve">Last refreshed:</t>
  </si>
  <si>
    <t xml:space="preserve">[timestamp]</t>
  </si>
  <si>
    <t xml:space="preserve">Next coupon / auction / event:</t>
  </si>
  <si>
    <t xml:space="preserve">[date]</t>
  </si>
  <si>
    <t xml:space="preserve">Refresh cadence:</t>
  </si>
  <si>
    <t xml:space="preserve">Daily</t>
  </si>
  <si>
    <t xml:space="preserve">Active scenario:</t>
  </si>
  <si>
    <t xml:space="preserve">Base</t>
  </si>
  <si>
    <t xml:space="preserve">Units:</t>
  </si>
  <si>
    <t xml:space="preserve">$ in millions; yields in percent</t>
  </si>
  <si>
    <t xml:space="preserve">Modeling conventions</t>
  </si>
  <si>
    <t xml:space="preserve">Blue text / yellow fill</t>
  </si>
  <si>
    <t xml:space="preserve">Hardcoded input or selected scenario</t>
  </si>
  <si>
    <t xml:space="preserve">Black text</t>
  </si>
  <si>
    <t xml:space="preserve">Formula / same-sheet calculation</t>
  </si>
  <si>
    <t xml:space="preserve">Green text</t>
  </si>
  <si>
    <t xml:space="preserve">Cross-sheet formula / link</t>
  </si>
  <si>
    <t xml:space="preserve">Checks</t>
  </si>
  <si>
    <t xml:space="preserve">PASS / REVIEW / FAIL must remain visible</t>
  </si>
  <si>
    <t xml:space="preserve">Pricing and Risk Assumptions</t>
  </si>
  <si>
    <t xml:space="preserve">Assumption</t>
  </si>
  <si>
    <t xml:space="preserve">Downside</t>
  </si>
  <si>
    <t xml:space="preserve">Active</t>
  </si>
  <si>
    <t xml:space="preserve">Units / note</t>
  </si>
  <si>
    <t xml:space="preserve">Face value</t>
  </si>
  <si>
    <t xml:space="preserve">currency</t>
  </si>
  <si>
    <t xml:space="preserve">Coupon rate</t>
  </si>
  <si>
    <t xml:space="preserve">%</t>
  </si>
  <si>
    <t xml:space="preserve">Yield to maturity</t>
  </si>
  <si>
    <t xml:space="preserve">Maturity</t>
  </si>
  <si>
    <t xml:space="preserve">years</t>
  </si>
  <si>
    <t xml:space="preserve">Coupon frequency</t>
  </si>
  <si>
    <t xml:space="preserve">per year</t>
  </si>
  <si>
    <t xml:space="preserve">Parallel yield shock</t>
  </si>
  <si>
    <t xml:space="preserve">One-basis-point bump</t>
  </si>
  <si>
    <t xml:space="preserve">Holding period</t>
  </si>
  <si>
    <t xml:space="preserve">Financing / repo rate</t>
  </si>
  <si>
    <t xml:space="preserve">Position market value</t>
  </si>
  <si>
    <t xml:space="preserve">$mm</t>
  </si>
  <si>
    <t xml:space="preserve">Zero Curve and Discount Factors</t>
  </si>
  <si>
    <t xml:space="preserve">Tenor</t>
  </si>
  <si>
    <t xml:space="preserve">Base zero</t>
  </si>
  <si>
    <t xml:space="preserve">Downside zero</t>
  </si>
  <si>
    <t xml:space="preserve">Active zero</t>
  </si>
  <si>
    <t xml:space="preserve">Discount factor</t>
  </si>
  <si>
    <t xml:space="preserve">1Y forward</t>
  </si>
  <si>
    <t xml:space="preserve">Bond Price, Duration, and Convexity</t>
  </si>
  <si>
    <t xml:space="preserve">Metric</t>
  </si>
  <si>
    <t xml:space="preserve">Value</t>
  </si>
  <si>
    <t xml:space="preserve">Units</t>
  </si>
  <si>
    <t xml:space="preserve">Method</t>
  </si>
  <si>
    <t xml:space="preserve">Price</t>
  </si>
  <si>
    <t xml:space="preserve">coupon annuity plus principal</t>
  </si>
  <si>
    <t xml:space="preserve">Price +1bp</t>
  </si>
  <si>
    <t xml:space="preserve">finite difference</t>
  </si>
  <si>
    <t xml:space="preserve">Price -1bp</t>
  </si>
  <si>
    <t xml:space="preserve">Numerical modified duration</t>
  </si>
  <si>
    <t xml:space="preserve">central difference</t>
  </si>
  <si>
    <t xml:space="preserve">Numerical convexity</t>
  </si>
  <si>
    <t xml:space="preserve">years^2</t>
  </si>
  <si>
    <t xml:space="preserve">second difference</t>
  </si>
  <si>
    <t xml:space="preserve">DV01</t>
  </si>
  <si>
    <t xml:space="preserve">price value of 1bp</t>
  </si>
  <si>
    <t xml:space="preserve">Current yield</t>
  </si>
  <si>
    <t xml:space="preserve">annual coupon / price</t>
  </si>
  <si>
    <t xml:space="preserve">Price under parallel shock</t>
  </si>
  <si>
    <t xml:space="preserve">full repricing</t>
  </si>
  <si>
    <t xml:space="preserve">Duration-convexity estimate</t>
  </si>
  <si>
    <t xml:space="preserve">second-order approximation</t>
  </si>
  <si>
    <t xml:space="preserve">Approximation residual</t>
  </si>
  <si>
    <t xml:space="preserve">full price less estimate</t>
  </si>
  <si>
    <t xml:space="preserve">Fixed-Income Portfolio Analytics</t>
  </si>
  <si>
    <t xml:space="preserve">Security</t>
  </si>
  <si>
    <t xml:space="preserve">Market value</t>
  </si>
  <si>
    <t xml:space="preserve">Coupon</t>
  </si>
  <si>
    <t xml:space="preserve">Yield</t>
  </si>
  <si>
    <t xml:space="preserve">Spread duration</t>
  </si>
  <si>
    <t xml:space="preserve">Mod duration</t>
  </si>
  <si>
    <t xml:space="preserve">Convexity</t>
  </si>
  <si>
    <t xml:space="preserve">2Y Treasury</t>
  </si>
  <si>
    <t xml:space="preserve">5Y Treasury</t>
  </si>
  <si>
    <t xml:space="preserve">10Y Treasury</t>
  </si>
  <si>
    <t xml:space="preserve">IG Corporate</t>
  </si>
  <si>
    <t xml:space="preserve">HY Corporate</t>
  </si>
  <si>
    <t xml:space="preserve">Municipal</t>
  </si>
  <si>
    <t xml:space="preserve">Portfolio total / weighted</t>
  </si>
  <si>
    <t xml:space="preserve">Key-Rate DV01 Approximation</t>
  </si>
  <si>
    <t xml:space="preserve">2Y</t>
  </si>
  <si>
    <t xml:space="preserve">5Y</t>
  </si>
  <si>
    <t xml:space="preserve">10Y</t>
  </si>
  <si>
    <t xml:space="preserve">20Y</t>
  </si>
  <si>
    <t xml:space="preserve">30Y</t>
  </si>
  <si>
    <t xml:space="preserve">Total DV01</t>
  </si>
  <si>
    <t xml:space="preserve">Portfolio key-rate DV01</t>
  </si>
  <si>
    <t xml:space="preserve">One-Year Carry and Roll-Down</t>
  </si>
  <si>
    <t xml:space="preserve">Coupon carry</t>
  </si>
  <si>
    <t xml:space="preserve">Financing cost</t>
  </si>
  <si>
    <t xml:space="preserve">Yield after roll</t>
  </si>
  <si>
    <t xml:space="preserve">Roll P&amp;L</t>
  </si>
  <si>
    <t xml:space="preserve">Total carry + roll</t>
  </si>
  <si>
    <t xml:space="preserve">Portfolio total</t>
  </si>
  <si>
    <t xml:space="preserve">Curve and Spread Scenarios</t>
  </si>
  <si>
    <t xml:space="preserve">Scenario</t>
  </si>
  <si>
    <t xml:space="preserve">Credit spread</t>
  </si>
  <si>
    <t xml:space="preserve">Estimated P&amp;L</t>
  </si>
  <si>
    <t xml:space="preserve">Parallel +100bp</t>
  </si>
  <si>
    <t xml:space="preserve">Parallel -100bp</t>
  </si>
  <si>
    <t xml:space="preserve">Bear steepener</t>
  </si>
  <si>
    <t xml:space="preserve">Bull flattener</t>
  </si>
  <si>
    <t xml:space="preserve">Credit widening</t>
  </si>
  <si>
    <t xml:space="preserve">Risk-off rally</t>
  </si>
  <si>
    <t xml:space="preserve">Rates Portfolio P&amp;L Explain</t>
  </si>
  <si>
    <t xml:space="preserve">Driver</t>
  </si>
  <si>
    <t xml:space="preserve">Exposure</t>
  </si>
  <si>
    <t xml:space="preserve">Move</t>
  </si>
  <si>
    <t xml:space="preserve">P&amp;L</t>
  </si>
  <si>
    <t xml:space="preserve">Notes</t>
  </si>
  <si>
    <t xml:space="preserve">Carry</t>
  </si>
  <si>
    <t xml:space="preserve">coupon less financing</t>
  </si>
  <si>
    <t xml:space="preserve">Roll-down</t>
  </si>
  <si>
    <t xml:space="preserve">curve roll</t>
  </si>
  <si>
    <t xml:space="preserve">Parallel rates</t>
  </si>
  <si>
    <t xml:space="preserve">DV01 x move</t>
  </si>
  <si>
    <t xml:space="preserve">Curve shape</t>
  </si>
  <si>
    <t xml:space="preserve">key-rate attribution</t>
  </si>
  <si>
    <t xml:space="preserve">spread duration</t>
  </si>
  <si>
    <t xml:space="preserve">second order</t>
  </si>
  <si>
    <t xml:space="preserve">Explained P&amp;L</t>
  </si>
  <si>
    <t xml:space="preserve">Actual P&amp;L</t>
  </si>
  <si>
    <t xml:space="preserve">Unexplained P&amp;L</t>
  </si>
  <si>
    <t xml:space="preserve">Fixed-Income Model Checks</t>
  </si>
  <si>
    <t xml:space="preserve">Check</t>
  </si>
  <si>
    <t xml:space="preserve">Status</t>
  </si>
  <si>
    <t xml:space="preserve">Price positive</t>
  </si>
  <si>
    <t xml:space="preserve">Price decreases as yield rises</t>
  </si>
  <si>
    <t xml:space="preserve">Duration positive</t>
  </si>
  <si>
    <t xml:space="preserve">Convexity positive</t>
  </si>
  <si>
    <t xml:space="preserve">Key-rate DV01 reconciles</t>
  </si>
  <si>
    <t xml:space="preserve">Curve discount factors decreasing</t>
  </si>
  <si>
    <t xml:space="preserve">P&amp;L explain populated</t>
  </si>
  <si>
    <t xml:space="preserve">Overall</t>
  </si>
  <si>
    <t xml:space="preserve">Source Register</t>
  </si>
  <si>
    <t xml:space="preserve">Input / dataset</t>
  </si>
  <si>
    <t xml:space="preserve">Source URL or document</t>
  </si>
  <si>
    <t xml:space="preserve">As-of</t>
  </si>
  <si>
    <t xml:space="preserve">Notes / transformation</t>
  </si>
  <si>
    <t xml:space="preserve">Security terms and cash flows</t>
  </si>
  <si>
    <t xml:space="preserve">[prospectus / terms URL]</t>
  </si>
  <si>
    <t xml:space="preserve">Coupon, maturity, callability, indexation</t>
  </si>
  <si>
    <t xml:space="preserve">Benchmark and zero curves</t>
  </si>
  <si>
    <t xml:space="preserve">https://home.treasury.gov/resource-center/data-chart-center/interest-rates</t>
  </si>
  <si>
    <t xml:space="preserve">Document interpolation and compounding</t>
  </si>
  <si>
    <t xml:space="preserve">Credit spreads and prices</t>
  </si>
  <si>
    <t xml:space="preserve">[market data URL]</t>
  </si>
  <si>
    <t xml:space="preserve">Bid/ask, liquidity, source hierarchy</t>
  </si>
  <si>
    <t xml:space="preserve">Financing and repo</t>
  </si>
  <si>
    <t xml:space="preserve">[broker / central bank source]</t>
  </si>
  <si>
    <t xml:space="preserve">Haircuts, specials, term, and currency basis</t>
  </si>
  <si>
    <t xml:space="preserve">Portfolio positions</t>
  </si>
  <si>
    <t xml:space="preserve">[OMS / custody source]</t>
  </si>
  <si>
    <t xml:space="preserve">Reconcile quantities, accrued interest, and market value</t>
  </si>
  <si>
    <t xml:space="preserve">Refresh Log</t>
  </si>
  <si>
    <t xml:space="preserve">Date</t>
  </si>
  <si>
    <t xml:space="preserve">Trigger</t>
  </si>
  <si>
    <t xml:space="preserve">Source snapshot</t>
  </si>
  <si>
    <t xml:space="preserve">What changed</t>
  </si>
  <si>
    <t xml:space="preserve">Reviewer / challenge</t>
  </si>
  <si>
    <t xml:space="preserve">Next check</t>
  </si>
</sst>
</file>

<file path=xl/styles.xml><?xml version="1.0" encoding="utf-8"?>
<styleSheet xmlns="http://schemas.openxmlformats.org/spreadsheetml/2006/main">
  <numFmts count="10">
    <numFmt numFmtId="164" formatCode="General"/>
    <numFmt numFmtId="165" formatCode="\$#,##0.00;[RED]&quot;($&quot;#,##0.00\);\-"/>
    <numFmt numFmtId="166" formatCode="0.00%;[RED]\(0.00%\);\-"/>
    <numFmt numFmtId="167" formatCode="0.0"/>
    <numFmt numFmtId="168" formatCode="0"/>
    <numFmt numFmtId="169" formatCode="0.0000%"/>
    <numFmt numFmtId="170" formatCode="\$#,##0.0;[RED]&quot;($&quot;#,##0.0\);\-"/>
    <numFmt numFmtId="171" formatCode="0.00"/>
    <numFmt numFmtId="172" formatCode="0.000000"/>
    <numFmt numFmtId="173" formatCode="0.0000"/>
  </numFmts>
  <fonts count="11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color rgb="FFFFFFFF"/>
      <name val="Arial"/>
      <family val="0"/>
      <charset val="1"/>
    </font>
    <font>
      <b val="true"/>
      <sz val="10"/>
      <color rgb="FF111827"/>
      <name val="Arial"/>
      <family val="0"/>
      <charset val="1"/>
    </font>
    <font>
      <sz val="10"/>
      <color rgb="FF0000FF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b val="true"/>
      <sz val="10"/>
      <color rgb="FF0000FF"/>
      <name val="Arial"/>
      <family val="0"/>
      <charset val="1"/>
    </font>
    <font>
      <sz val="10"/>
      <color rgb="FF111827"/>
      <name val="Arial"/>
      <family val="0"/>
      <charset val="1"/>
    </font>
    <font>
      <b val="true"/>
      <sz val="10"/>
      <color rgb="FF008000"/>
      <name val="Arial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1F4E78"/>
        <bgColor rgb="FF003366"/>
      </patternFill>
    </fill>
    <fill>
      <patternFill patternType="solid">
        <fgColor rgb="FFFFF2CC"/>
        <bgColor rgb="FFFCE4D6"/>
      </patternFill>
    </fill>
  </fills>
  <borders count="3">
    <border diagonalUp="false" diagonalDown="false">
      <left/>
      <right/>
      <top/>
      <bottom/>
      <diagonal/>
    </border>
    <border diagonalUp="false" diagonalDown="false">
      <left/>
      <right/>
      <top/>
      <bottom style="thin">
        <color rgb="FFBFBFBF"/>
      </bottom>
      <diagonal/>
    </border>
    <border diagonalUp="false" diagonalDown="false">
      <left/>
      <right/>
      <top style="thin">
        <color rgb="FF111827"/>
      </top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2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6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6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6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6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6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6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0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1" fontId="6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2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3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0" fontId="5" fillId="0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3" fontId="5" fillId="0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3" fontId="6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3">
    <dxf>
      <fill>
        <patternFill>
          <bgColor rgb="FFE2F0D9"/>
        </patternFill>
      </fill>
    </dxf>
    <dxf>
      <fill>
        <patternFill>
          <bgColor rgb="FFFCE4D6"/>
        </patternFill>
      </fill>
    </dxf>
    <dxf>
      <fill>
        <patternFill>
          <bgColor rgb="FFFFF2CC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2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E2F0D9"/>
      <rgbColor rgb="FFFFFF99"/>
      <rgbColor rgb="FF99CCFF"/>
      <rgbColor rgb="FFFF99CC"/>
      <rgbColor rgb="FFCC99FF"/>
      <rgbColor rgb="FFFCE4D6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111827"/>
      <rgbColor rgb="FF333300"/>
      <rgbColor rgb="FF993300"/>
      <rgbColor rgb="FF993366"/>
      <rgbColor rgb="FF1F4E78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worksheet" Target="worksheets/sheet10.xml"/><Relationship Id="rId13" Type="http://schemas.openxmlformats.org/officeDocument/2006/relationships/worksheet" Target="worksheets/sheet11.xml"/><Relationship Id="rId14" Type="http://schemas.openxmlformats.org/officeDocument/2006/relationships/worksheet" Target="worksheets/sheet12.xml"/><Relationship Id="rId15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F17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2" topLeftCell="A3" activePane="bottomLeft" state="frozen"/>
      <selection pane="topLeft" activeCell="A1" activeCellId="0" sqref="A1"/>
      <selection pane="bottom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4"/>
    <col collapsed="false" customWidth="true" hidden="false" outlineLevel="0" max="2" min="2" style="0" width="36"/>
    <col collapsed="false" customWidth="true" hidden="false" outlineLevel="0" max="3" min="3" style="0" width="46"/>
    <col collapsed="false" customWidth="true" hidden="false" outlineLevel="0" max="6" min="4" style="0" width="12"/>
  </cols>
  <sheetData>
    <row r="2" customFormat="false" ht="27.75" hidden="false" customHeight="true" outlineLevel="0" collapsed="false">
      <c r="B2" s="1" t="s">
        <v>0</v>
      </c>
      <c r="C2" s="1"/>
      <c r="D2" s="1"/>
      <c r="E2" s="1"/>
      <c r="F2" s="1"/>
    </row>
    <row r="4" customFormat="false" ht="15" hidden="false" customHeight="false" outlineLevel="0" collapsed="false">
      <c r="B4" s="2" t="s">
        <v>1</v>
      </c>
      <c r="C4" s="3" t="s">
        <v>2</v>
      </c>
    </row>
    <row r="5" customFormat="false" ht="15" hidden="false" customHeight="false" outlineLevel="0" collapsed="false">
      <c r="B5" s="2" t="s">
        <v>3</v>
      </c>
      <c r="C5" s="3" t="s">
        <v>4</v>
      </c>
    </row>
    <row r="6" customFormat="false" ht="15" hidden="false" customHeight="false" outlineLevel="0" collapsed="false">
      <c r="B6" s="2" t="s">
        <v>5</v>
      </c>
      <c r="C6" s="3" t="s">
        <v>6</v>
      </c>
    </row>
    <row r="7" customFormat="false" ht="15" hidden="false" customHeight="false" outlineLevel="0" collapsed="false">
      <c r="B7" s="2" t="s">
        <v>7</v>
      </c>
      <c r="C7" s="3" t="s">
        <v>8</v>
      </c>
    </row>
    <row r="8" customFormat="false" ht="15" hidden="false" customHeight="false" outlineLevel="0" collapsed="false">
      <c r="B8" s="2" t="s">
        <v>9</v>
      </c>
      <c r="C8" s="3" t="s">
        <v>10</v>
      </c>
    </row>
    <row r="9" customFormat="false" ht="15" hidden="false" customHeight="false" outlineLevel="0" collapsed="false">
      <c r="B9" s="2" t="s">
        <v>11</v>
      </c>
      <c r="C9" s="3" t="s">
        <v>12</v>
      </c>
    </row>
    <row r="10" customFormat="false" ht="15" hidden="false" customHeight="false" outlineLevel="0" collapsed="false">
      <c r="B10" s="2" t="s">
        <v>13</v>
      </c>
      <c r="C10" s="3" t="s">
        <v>14</v>
      </c>
    </row>
    <row r="13" customFormat="false" ht="15" hidden="false" customHeight="false" outlineLevel="0" collapsed="false">
      <c r="B13" s="4" t="s">
        <v>15</v>
      </c>
      <c r="C13" s="4"/>
      <c r="D13" s="4"/>
      <c r="E13" s="4"/>
      <c r="F13" s="4"/>
    </row>
    <row r="14" customFormat="false" ht="15" hidden="false" customHeight="false" outlineLevel="0" collapsed="false">
      <c r="B14" s="5" t="s">
        <v>16</v>
      </c>
      <c r="C14" s="6" t="s">
        <v>17</v>
      </c>
    </row>
    <row r="15" customFormat="false" ht="15" hidden="false" customHeight="false" outlineLevel="0" collapsed="false">
      <c r="B15" s="2" t="s">
        <v>18</v>
      </c>
      <c r="C15" s="6" t="s">
        <v>19</v>
      </c>
    </row>
    <row r="16" customFormat="false" ht="15" hidden="false" customHeight="false" outlineLevel="0" collapsed="false">
      <c r="B16" s="7" t="s">
        <v>20</v>
      </c>
      <c r="C16" s="6" t="s">
        <v>21</v>
      </c>
    </row>
    <row r="17" customFormat="false" ht="15" hidden="false" customHeight="false" outlineLevel="0" collapsed="false">
      <c r="B17" s="2" t="s">
        <v>22</v>
      </c>
      <c r="C17" s="6" t="s">
        <v>23</v>
      </c>
    </row>
  </sheetData>
  <mergeCells count="2">
    <mergeCell ref="B2:F2"/>
    <mergeCell ref="B13:F13"/>
  </mergeCells>
  <dataValidations count="1">
    <dataValidation allowBlank="false" errorStyle="stop" operator="between" showDropDown="false" showErrorMessage="false" showInputMessage="false" sqref="C9" type="list">
      <formula1>"Base,Downside"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F1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4"/>
    <col collapsed="false" customWidth="true" hidden="false" outlineLevel="0" max="2" min="2" style="0" width="36"/>
    <col collapsed="false" customWidth="true" hidden="false" outlineLevel="0" max="5" min="3" style="0" width="15"/>
    <col collapsed="false" customWidth="true" hidden="false" outlineLevel="0" max="6" min="6" style="0" width="30"/>
  </cols>
  <sheetData>
    <row r="2" customFormat="false" ht="27.75" hidden="false" customHeight="true" outlineLevel="0" collapsed="false">
      <c r="B2" s="1" t="s">
        <v>24</v>
      </c>
      <c r="C2" s="1"/>
      <c r="D2" s="1"/>
      <c r="E2" s="1"/>
      <c r="F2" s="1"/>
    </row>
    <row r="4" customFormat="false" ht="15" hidden="false" customHeight="false" outlineLevel="0" collapsed="false">
      <c r="B4" s="8" t="s">
        <v>25</v>
      </c>
      <c r="C4" s="8" t="s">
        <v>12</v>
      </c>
      <c r="D4" s="8" t="s">
        <v>26</v>
      </c>
      <c r="E4" s="8" t="s">
        <v>27</v>
      </c>
      <c r="F4" s="8" t="s">
        <v>28</v>
      </c>
    </row>
    <row r="5" customFormat="false" ht="15" hidden="false" customHeight="false" outlineLevel="0" collapsed="false">
      <c r="B5" s="0" t="s">
        <v>29</v>
      </c>
      <c r="C5" s="9" t="n">
        <v>1000</v>
      </c>
      <c r="D5" s="9" t="n">
        <v>1000</v>
      </c>
      <c r="E5" s="10" t="n">
        <f aca="false">IF(Cover!$C$9="Downside",D5,C5)</f>
        <v>1000</v>
      </c>
      <c r="F5" s="11" t="s">
        <v>30</v>
      </c>
    </row>
    <row r="6" customFormat="false" ht="15" hidden="false" customHeight="false" outlineLevel="0" collapsed="false">
      <c r="B6" s="0" t="s">
        <v>31</v>
      </c>
      <c r="C6" s="12" t="n">
        <v>0.05</v>
      </c>
      <c r="D6" s="12" t="n">
        <v>0.05</v>
      </c>
      <c r="E6" s="13" t="n">
        <f aca="false">IF(Cover!$C$9="Downside",D6,C6)</f>
        <v>0.05</v>
      </c>
      <c r="F6" s="11" t="s">
        <v>32</v>
      </c>
    </row>
    <row r="7" customFormat="false" ht="15" hidden="false" customHeight="false" outlineLevel="0" collapsed="false">
      <c r="B7" s="0" t="s">
        <v>33</v>
      </c>
      <c r="C7" s="12" t="n">
        <v>0.055</v>
      </c>
      <c r="D7" s="12" t="n">
        <v>0.07</v>
      </c>
      <c r="E7" s="13" t="n">
        <f aca="false">IF(Cover!$C$9="Downside",D7,C7)</f>
        <v>0.055</v>
      </c>
      <c r="F7" s="11" t="s">
        <v>32</v>
      </c>
    </row>
    <row r="8" customFormat="false" ht="15" hidden="false" customHeight="false" outlineLevel="0" collapsed="false">
      <c r="B8" s="0" t="s">
        <v>34</v>
      </c>
      <c r="C8" s="14" t="n">
        <v>10</v>
      </c>
      <c r="D8" s="14" t="n">
        <v>10</v>
      </c>
      <c r="E8" s="15" t="n">
        <f aca="false">IF(Cover!$C$9="Downside",D8,C8)</f>
        <v>10</v>
      </c>
      <c r="F8" s="11" t="s">
        <v>35</v>
      </c>
    </row>
    <row r="9" customFormat="false" ht="15" hidden="false" customHeight="false" outlineLevel="0" collapsed="false">
      <c r="B9" s="0" t="s">
        <v>36</v>
      </c>
      <c r="C9" s="16" t="n">
        <v>2</v>
      </c>
      <c r="D9" s="16" t="n">
        <v>2</v>
      </c>
      <c r="E9" s="17" t="n">
        <f aca="false">IF(Cover!$C$9="Downside",D9,C9)</f>
        <v>2</v>
      </c>
      <c r="F9" s="11" t="s">
        <v>37</v>
      </c>
    </row>
    <row r="10" customFormat="false" ht="15" hidden="false" customHeight="false" outlineLevel="0" collapsed="false">
      <c r="B10" s="0" t="s">
        <v>38</v>
      </c>
      <c r="C10" s="12" t="n">
        <v>0.01</v>
      </c>
      <c r="D10" s="12" t="n">
        <v>0.02</v>
      </c>
      <c r="E10" s="13" t="n">
        <f aca="false">IF(Cover!$C$9="Downside",D10,C10)</f>
        <v>0.01</v>
      </c>
      <c r="F10" s="11" t="s">
        <v>32</v>
      </c>
    </row>
    <row r="11" customFormat="false" ht="15" hidden="false" customHeight="false" outlineLevel="0" collapsed="false">
      <c r="B11" s="0" t="s">
        <v>39</v>
      </c>
      <c r="C11" s="18" t="n">
        <v>0.0001</v>
      </c>
      <c r="D11" s="18" t="n">
        <v>0.0001</v>
      </c>
      <c r="E11" s="19" t="n">
        <f aca="false">IF(Cover!$C$9="Downside",D11,C11)</f>
        <v>0.0001</v>
      </c>
      <c r="F11" s="11" t="s">
        <v>32</v>
      </c>
    </row>
    <row r="12" customFormat="false" ht="15" hidden="false" customHeight="false" outlineLevel="0" collapsed="false">
      <c r="B12" s="0" t="s">
        <v>40</v>
      </c>
      <c r="C12" s="14" t="n">
        <v>1</v>
      </c>
      <c r="D12" s="14" t="n">
        <v>1</v>
      </c>
      <c r="E12" s="15" t="n">
        <f aca="false">IF(Cover!$C$9="Downside",D12,C12)</f>
        <v>1</v>
      </c>
      <c r="F12" s="11" t="s">
        <v>35</v>
      </c>
    </row>
    <row r="13" customFormat="false" ht="15" hidden="false" customHeight="false" outlineLevel="0" collapsed="false">
      <c r="B13" s="0" t="s">
        <v>41</v>
      </c>
      <c r="C13" s="12" t="n">
        <v>0.045</v>
      </c>
      <c r="D13" s="12" t="n">
        <v>0.06</v>
      </c>
      <c r="E13" s="13" t="n">
        <f aca="false">IF(Cover!$C$9="Downside",D13,C13)</f>
        <v>0.045</v>
      </c>
      <c r="F13" s="11" t="s">
        <v>32</v>
      </c>
    </row>
    <row r="14" customFormat="false" ht="15" hidden="false" customHeight="false" outlineLevel="0" collapsed="false">
      <c r="B14" s="0" t="s">
        <v>42</v>
      </c>
      <c r="C14" s="20" t="n">
        <v>50</v>
      </c>
      <c r="D14" s="20" t="n">
        <v>50</v>
      </c>
      <c r="E14" s="21" t="n">
        <f aca="false">IF(Cover!$C$9="Downside",D14,C14)</f>
        <v>50</v>
      </c>
      <c r="F14" s="11" t="s">
        <v>43</v>
      </c>
    </row>
  </sheetData>
  <mergeCells count="1">
    <mergeCell ref="B2:F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G1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4"/>
    <col collapsed="false" customWidth="true" hidden="false" outlineLevel="0" max="2" min="2" style="0" width="14"/>
    <col collapsed="false" customWidth="true" hidden="false" outlineLevel="0" max="5" min="3" style="0" width="16"/>
    <col collapsed="false" customWidth="true" hidden="false" outlineLevel="0" max="6" min="6" style="0" width="18"/>
    <col collapsed="false" customWidth="true" hidden="false" outlineLevel="0" max="7" min="7" style="0" width="16"/>
  </cols>
  <sheetData>
    <row r="2" customFormat="false" ht="27.75" hidden="false" customHeight="true" outlineLevel="0" collapsed="false">
      <c r="B2" s="1" t="s">
        <v>44</v>
      </c>
      <c r="C2" s="1"/>
      <c r="D2" s="1"/>
      <c r="E2" s="1"/>
      <c r="F2" s="1"/>
      <c r="G2" s="1"/>
    </row>
    <row r="4" customFormat="false" ht="15" hidden="false" customHeight="false" outlineLevel="0" collapsed="false">
      <c r="B4" s="8" t="s">
        <v>45</v>
      </c>
      <c r="C4" s="8" t="s">
        <v>46</v>
      </c>
      <c r="D4" s="8" t="s">
        <v>47</v>
      </c>
      <c r="E4" s="8" t="s">
        <v>48</v>
      </c>
      <c r="F4" s="8" t="s">
        <v>49</v>
      </c>
      <c r="G4" s="8" t="s">
        <v>50</v>
      </c>
    </row>
    <row r="5" customFormat="false" ht="15" hidden="false" customHeight="false" outlineLevel="0" collapsed="false">
      <c r="B5" s="22" t="n">
        <v>0.25</v>
      </c>
      <c r="C5" s="12" t="n">
        <v>0.048</v>
      </c>
      <c r="D5" s="12" t="n">
        <v>0.053</v>
      </c>
      <c r="E5" s="13" t="n">
        <f aca="false">IF(Cover!$C$9="Downside",D5,C5)</f>
        <v>0.048</v>
      </c>
      <c r="F5" s="23" t="n">
        <f aca="false">EXP(-E5*B5)</f>
        <v>0.988071712861931</v>
      </c>
      <c r="G5" s="13" t="n">
        <f aca="false">E5</f>
        <v>0.048</v>
      </c>
    </row>
    <row r="6" customFormat="false" ht="15" hidden="false" customHeight="false" outlineLevel="0" collapsed="false">
      <c r="B6" s="22" t="n">
        <v>0.5</v>
      </c>
      <c r="C6" s="12" t="n">
        <v>0.047</v>
      </c>
      <c r="D6" s="12" t="n">
        <v>0.052</v>
      </c>
      <c r="E6" s="13" t="n">
        <f aca="false">IF(Cover!$C$9="Downside",D6,C6)</f>
        <v>0.047</v>
      </c>
      <c r="F6" s="23" t="n">
        <f aca="false">EXP(-E6*B6)</f>
        <v>0.976773974668844</v>
      </c>
      <c r="G6" s="13" t="n">
        <f aca="false">IFERROR(-LN(F6/F5)/(B6-B5),0)</f>
        <v>0.0459999999999999</v>
      </c>
    </row>
    <row r="7" customFormat="false" ht="15" hidden="false" customHeight="false" outlineLevel="0" collapsed="false">
      <c r="B7" s="22" t="n">
        <v>1</v>
      </c>
      <c r="C7" s="12" t="n">
        <v>0.045</v>
      </c>
      <c r="D7" s="12" t="n">
        <v>0.05</v>
      </c>
      <c r="E7" s="13" t="n">
        <f aca="false">IF(Cover!$C$9="Downside",D7,C7)</f>
        <v>0.045</v>
      </c>
      <c r="F7" s="23" t="n">
        <f aca="false">EXP(-E7*B7)</f>
        <v>0.9559974818331</v>
      </c>
      <c r="G7" s="13" t="n">
        <f aca="false">IFERROR(-LN(F7/F6)/(B7-B6),0)</f>
        <v>0.0429999999999999</v>
      </c>
    </row>
    <row r="8" customFormat="false" ht="15" hidden="false" customHeight="false" outlineLevel="0" collapsed="false">
      <c r="B8" s="22" t="n">
        <v>2</v>
      </c>
      <c r="C8" s="12" t="n">
        <v>0.043</v>
      </c>
      <c r="D8" s="12" t="n">
        <v>0.048</v>
      </c>
      <c r="E8" s="13" t="n">
        <f aca="false">IF(Cover!$C$9="Downside",D8,C8)</f>
        <v>0.043</v>
      </c>
      <c r="F8" s="23" t="n">
        <f aca="false">EXP(-E8*B8)</f>
        <v>0.917594231220151</v>
      </c>
      <c r="G8" s="13" t="n">
        <f aca="false">IFERROR(-LN(F8/F7)/(B8-B7),0)</f>
        <v>0.0410000000000001</v>
      </c>
    </row>
    <row r="9" customFormat="false" ht="15" hidden="false" customHeight="false" outlineLevel="0" collapsed="false">
      <c r="B9" s="22" t="n">
        <v>3</v>
      </c>
      <c r="C9" s="12" t="n">
        <v>0.042</v>
      </c>
      <c r="D9" s="12" t="n">
        <v>0.047</v>
      </c>
      <c r="E9" s="13" t="n">
        <f aca="false">IF(Cover!$C$9="Downside",D9,C9)</f>
        <v>0.042</v>
      </c>
      <c r="F9" s="23" t="n">
        <f aca="false">EXP(-E9*B9)</f>
        <v>0.881614846783416</v>
      </c>
      <c r="G9" s="13" t="n">
        <f aca="false">IFERROR(-LN(F9/F8)/(B9-B8),0)</f>
        <v>0.0399999999999999</v>
      </c>
    </row>
    <row r="10" customFormat="false" ht="15" hidden="false" customHeight="false" outlineLevel="0" collapsed="false">
      <c r="B10" s="22" t="n">
        <v>5</v>
      </c>
      <c r="C10" s="12" t="n">
        <v>0.043</v>
      </c>
      <c r="D10" s="12" t="n">
        <v>0.055</v>
      </c>
      <c r="E10" s="13" t="n">
        <f aca="false">IF(Cover!$C$9="Downside",D10,C10)</f>
        <v>0.043</v>
      </c>
      <c r="F10" s="23" t="n">
        <f aca="false">EXP(-E10*B10)</f>
        <v>0.806541440177327</v>
      </c>
      <c r="G10" s="13" t="n">
        <f aca="false">IFERROR(-LN(F10/F9)/(B10-B9),0)</f>
        <v>0.0445</v>
      </c>
    </row>
    <row r="11" customFormat="false" ht="15" hidden="false" customHeight="false" outlineLevel="0" collapsed="false">
      <c r="B11" s="22" t="n">
        <v>7</v>
      </c>
      <c r="C11" s="12" t="n">
        <v>0.045</v>
      </c>
      <c r="D11" s="12" t="n">
        <v>0.057</v>
      </c>
      <c r="E11" s="13" t="n">
        <f aca="false">IF(Cover!$C$9="Downside",D11,C11)</f>
        <v>0.045</v>
      </c>
      <c r="F11" s="23" t="n">
        <f aca="false">EXP(-E11*B11)</f>
        <v>0.729788874269057</v>
      </c>
      <c r="G11" s="13" t="n">
        <f aca="false">IFERROR(-LN(F11/F10)/(B11-B10),0)</f>
        <v>0.05</v>
      </c>
    </row>
    <row r="12" customFormat="false" ht="15" hidden="false" customHeight="false" outlineLevel="0" collapsed="false">
      <c r="B12" s="22" t="n">
        <v>10</v>
      </c>
      <c r="C12" s="12" t="n">
        <v>0.047</v>
      </c>
      <c r="D12" s="12" t="n">
        <v>0.059</v>
      </c>
      <c r="E12" s="13" t="n">
        <f aca="false">IF(Cover!$C$9="Downside",D12,C12)</f>
        <v>0.047</v>
      </c>
      <c r="F12" s="23" t="n">
        <f aca="false">EXP(-E12*B12)</f>
        <v>0.625002268282701</v>
      </c>
      <c r="G12" s="13" t="n">
        <f aca="false">IFERROR(-LN(F12/F11)/(B12-B11),0)</f>
        <v>0.0516666666666667</v>
      </c>
    </row>
    <row r="13" customFormat="false" ht="15" hidden="false" customHeight="false" outlineLevel="0" collapsed="false">
      <c r="B13" s="22" t="n">
        <v>20</v>
      </c>
      <c r="C13" s="12" t="n">
        <v>0.049</v>
      </c>
      <c r="D13" s="12" t="n">
        <v>0.061</v>
      </c>
      <c r="E13" s="13" t="n">
        <f aca="false">IF(Cover!$C$9="Downside",D13,C13)</f>
        <v>0.049</v>
      </c>
      <c r="F13" s="23" t="n">
        <f aca="false">EXP(-E13*B13)</f>
        <v>0.3753110988514</v>
      </c>
      <c r="G13" s="13" t="n">
        <f aca="false">IFERROR(-LN(F13/F12)/(B13-B12),0)</f>
        <v>0.051</v>
      </c>
    </row>
    <row r="14" customFormat="false" ht="15" hidden="false" customHeight="false" outlineLevel="0" collapsed="false">
      <c r="B14" s="22" t="n">
        <v>30</v>
      </c>
      <c r="C14" s="12" t="n">
        <v>0.05</v>
      </c>
      <c r="D14" s="12" t="n">
        <v>0.062</v>
      </c>
      <c r="E14" s="13" t="n">
        <f aca="false">IF(Cover!$C$9="Downside",D14,C14)</f>
        <v>0.05</v>
      </c>
      <c r="F14" s="23" t="n">
        <f aca="false">EXP(-E14*B14)</f>
        <v>0.22313016014843</v>
      </c>
      <c r="G14" s="13" t="n">
        <f aca="false">IFERROR(-LN(F14/F13)/(B14-B13),0)</f>
        <v>0.052</v>
      </c>
    </row>
  </sheetData>
  <mergeCells count="1">
    <mergeCell ref="B2:G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E1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4"/>
    <col collapsed="false" customWidth="true" hidden="false" outlineLevel="0" max="2" min="2" style="0" width="34"/>
    <col collapsed="false" customWidth="true" hidden="false" outlineLevel="0" max="3" min="3" style="0" width="18"/>
    <col collapsed="false" customWidth="true" hidden="false" outlineLevel="0" max="4" min="4" style="0" width="16"/>
    <col collapsed="false" customWidth="true" hidden="false" outlineLevel="0" max="5" min="5" style="0" width="44"/>
  </cols>
  <sheetData>
    <row r="2" customFormat="false" ht="27.75" hidden="false" customHeight="true" outlineLevel="0" collapsed="false">
      <c r="B2" s="1" t="s">
        <v>51</v>
      </c>
      <c r="C2" s="1"/>
      <c r="D2" s="1"/>
      <c r="E2" s="1"/>
    </row>
    <row r="4" customFormat="false" ht="15" hidden="false" customHeight="false" outlineLevel="0" collapsed="false">
      <c r="B4" s="8" t="s">
        <v>52</v>
      </c>
      <c r="C4" s="8" t="s">
        <v>53</v>
      </c>
      <c r="D4" s="8" t="s">
        <v>54</v>
      </c>
      <c r="E4" s="8" t="s">
        <v>55</v>
      </c>
    </row>
    <row r="5" customFormat="false" ht="15" hidden="false" customHeight="false" outlineLevel="0" collapsed="false">
      <c r="B5" s="0" t="s">
        <v>56</v>
      </c>
      <c r="C5" s="10" t="n">
        <f aca="false">-PV(Assumptions!E7/Assumptions!E9,Assumptions!E8*Assumptions!E9,Assumptions!E5*Assumptions!E6/Assumptions!E9,Assumptions!E5)</f>
        <v>961.931869665561</v>
      </c>
      <c r="D5" s="11" t="s">
        <v>30</v>
      </c>
      <c r="E5" s="11" t="s">
        <v>57</v>
      </c>
    </row>
    <row r="6" customFormat="false" ht="15" hidden="false" customHeight="false" outlineLevel="0" collapsed="false">
      <c r="B6" s="0" t="s">
        <v>58</v>
      </c>
      <c r="C6" s="10" t="n">
        <f aca="false">-PV((Assumptions!E7+Assumptions!E11)/Assumptions!E9,Assumptions!E8*Assumptions!E9,Assumptions!E5*Assumptions!E6/Assumptions!E9,Assumptions!E5)</f>
        <v>961.188644691696</v>
      </c>
      <c r="D6" s="11" t="s">
        <v>30</v>
      </c>
      <c r="E6" s="11" t="s">
        <v>59</v>
      </c>
    </row>
    <row r="7" customFormat="false" ht="15" hidden="false" customHeight="false" outlineLevel="0" collapsed="false">
      <c r="B7" s="0" t="s">
        <v>60</v>
      </c>
      <c r="C7" s="10" t="n">
        <f aca="false">-PV((Assumptions!E7-Assumptions!E11)/Assumptions!E9,Assumptions!E8*Assumptions!E9,Assumptions!E5*Assumptions!E6/Assumptions!E9,Assumptions!E5)</f>
        <v>962.675794030779</v>
      </c>
      <c r="D7" s="11" t="s">
        <v>30</v>
      </c>
      <c r="E7" s="11" t="s">
        <v>59</v>
      </c>
    </row>
    <row r="8" customFormat="false" ht="15" hidden="false" customHeight="false" outlineLevel="0" collapsed="false">
      <c r="B8" s="0" t="s">
        <v>61</v>
      </c>
      <c r="C8" s="24" t="n">
        <f aca="false">IFERROR((C7-C6)/(2*C5*Assumptions!E11),0)</f>
        <v>7.73001387093792</v>
      </c>
      <c r="D8" s="11" t="s">
        <v>35</v>
      </c>
      <c r="E8" s="11" t="s">
        <v>62</v>
      </c>
    </row>
    <row r="9" customFormat="false" ht="15" hidden="false" customHeight="false" outlineLevel="0" collapsed="false">
      <c r="B9" s="0" t="s">
        <v>63</v>
      </c>
      <c r="C9" s="24" t="n">
        <f aca="false">IFERROR((C6+C7-2*C5)/(C5*Assumptions!E11^2),0)</f>
        <v>72.7069530665119</v>
      </c>
      <c r="D9" s="11" t="s">
        <v>64</v>
      </c>
      <c r="E9" s="11" t="s">
        <v>65</v>
      </c>
    </row>
    <row r="10" customFormat="false" ht="15" hidden="false" customHeight="false" outlineLevel="0" collapsed="false">
      <c r="B10" s="0" t="s">
        <v>66</v>
      </c>
      <c r="C10" s="10" t="n">
        <f aca="false">(C7-C6)/2</f>
        <v>0.743574669541204</v>
      </c>
      <c r="D10" s="11" t="s">
        <v>30</v>
      </c>
      <c r="E10" s="11" t="s">
        <v>67</v>
      </c>
    </row>
    <row r="11" customFormat="false" ht="15" hidden="false" customHeight="false" outlineLevel="0" collapsed="false">
      <c r="B11" s="0" t="s">
        <v>68</v>
      </c>
      <c r="C11" s="13" t="n">
        <f aca="false">Assumptions!E5*Assumptions!E6/C5</f>
        <v>0.0519787331896839</v>
      </c>
      <c r="D11" s="11" t="s">
        <v>32</v>
      </c>
      <c r="E11" s="11" t="s">
        <v>69</v>
      </c>
    </row>
    <row r="12" customFormat="false" ht="15" hidden="false" customHeight="false" outlineLevel="0" collapsed="false">
      <c r="B12" s="0" t="s">
        <v>70</v>
      </c>
      <c r="C12" s="10" t="n">
        <f aca="false">-PV((Assumptions!E7+Assumptions!E10)/Assumptions!E9,Assumptions!E8*Assumptions!E9,Assumptions!E5*Assumptions!E6/Assumptions!E9,Assumptions!E5)</f>
        <v>890.954903897993</v>
      </c>
      <c r="D12" s="11" t="s">
        <v>30</v>
      </c>
      <c r="E12" s="11" t="s">
        <v>71</v>
      </c>
    </row>
    <row r="13" customFormat="false" ht="15" hidden="false" customHeight="false" outlineLevel="0" collapsed="false">
      <c r="B13" s="0" t="s">
        <v>72</v>
      </c>
      <c r="C13" s="10" t="n">
        <f aca="false">C5*(1-C8*Assumptions!E10+0.5*C9*Assumptions!E10^2)</f>
        <v>891.071359476488</v>
      </c>
      <c r="D13" s="11" t="s">
        <v>30</v>
      </c>
      <c r="E13" s="11" t="s">
        <v>73</v>
      </c>
    </row>
    <row r="14" customFormat="false" ht="15" hidden="false" customHeight="false" outlineLevel="0" collapsed="false">
      <c r="B14" s="0" t="s">
        <v>74</v>
      </c>
      <c r="C14" s="10" t="n">
        <f aca="false">C12-C13</f>
        <v>-0.116455578494993</v>
      </c>
      <c r="D14" s="11" t="s">
        <v>30</v>
      </c>
      <c r="E14" s="11" t="s">
        <v>75</v>
      </c>
    </row>
  </sheetData>
  <mergeCells count="1">
    <mergeCell ref="B2:E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L12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4"/>
    <col collapsed="false" customWidth="true" hidden="false" outlineLevel="0" max="2" min="2" style="0" width="24"/>
    <col collapsed="false" customWidth="true" hidden="false" outlineLevel="0" max="3" min="3" style="0" width="16"/>
    <col collapsed="false" customWidth="true" hidden="false" outlineLevel="0" max="6" min="4" style="0" width="13"/>
    <col collapsed="false" customWidth="true" hidden="false" outlineLevel="0" max="11" min="7" style="0" width="14"/>
    <col collapsed="false" customWidth="true" hidden="false" outlineLevel="0" max="12" min="12" style="0" width="16"/>
  </cols>
  <sheetData>
    <row r="2" customFormat="false" ht="27.75" hidden="false" customHeight="true" outlineLevel="0" collapsed="false">
      <c r="B2" s="1" t="s">
        <v>76</v>
      </c>
      <c r="C2" s="1"/>
      <c r="D2" s="1"/>
      <c r="E2" s="1"/>
      <c r="F2" s="1"/>
      <c r="G2" s="1"/>
      <c r="H2" s="1"/>
      <c r="I2" s="1"/>
      <c r="J2" s="1"/>
      <c r="K2" s="1"/>
    </row>
    <row r="4" customFormat="false" ht="15" hidden="false" customHeight="false" outlineLevel="0" collapsed="false">
      <c r="B4" s="8" t="s">
        <v>77</v>
      </c>
      <c r="C4" s="8" t="s">
        <v>78</v>
      </c>
      <c r="D4" s="8" t="s">
        <v>79</v>
      </c>
      <c r="E4" s="8" t="s">
        <v>80</v>
      </c>
      <c r="F4" s="8" t="s">
        <v>34</v>
      </c>
      <c r="G4" s="8" t="s">
        <v>81</v>
      </c>
      <c r="H4" s="8" t="s">
        <v>56</v>
      </c>
      <c r="I4" s="8" t="s">
        <v>82</v>
      </c>
      <c r="J4" s="8" t="s">
        <v>83</v>
      </c>
      <c r="K4" s="8" t="s">
        <v>66</v>
      </c>
    </row>
    <row r="5" customFormat="false" ht="15" hidden="false" customHeight="false" outlineLevel="0" collapsed="false">
      <c r="B5" s="14" t="s">
        <v>84</v>
      </c>
      <c r="C5" s="20" t="n">
        <v>30</v>
      </c>
      <c r="D5" s="12" t="n">
        <v>0.045</v>
      </c>
      <c r="E5" s="12" t="n">
        <v>0.044</v>
      </c>
      <c r="F5" s="14" t="n">
        <v>2</v>
      </c>
      <c r="G5" s="14" t="n">
        <v>0</v>
      </c>
      <c r="H5" s="10" t="n">
        <f aca="false">-PV(E5/2,F5*2,100*D5/2,100)</f>
        <v>100.189466000932</v>
      </c>
      <c r="I5" s="24" t="n">
        <f aca="false">IFERROR(((-PV((E5-0.0001)/2,F5*2,100*D5/2,100))-(-PV((E5+0.0001)/2,F5*2,100*D5/2,100)))/(2*H5*0.0001),0)</f>
        <v>1.89336488133126</v>
      </c>
      <c r="J5" s="24" t="n">
        <f aca="false">IFERROR(((-PV((E5+0.0001)/2,F5*2,100*D5/2,100))+(-PV((E5-0.0001)/2,F5*2,100*D5/2,100))-2*H5)/(H5*0.0001^2),0)</f>
        <v>4.58004825211457</v>
      </c>
      <c r="K5" s="21" t="n">
        <f aca="false">C5*I5*0.0001</f>
        <v>0.00568009464399378</v>
      </c>
      <c r="L5" s="24"/>
    </row>
    <row r="6" customFormat="false" ht="15" hidden="false" customHeight="false" outlineLevel="0" collapsed="false">
      <c r="B6" s="14" t="s">
        <v>85</v>
      </c>
      <c r="C6" s="20" t="n">
        <v>40</v>
      </c>
      <c r="D6" s="12" t="n">
        <v>0.043</v>
      </c>
      <c r="E6" s="12" t="n">
        <v>0.045</v>
      </c>
      <c r="F6" s="14" t="n">
        <v>5</v>
      </c>
      <c r="G6" s="14" t="n">
        <v>0</v>
      </c>
      <c r="H6" s="10" t="n">
        <f aca="false">-PV(E6/2,F6*2,100*D6/2,100)</f>
        <v>99.1133783651132</v>
      </c>
      <c r="I6" s="24" t="n">
        <f aca="false">IFERROR(((-PV((E6-0.0001)/2,F6*2,100*D6/2,100))-(-PV((E6+0.0001)/2,F6*2,100*D6/2,100)))/(2*H6*0.0001),0)</f>
        <v>4.44950833441694</v>
      </c>
      <c r="J6" s="24" t="n">
        <f aca="false">IFERROR(((-PV((E6+0.0001)/2,F6*2,100*D6/2,100))+(-PV((E6-0.0001)/2,F6*2,100*D6/2,100))-2*H6)/(H6*0.0001^2),0)</f>
        <v>23.1671250475456</v>
      </c>
      <c r="K6" s="21" t="n">
        <f aca="false">C6*I6*0.0001</f>
        <v>0.0177980333376678</v>
      </c>
      <c r="L6" s="24"/>
    </row>
    <row r="7" customFormat="false" ht="15" hidden="false" customHeight="false" outlineLevel="0" collapsed="false">
      <c r="B7" s="14" t="s">
        <v>86</v>
      </c>
      <c r="C7" s="20" t="n">
        <v>50</v>
      </c>
      <c r="D7" s="12" t="n">
        <v>0.05</v>
      </c>
      <c r="E7" s="12" t="n">
        <v>0.055</v>
      </c>
      <c r="F7" s="14" t="n">
        <v>10</v>
      </c>
      <c r="G7" s="14" t="n">
        <v>0</v>
      </c>
      <c r="H7" s="10" t="n">
        <f aca="false">-PV(E7/2,F7*2,100*D7/2,100)</f>
        <v>96.1931869665561</v>
      </c>
      <c r="I7" s="24" t="n">
        <f aca="false">IFERROR(((-PV((E7-0.0001)/2,F7*2,100*D7/2,100))-(-PV((E7+0.0001)/2,F7*2,100*D7/2,100)))/(2*H7*0.0001),0)</f>
        <v>7.73001387093704</v>
      </c>
      <c r="J7" s="24" t="n">
        <f aca="false">IFERROR(((-PV((E7+0.0001)/2,F7*2,100*D7/2,100))+(-PV((E7-0.0001)/2,F7*2,100*D7/2,100))-2*H7)/(H7*0.0001^2),0)</f>
        <v>72.7069530960584</v>
      </c>
      <c r="K7" s="21" t="n">
        <f aca="false">C7*I7*0.0001</f>
        <v>0.0386500693546852</v>
      </c>
      <c r="L7" s="24"/>
    </row>
    <row r="8" customFormat="false" ht="15" hidden="false" customHeight="false" outlineLevel="0" collapsed="false">
      <c r="B8" s="14" t="s">
        <v>87</v>
      </c>
      <c r="C8" s="20" t="n">
        <v>45</v>
      </c>
      <c r="D8" s="12" t="n">
        <v>0.06</v>
      </c>
      <c r="E8" s="12" t="n">
        <v>0.068</v>
      </c>
      <c r="F8" s="14" t="n">
        <v>7</v>
      </c>
      <c r="G8" s="14" t="n">
        <v>5.5</v>
      </c>
      <c r="H8" s="10" t="n">
        <f aca="false">-PV(E8/2,F8*2,100*D8/2,100)</f>
        <v>95.602342663271</v>
      </c>
      <c r="I8" s="24" t="n">
        <f aca="false">IFERROR(((-PV((E8-0.0001)/2,F8*2,100*D8/2,100))-(-PV((E8+0.0001)/2,F8*2,100*D8/2,100)))/(2*H8*0.0001),0)</f>
        <v>5.59514968086704</v>
      </c>
      <c r="J8" s="24" t="n">
        <f aca="false">IFERROR(((-PV((E8+0.0001)/2,F8*2,100*D8/2,100))+(-PV((E8-0.0001)/2,F8*2,100*D8/2,100))-2*H8)/(H8*0.0001^2),0)</f>
        <v>37.9276522067983</v>
      </c>
      <c r="K8" s="21" t="n">
        <f aca="false">C8*I8*0.0001</f>
        <v>0.0251781735639017</v>
      </c>
      <c r="L8" s="24"/>
    </row>
    <row r="9" customFormat="false" ht="15" hidden="false" customHeight="false" outlineLevel="0" collapsed="false">
      <c r="B9" s="14" t="s">
        <v>88</v>
      </c>
      <c r="C9" s="20" t="n">
        <v>25</v>
      </c>
      <c r="D9" s="12" t="n">
        <v>0.085</v>
      </c>
      <c r="E9" s="12" t="n">
        <v>0.105</v>
      </c>
      <c r="F9" s="14" t="n">
        <v>5</v>
      </c>
      <c r="G9" s="14" t="n">
        <v>3.8</v>
      </c>
      <c r="H9" s="10" t="n">
        <f aca="false">-PV(E9/2,F9*2,100*D9/2,100)</f>
        <v>92.3711595277973</v>
      </c>
      <c r="I9" s="24" t="n">
        <f aca="false">IFERROR(((-PV((E9-0.0001)/2,F9*2,100*D9/2,100))-(-PV((E9+0.0001)/2,F9*2,100*D9/2,100)))/(2*H9*0.0001),0)</f>
        <v>3.93014873032941</v>
      </c>
      <c r="J9" s="24" t="n">
        <f aca="false">IFERROR(((-PV((E9+0.0001)/2,F9*2,100*D9/2,100))+(-PV((E9-0.0001)/2,F9*2,100*D9/2,100))-2*H9)/(H9*0.0001^2),0)</f>
        <v>19.2026958764139</v>
      </c>
      <c r="K9" s="21" t="n">
        <f aca="false">C9*I9*0.0001</f>
        <v>0.00982537182582354</v>
      </c>
      <c r="L9" s="24"/>
    </row>
    <row r="10" customFormat="false" ht="15" hidden="false" customHeight="false" outlineLevel="0" collapsed="false">
      <c r="B10" s="14" t="s">
        <v>89</v>
      </c>
      <c r="C10" s="20" t="n">
        <v>20</v>
      </c>
      <c r="D10" s="12" t="n">
        <v>0.04</v>
      </c>
      <c r="E10" s="12" t="n">
        <v>0.046</v>
      </c>
      <c r="F10" s="14" t="n">
        <v>12</v>
      </c>
      <c r="G10" s="14" t="n">
        <v>7.5</v>
      </c>
      <c r="H10" s="10" t="n">
        <f aca="false">-PV(E10/2,F10*2,100*D10/2,100)</f>
        <v>94.514022674657</v>
      </c>
      <c r="I10" s="24" t="n">
        <f aca="false">IFERROR(((-PV((E10-0.0001)/2,F10*2,100*D10/2,100))-(-PV((E10+0.0001)/2,F10*2,100*D10/2,100)))/(2*H10*0.0001),0)</f>
        <v>9.35015135658426</v>
      </c>
      <c r="J10" s="24" t="n">
        <f aca="false">IFERROR(((-PV((E10+0.0001)/2,F10*2,100*D10/2,100))+(-PV((E10-0.0001)/2,F10*2,100*D10/2,100))-2*H10)/(H10*0.0001^2),0)</f>
        <v>105.33354827567</v>
      </c>
      <c r="K10" s="21" t="n">
        <f aca="false">C10*I10*0.0001</f>
        <v>0.0187003027131685</v>
      </c>
      <c r="L10" s="24"/>
    </row>
    <row r="12" customFormat="false" ht="15" hidden="false" customHeight="false" outlineLevel="0" collapsed="false">
      <c r="B12" s="25" t="s">
        <v>90</v>
      </c>
      <c r="C12" s="26" t="n">
        <f aca="false">SUM(C5:C10)</f>
        <v>210</v>
      </c>
      <c r="D12" s="25"/>
      <c r="E12" s="25"/>
      <c r="F12" s="25"/>
      <c r="G12" s="27" t="n">
        <f aca="false">SUMPRODUCT(C5:C10,G5:G10)/SUM(C5:C10)</f>
        <v>2.3452380952381</v>
      </c>
      <c r="H12" s="25"/>
      <c r="I12" s="27" t="n">
        <f aca="false">SUMPRODUCT(C5:C10,I5:I10)/SUM(C5:C10)</f>
        <v>5.51581168758288</v>
      </c>
      <c r="J12" s="27" t="n">
        <f aca="false">SUMPRODUCT(C5:C10,J5:J10)/SUM(C5:C10)</f>
        <v>42.8234134095136</v>
      </c>
      <c r="K12" s="26" t="n">
        <f aca="false">SUM(K5:K10)</f>
        <v>0.11583204543924</v>
      </c>
      <c r="L12" s="27"/>
    </row>
  </sheetData>
  <mergeCells count="1">
    <mergeCell ref="B2:K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H12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4"/>
    <col collapsed="false" customWidth="true" hidden="false" outlineLevel="0" max="2" min="2" style="0" width="24"/>
    <col collapsed="false" customWidth="true" hidden="false" outlineLevel="0" max="7" min="3" style="0" width="14"/>
    <col collapsed="false" customWidth="true" hidden="false" outlineLevel="0" max="8" min="8" style="0" width="16"/>
  </cols>
  <sheetData>
    <row r="2" customFormat="false" ht="27.75" hidden="false" customHeight="true" outlineLevel="0" collapsed="false">
      <c r="B2" s="1" t="s">
        <v>91</v>
      </c>
      <c r="C2" s="1"/>
      <c r="D2" s="1"/>
      <c r="E2" s="1"/>
      <c r="F2" s="1"/>
      <c r="G2" s="1"/>
      <c r="H2" s="1"/>
    </row>
    <row r="4" customFormat="false" ht="15" hidden="false" customHeight="false" outlineLevel="0" collapsed="false">
      <c r="B4" s="8" t="s">
        <v>77</v>
      </c>
      <c r="C4" s="8" t="s">
        <v>92</v>
      </c>
      <c r="D4" s="8" t="s">
        <v>93</v>
      </c>
      <c r="E4" s="8" t="s">
        <v>94</v>
      </c>
      <c r="F4" s="8" t="s">
        <v>95</v>
      </c>
      <c r="G4" s="8" t="s">
        <v>96</v>
      </c>
      <c r="H4" s="8" t="s">
        <v>97</v>
      </c>
    </row>
    <row r="5" customFormat="false" ht="15" hidden="false" customHeight="false" outlineLevel="0" collapsed="false">
      <c r="B5" s="0" t="str">
        <f aca="false">Portfolio!B5</f>
        <v>2Y Treasury</v>
      </c>
      <c r="C5" s="21" t="n">
        <f aca="false">Portfolio!K5*MAX(0,1-ABS(Portfolio!F5-2)/MAX(2,2))</f>
        <v>0.00568009464399378</v>
      </c>
      <c r="D5" s="21" t="n">
        <f aca="false">Portfolio!K5*MAX(0,1-ABS(Portfolio!F5-5)/MAX(2,5))</f>
        <v>0.00227203785759751</v>
      </c>
      <c r="E5" s="21" t="n">
        <f aca="false">Portfolio!K5*MAX(0,1-ABS(Portfolio!F5-10)/MAX(2,10))</f>
        <v>0.00113601892879876</v>
      </c>
      <c r="F5" s="21" t="n">
        <f aca="false">Portfolio!K5*MAX(0,1-ABS(Portfolio!F5-20)/MAX(2,20))</f>
        <v>0.000568009464399378</v>
      </c>
      <c r="G5" s="21" t="n">
        <f aca="false">Portfolio!K5*MAX(0,1-ABS(Portfolio!F5-30)/MAX(2,30))</f>
        <v>0.000378672976266252</v>
      </c>
      <c r="H5" s="21" t="n">
        <f aca="false">SUM(C5:G5)</f>
        <v>0.0100348338710557</v>
      </c>
    </row>
    <row r="6" customFormat="false" ht="15" hidden="false" customHeight="false" outlineLevel="0" collapsed="false">
      <c r="B6" s="0" t="str">
        <f aca="false">Portfolio!B6</f>
        <v>5Y Treasury</v>
      </c>
      <c r="C6" s="21" t="n">
        <f aca="false">Portfolio!K6*MAX(0,1-ABS(Portfolio!F6-2)/MAX(2,2))</f>
        <v>0</v>
      </c>
      <c r="D6" s="21" t="n">
        <f aca="false">Portfolio!K6*MAX(0,1-ABS(Portfolio!F6-5)/MAX(2,5))</f>
        <v>0.0177980333376678</v>
      </c>
      <c r="E6" s="21" t="n">
        <f aca="false">Portfolio!K6*MAX(0,1-ABS(Portfolio!F6-10)/MAX(2,10))</f>
        <v>0.00889901666883388</v>
      </c>
      <c r="F6" s="21" t="n">
        <f aca="false">Portfolio!K6*MAX(0,1-ABS(Portfolio!F6-20)/MAX(2,20))</f>
        <v>0.00444950833441694</v>
      </c>
      <c r="G6" s="21" t="n">
        <f aca="false">Portfolio!K6*MAX(0,1-ABS(Portfolio!F6-30)/MAX(2,30))</f>
        <v>0.00296633888961129</v>
      </c>
      <c r="H6" s="21" t="n">
        <f aca="false">SUM(C6:G6)</f>
        <v>0.0341128972305299</v>
      </c>
    </row>
    <row r="7" customFormat="false" ht="15" hidden="false" customHeight="false" outlineLevel="0" collapsed="false">
      <c r="B7" s="0" t="str">
        <f aca="false">Portfolio!B7</f>
        <v>10Y Treasury</v>
      </c>
      <c r="C7" s="21" t="n">
        <f aca="false">Portfolio!K7*MAX(0,1-ABS(Portfolio!F7-2)/MAX(2,2))</f>
        <v>0</v>
      </c>
      <c r="D7" s="21" t="n">
        <f aca="false">Portfolio!K7*MAX(0,1-ABS(Portfolio!F7-5)/MAX(2,5))</f>
        <v>0</v>
      </c>
      <c r="E7" s="21" t="n">
        <f aca="false">Portfolio!K7*MAX(0,1-ABS(Portfolio!F7-10)/MAX(2,10))</f>
        <v>0.0386500693546852</v>
      </c>
      <c r="F7" s="21" t="n">
        <f aca="false">Portfolio!K7*MAX(0,1-ABS(Portfolio!F7-20)/MAX(2,20))</f>
        <v>0.0193250346773426</v>
      </c>
      <c r="G7" s="21" t="n">
        <f aca="false">Portfolio!K7*MAX(0,1-ABS(Portfolio!F7-30)/MAX(2,30))</f>
        <v>0.0128833564515617</v>
      </c>
      <c r="H7" s="21" t="n">
        <f aca="false">SUM(C7:G7)</f>
        <v>0.0708584604835895</v>
      </c>
    </row>
    <row r="8" customFormat="false" ht="15" hidden="false" customHeight="false" outlineLevel="0" collapsed="false">
      <c r="B8" s="0" t="str">
        <f aca="false">Portfolio!B8</f>
        <v>IG Corporate</v>
      </c>
      <c r="C8" s="21" t="n">
        <f aca="false">Portfolio!K8*MAX(0,1-ABS(Portfolio!F8-2)/MAX(2,2))</f>
        <v>0</v>
      </c>
      <c r="D8" s="21" t="n">
        <f aca="false">Portfolio!K8*MAX(0,1-ABS(Portfolio!F8-5)/MAX(2,5))</f>
        <v>0.015106904138341</v>
      </c>
      <c r="E8" s="21" t="n">
        <f aca="false">Portfolio!K8*MAX(0,1-ABS(Portfolio!F8-10)/MAX(2,10))</f>
        <v>0.0176247214947312</v>
      </c>
      <c r="F8" s="21" t="n">
        <f aca="false">Portfolio!K8*MAX(0,1-ABS(Portfolio!F8-20)/MAX(2,20))</f>
        <v>0.00881236074736558</v>
      </c>
      <c r="G8" s="21" t="n">
        <f aca="false">Portfolio!K8*MAX(0,1-ABS(Portfolio!F8-30)/MAX(2,30))</f>
        <v>0.00587490716491039</v>
      </c>
      <c r="H8" s="21" t="n">
        <f aca="false">SUM(C8:G8)</f>
        <v>0.0474188935453481</v>
      </c>
    </row>
    <row r="9" customFormat="false" ht="15" hidden="false" customHeight="false" outlineLevel="0" collapsed="false">
      <c r="B9" s="0" t="str">
        <f aca="false">Portfolio!B9</f>
        <v>HY Corporate</v>
      </c>
      <c r="C9" s="21" t="n">
        <f aca="false">Portfolio!K9*MAX(0,1-ABS(Portfolio!F9-2)/MAX(2,2))</f>
        <v>0</v>
      </c>
      <c r="D9" s="21" t="n">
        <f aca="false">Portfolio!K9*MAX(0,1-ABS(Portfolio!F9-5)/MAX(2,5))</f>
        <v>0.00982537182582354</v>
      </c>
      <c r="E9" s="21" t="n">
        <f aca="false">Portfolio!K9*MAX(0,1-ABS(Portfolio!F9-10)/MAX(2,10))</f>
        <v>0.00491268591291177</v>
      </c>
      <c r="F9" s="21" t="n">
        <f aca="false">Portfolio!K9*MAX(0,1-ABS(Portfolio!F9-20)/MAX(2,20))</f>
        <v>0.00245634295645588</v>
      </c>
      <c r="G9" s="21" t="n">
        <f aca="false">Portfolio!K9*MAX(0,1-ABS(Portfolio!F9-30)/MAX(2,30))</f>
        <v>0.00163756197097059</v>
      </c>
      <c r="H9" s="21" t="n">
        <f aca="false">SUM(C9:G9)</f>
        <v>0.0188319626661618</v>
      </c>
    </row>
    <row r="10" customFormat="false" ht="15" hidden="false" customHeight="false" outlineLevel="0" collapsed="false">
      <c r="B10" s="0" t="str">
        <f aca="false">Portfolio!B10</f>
        <v>Municipal</v>
      </c>
      <c r="C10" s="21" t="n">
        <f aca="false">Portfolio!K10*MAX(0,1-ABS(Portfolio!F10-2)/MAX(2,2))</f>
        <v>0</v>
      </c>
      <c r="D10" s="21" t="n">
        <f aca="false">Portfolio!K10*MAX(0,1-ABS(Portfolio!F10-5)/MAX(2,5))</f>
        <v>0</v>
      </c>
      <c r="E10" s="21" t="n">
        <f aca="false">Portfolio!K10*MAX(0,1-ABS(Portfolio!F10-10)/MAX(2,10))</f>
        <v>0.0149602421705348</v>
      </c>
      <c r="F10" s="21" t="n">
        <f aca="false">Portfolio!K10*MAX(0,1-ABS(Portfolio!F10-20)/MAX(2,20))</f>
        <v>0.0112201816279011</v>
      </c>
      <c r="G10" s="21" t="n">
        <f aca="false">Portfolio!K10*MAX(0,1-ABS(Portfolio!F10-30)/MAX(2,30))</f>
        <v>0.00748012108526741</v>
      </c>
      <c r="H10" s="21" t="n">
        <f aca="false">SUM(C10:G10)</f>
        <v>0.0336605448837034</v>
      </c>
    </row>
    <row r="12" customFormat="false" ht="15" hidden="false" customHeight="false" outlineLevel="0" collapsed="false">
      <c r="B12" s="25" t="s">
        <v>98</v>
      </c>
      <c r="C12" s="26" t="n">
        <f aca="false">SUM(C5:C10)</f>
        <v>0.00568009464399378</v>
      </c>
      <c r="D12" s="26" t="n">
        <f aca="false">SUM(D5:D10)</f>
        <v>0.0450023471594298</v>
      </c>
      <c r="E12" s="26" t="n">
        <f aca="false">SUM(E5:E10)</f>
        <v>0.0861827545304956</v>
      </c>
      <c r="F12" s="26" t="n">
        <f aca="false">SUM(F5:F10)</f>
        <v>0.0468314378078815</v>
      </c>
      <c r="G12" s="26" t="n">
        <f aca="false">SUM(G5:G10)</f>
        <v>0.0312209585385877</v>
      </c>
      <c r="H12" s="26" t="n">
        <f aca="false">SUM(H5:H10)</f>
        <v>0.214917592680388</v>
      </c>
    </row>
  </sheetData>
  <mergeCells count="1">
    <mergeCell ref="B2:H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G12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4"/>
    <col collapsed="false" customWidth="true" hidden="false" outlineLevel="0" max="2" min="2" style="0" width="24"/>
    <col collapsed="false" customWidth="true" hidden="false" outlineLevel="0" max="6" min="3" style="0" width="16"/>
    <col collapsed="false" customWidth="true" hidden="false" outlineLevel="0" max="7" min="7" style="0" width="18"/>
  </cols>
  <sheetData>
    <row r="2" customFormat="false" ht="27.75" hidden="false" customHeight="true" outlineLevel="0" collapsed="false">
      <c r="B2" s="1" t="s">
        <v>99</v>
      </c>
      <c r="C2" s="1"/>
      <c r="D2" s="1"/>
      <c r="E2" s="1"/>
      <c r="F2" s="1"/>
      <c r="G2" s="1"/>
    </row>
    <row r="4" customFormat="false" ht="15" hidden="false" customHeight="false" outlineLevel="0" collapsed="false">
      <c r="B4" s="8" t="s">
        <v>77</v>
      </c>
      <c r="C4" s="8" t="s">
        <v>100</v>
      </c>
      <c r="D4" s="8" t="s">
        <v>101</v>
      </c>
      <c r="E4" s="8" t="s">
        <v>102</v>
      </c>
      <c r="F4" s="8" t="s">
        <v>103</v>
      </c>
      <c r="G4" s="8" t="s">
        <v>104</v>
      </c>
    </row>
    <row r="5" customFormat="false" ht="15" hidden="false" customHeight="false" outlineLevel="0" collapsed="false">
      <c r="B5" s="0" t="str">
        <f aca="false">Portfolio!B5</f>
        <v>2Y Treasury</v>
      </c>
      <c r="C5" s="21" t="n">
        <f aca="false">Portfolio!C5*Portfolio!D5</f>
        <v>1.35</v>
      </c>
      <c r="D5" s="21" t="n">
        <f aca="false">Portfolio!C5*Assumptions!E13</f>
        <v>1.35</v>
      </c>
      <c r="E5" s="13" t="n">
        <f aca="false">MAX(0,Portfolio!E5-0.002)</f>
        <v>0.042</v>
      </c>
      <c r="F5" s="21" t="n">
        <f aca="false">Portfolio!C5*Portfolio!I5*(Portfolio!E5-E5)</f>
        <v>0.113601892879876</v>
      </c>
      <c r="G5" s="21" t="n">
        <f aca="false">C5-D5+F5</f>
        <v>0.113601892879876</v>
      </c>
    </row>
    <row r="6" customFormat="false" ht="15" hidden="false" customHeight="false" outlineLevel="0" collapsed="false">
      <c r="B6" s="0" t="str">
        <f aca="false">Portfolio!B6</f>
        <v>5Y Treasury</v>
      </c>
      <c r="C6" s="21" t="n">
        <f aca="false">Portfolio!C6*Portfolio!D6</f>
        <v>1.72</v>
      </c>
      <c r="D6" s="21" t="n">
        <f aca="false">Portfolio!C6*Assumptions!E13</f>
        <v>1.8</v>
      </c>
      <c r="E6" s="13" t="n">
        <f aca="false">MAX(0,Portfolio!E6-0.002)</f>
        <v>0.043</v>
      </c>
      <c r="F6" s="21" t="n">
        <f aca="false">Portfolio!C6*Portfolio!I6*(Portfolio!E6-E6)</f>
        <v>0.355960666753355</v>
      </c>
      <c r="G6" s="21" t="n">
        <f aca="false">C6-D6+F6</f>
        <v>0.275960666753355</v>
      </c>
    </row>
    <row r="7" customFormat="false" ht="15" hidden="false" customHeight="false" outlineLevel="0" collapsed="false">
      <c r="B7" s="0" t="str">
        <f aca="false">Portfolio!B7</f>
        <v>10Y Treasury</v>
      </c>
      <c r="C7" s="21" t="n">
        <f aca="false">Portfolio!C7*Portfolio!D7</f>
        <v>2.5</v>
      </c>
      <c r="D7" s="21" t="n">
        <f aca="false">Portfolio!C7*Assumptions!E13</f>
        <v>2.25</v>
      </c>
      <c r="E7" s="13" t="n">
        <f aca="false">MAX(0,Portfolio!E7-0.002)</f>
        <v>0.053</v>
      </c>
      <c r="F7" s="21" t="n">
        <f aca="false">Portfolio!C7*Portfolio!I7*(Portfolio!E7-E7)</f>
        <v>0.773001387093704</v>
      </c>
      <c r="G7" s="21" t="n">
        <f aca="false">C7-D7+F7</f>
        <v>1.0230013870937</v>
      </c>
    </row>
    <row r="8" customFormat="false" ht="15" hidden="false" customHeight="false" outlineLevel="0" collapsed="false">
      <c r="B8" s="0" t="str">
        <f aca="false">Portfolio!B8</f>
        <v>IG Corporate</v>
      </c>
      <c r="C8" s="21" t="n">
        <f aca="false">Portfolio!C8*Portfolio!D8</f>
        <v>2.7</v>
      </c>
      <c r="D8" s="21" t="n">
        <f aca="false">Portfolio!C8*Assumptions!E13</f>
        <v>2.025</v>
      </c>
      <c r="E8" s="13" t="n">
        <f aca="false">MAX(0,Portfolio!E8-0.002)</f>
        <v>0.066</v>
      </c>
      <c r="F8" s="21" t="n">
        <f aca="false">Portfolio!C8*Portfolio!I8*(Portfolio!E8-E8)</f>
        <v>0.503563471278034</v>
      </c>
      <c r="G8" s="21" t="n">
        <f aca="false">C8-D8+F8</f>
        <v>1.17856347127803</v>
      </c>
    </row>
    <row r="9" customFormat="false" ht="15" hidden="false" customHeight="false" outlineLevel="0" collapsed="false">
      <c r="B9" s="0" t="str">
        <f aca="false">Portfolio!B9</f>
        <v>HY Corporate</v>
      </c>
      <c r="C9" s="21" t="n">
        <f aca="false">Portfolio!C9*Portfolio!D9</f>
        <v>2.125</v>
      </c>
      <c r="D9" s="21" t="n">
        <f aca="false">Portfolio!C9*Assumptions!E13</f>
        <v>1.125</v>
      </c>
      <c r="E9" s="13" t="n">
        <f aca="false">MAX(0,Portfolio!E9-0.002)</f>
        <v>0.103</v>
      </c>
      <c r="F9" s="21" t="n">
        <f aca="false">Portfolio!C9*Portfolio!I9*(Portfolio!E9-E9)</f>
        <v>0.196507436516471</v>
      </c>
      <c r="G9" s="21" t="n">
        <f aca="false">C9-D9+F9</f>
        <v>1.19650743651647</v>
      </c>
    </row>
    <row r="10" customFormat="false" ht="15" hidden="false" customHeight="false" outlineLevel="0" collapsed="false">
      <c r="B10" s="0" t="str">
        <f aca="false">Portfolio!B10</f>
        <v>Municipal</v>
      </c>
      <c r="C10" s="21" t="n">
        <f aca="false">Portfolio!C10*Portfolio!D10</f>
        <v>0.8</v>
      </c>
      <c r="D10" s="21" t="n">
        <f aca="false">Portfolio!C10*Assumptions!E13</f>
        <v>0.9</v>
      </c>
      <c r="E10" s="13" t="n">
        <f aca="false">MAX(0,Portfolio!E10-0.002)</f>
        <v>0.044</v>
      </c>
      <c r="F10" s="21" t="n">
        <f aca="false">Portfolio!C10*Portfolio!I10*(Portfolio!E10-E10)</f>
        <v>0.374006054263371</v>
      </c>
      <c r="G10" s="21" t="n">
        <f aca="false">C10-D10+F10</f>
        <v>0.274006054263371</v>
      </c>
    </row>
    <row r="12" customFormat="false" ht="15" hidden="false" customHeight="false" outlineLevel="0" collapsed="false">
      <c r="B12" s="25" t="s">
        <v>105</v>
      </c>
      <c r="C12" s="26" t="n">
        <f aca="false">SUM(C5:C10)</f>
        <v>11.195</v>
      </c>
      <c r="D12" s="26" t="n">
        <f aca="false">SUM(D5:D10)</f>
        <v>9.45</v>
      </c>
      <c r="E12" s="26"/>
      <c r="F12" s="26" t="n">
        <f aca="false">SUM(F5:F10)</f>
        <v>2.31664090878481</v>
      </c>
      <c r="G12" s="26" t="n">
        <f aca="false">SUM(G5:G10)</f>
        <v>4.06164090878481</v>
      </c>
    </row>
  </sheetData>
  <mergeCells count="1">
    <mergeCell ref="B2:G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I1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4"/>
    <col collapsed="false" customWidth="true" hidden="false" outlineLevel="0" max="2" min="2" style="0" width="24"/>
    <col collapsed="false" customWidth="true" hidden="false" outlineLevel="0" max="7" min="3" style="0" width="13"/>
    <col collapsed="false" customWidth="true" hidden="false" outlineLevel="0" max="8" min="8" style="0" width="16"/>
    <col collapsed="false" customWidth="true" hidden="false" outlineLevel="0" max="9" min="9" style="0" width="18"/>
  </cols>
  <sheetData>
    <row r="2" customFormat="false" ht="27.75" hidden="false" customHeight="true" outlineLevel="0" collapsed="false">
      <c r="B2" s="1" t="s">
        <v>106</v>
      </c>
      <c r="C2" s="1"/>
      <c r="D2" s="1"/>
      <c r="E2" s="1"/>
      <c r="F2" s="1"/>
      <c r="G2" s="1"/>
      <c r="H2" s="1"/>
    </row>
    <row r="4" customFormat="false" ht="15" hidden="false" customHeight="false" outlineLevel="0" collapsed="false">
      <c r="B4" s="8" t="s">
        <v>107</v>
      </c>
      <c r="C4" s="8" t="s">
        <v>92</v>
      </c>
      <c r="D4" s="8" t="s">
        <v>93</v>
      </c>
      <c r="E4" s="8" t="s">
        <v>94</v>
      </c>
      <c r="F4" s="8" t="s">
        <v>95</v>
      </c>
      <c r="G4" s="8" t="s">
        <v>96</v>
      </c>
      <c r="H4" s="8" t="s">
        <v>108</v>
      </c>
      <c r="I4" s="8" t="s">
        <v>109</v>
      </c>
    </row>
    <row r="5" customFormat="false" ht="15" hidden="false" customHeight="false" outlineLevel="0" collapsed="false">
      <c r="B5" s="0" t="s">
        <v>110</v>
      </c>
      <c r="C5" s="12" t="n">
        <v>0.01</v>
      </c>
      <c r="D5" s="12" t="n">
        <v>0.01</v>
      </c>
      <c r="E5" s="12" t="n">
        <v>0.01</v>
      </c>
      <c r="F5" s="12" t="n">
        <v>0.01</v>
      </c>
      <c r="G5" s="12" t="n">
        <v>0.01</v>
      </c>
      <c r="H5" s="12" t="n">
        <v>0</v>
      </c>
      <c r="I5" s="21" t="n">
        <f aca="false">-SUMPRODUCT('Key Rate Risk'!C12:G12,C5:G5)/0.0001-SUMPRODUCT(Portfolio!C5:C10,Portfolio!G5:G10)*H5</f>
        <v>-21.4917592680388</v>
      </c>
    </row>
    <row r="6" customFormat="false" ht="15" hidden="false" customHeight="false" outlineLevel="0" collapsed="false">
      <c r="B6" s="0" t="s">
        <v>111</v>
      </c>
      <c r="C6" s="12" t="n">
        <v>-0.01</v>
      </c>
      <c r="D6" s="12" t="n">
        <v>-0.01</v>
      </c>
      <c r="E6" s="12" t="n">
        <v>-0.01</v>
      </c>
      <c r="F6" s="12" t="n">
        <v>-0.01</v>
      </c>
      <c r="G6" s="12" t="n">
        <v>-0.01</v>
      </c>
      <c r="H6" s="12" t="n">
        <v>0</v>
      </c>
      <c r="I6" s="21" t="n">
        <f aca="false">-SUMPRODUCT('Key Rate Risk'!C12:G12,C6:G6)/0.0001-SUMPRODUCT(Portfolio!C5:C10,Portfolio!G5:G10)*H6</f>
        <v>21.4917592680388</v>
      </c>
    </row>
    <row r="7" customFormat="false" ht="15" hidden="false" customHeight="false" outlineLevel="0" collapsed="false">
      <c r="B7" s="0" t="s">
        <v>112</v>
      </c>
      <c r="C7" s="12" t="n">
        <v>0.005</v>
      </c>
      <c r="D7" s="12" t="n">
        <v>0.008</v>
      </c>
      <c r="E7" s="12" t="n">
        <v>0.012</v>
      </c>
      <c r="F7" s="12" t="n">
        <v>0.015</v>
      </c>
      <c r="G7" s="12" t="n">
        <v>0.018</v>
      </c>
      <c r="H7" s="12" t="n">
        <v>0.002</v>
      </c>
      <c r="I7" s="21" t="n">
        <f aca="false">-SUMPRODUCT('Key Rate Risk'!C12:G12,C7:G7)/0.0001-SUMPRODUCT(Portfolio!C5:C10,Portfolio!G5:G10)*H7</f>
        <v>-27.8556112567415</v>
      </c>
    </row>
    <row r="8" customFormat="false" ht="15" hidden="false" customHeight="false" outlineLevel="0" collapsed="false">
      <c r="B8" s="0" t="s">
        <v>113</v>
      </c>
      <c r="C8" s="12" t="n">
        <v>-0.012</v>
      </c>
      <c r="D8" s="12" t="n">
        <v>-0.01</v>
      </c>
      <c r="E8" s="12" t="n">
        <v>-0.008</v>
      </c>
      <c r="F8" s="12" t="n">
        <v>-0.006</v>
      </c>
      <c r="G8" s="12" t="n">
        <v>-0.005</v>
      </c>
      <c r="H8" s="12" t="n">
        <v>-0.001</v>
      </c>
      <c r="I8" s="21" t="n">
        <f aca="false">-SUMPRODUCT('Key Rate Risk'!C12:G12,C8:G8)/0.0001-SUMPRODUCT(Portfolio!C5:C10,Portfolio!G5:G10)*H8</f>
        <v>16.9399006310642</v>
      </c>
    </row>
    <row r="9" customFormat="false" ht="15" hidden="false" customHeight="false" outlineLevel="0" collapsed="false">
      <c r="B9" s="0" t="s">
        <v>114</v>
      </c>
      <c r="C9" s="12" t="n">
        <v>0.002</v>
      </c>
      <c r="D9" s="12" t="n">
        <v>0.003</v>
      </c>
      <c r="E9" s="12" t="n">
        <v>0.004</v>
      </c>
      <c r="F9" s="12" t="n">
        <v>0.005</v>
      </c>
      <c r="G9" s="12" t="n">
        <v>0.005</v>
      </c>
      <c r="H9" s="12" t="n">
        <v>0.015</v>
      </c>
      <c r="I9" s="21" t="n">
        <f aca="false">-SUMPRODUCT('Key Rate Risk'!C12:G12,C9:G9)/0.0001-SUMPRODUCT(Portfolio!C5:C10,Portfolio!G5:G10)*H9</f>
        <v>-16.2011023062061</v>
      </c>
    </row>
    <row r="10" customFormat="false" ht="15" hidden="false" customHeight="false" outlineLevel="0" collapsed="false">
      <c r="B10" s="0" t="s">
        <v>115</v>
      </c>
      <c r="C10" s="12" t="n">
        <v>-0.008</v>
      </c>
      <c r="D10" s="12" t="n">
        <v>-0.01</v>
      </c>
      <c r="E10" s="12" t="n">
        <v>-0.012</v>
      </c>
      <c r="F10" s="12" t="n">
        <v>-0.01</v>
      </c>
      <c r="G10" s="12" t="n">
        <v>-0.008</v>
      </c>
      <c r="H10" s="12" t="n">
        <v>0.02</v>
      </c>
      <c r="I10" s="21" t="n">
        <f aca="false">-SUMPRODUCT('Key Rate Risk'!C12:G12,C10:G10)/0.0001-SUMPRODUCT(Portfolio!C5:C10,Portfolio!G5:G10)*H10</f>
        <v>12.6273932949971</v>
      </c>
    </row>
  </sheetData>
  <mergeCells count="1">
    <mergeCell ref="B2:H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F15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4"/>
    <col collapsed="false" customWidth="true" hidden="false" outlineLevel="0" max="2" min="2" style="0" width="22"/>
    <col collapsed="false" customWidth="true" hidden="false" outlineLevel="0" max="3" min="3" style="0" width="18"/>
    <col collapsed="false" customWidth="true" hidden="false" outlineLevel="0" max="4" min="4" style="0" width="16"/>
    <col collapsed="false" customWidth="true" hidden="false" outlineLevel="0" max="5" min="5" style="0" width="18"/>
    <col collapsed="false" customWidth="true" hidden="false" outlineLevel="0" max="6" min="6" style="0" width="38"/>
  </cols>
  <sheetData>
    <row r="2" customFormat="false" ht="27.75" hidden="false" customHeight="true" outlineLevel="0" collapsed="false">
      <c r="B2" s="1" t="s">
        <v>116</v>
      </c>
      <c r="C2" s="1"/>
      <c r="D2" s="1"/>
      <c r="E2" s="1"/>
      <c r="F2" s="1"/>
    </row>
    <row r="4" customFormat="false" ht="15" hidden="false" customHeight="false" outlineLevel="0" collapsed="false">
      <c r="B4" s="8" t="s">
        <v>117</v>
      </c>
      <c r="C4" s="8" t="s">
        <v>118</v>
      </c>
      <c r="D4" s="8" t="s">
        <v>119</v>
      </c>
      <c r="E4" s="8" t="s">
        <v>120</v>
      </c>
      <c r="F4" s="8" t="s">
        <v>121</v>
      </c>
    </row>
    <row r="5" customFormat="false" ht="15" hidden="false" customHeight="false" outlineLevel="0" collapsed="false">
      <c r="B5" s="0" t="s">
        <v>122</v>
      </c>
      <c r="C5" s="21" t="n">
        <f aca="false">'Carry &amp; Roll'!C12-'Carry &amp; Roll'!D12</f>
        <v>1.745</v>
      </c>
      <c r="D5" s="28" t="n">
        <v>1</v>
      </c>
      <c r="E5" s="21" t="n">
        <f aca="false">C5*D5</f>
        <v>1.745</v>
      </c>
      <c r="F5" s="11" t="s">
        <v>123</v>
      </c>
    </row>
    <row r="6" customFormat="false" ht="15" hidden="false" customHeight="false" outlineLevel="0" collapsed="false">
      <c r="B6" s="0" t="s">
        <v>124</v>
      </c>
      <c r="C6" s="21" t="n">
        <f aca="false">'Carry &amp; Roll'!F12</f>
        <v>2.31664090878481</v>
      </c>
      <c r="D6" s="28" t="n">
        <v>1</v>
      </c>
      <c r="E6" s="21" t="n">
        <f aca="false">C6*D6</f>
        <v>2.31664090878481</v>
      </c>
      <c r="F6" s="11" t="s">
        <v>125</v>
      </c>
    </row>
    <row r="7" customFormat="false" ht="15" hidden="false" customHeight="false" outlineLevel="0" collapsed="false">
      <c r="B7" s="0" t="s">
        <v>126</v>
      </c>
      <c r="C7" s="21" t="n">
        <f aca="false">-Portfolio!K12/0.0001</f>
        <v>-1158.3204543924</v>
      </c>
      <c r="D7" s="12" t="n">
        <v>0.0005</v>
      </c>
      <c r="E7" s="21" t="n">
        <f aca="false">C7*D7</f>
        <v>-0.579160227196202</v>
      </c>
      <c r="F7" s="11" t="s">
        <v>127</v>
      </c>
    </row>
    <row r="8" customFormat="false" ht="15" hidden="false" customHeight="false" outlineLevel="0" collapsed="false">
      <c r="B8" s="0" t="s">
        <v>128</v>
      </c>
      <c r="C8" s="21" t="n">
        <f aca="false">-('Key Rate Risk'!C12*0.0002+'Key Rate Risk'!D12*0.0001-'Key Rate Risk'!F12*0.0001)/0.0001</f>
        <v>-0.00953109863953586</v>
      </c>
      <c r="D8" s="28" t="n">
        <v>1</v>
      </c>
      <c r="E8" s="21" t="n">
        <f aca="false">C8*D8</f>
        <v>-0.00953109863953586</v>
      </c>
      <c r="F8" s="11" t="s">
        <v>129</v>
      </c>
    </row>
    <row r="9" customFormat="false" ht="15" hidden="false" customHeight="false" outlineLevel="0" collapsed="false">
      <c r="B9" s="0" t="s">
        <v>108</v>
      </c>
      <c r="C9" s="21" t="n">
        <f aca="false">-SUMPRODUCT(Portfolio!C5:C10,Portfolio!G5:G10)</f>
        <v>-492.5</v>
      </c>
      <c r="D9" s="12" t="n">
        <v>0.0015</v>
      </c>
      <c r="E9" s="21" t="n">
        <f aca="false">C9*D9</f>
        <v>-0.73875</v>
      </c>
      <c r="F9" s="11" t="s">
        <v>130</v>
      </c>
    </row>
    <row r="10" customFormat="false" ht="15" hidden="false" customHeight="false" outlineLevel="0" collapsed="false">
      <c r="B10" s="0" t="s">
        <v>83</v>
      </c>
      <c r="C10" s="21" t="n">
        <f aca="false">0.5*SUMPRODUCT(Portfolio!C5:C10,Portfolio!J5:J10)</f>
        <v>4496.45840799893</v>
      </c>
      <c r="D10" s="12" t="n">
        <v>2.5E-007</v>
      </c>
      <c r="E10" s="21" t="n">
        <f aca="false">C10*D10</f>
        <v>0.00112411460199973</v>
      </c>
      <c r="F10" s="11" t="s">
        <v>131</v>
      </c>
    </row>
    <row r="13" customFormat="false" ht="15" hidden="false" customHeight="false" outlineLevel="0" collapsed="false">
      <c r="B13" s="0" t="s">
        <v>132</v>
      </c>
      <c r="E13" s="21" t="n">
        <f aca="false">SUM(E5:E10)</f>
        <v>2.73532369755107</v>
      </c>
    </row>
    <row r="14" customFormat="false" ht="15" hidden="false" customHeight="false" outlineLevel="0" collapsed="false">
      <c r="B14" s="0" t="s">
        <v>133</v>
      </c>
      <c r="E14" s="20" t="n">
        <v>1.2</v>
      </c>
    </row>
    <row r="15" customFormat="false" ht="15" hidden="false" customHeight="false" outlineLevel="0" collapsed="false">
      <c r="B15" s="0" t="s">
        <v>134</v>
      </c>
      <c r="E15" s="21" t="n">
        <f aca="false">E14-E13</f>
        <v>-1.53532369755107</v>
      </c>
    </row>
  </sheetData>
  <mergeCells count="1">
    <mergeCell ref="B2:F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C12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4"/>
    <col collapsed="false" customWidth="true" hidden="false" outlineLevel="0" max="2" min="2" style="0" width="44"/>
    <col collapsed="false" customWidth="true" hidden="false" outlineLevel="0" max="3" min="3" style="0" width="18"/>
  </cols>
  <sheetData>
    <row r="2" customFormat="false" ht="27.75" hidden="false" customHeight="true" outlineLevel="0" collapsed="false">
      <c r="B2" s="1" t="s">
        <v>135</v>
      </c>
      <c r="C2" s="1"/>
    </row>
    <row r="4" customFormat="false" ht="15" hidden="false" customHeight="false" outlineLevel="0" collapsed="false">
      <c r="B4" s="8" t="s">
        <v>136</v>
      </c>
      <c r="C4" s="8" t="s">
        <v>137</v>
      </c>
    </row>
    <row r="5" customFormat="false" ht="15" hidden="false" customHeight="false" outlineLevel="0" collapsed="false">
      <c r="B5" s="0" t="s">
        <v>138</v>
      </c>
      <c r="C5" s="0" t="str">
        <f aca="false">IF('Bond Analytics'!C5&gt;0,"PASS","FAIL")</f>
        <v>PASS</v>
      </c>
    </row>
    <row r="6" customFormat="false" ht="15" hidden="false" customHeight="false" outlineLevel="0" collapsed="false">
      <c r="B6" s="0" t="s">
        <v>139</v>
      </c>
      <c r="C6" s="0" t="str">
        <f aca="false">IF('Bond Analytics'!C6&lt;'Bond Analytics'!C5,"PASS","FAIL")</f>
        <v>PASS</v>
      </c>
    </row>
    <row r="7" customFormat="false" ht="15" hidden="false" customHeight="false" outlineLevel="0" collapsed="false">
      <c r="B7" s="0" t="s">
        <v>140</v>
      </c>
      <c r="C7" s="0" t="str">
        <f aca="false">IF('Bond Analytics'!C8&gt;0,"PASS","FAIL")</f>
        <v>PASS</v>
      </c>
    </row>
    <row r="8" customFormat="false" ht="15" hidden="false" customHeight="false" outlineLevel="0" collapsed="false">
      <c r="B8" s="0" t="s">
        <v>141</v>
      </c>
      <c r="C8" s="0" t="str">
        <f aca="false">IF('Bond Analytics'!C9&gt;0,"PASS","FAIL")</f>
        <v>PASS</v>
      </c>
    </row>
    <row r="9" customFormat="false" ht="15" hidden="false" customHeight="false" outlineLevel="0" collapsed="false">
      <c r="B9" s="0" t="s">
        <v>142</v>
      </c>
      <c r="C9" s="0" t="str">
        <f aca="false">IF(ABS('Key Rate Risk'!H12-Portfolio!K12)&lt;0.1,"PASS","REVIEW")</f>
        <v>PASS</v>
      </c>
    </row>
    <row r="10" customFormat="false" ht="15" hidden="false" customHeight="false" outlineLevel="0" collapsed="false">
      <c r="B10" s="0" t="s">
        <v>143</v>
      </c>
      <c r="C10" s="0" t="str">
        <f aca="false">IF(MAX('Zero Curve'!F6:F14-'Zero Curve'!F5:F13)&lt;=0,"PASS","REVIEW")</f>
        <v>PASS</v>
      </c>
    </row>
    <row r="11" customFormat="false" ht="15" hidden="false" customHeight="false" outlineLevel="0" collapsed="false">
      <c r="B11" s="0" t="s">
        <v>144</v>
      </c>
      <c r="C11" s="0" t="str">
        <f aca="false">IF(COUNT('P&amp;L Explain'!E5:E10)=6,"PASS","FAIL")</f>
        <v>PASS</v>
      </c>
    </row>
    <row r="12" customFormat="false" ht="15" hidden="false" customHeight="false" outlineLevel="0" collapsed="false">
      <c r="B12" s="0" t="s">
        <v>145</v>
      </c>
      <c r="C12" s="0" t="str">
        <f aca="false">IF(COUNTIF(C5:C11,"FAIL")=0,"PASS","FAIL")</f>
        <v>PASS</v>
      </c>
    </row>
  </sheetData>
  <mergeCells count="1">
    <mergeCell ref="B2:C2"/>
  </mergeCells>
  <conditionalFormatting sqref="C5:C12">
    <cfRule type="expression" priority="2" aboveAverage="0" equalAverage="0" bottom="0" percent="0" rank="0" text="" dxfId="0">
      <formula>C5="PASS"</formula>
    </cfRule>
    <cfRule type="expression" priority="3" aboveAverage="0" equalAverage="0" bottom="0" percent="0" rank="0" text="" dxfId="1">
      <formula>C5="FAIL"</formula>
    </cfRule>
    <cfRule type="expression" priority="4" aboveAverage="0" equalAverage="0" bottom="0" percent="0" rank="0" text="" dxfId="2">
      <formula>C5="REVIEW"</formula>
    </cfRule>
    <cfRule type="expression" priority="5" aboveAverage="0" equalAverage="0" bottom="0" percent="0" rank="0" text="" dxfId="1">
      <formula>C5="BREACH"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E9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4"/>
    <col collapsed="false" customWidth="true" hidden="false" outlineLevel="0" max="2" min="2" style="0" width="34"/>
    <col collapsed="false" customWidth="true" hidden="false" outlineLevel="0" max="3" min="3" style="0" width="58"/>
    <col collapsed="false" customWidth="true" hidden="false" outlineLevel="0" max="4" min="4" style="0" width="16"/>
    <col collapsed="false" customWidth="true" hidden="false" outlineLevel="0" max="5" min="5" style="0" width="48"/>
  </cols>
  <sheetData>
    <row r="2" customFormat="false" ht="27.75" hidden="false" customHeight="true" outlineLevel="0" collapsed="false">
      <c r="B2" s="1" t="s">
        <v>146</v>
      </c>
      <c r="C2" s="1"/>
      <c r="D2" s="1"/>
      <c r="E2" s="1"/>
    </row>
    <row r="4" customFormat="false" ht="15" hidden="false" customHeight="false" outlineLevel="0" collapsed="false">
      <c r="B4" s="8" t="s">
        <v>147</v>
      </c>
      <c r="C4" s="8" t="s">
        <v>148</v>
      </c>
      <c r="D4" s="8" t="s">
        <v>149</v>
      </c>
      <c r="E4" s="8" t="s">
        <v>150</v>
      </c>
    </row>
    <row r="5" customFormat="false" ht="15" hidden="false" customHeight="false" outlineLevel="0" collapsed="false">
      <c r="B5" s="29" t="s">
        <v>151</v>
      </c>
      <c r="C5" s="29" t="s">
        <v>152</v>
      </c>
      <c r="D5" s="29" t="s">
        <v>8</v>
      </c>
      <c r="E5" s="29" t="s">
        <v>153</v>
      </c>
    </row>
    <row r="6" customFormat="false" ht="15" hidden="false" customHeight="false" outlineLevel="0" collapsed="false">
      <c r="B6" s="29" t="s">
        <v>154</v>
      </c>
      <c r="C6" s="29" t="s">
        <v>155</v>
      </c>
      <c r="D6" s="29" t="s">
        <v>6</v>
      </c>
      <c r="E6" s="29" t="s">
        <v>156</v>
      </c>
    </row>
    <row r="7" customFormat="false" ht="15" hidden="false" customHeight="false" outlineLevel="0" collapsed="false">
      <c r="B7" s="29" t="s">
        <v>157</v>
      </c>
      <c r="C7" s="29" t="s">
        <v>158</v>
      </c>
      <c r="D7" s="29" t="s">
        <v>6</v>
      </c>
      <c r="E7" s="29" t="s">
        <v>159</v>
      </c>
    </row>
    <row r="8" customFormat="false" ht="15" hidden="false" customHeight="false" outlineLevel="0" collapsed="false">
      <c r="B8" s="29" t="s">
        <v>160</v>
      </c>
      <c r="C8" s="29" t="s">
        <v>161</v>
      </c>
      <c r="D8" s="29" t="s">
        <v>8</v>
      </c>
      <c r="E8" s="29" t="s">
        <v>162</v>
      </c>
    </row>
    <row r="9" customFormat="false" ht="15" hidden="false" customHeight="false" outlineLevel="0" collapsed="false">
      <c r="B9" s="29" t="s">
        <v>163</v>
      </c>
      <c r="C9" s="29" t="s">
        <v>164</v>
      </c>
      <c r="D9" s="29" t="s">
        <v>6</v>
      </c>
      <c r="E9" s="29" t="s">
        <v>165</v>
      </c>
    </row>
  </sheetData>
  <mergeCells count="1">
    <mergeCell ref="B2:E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G29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4"/>
    <col collapsed="false" customWidth="true" hidden="false" outlineLevel="0" max="2" min="2" style="0" width="14"/>
    <col collapsed="false" customWidth="true" hidden="false" outlineLevel="0" max="3" min="3" style="0" width="22"/>
    <col collapsed="false" customWidth="true" hidden="false" outlineLevel="0" max="4" min="4" style="0" width="28"/>
    <col collapsed="false" customWidth="true" hidden="false" outlineLevel="0" max="5" min="5" style="0" width="38"/>
    <col collapsed="false" customWidth="true" hidden="false" outlineLevel="0" max="6" min="6" style="0" width="34"/>
    <col collapsed="false" customWidth="true" hidden="false" outlineLevel="0" max="7" min="7" style="0" width="18"/>
  </cols>
  <sheetData>
    <row r="2" customFormat="false" ht="27.75" hidden="false" customHeight="true" outlineLevel="0" collapsed="false">
      <c r="B2" s="1" t="s">
        <v>166</v>
      </c>
      <c r="C2" s="1"/>
      <c r="D2" s="1"/>
      <c r="E2" s="1"/>
      <c r="F2" s="1"/>
      <c r="G2" s="1"/>
    </row>
    <row r="4" customFormat="false" ht="15" hidden="false" customHeight="false" outlineLevel="0" collapsed="false">
      <c r="B4" s="8" t="s">
        <v>167</v>
      </c>
      <c r="C4" s="8" t="s">
        <v>168</v>
      </c>
      <c r="D4" s="8" t="s">
        <v>169</v>
      </c>
      <c r="E4" s="8" t="s">
        <v>170</v>
      </c>
      <c r="F4" s="8" t="s">
        <v>171</v>
      </c>
      <c r="G4" s="8" t="s">
        <v>172</v>
      </c>
    </row>
    <row r="5" customFormat="false" ht="15" hidden="false" customHeight="false" outlineLevel="0" collapsed="false">
      <c r="B5" s="30"/>
      <c r="C5" s="30"/>
      <c r="D5" s="30"/>
      <c r="E5" s="30"/>
      <c r="F5" s="30"/>
      <c r="G5" s="30"/>
    </row>
    <row r="6" customFormat="false" ht="15" hidden="false" customHeight="false" outlineLevel="0" collapsed="false">
      <c r="B6" s="30"/>
      <c r="C6" s="30"/>
      <c r="D6" s="30"/>
      <c r="E6" s="30"/>
      <c r="F6" s="30"/>
      <c r="G6" s="30"/>
    </row>
    <row r="7" customFormat="false" ht="15" hidden="false" customHeight="false" outlineLevel="0" collapsed="false">
      <c r="B7" s="30"/>
      <c r="C7" s="30"/>
      <c r="D7" s="30"/>
      <c r="E7" s="30"/>
      <c r="F7" s="30"/>
      <c r="G7" s="30"/>
    </row>
    <row r="8" customFormat="false" ht="15" hidden="false" customHeight="false" outlineLevel="0" collapsed="false">
      <c r="B8" s="30"/>
      <c r="C8" s="30"/>
      <c r="D8" s="30"/>
      <c r="E8" s="30"/>
      <c r="F8" s="30"/>
      <c r="G8" s="30"/>
    </row>
    <row r="9" customFormat="false" ht="15" hidden="false" customHeight="false" outlineLevel="0" collapsed="false">
      <c r="B9" s="30"/>
      <c r="C9" s="30"/>
      <c r="D9" s="30"/>
      <c r="E9" s="30"/>
      <c r="F9" s="30"/>
      <c r="G9" s="30"/>
    </row>
    <row r="10" customFormat="false" ht="15" hidden="false" customHeight="false" outlineLevel="0" collapsed="false">
      <c r="B10" s="30"/>
      <c r="C10" s="30"/>
      <c r="D10" s="30"/>
      <c r="E10" s="30"/>
      <c r="F10" s="30"/>
      <c r="G10" s="30"/>
    </row>
    <row r="11" customFormat="false" ht="15" hidden="false" customHeight="false" outlineLevel="0" collapsed="false">
      <c r="B11" s="30"/>
      <c r="C11" s="30"/>
      <c r="D11" s="30"/>
      <c r="E11" s="30"/>
      <c r="F11" s="30"/>
      <c r="G11" s="30"/>
    </row>
    <row r="12" customFormat="false" ht="15" hidden="false" customHeight="false" outlineLevel="0" collapsed="false">
      <c r="B12" s="30"/>
      <c r="C12" s="30"/>
      <c r="D12" s="30"/>
      <c r="E12" s="30"/>
      <c r="F12" s="30"/>
      <c r="G12" s="30"/>
    </row>
    <row r="13" customFormat="false" ht="15" hidden="false" customHeight="false" outlineLevel="0" collapsed="false">
      <c r="B13" s="30"/>
      <c r="C13" s="30"/>
      <c r="D13" s="30"/>
      <c r="E13" s="30"/>
      <c r="F13" s="30"/>
      <c r="G13" s="30"/>
    </row>
    <row r="14" customFormat="false" ht="15" hidden="false" customHeight="false" outlineLevel="0" collapsed="false">
      <c r="B14" s="30"/>
      <c r="C14" s="30"/>
      <c r="D14" s="30"/>
      <c r="E14" s="30"/>
      <c r="F14" s="30"/>
      <c r="G14" s="30"/>
    </row>
    <row r="15" customFormat="false" ht="15" hidden="false" customHeight="false" outlineLevel="0" collapsed="false">
      <c r="B15" s="30"/>
      <c r="C15" s="30"/>
      <c r="D15" s="30"/>
      <c r="E15" s="30"/>
      <c r="F15" s="30"/>
      <c r="G15" s="30"/>
    </row>
    <row r="16" customFormat="false" ht="15" hidden="false" customHeight="false" outlineLevel="0" collapsed="false">
      <c r="B16" s="30"/>
      <c r="C16" s="30"/>
      <c r="D16" s="30"/>
      <c r="E16" s="30"/>
      <c r="F16" s="30"/>
      <c r="G16" s="30"/>
    </row>
    <row r="17" customFormat="false" ht="15" hidden="false" customHeight="false" outlineLevel="0" collapsed="false">
      <c r="B17" s="30"/>
      <c r="C17" s="30"/>
      <c r="D17" s="30"/>
      <c r="E17" s="30"/>
      <c r="F17" s="30"/>
      <c r="G17" s="30"/>
    </row>
    <row r="18" customFormat="false" ht="15" hidden="false" customHeight="false" outlineLevel="0" collapsed="false">
      <c r="B18" s="30"/>
      <c r="C18" s="30"/>
      <c r="D18" s="30"/>
      <c r="E18" s="30"/>
      <c r="F18" s="30"/>
      <c r="G18" s="30"/>
    </row>
    <row r="19" customFormat="false" ht="15" hidden="false" customHeight="false" outlineLevel="0" collapsed="false">
      <c r="B19" s="30"/>
      <c r="C19" s="30"/>
      <c r="D19" s="30"/>
      <c r="E19" s="30"/>
      <c r="F19" s="30"/>
      <c r="G19" s="30"/>
    </row>
    <row r="20" customFormat="false" ht="15" hidden="false" customHeight="false" outlineLevel="0" collapsed="false">
      <c r="B20" s="30"/>
      <c r="C20" s="30"/>
      <c r="D20" s="30"/>
      <c r="E20" s="30"/>
      <c r="F20" s="30"/>
      <c r="G20" s="30"/>
    </row>
    <row r="21" customFormat="false" ht="15" hidden="false" customHeight="false" outlineLevel="0" collapsed="false">
      <c r="B21" s="30"/>
      <c r="C21" s="30"/>
      <c r="D21" s="30"/>
      <c r="E21" s="30"/>
      <c r="F21" s="30"/>
      <c r="G21" s="30"/>
    </row>
    <row r="22" customFormat="false" ht="15" hidden="false" customHeight="false" outlineLevel="0" collapsed="false">
      <c r="B22" s="30"/>
      <c r="C22" s="30"/>
      <c r="D22" s="30"/>
      <c r="E22" s="30"/>
      <c r="F22" s="30"/>
      <c r="G22" s="30"/>
    </row>
    <row r="23" customFormat="false" ht="15" hidden="false" customHeight="false" outlineLevel="0" collapsed="false">
      <c r="B23" s="30"/>
      <c r="C23" s="30"/>
      <c r="D23" s="30"/>
      <c r="E23" s="30"/>
      <c r="F23" s="30"/>
      <c r="G23" s="30"/>
    </row>
    <row r="24" customFormat="false" ht="15" hidden="false" customHeight="false" outlineLevel="0" collapsed="false">
      <c r="B24" s="30"/>
      <c r="C24" s="30"/>
      <c r="D24" s="30"/>
      <c r="E24" s="30"/>
      <c r="F24" s="30"/>
      <c r="G24" s="30"/>
    </row>
    <row r="25" customFormat="false" ht="15" hidden="false" customHeight="false" outlineLevel="0" collapsed="false">
      <c r="B25" s="30"/>
      <c r="C25" s="30"/>
      <c r="D25" s="30"/>
      <c r="E25" s="30"/>
      <c r="F25" s="30"/>
      <c r="G25" s="30"/>
    </row>
    <row r="26" customFormat="false" ht="15" hidden="false" customHeight="false" outlineLevel="0" collapsed="false">
      <c r="B26" s="30"/>
      <c r="C26" s="30"/>
      <c r="D26" s="30"/>
      <c r="E26" s="30"/>
      <c r="F26" s="30"/>
      <c r="G26" s="30"/>
    </row>
    <row r="27" customFormat="false" ht="15" hidden="false" customHeight="false" outlineLevel="0" collapsed="false">
      <c r="B27" s="30"/>
      <c r="C27" s="30"/>
      <c r="D27" s="30"/>
      <c r="E27" s="30"/>
      <c r="F27" s="30"/>
      <c r="G27" s="30"/>
    </row>
    <row r="28" customFormat="false" ht="15" hidden="false" customHeight="false" outlineLevel="0" collapsed="false">
      <c r="B28" s="30"/>
      <c r="C28" s="30"/>
      <c r="D28" s="30"/>
      <c r="E28" s="30"/>
      <c r="F28" s="30"/>
      <c r="G28" s="30"/>
    </row>
    <row r="29" customFormat="false" ht="15" hidden="false" customHeight="false" outlineLevel="0" collapsed="false">
      <c r="B29" s="30"/>
      <c r="C29" s="30"/>
      <c r="D29" s="30"/>
      <c r="E29" s="30"/>
      <c r="F29" s="30"/>
      <c r="G29" s="30"/>
    </row>
  </sheetData>
  <mergeCells count="1">
    <mergeCell ref="B2:G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2026-08-04T02:36:03Z</dcterms:created>
  <dc:creator>openpyxl</dc:creator>
  <dc:description/>
  <dc:language>en-US</dc:language>
  <cp:lastModifiedBy/>
  <dcterms:modified xsi:type="dcterms:W3CDTF">2026-08-04T02:36:03Z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