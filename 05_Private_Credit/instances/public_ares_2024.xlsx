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Operating Case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Covenants" sheetId="8" state="visible" r:id="rId8"/>
    <sheet xmlns:r="http://schemas.openxmlformats.org/officeDocument/2006/relationships" name="Yield &amp; Spread" sheetId="9" state="visible" r:id="rId9"/>
    <sheet xmlns:r="http://schemas.openxmlformats.org/officeDocument/2006/relationships" name="Recovery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  <sheet xmlns:r="http://schemas.openxmlformats.org/officeDocument/2006/relationships" name="Portfolio &amp; Concentration" sheetId="15" state="visible" r:id="rId15"/>
    <sheet xmlns:r="http://schemas.openxmlformats.org/officeDocument/2006/relationships" name="Amendment Economics" sheetId="16" state="visible" r:id="rId16"/>
    <sheet xmlns:r="http://schemas.openxmlformats.org/officeDocument/2006/relationships" name="Decision &amp; Checks" sheetId="17" state="visible" r:id="rId17"/>
  </sheets>
  <definedNames>
    <definedName name="FS_DOMAIN" hidden="0" function="0" vbProcedure="0">'Institutional Surface'!$C$5</definedName>
    <definedName name="FS_MATURITY" hidden="0" function="0" vbProcedure="0">'Institutional Surface'!$C$6</definedName>
    <definedName name="FS_MODEL_ID" hidden="0" function="0" vbProcedure="0">'Institutional Surface'!$C$4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.0;[RED]&quot;($&quot;#,##0.0\);\-"/>
    <numFmt numFmtId="165" formatCode="0.0%;[RED]\(0.0%\);\-"/>
    <numFmt numFmtId="166" formatCode="0.0\x;[RED]\(0.0&quot;x)&quot;;\-"/>
    <numFmt numFmtId="167" formatCode="0.0"/>
    <numFmt numFmtId="168" formatCode="0.00%;[RED]\(0.00%\);\-"/>
    <numFmt numFmtId="169" formatCode="0&quot; bps&quot;"/>
    <numFmt numFmtId="170" formatCode="\$#,##0;&quot;($&quot;#,##0\);\-"/>
    <numFmt numFmtId="171" formatCode="0.0\x"/>
    <numFmt numFmtId="172" formatCode="0.0%;\(0.0%\);\-"/>
    <numFmt numFmtId="173" formatCode="#,##0;\(#,##0\);\-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11827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111827"/>
      <sz val="10"/>
    </font>
    <font>
      <name val="Arial"/>
      <charset val="1"/>
      <family val="0"/>
      <b val="1"/>
      <color rgb="FF008000"/>
      <sz val="10"/>
    </font>
    <font>
      <name val="Cambria"/>
      <charset val="1"/>
      <family val="0"/>
      <b val="1"/>
      <color rgb="FFFFFFFF"/>
      <sz val="15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111827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3" fillId="4" borderId="0" applyAlignment="1" pivotButton="0" quotePrefix="0" xfId="0">
      <alignment horizontal="general" vertical="bottom"/>
    </xf>
    <xf numFmtId="0" fontId="12" fillId="5" borderId="2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164" fontId="5" fillId="0" borderId="3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2" fontId="14" fillId="0" borderId="0" applyAlignment="1" pivotButton="0" quotePrefix="0" xfId="0">
      <alignment horizontal="general" vertical="bottom"/>
    </xf>
    <xf numFmtId="168" fontId="14" fillId="0" borderId="0" applyAlignment="1" pivotButton="0" quotePrefix="0" xfId="0">
      <alignment horizontal="general" vertical="bottom"/>
    </xf>
    <xf numFmtId="169" fontId="1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center" vertical="bottom"/>
    </xf>
    <xf numFmtId="170" fontId="6" fillId="6" borderId="4" applyAlignment="1" pivotButton="0" quotePrefix="0" xfId="0">
      <alignment horizontal="general" vertical="bottom"/>
    </xf>
    <xf numFmtId="171" fontId="6" fillId="6" borderId="4" applyAlignment="1" pivotButton="0" quotePrefix="0" xfId="0">
      <alignment horizontal="general" vertical="bottom"/>
    </xf>
    <xf numFmtId="170" fontId="0" fillId="0" borderId="4" applyAlignment="1" pivotButton="0" quotePrefix="0" xfId="0">
      <alignment horizontal="general" vertical="bottom"/>
    </xf>
    <xf numFmtId="172" fontId="0" fillId="0" borderId="4" applyAlignment="1" pivotButton="0" quotePrefix="0" xfId="0">
      <alignment horizontal="general" vertical="bottom"/>
    </xf>
    <xf numFmtId="171" fontId="0" fillId="0" borderId="4" applyAlignment="1" pivotButton="0" quotePrefix="0" xfId="0">
      <alignment horizontal="general" vertical="bottom"/>
    </xf>
    <xf numFmtId="172" fontId="6" fillId="6" borderId="4" applyAlignment="1" pivotButton="0" quotePrefix="0" xfId="0">
      <alignment horizontal="general" vertical="bottom"/>
    </xf>
    <xf numFmtId="173" fontId="6" fillId="6" borderId="4" applyAlignment="1" pivotButton="0" quotePrefix="0" xfId="0">
      <alignment horizontal="general" vertical="bottom"/>
    </xf>
    <xf numFmtId="173" fontId="0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7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18" fillId="7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3" fillId="4" borderId="0" applyAlignment="1" pivotButton="0" quotePrefix="0" xfId="0">
      <alignment horizontal="general" vertical="bottom"/>
    </xf>
    <xf numFmtId="0" fontId="12" fillId="5" borderId="2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164" fontId="5" fillId="0" borderId="3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2" fontId="14" fillId="0" borderId="0" applyAlignment="1" pivotButton="0" quotePrefix="0" xfId="0">
      <alignment horizontal="general" vertical="bottom"/>
    </xf>
    <xf numFmtId="168" fontId="14" fillId="0" borderId="0" applyAlignment="1" pivotButton="0" quotePrefix="0" xfId="0">
      <alignment horizontal="general" vertical="bottom"/>
    </xf>
    <xf numFmtId="169" fontId="14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8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center" vertical="bottom"/>
    </xf>
    <xf numFmtId="170" fontId="18" fillId="7" borderId="4" applyAlignment="1" pivotButton="0" quotePrefix="0" xfId="0">
      <alignment horizontal="general" vertical="bottom"/>
    </xf>
    <xf numFmtId="170" fontId="6" fillId="6" borderId="4" applyAlignment="1" pivotButton="0" quotePrefix="0" xfId="0">
      <alignment horizontal="general" vertical="bottom"/>
    </xf>
    <xf numFmtId="171" fontId="6" fillId="6" borderId="4" applyAlignment="1" pivotButton="0" quotePrefix="0" xfId="0">
      <alignment horizontal="general" vertical="bottom"/>
    </xf>
    <xf numFmtId="170" fontId="0" fillId="0" borderId="4" applyAlignment="1" pivotButton="0" quotePrefix="0" xfId="0">
      <alignment horizontal="general" vertical="bottom"/>
    </xf>
    <xf numFmtId="172" fontId="0" fillId="0" borderId="4" applyAlignment="1" pivotButton="0" quotePrefix="0" xfId="0">
      <alignment horizontal="general" vertical="bottom"/>
    </xf>
    <xf numFmtId="171" fontId="0" fillId="0" borderId="4" applyAlignment="1" pivotButton="0" quotePrefix="0" xfId="0">
      <alignment horizontal="general" vertical="bottom"/>
    </xf>
    <xf numFmtId="172" fontId="6" fillId="6" borderId="4" applyAlignment="1" pivotButton="0" quotePrefix="0" xfId="0">
      <alignment horizontal="general" vertical="bottom"/>
    </xf>
    <xf numFmtId="173" fontId="6" fillId="6" borderId="4" applyAlignment="1" pivotButton="0" quotePrefix="0" xfId="0">
      <alignment horizontal="general" vertical="bottom"/>
    </xf>
    <xf numFmtId="173" fontId="0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7" fillId="0" borderId="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6" customWidth="1" style="46" min="2" max="2"/>
    <col width="46" customWidth="1" style="46" min="3" max="3"/>
    <col width="12" customWidth="1" style="46" min="4" max="6"/>
  </cols>
  <sheetData>
    <row r="2" ht="27.75" customHeight="1" s="47">
      <c r="B2" s="48" t="inlineStr">
        <is>
          <t>[BORROWER] — Private Credit Underwriting</t>
        </is>
      </c>
    </row>
    <row r="4" ht="15" customHeight="1" s="47">
      <c r="B4" s="49" t="inlineStr">
        <is>
          <t>Borrower / issuer:</t>
        </is>
      </c>
      <c r="C4" s="50" t="inlineStr">
        <is>
          <t>[Name]</t>
        </is>
      </c>
    </row>
    <row r="5" ht="15" customHeight="1" s="47">
      <c r="B5" s="49" t="inlineStr">
        <is>
          <t>Facility:</t>
        </is>
      </c>
      <c r="C5" s="50" t="inlineStr">
        <is>
          <t>Unitranche / TLB / revolver / notes</t>
        </is>
      </c>
    </row>
    <row r="6" ht="15" customHeight="1" s="47">
      <c r="B6" s="49" t="inlineStr">
        <is>
          <t>Last refreshed:</t>
        </is>
      </c>
      <c r="C6" s="51" t="inlineStr">
        <is>
          <t>2024-12-31</t>
        </is>
      </c>
    </row>
    <row r="7" ht="15" customHeight="1" s="47">
      <c r="B7" s="49" t="inlineStr">
        <is>
          <t>Next test / maturity:</t>
        </is>
      </c>
      <c r="C7" s="50" t="inlineStr">
        <is>
          <t>[date]</t>
        </is>
      </c>
    </row>
    <row r="8" ht="15" customHeight="1" s="47">
      <c r="B8" s="49" t="inlineStr">
        <is>
          <t>Refresh cadence:</t>
        </is>
      </c>
      <c r="C8" s="50" t="inlineStr">
        <is>
          <t>Weekly</t>
        </is>
      </c>
    </row>
    <row r="9" ht="15" customHeight="1" s="47">
      <c r="B9" s="49" t="inlineStr">
        <is>
          <t>Active scenario:</t>
        </is>
      </c>
      <c r="C9" s="51" t="inlineStr">
        <is>
          <t>Base</t>
        </is>
      </c>
    </row>
    <row r="10" ht="15" customHeight="1" s="47">
      <c r="B10" s="49" t="inlineStr">
        <is>
          <t>Units:</t>
        </is>
      </c>
      <c r="C10" s="50" t="inlineStr">
        <is>
          <t>$ in millions unless noted</t>
        </is>
      </c>
    </row>
    <row r="13" ht="15" customHeight="1" s="47">
      <c r="B13" s="52" t="inlineStr">
        <is>
          <t>Modeling conventions</t>
        </is>
      </c>
    </row>
    <row r="14" ht="15" customHeight="1" s="47">
      <c r="B14" s="53" t="inlineStr">
        <is>
          <t>Blue text / yellow fill</t>
        </is>
      </c>
      <c r="C14" s="54" t="inlineStr">
        <is>
          <t>Hardcoded input or selected scenario</t>
        </is>
      </c>
    </row>
    <row r="15" ht="15" customHeight="1" s="47">
      <c r="B15" s="49" t="inlineStr">
        <is>
          <t>Black text</t>
        </is>
      </c>
      <c r="C15" s="54" t="inlineStr">
        <is>
          <t>Formula / same-sheet calculation</t>
        </is>
      </c>
    </row>
    <row r="16" ht="15" customHeight="1" s="47">
      <c r="B16" s="55" t="inlineStr">
        <is>
          <t>Green text</t>
        </is>
      </c>
      <c r="C16" s="54" t="inlineStr">
        <is>
          <t>Cross-sheet formula / link</t>
        </is>
      </c>
    </row>
    <row r="17" ht="15" customHeight="1" s="47">
      <c r="B17" s="49" t="inlineStr">
        <is>
          <t>Checks</t>
        </is>
      </c>
      <c r="C17" s="54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 errorStyle="stop" operator="between">
      <formula1>"Base,Downside"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6" customWidth="1" style="46" min="2" max="2"/>
    <col width="48" customWidth="1" style="46" min="3" max="3"/>
    <col width="24" customWidth="1" style="46" min="4" max="4"/>
    <col width="34" customWidth="1" style="46" min="5" max="5"/>
    <col width="20" customWidth="1" style="46" min="6" max="6"/>
  </cols>
  <sheetData>
    <row r="2" ht="18.55" customHeight="1" s="47">
      <c r="B2" s="56" t="inlineStr">
        <is>
          <t>Private Credit — Institutional Decision Surface</t>
        </is>
      </c>
    </row>
    <row r="4" ht="15" customHeight="1" s="47">
      <c r="B4" s="57" t="inlineStr">
        <is>
          <t>Model ID</t>
        </is>
      </c>
      <c r="C4" s="58" t="inlineStr">
        <is>
          <t>05</t>
        </is>
      </c>
    </row>
    <row r="5" ht="15" customHeight="1" s="47">
      <c r="B5" s="57" t="inlineStr">
        <is>
          <t>Domain</t>
        </is>
      </c>
      <c r="C5" s="58" t="inlineStr">
        <is>
          <t>Private Credit</t>
        </is>
      </c>
    </row>
    <row r="6" ht="15" customHeight="1" s="47">
      <c r="B6" s="57" t="inlineStr">
        <is>
          <t>Declared maturity</t>
        </is>
      </c>
      <c r="C6" s="58" t="inlineStr">
        <is>
          <t>M2</t>
        </is>
      </c>
    </row>
    <row r="7" ht="15" customHeight="1" s="47">
      <c r="B7" s="57" t="inlineStr">
        <is>
          <t>Canonical builder</t>
        </is>
      </c>
      <c r="C7" s="58" t="inlineStr">
        <is>
          <t>tools/builders/build_private_credit_release.py</t>
        </is>
      </c>
    </row>
    <row r="8" ht="15" customHeight="1" s="47">
      <c r="B8" s="57" t="inlineStr">
        <is>
          <t>Decision arena</t>
        </is>
      </c>
      <c r="C8" s="58" t="inlineStr">
        <is>
          <t>origination, underwriting, portfolio management, workout and credit committee</t>
        </is>
      </c>
    </row>
    <row r="9" ht="15" customHeight="1" s="47">
      <c r="B9" s="57" t="inlineStr">
        <is>
          <t>Committee artifact</t>
        </is>
      </c>
      <c r="C9" s="58" t="inlineStr">
        <is>
          <t>credit approval memorandum</t>
        </is>
      </c>
    </row>
    <row r="10" ht="15" customHeight="1" s="47">
      <c r="B10" s="57" t="inlineStr">
        <is>
          <t>Operating cadence</t>
        </is>
      </c>
      <c r="C10" s="58" t="inlineStr">
        <is>
          <t>weekly watchlist; monthly portfolio; event-driven amendments</t>
        </is>
      </c>
    </row>
    <row r="12" ht="15" customHeight="1" s="47">
      <c r="B12" s="59" t="inlineStr">
        <is>
          <t>Key decision outputs</t>
        </is>
      </c>
    </row>
    <row r="13" ht="15" customHeight="1" s="47">
      <c r="B13" s="60" t="inlineStr">
        <is>
          <t>#</t>
        </is>
      </c>
      <c r="C13" s="60" t="inlineStr">
        <is>
          <t>Requirement</t>
        </is>
      </c>
      <c r="D13" s="60" t="inlineStr">
        <is>
          <t>Owner</t>
        </is>
      </c>
      <c r="E13" s="60" t="inlineStr">
        <is>
          <t>Evidence / location</t>
        </is>
      </c>
      <c r="F13" s="60" t="inlineStr">
        <is>
          <t>Status</t>
        </is>
      </c>
    </row>
    <row r="14" ht="15" customHeight="1" s="47">
      <c r="B14" s="46" t="n">
        <v>1</v>
      </c>
      <c r="C14" s="46" t="inlineStr">
        <is>
          <t>cash yield, OID and all-in return</t>
        </is>
      </c>
      <c r="F14" s="46" t="inlineStr">
        <is>
          <t>OPEN</t>
        </is>
      </c>
    </row>
    <row r="15" ht="15" customHeight="1" s="47">
      <c r="B15" s="46" t="n">
        <v>2</v>
      </c>
      <c r="C15" s="46" t="inlineStr">
        <is>
          <t>fixed-charge and interest coverage</t>
        </is>
      </c>
      <c r="F15" s="46" t="inlineStr">
        <is>
          <t>OPEN</t>
        </is>
      </c>
    </row>
    <row r="16" ht="15" customHeight="1" s="47">
      <c r="B16" s="46" t="n">
        <v>3</v>
      </c>
      <c r="C16" s="46" t="inlineStr">
        <is>
          <t>liquidity runway and revolver use</t>
        </is>
      </c>
      <c r="F16" s="46" t="inlineStr">
        <is>
          <t>OPEN</t>
        </is>
      </c>
    </row>
    <row r="17" ht="15" customHeight="1" s="47">
      <c r="B17" s="46" t="n">
        <v>4</v>
      </c>
      <c r="C17" s="46" t="inlineStr">
        <is>
          <t>base, downside and break-even outputs</t>
        </is>
      </c>
      <c r="F17" s="46" t="inlineStr">
        <is>
          <t>OPEN</t>
        </is>
      </c>
    </row>
    <row r="18" ht="15" customHeight="1" s="47">
      <c r="B18" s="46" t="n">
        <v>5</v>
      </c>
      <c r="C18" s="46" t="inlineStr">
        <is>
          <t>liquidity / funding requirement and binding constraint</t>
        </is>
      </c>
      <c r="F18" s="46" t="inlineStr">
        <is>
          <t>OPEN</t>
        </is>
      </c>
    </row>
    <row r="20" ht="15" customHeight="1" s="47">
      <c r="B20" s="59" t="inlineStr">
        <is>
          <t>Insider questions</t>
        </is>
      </c>
    </row>
    <row r="21" ht="15" customHeight="1" s="47">
      <c r="B21" s="60" t="inlineStr">
        <is>
          <t>#</t>
        </is>
      </c>
      <c r="C21" s="60" t="inlineStr">
        <is>
          <t>Requirement</t>
        </is>
      </c>
      <c r="D21" s="60" t="inlineStr">
        <is>
          <t>Owner</t>
        </is>
      </c>
      <c r="E21" s="60" t="inlineStr">
        <is>
          <t>Evidence / location</t>
        </is>
      </c>
      <c r="F21" s="60" t="inlineStr">
        <is>
          <t>Status</t>
        </is>
      </c>
    </row>
    <row r="22" ht="15" customHeight="1" s="47">
      <c r="B22" s="46" t="n">
        <v>1</v>
      </c>
      <c r="C22" s="46" t="inlineStr">
        <is>
          <t>What add-backs are capped or time-limited?</t>
        </is>
      </c>
      <c r="F22" s="46" t="inlineStr">
        <is>
          <t>OPEN</t>
        </is>
      </c>
    </row>
    <row r="23" ht="15" customHeight="1" s="47">
      <c r="B23" s="46" t="n">
        <v>2</v>
      </c>
      <c r="C23" s="46" t="inlineStr">
        <is>
          <t>Where can new money prime us?</t>
        </is>
      </c>
      <c r="F23" s="46" t="inlineStr">
        <is>
          <t>OPEN</t>
        </is>
      </c>
    </row>
    <row r="24" ht="15" customHeight="1" s="47">
      <c r="B24" s="46" t="n">
        <v>3</v>
      </c>
      <c r="C24" s="46" t="inlineStr">
        <is>
          <t>What is the first liquidity date, not the maturity date?</t>
        </is>
      </c>
      <c r="F24" s="46" t="inlineStr">
        <is>
          <t>OPEN</t>
        </is>
      </c>
    </row>
    <row r="25" ht="15" customHeight="1" s="47">
      <c r="B25" s="46" t="n">
        <v>4</v>
      </c>
      <c r="C25" s="46" t="inlineStr">
        <is>
          <t>Which assumption is owner-approved versus modeler judgement?</t>
        </is>
      </c>
      <c r="F25" s="46" t="inlineStr">
        <is>
          <t>OPEN</t>
        </is>
      </c>
    </row>
    <row r="26" ht="15" customHeight="1" s="47">
      <c r="B26" s="46" t="n">
        <v>5</v>
      </c>
      <c r="C26" s="46" t="inlineStr">
        <is>
          <t>What fails first and who must act?</t>
        </is>
      </c>
      <c r="F26" s="46" t="inlineStr">
        <is>
          <t>OPEN</t>
        </is>
      </c>
    </row>
    <row r="28" ht="15" customHeight="1" s="47">
      <c r="B28" s="59" t="inlineStr">
        <is>
          <t>Scenario families</t>
        </is>
      </c>
    </row>
    <row r="29" ht="15" customHeight="1" s="47">
      <c r="B29" s="60" t="inlineStr">
        <is>
          <t>#</t>
        </is>
      </c>
      <c r="C29" s="60" t="inlineStr">
        <is>
          <t>Requirement</t>
        </is>
      </c>
      <c r="D29" s="60" t="inlineStr">
        <is>
          <t>Owner</t>
        </is>
      </c>
      <c r="E29" s="60" t="inlineStr">
        <is>
          <t>Evidence / location</t>
        </is>
      </c>
      <c r="F29" s="60" t="inlineStr">
        <is>
          <t>Status</t>
        </is>
      </c>
    </row>
    <row r="30" ht="15" customHeight="1" s="47">
      <c r="B30" s="46" t="n">
        <v>1</v>
      </c>
      <c r="C30" s="46" t="inlineStr">
        <is>
          <t>EBITDA miss and add-back rejection</t>
        </is>
      </c>
      <c r="F30" s="46" t="inlineStr">
        <is>
          <t>OPEN</t>
        </is>
      </c>
    </row>
    <row r="31" ht="15" customHeight="1" s="47">
      <c r="B31" s="46" t="n">
        <v>2</v>
      </c>
      <c r="C31" s="46" t="inlineStr">
        <is>
          <t>liquidity draw and revolver block</t>
        </is>
      </c>
      <c r="F31" s="46" t="inlineStr">
        <is>
          <t>OPEN</t>
        </is>
      </c>
    </row>
    <row r="32" ht="15" customHeight="1" s="47">
      <c r="B32" s="46" t="n">
        <v>3</v>
      </c>
      <c r="C32" s="46" t="inlineStr">
        <is>
          <t>rate shock</t>
        </is>
      </c>
      <c r="F32" s="46" t="inlineStr">
        <is>
          <t>OPEN</t>
        </is>
      </c>
    </row>
    <row r="33" ht="15" customHeight="1" s="47">
      <c r="B33" s="46" t="n">
        <v>4</v>
      </c>
      <c r="C33" s="46" t="inlineStr">
        <is>
          <t>data freshness / source failure</t>
        </is>
      </c>
      <c r="F33" s="46" t="inlineStr">
        <is>
          <t>OPEN</t>
        </is>
      </c>
    </row>
    <row r="34" ht="15" customHeight="1" s="47">
      <c r="B34" s="46" t="n">
        <v>5</v>
      </c>
      <c r="C34" s="46" t="inlineStr">
        <is>
          <t>combined severe-but-plausible downside</t>
        </is>
      </c>
      <c r="F34" s="46" t="inlineStr">
        <is>
          <t>OPEN</t>
        </is>
      </c>
    </row>
    <row r="36" ht="15" customHeight="1" s="47">
      <c r="B36" s="59" t="inlineStr">
        <is>
          <t>Primary diligence documents</t>
        </is>
      </c>
    </row>
    <row r="37" ht="15" customHeight="1" s="47">
      <c r="B37" s="60" t="inlineStr">
        <is>
          <t>#</t>
        </is>
      </c>
      <c r="C37" s="60" t="inlineStr">
        <is>
          <t>Requirement</t>
        </is>
      </c>
      <c r="D37" s="60" t="inlineStr">
        <is>
          <t>Owner</t>
        </is>
      </c>
      <c r="E37" s="60" t="inlineStr">
        <is>
          <t>Evidence / location</t>
        </is>
      </c>
      <c r="F37" s="60" t="inlineStr">
        <is>
          <t>Status</t>
        </is>
      </c>
    </row>
    <row r="38" ht="15" customHeight="1" s="47">
      <c r="B38" s="46" t="n">
        <v>1</v>
      </c>
      <c r="C38" s="46" t="inlineStr">
        <is>
          <t>credit agreement and schedules</t>
        </is>
      </c>
      <c r="F38" s="46" t="inlineStr">
        <is>
          <t>OPEN</t>
        </is>
      </c>
    </row>
    <row r="39" ht="15" customHeight="1" s="47">
      <c r="B39" s="46" t="n">
        <v>2</v>
      </c>
      <c r="C39" s="46" t="inlineStr">
        <is>
          <t>QoE and borrowing-base reports</t>
        </is>
      </c>
      <c r="F39" s="46" t="inlineStr">
        <is>
          <t>OPEN</t>
        </is>
      </c>
    </row>
    <row r="40" ht="15" customHeight="1" s="47">
      <c r="B40" s="46" t="n">
        <v>3</v>
      </c>
      <c r="C40" s="46" t="inlineStr">
        <is>
          <t>sponsor model and lender case</t>
        </is>
      </c>
      <c r="F40" s="46" t="inlineStr">
        <is>
          <t>OPEN</t>
        </is>
      </c>
    </row>
    <row r="41" ht="15" customHeight="1" s="47">
      <c r="B41" s="46" t="n">
        <v>4</v>
      </c>
      <c r="C41" s="46" t="inlineStr">
        <is>
          <t>approved model card and assumption register</t>
        </is>
      </c>
      <c r="F41" s="46" t="inlineStr">
        <is>
          <t>OPEN</t>
        </is>
      </c>
    </row>
    <row r="42" ht="15" customHeight="1" s="47">
      <c r="B42" s="46" t="n">
        <v>5</v>
      </c>
      <c r="C42" s="46" t="inlineStr">
        <is>
          <t>independent validation and challenge record</t>
        </is>
      </c>
      <c r="F42" s="46" t="inlineStr">
        <is>
          <t>OPEN</t>
        </is>
      </c>
    </row>
    <row r="44" ht="15" customHeight="1" s="47">
      <c r="B44" s="59" t="inlineStr">
        <is>
          <t>Challenge tests</t>
        </is>
      </c>
    </row>
    <row r="45" ht="15" customHeight="1" s="47">
      <c r="B45" s="60" t="inlineStr">
        <is>
          <t>#</t>
        </is>
      </c>
      <c r="C45" s="60" t="inlineStr">
        <is>
          <t>Requirement</t>
        </is>
      </c>
      <c r="D45" s="60" t="inlineStr">
        <is>
          <t>Owner</t>
        </is>
      </c>
      <c r="E45" s="60" t="inlineStr">
        <is>
          <t>Evidence / location</t>
        </is>
      </c>
      <c r="F45" s="60" t="inlineStr">
        <is>
          <t>Status</t>
        </is>
      </c>
    </row>
    <row r="46" ht="15" customHeight="1" s="47">
      <c r="B46" s="46" t="n">
        <v>1</v>
      </c>
      <c r="C46" s="46" t="inlineStr">
        <is>
          <t>debt cash schedule conserves</t>
        </is>
      </c>
      <c r="F46" s="46" t="inlineStr">
        <is>
          <t>OPEN</t>
        </is>
      </c>
    </row>
    <row r="47" ht="15" customHeight="1" s="47">
      <c r="B47" s="46" t="n">
        <v>2</v>
      </c>
      <c r="C47" s="46" t="inlineStr">
        <is>
          <t>yield includes OID and fees</t>
        </is>
      </c>
      <c r="F47" s="46" t="inlineStr">
        <is>
          <t>OPEN</t>
        </is>
      </c>
    </row>
    <row r="48" ht="15" customHeight="1" s="47">
      <c r="B48" s="46" t="n">
        <v>3</v>
      </c>
      <c r="C48" s="46" t="inlineStr">
        <is>
          <t>recovery cannot exceed collateral after costs</t>
        </is>
      </c>
      <c r="F48" s="46" t="inlineStr">
        <is>
          <t>OPEN</t>
        </is>
      </c>
    </row>
    <row r="49" ht="15" customHeight="1" s="47">
      <c r="B49" s="46" t="n">
        <v>4</v>
      </c>
      <c r="C49" s="46" t="inlineStr">
        <is>
          <t>source-to-model lineage is reproducible</t>
        </is>
      </c>
      <c r="F49" s="46" t="inlineStr">
        <is>
          <t>OPEN</t>
        </is>
      </c>
    </row>
    <row r="50" ht="15" customHeight="1" s="47">
      <c r="B50" s="46" t="n">
        <v>5</v>
      </c>
      <c r="C50" s="46" t="inlineStr">
        <is>
          <t>units, signs, dates and legal definitions reconcile</t>
        </is>
      </c>
      <c r="F50" s="46" t="inlineStr">
        <is>
          <t>OPEN</t>
        </is>
      </c>
    </row>
    <row r="52" ht="15" customHeight="1" s="47">
      <c r="B52" s="59" t="inlineStr">
        <is>
          <t>Known failure modes</t>
        </is>
      </c>
    </row>
    <row r="53" ht="15" customHeight="1" s="47">
      <c r="B53" s="60" t="inlineStr">
        <is>
          <t>#</t>
        </is>
      </c>
      <c r="C53" s="60" t="inlineStr">
        <is>
          <t>Requirement</t>
        </is>
      </c>
      <c r="D53" s="60" t="inlineStr">
        <is>
          <t>Owner</t>
        </is>
      </c>
      <c r="E53" s="60" t="inlineStr">
        <is>
          <t>Evidence / location</t>
        </is>
      </c>
      <c r="F53" s="60" t="inlineStr">
        <is>
          <t>Status</t>
        </is>
      </c>
    </row>
    <row r="54" ht="15" customHeight="1" s="47">
      <c r="B54" s="46" t="n">
        <v>1</v>
      </c>
      <c r="C54" s="46" t="inlineStr">
        <is>
          <t>underwriting to sponsor EBITDA</t>
        </is>
      </c>
      <c r="F54" s="46" t="inlineStr">
        <is>
          <t>OPEN</t>
        </is>
      </c>
    </row>
    <row r="55" ht="15" customHeight="1" s="47">
      <c r="B55" s="46" t="n">
        <v>2</v>
      </c>
      <c r="C55" s="46" t="inlineStr">
        <is>
          <t>ignoring builder baskets and incremental debt</t>
        </is>
      </c>
      <c r="F55" s="46" t="inlineStr">
        <is>
          <t>OPEN</t>
        </is>
      </c>
    </row>
    <row r="56" ht="15" customHeight="1" s="47">
      <c r="B56" s="46" t="n">
        <v>3</v>
      </c>
      <c r="C56" s="46" t="inlineStr">
        <is>
          <t>assuming unrestricted cash is available</t>
        </is>
      </c>
      <c r="F56" s="46" t="inlineStr">
        <is>
          <t>OPEN</t>
        </is>
      </c>
    </row>
    <row r="57" ht="15" customHeight="1" s="47">
      <c r="B57" s="46" t="n">
        <v>4</v>
      </c>
      <c r="C57" s="46" t="inlineStr">
        <is>
          <t>stale vintage presented as current</t>
        </is>
      </c>
      <c r="F57" s="46" t="inlineStr">
        <is>
          <t>OPEN</t>
        </is>
      </c>
    </row>
    <row r="58" ht="15" customHeight="1" s="47">
      <c r="B58" s="46" t="n">
        <v>5</v>
      </c>
      <c r="C58" s="46" t="inlineStr">
        <is>
          <t>decision output disconnected from a binding constraint</t>
        </is>
      </c>
      <c r="F58" s="46" t="inlineStr">
        <is>
          <t>OPEN</t>
        </is>
      </c>
    </row>
    <row r="60" ht="15" customHeight="1" s="47">
      <c r="B60" s="59" t="inlineStr">
        <is>
          <t>Regulatory / methodological anchors</t>
        </is>
      </c>
    </row>
    <row r="61" ht="15" customHeight="1" s="47">
      <c r="B61" s="60" t="inlineStr">
        <is>
          <t>Standard</t>
        </is>
      </c>
      <c r="C61" s="60" t="inlineStr">
        <is>
          <t>Scope</t>
        </is>
      </c>
      <c r="D61" s="60" t="inlineStr">
        <is>
          <t>Source URL</t>
        </is>
      </c>
      <c r="E61" s="60" t="inlineStr">
        <is>
          <t>Applicability</t>
        </is>
      </c>
      <c r="F61" s="60" t="inlineStr">
        <is>
          <t>Review note</t>
        </is>
      </c>
    </row>
    <row r="62" ht="15" customHeight="1" s="47">
      <c r="B62" s="46" t="inlineStr">
        <is>
          <t>Federal Reserve SR 26-2 Model Risk Management</t>
        </is>
      </c>
      <c r="C62" s="46" t="inlineStr">
        <is>
          <t>governance, validation, change control, monitoring</t>
        </is>
      </c>
      <c r="D62" s="46" t="inlineStr">
        <is>
          <t>https://www.federalreserve.gov/supervisionreg/srletters/SR2602.htm</t>
        </is>
      </c>
      <c r="E62" s="46" t="inlineStr">
        <is>
          <t>Map explicitly</t>
        </is>
      </c>
    </row>
    <row r="63" ht="15" customHeight="1" s="47">
      <c r="B63" s="46" t="inlineStr">
        <is>
          <t>OCC Rating Credit Risk</t>
        </is>
      </c>
      <c r="C63" s="46" t="inlineStr">
        <is>
          <t>repayment capacity and risk rating</t>
        </is>
      </c>
      <c r="D63" s="46" t="inlineStr">
        <is>
          <t>https://www.occ.treas.gov/publications-and-resources/publications/comptrollers-handbook/files/rating-credit-risk/pub-ch-rating-credit-risk.pdf</t>
        </is>
      </c>
      <c r="E63" s="46" t="inlineStr">
        <is>
          <t>Map explicitly</t>
        </is>
      </c>
    </row>
    <row r="64" ht="15" customHeight="1" s="47">
      <c r="B64" s="46" t="inlineStr">
        <is>
          <t>FASB CECL</t>
        </is>
      </c>
      <c r="C64" s="46" t="inlineStr">
        <is>
          <t>lifetime expected credit loss</t>
        </is>
      </c>
      <c r="D64" s="46" t="inlineStr">
        <is>
          <t>https://www.fasb.org/page/PageContent?pageId=/projects/recentlycompleted/credit-losses.html</t>
        </is>
      </c>
      <c r="E64" s="46" t="inlineStr">
        <is>
          <t>Map explicitly</t>
        </is>
      </c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 errorStyle="stop" operator="between">
      <formula1>"OPEN,IN REVIEW,CLOSED,NOT APPLICABLE"</formula1>
      <formula2>0</formula2>
    </dataValidation>
    <dataValidation sqref="F22:F26" showDropDown="0" showInputMessage="0" showErrorMessage="0" allowBlank="0" type="list" errorStyle="stop" operator="between">
      <formula1>"OPEN,IN REVIEW,CLOSED,NOT APPLICABLE"</formula1>
      <formula2>0</formula2>
    </dataValidation>
    <dataValidation sqref="F30:F34" showDropDown="0" showInputMessage="0" showErrorMessage="0" allowBlank="0" type="list" errorStyle="stop" operator="between">
      <formula1>"OPEN,IN REVIEW,CLOSED,NOT APPLICABLE"</formula1>
      <formula2>0</formula2>
    </dataValidation>
    <dataValidation sqref="F38:F42" showDropDown="0" showInputMessage="0" showErrorMessage="0" allowBlank="0" type="list" errorStyle="stop" operator="between">
      <formula1>"OPEN,IN REVIEW,CLOSED,NOT APPLICABLE"</formula1>
      <formula2>0</formula2>
    </dataValidation>
    <dataValidation sqref="F46:F50" showDropDown="0" showInputMessage="0" showErrorMessage="0" allowBlank="0" type="list" errorStyle="stop" operator="between">
      <formula1>"OPEN,IN REVIEW,CLOSED,NOT APPLICABLE"</formula1>
      <formula2>0</formula2>
    </dataValidation>
    <dataValidation sqref="F54:F58" showDropDown="0" showInputMessage="0" showErrorMessage="0" allowBlank="0" type="list" errorStyle="stop" operator="between">
      <formula1>"OPEN,IN REVIEW,CLOSED,NOT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13" customWidth="1" style="46" min="2" max="2"/>
    <col width="22" customWidth="1" style="46" min="3" max="3"/>
    <col width="52" customWidth="1" style="46" min="4" max="4"/>
    <col width="46" customWidth="1" style="46" min="5" max="5"/>
    <col width="36" customWidth="1" style="46" min="6" max="6"/>
    <col width="14" customWidth="1" style="46" min="7" max="7"/>
    <col width="18" customWidth="1" style="46" min="8" max="8"/>
    <col width="14" customWidth="1" style="46" min="9" max="9"/>
  </cols>
  <sheetData>
    <row r="2" ht="18.55" customHeight="1" s="47">
      <c r="B2" s="56" t="inlineStr">
        <is>
          <t>Independent Challenge, Override and Closure Log</t>
        </is>
      </c>
    </row>
    <row r="4" ht="15" customHeight="1" s="47">
      <c r="B4" s="60" t="inlineStr">
        <is>
          <t>Date</t>
        </is>
      </c>
      <c r="C4" s="60" t="inlineStr">
        <is>
          <t>Reviewer</t>
        </is>
      </c>
      <c r="D4" s="60" t="inlineStr">
        <is>
          <t>Challenge</t>
        </is>
      </c>
      <c r="E4" s="60" t="inlineStr">
        <is>
          <t>Owner response</t>
        </is>
      </c>
      <c r="F4" s="60" t="inlineStr">
        <is>
          <t>Evidence</t>
        </is>
      </c>
      <c r="G4" s="60" t="inlineStr">
        <is>
          <t>Impact</t>
        </is>
      </c>
      <c r="H4" s="60" t="inlineStr">
        <is>
          <t>Status</t>
        </is>
      </c>
      <c r="I4" s="60" t="inlineStr">
        <is>
          <t>Closure</t>
        </is>
      </c>
    </row>
    <row r="5" ht="15" customHeight="1" s="47">
      <c r="D5" s="46" t="inlineStr">
        <is>
          <t>debt cash schedule conserves</t>
        </is>
      </c>
      <c r="H5" s="46" t="inlineStr">
        <is>
          <t>OPEN</t>
        </is>
      </c>
    </row>
    <row r="6" ht="15" customHeight="1" s="47">
      <c r="D6" s="46" t="inlineStr">
        <is>
          <t>yield includes OID and fees</t>
        </is>
      </c>
      <c r="H6" s="46" t="inlineStr">
        <is>
          <t>OPEN</t>
        </is>
      </c>
    </row>
    <row r="7" ht="15" customHeight="1" s="47">
      <c r="D7" s="46" t="inlineStr">
        <is>
          <t>recovery cannot exceed collateral after costs</t>
        </is>
      </c>
      <c r="H7" s="46" t="inlineStr">
        <is>
          <t>OPEN</t>
        </is>
      </c>
    </row>
    <row r="8" ht="15" customHeight="1" s="47">
      <c r="D8" s="46" t="inlineStr">
        <is>
          <t>source-to-model lineage is reproducible</t>
        </is>
      </c>
      <c r="H8" s="46" t="inlineStr">
        <is>
          <t>OPEN</t>
        </is>
      </c>
    </row>
    <row r="9" ht="15" customHeight="1" s="47">
      <c r="D9" s="46" t="inlineStr">
        <is>
          <t>units, signs, dates and legal definitions reconcile</t>
        </is>
      </c>
      <c r="H9" s="46" t="inlineStr">
        <is>
          <t>OPEN</t>
        </is>
      </c>
    </row>
    <row r="10" ht="15" customHeight="1" s="47">
      <c r="H10" s="46" t="n"/>
    </row>
    <row r="11" ht="15" customHeight="1" s="47">
      <c r="H11" s="46" t="n"/>
    </row>
    <row r="12" ht="15" customHeight="1" s="47">
      <c r="H12" s="46" t="n"/>
    </row>
    <row r="13" ht="15" customHeight="1" s="47">
      <c r="H13" s="46" t="n"/>
    </row>
    <row r="14" ht="15" customHeight="1" s="47">
      <c r="H14" s="46" t="n"/>
    </row>
    <row r="15" ht="15" customHeight="1" s="47">
      <c r="H15" s="46" t="n"/>
    </row>
    <row r="16" ht="15" customHeight="1" s="47">
      <c r="H16" s="46" t="n"/>
    </row>
    <row r="17" ht="15" customHeight="1" s="47">
      <c r="H17" s="46" t="n"/>
    </row>
    <row r="18" ht="15" customHeight="1" s="47">
      <c r="H18" s="46" t="n"/>
    </row>
    <row r="19" ht="15" customHeight="1" s="47">
      <c r="H19" s="46" t="n"/>
    </row>
    <row r="20" ht="15" customHeight="1" s="47">
      <c r="H20" s="46" t="n"/>
    </row>
    <row r="21" ht="15" customHeight="1" s="47">
      <c r="H21" s="46" t="n"/>
    </row>
    <row r="22" ht="15" customHeight="1" s="47">
      <c r="H22" s="46" t="n"/>
    </row>
    <row r="23" ht="15" customHeight="1" s="47">
      <c r="H23" s="46" t="n"/>
    </row>
    <row r="24" ht="15" customHeight="1" s="47">
      <c r="H24" s="46" t="n"/>
    </row>
    <row r="25" ht="15" customHeight="1" s="47">
      <c r="H25" s="46" t="n"/>
    </row>
    <row r="26" ht="15" customHeight="1" s="47">
      <c r="H26" s="46" t="n"/>
    </row>
    <row r="27" ht="15" customHeight="1" s="47">
      <c r="H27" s="46" t="n"/>
    </row>
    <row r="28" ht="15" customHeight="1" s="47">
      <c r="H28" s="46" t="n"/>
    </row>
    <row r="29" ht="15" customHeight="1" s="47">
      <c r="H29" s="46" t="n"/>
    </row>
    <row r="30" ht="15" customHeight="1" s="47">
      <c r="H30" s="46" t="n"/>
    </row>
    <row r="31" ht="15" customHeight="1" s="47">
      <c r="H31" s="46" t="n"/>
    </row>
    <row r="32" ht="15" customHeight="1" s="47">
      <c r="H32" s="46" t="n"/>
    </row>
    <row r="33" ht="15" customHeight="1" s="47">
      <c r="H33" s="46" t="n"/>
    </row>
    <row r="34" ht="15" customHeight="1" s="47">
      <c r="H34" s="46" t="n"/>
    </row>
    <row r="35" ht="15" customHeight="1" s="47">
      <c r="H35" s="46" t="n"/>
    </row>
    <row r="36" ht="15" customHeight="1" s="47">
      <c r="H36" s="46" t="n"/>
    </row>
    <row r="37" ht="15" customHeight="1" s="47">
      <c r="H37" s="46" t="n"/>
    </row>
    <row r="38" ht="15" customHeight="1" s="47">
      <c r="H38" s="46" t="n"/>
    </row>
    <row r="39" ht="15" customHeight="1" s="47">
      <c r="H39" s="46" t="n"/>
    </row>
    <row r="40" ht="15" customHeight="1" s="47">
      <c r="H40" s="46" t="n"/>
    </row>
    <row r="41" ht="15" customHeight="1" s="47">
      <c r="H41" s="46" t="n"/>
    </row>
    <row r="42" ht="15" customHeight="1" s="47">
      <c r="H42" s="46" t="n"/>
    </row>
    <row r="43" ht="15" customHeight="1" s="47">
      <c r="H43" s="46" t="n"/>
    </row>
    <row r="44" ht="15" customHeight="1" s="47">
      <c r="H44" s="46" t="n"/>
    </row>
    <row r="45" ht="15" customHeight="1" s="47">
      <c r="H45" s="46" t="n"/>
    </row>
    <row r="46" ht="15" customHeight="1" s="47">
      <c r="H46" s="46" t="n"/>
    </row>
    <row r="47" ht="15" customHeight="1" s="47">
      <c r="H47" s="46" t="n"/>
    </row>
    <row r="48" ht="15" customHeight="1" s="47">
      <c r="H48" s="46" t="n"/>
    </row>
    <row r="49" ht="15" customHeight="1" s="47">
      <c r="H49" s="46" t="n"/>
    </row>
    <row r="50" ht="15" customHeight="1" s="47">
      <c r="H50" s="46" t="n"/>
    </row>
    <row r="51" ht="15" customHeight="1" s="47">
      <c r="H51" s="46" t="n"/>
    </row>
    <row r="52" ht="15" customHeight="1" s="47">
      <c r="H52" s="46" t="n"/>
    </row>
    <row r="53" ht="15" customHeight="1" s="47">
      <c r="H53" s="46" t="n"/>
    </row>
    <row r="54" ht="15" customHeight="1" s="47">
      <c r="H54" s="46" t="n"/>
    </row>
  </sheetData>
  <mergeCells count="1">
    <mergeCell ref="B2:I2"/>
  </mergeCells>
  <dataValidations count="2">
    <dataValidation sqref="H5:H54" showDropDown="0" showInputMessage="0" showErrorMessage="0" allowBlank="0" type="list" errorStyle="stop" operator="between">
      <formula1>"OPEN,IN REVIEW,REMEDIATED,ACCEPTED RISK,CLOSED"</formula1>
      <formula2>0</formula2>
    </dataValidation>
    <dataValidation sqref="G5:G54" showDropDown="0" showInputMessage="0" showErrorMessage="0" allowBlank="0" type="list" errorStyle="stop" operator="between">
      <formula1>"LOW,MEDIUM,HIGH,CRITICAL"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J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4" customWidth="1" style="46" min="2" max="2"/>
    <col width="18" customWidth="1" style="46" min="3" max="3"/>
    <col width="42" customWidth="1" style="46" min="4" max="4"/>
    <col width="24" customWidth="1" style="46" min="5" max="5"/>
    <col width="18" customWidth="1" style="46" min="6" max="6"/>
    <col width="22" customWidth="1" style="46" min="7" max="7"/>
    <col width="42" customWidth="1" style="46" min="8" max="8"/>
    <col width="30" customWidth="1" style="46" min="9" max="9"/>
    <col width="15" customWidth="1" style="46" min="10" max="10"/>
  </cols>
  <sheetData>
    <row r="2" ht="18.55" customHeight="1" s="47">
      <c r="B2" s="56" t="inlineStr">
        <is>
          <t>Source, Transformation, Ownership and Refresh Map</t>
        </is>
      </c>
    </row>
    <row r="4" ht="15" customHeight="1" s="47">
      <c r="B4" s="60" t="inlineStr">
        <is>
          <t>Source class</t>
        </is>
      </c>
      <c r="C4" s="60" t="inlineStr">
        <is>
          <t>Cadence</t>
        </is>
      </c>
      <c r="D4" s="60" t="inlineStr">
        <is>
          <t>Control</t>
        </is>
      </c>
      <c r="E4" s="60" t="inlineStr">
        <is>
          <t>System / provider</t>
        </is>
      </c>
      <c r="F4" s="60" t="inlineStr">
        <is>
          <t>As-of</t>
        </is>
      </c>
      <c r="G4" s="60" t="inlineStr">
        <is>
          <t>Owner</t>
        </is>
      </c>
      <c r="H4" s="60" t="inlineStr">
        <is>
          <t>Transform</t>
        </is>
      </c>
      <c r="I4" s="60" t="inlineStr">
        <is>
          <t>Downstream</t>
        </is>
      </c>
      <c r="J4" s="60" t="inlineStr">
        <is>
          <t>Status</t>
        </is>
      </c>
    </row>
    <row r="5" ht="15" customHeight="1" s="47">
      <c r="B5" s="46" t="inlineStr">
        <is>
          <t>borrower reporting</t>
        </is>
      </c>
      <c r="C5" s="46" t="inlineStr">
        <is>
          <t>monthly/quarterly</t>
        </is>
      </c>
      <c r="D5" s="46" t="inlineStr">
        <is>
          <t>covenant-definition normalization</t>
        </is>
      </c>
      <c r="J5" s="46" t="inlineStr">
        <is>
          <t>TO MAP</t>
        </is>
      </c>
    </row>
    <row r="6" ht="15" customHeight="1" s="47">
      <c r="B6" s="46" t="inlineStr">
        <is>
          <t>agent notices</t>
        </is>
      </c>
      <c r="C6" s="46" t="inlineStr">
        <is>
          <t>event-driven</t>
        </is>
      </c>
      <c r="D6" s="46" t="inlineStr">
        <is>
          <t>principal, interest and amendment log</t>
        </is>
      </c>
      <c r="J6" s="46" t="inlineStr">
        <is>
          <t>TO MAP</t>
        </is>
      </c>
    </row>
    <row r="7" ht="15" customHeight="1" s="47">
      <c r="B7" s="46" t="inlineStr">
        <is>
          <t>model governance evidence</t>
        </is>
      </c>
      <c r="C7" s="46" t="inlineStr">
        <is>
          <t>per release</t>
        </is>
      </c>
      <c r="D7" s="46" t="inlineStr">
        <is>
          <t>version, reviewer, sign-off and change log</t>
        </is>
      </c>
      <c r="J7" s="46" t="inlineStr">
        <is>
          <t>TO MAP</t>
        </is>
      </c>
    </row>
    <row r="8" ht="15" customHeight="1" s="47">
      <c r="B8" s="46" t="inlineStr">
        <is>
          <t>decision-use snapshot</t>
        </is>
      </c>
      <c r="C8" s="46" t="inlineStr">
        <is>
          <t>per decision</t>
        </is>
      </c>
      <c r="D8" s="46" t="inlineStr">
        <is>
          <t>immutable as-of date and source receipt</t>
        </is>
      </c>
      <c r="J8" s="46" t="inlineStr">
        <is>
          <t>TO MAP</t>
        </is>
      </c>
    </row>
    <row r="9" ht="15" customHeight="1" s="47">
      <c r="J9" s="46" t="n"/>
    </row>
    <row r="10" ht="15" customHeight="1" s="47">
      <c r="J10" s="46" t="n"/>
    </row>
    <row r="11" ht="15" customHeight="1" s="47">
      <c r="J11" s="46" t="n"/>
    </row>
    <row r="12" ht="15" customHeight="1" s="47">
      <c r="J12" s="46" t="n"/>
    </row>
    <row r="13" ht="15" customHeight="1" s="47">
      <c r="J13" s="46" t="n"/>
    </row>
    <row r="14" ht="15" customHeight="1" s="47">
      <c r="J14" s="46" t="n"/>
    </row>
    <row r="15" ht="15" customHeight="1" s="47">
      <c r="J15" s="46" t="n"/>
    </row>
    <row r="16" ht="15" customHeight="1" s="47">
      <c r="J16" s="46" t="n"/>
    </row>
    <row r="17" ht="15" customHeight="1" s="47">
      <c r="J17" s="46" t="n"/>
    </row>
    <row r="18" ht="15" customHeight="1" s="47">
      <c r="J18" s="46" t="n"/>
    </row>
    <row r="19" ht="15" customHeight="1" s="47">
      <c r="J19" s="46" t="n"/>
    </row>
    <row r="20" ht="15" customHeight="1" s="47">
      <c r="J20" s="46" t="n"/>
    </row>
    <row r="21" ht="15" customHeight="1" s="47">
      <c r="J21" s="46" t="n"/>
    </row>
    <row r="22" ht="15" customHeight="1" s="47">
      <c r="J22" s="46" t="n"/>
    </row>
    <row r="23" ht="15" customHeight="1" s="47">
      <c r="J23" s="46" t="n"/>
    </row>
    <row r="24" ht="15" customHeight="1" s="47">
      <c r="J24" s="46" t="n"/>
    </row>
    <row r="25" ht="15" customHeight="1" s="47">
      <c r="J25" s="46" t="n"/>
    </row>
    <row r="26" ht="15" customHeight="1" s="47">
      <c r="J26" s="46" t="n"/>
    </row>
    <row r="27" ht="15" customHeight="1" s="47">
      <c r="J27" s="46" t="n"/>
    </row>
    <row r="28" ht="15" customHeight="1" s="47">
      <c r="J28" s="46" t="n"/>
    </row>
    <row r="29" ht="15" customHeight="1" s="47">
      <c r="J29" s="46" t="n"/>
    </row>
    <row r="30" ht="15" customHeight="1" s="47">
      <c r="J30" s="46" t="n"/>
    </row>
    <row r="31" ht="15" customHeight="1" s="47">
      <c r="J31" s="46" t="n"/>
    </row>
    <row r="32" ht="15" customHeight="1" s="47">
      <c r="J32" s="46" t="n"/>
    </row>
    <row r="33" ht="15" customHeight="1" s="47">
      <c r="J33" s="46" t="n"/>
    </row>
    <row r="34" ht="15" customHeight="1" s="47">
      <c r="J34" s="46" t="n"/>
    </row>
    <row r="35" ht="15" customHeight="1" s="47">
      <c r="J35" s="46" t="n"/>
    </row>
    <row r="36" ht="15" customHeight="1" s="47">
      <c r="J36" s="46" t="n"/>
    </row>
    <row r="37" ht="15" customHeight="1" s="47">
      <c r="J37" s="46" t="n"/>
    </row>
    <row r="38" ht="15" customHeight="1" s="47">
      <c r="J38" s="46" t="n"/>
    </row>
    <row r="39" ht="15" customHeight="1" s="47">
      <c r="J39" s="46" t="n"/>
    </row>
    <row r="40" ht="15" customHeight="1" s="47">
      <c r="J40" s="46" t="n"/>
    </row>
  </sheetData>
  <mergeCells count="1">
    <mergeCell ref="B2:J2"/>
  </mergeCells>
  <dataValidations count="1">
    <dataValidation sqref="J5:J40" showDropDown="0" showInputMessage="0" showErrorMessage="0" allowBlank="0" type="list" errorStyle="stop" operator="between">
      <formula1>"TO MAP,ACTIVE,STALE,EXCEPTION,RETIRED"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40" customWidth="1" style="46" min="2" max="2"/>
    <col width="15" customWidth="1" style="46" min="3" max="5"/>
    <col width="28" customWidth="1" style="46" min="6" max="6"/>
  </cols>
  <sheetData>
    <row r="2" ht="27.75" customHeight="1" s="47">
      <c r="B2" s="48" t="inlineStr">
        <is>
          <t>Underwriting Assumptions</t>
        </is>
      </c>
    </row>
    <row r="4" ht="15" customHeight="1" s="47">
      <c r="B4" s="61" t="inlineStr">
        <is>
          <t>Assumption</t>
        </is>
      </c>
      <c r="C4" s="61" t="inlineStr">
        <is>
          <t>Base</t>
        </is>
      </c>
      <c r="D4" s="61" t="inlineStr">
        <is>
          <t>Downside</t>
        </is>
      </c>
      <c r="E4" s="61" t="inlineStr">
        <is>
          <t>Active</t>
        </is>
      </c>
      <c r="F4" s="61" t="inlineStr">
        <is>
          <t>Units / note</t>
        </is>
      </c>
    </row>
    <row r="5" ht="15" customHeight="1" s="47">
      <c r="B5" s="46" t="inlineStr">
        <is>
          <t>Revenue (LTM)</t>
        </is>
      </c>
      <c r="C5" s="62" t="n">
        <v>500</v>
      </c>
      <c r="D5" s="62" t="n">
        <v>500</v>
      </c>
      <c r="E5" s="63">
        <f>IF(Cover!$C$9="Downside",D5,C5)</f>
        <v/>
      </c>
      <c r="F5" s="46" t="inlineStr">
        <is>
          <t>$mm</t>
        </is>
      </c>
    </row>
    <row r="6" ht="15" customHeight="1" s="47">
      <c r="B6" s="46" t="inlineStr">
        <is>
          <t>EBITDA margin</t>
        </is>
      </c>
      <c r="C6" s="64" t="n">
        <v>0.2</v>
      </c>
      <c r="D6" s="64" t="n">
        <v>0.16</v>
      </c>
      <c r="E6" s="65">
        <f>IF(Cover!$C$9="Downside",D6,C6)</f>
        <v/>
      </c>
      <c r="F6" s="46" t="inlineStr">
        <is>
          <t>%</t>
        </is>
      </c>
    </row>
    <row r="7" ht="15" customHeight="1" s="47">
      <c r="B7" s="46" t="inlineStr">
        <is>
          <t>Revenue growth</t>
        </is>
      </c>
      <c r="C7" s="64" t="n">
        <v>0.04</v>
      </c>
      <c r="D7" s="64" t="n">
        <v>-0.05</v>
      </c>
      <c r="E7" s="65">
        <f>IF(Cover!$C$9="Downside",D7,C7)</f>
        <v/>
      </c>
      <c r="F7" s="46" t="inlineStr">
        <is>
          <t>%</t>
        </is>
      </c>
    </row>
    <row r="8" ht="15" customHeight="1" s="47">
      <c r="B8" s="46" t="inlineStr">
        <is>
          <t>Maintenance capex / revenue</t>
        </is>
      </c>
      <c r="C8" s="64" t="n">
        <v>0.03</v>
      </c>
      <c r="D8" s="64" t="n">
        <v>0.035</v>
      </c>
      <c r="E8" s="65">
        <f>IF(Cover!$C$9="Downside",D8,C8)</f>
        <v/>
      </c>
      <c r="F8" s="46" t="inlineStr">
        <is>
          <t>%</t>
        </is>
      </c>
    </row>
    <row r="9" ht="15" customHeight="1" s="47">
      <c r="B9" s="46" t="inlineStr">
        <is>
          <t>Cash taxes / EBITDA</t>
        </is>
      </c>
      <c r="C9" s="64" t="n">
        <v>0.15</v>
      </c>
      <c r="D9" s="64" t="n">
        <v>0.1</v>
      </c>
      <c r="E9" s="65">
        <f>IF(Cover!$C$9="Downside",D9,C9)</f>
        <v/>
      </c>
      <c r="F9" s="46" t="inlineStr">
        <is>
          <t>%</t>
        </is>
      </c>
    </row>
    <row r="10" ht="15" customHeight="1" s="47">
      <c r="B10" s="46" t="inlineStr">
        <is>
          <t>Change in NWC / revenue change</t>
        </is>
      </c>
      <c r="C10" s="64" t="n">
        <v>0.08</v>
      </c>
      <c r="D10" s="64" t="n">
        <v>0.1</v>
      </c>
      <c r="E10" s="65">
        <f>IF(Cover!$C$9="Downside",D10,C10)</f>
        <v/>
      </c>
      <c r="F10" s="46" t="inlineStr">
        <is>
          <t>%</t>
        </is>
      </c>
    </row>
    <row r="11" ht="15" customHeight="1" s="47">
      <c r="B11" s="46" t="inlineStr">
        <is>
          <t>Opening cash</t>
        </is>
      </c>
      <c r="C11" s="62" t="n">
        <v>25</v>
      </c>
      <c r="D11" s="62" t="n">
        <v>20</v>
      </c>
      <c r="E11" s="63">
        <f>IF(Cover!$C$9="Downside",D11,C11)</f>
        <v/>
      </c>
      <c r="F11" s="46" t="inlineStr">
        <is>
          <t>$mm</t>
        </is>
      </c>
    </row>
    <row r="12" ht="15" customHeight="1" s="47">
      <c r="B12" s="46" t="inlineStr">
        <is>
          <t>Opening gross debt</t>
        </is>
      </c>
      <c r="C12" s="62" t="n">
        <v>350</v>
      </c>
      <c r="D12" s="62" t="n">
        <v>350</v>
      </c>
      <c r="E12" s="63">
        <f>IF(Cover!$C$9="Downside",D12,C12)</f>
        <v/>
      </c>
      <c r="F12" s="46" t="inlineStr">
        <is>
          <t>$mm</t>
        </is>
      </c>
    </row>
    <row r="13" ht="15" customHeight="1" s="47">
      <c r="B13" s="46" t="inlineStr">
        <is>
          <t>Base rate</t>
        </is>
      </c>
      <c r="C13" s="64" t="n">
        <v>0.045</v>
      </c>
      <c r="D13" s="64" t="n">
        <v>0.055</v>
      </c>
      <c r="E13" s="65">
        <f>IF(Cover!$C$9="Downside",D13,C13)</f>
        <v/>
      </c>
      <c r="F13" s="46" t="inlineStr">
        <is>
          <t>%</t>
        </is>
      </c>
    </row>
    <row r="14" ht="15" customHeight="1" s="47">
      <c r="B14" s="46" t="inlineStr">
        <is>
          <t>Cash spread</t>
        </is>
      </c>
      <c r="C14" s="64" t="n">
        <v>0.055</v>
      </c>
      <c r="D14" s="64" t="n">
        <v>0.07000000000000001</v>
      </c>
      <c r="E14" s="65">
        <f>IF(Cover!$C$9="Downside",D14,C14)</f>
        <v/>
      </c>
      <c r="F14" s="46" t="inlineStr">
        <is>
          <t>%</t>
        </is>
      </c>
    </row>
    <row r="15" ht="15" customHeight="1" s="47">
      <c r="B15" s="46" t="inlineStr">
        <is>
          <t>OID / upfront fee</t>
        </is>
      </c>
      <c r="C15" s="64" t="n">
        <v>0.02</v>
      </c>
      <c r="D15" s="64" t="n">
        <v>0.02</v>
      </c>
      <c r="E15" s="65">
        <f>IF(Cover!$C$9="Downside",D15,C15)</f>
        <v/>
      </c>
      <c r="F15" s="46" t="inlineStr">
        <is>
          <t>%</t>
        </is>
      </c>
    </row>
    <row r="16" ht="15" customHeight="1" s="47">
      <c r="B16" s="46" t="inlineStr">
        <is>
          <t>PIK spread</t>
        </is>
      </c>
      <c r="C16" s="64" t="n">
        <v>0</v>
      </c>
      <c r="D16" s="64" t="n">
        <v>0.02</v>
      </c>
      <c r="E16" s="65">
        <f>IF(Cover!$C$9="Downside",D16,C16)</f>
        <v/>
      </c>
      <c r="F16" s="46" t="inlineStr">
        <is>
          <t>%</t>
        </is>
      </c>
    </row>
    <row r="17" ht="15" customHeight="1" s="47">
      <c r="B17" s="46" t="inlineStr">
        <is>
          <t>Mandatory amortization</t>
        </is>
      </c>
      <c r="C17" s="64" t="n">
        <v>0.01</v>
      </c>
      <c r="D17" s="64" t="n">
        <v>0</v>
      </c>
      <c r="E17" s="65">
        <f>IF(Cover!$C$9="Downside",D17,C17)</f>
        <v/>
      </c>
      <c r="F17" s="46" t="inlineStr">
        <is>
          <t>% opening debt</t>
        </is>
      </c>
    </row>
    <row r="18" ht="15" customHeight="1" s="47">
      <c r="B18" s="46" t="inlineStr">
        <is>
          <t>Cash sweep</t>
        </is>
      </c>
      <c r="C18" s="64" t="n">
        <v>0.5</v>
      </c>
      <c r="D18" s="64" t="n">
        <v>0.25</v>
      </c>
      <c r="E18" s="65">
        <f>IF(Cover!$C$9="Downside",D18,C18)</f>
        <v/>
      </c>
      <c r="F18" s="46" t="inlineStr">
        <is>
          <t>% excess cash</t>
        </is>
      </c>
    </row>
    <row r="19" ht="15" customHeight="1" s="47">
      <c r="B19" s="46" t="inlineStr">
        <is>
          <t>Minimum cash</t>
        </is>
      </c>
      <c r="C19" s="62" t="n">
        <v>15</v>
      </c>
      <c r="D19" s="62" t="n">
        <v>20</v>
      </c>
      <c r="E19" s="63">
        <f>IF(Cover!$C$9="Downside",D19,C19)</f>
        <v/>
      </c>
      <c r="F19" s="46" t="inlineStr">
        <is>
          <t>$mm</t>
        </is>
      </c>
    </row>
    <row r="20" ht="15" customHeight="1" s="47">
      <c r="B20" s="46" t="inlineStr">
        <is>
          <t>Maximum leverage</t>
        </is>
      </c>
      <c r="C20" s="66" t="n">
        <v>6</v>
      </c>
      <c r="D20" s="66" t="n">
        <v>5.5</v>
      </c>
      <c r="E20" s="67">
        <f>IF(Cover!$C$9="Downside",D20,C20)</f>
        <v/>
      </c>
      <c r="F20" s="46" t="inlineStr">
        <is>
          <t>x</t>
        </is>
      </c>
    </row>
    <row r="21" ht="15" customHeight="1" s="47">
      <c r="B21" s="46" t="inlineStr">
        <is>
          <t>Minimum interest coverage</t>
        </is>
      </c>
      <c r="C21" s="66" t="n">
        <v>1.75</v>
      </c>
      <c r="D21" s="66" t="n">
        <v>1.5</v>
      </c>
      <c r="E21" s="67">
        <f>IF(Cover!$C$9="Downside",D21,C21)</f>
        <v/>
      </c>
      <c r="F21" s="46" t="inlineStr">
        <is>
          <t>x</t>
        </is>
      </c>
    </row>
    <row r="22" ht="15" customHeight="1" s="47">
      <c r="B22" s="46" t="inlineStr">
        <is>
          <t>Minimum DSCR</t>
        </is>
      </c>
      <c r="C22" s="66" t="n">
        <v>1</v>
      </c>
      <c r="D22" s="66" t="n">
        <v>1</v>
      </c>
      <c r="E22" s="67">
        <f>IF(Cover!$C$9="Downside",D22,C22)</f>
        <v/>
      </c>
      <c r="F22" s="46" t="inlineStr">
        <is>
          <t>x</t>
        </is>
      </c>
    </row>
    <row r="23" ht="15" customHeight="1" s="47">
      <c r="B23" s="46" t="inlineStr">
        <is>
          <t>Recovery multiple</t>
        </is>
      </c>
      <c r="C23" s="66" t="n">
        <v>5</v>
      </c>
      <c r="D23" s="66" t="n">
        <v>4</v>
      </c>
      <c r="E23" s="67">
        <f>IF(Cover!$C$9="Downside",D23,C23)</f>
        <v/>
      </c>
      <c r="F23" s="46" t="inlineStr">
        <is>
          <t>x</t>
        </is>
      </c>
    </row>
    <row r="24" ht="15" customHeight="1" s="47">
      <c r="B24" s="46" t="inlineStr">
        <is>
          <t>EV haircut</t>
        </is>
      </c>
      <c r="C24" s="64" t="n">
        <v>0.2</v>
      </c>
      <c r="D24" s="64" t="n">
        <v>0.35</v>
      </c>
      <c r="E24" s="65">
        <f>IF(Cover!$C$9="Downside",D24,C24)</f>
        <v/>
      </c>
      <c r="F24" s="46" t="inlineStr">
        <is>
          <t>%</t>
        </is>
      </c>
    </row>
    <row r="25" ht="15" customHeight="1" s="47">
      <c r="B25" s="46" t="inlineStr">
        <is>
          <t>Maturity</t>
        </is>
      </c>
      <c r="C25" s="68" t="n">
        <v>7</v>
      </c>
      <c r="D25" s="68" t="n">
        <v>7</v>
      </c>
      <c r="E25" s="69">
        <f>IF(Cover!$C$9="Downside",D25,C25)</f>
        <v/>
      </c>
      <c r="F25" s="46" t="inlineStr">
        <is>
          <t>years</t>
        </is>
      </c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6" customWidth="1" style="46" min="2" max="2"/>
    <col width="13" customWidth="1" style="46" min="3" max="8"/>
  </cols>
  <sheetData>
    <row r="2" ht="27.75" customHeight="1" s="47">
      <c r="B2" s="48" t="inlineStr">
        <is>
          <t>Operating Case &amp; CFADS</t>
        </is>
      </c>
    </row>
    <row r="4" ht="15" customHeight="1" s="47">
      <c r="B4" s="61" t="inlineStr">
        <is>
          <t>$mm</t>
        </is>
      </c>
      <c r="C4" s="61" t="inlineStr">
        <is>
          <t>LTM</t>
        </is>
      </c>
      <c r="D4" s="61" t="inlineStr">
        <is>
          <t>Year 1</t>
        </is>
      </c>
      <c r="E4" s="61" t="inlineStr">
        <is>
          <t>Year 2</t>
        </is>
      </c>
      <c r="F4" s="61" t="inlineStr">
        <is>
          <t>Year 3</t>
        </is>
      </c>
      <c r="G4" s="61" t="inlineStr">
        <is>
          <t>Year 4</t>
        </is>
      </c>
      <c r="H4" s="61" t="inlineStr">
        <is>
          <t>Year 5</t>
        </is>
      </c>
    </row>
    <row r="5" ht="15" customHeight="1" s="47">
      <c r="B5" s="46" t="inlineStr">
        <is>
          <t>Revenue</t>
        </is>
      </c>
      <c r="C5" s="63">
        <f>Assumptions!E5</f>
        <v/>
      </c>
      <c r="D5" s="70">
        <f>C5*(1+Assumptions!$E$7)</f>
        <v/>
      </c>
      <c r="E5" s="70">
        <f>D5*(1+Assumptions!$E$7)</f>
        <v/>
      </c>
      <c r="F5" s="70">
        <f>E5*(1+Assumptions!$E$7)</f>
        <v/>
      </c>
      <c r="G5" s="70">
        <f>F5*(1+Assumptions!$E$7)</f>
        <v/>
      </c>
      <c r="H5" s="70">
        <f>G5*(1+Assumptions!$E$7)</f>
        <v/>
      </c>
    </row>
    <row r="6" ht="15" customHeight="1" s="47">
      <c r="B6" s="46" t="inlineStr">
        <is>
          <t>Growth</t>
        </is>
      </c>
      <c r="D6" s="71">
        <f>IFERROR(D5/C5-1,0)</f>
        <v/>
      </c>
      <c r="E6" s="71">
        <f>IFERROR(E5/D5-1,0)</f>
        <v/>
      </c>
      <c r="F6" s="71">
        <f>IFERROR(F5/E5-1,0)</f>
        <v/>
      </c>
      <c r="G6" s="71">
        <f>IFERROR(G5/F5-1,0)</f>
        <v/>
      </c>
      <c r="H6" s="71">
        <f>IFERROR(H5/G5-1,0)</f>
        <v/>
      </c>
    </row>
    <row r="7" ht="15" customHeight="1" s="47">
      <c r="B7" s="46" t="inlineStr">
        <is>
          <t>EBITDA</t>
        </is>
      </c>
      <c r="C7" s="63">
        <f>C5*Assumptions!E6</f>
        <v/>
      </c>
      <c r="D7" s="70">
        <f>D5*Assumptions!$E$6</f>
        <v/>
      </c>
      <c r="E7" s="70">
        <f>E5*Assumptions!$E$6</f>
        <v/>
      </c>
      <c r="F7" s="70">
        <f>F5*Assumptions!$E$6</f>
        <v/>
      </c>
      <c r="G7" s="70">
        <f>G5*Assumptions!$E$6</f>
        <v/>
      </c>
      <c r="H7" s="70">
        <f>H5*Assumptions!$E$6</f>
        <v/>
      </c>
    </row>
    <row r="8" ht="15" customHeight="1" s="47">
      <c r="B8" s="46" t="inlineStr">
        <is>
          <t>EBITDA margin</t>
        </is>
      </c>
      <c r="C8" s="71">
        <f>IFERROR(C7/C5,0)</f>
        <v/>
      </c>
      <c r="D8" s="71">
        <f>IFERROR(D7/D5,0)</f>
        <v/>
      </c>
      <c r="E8" s="71">
        <f>IFERROR(E7/E5,0)</f>
        <v/>
      </c>
      <c r="F8" s="71">
        <f>IFERROR(F7/F5,0)</f>
        <v/>
      </c>
      <c r="G8" s="71">
        <f>IFERROR(G7/G5,0)</f>
        <v/>
      </c>
      <c r="H8" s="71">
        <f>IFERROR(H7/H5,0)</f>
        <v/>
      </c>
    </row>
    <row r="9" ht="15" customHeight="1" s="47">
      <c r="B9" s="46" t="inlineStr">
        <is>
          <t>Cash taxes</t>
        </is>
      </c>
      <c r="D9" s="70">
        <f>D7*Assumptions!$E$9</f>
        <v/>
      </c>
      <c r="E9" s="70">
        <f>E7*Assumptions!$E$9</f>
        <v/>
      </c>
      <c r="F9" s="70">
        <f>F7*Assumptions!$E$9</f>
        <v/>
      </c>
      <c r="G9" s="70">
        <f>G7*Assumptions!$E$9</f>
        <v/>
      </c>
      <c r="H9" s="70">
        <f>H7*Assumptions!$E$9</f>
        <v/>
      </c>
    </row>
    <row r="10" ht="15" customHeight="1" s="47">
      <c r="B10" s="46" t="inlineStr">
        <is>
          <t>Maintenance capex</t>
        </is>
      </c>
      <c r="D10" s="70">
        <f>D5*Assumptions!$E$8</f>
        <v/>
      </c>
      <c r="E10" s="70">
        <f>E5*Assumptions!$E$8</f>
        <v/>
      </c>
      <c r="F10" s="70">
        <f>F5*Assumptions!$E$8</f>
        <v/>
      </c>
      <c r="G10" s="70">
        <f>G5*Assumptions!$E$8</f>
        <v/>
      </c>
      <c r="H10" s="70">
        <f>H5*Assumptions!$E$8</f>
        <v/>
      </c>
    </row>
    <row r="11" ht="15" customHeight="1" s="47">
      <c r="B11" s="46" t="inlineStr">
        <is>
          <t>Change in NWC</t>
        </is>
      </c>
      <c r="D11" s="70">
        <f>MAX(0,(D5-C5)*Assumptions!$E$10)</f>
        <v/>
      </c>
      <c r="E11" s="70">
        <f>MAX(0,(E5-D5)*Assumptions!$E$10)</f>
        <v/>
      </c>
      <c r="F11" s="70">
        <f>MAX(0,(F5-E5)*Assumptions!$E$10)</f>
        <v/>
      </c>
      <c r="G11" s="70">
        <f>MAX(0,(G5-F5)*Assumptions!$E$10)</f>
        <v/>
      </c>
      <c r="H11" s="70">
        <f>MAX(0,(H5-G5)*Assumptions!$E$10)</f>
        <v/>
      </c>
    </row>
    <row r="12" ht="15" customHeight="1" s="47">
      <c r="B12" s="72" t="inlineStr">
        <is>
          <t>CFADS before interest</t>
        </is>
      </c>
      <c r="C12" s="73" t="n"/>
      <c r="D12" s="73">
        <f>D7-D9-D10-D11</f>
        <v/>
      </c>
      <c r="E12" s="73">
        <f>E7-E9-E10-E11</f>
        <v/>
      </c>
      <c r="F12" s="73">
        <f>F7-F9-F10-F11</f>
        <v/>
      </c>
      <c r="G12" s="73">
        <f>G7-G9-G10-G11</f>
        <v/>
      </c>
      <c r="H12" s="73">
        <f>H7-H9-H10-H11</f>
        <v/>
      </c>
    </row>
    <row r="13" ht="15" customHeight="1" s="47">
      <c r="B13" s="46" t="inlineStr">
        <is>
          <t>Cash interest</t>
        </is>
      </c>
      <c r="D13" s="70">
        <f>'Debt Schedule'!D13</f>
        <v/>
      </c>
      <c r="E13" s="70">
        <f>'Debt Schedule'!E13</f>
        <v/>
      </c>
      <c r="F13" s="70">
        <f>'Debt Schedule'!F13</f>
        <v/>
      </c>
      <c r="G13" s="70">
        <f>'Debt Schedule'!G13</f>
        <v/>
      </c>
      <c r="H13" s="70">
        <f>'Debt Schedule'!H13</f>
        <v/>
      </c>
    </row>
    <row r="14" ht="15" customHeight="1" s="47">
      <c r="B14" s="72" t="inlineStr">
        <is>
          <t>CFADS after interest</t>
        </is>
      </c>
      <c r="C14" s="73" t="n"/>
      <c r="D14" s="73">
        <f>D12-D13</f>
        <v/>
      </c>
      <c r="E14" s="73">
        <f>E12-E13</f>
        <v/>
      </c>
      <c r="F14" s="73">
        <f>F12-F13</f>
        <v/>
      </c>
      <c r="G14" s="73">
        <f>G12-G13</f>
        <v/>
      </c>
      <c r="H14" s="73">
        <f>H12-H13</f>
        <v/>
      </c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40" customWidth="1" style="46" min="2" max="2"/>
    <col width="13" customWidth="1" style="46" min="3" max="8"/>
  </cols>
  <sheetData>
    <row r="2" ht="27.75" customHeight="1" s="47">
      <c r="B2" s="48" t="inlineStr">
        <is>
          <t>Debt &amp; Cash Schedule</t>
        </is>
      </c>
    </row>
    <row r="4" ht="15" customHeight="1" s="47">
      <c r="B4" s="61" t="inlineStr">
        <is>
          <t>$mm</t>
        </is>
      </c>
      <c r="C4" s="61" t="inlineStr">
        <is>
          <t>Close</t>
        </is>
      </c>
      <c r="D4" s="61" t="inlineStr">
        <is>
          <t>Year 1</t>
        </is>
      </c>
      <c r="E4" s="61" t="inlineStr">
        <is>
          <t>Year 2</t>
        </is>
      </c>
      <c r="F4" s="61" t="inlineStr">
        <is>
          <t>Year 3</t>
        </is>
      </c>
      <c r="G4" s="61" t="inlineStr">
        <is>
          <t>Year 4</t>
        </is>
      </c>
      <c r="H4" s="61" t="inlineStr">
        <is>
          <t>Year 5</t>
        </is>
      </c>
    </row>
    <row r="5" ht="15" customHeight="1" s="47">
      <c r="B5" s="46" t="inlineStr">
        <is>
          <t>Beginning cash</t>
        </is>
      </c>
      <c r="C5" s="63">
        <f>Assumptions!E11</f>
        <v/>
      </c>
      <c r="D5" s="70">
        <f>C10</f>
        <v/>
      </c>
      <c r="E5" s="70">
        <f>D10</f>
        <v/>
      </c>
      <c r="F5" s="70">
        <f>E10</f>
        <v/>
      </c>
      <c r="G5" s="70">
        <f>F10</f>
        <v/>
      </c>
      <c r="H5" s="70">
        <f>G10</f>
        <v/>
      </c>
    </row>
    <row r="6" ht="15" customHeight="1" s="47">
      <c r="B6" s="46" t="inlineStr">
        <is>
          <t>CFADS after interest</t>
        </is>
      </c>
      <c r="D6" s="70">
        <f>'Operating Case'!D14</f>
        <v/>
      </c>
      <c r="E6" s="70">
        <f>'Operating Case'!E14</f>
        <v/>
      </c>
      <c r="F6" s="70">
        <f>'Operating Case'!F14</f>
        <v/>
      </c>
      <c r="G6" s="70">
        <f>'Operating Case'!G14</f>
        <v/>
      </c>
      <c r="H6" s="70">
        <f>'Operating Case'!H14</f>
        <v/>
      </c>
    </row>
    <row r="7" ht="15" customHeight="1" s="47">
      <c r="B7" s="46" t="inlineStr">
        <is>
          <t>Mandatory amortization</t>
        </is>
      </c>
      <c r="D7" s="70">
        <f>MIN(D11,Assumptions!$E$12*Assumptions!$E$17)</f>
        <v/>
      </c>
      <c r="E7" s="70">
        <f>MIN(E11,Assumptions!$E$12*Assumptions!$E$17)</f>
        <v/>
      </c>
      <c r="F7" s="70">
        <f>MIN(F11,Assumptions!$E$12*Assumptions!$E$17)</f>
        <v/>
      </c>
      <c r="G7" s="70">
        <f>MIN(G11,Assumptions!$E$12*Assumptions!$E$17)</f>
        <v/>
      </c>
      <c r="H7" s="70">
        <f>MIN(H11,Assumptions!$E$12*Assumptions!$E$17)</f>
        <v/>
      </c>
    </row>
    <row r="8" ht="15" customHeight="1" s="47">
      <c r="B8" s="46" t="inlineStr">
        <is>
          <t>Cash before sweep</t>
        </is>
      </c>
      <c r="D8" s="70">
        <f>D5+D6-D7</f>
        <v/>
      </c>
      <c r="E8" s="70">
        <f>E5+E6-E7</f>
        <v/>
      </c>
      <c r="F8" s="70">
        <f>F5+F6-F7</f>
        <v/>
      </c>
      <c r="G8" s="70">
        <f>G5+G6-G7</f>
        <v/>
      </c>
      <c r="H8" s="70">
        <f>H5+H6-H7</f>
        <v/>
      </c>
    </row>
    <row r="9" ht="15" customHeight="1" s="47">
      <c r="B9" s="46" t="inlineStr">
        <is>
          <t>Cash sweep</t>
        </is>
      </c>
      <c r="D9" s="70">
        <f>MIN(MAX(0,D11-D7),MAX(0,D8-Assumptions!$E$19)*Assumptions!$E$18)</f>
        <v/>
      </c>
      <c r="E9" s="70">
        <f>MIN(MAX(0,E11-E7),MAX(0,E8-Assumptions!$E$19)*Assumptions!$E$18)</f>
        <v/>
      </c>
      <c r="F9" s="70">
        <f>MIN(MAX(0,F11-F7),MAX(0,F8-Assumptions!$E$19)*Assumptions!$E$18)</f>
        <v/>
      </c>
      <c r="G9" s="70">
        <f>MIN(MAX(0,G11-G7),MAX(0,G8-Assumptions!$E$19)*Assumptions!$E$18)</f>
        <v/>
      </c>
      <c r="H9" s="70">
        <f>MIN(MAX(0,H11-H7),MAX(0,H8-Assumptions!$E$19)*Assumptions!$E$18)</f>
        <v/>
      </c>
    </row>
    <row r="10" ht="15" customHeight="1" s="47">
      <c r="B10" s="72" t="inlineStr">
        <is>
          <t>Ending cash</t>
        </is>
      </c>
      <c r="C10" s="73">
        <f>C5</f>
        <v/>
      </c>
      <c r="D10" s="73">
        <f>D8-D9</f>
        <v/>
      </c>
      <c r="E10" s="73">
        <f>E8-E9</f>
        <v/>
      </c>
      <c r="F10" s="73">
        <f>F8-F9</f>
        <v/>
      </c>
      <c r="G10" s="73">
        <f>G8-G9</f>
        <v/>
      </c>
      <c r="H10" s="73">
        <f>H8-H9</f>
        <v/>
      </c>
    </row>
    <row r="11" ht="15" customHeight="1" s="47">
      <c r="B11" s="46" t="inlineStr">
        <is>
          <t>Beginning debt</t>
        </is>
      </c>
      <c r="C11" s="63">
        <f>Assumptions!E12</f>
        <v/>
      </c>
      <c r="D11" s="70">
        <f>C15</f>
        <v/>
      </c>
      <c r="E11" s="70">
        <f>D15</f>
        <v/>
      </c>
      <c r="F11" s="70">
        <f>E15</f>
        <v/>
      </c>
      <c r="G11" s="70">
        <f>F15</f>
        <v/>
      </c>
      <c r="H11" s="70">
        <f>G15</f>
        <v/>
      </c>
    </row>
    <row r="12" ht="15" customHeight="1" s="47">
      <c r="B12" s="46" t="inlineStr">
        <is>
          <t>Cash interest rate</t>
        </is>
      </c>
      <c r="C12" s="65">
        <f>Assumptions!E13+Assumptions!E14</f>
        <v/>
      </c>
      <c r="D12" s="71">
        <f>Assumptions!$E$13+Assumptions!$E$14</f>
        <v/>
      </c>
      <c r="E12" s="71">
        <f>Assumptions!$E$13+Assumptions!$E$14</f>
        <v/>
      </c>
      <c r="F12" s="71">
        <f>Assumptions!$E$13+Assumptions!$E$14</f>
        <v/>
      </c>
      <c r="G12" s="71">
        <f>Assumptions!$E$13+Assumptions!$E$14</f>
        <v/>
      </c>
      <c r="H12" s="71">
        <f>Assumptions!$E$13+Assumptions!$E$14</f>
        <v/>
      </c>
    </row>
    <row r="13" ht="15" customHeight="1" s="47">
      <c r="B13" s="46" t="inlineStr">
        <is>
          <t>Cash interest expense</t>
        </is>
      </c>
      <c r="D13" s="70">
        <f>D11*D12</f>
        <v/>
      </c>
      <c r="E13" s="70">
        <f>E11*E12</f>
        <v/>
      </c>
      <c r="F13" s="70">
        <f>F11*F12</f>
        <v/>
      </c>
      <c r="G13" s="70">
        <f>G11*G12</f>
        <v/>
      </c>
      <c r="H13" s="70">
        <f>H11*H12</f>
        <v/>
      </c>
    </row>
    <row r="14" ht="15" customHeight="1" s="47">
      <c r="B14" s="46" t="inlineStr">
        <is>
          <t>PIK accrual</t>
        </is>
      </c>
      <c r="D14" s="70">
        <f>MAX(0,D11-D7-D9)*Assumptions!$E$16</f>
        <v/>
      </c>
      <c r="E14" s="70">
        <f>MAX(0,E11-E7-E9)*Assumptions!$E$16</f>
        <v/>
      </c>
      <c r="F14" s="70">
        <f>MAX(0,F11-F7-F9)*Assumptions!$E$16</f>
        <v/>
      </c>
      <c r="G14" s="70">
        <f>MAX(0,G11-G7-G9)*Assumptions!$E$16</f>
        <v/>
      </c>
      <c r="H14" s="70">
        <f>MAX(0,H11-H7-H9)*Assumptions!$E$16</f>
        <v/>
      </c>
    </row>
    <row r="15" ht="15" customHeight="1" s="47">
      <c r="B15" s="72" t="inlineStr">
        <is>
          <t>Ending debt</t>
        </is>
      </c>
      <c r="C15" s="73">
        <f>C11</f>
        <v/>
      </c>
      <c r="D15" s="73">
        <f>MAX(0,D11-D7-D9+D14)</f>
        <v/>
      </c>
      <c r="E15" s="73">
        <f>MAX(0,E11-E7-E9+E14)</f>
        <v/>
      </c>
      <c r="F15" s="73">
        <f>MAX(0,F11-F7-F9+F14)</f>
        <v/>
      </c>
      <c r="G15" s="73">
        <f>MAX(0,G11-G7-G9+G14)</f>
        <v/>
      </c>
      <c r="H15" s="73">
        <f>MAX(0,H11-H7-H9+H14)</f>
        <v/>
      </c>
    </row>
    <row r="16" ht="15" customHeight="1" s="47">
      <c r="B16" s="46" t="inlineStr">
        <is>
          <t>Average debt</t>
        </is>
      </c>
      <c r="C16" s="70">
        <f>C11</f>
        <v/>
      </c>
      <c r="D16" s="70">
        <f>AVERAGE(D11,D15)</f>
        <v/>
      </c>
      <c r="E16" s="70">
        <f>AVERAGE(E11,E15)</f>
        <v/>
      </c>
      <c r="F16" s="70">
        <f>AVERAGE(F11,F15)</f>
        <v/>
      </c>
      <c r="G16" s="70">
        <f>AVERAGE(G11,G15)</f>
        <v/>
      </c>
      <c r="H16" s="70">
        <f>AVERAGE(H11,H15)</f>
        <v/>
      </c>
    </row>
    <row r="17" ht="15" customHeight="1" s="47">
      <c r="B17" s="46" t="inlineStr">
        <is>
          <t>PIK interest expense</t>
        </is>
      </c>
      <c r="D17" s="70">
        <f>D11*Assumptions!$E$16</f>
        <v/>
      </c>
      <c r="E17" s="70">
        <f>E11*Assumptions!$E$16</f>
        <v/>
      </c>
      <c r="F17" s="70">
        <f>F11*Assumptions!$E$16</f>
        <v/>
      </c>
      <c r="G17" s="70">
        <f>G11*Assumptions!$E$16</f>
        <v/>
      </c>
      <c r="H17" s="70">
        <f>H11*Assumptions!$E$16</f>
        <v/>
      </c>
    </row>
    <row r="18" ht="15" customHeight="1" s="47">
      <c r="B18" s="72" t="inlineStr">
        <is>
          <t>Total interest expense</t>
        </is>
      </c>
      <c r="C18" s="73" t="n"/>
      <c r="D18" s="73">
        <f>D13+D17</f>
        <v/>
      </c>
      <c r="E18" s="73">
        <f>E13+E17</f>
        <v/>
      </c>
      <c r="F18" s="73">
        <f>F13+F17</f>
        <v/>
      </c>
      <c r="G18" s="73">
        <f>G13+G17</f>
        <v/>
      </c>
      <c r="H18" s="73">
        <f>H13+H17</f>
        <v/>
      </c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8" customWidth="1" style="46" min="2" max="2"/>
    <col width="13" customWidth="1" style="46" min="3" max="7"/>
  </cols>
  <sheetData>
    <row r="2" ht="27.75" customHeight="1" s="47">
      <c r="B2" s="48" t="inlineStr">
        <is>
          <t>Covenant Compliance</t>
        </is>
      </c>
    </row>
    <row r="4" ht="15" customHeight="1" s="47">
      <c r="B4" s="61" t="inlineStr">
        <is>
          <t>Metric</t>
        </is>
      </c>
      <c r="C4" s="61" t="inlineStr">
        <is>
          <t>Year 1</t>
        </is>
      </c>
      <c r="D4" s="61" t="inlineStr">
        <is>
          <t>Year 2</t>
        </is>
      </c>
      <c r="E4" s="61" t="inlineStr">
        <is>
          <t>Year 3</t>
        </is>
      </c>
      <c r="F4" s="61" t="inlineStr">
        <is>
          <t>Year 4</t>
        </is>
      </c>
      <c r="G4" s="61" t="inlineStr">
        <is>
          <t>Year 5</t>
        </is>
      </c>
    </row>
    <row r="5" ht="15" customHeight="1" s="47">
      <c r="B5" s="46" t="inlineStr">
        <is>
          <t>Gross leverage</t>
        </is>
      </c>
      <c r="C5" s="74">
        <f>IFERROR('Debt Schedule'!D15/'Operating Case'!D7,0)</f>
        <v/>
      </c>
      <c r="D5" s="74">
        <f>IFERROR('Debt Schedule'!E15/'Operating Case'!E7,0)</f>
        <v/>
      </c>
      <c r="E5" s="74">
        <f>IFERROR('Debt Schedule'!F15/'Operating Case'!F7,0)</f>
        <v/>
      </c>
      <c r="F5" s="74">
        <f>IFERROR('Debt Schedule'!G15/'Operating Case'!G7,0)</f>
        <v/>
      </c>
      <c r="G5" s="74">
        <f>IFERROR('Debt Schedule'!H15/'Operating Case'!H7,0)</f>
        <v/>
      </c>
    </row>
    <row r="6" ht="15" customHeight="1" s="47">
      <c r="B6" s="46" t="inlineStr">
        <is>
          <t>Maximum leverage</t>
        </is>
      </c>
      <c r="C6" s="74">
        <f>Assumptions!$E$20</f>
        <v/>
      </c>
      <c r="D6" s="74">
        <f>Assumptions!$E$20</f>
        <v/>
      </c>
      <c r="E6" s="74">
        <f>Assumptions!$E$20</f>
        <v/>
      </c>
      <c r="F6" s="74">
        <f>Assumptions!$E$20</f>
        <v/>
      </c>
      <c r="G6" s="74">
        <f>Assumptions!$E$20</f>
        <v/>
      </c>
    </row>
    <row r="7" ht="15" customHeight="1" s="47">
      <c r="B7" s="46" t="inlineStr">
        <is>
          <t>Leverage headroom</t>
        </is>
      </c>
      <c r="C7" s="74">
        <f>C6-C5</f>
        <v/>
      </c>
      <c r="D7" s="74">
        <f>D6-D5</f>
        <v/>
      </c>
      <c r="E7" s="74">
        <f>E6-E5</f>
        <v/>
      </c>
      <c r="F7" s="74">
        <f>F6-F5</f>
        <v/>
      </c>
      <c r="G7" s="74">
        <f>G6-G5</f>
        <v/>
      </c>
    </row>
    <row r="8" ht="15" customHeight="1" s="47">
      <c r="B8" s="46" t="inlineStr">
        <is>
          <t>Interest coverage</t>
        </is>
      </c>
      <c r="C8" s="74">
        <f>IFERROR('Operating Case'!D7/'Debt Schedule'!D18,0)</f>
        <v/>
      </c>
      <c r="D8" s="74">
        <f>IFERROR('Operating Case'!E7/'Debt Schedule'!E18,0)</f>
        <v/>
      </c>
      <c r="E8" s="74">
        <f>IFERROR('Operating Case'!F7/'Debt Schedule'!F18,0)</f>
        <v/>
      </c>
      <c r="F8" s="74">
        <f>IFERROR('Operating Case'!G7/'Debt Schedule'!G18,0)</f>
        <v/>
      </c>
      <c r="G8" s="74">
        <f>IFERROR('Operating Case'!H7/'Debt Schedule'!H18,0)</f>
        <v/>
      </c>
    </row>
    <row r="9" ht="15" customHeight="1" s="47">
      <c r="B9" s="46" t="inlineStr">
        <is>
          <t>Minimum coverage</t>
        </is>
      </c>
      <c r="C9" s="74">
        <f>Assumptions!$E$21</f>
        <v/>
      </c>
      <c r="D9" s="74">
        <f>Assumptions!$E$21</f>
        <v/>
      </c>
      <c r="E9" s="74">
        <f>Assumptions!$E$21</f>
        <v/>
      </c>
      <c r="F9" s="74">
        <f>Assumptions!$E$21</f>
        <v/>
      </c>
      <c r="G9" s="74">
        <f>Assumptions!$E$21</f>
        <v/>
      </c>
    </row>
    <row r="10" ht="15" customHeight="1" s="47">
      <c r="B10" s="46" t="inlineStr">
        <is>
          <t>Coverage headroom</t>
        </is>
      </c>
      <c r="C10" s="74">
        <f>C8-C9</f>
        <v/>
      </c>
      <c r="D10" s="74">
        <f>D8-D9</f>
        <v/>
      </c>
      <c r="E10" s="74">
        <f>E8-E9</f>
        <v/>
      </c>
      <c r="F10" s="74">
        <f>F8-F9</f>
        <v/>
      </c>
      <c r="G10" s="74">
        <f>G8-G9</f>
        <v/>
      </c>
    </row>
    <row r="11" ht="15" customHeight="1" s="47">
      <c r="B11" s="46" t="inlineStr">
        <is>
          <t>DSCR</t>
        </is>
      </c>
      <c r="C11" s="74">
        <f>IFERROR('Operating Case'!D12/('Debt Schedule'!D7+'Debt Schedule'!D13),0)</f>
        <v/>
      </c>
      <c r="D11" s="74">
        <f>IFERROR('Operating Case'!E12/('Debt Schedule'!E7+'Debt Schedule'!E13),0)</f>
        <v/>
      </c>
      <c r="E11" s="74">
        <f>IFERROR('Operating Case'!F12/('Debt Schedule'!F7+'Debt Schedule'!F13),0)</f>
        <v/>
      </c>
      <c r="F11" s="74">
        <f>IFERROR('Operating Case'!G12/('Debt Schedule'!G7+'Debt Schedule'!G13),0)</f>
        <v/>
      </c>
      <c r="G11" s="74">
        <f>IFERROR('Operating Case'!H12/('Debt Schedule'!H7+'Debt Schedule'!H13),0)</f>
        <v/>
      </c>
    </row>
    <row r="12" ht="15" customHeight="1" s="47">
      <c r="B12" s="46" t="inlineStr">
        <is>
          <t>Minimum DSCR</t>
        </is>
      </c>
      <c r="C12" s="74">
        <f>Assumptions!$E$22</f>
        <v/>
      </c>
      <c r="D12" s="74">
        <f>Assumptions!$E$22</f>
        <v/>
      </c>
      <c r="E12" s="74">
        <f>Assumptions!$E$22</f>
        <v/>
      </c>
      <c r="F12" s="74">
        <f>Assumptions!$E$22</f>
        <v/>
      </c>
      <c r="G12" s="74">
        <f>Assumptions!$E$22</f>
        <v/>
      </c>
    </row>
    <row r="13" ht="15" customHeight="1" s="47">
      <c r="B13" s="46" t="inlineStr">
        <is>
          <t>DSCR headroom</t>
        </is>
      </c>
      <c r="C13" s="74">
        <f>C11-C12</f>
        <v/>
      </c>
      <c r="D13" s="74">
        <f>D11-D12</f>
        <v/>
      </c>
      <c r="E13" s="74">
        <f>E11-E12</f>
        <v/>
      </c>
      <c r="F13" s="74">
        <f>F11-F12</f>
        <v/>
      </c>
      <c r="G13" s="74">
        <f>G11-G12</f>
        <v/>
      </c>
    </row>
    <row r="14" ht="15" customHeight="1" s="47">
      <c r="B14" s="46" t="inlineStr">
        <is>
          <t>Status</t>
        </is>
      </c>
      <c r="C14" s="46">
        <f>IF(AND(C7&gt;=0,C10&gt;=0,C13&gt;=0),"PASS","BREACH")</f>
        <v/>
      </c>
      <c r="D14" s="46">
        <f>IF(AND(D7&gt;=0,D10&gt;=0,D13&gt;=0),"PASS","BREACH")</f>
        <v/>
      </c>
      <c r="E14" s="46">
        <f>IF(AND(E7&gt;=0,E10&gt;=0,E13&gt;=0),"PASS","BREACH")</f>
        <v/>
      </c>
      <c r="F14" s="46">
        <f>IF(AND(F7&gt;=0,F10&gt;=0,F13&gt;=0),"PASS","BREACH")</f>
        <v/>
      </c>
      <c r="G14" s="46">
        <f>IF(AND(G7&gt;=0,G10&gt;=0,G13&gt;=0),"PASS","BREACH")</f>
        <v/>
      </c>
    </row>
  </sheetData>
  <mergeCells count="1">
    <mergeCell ref="B2:G2"/>
  </mergeCells>
  <conditionalFormatting sqref="C14:G14">
    <cfRule type="expression" rank="0" priority="2" equalAverage="0" aboveAverage="0" dxfId="0" text="" percent="0" bottom="0">
      <formula>C14="PASS"</formula>
    </cfRule>
    <cfRule type="expression" rank="0" priority="3" equalAverage="0" aboveAverage="0" dxfId="1" text="" percent="0" bottom="0">
      <formula>C14="FAIL"</formula>
    </cfRule>
    <cfRule type="expression" rank="0" priority="4" equalAverage="0" aboveAverage="0" dxfId="2" text="" percent="0" bottom="0">
      <formula>C14="REVIEW"</formula>
    </cfRule>
    <cfRule type="expression" rank="0" priority="5" equalAverage="0" aboveAverage="0" dxfId="1" text="" percent="0" bottom="0">
      <formula>C14="BREACH"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0" customWidth="1" style="46" min="2" max="2"/>
    <col width="16" customWidth="1" style="46" min="3" max="3"/>
    <col width="14" customWidth="1" style="46" min="4" max="4"/>
    <col width="46" customWidth="1" style="46" min="5" max="5"/>
  </cols>
  <sheetData>
    <row r="2" ht="27.75" customHeight="1" s="47">
      <c r="B2" s="48" t="inlineStr">
        <is>
          <t>Lender Yield &amp; Spread</t>
        </is>
      </c>
    </row>
    <row r="4" ht="15" customHeight="1" s="47">
      <c r="B4" s="61" t="inlineStr">
        <is>
          <t>Metric</t>
        </is>
      </c>
      <c r="C4" s="61" t="inlineStr">
        <is>
          <t>Value</t>
        </is>
      </c>
      <c r="D4" s="61" t="inlineStr">
        <is>
          <t>Units</t>
        </is>
      </c>
      <c r="E4" s="61" t="inlineStr">
        <is>
          <t>Method</t>
        </is>
      </c>
    </row>
    <row r="5" ht="15" customHeight="1" s="47">
      <c r="B5" s="46" t="inlineStr">
        <is>
          <t>Cash coupon</t>
        </is>
      </c>
      <c r="C5" s="65">
        <f>Assumptions!E13+Assumptions!E14</f>
        <v/>
      </c>
      <c r="D5" s="46" t="inlineStr">
        <is>
          <t>%</t>
        </is>
      </c>
      <c r="E5" s="46" t="inlineStr">
        <is>
          <t>Base rate + spread</t>
        </is>
      </c>
    </row>
    <row r="6" ht="15" customHeight="1" s="47">
      <c r="B6" s="46" t="inlineStr">
        <is>
          <t>PIK rate</t>
        </is>
      </c>
      <c r="C6" s="65">
        <f>Assumptions!E16</f>
        <v/>
      </c>
      <c r="D6" s="46" t="inlineStr">
        <is>
          <t>%</t>
        </is>
      </c>
      <c r="E6" s="46" t="inlineStr">
        <is>
          <t>PIK spread</t>
        </is>
      </c>
    </row>
    <row r="7" ht="15" customHeight="1" s="47">
      <c r="B7" s="46" t="inlineStr">
        <is>
          <t>Issue price</t>
        </is>
      </c>
      <c r="C7" s="75">
        <f>100*(1-Assumptions!E15)</f>
        <v/>
      </c>
      <c r="D7" s="46" t="inlineStr">
        <is>
          <t>per 100</t>
        </is>
      </c>
      <c r="E7" s="46" t="inlineStr">
        <is>
          <t>100 less OID</t>
        </is>
      </c>
    </row>
    <row r="8" ht="15" customHeight="1" s="47">
      <c r="B8" s="46" t="inlineStr">
        <is>
          <t>Maturity</t>
        </is>
      </c>
      <c r="C8" s="69">
        <f>Assumptions!E25</f>
        <v/>
      </c>
      <c r="D8" s="46" t="inlineStr">
        <is>
          <t>years</t>
        </is>
      </c>
      <c r="E8" s="46" t="inlineStr">
        <is>
          <t>Contractual</t>
        </is>
      </c>
    </row>
    <row r="9" ht="15" customHeight="1" s="47">
      <c r="B9" s="46" t="inlineStr">
        <is>
          <t>Approx. cash YTM</t>
        </is>
      </c>
      <c r="C9" s="76">
        <f>IFERROR((C5*100+(100-C7)/C8)/((100+C7)/2),0)</f>
        <v/>
      </c>
      <c r="D9" s="46" t="inlineStr">
        <is>
          <t>%</t>
        </is>
      </c>
      <c r="E9" s="46" t="inlineStr">
        <is>
          <t>Bond approximation</t>
        </is>
      </c>
    </row>
    <row r="10" ht="15" customHeight="1" s="47">
      <c r="B10" s="46" t="inlineStr">
        <is>
          <t>Approx. all-in yield</t>
        </is>
      </c>
      <c r="C10" s="76">
        <f>C9+C6</f>
        <v/>
      </c>
      <c r="D10" s="46" t="inlineStr">
        <is>
          <t>%</t>
        </is>
      </c>
      <c r="E10" s="46" t="inlineStr">
        <is>
          <t>Cash YTM + PIK</t>
        </is>
      </c>
    </row>
    <row r="11" ht="15" customHeight="1" s="47">
      <c r="B11" s="46" t="inlineStr">
        <is>
          <t>Cash spread</t>
        </is>
      </c>
      <c r="C11" s="77">
        <f>Assumptions!E14*10000</f>
        <v/>
      </c>
      <c r="D11" s="46" t="inlineStr">
        <is>
          <t>bps</t>
        </is>
      </c>
      <c r="E11" s="46" t="inlineStr">
        <is>
          <t>Spread × 10,000</t>
        </is>
      </c>
    </row>
    <row r="12" ht="15" customHeight="1" s="47">
      <c r="B12" s="46" t="inlineStr">
        <is>
          <t>OID accretion / year</t>
        </is>
      </c>
      <c r="C12" s="77">
        <f>IFERROR(Assumptions!E15/Assumptions!E25*10000,0)</f>
        <v/>
      </c>
      <c r="D12" s="46" t="inlineStr">
        <is>
          <t>bps</t>
        </is>
      </c>
      <c r="E12" s="46" t="inlineStr">
        <is>
          <t>OID ÷ maturity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6" customWidth="1" style="46" min="2" max="2"/>
    <col width="18" customWidth="1" style="46" min="3" max="4"/>
  </cols>
  <sheetData>
    <row r="2" ht="27.75" customHeight="1" s="47">
      <c r="B2" s="48" t="inlineStr">
        <is>
          <t>Recovery &amp; Loss Analysis</t>
        </is>
      </c>
    </row>
    <row r="4" ht="15" customHeight="1" s="47">
      <c r="B4" s="61" t="inlineStr">
        <is>
          <t>Bridge</t>
        </is>
      </c>
      <c r="C4" s="61" t="inlineStr">
        <is>
          <t>Base</t>
        </is>
      </c>
      <c r="D4" s="61" t="inlineStr">
        <is>
          <t>Downside</t>
        </is>
      </c>
    </row>
    <row r="5" ht="15" customHeight="1" s="47">
      <c r="B5" s="46" t="inlineStr">
        <is>
          <t>Stressed EBITDA</t>
        </is>
      </c>
      <c r="C5" s="70">
        <f>'Operating Case'!H7</f>
        <v/>
      </c>
      <c r="D5" s="70">
        <f>'Operating Case'!H7*(1+Assumptions!D7)</f>
        <v/>
      </c>
    </row>
    <row r="6" ht="15" customHeight="1" s="47">
      <c r="B6" s="46" t="inlineStr">
        <is>
          <t>Recovery multiple</t>
        </is>
      </c>
      <c r="C6" s="74">
        <f>Assumptions!C23</f>
        <v/>
      </c>
      <c r="D6" s="74">
        <f>Assumptions!D23</f>
        <v/>
      </c>
    </row>
    <row r="7" ht="15" customHeight="1" s="47">
      <c r="B7" s="46" t="inlineStr">
        <is>
          <t>Gross enterprise value</t>
        </is>
      </c>
      <c r="C7" s="70">
        <f>C5*C6</f>
        <v/>
      </c>
      <c r="D7" s="70">
        <f>D5*D6</f>
        <v/>
      </c>
    </row>
    <row r="8" ht="15" customHeight="1" s="47">
      <c r="B8" s="46" t="inlineStr">
        <is>
          <t>EV haircut</t>
        </is>
      </c>
      <c r="C8" s="70">
        <f>C7*Assumptions!C24</f>
        <v/>
      </c>
      <c r="D8" s="70">
        <f>D7*Assumptions!D24</f>
        <v/>
      </c>
    </row>
    <row r="9" ht="15" customHeight="1" s="47">
      <c r="B9" s="46" t="inlineStr">
        <is>
          <t>Net distributable value</t>
        </is>
      </c>
      <c r="C9" s="70">
        <f>C7-C8</f>
        <v/>
      </c>
      <c r="D9" s="70">
        <f>D7-D8</f>
        <v/>
      </c>
    </row>
    <row r="10" ht="15" customHeight="1" s="47">
      <c r="B10" s="46" t="inlineStr">
        <is>
          <t>Debt claim</t>
        </is>
      </c>
      <c r="C10" s="70">
        <f>'Debt Schedule'!H15</f>
        <v/>
      </c>
      <c r="D10" s="70">
        <f>'Debt Schedule'!H15</f>
        <v/>
      </c>
    </row>
    <row r="11" ht="15" customHeight="1" s="47">
      <c r="B11" s="72" t="inlineStr">
        <is>
          <t>Recovery value</t>
        </is>
      </c>
      <c r="C11" s="73">
        <f>MIN(C9,C10)</f>
        <v/>
      </c>
      <c r="D11" s="73">
        <f>MIN(D9,D10)</f>
        <v/>
      </c>
    </row>
    <row r="12" ht="15" customHeight="1" s="47">
      <c r="B12" s="46" t="inlineStr">
        <is>
          <t>Recovery rate</t>
        </is>
      </c>
      <c r="C12" s="71">
        <f>IFERROR(C11/C10,0)</f>
        <v/>
      </c>
      <c r="D12" s="71">
        <f>IFERROR(D11/D10,0)</f>
        <v/>
      </c>
    </row>
    <row r="13" ht="15" customHeight="1" s="47">
      <c r="B13" s="46" t="inlineStr">
        <is>
          <t>LGD</t>
        </is>
      </c>
      <c r="C13" s="71">
        <f>1-C12</f>
        <v/>
      </c>
      <c r="D13" s="71">
        <f>1-D12</f>
        <v/>
      </c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G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4" customWidth="1" style="46" min="2" max="2"/>
    <col width="12" customWidth="1" style="46" min="3" max="7"/>
  </cols>
  <sheetData>
    <row r="2" ht="27.75" customHeight="1" s="47">
      <c r="B2" s="48" t="inlineStr">
        <is>
          <t>Recovery Sensitivity</t>
        </is>
      </c>
    </row>
    <row r="4" ht="15" customHeight="1" s="47">
      <c r="B4" s="61" t="inlineStr">
        <is>
          <t>EBITDA haircut / multiple</t>
        </is>
      </c>
      <c r="C4" s="61" t="n">
        <v>3</v>
      </c>
      <c r="D4" s="61" t="n">
        <v>4</v>
      </c>
      <c r="E4" s="61" t="n">
        <v>5</v>
      </c>
      <c r="F4" s="61" t="n">
        <v>6</v>
      </c>
      <c r="G4" s="61" t="n">
        <v>7</v>
      </c>
    </row>
    <row r="5" ht="15" customHeight="1" s="47">
      <c r="B5" s="71" t="n">
        <v>0</v>
      </c>
      <c r="C5" s="71">
        <f>IFERROR(MIN(1,MAX(0,('Operating Case'!$H$7*(1-$B5)*C$4)/'Debt Schedule'!$H$15)),1)</f>
        <v/>
      </c>
      <c r="D5" s="71">
        <f>IFERROR(MIN(1,MAX(0,('Operating Case'!$H$7*(1-$B5)*D$4)/'Debt Schedule'!$H$15)),1)</f>
        <v/>
      </c>
      <c r="E5" s="71">
        <f>IFERROR(MIN(1,MAX(0,('Operating Case'!$H$7*(1-$B5)*E$4)/'Debt Schedule'!$H$15)),1)</f>
        <v/>
      </c>
      <c r="F5" s="71">
        <f>IFERROR(MIN(1,MAX(0,('Operating Case'!$H$7*(1-$B5)*F$4)/'Debt Schedule'!$H$15)),1)</f>
        <v/>
      </c>
      <c r="G5" s="71">
        <f>IFERROR(MIN(1,MAX(0,('Operating Case'!$H$7*(1-$B5)*G$4)/'Debt Schedule'!$H$15)),1)</f>
        <v/>
      </c>
    </row>
    <row r="6" ht="15" customHeight="1" s="47">
      <c r="B6" s="71" t="n">
        <v>0.1</v>
      </c>
      <c r="C6" s="71">
        <f>IFERROR(MIN(1,MAX(0,('Operating Case'!$H$7*(1-$B6)*C$4)/'Debt Schedule'!$H$15)),1)</f>
        <v/>
      </c>
      <c r="D6" s="71">
        <f>IFERROR(MIN(1,MAX(0,('Operating Case'!$H$7*(1-$B6)*D$4)/'Debt Schedule'!$H$15)),1)</f>
        <v/>
      </c>
      <c r="E6" s="71">
        <f>IFERROR(MIN(1,MAX(0,('Operating Case'!$H$7*(1-$B6)*E$4)/'Debt Schedule'!$H$15)),1)</f>
        <v/>
      </c>
      <c r="F6" s="71">
        <f>IFERROR(MIN(1,MAX(0,('Operating Case'!$H$7*(1-$B6)*F$4)/'Debt Schedule'!$H$15)),1)</f>
        <v/>
      </c>
      <c r="G6" s="71">
        <f>IFERROR(MIN(1,MAX(0,('Operating Case'!$H$7*(1-$B6)*G$4)/'Debt Schedule'!$H$15)),1)</f>
        <v/>
      </c>
    </row>
    <row r="7" ht="15" customHeight="1" s="47">
      <c r="B7" s="71" t="n">
        <v>0.2</v>
      </c>
      <c r="C7" s="71">
        <f>IFERROR(MIN(1,MAX(0,('Operating Case'!$H$7*(1-$B7)*C$4)/'Debt Schedule'!$H$15)),1)</f>
        <v/>
      </c>
      <c r="D7" s="71">
        <f>IFERROR(MIN(1,MAX(0,('Operating Case'!$H$7*(1-$B7)*D$4)/'Debt Schedule'!$H$15)),1)</f>
        <v/>
      </c>
      <c r="E7" s="71">
        <f>IFERROR(MIN(1,MAX(0,('Operating Case'!$H$7*(1-$B7)*E$4)/'Debt Schedule'!$H$15)),1)</f>
        <v/>
      </c>
      <c r="F7" s="71">
        <f>IFERROR(MIN(1,MAX(0,('Operating Case'!$H$7*(1-$B7)*F$4)/'Debt Schedule'!$H$15)),1)</f>
        <v/>
      </c>
      <c r="G7" s="71">
        <f>IFERROR(MIN(1,MAX(0,('Operating Case'!$H$7*(1-$B7)*G$4)/'Debt Schedule'!$H$15)),1)</f>
        <v/>
      </c>
    </row>
    <row r="8" ht="15" customHeight="1" s="47">
      <c r="B8" s="71" t="n">
        <v>0.3</v>
      </c>
      <c r="C8" s="71">
        <f>IFERROR(MIN(1,MAX(0,('Operating Case'!$H$7*(1-$B8)*C$4)/'Debt Schedule'!$H$15)),1)</f>
        <v/>
      </c>
      <c r="D8" s="71">
        <f>IFERROR(MIN(1,MAX(0,('Operating Case'!$H$7*(1-$B8)*D$4)/'Debt Schedule'!$H$15)),1)</f>
        <v/>
      </c>
      <c r="E8" s="71">
        <f>IFERROR(MIN(1,MAX(0,('Operating Case'!$H$7*(1-$B8)*E$4)/'Debt Schedule'!$H$15)),1)</f>
        <v/>
      </c>
      <c r="F8" s="71">
        <f>IFERROR(MIN(1,MAX(0,('Operating Case'!$H$7*(1-$B8)*F$4)/'Debt Schedule'!$H$15)),1)</f>
        <v/>
      </c>
      <c r="G8" s="71">
        <f>IFERROR(MIN(1,MAX(0,('Operating Case'!$H$7*(1-$B8)*G$4)/'Debt Schedule'!$H$15)),1)</f>
        <v/>
      </c>
    </row>
    <row r="9" ht="15" customHeight="1" s="47">
      <c r="B9" s="71" t="n">
        <v>0.4</v>
      </c>
      <c r="C9" s="71">
        <f>IFERROR(MIN(1,MAX(0,('Operating Case'!$H$7*(1-$B9)*C$4)/'Debt Schedule'!$H$15)),1)</f>
        <v/>
      </c>
      <c r="D9" s="71">
        <f>IFERROR(MIN(1,MAX(0,('Operating Case'!$H$7*(1-$B9)*D$4)/'Debt Schedule'!$H$15)),1)</f>
        <v/>
      </c>
      <c r="E9" s="71">
        <f>IFERROR(MIN(1,MAX(0,('Operating Case'!$H$7*(1-$B9)*E$4)/'Debt Schedule'!$H$15)),1)</f>
        <v/>
      </c>
      <c r="F9" s="71">
        <f>IFERROR(MIN(1,MAX(0,('Operating Case'!$H$7*(1-$B9)*F$4)/'Debt Schedule'!$H$15)),1)</f>
        <v/>
      </c>
      <c r="G9" s="71">
        <f>IFERROR(MIN(1,MAX(0,('Operating Case'!$H$7*(1-$B9)*G$4)/'Debt Schedule'!$H$15)),1)</f>
        <v/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C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42" customWidth="1" style="46" min="2" max="2"/>
    <col width="18" customWidth="1" style="46" min="3" max="3"/>
  </cols>
  <sheetData>
    <row r="2" ht="27.75" customHeight="1" s="47">
      <c r="B2" s="48" t="inlineStr">
        <is>
          <t>Model Checks</t>
        </is>
      </c>
    </row>
    <row r="4" ht="15" customHeight="1" s="47">
      <c r="B4" s="61" t="inlineStr">
        <is>
          <t>Check</t>
        </is>
      </c>
      <c r="C4" s="61" t="inlineStr">
        <is>
          <t>Status</t>
        </is>
      </c>
    </row>
    <row r="5" ht="15" customHeight="1" s="47">
      <c r="B5" s="46" t="inlineStr">
        <is>
          <t>Debt nonnegative</t>
        </is>
      </c>
      <c r="C5" s="46">
        <f>IF(MIN('Debt Schedule'!D15:H15)&gt;=0,"PASS","FAIL")</f>
        <v/>
      </c>
    </row>
    <row r="6" ht="15" customHeight="1" s="47">
      <c r="B6" s="46" t="inlineStr">
        <is>
          <t>Cash above minimum</t>
        </is>
      </c>
      <c r="C6" s="46">
        <f>IF(MIN('Debt Schedule'!D10:H10)&gt;=Assumptions!E19,"PASS","REVIEW")</f>
        <v/>
      </c>
    </row>
    <row r="7" ht="15" customHeight="1" s="47">
      <c r="B7" s="46" t="inlineStr">
        <is>
          <t>Recovery bounded</t>
        </is>
      </c>
      <c r="C7" s="46">
        <f>IF(AND(MIN(Recovery!C12:D12)&gt;=0,MAX(Recovery!C12:D12)&lt;=1),"PASS","FAIL")</f>
        <v/>
      </c>
    </row>
    <row r="8" ht="15" customHeight="1" s="47">
      <c r="B8" s="46" t="inlineStr">
        <is>
          <t>No covenant breach</t>
        </is>
      </c>
      <c r="C8" s="46">
        <f>IF(COUNTIF(Covenants!C14:G14,"BREACH")=0,"PASS","REVIEW")</f>
        <v/>
      </c>
    </row>
    <row r="9" ht="15" customHeight="1" s="47">
      <c r="B9" s="46" t="inlineStr">
        <is>
          <t>Overall</t>
        </is>
      </c>
      <c r="C9" s="46">
        <f>IF(COUNTIF(C5:C8,"FAIL")+COUNTIF(C5:C8,"REVIEW")=0,"PASS","REVIEW")</f>
        <v/>
      </c>
    </row>
  </sheetData>
  <mergeCells count="1">
    <mergeCell ref="B2:C2"/>
  </mergeCells>
  <conditionalFormatting sqref="C5:C9">
    <cfRule type="expression" rank="0" priority="2" equalAverage="0" aboveAverage="0" dxfId="0" text="" percent="0" bottom="0">
      <formula>C5="PASS"</formula>
    </cfRule>
    <cfRule type="expression" rank="0" priority="3" equalAverage="0" aboveAverage="0" dxfId="1" text="" percent="0" bottom="0">
      <formula>C5="FAIL"</formula>
    </cfRule>
    <cfRule type="expression" rank="0" priority="4" equalAverage="0" aboveAverage="0" dxfId="2" text="" percent="0" bottom="0">
      <formula>C5="REVIEW"</formula>
    </cfRule>
    <cfRule type="expression" rank="0" priority="5" equalAverage="0" aboveAverage="0" dxfId="1" text="" percent="0" bottom="0">
      <formula>C5="BREACH"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4" customWidth="1" style="46" min="2" max="2"/>
    <col width="58" customWidth="1" style="46" min="3" max="3"/>
    <col width="16" customWidth="1" style="46" min="4" max="4"/>
    <col width="48" customWidth="1" style="46" min="5" max="5"/>
  </cols>
  <sheetData>
    <row r="2" ht="27.75" customHeight="1" s="47">
      <c r="B2" s="48" t="inlineStr">
        <is>
          <t>Source Register</t>
        </is>
      </c>
    </row>
    <row r="4" ht="15" customHeight="1" s="47">
      <c r="B4" s="61" t="inlineStr">
        <is>
          <t>Input / dataset</t>
        </is>
      </c>
      <c r="C4" s="61" t="inlineStr">
        <is>
          <t>Source URL or document</t>
        </is>
      </c>
      <c r="D4" s="61" t="inlineStr">
        <is>
          <t>As-of</t>
        </is>
      </c>
      <c r="E4" s="61" t="inlineStr">
        <is>
          <t>Notes / transformation</t>
        </is>
      </c>
    </row>
    <row r="5" ht="15" customHeight="1" s="47">
      <c r="B5" s="78" t="inlineStr">
        <is>
          <t>Financial statements</t>
        </is>
      </c>
      <c r="C5" s="78" t="inlineStr">
        <is>
          <t>SEC filing, audited report, or data room</t>
        </is>
      </c>
      <c r="D5" s="78" t="inlineStr">
        <is>
          <t>[period]</t>
        </is>
      </c>
      <c r="E5" s="78" t="inlineStr">
        <is>
          <t>Reconcile EBITDA, cash, debt and CFADS</t>
        </is>
      </c>
    </row>
    <row r="6" ht="15" customHeight="1" s="47">
      <c r="B6" s="78" t="inlineStr">
        <is>
          <t>Base rate / benchmark</t>
        </is>
      </c>
      <c r="C6" s="78" t="inlineStr">
        <is>
          <t>Treasury, central bank, or contract reference</t>
        </is>
      </c>
      <c r="D6" s="78" t="inlineStr">
        <is>
          <t>[date]</t>
        </is>
      </c>
      <c r="E6" s="78" t="inlineStr">
        <is>
          <t>Freeze curve and floor assumptions</t>
        </is>
      </c>
    </row>
    <row r="7" ht="15" customHeight="1" s="47">
      <c r="B7" s="78" t="inlineStr">
        <is>
          <t>Credit agreement / indenture</t>
        </is>
      </c>
      <c r="C7" s="78" t="inlineStr">
        <is>
          <t>Public filing or reviewed transaction document</t>
        </is>
      </c>
      <c r="D7" s="78" t="inlineStr">
        <is>
          <t>[date]</t>
        </is>
      </c>
      <c r="E7" s="78" t="inlineStr">
        <is>
          <t>Covenants, baskets, amortization and collateral</t>
        </is>
      </c>
    </row>
    <row r="8" ht="15" customHeight="1" s="47">
      <c r="B8" s="78" t="inlineStr">
        <is>
          <t>Recovery methodology</t>
        </is>
      </c>
      <c r="C8" s="78" t="inlineStr">
        <is>
          <t>Documented valuation and waterfall assumptions</t>
        </is>
      </c>
      <c r="D8" s="78" t="inlineStr">
        <is>
          <t>[date]</t>
        </is>
      </c>
      <c r="E8" s="78" t="inlineStr">
        <is>
          <t>Bridge EV to claim-level recovery</t>
        </is>
      </c>
    </row>
    <row r="9">
      <c r="B9" s="79" t="inlineStr">
        <is>
          <t>Ares Capital 2024 Form 10-K</t>
        </is>
      </c>
      <c r="C9" s="79" t="inlineStr">
        <is>
          <t>https://www.sec.gov/Archives/edgar/data/1287750/000128775025000012/arcc-20241231.htm</t>
        </is>
      </c>
      <c r="D9" s="79" t="inlineStr">
        <is>
          <t>2024-12-31</t>
        </is>
      </c>
      <c r="E9" s="79" t="inlineStr">
        <is>
          <t>U.S. SEC / Ares Capital; frozen curated observation as of case date</t>
        </is>
      </c>
    </row>
    <row r="10">
      <c r="B10" s="79" t="inlineStr">
        <is>
          <t>Ares Capital second-quarter 2025 Form 10-Q</t>
        </is>
      </c>
      <c r="C10" s="79" t="inlineStr">
        <is>
          <t>https://www.sec.gov/Archives/edgar/data/1287750/000128775025000050/arcc-20250630.htm</t>
        </is>
      </c>
      <c r="D10" s="79" t="inlineStr">
        <is>
          <t>2024-12-31</t>
        </is>
      </c>
      <c r="E10" s="79" t="inlineStr">
        <is>
          <t>U.S. SEC / Ares Capital; frozen curated observation as of case date</t>
        </is>
      </c>
    </row>
    <row r="11">
      <c r="B11" s="79" t="inlineStr">
        <is>
          <t>Frozen source snapshot</t>
        </is>
      </c>
      <c r="C11" s="79" t="inlineStr">
        <is>
          <t>repo://05_Private_Credit/sources/snapshots/credit-public-ares-2024.json</t>
        </is>
      </c>
      <c r="D11" s="79" t="inlineStr">
        <is>
          <t>2024-12-31</t>
        </is>
      </c>
      <c r="E11" s="79" t="inlineStr">
        <is>
          <t>Immutable curated observation package with SHA-256 digest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14" customWidth="1" style="46" min="2" max="2"/>
    <col width="22" customWidth="1" style="46" min="3" max="3"/>
    <col width="28" customWidth="1" style="46" min="4" max="4"/>
    <col width="38" customWidth="1" style="46" min="5" max="5"/>
    <col width="34" customWidth="1" style="46" min="6" max="6"/>
    <col width="18" customWidth="1" style="46" min="7" max="7"/>
  </cols>
  <sheetData>
    <row r="2" ht="27.75" customHeight="1" s="47">
      <c r="B2" s="48" t="inlineStr">
        <is>
          <t>Refresh Log</t>
        </is>
      </c>
    </row>
    <row r="4" ht="15" customHeight="1" s="47">
      <c r="B4" s="61" t="inlineStr">
        <is>
          <t>Date</t>
        </is>
      </c>
      <c r="C4" s="61" t="inlineStr">
        <is>
          <t>Trigger</t>
        </is>
      </c>
      <c r="D4" s="61" t="inlineStr">
        <is>
          <t>Source snapshot</t>
        </is>
      </c>
      <c r="E4" s="61" t="inlineStr">
        <is>
          <t>What changed</t>
        </is>
      </c>
      <c r="F4" s="61" t="inlineStr">
        <is>
          <t>Reviewer / challenge</t>
        </is>
      </c>
      <c r="G4" s="61" t="inlineStr">
        <is>
          <t>Next check</t>
        </is>
      </c>
    </row>
    <row r="5" ht="15" customHeight="1" s="47">
      <c r="B5" s="80" t="inlineStr">
        <is>
          <t>2026-08-04</t>
        </is>
      </c>
      <c r="C5" s="80" t="inlineStr">
        <is>
          <t>External historical evidence materialization</t>
        </is>
      </c>
      <c r="D5" s="80" t="inlineStr">
        <is>
          <t>repo://05_Private_Credit/sources/snapshots/credit-public-ares-2024.json</t>
        </is>
      </c>
      <c r="E5" s="80" t="inlineStr">
        <is>
          <t>Generated public case credit-public-ares-2024 from canonical release template</t>
        </is>
      </c>
      <c r="F5" s="80" t="inlineStr">
        <is>
          <t>External historical case; human stakeholder approval remains pending</t>
        </is>
      </c>
      <c r="G5" s="80" t="inlineStr">
        <is>
          <t>On source revision, builder change, monitoring breach, or annual review</t>
        </is>
      </c>
    </row>
    <row r="6" ht="15" customHeight="1" s="47">
      <c r="B6" s="80" t="n"/>
      <c r="C6" s="80" t="n"/>
      <c r="D6" s="80" t="n"/>
      <c r="E6" s="80" t="n"/>
      <c r="F6" s="80" t="n"/>
      <c r="G6" s="80" t="n"/>
    </row>
    <row r="7" ht="15" customHeight="1" s="47">
      <c r="B7" s="80" t="n"/>
      <c r="C7" s="80" t="n"/>
      <c r="D7" s="80" t="n"/>
      <c r="E7" s="80" t="n"/>
      <c r="F7" s="80" t="n"/>
      <c r="G7" s="80" t="n"/>
    </row>
    <row r="8" ht="15" customHeight="1" s="47">
      <c r="B8" s="80" t="n"/>
      <c r="C8" s="80" t="n"/>
      <c r="D8" s="80" t="n"/>
      <c r="E8" s="80" t="n"/>
      <c r="F8" s="80" t="n"/>
      <c r="G8" s="80" t="n"/>
    </row>
    <row r="9" ht="15" customHeight="1" s="47">
      <c r="B9" s="80" t="n"/>
      <c r="C9" s="80" t="n"/>
      <c r="D9" s="80" t="n"/>
      <c r="E9" s="80" t="n"/>
      <c r="F9" s="80" t="n"/>
      <c r="G9" s="80" t="n"/>
    </row>
    <row r="10" ht="15" customHeight="1" s="47">
      <c r="B10" s="80" t="n"/>
      <c r="C10" s="80" t="n"/>
      <c r="D10" s="80" t="n"/>
      <c r="E10" s="80" t="n"/>
      <c r="F10" s="80" t="n"/>
      <c r="G10" s="80" t="n"/>
    </row>
    <row r="11" ht="15" customHeight="1" s="47">
      <c r="B11" s="80" t="n"/>
      <c r="C11" s="80" t="n"/>
      <c r="D11" s="80" t="n"/>
      <c r="E11" s="80" t="n"/>
      <c r="F11" s="80" t="n"/>
      <c r="G11" s="80" t="n"/>
    </row>
    <row r="12" ht="15" customHeight="1" s="47">
      <c r="B12" s="80" t="n"/>
      <c r="C12" s="80" t="n"/>
      <c r="D12" s="80" t="n"/>
      <c r="E12" s="80" t="n"/>
      <c r="F12" s="80" t="n"/>
      <c r="G12" s="80" t="n"/>
    </row>
    <row r="13" ht="15" customHeight="1" s="47">
      <c r="B13" s="80" t="n"/>
      <c r="C13" s="80" t="n"/>
      <c r="D13" s="80" t="n"/>
      <c r="E13" s="80" t="n"/>
      <c r="F13" s="80" t="n"/>
      <c r="G13" s="80" t="n"/>
    </row>
    <row r="14" ht="15" customHeight="1" s="47">
      <c r="B14" s="80" t="n"/>
      <c r="C14" s="80" t="n"/>
      <c r="D14" s="80" t="n"/>
      <c r="E14" s="80" t="n"/>
      <c r="F14" s="80" t="n"/>
      <c r="G14" s="80" t="n"/>
    </row>
    <row r="15" ht="15" customHeight="1" s="47">
      <c r="B15" s="80" t="n"/>
      <c r="C15" s="80" t="n"/>
      <c r="D15" s="80" t="n"/>
      <c r="E15" s="80" t="n"/>
      <c r="F15" s="80" t="n"/>
      <c r="G15" s="80" t="n"/>
    </row>
    <row r="16" ht="15" customHeight="1" s="47">
      <c r="B16" s="80" t="n"/>
      <c r="C16" s="80" t="n"/>
      <c r="D16" s="80" t="n"/>
      <c r="E16" s="80" t="n"/>
      <c r="F16" s="80" t="n"/>
      <c r="G16" s="80" t="n"/>
    </row>
    <row r="17" ht="15" customHeight="1" s="47">
      <c r="B17" s="80" t="n"/>
      <c r="C17" s="80" t="n"/>
      <c r="D17" s="80" t="n"/>
      <c r="E17" s="80" t="n"/>
      <c r="F17" s="80" t="n"/>
      <c r="G17" s="80" t="n"/>
    </row>
    <row r="18" ht="15" customHeight="1" s="47">
      <c r="B18" s="80" t="n"/>
      <c r="C18" s="80" t="n"/>
      <c r="D18" s="80" t="n"/>
      <c r="E18" s="80" t="n"/>
      <c r="F18" s="80" t="n"/>
      <c r="G18" s="80" t="n"/>
    </row>
    <row r="19" ht="15" customHeight="1" s="47">
      <c r="B19" s="80" t="n"/>
      <c r="C19" s="80" t="n"/>
      <c r="D19" s="80" t="n"/>
      <c r="E19" s="80" t="n"/>
      <c r="F19" s="80" t="n"/>
      <c r="G19" s="80" t="n"/>
    </row>
    <row r="20" ht="15" customHeight="1" s="47">
      <c r="B20" s="80" t="n"/>
      <c r="C20" s="80" t="n"/>
      <c r="D20" s="80" t="n"/>
      <c r="E20" s="80" t="n"/>
      <c r="F20" s="80" t="n"/>
      <c r="G20" s="80" t="n"/>
    </row>
    <row r="21" ht="15" customHeight="1" s="47">
      <c r="B21" s="80" t="n"/>
      <c r="C21" s="80" t="n"/>
      <c r="D21" s="80" t="n"/>
      <c r="E21" s="80" t="n"/>
      <c r="F21" s="80" t="n"/>
      <c r="G21" s="80" t="n"/>
    </row>
    <row r="22" ht="15" customHeight="1" s="47">
      <c r="B22" s="80" t="n"/>
      <c r="C22" s="80" t="n"/>
      <c r="D22" s="80" t="n"/>
      <c r="E22" s="80" t="n"/>
      <c r="F22" s="80" t="n"/>
      <c r="G22" s="80" t="n"/>
    </row>
    <row r="23" ht="15" customHeight="1" s="47">
      <c r="B23" s="80" t="n"/>
      <c r="C23" s="80" t="n"/>
      <c r="D23" s="80" t="n"/>
      <c r="E23" s="80" t="n"/>
      <c r="F23" s="80" t="n"/>
      <c r="G23" s="80" t="n"/>
    </row>
    <row r="24" ht="15" customHeight="1" s="47">
      <c r="B24" s="80" t="n"/>
      <c r="C24" s="80" t="n"/>
      <c r="D24" s="80" t="n"/>
      <c r="E24" s="80" t="n"/>
      <c r="F24" s="80" t="n"/>
      <c r="G24" s="80" t="n"/>
    </row>
    <row r="25" ht="15" customHeight="1" s="47">
      <c r="B25" s="80" t="n"/>
      <c r="C25" s="80" t="n"/>
      <c r="D25" s="80" t="n"/>
      <c r="E25" s="80" t="n"/>
      <c r="F25" s="80" t="n"/>
      <c r="G25" s="80" t="n"/>
    </row>
    <row r="26" ht="15" customHeight="1" s="47">
      <c r="B26" s="80" t="n"/>
      <c r="C26" s="80" t="n"/>
      <c r="D26" s="80" t="n"/>
      <c r="E26" s="80" t="n"/>
      <c r="F26" s="80" t="n"/>
      <c r="G26" s="80" t="n"/>
    </row>
    <row r="27" ht="15" customHeight="1" s="47">
      <c r="B27" s="80" t="n"/>
      <c r="C27" s="80" t="n"/>
      <c r="D27" s="80" t="n"/>
      <c r="E27" s="80" t="n"/>
      <c r="F27" s="80" t="n"/>
      <c r="G27" s="80" t="n"/>
    </row>
    <row r="28" ht="15" customHeight="1" s="47">
      <c r="B28" s="80" t="n"/>
      <c r="C28" s="80" t="n"/>
      <c r="D28" s="80" t="n"/>
      <c r="E28" s="80" t="n"/>
      <c r="F28" s="80" t="n"/>
      <c r="G28" s="80" t="n"/>
    </row>
    <row r="29" ht="15" customHeight="1" s="47">
      <c r="B29" s="80" t="n"/>
      <c r="C29" s="80" t="n"/>
      <c r="D29" s="80" t="n"/>
      <c r="E29" s="80" t="n"/>
      <c r="F29" s="80" t="n"/>
      <c r="G29" s="80" t="n"/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B2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34" customWidth="1" style="46" min="2" max="2"/>
    <col width="18" customWidth="1" style="46" min="3" max="6"/>
  </cols>
  <sheetData>
    <row r="2" ht="19.7" customHeight="1" s="47">
      <c r="B2" s="81" t="inlineStr">
        <is>
          <t>Portfolio Exposure, Concentration, and Weighted Credit Metrics</t>
        </is>
      </c>
    </row>
    <row r="4" ht="15" customHeight="1" s="47">
      <c r="B4" s="82" t="inlineStr">
        <is>
          <t>Borrower / segment</t>
        </is>
      </c>
      <c r="C4" s="82" t="inlineStr">
        <is>
          <t>Base exposure</t>
        </is>
      </c>
      <c r="D4" s="82" t="inlineStr">
        <is>
          <t>Downside exposure</t>
        </is>
      </c>
      <c r="E4" s="82" t="inlineStr">
        <is>
          <t>Base leverage</t>
        </is>
      </c>
      <c r="F4" s="82" t="inlineStr">
        <is>
          <t>Downside leverage</t>
        </is>
      </c>
    </row>
    <row r="5" ht="15" customHeight="1" s="47">
      <c r="B5" s="46" t="inlineStr">
        <is>
          <t>Borrower A</t>
        </is>
      </c>
      <c r="C5" s="83" t="n">
        <v>9352</v>
      </c>
      <c r="D5" s="84" t="n">
        <v>45</v>
      </c>
      <c r="E5" s="85" t="n">
        <v>4</v>
      </c>
      <c r="F5" s="85" t="n">
        <v>7</v>
      </c>
    </row>
    <row r="6" ht="15" customHeight="1" s="47">
      <c r="B6" s="46" t="inlineStr">
        <is>
          <t>Borrower B</t>
        </is>
      </c>
      <c r="C6" s="83" t="n">
        <v>6680</v>
      </c>
      <c r="D6" s="84" t="n">
        <v>30</v>
      </c>
      <c r="E6" s="85" t="n">
        <v>4.5</v>
      </c>
      <c r="F6" s="85" t="n">
        <v>6.5</v>
      </c>
    </row>
    <row r="7" ht="15" customHeight="1" s="47">
      <c r="B7" s="46" t="inlineStr">
        <is>
          <t>Borrower C</t>
        </is>
      </c>
      <c r="C7" s="83" t="n">
        <v>5344</v>
      </c>
      <c r="D7" s="84" t="n">
        <v>15</v>
      </c>
      <c r="E7" s="85" t="n">
        <v>3.5</v>
      </c>
      <c r="F7" s="85" t="n">
        <v>5</v>
      </c>
    </row>
    <row r="8" ht="15" customHeight="1" s="47">
      <c r="B8" s="46" t="inlineStr">
        <is>
          <t>Borrower D</t>
        </is>
      </c>
      <c r="C8" s="83" t="n">
        <v>3206.4</v>
      </c>
      <c r="D8" s="84" t="n">
        <v>7</v>
      </c>
      <c r="E8" s="85" t="n">
        <v>3</v>
      </c>
      <c r="F8" s="85" t="n">
        <v>4</v>
      </c>
    </row>
    <row r="9" ht="15" customHeight="1" s="47">
      <c r="B9" s="46" t="inlineStr">
        <is>
          <t>Borrower E</t>
        </is>
      </c>
      <c r="C9" s="83" t="n">
        <v>2137.6</v>
      </c>
      <c r="D9" s="84" t="n">
        <v>3</v>
      </c>
      <c r="E9" s="85" t="n">
        <v>2.5</v>
      </c>
      <c r="F9" s="85" t="n">
        <v>3.5</v>
      </c>
    </row>
    <row r="12" ht="15" customHeight="1" s="47">
      <c r="B12" s="46" t="inlineStr">
        <is>
          <t>Total exposure</t>
        </is>
      </c>
      <c r="C12" s="86">
        <f>SUM(C5:C9)</f>
        <v/>
      </c>
      <c r="D12" s="86">
        <f>SUM(D5:D9)</f>
        <v/>
      </c>
    </row>
    <row r="13" ht="15" customHeight="1" s="47">
      <c r="B13" s="46" t="inlineStr">
        <is>
          <t>Top-1 concentration</t>
        </is>
      </c>
      <c r="C13" s="87">
        <f>IFERROR(MAX(C5:C9)/C12,0)</f>
        <v/>
      </c>
      <c r="D13" s="87">
        <f>IFERROR(MAX(D5:D9)/D12,0)</f>
        <v/>
      </c>
    </row>
    <row r="14" ht="15" customHeight="1" s="47">
      <c r="B14" s="46" t="inlineStr">
        <is>
          <t>Weighted leverage</t>
        </is>
      </c>
      <c r="C14" s="88">
        <f>IFERROR(SUMPRODUCT(C5:C9,E5:E9)/C12,0)</f>
        <v/>
      </c>
      <c r="D14" s="88">
        <f>IFERROR(SUMPRODUCT(D5:D9,F5:F9)/D12,0)</f>
        <v/>
      </c>
    </row>
    <row r="15" ht="15" customHeight="1" s="47">
      <c r="B15" s="46" t="inlineStr">
        <is>
          <t>Maximum concentration</t>
        </is>
      </c>
      <c r="C15" s="89" t="n">
        <v>0.4</v>
      </c>
      <c r="D15" s="89" t="n">
        <v>0.4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B2:E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42" customWidth="1" style="46" min="2" max="2"/>
    <col width="18" customWidth="1" style="46" min="3" max="4"/>
    <col width="46" customWidth="1" style="46" min="5" max="5"/>
  </cols>
  <sheetData>
    <row r="2" ht="19.7" customHeight="1" s="47">
      <c r="B2" s="81" t="inlineStr">
        <is>
          <t>Debt Rollforward, PIK, DSCR, Leverage, and Recovery</t>
        </is>
      </c>
    </row>
    <row r="4" ht="15" customHeight="1" s="47">
      <c r="B4" s="82" t="inlineStr">
        <is>
          <t>Metric</t>
        </is>
      </c>
      <c r="C4" s="82" t="inlineStr">
        <is>
          <t>Base</t>
        </is>
      </c>
      <c r="D4" s="82" t="inlineStr">
        <is>
          <t>Adversarial</t>
        </is>
      </c>
      <c r="E4" s="82" t="inlineStr">
        <is>
          <t>Units / control</t>
        </is>
      </c>
    </row>
    <row r="5" ht="15" customHeight="1" s="47">
      <c r="B5" s="46" t="inlineStr">
        <is>
          <t>Opening debt</t>
        </is>
      </c>
      <c r="C5" s="84" t="n">
        <v>350</v>
      </c>
      <c r="D5" s="84" t="n">
        <v>350</v>
      </c>
    </row>
    <row r="6" ht="15" customHeight="1" s="47">
      <c r="B6" s="46" t="inlineStr">
        <is>
          <t>Mandatory amortization</t>
        </is>
      </c>
      <c r="C6" s="84" t="n">
        <v>10</v>
      </c>
      <c r="D6" s="84" t="n">
        <v>0</v>
      </c>
    </row>
    <row r="7" ht="15" customHeight="1" s="47">
      <c r="B7" s="46" t="inlineStr">
        <is>
          <t>Cash sweep</t>
        </is>
      </c>
      <c r="C7" s="84" t="n">
        <v>40</v>
      </c>
      <c r="D7" s="84" t="n">
        <v>0</v>
      </c>
    </row>
    <row r="8" ht="15" customHeight="1" s="47">
      <c r="B8" s="46" t="inlineStr">
        <is>
          <t>PIK interest</t>
        </is>
      </c>
      <c r="C8" s="84" t="n">
        <v>0</v>
      </c>
      <c r="D8" s="84" t="n">
        <v>30</v>
      </c>
    </row>
    <row r="9" ht="15" customHeight="1" s="47">
      <c r="B9" s="46" t="inlineStr">
        <is>
          <t>CFADS</t>
        </is>
      </c>
      <c r="C9" s="84" t="n">
        <v>80</v>
      </c>
      <c r="D9" s="84" t="n">
        <v>20</v>
      </c>
    </row>
    <row r="10" ht="15" customHeight="1" s="47">
      <c r="B10" s="46" t="inlineStr">
        <is>
          <t>Cash interest</t>
        </is>
      </c>
      <c r="C10" s="84" t="n">
        <v>25</v>
      </c>
      <c r="D10" s="84" t="n">
        <v>40</v>
      </c>
    </row>
    <row r="11" ht="15" customHeight="1" s="47">
      <c r="B11" s="46" t="inlineStr">
        <is>
          <t>EBITDA</t>
        </is>
      </c>
      <c r="C11" s="84" t="n">
        <v>100</v>
      </c>
      <c r="D11" s="84" t="n">
        <v>50</v>
      </c>
    </row>
    <row r="12" ht="15" customHeight="1" s="47">
      <c r="B12" s="46" t="inlineStr">
        <is>
          <t>Recovery enterprise value</t>
        </is>
      </c>
      <c r="C12" s="84" t="n">
        <v>500</v>
      </c>
      <c r="D12" s="84" t="n">
        <v>180</v>
      </c>
    </row>
    <row r="13" ht="15" customHeight="1" s="47">
      <c r="B13" s="46" t="inlineStr">
        <is>
          <t>Senior claims</t>
        </is>
      </c>
      <c r="C13" s="84" t="n">
        <v>50</v>
      </c>
      <c r="D13" s="84" t="n">
        <v>50</v>
      </c>
    </row>
    <row r="14" ht="15" customHeight="1" s="47">
      <c r="B14" s="46" t="inlineStr">
        <is>
          <t>Lender claim</t>
        </is>
      </c>
      <c r="C14" s="84" t="n">
        <v>300</v>
      </c>
      <c r="D14" s="84" t="n">
        <v>380</v>
      </c>
    </row>
    <row r="15" ht="15" customHeight="1" s="47">
      <c r="B15" s="46" t="inlineStr">
        <is>
          <t>Minimum DSCR</t>
        </is>
      </c>
      <c r="C15" s="85" t="n">
        <v>1</v>
      </c>
      <c r="D15" s="85" t="n">
        <v>1</v>
      </c>
    </row>
    <row r="16" ht="15" customHeight="1" s="47">
      <c r="B16" s="46" t="inlineStr">
        <is>
          <t>Maximum leverage</t>
        </is>
      </c>
      <c r="C16" s="85" t="n">
        <v>6</v>
      </c>
      <c r="D16" s="85" t="n">
        <v>6</v>
      </c>
    </row>
    <row r="17" ht="15" customHeight="1" s="47">
      <c r="B17" s="46" t="inlineStr">
        <is>
          <t>Minimum recovery</t>
        </is>
      </c>
      <c r="C17" s="89" t="n">
        <v>0.6</v>
      </c>
      <c r="D17" s="89" t="n">
        <v>0.6</v>
      </c>
    </row>
    <row r="18" ht="15" customHeight="1" s="47">
      <c r="B18" s="46" t="inlineStr">
        <is>
          <t>Amendment fee</t>
        </is>
      </c>
      <c r="C18" s="89" t="n">
        <v>0.01</v>
      </c>
      <c r="D18" s="89" t="n">
        <v>0.03</v>
      </c>
    </row>
    <row r="19" ht="15" customHeight="1" s="47">
      <c r="B19" s="46" t="inlineStr">
        <is>
          <t>Extension years</t>
        </is>
      </c>
      <c r="C19" s="90" t="n">
        <v>0</v>
      </c>
      <c r="D19" s="90" t="n">
        <v>2</v>
      </c>
    </row>
    <row r="23" ht="15" customHeight="1" s="47">
      <c r="B23" s="46" t="inlineStr">
        <is>
          <t>Ending debt</t>
        </is>
      </c>
      <c r="C23" s="86">
        <f>MAX(0,C5-C6-C7+C8)</f>
        <v/>
      </c>
      <c r="D23" s="86">
        <f>MAX(0,D5-D6-D7+D8)</f>
        <v/>
      </c>
    </row>
    <row r="24" ht="15" customHeight="1" s="47">
      <c r="B24" s="46" t="inlineStr">
        <is>
          <t>Debt service</t>
        </is>
      </c>
      <c r="C24" s="86">
        <f>C6+C10</f>
        <v/>
      </c>
      <c r="D24" s="86">
        <f>D6+D10</f>
        <v/>
      </c>
    </row>
    <row r="25" ht="15" customHeight="1" s="47">
      <c r="B25" s="46" t="inlineStr">
        <is>
          <t>DSCR</t>
        </is>
      </c>
      <c r="C25" s="88">
        <f>IFERROR(C9/C24,0)</f>
        <v/>
      </c>
      <c r="D25" s="88">
        <f>IFERROR(D9/D24,0)</f>
        <v/>
      </c>
    </row>
    <row r="26" ht="15" customHeight="1" s="47">
      <c r="B26" s="46" t="inlineStr">
        <is>
          <t>Leverage</t>
        </is>
      </c>
      <c r="C26" s="88">
        <f>IFERROR(C23/C11,0)</f>
        <v/>
      </c>
      <c r="D26" s="88">
        <f>IFERROR(D23/D11,0)</f>
        <v/>
      </c>
    </row>
    <row r="27" ht="15" customHeight="1" s="47">
      <c r="B27" s="46" t="inlineStr">
        <is>
          <t>Recovery value</t>
        </is>
      </c>
      <c r="C27" s="86">
        <f>MIN(C14,MAX(0,C12-C13))</f>
        <v/>
      </c>
      <c r="D27" s="86">
        <f>MIN(D14,MAX(0,D12-D13))</f>
        <v/>
      </c>
    </row>
    <row r="28" ht="15" customHeight="1" s="47">
      <c r="B28" s="46" t="inlineStr">
        <is>
          <t>Recovery rate</t>
        </is>
      </c>
      <c r="C28" s="87">
        <f>IFERROR(C27/C14,1)</f>
        <v/>
      </c>
      <c r="D28" s="87">
        <f>IFERROR(D27/D14,1)</f>
        <v/>
      </c>
    </row>
    <row r="29" ht="15" customHeight="1" s="47">
      <c r="B29" s="46" t="inlineStr">
        <is>
          <t>LGD</t>
        </is>
      </c>
      <c r="C29" s="87">
        <f>1-C28</f>
        <v/>
      </c>
      <c r="D29" s="87">
        <f>1-D28</f>
        <v/>
      </c>
    </row>
    <row r="30" ht="15" customHeight="1" s="47">
      <c r="B30" s="46" t="inlineStr">
        <is>
          <t>Amendment fee dollars</t>
        </is>
      </c>
      <c r="C30" s="86">
        <f>C5*C18</f>
        <v/>
      </c>
      <c r="D30" s="86">
        <f>D5*D18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46" min="1" max="1"/>
    <col width="42" customWidth="1" style="46" min="2" max="2"/>
    <col width="18" customWidth="1" style="46" min="3" max="4"/>
    <col width="54" customWidth="1" style="46" min="5" max="5"/>
  </cols>
  <sheetData>
    <row r="2" ht="19.7" customHeight="1" s="47">
      <c r="B2" s="81" t="inlineStr">
        <is>
          <t>Private Credit Decision Dashboard and Independent Checks</t>
        </is>
      </c>
    </row>
    <row r="4" ht="15" customHeight="1" s="47">
      <c r="B4" s="82" t="inlineStr">
        <is>
          <t>Check / decision</t>
        </is>
      </c>
      <c r="C4" s="82" t="inlineStr">
        <is>
          <t>Metric</t>
        </is>
      </c>
      <c r="D4" s="82" t="inlineStr">
        <is>
          <t>Status</t>
        </is>
      </c>
      <c r="E4" s="82" t="inlineStr">
        <is>
          <t>Interpretation / action</t>
        </is>
      </c>
    </row>
    <row r="5" ht="15" customHeight="1" s="47">
      <c r="B5" s="46" t="inlineStr">
        <is>
          <t>Debt rollforward residual</t>
        </is>
      </c>
      <c r="C5" s="91">
        <f>'Amendment Economics'!D23-MAX(0,'Amendment Economics'!D5-'Amendment Economics'!D6-'Amendment Economics'!D7+'Amendment Economics'!D8)</f>
        <v/>
      </c>
      <c r="D5" s="92">
        <f>IF(ABS(C5)&lt;0.01,"PASS","FAIL")</f>
        <v/>
      </c>
      <c r="E5" s="46" t="inlineStr">
        <is>
          <t>Ending debt must reconcile to amortization, sweep, and PIK.</t>
        </is>
      </c>
    </row>
    <row r="6" ht="15" customHeight="1" s="47">
      <c r="B6" s="46" t="inlineStr">
        <is>
          <t>Recovery / LGD identity</t>
        </is>
      </c>
      <c r="C6" s="91">
        <f>'Amendment Economics'!D28+'Amendment Economics'!D29-1</f>
        <v/>
      </c>
      <c r="D6" s="92">
        <f>IF(ABS(C6)&lt;0.000001,"PASS","FAIL")</f>
        <v/>
      </c>
      <c r="E6" s="46" t="inlineStr">
        <is>
          <t>Recovery rate plus LGD must equal one.</t>
        </is>
      </c>
    </row>
    <row r="7" ht="15" customHeight="1" s="47">
      <c r="B7" s="46" t="inlineStr">
        <is>
          <t>Downside DSCR</t>
        </is>
      </c>
      <c r="C7" s="91">
        <f>'Amendment Economics'!D25</f>
        <v/>
      </c>
      <c r="D7" s="92">
        <f>IF(C7&gt;='Amendment Economics'!D15,"PASS","BREACH")</f>
        <v/>
      </c>
      <c r="E7" s="46" t="inlineStr">
        <is>
          <t>CFADS must cover cash interest and mandatory amortization.</t>
        </is>
      </c>
    </row>
    <row r="8" ht="15" customHeight="1" s="47">
      <c r="B8" s="46" t="inlineStr">
        <is>
          <t>Downside leverage</t>
        </is>
      </c>
      <c r="C8" s="91">
        <f>'Amendment Economics'!D26</f>
        <v/>
      </c>
      <c r="D8" s="92">
        <f>IF(C8&lt;='Amendment Economics'!D16,"PASS","BREACH")</f>
        <v/>
      </c>
      <c r="E8" s="46" t="inlineStr">
        <is>
          <t>Debt must remain within approved leverage.</t>
        </is>
      </c>
    </row>
    <row r="9" ht="15" customHeight="1" s="47">
      <c r="B9" s="46" t="inlineStr">
        <is>
          <t>Downside recovery</t>
        </is>
      </c>
      <c r="C9" s="91">
        <f>'Amendment Economics'!D28</f>
        <v/>
      </c>
      <c r="D9" s="92">
        <f>IF(C9&gt;='Amendment Economics'!D17,"PASS","BREACH")</f>
        <v/>
      </c>
      <c r="E9" s="46" t="inlineStr">
        <is>
          <t>Escalate impairment and amendment strategy.</t>
        </is>
      </c>
    </row>
    <row r="10" ht="15" customHeight="1" s="47">
      <c r="B10" s="46" t="inlineStr">
        <is>
          <t>Debt compounding</t>
        </is>
      </c>
      <c r="C10" s="91">
        <f>'Amendment Economics'!D8-'Amendment Economics'!D6-'Amendment Economics'!D7</f>
        <v/>
      </c>
      <c r="D10" s="92">
        <f>IF(C10&lt;=0,"PASS","BREACH")</f>
        <v/>
      </c>
      <c r="E10" s="46" t="inlineStr">
        <is>
          <t>PIK cannot exceed deleveraging without explicit escalation.</t>
        </is>
      </c>
    </row>
    <row r="11" ht="15" customHeight="1" s="47">
      <c r="B11" s="46" t="inlineStr">
        <is>
          <t>Portfolio concentration</t>
        </is>
      </c>
      <c r="C11" s="91">
        <f>'Portfolio &amp; Concentration'!D13</f>
        <v/>
      </c>
      <c r="D11" s="92">
        <f>IF(C11&lt;='Portfolio &amp; Concentration'!D15,"PASS","BREACH")</f>
        <v/>
      </c>
      <c r="E11" s="46" t="inlineStr">
        <is>
          <t>Single-name concentration must remain below the approved limit.</t>
        </is>
      </c>
    </row>
    <row r="13" ht="15" customHeight="1" s="47">
      <c r="B13" s="93" t="inlineStr">
        <is>
          <t>Overall model status</t>
        </is>
      </c>
      <c r="C13" s="94">
        <f>IF(COUNTIF(D5:D11,"FAIL")+COUNTIF(D5:D11,"BREACH")&gt;0,"BREACH",IF(COUNTIF(D5:D11,"REVIEW")&gt;0,"REVIEW","PASS"))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2026-08-04T17:34:22Z</dcterms:created>
  <dcterms:modified xmlns:dcterms="http://purl.org/dc/terms/" xmlns:xsi="http://www.w3.org/2001/XMLSchema-instance" xsi:type="dcterms:W3CDTF">2026-08-04T18:30:42Z</dcterms:modified>
  <cp:revision>0</cp:revision>
</cp:coreProperties>
</file>