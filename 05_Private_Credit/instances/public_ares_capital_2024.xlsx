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<sst xmlns="http://schemas.openxmlformats.org/spreadsheetml/2006/main" count="460" uniqueCount="313">
  <si>
    <t xml:space="preserve">[BORROWER] — Private Credit Underwriting</t>
  </si>
  <si>
    <t xml:space="preserve">Borrower / issuer:</t>
  </si>
  <si>
    <t xml:space="preserve">Ares Capital Corporation (public BDC portfolio proxy)</t>
  </si>
  <si>
    <t xml:space="preserve">Facility:</t>
  </si>
  <si>
    <t xml:space="preserve">Portfolio (BDC aggregate, not a single facility)</t>
  </si>
  <si>
    <t xml:space="preserve">Last refreshed:</t>
  </si>
  <si>
    <t xml:space="preserve">2026-03-31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</si>
  <si>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</si>
  <si>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</si>
  <si>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</si>
  <si>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</si>
  <si>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</si>
  <si>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</si>
  <si>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</si>
  <si>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</si>
  <si>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</si>
  <si>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</si>
  <si>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</si>
  <si>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</si>
  <si>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</si>
  <si>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</si>
  <si>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</si>
  <si>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</si>
  <si>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</si>
  <si>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</si>
  <si>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</si>
  <si>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</si>
  <si>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</si>
  <si>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</si>
  <si>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</si>
  <si>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</si>
  <si>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</si>
  <si>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</si>
  <si>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</si>
  <si>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</si>
  <si>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</si>
  <si>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</si>
  <si>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</si>
  <si>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</si>
  <si>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</si>
  <si>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</si>
  <si>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</si>
  <si>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</si>
  <si>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</si>
  <si>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</si>
  <si>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</si>
  <si>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</si>
  <si>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</si>
  <si>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</si>
  <si>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</si>
  <si>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</si>
  <si>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</si>
  <si>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</si>
  <si>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</si>
  <si>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</si>
  <si>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</si>
  <si>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</si>
  <si>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</si>
  <si>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</si>
  <si>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</si>
  <si>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</si>
  <si>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</si>
  <si>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</si>
  <si>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</si>
  <si>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</si>
  <si>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</si>
  <si>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</si>
  <si>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</si>
  <si>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</si>
  <si>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</si>
  <si>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</si>
  <si>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</si>
  <si>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</si>
  <si>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</si>
  <si>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</si>
  <si>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</si>
  <si>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</si>
  <si>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</si>
  <si>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</si>
  <si>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</si>
  <si>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</si>
  <si>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</si>
  <si>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</si>
  <si>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</si>
  <si>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</si>
  <si>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</si>
  <si>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</si>
  <si>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</si>
  <si>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</si>
  <si>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</si>
  <si>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</si>
  <si>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</si>
  <si>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</si>
  <si>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</si>
  <si>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</si>
  <si>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</si>
  <si>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</si>
  <si>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</si>
  <si>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</si>
  <si>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</si>
  <si>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</si>
  <si>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</si>
  <si>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</si>
  <si>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</si>
  <si>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</si>
  <si>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</si>
  <si>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</si>
  <si>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</si>
  <si>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</si>
  <si>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</si>
  <si>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</si>
  <si>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</si>
  <si>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</si>
  <si>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</si>
  <si>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</si>
  <si>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</si>
  <si>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</si>
  <si>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</si>
  <si>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</si>
  <si>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</si>
  <si>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</si>
  <si>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</si>
  <si>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</si>
  <si>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</si>
  <si>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</si>
  <si>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</si>
  <si>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</si>
  <si>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</si>
  <si>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</si>
  <si>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</si>
  <si>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</si>
  <si>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</si>
  <si>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</si>
  <si>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</si>
  <si>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</si>
  <si>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</si>
  <si>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</si>
  <si>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</si>
  <si>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</si>
  <si>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</si>
  <si>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</si>
  <si>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</si>
  <si>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</si>
  <si>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</si>
  <si>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</si>
  <si>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</si>
  <si>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</si>
  <si>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</si>
  <si>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</si>
  <si>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</si>
  <si>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</si>
  <si>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</si>
  <si>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</si>
  <si>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</si>
  <si>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</si>
  <si>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</si>
  <si>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</si>
  <si>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</si>
  <si>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</si>
  <si>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</si>
  <si>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</si>
  <si>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</si>
  <si>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</si>
  <si>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</si>
  <si>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</si>
  <si>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</si>
  <si>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</si>
  <si>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</si>
  <si>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</si>
  <si>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</si>
  <si>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</si>
  <si>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</si>
  <si>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</si>
  <si>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</si>
  <si>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</si>
  <si>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</si>
  <si>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</si>
  <si>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</si>
  <si>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</si>
  <si>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</si>
  <si>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</si>
  <si>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</si>
  <si>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</si>
  <si>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</si>
  <si>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</si>
  <si>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</si>
  <si>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</si>
  <si>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</si>
  <si>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</si>
  <si>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</si>
  <si>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</si>
  <si>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</si>
  <si>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</si>
  <si>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</si>
  <si>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</si>
  <si>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</si>
  <si>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</si>
  <si>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</si>
  <si>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</si>
  <si>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</si>
  <si>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</si>
  <si>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</si>
  <si>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</si>
  <si>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</si>
  <si>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</si>
  <si>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</si>
  <si>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</si>
  <si>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</si>
  <si>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</si>
  <si>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</si>
  <si>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</si>
  <si>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</si>
  <si>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</si>
  <si>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</si>
  <si>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</si>
  <si>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</si>
  <si>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</si>
  <si>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</si>
  <si>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</si>
  <si>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</si>
  <si>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</si>
  <si>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</si>
  <si>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</si>
  <si>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</si>
  <si>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</si>
  <si>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</si>
  <si>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</si>
  <si>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</si>
  <si>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</si>
  <si>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</si>
  <si>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</si>
  <si>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</si>
  <si>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</si>
  <si>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</si>
  <si>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</si>
  <si>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</si>
  <si>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</si>
  <si>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</si>
  <si>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</si>
  <si>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</si>
  <si>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</si>
  <si>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</si>
  <si>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</si>
  <si>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</si>
  <si>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</si>
  <si>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</si>
  <si>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</si>
  <si>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</si>
  <si>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</si>
  <si>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</si>
  <si>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SEC EDGAR companyfacts: LongTermDebt (10-Q)</t>
  </si>
  <si>
    <t xml:space="preserve">https://data.sec.gov/api/xbrl/companyfacts/CIK0001287750.json</t>
  </si>
  <si>
    <t xml:space="preserve">Portfolio-aggregate LongTermDebt from XBRL companyfacts, converted from USD to the template's $ millions scale; mapped onto the single-facility 'Opening gross debt' row as a portfolio-level proxy, not a single-borrower balance.</t>
  </si>
  <si>
    <t xml:space="preserve">SEC EDGAR companyfacts: CashAndCashEquivalentsAtCarryingValue (10-Q)</t>
  </si>
  <si>
    <t xml:space="preserve">Portfolio-aggregate cash from XBRL companyfacts, converted from USD to the template's $ millions scale.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</si>
  <si>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</si>
  <si>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</si>
  <si>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</si>
  <si>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</si>
  <si>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</si>
  <si>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</si>
  <si>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L3 agent tool: private_credit_underwrite</t>
  </si>
  <si>
    <t xml:space="preserve">repo://standards/public_cases/public_ares_capital_2024.json</t>
  </si>
  <si>
    <t xml:space="preserve">Applied agent-submitted facts for Ares Capital Corporation (public BDC portfolio proxy)</t>
  </si>
  <si>
    <t xml:space="preserve">Generated by tools/agents/private_credit_underwrite.py -- not yet human-reviewed</t>
  </si>
  <si>
    <t xml:space="preserve">On next material fact refresh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</si>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</sst>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  <row r="64" customFormat="false" ht="15" hidden="false" customHeight="true" outlineLevel="0" collapsed="false">
      <c r="B64" s="1" t="s">
        <v>94</v>
      </c>
      <c r="C64" s="1" t="s">
        <v>95</v>
      </c>
      <c r="D64" s="1" t="s">
        <v>96</v>
      </c>
      <c r="E64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true" outlineLevel="0" collapsed="false">
      <c r="B5" s="1" t="s">
        <v>113</v>
      </c>
      <c r="C5" s="1" t="s">
        <v>114</v>
      </c>
      <c r="D5" s="1" t="s">
        <v>115</v>
      </c>
      <c r="J5" s="15" t="s">
        <v>116</v>
      </c>
    </row>
    <row r="6" customFormat="false" ht="15" hidden="false" customHeight="true" outlineLevel="0" collapsed="false">
      <c r="B6" s="1" t="s">
        <v>117</v>
      </c>
      <c r="C6" s="1" t="s">
        <v>118</v>
      </c>
      <c r="D6" s="1" t="s">
        <v>119</v>
      </c>
      <c r="J6" s="15" t="s">
        <v>116</v>
      </c>
    </row>
    <row r="7" customFormat="false" ht="15" hidden="false" customHeight="true" outlineLevel="0" collapsed="false">
      <c r="B7" s="1" t="s">
        <v>120</v>
      </c>
      <c r="C7" s="1" t="s">
        <v>121</v>
      </c>
      <c r="D7" s="1" t="s">
        <v>122</v>
      </c>
      <c r="J7" s="15" t="s">
        <v>116</v>
      </c>
    </row>
    <row r="8" customFormat="false" ht="15" hidden="false" customHeight="true" outlineLevel="0" collapsed="false">
      <c r="B8" s="1" t="s">
        <v>123</v>
      </c>
      <c r="C8" s="1" t="s">
        <v>124</v>
      </c>
      <c r="D8" s="1" t="s">
        <v>125</v>
      </c>
      <c r="J8" s="15" t="s">
        <v>116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28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</v>
      </c>
      <c r="D4" s="16" t="s">
        <v>128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500</v>
      </c>
      <c r="D5" s="17" t="n">
        <v>500</v>
      </c>
      <c r="E5" s="18" t="n">
        <f aca="false">IF(Cover!$C$9="Downside",D5,C5)</f>
        <v>500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9" t="n">
        <v>0.2</v>
      </c>
      <c r="D6" s="19" t="n">
        <v>0.16</v>
      </c>
      <c r="E6" s="20" t="n">
        <f aca="false">IF(Cover!$C$9="Downside",D6,C6)</f>
        <v>0.2</v>
      </c>
      <c r="F6" s="1" t="s">
        <v>134</v>
      </c>
    </row>
    <row r="7" customFormat="false" ht="15" hidden="false" customHeight="true" outlineLevel="0" collapsed="false">
      <c r="B7" s="1" t="s">
        <v>135</v>
      </c>
      <c r="C7" s="19" t="n">
        <v>0.04</v>
      </c>
      <c r="D7" s="19" t="n">
        <v>-0.05</v>
      </c>
      <c r="E7" s="20" t="n">
        <f aca="false">IF(Cover!$C$9="Downside",D7,C7)</f>
        <v>0.04</v>
      </c>
      <c r="F7" s="1" t="s">
        <v>134</v>
      </c>
    </row>
    <row r="8" customFormat="false" ht="15" hidden="false" customHeight="true" outlineLevel="0" collapsed="false">
      <c r="B8" s="1" t="s">
        <v>136</v>
      </c>
      <c r="C8" s="19" t="n">
        <v>0.03</v>
      </c>
      <c r="D8" s="19" t="n">
        <v>0.035</v>
      </c>
      <c r="E8" s="20" t="n">
        <f aca="false">IF(Cover!$C$9="Downside",D8,C8)</f>
        <v>0.03</v>
      </c>
      <c r="F8" s="1" t="s">
        <v>134</v>
      </c>
    </row>
    <row r="9" customFormat="false" ht="15" hidden="false" customHeight="true" outlineLevel="0" collapsed="false">
      <c r="B9" s="1" t="s">
        <v>137</v>
      </c>
      <c r="C9" s="19" t="n">
        <v>0.15</v>
      </c>
      <c r="D9" s="19" t="n">
        <v>0.1</v>
      </c>
      <c r="E9" s="20" t="n">
        <f aca="false">IF(Cover!$C$9="Downside",D9,C9)</f>
        <v>0.15</v>
      </c>
      <c r="F9" s="1" t="s">
        <v>134</v>
      </c>
    </row>
    <row r="10" customFormat="false" ht="15" hidden="false" customHeight="true" outlineLevel="0" collapsed="false">
      <c r="B10" s="1" t="s">
        <v>138</v>
      </c>
      <c r="C10" s="19" t="n">
        <v>0.08</v>
      </c>
      <c r="D10" s="19" t="n">
        <v>0.1</v>
      </c>
      <c r="E10" s="20" t="n">
        <f aca="false">IF(Cover!$C$9="Downside",D10,C10)</f>
        <v>0.08</v>
      </c>
      <c r="F10" s="1" t="s">
        <v>134</v>
      </c>
    </row>
    <row r="11" customFormat="false" ht="15" hidden="false" customHeight="true" outlineLevel="0" collapsed="false">
      <c r="B11" s="1" t="s">
        <v>139</v>
      </c>
      <c r="C11" s="21" t="n">
        <v>505</v>
      </c>
      <c r="D11" s="17" t="n">
        <v>20</v>
      </c>
      <c r="E11" s="18" t="n">
        <f aca="false">IF(Cover!$C$9="Downside",D11,C11)</f>
        <v>505</v>
      </c>
      <c r="F11" s="1" t="s">
        <v>132</v>
      </c>
    </row>
    <row r="12" customFormat="false" ht="15" hidden="false" customHeight="true" outlineLevel="0" collapsed="false">
      <c r="B12" s="1" t="s">
        <v>140</v>
      </c>
      <c r="C12" s="21" t="n">
        <v>15848</v>
      </c>
      <c r="D12" s="17" t="n">
        <v>350</v>
      </c>
      <c r="E12" s="18" t="n">
        <f aca="false">IF(Cover!$C$9="Downside",D12,C12)</f>
        <v>15848</v>
      </c>
      <c r="F12" s="1" t="s">
        <v>132</v>
      </c>
    </row>
    <row r="13" customFormat="false" ht="15" hidden="false" customHeight="true" outlineLevel="0" collapsed="false">
      <c r="B13" s="1" t="s">
        <v>141</v>
      </c>
      <c r="C13" s="19" t="n">
        <v>0.045</v>
      </c>
      <c r="D13" s="19" t="n">
        <v>0.055</v>
      </c>
      <c r="E13" s="20" t="n">
        <f aca="false">IF(Cover!$C$9="Downside",D13,C13)</f>
        <v>0.045</v>
      </c>
      <c r="F13" s="1" t="s">
        <v>134</v>
      </c>
    </row>
    <row r="14" customFormat="false" ht="15" hidden="false" customHeight="true" outlineLevel="0" collapsed="false">
      <c r="B14" s="1" t="s">
        <v>142</v>
      </c>
      <c r="C14" s="19" t="n">
        <v>0.055</v>
      </c>
      <c r="D14" s="19" t="n">
        <v>0.07</v>
      </c>
      <c r="E14" s="20" t="n">
        <f aca="false">IF(Cover!$C$9="Downside",D14,C14)</f>
        <v>0.055</v>
      </c>
      <c r="F14" s="1" t="s">
        <v>134</v>
      </c>
    </row>
    <row r="15" customFormat="false" ht="15" hidden="false" customHeight="true" outlineLevel="0" collapsed="false">
      <c r="B15" s="1" t="s">
        <v>143</v>
      </c>
      <c r="C15" s="19" t="n">
        <v>0.02</v>
      </c>
      <c r="D15" s="19" t="n">
        <v>0.02</v>
      </c>
      <c r="E15" s="20" t="n">
        <f aca="false">IF(Cover!$C$9="Downside",D15,C15)</f>
        <v>0.02</v>
      </c>
      <c r="F15" s="1" t="s">
        <v>134</v>
      </c>
    </row>
    <row r="16" customFormat="false" ht="15" hidden="false" customHeight="true" outlineLevel="0" collapsed="false">
      <c r="B16" s="1" t="s">
        <v>144</v>
      </c>
      <c r="C16" s="19" t="n">
        <v>0</v>
      </c>
      <c r="D16" s="19" t="n">
        <v>0.02</v>
      </c>
      <c r="E16" s="20" t="n">
        <f aca="false">IF(Cover!$C$9="Downside",D16,C16)</f>
        <v>0</v>
      </c>
      <c r="F16" s="1" t="s">
        <v>134</v>
      </c>
    </row>
    <row r="17" customFormat="false" ht="15" hidden="false" customHeight="true" outlineLevel="0" collapsed="false">
      <c r="B17" s="1" t="s">
        <v>145</v>
      </c>
      <c r="C17" s="19" t="n">
        <v>0.01</v>
      </c>
      <c r="D17" s="19" t="n">
        <v>0</v>
      </c>
      <c r="E17" s="20" t="n">
        <f aca="false">IF(Cover!$C$9="Downside",D17,C17)</f>
        <v>0.01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19" t="n">
        <v>0.5</v>
      </c>
      <c r="D18" s="19" t="n">
        <v>0.25</v>
      </c>
      <c r="E18" s="20" t="n">
        <f aca="false">IF(Cover!$C$9="Downside",D18,C18)</f>
        <v>0.5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7" t="n">
        <v>15</v>
      </c>
      <c r="D19" s="17" t="n">
        <v>20</v>
      </c>
      <c r="E19" s="18" t="n">
        <f aca="false">IF(Cover!$C$9="Downside",D19,C19)</f>
        <v>15</v>
      </c>
      <c r="F19" s="1" t="s">
        <v>132</v>
      </c>
    </row>
    <row r="20" customFormat="false" ht="15" hidden="false" customHeight="true" outlineLevel="0" collapsed="false">
      <c r="B20" s="1" t="s">
        <v>150</v>
      </c>
      <c r="C20" s="22" t="n">
        <v>6</v>
      </c>
      <c r="D20" s="22" t="n">
        <v>5.5</v>
      </c>
      <c r="E20" s="23" t="n">
        <f aca="false">IF(Cover!$C$9="Downside",D20,C20)</f>
        <v>6</v>
      </c>
      <c r="F20" s="1" t="s">
        <v>151</v>
      </c>
    </row>
    <row r="21" customFormat="false" ht="15" hidden="false" customHeight="true" outlineLevel="0" collapsed="false">
      <c r="B21" s="1" t="s">
        <v>152</v>
      </c>
      <c r="C21" s="22" t="n">
        <v>1.75</v>
      </c>
      <c r="D21" s="22" t="n">
        <v>1.5</v>
      </c>
      <c r="E21" s="23" t="n">
        <f aca="false">IF(Cover!$C$9="Downside",D21,C21)</f>
        <v>1.75</v>
      </c>
      <c r="F21" s="1" t="s">
        <v>151</v>
      </c>
    </row>
    <row r="22" customFormat="false" ht="15" hidden="false" customHeight="true" outlineLevel="0" collapsed="false">
      <c r="B22" s="1" t="s">
        <v>153</v>
      </c>
      <c r="C22" s="22" t="n">
        <v>1</v>
      </c>
      <c r="D22" s="22" t="n">
        <v>1</v>
      </c>
      <c r="E22" s="23" t="n">
        <f aca="false">IF(Cover!$C$9="Downside",D22,C22)</f>
        <v>1</v>
      </c>
      <c r="F22" s="1" t="s">
        <v>151</v>
      </c>
    </row>
    <row r="23" customFormat="false" ht="15" hidden="false" customHeight="true" outlineLevel="0" collapsed="false">
      <c r="B23" s="1" t="s">
        <v>154</v>
      </c>
      <c r="C23" s="22" t="n">
        <v>5</v>
      </c>
      <c r="D23" s="22" t="n">
        <v>4</v>
      </c>
      <c r="E23" s="23" t="n">
        <f aca="false">IF(Cover!$C$9="Downside",D23,C23)</f>
        <v>5</v>
      </c>
      <c r="F23" s="1" t="s">
        <v>151</v>
      </c>
    </row>
    <row r="24" customFormat="false" ht="15" hidden="false" customHeight="true" outlineLevel="0" collapsed="false">
      <c r="B24" s="1" t="s">
        <v>155</v>
      </c>
      <c r="C24" s="19" t="n">
        <v>0.2</v>
      </c>
      <c r="D24" s="19" t="n">
        <v>0.35</v>
      </c>
      <c r="E24" s="20" t="n">
        <f aca="false">IF(Cover!$C$9="Downside",D24,C24)</f>
        <v>0.2</v>
      </c>
      <c r="F24" s="1" t="s">
        <v>134</v>
      </c>
    </row>
    <row r="25" customFormat="false" ht="15" hidden="false" customHeight="true" outlineLevel="0" collapsed="false">
      <c r="B25" s="1" t="s">
        <v>156</v>
      </c>
      <c r="C25" s="24" t="n">
        <v>7</v>
      </c>
      <c r="D25" s="24" t="n">
        <v>7</v>
      </c>
      <c r="E25" s="25" t="n">
        <f aca="false">IF(Cover!$C$9="Downside",D25,C25)</f>
        <v>7</v>
      </c>
      <c r="F25" s="1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158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159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165</v>
      </c>
      <c r="C5" s="18" t="n">
        <f aca="false">Assumptions!E5</f>
        <v>500</v>
      </c>
      <c r="D5" s="26" t="n">
        <f aca="false">C5*(1+Assumptions!$E$7)</f>
        <v>520</v>
      </c>
      <c r="E5" s="26" t="n">
        <f aca="false">D5*(1+Assumptions!$E$7)</f>
        <v>540.8</v>
      </c>
      <c r="F5" s="26" t="n">
        <f aca="false">E5*(1+Assumptions!$E$7)</f>
        <v>562.432</v>
      </c>
      <c r="G5" s="26" t="n">
        <f aca="false">F5*(1+Assumptions!$E$7)</f>
        <v>584.92928</v>
      </c>
      <c r="H5" s="26" t="n">
        <f aca="false">G5*(1+Assumptions!$E$7)</f>
        <v>608.3264512</v>
      </c>
    </row>
    <row r="6" customFormat="false" ht="15" hidden="false" customHeight="true" outlineLevel="0" collapsed="false">
      <c r="B6" s="1" t="s">
        <v>166</v>
      </c>
      <c r="D6" s="27" t="n">
        <f aca="false">IFERROR(D5/C5-1,0)</f>
        <v>0.04</v>
      </c>
      <c r="E6" s="27" t="n">
        <f aca="false">IFERROR(E5/D5-1,0)</f>
        <v>0.04</v>
      </c>
      <c r="F6" s="27" t="n">
        <f aca="false">IFERROR(F5/E5-1,0)</f>
        <v>0.04</v>
      </c>
      <c r="G6" s="27" t="n">
        <f aca="false">IFERROR(G5/F5-1,0)</f>
        <v>0.04</v>
      </c>
      <c r="H6" s="27" t="n">
        <f aca="false">IFERROR(H5/G5-1,0)</f>
        <v>0.04</v>
      </c>
    </row>
    <row r="7" customFormat="false" ht="15" hidden="false" customHeight="true" outlineLevel="0" collapsed="false">
      <c r="B7" s="1" t="s">
        <v>167</v>
      </c>
      <c r="C7" s="18" t="n">
        <f aca="false">C5*Assumptions!E6</f>
        <v>100</v>
      </c>
      <c r="D7" s="26" t="n">
        <f aca="false">D5*Assumptions!$E$6</f>
        <v>104</v>
      </c>
      <c r="E7" s="26" t="n">
        <f aca="false">E5*Assumptions!$E$6</f>
        <v>108.16</v>
      </c>
      <c r="F7" s="26" t="n">
        <f aca="false">F5*Assumptions!$E$6</f>
        <v>112.4864</v>
      </c>
      <c r="G7" s="26" t="n">
        <f aca="false">G5*Assumptions!$E$6</f>
        <v>116.985856</v>
      </c>
      <c r="H7" s="26" t="n">
        <f aca="false">H5*Assumptions!$E$6</f>
        <v>121.66529024</v>
      </c>
    </row>
    <row r="8" customFormat="false" ht="15" hidden="false" customHeight="true" outlineLevel="0" collapsed="false">
      <c r="B8" s="1" t="s">
        <v>133</v>
      </c>
      <c r="C8" s="27" t="n">
        <f aca="false">IFERROR(C7/C5,0)</f>
        <v>0.2</v>
      </c>
      <c r="D8" s="27" t="n">
        <f aca="false">IFERROR(D7/D5,0)</f>
        <v>0.2</v>
      </c>
      <c r="E8" s="27" t="n">
        <f aca="false">IFERROR(E7/E5,0)</f>
        <v>0.2</v>
      </c>
      <c r="F8" s="27" t="n">
        <f aca="false">IFERROR(F7/F5,0)</f>
        <v>0.2</v>
      </c>
      <c r="G8" s="27" t="n">
        <f aca="false">IFERROR(G7/G5,0)</f>
        <v>0.2</v>
      </c>
      <c r="H8" s="27" t="n">
        <f aca="false">IFERROR(H7/H5,0)</f>
        <v>0.2</v>
      </c>
    </row>
    <row r="9" customFormat="false" ht="15" hidden="false" customHeight="true" outlineLevel="0" collapsed="false">
      <c r="B9" s="1" t="s">
        <v>168</v>
      </c>
      <c r="D9" s="26" t="n">
        <f aca="false">D7*Assumptions!$E$9</f>
        <v>15.6</v>
      </c>
      <c r="E9" s="26" t="n">
        <f aca="false">E7*Assumptions!$E$9</f>
        <v>16.224</v>
      </c>
      <c r="F9" s="26" t="n">
        <f aca="false">F7*Assumptions!$E$9</f>
        <v>16.87296</v>
      </c>
      <c r="G9" s="26" t="n">
        <f aca="false">G7*Assumptions!$E$9</f>
        <v>17.5478784</v>
      </c>
      <c r="H9" s="26" t="n">
        <f aca="false">H7*Assumptions!$E$9</f>
        <v>18.249793536</v>
      </c>
    </row>
    <row r="10" customFormat="false" ht="15" hidden="false" customHeight="true" outlineLevel="0" collapsed="false">
      <c r="B10" s="1" t="s">
        <v>169</v>
      </c>
      <c r="D10" s="26" t="n">
        <f aca="false">D5*Assumptions!$E$8</f>
        <v>15.6</v>
      </c>
      <c r="E10" s="26" t="n">
        <f aca="false">E5*Assumptions!$E$8</f>
        <v>16.224</v>
      </c>
      <c r="F10" s="26" t="n">
        <f aca="false">F5*Assumptions!$E$8</f>
        <v>16.87296</v>
      </c>
      <c r="G10" s="26" t="n">
        <f aca="false">G5*Assumptions!$E$8</f>
        <v>17.5478784</v>
      </c>
      <c r="H10" s="26" t="n">
        <f aca="false">H5*Assumptions!$E$8</f>
        <v>18.249793536</v>
      </c>
    </row>
    <row r="11" customFormat="false" ht="15" hidden="false" customHeight="true" outlineLevel="0" collapsed="false">
      <c r="B11" s="1" t="s">
        <v>170</v>
      </c>
      <c r="D11" s="26" t="n">
        <f aca="false">MAX(0,(D5-C5)*Assumptions!$E$10)</f>
        <v>1.6</v>
      </c>
      <c r="E11" s="26" t="n">
        <f aca="false">MAX(0,(E5-D5)*Assumptions!$E$10)</f>
        <v>1.66400000000001</v>
      </c>
      <c r="F11" s="26" t="n">
        <f aca="false">MAX(0,(F5-E5)*Assumptions!$E$10)</f>
        <v>1.73056000000001</v>
      </c>
      <c r="G11" s="26" t="n">
        <f aca="false">MAX(0,(G5-F5)*Assumptions!$E$10)</f>
        <v>1.7997824</v>
      </c>
      <c r="H11" s="26" t="n">
        <f aca="false">MAX(0,(H5-G5)*Assumptions!$E$10)</f>
        <v>1.871773696</v>
      </c>
    </row>
    <row r="12" customFormat="false" ht="15" hidden="false" customHeight="true" outlineLevel="0" collapsed="false">
      <c r="B12" s="28" t="s">
        <v>171</v>
      </c>
      <c r="C12" s="29"/>
      <c r="D12" s="29" t="n">
        <f aca="false">D7-D9-D10-D11</f>
        <v>71.2</v>
      </c>
      <c r="E12" s="29" t="n">
        <f aca="false">E7-E9-E10-E11</f>
        <v>74.048</v>
      </c>
      <c r="F12" s="29" t="n">
        <f aca="false">F7-F9-F10-F11</f>
        <v>77.00992</v>
      </c>
      <c r="G12" s="29" t="n">
        <f aca="false">G7-G9-G10-G11</f>
        <v>80.0903168</v>
      </c>
      <c r="H12" s="29" t="n">
        <f aca="false">H7-H9-H10-H11</f>
        <v>83.293929472</v>
      </c>
    </row>
    <row r="13" customFormat="false" ht="15" hidden="false" customHeight="true" outlineLevel="0" collapsed="false">
      <c r="B13" s="1" t="s">
        <v>172</v>
      </c>
      <c r="D13" s="26" t="n">
        <f aca="false">'Debt Schedule'!D13</f>
        <v>1584.8</v>
      </c>
      <c r="E13" s="26" t="n">
        <f aca="false">'Debt Schedule'!E13</f>
        <v>1568.952</v>
      </c>
      <c r="F13" s="26" t="n">
        <f aca="false">'Debt Schedule'!F13</f>
        <v>1553.104</v>
      </c>
      <c r="G13" s="26" t="n">
        <f aca="false">'Debt Schedule'!G13</f>
        <v>1537.256</v>
      </c>
      <c r="H13" s="26" t="n">
        <f aca="false">'Debt Schedule'!H13</f>
        <v>1521.408</v>
      </c>
    </row>
    <row r="14" customFormat="false" ht="15" hidden="false" customHeight="true" outlineLevel="0" collapsed="false">
      <c r="B14" s="28" t="s">
        <v>173</v>
      </c>
      <c r="C14" s="29"/>
      <c r="D14" s="29" t="n">
        <f aca="false">D12-D13</f>
        <v>-1513.6</v>
      </c>
      <c r="E14" s="29" t="n">
        <f aca="false">E12-E13</f>
        <v>-1494.904</v>
      </c>
      <c r="F14" s="29" t="n">
        <f aca="false">F12-F13</f>
        <v>-1476.09408</v>
      </c>
      <c r="G14" s="29" t="n">
        <f aca="false">G12-G13</f>
        <v>-1457.1656832</v>
      </c>
      <c r="H14" s="29" t="n">
        <f aca="false">H12-H13</f>
        <v>-1438.114070528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174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175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176</v>
      </c>
      <c r="C5" s="18" t="n">
        <f aca="false">Assumptions!E11</f>
        <v>505</v>
      </c>
      <c r="D5" s="26" t="n">
        <f aca="false">C10</f>
        <v>505</v>
      </c>
      <c r="E5" s="26" t="n">
        <f aca="false">D10</f>
        <v>-1167.08</v>
      </c>
      <c r="F5" s="26" t="n">
        <f aca="false">E10</f>
        <v>-2820.464</v>
      </c>
      <c r="G5" s="26" t="n">
        <f aca="false">F10</f>
        <v>-4455.03808</v>
      </c>
      <c r="H5" s="26" t="n">
        <f aca="false">G10</f>
        <v>-6070.6837632</v>
      </c>
    </row>
    <row r="6" customFormat="false" ht="15" hidden="false" customHeight="true" outlineLevel="0" collapsed="false">
      <c r="B6" s="1" t="s">
        <v>173</v>
      </c>
      <c r="D6" s="26" t="n">
        <f aca="false">'Operating Case'!D14</f>
        <v>-1513.6</v>
      </c>
      <c r="E6" s="26" t="n">
        <f aca="false">'Operating Case'!E14</f>
        <v>-1494.904</v>
      </c>
      <c r="F6" s="26" t="n">
        <f aca="false">'Operating Case'!F14</f>
        <v>-1476.09408</v>
      </c>
      <c r="G6" s="26" t="n">
        <f aca="false">'Operating Case'!G14</f>
        <v>-1457.1656832</v>
      </c>
      <c r="H6" s="26" t="n">
        <f aca="false">'Operating Case'!H14</f>
        <v>-1438.114070528</v>
      </c>
    </row>
    <row r="7" customFormat="false" ht="15" hidden="false" customHeight="true" outlineLevel="0" collapsed="false">
      <c r="B7" s="1" t="s">
        <v>145</v>
      </c>
      <c r="D7" s="26" t="n">
        <f aca="false">MIN(D11,Assumptions!$E$12*Assumptions!$E$17)</f>
        <v>158.48</v>
      </c>
      <c r="E7" s="26" t="n">
        <f aca="false">MIN(E11,Assumptions!$E$12*Assumptions!$E$17)</f>
        <v>158.48</v>
      </c>
      <c r="F7" s="26" t="n">
        <f aca="false">MIN(F11,Assumptions!$E$12*Assumptions!$E$17)</f>
        <v>158.48</v>
      </c>
      <c r="G7" s="26" t="n">
        <f aca="false">MIN(G11,Assumptions!$E$12*Assumptions!$E$17)</f>
        <v>158.48</v>
      </c>
      <c r="H7" s="26" t="n">
        <f aca="false">MIN(H11,Assumptions!$E$12*Assumptions!$E$17)</f>
        <v>158.48</v>
      </c>
    </row>
    <row r="8" customFormat="false" ht="15" hidden="false" customHeight="true" outlineLevel="0" collapsed="false">
      <c r="B8" s="1" t="s">
        <v>177</v>
      </c>
      <c r="D8" s="26" t="n">
        <f aca="false">D5+D6-D7</f>
        <v>-1167.08</v>
      </c>
      <c r="E8" s="26" t="n">
        <f aca="false">E5+E6-E7</f>
        <v>-2820.464</v>
      </c>
      <c r="F8" s="26" t="n">
        <f aca="false">F5+F6-F7</f>
        <v>-4455.03808</v>
      </c>
      <c r="G8" s="26" t="n">
        <f aca="false">G5+G6-G7</f>
        <v>-6070.6837632</v>
      </c>
      <c r="H8" s="26" t="n">
        <f aca="false">H5+H6-H7</f>
        <v>-7667.277833728</v>
      </c>
    </row>
    <row r="9" customFormat="false" ht="15" hidden="false" customHeight="true" outlineLevel="0" collapsed="false">
      <c r="B9" s="1" t="s">
        <v>147</v>
      </c>
      <c r="D9" s="26" t="n">
        <f aca="false">MIN(MAX(0,D11-D7),MAX(0,D8-Assumptions!$E$19)*Assumptions!$E$18)</f>
        <v>0</v>
      </c>
      <c r="E9" s="26" t="n">
        <f aca="false">MIN(MAX(0,E11-E7),MAX(0,E8-Assumptions!$E$19)*Assumptions!$E$18)</f>
        <v>0</v>
      </c>
      <c r="F9" s="26" t="n">
        <f aca="false">MIN(MAX(0,F11-F7),MAX(0,F8-Assumptions!$E$19)*Assumptions!$E$18)</f>
        <v>0</v>
      </c>
      <c r="G9" s="26" t="n">
        <f aca="false">MIN(MAX(0,G11-G7),MAX(0,G8-Assumptions!$E$19)*Assumptions!$E$18)</f>
        <v>0</v>
      </c>
      <c r="H9" s="26" t="n">
        <f aca="false">MIN(MAX(0,H11-H7),MAX(0,H8-Assumptions!$E$19)*Assumptions!$E$18)</f>
        <v>0</v>
      </c>
    </row>
    <row r="10" customFormat="false" ht="15" hidden="false" customHeight="true" outlineLevel="0" collapsed="false">
      <c r="B10" s="28" t="s">
        <v>178</v>
      </c>
      <c r="C10" s="29" t="n">
        <f aca="false">C5</f>
        <v>505</v>
      </c>
      <c r="D10" s="29" t="n">
        <f aca="false">D8-D9</f>
        <v>-1167.08</v>
      </c>
      <c r="E10" s="29" t="n">
        <f aca="false">E8-E9</f>
        <v>-2820.464</v>
      </c>
      <c r="F10" s="29" t="n">
        <f aca="false">F8-F9</f>
        <v>-4455.03808</v>
      </c>
      <c r="G10" s="29" t="n">
        <f aca="false">G8-G9</f>
        <v>-6070.6837632</v>
      </c>
      <c r="H10" s="29" t="n">
        <f aca="false">H8-H9</f>
        <v>-7667.277833728</v>
      </c>
    </row>
    <row r="11" customFormat="false" ht="15" hidden="false" customHeight="true" outlineLevel="0" collapsed="false">
      <c r="B11" s="1" t="s">
        <v>179</v>
      </c>
      <c r="C11" s="18" t="n">
        <f aca="false">Assumptions!E12</f>
        <v>15848</v>
      </c>
      <c r="D11" s="26" t="n">
        <f aca="false">C15</f>
        <v>15848</v>
      </c>
      <c r="E11" s="26" t="n">
        <f aca="false">D15</f>
        <v>15689.52</v>
      </c>
      <c r="F11" s="26" t="n">
        <f aca="false">E15</f>
        <v>15531.04</v>
      </c>
      <c r="G11" s="26" t="n">
        <f aca="false">F15</f>
        <v>15372.56</v>
      </c>
      <c r="H11" s="26" t="n">
        <f aca="false">G15</f>
        <v>15214.08</v>
      </c>
    </row>
    <row r="12" customFormat="false" ht="15" hidden="false" customHeight="true" outlineLevel="0" collapsed="false">
      <c r="B12" s="1" t="s">
        <v>180</v>
      </c>
      <c r="C12" s="20" t="n">
        <f aca="false">Assumptions!E13+Assumptions!E14</f>
        <v>0.1</v>
      </c>
      <c r="D12" s="27" t="n">
        <f aca="false">Assumptions!$E$13+Assumptions!$E$14</f>
        <v>0.1</v>
      </c>
      <c r="E12" s="27" t="n">
        <f aca="false">Assumptions!$E$13+Assumptions!$E$14</f>
        <v>0.1</v>
      </c>
      <c r="F12" s="27" t="n">
        <f aca="false">Assumptions!$E$13+Assumptions!$E$14</f>
        <v>0.1</v>
      </c>
      <c r="G12" s="27" t="n">
        <f aca="false">Assumptions!$E$13+Assumptions!$E$14</f>
        <v>0.1</v>
      </c>
      <c r="H12" s="27" t="n">
        <f aca="false">Assumptions!$E$13+Assumptions!$E$14</f>
        <v>0.1</v>
      </c>
    </row>
    <row r="13" customFormat="false" ht="15" hidden="false" customHeight="true" outlineLevel="0" collapsed="false">
      <c r="B13" s="1" t="s">
        <v>181</v>
      </c>
      <c r="D13" s="26" t="n">
        <f aca="false">D11*D12</f>
        <v>1584.8</v>
      </c>
      <c r="E13" s="26" t="n">
        <f aca="false">E11*E12</f>
        <v>1568.952</v>
      </c>
      <c r="F13" s="26" t="n">
        <f aca="false">F11*F12</f>
        <v>1553.104</v>
      </c>
      <c r="G13" s="26" t="n">
        <f aca="false">G11*G12</f>
        <v>1537.256</v>
      </c>
      <c r="H13" s="26" t="n">
        <f aca="false">H11*H12</f>
        <v>1521.408</v>
      </c>
    </row>
    <row r="14" customFormat="false" ht="15" hidden="false" customHeight="true" outlineLevel="0" collapsed="false">
      <c r="B14" s="1" t="s">
        <v>182</v>
      </c>
      <c r="D14" s="26" t="n">
        <f aca="false">MAX(0,D11-D7-D9)*Assumptions!$E$16</f>
        <v>0</v>
      </c>
      <c r="E14" s="26" t="n">
        <f aca="false">MAX(0,E11-E7-E9)*Assumptions!$E$16</f>
        <v>0</v>
      </c>
      <c r="F14" s="26" t="n">
        <f aca="false">MAX(0,F11-F7-F9)*Assumptions!$E$16</f>
        <v>0</v>
      </c>
      <c r="G14" s="26" t="n">
        <f aca="false">MAX(0,G11-G7-G9)*Assumptions!$E$16</f>
        <v>0</v>
      </c>
      <c r="H14" s="26" t="n">
        <f aca="false">MAX(0,H11-H7-H9)*Assumptions!$E$16</f>
        <v>0</v>
      </c>
    </row>
    <row r="15" customFormat="false" ht="15" hidden="false" customHeight="true" outlineLevel="0" collapsed="false">
      <c r="B15" s="28" t="s">
        <v>183</v>
      </c>
      <c r="C15" s="29" t="n">
        <f aca="false">C11</f>
        <v>15848</v>
      </c>
      <c r="D15" s="29" t="n">
        <f aca="false">MAX(0,D11-D7-D9+D14)</f>
        <v>15689.52</v>
      </c>
      <c r="E15" s="29" t="n">
        <f aca="false">MAX(0,E11-E7-E9+E14)</f>
        <v>15531.04</v>
      </c>
      <c r="F15" s="29" t="n">
        <f aca="false">MAX(0,F11-F7-F9+F14)</f>
        <v>15372.56</v>
      </c>
      <c r="G15" s="29" t="n">
        <f aca="false">MAX(0,G11-G7-G9+G14)</f>
        <v>15214.08</v>
      </c>
      <c r="H15" s="29" t="n">
        <f aca="false">MAX(0,H11-H7-H9+H14)</f>
        <v>15055.6</v>
      </c>
    </row>
    <row r="16" customFormat="false" ht="15" hidden="false" customHeight="true" outlineLevel="0" collapsed="false">
      <c r="B16" s="1" t="s">
        <v>184</v>
      </c>
      <c r="C16" s="26" t="n">
        <f aca="false">C11</f>
        <v>15848</v>
      </c>
      <c r="D16" s="26" t="n">
        <f aca="false">AVERAGE(D11,D15)</f>
        <v>15768.76</v>
      </c>
      <c r="E16" s="26" t="n">
        <f aca="false">AVERAGE(E11,E15)</f>
        <v>15610.28</v>
      </c>
      <c r="F16" s="26" t="n">
        <f aca="false">AVERAGE(F11,F15)</f>
        <v>15451.8</v>
      </c>
      <c r="G16" s="26" t="n">
        <f aca="false">AVERAGE(G11,G15)</f>
        <v>15293.32</v>
      </c>
      <c r="H16" s="26" t="n">
        <f aca="false">AVERAGE(H11,H15)</f>
        <v>15134.84</v>
      </c>
    </row>
    <row r="17" customFormat="false" ht="15" hidden="false" customHeight="true" outlineLevel="0" collapsed="false">
      <c r="B17" s="1" t="s">
        <v>185</v>
      </c>
      <c r="D17" s="26" t="n">
        <f aca="false">D11*Assumptions!$E$16</f>
        <v>0</v>
      </c>
      <c r="E17" s="26" t="n">
        <f aca="false">E11*Assumptions!$E$16</f>
        <v>0</v>
      </c>
      <c r="F17" s="26" t="n">
        <f aca="false">F11*Assumptions!$E$16</f>
        <v>0</v>
      </c>
      <c r="G17" s="26" t="n">
        <f aca="false">G11*Assumptions!$E$16</f>
        <v>0</v>
      </c>
      <c r="H17" s="26" t="n">
        <f aca="false">H11*Assumptions!$E$16</f>
        <v>0</v>
      </c>
    </row>
    <row r="18" customFormat="false" ht="15" hidden="false" customHeight="true" outlineLevel="0" collapsed="false">
      <c r="B18" s="28" t="s">
        <v>186</v>
      </c>
      <c r="C18" s="29"/>
      <c r="D18" s="29" t="n">
        <f aca="false">D13+D17</f>
        <v>1584.8</v>
      </c>
      <c r="E18" s="29" t="n">
        <f aca="false">E13+E17</f>
        <v>1568.952</v>
      </c>
      <c r="F18" s="29" t="n">
        <f aca="false">F13+F17</f>
        <v>1553.104</v>
      </c>
      <c r="G18" s="29" t="n">
        <f aca="false">G13+G17</f>
        <v>1537.256</v>
      </c>
      <c r="H18" s="29" t="n">
        <f aca="false">H13+H17</f>
        <v>1521.408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188</v>
      </c>
      <c r="C4" s="16" t="s">
        <v>160</v>
      </c>
      <c r="D4" s="16" t="s">
        <v>161</v>
      </c>
      <c r="E4" s="16" t="s">
        <v>162</v>
      </c>
      <c r="F4" s="16" t="s">
        <v>163</v>
      </c>
      <c r="G4" s="16" t="s">
        <v>164</v>
      </c>
    </row>
    <row r="5" customFormat="false" ht="15" hidden="false" customHeight="true" outlineLevel="0" collapsed="false">
      <c r="B5" s="1" t="s">
        <v>189</v>
      </c>
      <c r="C5" s="30" t="n">
        <f aca="false">IFERROR('Debt Schedule'!D15/'Operating Case'!D7,0)</f>
        <v>150.860769230769</v>
      </c>
      <c r="D5" s="30" t="n">
        <f aca="false">IFERROR('Debt Schedule'!E15/'Operating Case'!E7,0)</f>
        <v>143.593195266272</v>
      </c>
      <c r="E5" s="30" t="n">
        <f aca="false">IFERROR('Debt Schedule'!F15/'Operating Case'!F7,0)</f>
        <v>136.661498634502</v>
      </c>
      <c r="F5" s="30" t="n">
        <f aca="false">IFERROR('Debt Schedule'!G15/'Operating Case'!G7,0)</f>
        <v>130.050593466615</v>
      </c>
      <c r="G5" s="30" t="n">
        <f aca="false">IFERROR('Debt Schedule'!H15/'Operating Case'!H7,0)</f>
        <v>123.746057485261</v>
      </c>
    </row>
    <row r="6" customFormat="false" ht="15" hidden="false" customHeight="true" outlineLevel="0" collapsed="false">
      <c r="B6" s="1" t="s">
        <v>150</v>
      </c>
      <c r="C6" s="30" t="n">
        <f aca="false">Assumptions!$E$20</f>
        <v>6</v>
      </c>
      <c r="D6" s="30" t="n">
        <f aca="false">Assumptions!$E$20</f>
        <v>6</v>
      </c>
      <c r="E6" s="30" t="n">
        <f aca="false">Assumptions!$E$20</f>
        <v>6</v>
      </c>
      <c r="F6" s="30" t="n">
        <f aca="false">Assumptions!$E$20</f>
        <v>6</v>
      </c>
      <c r="G6" s="30" t="n">
        <f aca="false">Assumptions!$E$20</f>
        <v>6</v>
      </c>
    </row>
    <row r="7" customFormat="false" ht="15" hidden="false" customHeight="true" outlineLevel="0" collapsed="false">
      <c r="B7" s="1" t="s">
        <v>190</v>
      </c>
      <c r="C7" s="30" t="n">
        <f aca="false">C6-C5</f>
        <v>-144.860769230769</v>
      </c>
      <c r="D7" s="30" t="n">
        <f aca="false">D6-D5</f>
        <v>-137.593195266272</v>
      </c>
      <c r="E7" s="30" t="n">
        <f aca="false">E6-E5</f>
        <v>-130.661498634502</v>
      </c>
      <c r="F7" s="30" t="n">
        <f aca="false">F6-F5</f>
        <v>-124.050593466615</v>
      </c>
      <c r="G7" s="30" t="n">
        <f aca="false">G6-G5</f>
        <v>-117.746057485261</v>
      </c>
    </row>
    <row r="8" customFormat="false" ht="15" hidden="false" customHeight="true" outlineLevel="0" collapsed="false">
      <c r="B8" s="1" t="s">
        <v>191</v>
      </c>
      <c r="C8" s="30" t="n">
        <f aca="false">IFERROR('Operating Case'!D7/'Debt Schedule'!D18,0)</f>
        <v>0.0656234225138819</v>
      </c>
      <c r="D8" s="30" t="n">
        <f aca="false">IFERROR('Operating Case'!E7/'Debt Schedule'!E18,0)</f>
        <v>0.0689377367822598</v>
      </c>
      <c r="E8" s="30" t="n">
        <f aca="false">IFERROR('Operating Case'!F7/'Debt Schedule'!F18,0)</f>
        <v>0.0724268303989945</v>
      </c>
      <c r="F8" s="30" t="n">
        <f aca="false">IFERROR('Operating Case'!G7/'Debt Schedule'!G18,0)</f>
        <v>0.0761004387037683</v>
      </c>
      <c r="G8" s="30" t="n">
        <f aca="false">IFERROR('Operating Case'!H7/'Debt Schedule'!H18,0)</f>
        <v>0.0799688776712099</v>
      </c>
    </row>
    <row r="9" customFormat="false" ht="15" hidden="false" customHeight="true" outlineLevel="0" collapsed="false">
      <c r="B9" s="1" t="s">
        <v>192</v>
      </c>
      <c r="C9" s="30" t="n">
        <f aca="false">Assumptions!$E$21</f>
        <v>1.75</v>
      </c>
      <c r="D9" s="30" t="n">
        <f aca="false">Assumptions!$E$21</f>
        <v>1.75</v>
      </c>
      <c r="E9" s="30" t="n">
        <f aca="false">Assumptions!$E$21</f>
        <v>1.75</v>
      </c>
      <c r="F9" s="30" t="n">
        <f aca="false">Assumptions!$E$21</f>
        <v>1.75</v>
      </c>
      <c r="G9" s="30" t="n">
        <f aca="false">Assumptions!$E$21</f>
        <v>1.75</v>
      </c>
    </row>
    <row r="10" customFormat="false" ht="15" hidden="false" customHeight="true" outlineLevel="0" collapsed="false">
      <c r="B10" s="1" t="s">
        <v>193</v>
      </c>
      <c r="C10" s="30" t="n">
        <f aca="false">C8-C9</f>
        <v>-1.68437657748612</v>
      </c>
      <c r="D10" s="30" t="n">
        <f aca="false">D8-D9</f>
        <v>-1.68106226321774</v>
      </c>
      <c r="E10" s="30" t="n">
        <f aca="false">E8-E9</f>
        <v>-1.67757316960101</v>
      </c>
      <c r="F10" s="30" t="n">
        <f aca="false">F8-F9</f>
        <v>-1.67389956129623</v>
      </c>
      <c r="G10" s="30" t="n">
        <f aca="false">G8-G9</f>
        <v>-1.67003112232879</v>
      </c>
    </row>
    <row r="11" customFormat="false" ht="15" hidden="false" customHeight="true" outlineLevel="0" collapsed="false">
      <c r="B11" s="1" t="s">
        <v>194</v>
      </c>
      <c r="C11" s="30" t="n">
        <f aca="false">IFERROR('Operating Case'!D12/('Debt Schedule'!D7+'Debt Schedule'!D13),0)</f>
        <v>0.0408425496764719</v>
      </c>
      <c r="D11" s="30" t="n">
        <f aca="false">IFERROR('Operating Case'!E12/('Debt Schedule'!E7+'Debt Schedule'!E13),0)</f>
        <v>0.0428659420457651</v>
      </c>
      <c r="E11" s="30" t="n">
        <f aca="false">IFERROR('Operating Case'!F12/('Debt Schedule'!F7+'Debt Schedule'!F13),0)</f>
        <v>0.0449933628732215</v>
      </c>
      <c r="F11" s="30" t="n">
        <f aca="false">IFERROR('Operating Case'!G12/('Debt Schedule'!G7+'Debt Schedule'!G13),0)</f>
        <v>0.0472304160553294</v>
      </c>
      <c r="G11" s="30" t="n">
        <f aca="false">IFERROR('Operating Case'!H12/('Debt Schedule'!H7+'Debt Schedule'!H13),0)</f>
        <v>0.0495830254588401</v>
      </c>
    </row>
    <row r="12" customFormat="false" ht="15" hidden="false" customHeight="true" outlineLevel="0" collapsed="false">
      <c r="B12" s="1" t="s">
        <v>153</v>
      </c>
      <c r="C12" s="30" t="n">
        <f aca="false">Assumptions!$E$22</f>
        <v>1</v>
      </c>
      <c r="D12" s="30" t="n">
        <f aca="false">Assumptions!$E$22</f>
        <v>1</v>
      </c>
      <c r="E12" s="30" t="n">
        <f aca="false">Assumptions!$E$22</f>
        <v>1</v>
      </c>
      <c r="F12" s="30" t="n">
        <f aca="false">Assumptions!$E$22</f>
        <v>1</v>
      </c>
      <c r="G12" s="30" t="n">
        <f aca="false">Assumptions!$E$22</f>
        <v>1</v>
      </c>
    </row>
    <row r="13" customFormat="false" ht="15" hidden="false" customHeight="true" outlineLevel="0" collapsed="false">
      <c r="B13" s="1" t="s">
        <v>195</v>
      </c>
      <c r="C13" s="30" t="n">
        <f aca="false">C11-C12</f>
        <v>-0.959157450323528</v>
      </c>
      <c r="D13" s="30" t="n">
        <f aca="false">D11-D12</f>
        <v>-0.957134057954235</v>
      </c>
      <c r="E13" s="30" t="n">
        <f aca="false">E11-E12</f>
        <v>-0.955006637126779</v>
      </c>
      <c r="F13" s="30" t="n">
        <f aca="false">F11-F12</f>
        <v>-0.952769583944671</v>
      </c>
      <c r="G13" s="30" t="n">
        <f aca="false">G11-G12</f>
        <v>-0.95041697454116</v>
      </c>
    </row>
    <row r="14" customFormat="false" ht="15" hidden="false" customHeight="true" outlineLevel="0" collapsed="false">
      <c r="B14" s="1" t="s">
        <v>44</v>
      </c>
      <c r="C14" s="1" t="str">
        <f aca="false">IF(AND(C7&gt;=0,C10&gt;=0,C13&gt;=0),"PASS","BREACH")</f>
        <v>BREACH</v>
      </c>
      <c r="D14" s="1" t="str">
        <f aca="false">IF(AND(D7&gt;=0,D10&gt;=0,D13&gt;=0),"PASS","BREACH")</f>
        <v>BREACH</v>
      </c>
      <c r="E14" s="1" t="str">
        <f aca="false">IF(AND(E7&gt;=0,E10&gt;=0,E13&gt;=0),"PASS","BREACH")</f>
        <v>BREACH</v>
      </c>
      <c r="F14" s="1" t="str">
        <f aca="false">IF(AND(F7&gt;=0,F10&gt;=0,F13&gt;=0),"PASS","BREACH")</f>
        <v>BREACH</v>
      </c>
      <c r="G14" s="1" t="str">
        <f aca="false">IF(AND(G7&gt;=0,G10&gt;=0,G13&gt;=0),"PASS","BREACH")</f>
        <v>BREACH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27.75" hidden="false" customHeight="true" outlineLevel="0" collapsed="false">
      <c r="B2" s="2" t="s">
        <v>196</v>
      </c>
      <c r="C2" s="2"/>
      <c r="D2" s="2"/>
      <c r="E2" s="2"/>
    </row>
    <row r="4" customFormat="false" ht="15" hidden="false" customHeight="true" outlineLevel="0" collapsed="false">
      <c r="B4" s="16" t="s">
        <v>188</v>
      </c>
      <c r="C4" s="16" t="s">
        <v>197</v>
      </c>
      <c r="D4" s="16" t="s">
        <v>198</v>
      </c>
      <c r="E4" s="16" t="s">
        <v>199</v>
      </c>
    </row>
    <row r="5" customFormat="false" ht="15" hidden="false" customHeight="true" outlineLevel="0" collapsed="false">
      <c r="B5" s="1" t="s">
        <v>200</v>
      </c>
      <c r="C5" s="20" t="n">
        <f aca="false">Assumptions!E13+Assumptions!E14</f>
        <v>0.1</v>
      </c>
      <c r="D5" s="1" t="s">
        <v>134</v>
      </c>
      <c r="E5" s="1" t="s">
        <v>201</v>
      </c>
    </row>
    <row r="6" customFormat="false" ht="15" hidden="false" customHeight="true" outlineLevel="0" collapsed="false">
      <c r="B6" s="1" t="s">
        <v>202</v>
      </c>
      <c r="C6" s="20" t="n">
        <f aca="false">Assumptions!E16</f>
        <v>0</v>
      </c>
      <c r="D6" s="1" t="s">
        <v>134</v>
      </c>
      <c r="E6" s="1" t="s">
        <v>144</v>
      </c>
    </row>
    <row r="7" customFormat="false" ht="15" hidden="false" customHeight="true" outlineLevel="0" collapsed="false">
      <c r="B7" s="1" t="s">
        <v>203</v>
      </c>
      <c r="C7" s="31" t="n">
        <f aca="false">100*(1-Assumptions!E15)</f>
        <v>98</v>
      </c>
      <c r="D7" s="1" t="s">
        <v>204</v>
      </c>
      <c r="E7" s="1" t="s">
        <v>205</v>
      </c>
    </row>
    <row r="8" customFormat="false" ht="15" hidden="false" customHeight="true" outlineLevel="0" collapsed="false">
      <c r="B8" s="1" t="s">
        <v>156</v>
      </c>
      <c r="C8" s="25" t="n">
        <f aca="false">Assumptions!E25</f>
        <v>7</v>
      </c>
      <c r="D8" s="1" t="s">
        <v>157</v>
      </c>
      <c r="E8" s="1" t="s">
        <v>206</v>
      </c>
    </row>
    <row r="9" customFormat="false" ht="15" hidden="false" customHeight="true" outlineLevel="0" collapsed="false">
      <c r="B9" s="1" t="s">
        <v>207</v>
      </c>
      <c r="C9" s="32" t="n">
        <f aca="false">IFERROR((C5*100+(100-C7)/C8)/((100+C7)/2),0)</f>
        <v>0.103896103896104</v>
      </c>
      <c r="D9" s="1" t="s">
        <v>134</v>
      </c>
      <c r="E9" s="1" t="s">
        <v>208</v>
      </c>
    </row>
    <row r="10" customFormat="false" ht="15" hidden="false" customHeight="true" outlineLevel="0" collapsed="false">
      <c r="B10" s="1" t="s">
        <v>209</v>
      </c>
      <c r="C10" s="32" t="n">
        <f aca="false">C9+C6</f>
        <v>0.103896103896104</v>
      </c>
      <c r="D10" s="1" t="s">
        <v>134</v>
      </c>
      <c r="E10" s="1" t="s">
        <v>210</v>
      </c>
    </row>
    <row r="11" customFormat="false" ht="15" hidden="false" customHeight="true" outlineLevel="0" collapsed="false">
      <c r="B11" s="1" t="s">
        <v>142</v>
      </c>
      <c r="C11" s="33" t="n">
        <f aca="false">Assumptions!E14*10000</f>
        <v>550</v>
      </c>
      <c r="D11" s="1" t="s">
        <v>211</v>
      </c>
      <c r="E11" s="1" t="s">
        <v>212</v>
      </c>
    </row>
    <row r="12" customFormat="false" ht="15" hidden="false" customHeight="true" outlineLevel="0" collapsed="false">
      <c r="B12" s="1" t="s">
        <v>213</v>
      </c>
      <c r="C12" s="33" t="n">
        <f aca="false">IFERROR(Assumptions!E15/Assumptions!E25*10000,0)</f>
        <v>28.5714285714286</v>
      </c>
      <c r="D12" s="1" t="s">
        <v>211</v>
      </c>
      <c r="E12" s="1" t="s">
        <v>214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8"/>
  </cols>
  <sheetData>
    <row r="2" customFormat="false" ht="27.75" hidden="false" customHeight="true" outlineLevel="0" collapsed="false">
      <c r="B2" s="2" t="s">
        <v>215</v>
      </c>
      <c r="C2" s="2"/>
      <c r="D2" s="2"/>
    </row>
    <row r="4" customFormat="false" ht="15" hidden="false" customHeight="true" outlineLevel="0" collapsed="false">
      <c r="B4" s="16" t="s">
        <v>216</v>
      </c>
      <c r="C4" s="16" t="s">
        <v>12</v>
      </c>
      <c r="D4" s="16" t="s">
        <v>128</v>
      </c>
    </row>
    <row r="5" customFormat="false" ht="15" hidden="false" customHeight="true" outlineLevel="0" collapsed="false">
      <c r="B5" s="1" t="s">
        <v>217</v>
      </c>
      <c r="C5" s="26" t="n">
        <f aca="false">'Operating Case'!H7</f>
        <v>121.66529024</v>
      </c>
      <c r="D5" s="26" t="n">
        <f aca="false">'Operating Case'!H7*(1+Assumptions!D7)</f>
        <v>115.582025728</v>
      </c>
    </row>
    <row r="6" customFormat="false" ht="15" hidden="false" customHeight="true" outlineLevel="0" collapsed="false">
      <c r="B6" s="1" t="s">
        <v>154</v>
      </c>
      <c r="C6" s="30" t="n">
        <f aca="false">Assumptions!C23</f>
        <v>5</v>
      </c>
      <c r="D6" s="30" t="n">
        <f aca="false">Assumptions!D23</f>
        <v>4</v>
      </c>
    </row>
    <row r="7" customFormat="false" ht="15" hidden="false" customHeight="true" outlineLevel="0" collapsed="false">
      <c r="B7" s="1" t="s">
        <v>218</v>
      </c>
      <c r="C7" s="26" t="n">
        <f aca="false">C5*C6</f>
        <v>608.3264512</v>
      </c>
      <c r="D7" s="26" t="n">
        <f aca="false">D5*D6</f>
        <v>462.328102912</v>
      </c>
    </row>
    <row r="8" customFormat="false" ht="15" hidden="false" customHeight="true" outlineLevel="0" collapsed="false">
      <c r="B8" s="1" t="s">
        <v>155</v>
      </c>
      <c r="C8" s="26" t="n">
        <f aca="false">C7*Assumptions!C24</f>
        <v>121.66529024</v>
      </c>
      <c r="D8" s="26" t="n">
        <f aca="false">D7*Assumptions!D24</f>
        <v>161.8148360192</v>
      </c>
    </row>
    <row r="9" customFormat="false" ht="15" hidden="false" customHeight="true" outlineLevel="0" collapsed="false">
      <c r="B9" s="1" t="s">
        <v>219</v>
      </c>
      <c r="C9" s="26" t="n">
        <f aca="false">C7-C8</f>
        <v>486.66116096</v>
      </c>
      <c r="D9" s="26" t="n">
        <f aca="false">D7-D8</f>
        <v>300.5132668928</v>
      </c>
    </row>
    <row r="10" customFormat="false" ht="15" hidden="false" customHeight="true" outlineLevel="0" collapsed="false">
      <c r="B10" s="1" t="s">
        <v>220</v>
      </c>
      <c r="C10" s="26" t="n">
        <f aca="false">'Debt Schedule'!H15</f>
        <v>15055.6</v>
      </c>
      <c r="D10" s="26" t="n">
        <f aca="false">'Debt Schedule'!H15</f>
        <v>15055.6</v>
      </c>
    </row>
    <row r="11" customFormat="false" ht="15" hidden="false" customHeight="true" outlineLevel="0" collapsed="false">
      <c r="B11" s="28" t="s">
        <v>221</v>
      </c>
      <c r="C11" s="29" t="n">
        <f aca="false">MIN(C9,C10)</f>
        <v>486.66116096</v>
      </c>
      <c r="D11" s="29" t="n">
        <f aca="false">MIN(D9,D10)</f>
        <v>300.5132668928</v>
      </c>
    </row>
    <row r="12" customFormat="false" ht="15" hidden="false" customHeight="true" outlineLevel="0" collapsed="false">
      <c r="B12" s="1" t="s">
        <v>222</v>
      </c>
      <c r="C12" s="27" t="n">
        <f aca="false">IFERROR(C11/C10,0)</f>
        <v>0.0323242621323627</v>
      </c>
      <c r="D12" s="27" t="n">
        <f aca="false">IFERROR(D11/D10,0)</f>
        <v>0.019960231866734</v>
      </c>
    </row>
    <row r="13" customFormat="false" ht="15" hidden="false" customHeight="true" outlineLevel="0" collapsed="false">
      <c r="B13" s="1" t="s">
        <v>223</v>
      </c>
      <c r="C13" s="27" t="n">
        <f aca="false">1-C12</f>
        <v>0.967675737867637</v>
      </c>
      <c r="D13" s="27" t="n">
        <f aca="false">1-D12</f>
        <v>0.980039768133266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2"/>
  </cols>
  <sheetData>
    <row r="2" customFormat="false" ht="27.75" hidden="false" customHeight="true" outlineLevel="0" collapsed="false">
      <c r="B2" s="2" t="s">
        <v>224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225</v>
      </c>
      <c r="C4" s="16" t="n">
        <v>3</v>
      </c>
      <c r="D4" s="16" t="n">
        <v>4</v>
      </c>
      <c r="E4" s="16" t="n">
        <v>5</v>
      </c>
      <c r="F4" s="16" t="n">
        <v>6</v>
      </c>
      <c r="G4" s="16" t="n">
        <v>7</v>
      </c>
    </row>
    <row r="5" customFormat="false" ht="15" hidden="false" customHeight="true" outlineLevel="0" collapsed="false">
      <c r="B5" s="27" t="n">
        <v>0</v>
      </c>
      <c r="C5" s="27" t="n">
        <f aca="false">IFERROR(MIN(1,MAX(0,('Operating Case'!$H$7*(1-$B5)*C$4)/'Debt Schedule'!$H$15)),1)</f>
        <v>0.024243196599272</v>
      </c>
      <c r="D5" s="27" t="n">
        <f aca="false">IFERROR(MIN(1,MAX(0,('Operating Case'!$H$7*(1-$B5)*D$4)/'Debt Schedule'!$H$15)),1)</f>
        <v>0.0323242621323627</v>
      </c>
      <c r="E5" s="27" t="n">
        <f aca="false">IFERROR(MIN(1,MAX(0,('Operating Case'!$H$7*(1-$B5)*E$4)/'Debt Schedule'!$H$15)),1)</f>
        <v>0.0404053276654534</v>
      </c>
      <c r="F5" s="27" t="n">
        <f aca="false">IFERROR(MIN(1,MAX(0,('Operating Case'!$H$7*(1-$B5)*F$4)/'Debt Schedule'!$H$15)),1)</f>
        <v>0.0484863931985441</v>
      </c>
      <c r="G5" s="27" t="n">
        <f aca="false">IFERROR(MIN(1,MAX(0,('Operating Case'!$H$7*(1-$B5)*G$4)/'Debt Schedule'!$H$15)),1)</f>
        <v>0.0565674587316348</v>
      </c>
    </row>
    <row r="6" customFormat="false" ht="15" hidden="false" customHeight="true" outlineLevel="0" collapsed="false">
      <c r="B6" s="27" t="n">
        <v>0.1</v>
      </c>
      <c r="C6" s="27" t="n">
        <f aca="false">IFERROR(MIN(1,MAX(0,('Operating Case'!$H$7*(1-$B6)*C$4)/'Debt Schedule'!$H$15)),1)</f>
        <v>0.0218188769393448</v>
      </c>
      <c r="D6" s="27" t="n">
        <f aca="false">IFERROR(MIN(1,MAX(0,('Operating Case'!$H$7*(1-$B6)*D$4)/'Debt Schedule'!$H$15)),1)</f>
        <v>0.0290918359191264</v>
      </c>
      <c r="E6" s="27" t="n">
        <f aca="false">IFERROR(MIN(1,MAX(0,('Operating Case'!$H$7*(1-$B6)*E$4)/'Debt Schedule'!$H$15)),1)</f>
        <v>0.0363647948989081</v>
      </c>
      <c r="F6" s="27" t="n">
        <f aca="false">IFERROR(MIN(1,MAX(0,('Operating Case'!$H$7*(1-$B6)*F$4)/'Debt Schedule'!$H$15)),1)</f>
        <v>0.0436377538786897</v>
      </c>
      <c r="G6" s="27" t="n">
        <f aca="false">IFERROR(MIN(1,MAX(0,('Operating Case'!$H$7*(1-$B6)*G$4)/'Debt Schedule'!$H$15)),1)</f>
        <v>0.0509107128584713</v>
      </c>
    </row>
    <row r="7" customFormat="false" ht="15" hidden="false" customHeight="true" outlineLevel="0" collapsed="false">
      <c r="B7" s="27" t="n">
        <v>0.2</v>
      </c>
      <c r="C7" s="27" t="n">
        <f aca="false">IFERROR(MIN(1,MAX(0,('Operating Case'!$H$7*(1-$B7)*C$4)/'Debt Schedule'!$H$15)),1)</f>
        <v>0.0193945572794176</v>
      </c>
      <c r="D7" s="27" t="n">
        <f aca="false">IFERROR(MIN(1,MAX(0,('Operating Case'!$H$7*(1-$B7)*D$4)/'Debt Schedule'!$H$15)),1)</f>
        <v>0.0258594097058902</v>
      </c>
      <c r="E7" s="27" t="n">
        <f aca="false">IFERROR(MIN(1,MAX(0,('Operating Case'!$H$7*(1-$B7)*E$4)/'Debt Schedule'!$H$15)),1)</f>
        <v>0.0323242621323627</v>
      </c>
      <c r="F7" s="27" t="n">
        <f aca="false">IFERROR(MIN(1,MAX(0,('Operating Case'!$H$7*(1-$B7)*F$4)/'Debt Schedule'!$H$15)),1)</f>
        <v>0.0387891145588353</v>
      </c>
      <c r="G7" s="27" t="n">
        <f aca="false">IFERROR(MIN(1,MAX(0,('Operating Case'!$H$7*(1-$B7)*G$4)/'Debt Schedule'!$H$15)),1)</f>
        <v>0.0452539669853078</v>
      </c>
    </row>
    <row r="8" customFormat="false" ht="15" hidden="false" customHeight="true" outlineLevel="0" collapsed="false">
      <c r="B8" s="27" t="n">
        <v>0.3</v>
      </c>
      <c r="C8" s="27" t="n">
        <f aca="false">IFERROR(MIN(1,MAX(0,('Operating Case'!$H$7*(1-$B8)*C$4)/'Debt Schedule'!$H$15)),1)</f>
        <v>0.0169702376194904</v>
      </c>
      <c r="D8" s="27" t="n">
        <f aca="false">IFERROR(MIN(1,MAX(0,('Operating Case'!$H$7*(1-$B8)*D$4)/'Debt Schedule'!$H$15)),1)</f>
        <v>0.0226269834926539</v>
      </c>
      <c r="E8" s="27" t="n">
        <f aca="false">IFERROR(MIN(1,MAX(0,('Operating Case'!$H$7*(1-$B8)*E$4)/'Debt Schedule'!$H$15)),1)</f>
        <v>0.0282837293658174</v>
      </c>
      <c r="F8" s="27" t="n">
        <f aca="false">IFERROR(MIN(1,MAX(0,('Operating Case'!$H$7*(1-$B8)*F$4)/'Debt Schedule'!$H$15)),1)</f>
        <v>0.0339404752389809</v>
      </c>
      <c r="G8" s="27" t="n">
        <f aca="false">IFERROR(MIN(1,MAX(0,('Operating Case'!$H$7*(1-$B8)*G$4)/'Debt Schedule'!$H$15)),1)</f>
        <v>0.0395972211121443</v>
      </c>
    </row>
    <row r="9" customFormat="false" ht="15" hidden="false" customHeight="true" outlineLevel="0" collapsed="false">
      <c r="B9" s="27" t="n">
        <v>0.4</v>
      </c>
      <c r="C9" s="27" t="n">
        <f aca="false">IFERROR(MIN(1,MAX(0,('Operating Case'!$H$7*(1-$B9)*C$4)/'Debt Schedule'!$H$15)),1)</f>
        <v>0.0145459179595632</v>
      </c>
      <c r="D9" s="27" t="n">
        <f aca="false">IFERROR(MIN(1,MAX(0,('Operating Case'!$H$7*(1-$B9)*D$4)/'Debt Schedule'!$H$15)),1)</f>
        <v>0.0193945572794176</v>
      </c>
      <c r="E9" s="27" t="n">
        <f aca="false">IFERROR(MIN(1,MAX(0,('Operating Case'!$H$7*(1-$B9)*E$4)/'Debt Schedule'!$H$15)),1)</f>
        <v>0.024243196599272</v>
      </c>
      <c r="F9" s="27" t="n">
        <f aca="false">IFERROR(MIN(1,MAX(0,('Operating Case'!$H$7*(1-$B9)*F$4)/'Debt Schedule'!$H$15)),1)</f>
        <v>0.0290918359191264</v>
      </c>
      <c r="G9" s="27" t="n">
        <f aca="false">IFERROR(MIN(1,MAX(0,('Operating Case'!$H$7*(1-$B9)*G$4)/'Debt Schedule'!$H$15)),1)</f>
        <v>0.0339404752389809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226</v>
      </c>
      <c r="C2" s="2"/>
    </row>
    <row r="4" customFormat="false" ht="15" hidden="false" customHeight="true" outlineLevel="0" collapsed="false">
      <c r="B4" s="16" t="s">
        <v>227</v>
      </c>
      <c r="C4" s="16" t="s">
        <v>44</v>
      </c>
    </row>
    <row r="5" customFormat="false" ht="15" hidden="false" customHeight="true" outlineLevel="0" collapsed="false">
      <c r="B5" s="1" t="s">
        <v>228</v>
      </c>
      <c r="C5" s="1" t="str">
        <f aca="false">IF(MIN('Debt Schedule'!D15:H15)&gt;=0,"PASS","FAIL")</f>
        <v>PASS</v>
      </c>
    </row>
    <row r="6" customFormat="false" ht="15" hidden="false" customHeight="true" outlineLevel="0" collapsed="false">
      <c r="B6" s="1" t="s">
        <v>229</v>
      </c>
      <c r="C6" s="1" t="str">
        <f aca="false">IF(MIN('Debt Schedule'!D10:H10)&gt;=Assumptions!E19,"PASS","REVIEW")</f>
        <v>REVIEW</v>
      </c>
    </row>
    <row r="7" customFormat="false" ht="15" hidden="false" customHeight="true" outlineLevel="0" collapsed="false">
      <c r="B7" s="1" t="s">
        <v>230</v>
      </c>
      <c r="C7" s="1" t="str">
        <f aca="false">IF(AND(MIN(Recovery!C12:D12)&gt;=0,MAX(Recovery!C12:D12)&lt;=1),"PASS","FAIL")</f>
        <v>PASS</v>
      </c>
    </row>
    <row r="8" customFormat="false" ht="15" hidden="false" customHeight="true" outlineLevel="0" collapsed="false">
      <c r="B8" s="1" t="s">
        <v>231</v>
      </c>
      <c r="C8" s="1" t="str">
        <f aca="false">IF(COUNTIF(Covenants!C14:G14,"BREACH")=0,"PASS","REVIEW")</f>
        <v>REVIEW</v>
      </c>
    </row>
    <row r="9" customFormat="false" ht="15" hidden="false" customHeight="true" outlineLevel="0" collapsed="false">
      <c r="B9" s="1" t="s">
        <v>232</v>
      </c>
      <c r="C9" s="1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</row>
    <row r="4" customFormat="false" ht="15" hidden="false" customHeight="true" outlineLevel="0" collapsed="false">
      <c r="B4" s="16" t="s">
        <v>234</v>
      </c>
      <c r="C4" s="16" t="s">
        <v>235</v>
      </c>
      <c r="D4" s="16" t="s">
        <v>110</v>
      </c>
      <c r="E4" s="16" t="s">
        <v>236</v>
      </c>
    </row>
    <row r="5" customFormat="false" ht="15" hidden="false" customHeight="true" outlineLevel="0" collapsed="false">
      <c r="B5" s="34" t="s">
        <v>237</v>
      </c>
      <c r="C5" s="34" t="s">
        <v>238</v>
      </c>
      <c r="D5" s="34" t="s">
        <v>239</v>
      </c>
      <c r="E5" s="34" t="s">
        <v>240</v>
      </c>
    </row>
    <row r="6" customFormat="false" ht="15" hidden="false" customHeight="true" outlineLevel="0" collapsed="false">
      <c r="B6" s="34" t="s">
        <v>241</v>
      </c>
      <c r="C6" s="34" t="s">
        <v>242</v>
      </c>
      <c r="D6" s="34" t="s">
        <v>8</v>
      </c>
      <c r="E6" s="34" t="s">
        <v>243</v>
      </c>
    </row>
    <row r="7" customFormat="false" ht="15" hidden="false" customHeight="true" outlineLevel="0" collapsed="false">
      <c r="B7" s="34" t="s">
        <v>244</v>
      </c>
      <c r="C7" s="34" t="s">
        <v>245</v>
      </c>
      <c r="D7" s="34" t="s">
        <v>8</v>
      </c>
      <c r="E7" s="34" t="s">
        <v>246</v>
      </c>
    </row>
    <row r="8" customFormat="false" ht="15" hidden="false" customHeight="true" outlineLevel="0" collapsed="false">
      <c r="B8" s="34" t="s">
        <v>247</v>
      </c>
      <c r="C8" s="34" t="s">
        <v>248</v>
      </c>
      <c r="D8" s="34" t="s">
        <v>8</v>
      </c>
      <c r="E8" s="34" t="s">
        <v>249</v>
      </c>
    </row>
    <row r="9" customFormat="false" ht="15" hidden="false" customHeight="false" outlineLevel="0" collapsed="false">
      <c r="B9" s="35" t="s">
        <v>250</v>
      </c>
      <c r="C9" s="35" t="s">
        <v>251</v>
      </c>
      <c r="D9" s="35" t="s">
        <v>6</v>
      </c>
      <c r="E9" s="35" t="s">
        <v>252</v>
      </c>
    </row>
    <row r="10" customFormat="false" ht="15" hidden="false" customHeight="false" outlineLevel="0" collapsed="false">
      <c r="B10" s="35" t="s">
        <v>253</v>
      </c>
      <c r="C10" s="35" t="s">
        <v>251</v>
      </c>
      <c r="D10" s="35" t="s">
        <v>6</v>
      </c>
      <c r="E10" s="35" t="s">
        <v>254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256</v>
      </c>
      <c r="D4" s="16" t="s">
        <v>257</v>
      </c>
      <c r="E4" s="16" t="s">
        <v>258</v>
      </c>
      <c r="F4" s="16" t="s">
        <v>259</v>
      </c>
      <c r="G4" s="16" t="s">
        <v>260</v>
      </c>
    </row>
    <row r="5" customFormat="false" ht="15" hidden="false" customHeight="true" outlineLevel="0" collapsed="false">
      <c r="B5" s="36" t="s">
        <v>6</v>
      </c>
      <c r="C5" s="36" t="s">
        <v>261</v>
      </c>
      <c r="D5" s="36" t="s">
        <v>262</v>
      </c>
      <c r="E5" s="36" t="s">
        <v>263</v>
      </c>
      <c r="F5" s="36" t="s">
        <v>264</v>
      </c>
      <c r="G5" s="36" t="s">
        <v>265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6" min="3" style="1" width="18"/>
  </cols>
  <sheetData>
    <row r="2" customFormat="false" ht="19.5" hidden="false" customHeight="true" outlineLevel="0" collapsed="false">
      <c r="B2" s="37" t="s">
        <v>266</v>
      </c>
    </row>
    <row r="4" customFormat="false" ht="15" hidden="false" customHeight="true" outlineLevel="0" collapsed="false">
      <c r="B4" s="38" t="s">
        <v>267</v>
      </c>
      <c r="C4" s="38" t="s">
        <v>268</v>
      </c>
      <c r="D4" s="38" t="s">
        <v>269</v>
      </c>
      <c r="E4" s="38" t="s">
        <v>270</v>
      </c>
      <c r="F4" s="38" t="s">
        <v>271</v>
      </c>
    </row>
    <row r="5" customFormat="false" ht="15" hidden="false" customHeight="true" outlineLevel="0" collapsed="false">
      <c r="B5" s="1" t="s">
        <v>272</v>
      </c>
      <c r="C5" s="39" t="n">
        <v>35</v>
      </c>
      <c r="D5" s="39" t="n">
        <v>45</v>
      </c>
      <c r="E5" s="40" t="n">
        <v>4</v>
      </c>
      <c r="F5" s="40" t="n">
        <v>7</v>
      </c>
    </row>
    <row r="6" customFormat="false" ht="15" hidden="false" customHeight="true" outlineLevel="0" collapsed="false">
      <c r="B6" s="1" t="s">
        <v>273</v>
      </c>
      <c r="C6" s="39" t="n">
        <v>25</v>
      </c>
      <c r="D6" s="39" t="n">
        <v>30</v>
      </c>
      <c r="E6" s="40" t="n">
        <v>4.5</v>
      </c>
      <c r="F6" s="40" t="n">
        <v>6.5</v>
      </c>
    </row>
    <row r="7" customFormat="false" ht="15" hidden="false" customHeight="true" outlineLevel="0" collapsed="false">
      <c r="B7" s="1" t="s">
        <v>274</v>
      </c>
      <c r="C7" s="39" t="n">
        <v>20</v>
      </c>
      <c r="D7" s="39" t="n">
        <v>15</v>
      </c>
      <c r="E7" s="40" t="n">
        <v>3.5</v>
      </c>
      <c r="F7" s="40" t="n">
        <v>5</v>
      </c>
    </row>
    <row r="8" customFormat="false" ht="15" hidden="false" customHeight="true" outlineLevel="0" collapsed="false">
      <c r="B8" s="1" t="s">
        <v>275</v>
      </c>
      <c r="C8" s="39" t="n">
        <v>12</v>
      </c>
      <c r="D8" s="39" t="n">
        <v>7</v>
      </c>
      <c r="E8" s="40" t="n">
        <v>3</v>
      </c>
      <c r="F8" s="40" t="n">
        <v>4</v>
      </c>
    </row>
    <row r="9" customFormat="false" ht="15" hidden="false" customHeight="true" outlineLevel="0" collapsed="false">
      <c r="B9" s="1" t="s">
        <v>276</v>
      </c>
      <c r="C9" s="39" t="n">
        <v>8</v>
      </c>
      <c r="D9" s="39" t="n">
        <v>3</v>
      </c>
      <c r="E9" s="40" t="n">
        <v>2.5</v>
      </c>
      <c r="F9" s="40" t="n">
        <v>3.5</v>
      </c>
    </row>
    <row r="12" customFormat="false" ht="15" hidden="false" customHeight="true" outlineLevel="0" collapsed="false">
      <c r="B12" s="1" t="s">
        <v>277</v>
      </c>
      <c r="C12" s="41" t="n">
        <f aca="false">SUM(C5:C9)</f>
        <v>100</v>
      </c>
      <c r="D12" s="41" t="n">
        <f aca="false">SUM(D5:D9)</f>
        <v>100</v>
      </c>
    </row>
    <row r="13" customFormat="false" ht="15" hidden="false" customHeight="true" outlineLevel="0" collapsed="false">
      <c r="B13" s="1" t="s">
        <v>278</v>
      </c>
      <c r="C13" s="42" t="n">
        <f aca="false">IFERROR(MAX(C5:C9)/C12,0)</f>
        <v>0.35</v>
      </c>
      <c r="D13" s="42" t="n">
        <f aca="false">IFERROR(MAX(D5:D9)/D12,0)</f>
        <v>0.45</v>
      </c>
    </row>
    <row r="14" customFormat="false" ht="15" hidden="false" customHeight="true" outlineLevel="0" collapsed="false">
      <c r="B14" s="1" t="s">
        <v>279</v>
      </c>
      <c r="C14" s="43" t="n">
        <f aca="false">IFERROR(SUMPRODUCT(C5:C9,E5:E9)/C12,0)</f>
        <v>3.785</v>
      </c>
      <c r="D14" s="43" t="n">
        <f aca="false">IFERROR(SUMPRODUCT(D5:D9,F5:F9)/D12,0)</f>
        <v>6.235</v>
      </c>
    </row>
    <row r="15" customFormat="false" ht="15" hidden="false" customHeight="true" outlineLevel="0" collapsed="false">
      <c r="B15" s="1" t="s">
        <v>280</v>
      </c>
      <c r="C15" s="44" t="n">
        <v>0.4</v>
      </c>
      <c r="D15" s="44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37" t="s">
        <v>281</v>
      </c>
    </row>
    <row r="4" customFormat="false" ht="15" hidden="false" customHeight="true" outlineLevel="0" collapsed="false">
      <c r="B4" s="38" t="s">
        <v>188</v>
      </c>
      <c r="C4" s="38" t="s">
        <v>12</v>
      </c>
      <c r="D4" s="38" t="s">
        <v>282</v>
      </c>
      <c r="E4" s="38" t="s">
        <v>283</v>
      </c>
    </row>
    <row r="5" customFormat="false" ht="15" hidden="false" customHeight="true" outlineLevel="0" collapsed="false">
      <c r="B5" s="1" t="s">
        <v>284</v>
      </c>
      <c r="C5" s="39" t="n">
        <v>350</v>
      </c>
      <c r="D5" s="39" t="n">
        <v>350</v>
      </c>
    </row>
    <row r="6" customFormat="false" ht="15" hidden="false" customHeight="true" outlineLevel="0" collapsed="false">
      <c r="B6" s="1" t="s">
        <v>145</v>
      </c>
      <c r="C6" s="39" t="n">
        <v>10</v>
      </c>
      <c r="D6" s="39" t="n">
        <v>0</v>
      </c>
    </row>
    <row r="7" customFormat="false" ht="15" hidden="false" customHeight="true" outlineLevel="0" collapsed="false">
      <c r="B7" s="1" t="s">
        <v>147</v>
      </c>
      <c r="C7" s="39" t="n">
        <v>40</v>
      </c>
      <c r="D7" s="39" t="n">
        <v>0</v>
      </c>
    </row>
    <row r="8" customFormat="false" ht="15" hidden="false" customHeight="true" outlineLevel="0" collapsed="false">
      <c r="B8" s="1" t="s">
        <v>285</v>
      </c>
      <c r="C8" s="39" t="n">
        <v>0</v>
      </c>
      <c r="D8" s="39" t="n">
        <v>30</v>
      </c>
    </row>
    <row r="9" customFormat="false" ht="15" hidden="false" customHeight="true" outlineLevel="0" collapsed="false">
      <c r="B9" s="1" t="s">
        <v>286</v>
      </c>
      <c r="C9" s="39" t="n">
        <v>80</v>
      </c>
      <c r="D9" s="39" t="n">
        <v>20</v>
      </c>
    </row>
    <row r="10" customFormat="false" ht="15" hidden="false" customHeight="true" outlineLevel="0" collapsed="false">
      <c r="B10" s="1" t="s">
        <v>172</v>
      </c>
      <c r="C10" s="39" t="n">
        <v>25</v>
      </c>
      <c r="D10" s="39" t="n">
        <v>40</v>
      </c>
    </row>
    <row r="11" customFormat="false" ht="15" hidden="false" customHeight="true" outlineLevel="0" collapsed="false">
      <c r="B11" s="1" t="s">
        <v>167</v>
      </c>
      <c r="C11" s="39" t="n">
        <v>100</v>
      </c>
      <c r="D11" s="39" t="n">
        <v>50</v>
      </c>
    </row>
    <row r="12" customFormat="false" ht="15" hidden="false" customHeight="true" outlineLevel="0" collapsed="false">
      <c r="B12" s="1" t="s">
        <v>287</v>
      </c>
      <c r="C12" s="39" t="n">
        <v>500</v>
      </c>
      <c r="D12" s="39" t="n">
        <v>180</v>
      </c>
    </row>
    <row r="13" customFormat="false" ht="15" hidden="false" customHeight="true" outlineLevel="0" collapsed="false">
      <c r="B13" s="1" t="s">
        <v>288</v>
      </c>
      <c r="C13" s="39" t="n">
        <v>50</v>
      </c>
      <c r="D13" s="39" t="n">
        <v>50</v>
      </c>
    </row>
    <row r="14" customFormat="false" ht="15" hidden="false" customHeight="true" outlineLevel="0" collapsed="false">
      <c r="B14" s="1" t="s">
        <v>289</v>
      </c>
      <c r="C14" s="39" t="n">
        <v>300</v>
      </c>
      <c r="D14" s="39" t="n">
        <v>380</v>
      </c>
    </row>
    <row r="15" customFormat="false" ht="15" hidden="false" customHeight="true" outlineLevel="0" collapsed="false">
      <c r="B15" s="1" t="s">
        <v>153</v>
      </c>
      <c r="C15" s="40" t="n">
        <v>1</v>
      </c>
      <c r="D15" s="40" t="n">
        <v>1</v>
      </c>
    </row>
    <row r="16" customFormat="false" ht="15" hidden="false" customHeight="true" outlineLevel="0" collapsed="false">
      <c r="B16" s="1" t="s">
        <v>150</v>
      </c>
      <c r="C16" s="40" t="n">
        <v>6</v>
      </c>
      <c r="D16" s="40" t="n">
        <v>6</v>
      </c>
    </row>
    <row r="17" customFormat="false" ht="15" hidden="false" customHeight="true" outlineLevel="0" collapsed="false">
      <c r="B17" s="1" t="s">
        <v>290</v>
      </c>
      <c r="C17" s="44" t="n">
        <v>0.6</v>
      </c>
      <c r="D17" s="44" t="n">
        <v>0.6</v>
      </c>
    </row>
    <row r="18" customFormat="false" ht="15" hidden="false" customHeight="true" outlineLevel="0" collapsed="false">
      <c r="B18" s="1" t="s">
        <v>291</v>
      </c>
      <c r="C18" s="44" t="n">
        <v>0.01</v>
      </c>
      <c r="D18" s="44" t="n">
        <v>0.03</v>
      </c>
    </row>
    <row r="19" customFormat="false" ht="15" hidden="false" customHeight="true" outlineLevel="0" collapsed="false">
      <c r="B19" s="1" t="s">
        <v>292</v>
      </c>
      <c r="C19" s="45" t="n">
        <v>0</v>
      </c>
      <c r="D19" s="45" t="n">
        <v>2</v>
      </c>
    </row>
    <row r="23" customFormat="false" ht="15" hidden="false" customHeight="true" outlineLevel="0" collapsed="false">
      <c r="B23" s="1" t="s">
        <v>183</v>
      </c>
      <c r="C23" s="41" t="n">
        <f aca="false">MAX(0,C5-C6-C7+C8)</f>
        <v>300</v>
      </c>
      <c r="D23" s="41" t="n">
        <f aca="false">MAX(0,D5-D6-D7+D8)</f>
        <v>380</v>
      </c>
    </row>
    <row r="24" customFormat="false" ht="15" hidden="false" customHeight="true" outlineLevel="0" collapsed="false">
      <c r="B24" s="1" t="s">
        <v>293</v>
      </c>
      <c r="C24" s="41" t="n">
        <f aca="false">C6+C10</f>
        <v>35</v>
      </c>
      <c r="D24" s="41" t="n">
        <f aca="false">D6+D10</f>
        <v>40</v>
      </c>
    </row>
    <row r="25" customFormat="false" ht="15" hidden="false" customHeight="true" outlineLevel="0" collapsed="false">
      <c r="B25" s="1" t="s">
        <v>194</v>
      </c>
      <c r="C25" s="43" t="n">
        <f aca="false">IFERROR(C9/C24,0)</f>
        <v>2.28571428571429</v>
      </c>
      <c r="D25" s="43" t="n">
        <f aca="false">IFERROR(D9/D24,0)</f>
        <v>0.5</v>
      </c>
    </row>
    <row r="26" customFormat="false" ht="15" hidden="false" customHeight="true" outlineLevel="0" collapsed="false">
      <c r="B26" s="1" t="s">
        <v>294</v>
      </c>
      <c r="C26" s="43" t="n">
        <f aca="false">IFERROR(C23/C11,0)</f>
        <v>3</v>
      </c>
      <c r="D26" s="43" t="n">
        <f aca="false">IFERROR(D23/D11,0)</f>
        <v>7.6</v>
      </c>
    </row>
    <row r="27" customFormat="false" ht="15" hidden="false" customHeight="true" outlineLevel="0" collapsed="false">
      <c r="B27" s="1" t="s">
        <v>221</v>
      </c>
      <c r="C27" s="41" t="n">
        <f aca="false">MIN(C14,MAX(0,C12-C13))</f>
        <v>300</v>
      </c>
      <c r="D27" s="41" t="n">
        <f aca="false">MIN(D14,MAX(0,D12-D13))</f>
        <v>130</v>
      </c>
    </row>
    <row r="28" customFormat="false" ht="15" hidden="false" customHeight="true" outlineLevel="0" collapsed="false">
      <c r="B28" s="1" t="s">
        <v>222</v>
      </c>
      <c r="C28" s="42" t="n">
        <f aca="false">IFERROR(C27/C14,1)</f>
        <v>1</v>
      </c>
      <c r="D28" s="42" t="n">
        <f aca="false">IFERROR(D27/D14,1)</f>
        <v>0.342105263157895</v>
      </c>
    </row>
    <row r="29" customFormat="false" ht="15" hidden="false" customHeight="true" outlineLevel="0" collapsed="false">
      <c r="B29" s="1" t="s">
        <v>223</v>
      </c>
      <c r="C29" s="42" t="n">
        <f aca="false">1-C28</f>
        <v>0</v>
      </c>
      <c r="D29" s="42" t="n">
        <f aca="false">1-D28</f>
        <v>0.657894736842105</v>
      </c>
    </row>
    <row r="30" customFormat="false" ht="15" hidden="false" customHeight="true" outlineLevel="0" collapsed="false">
      <c r="B30" s="1" t="s">
        <v>295</v>
      </c>
      <c r="C30" s="41" t="n">
        <f aca="false">C5*C18</f>
        <v>3.5</v>
      </c>
      <c r="D30" s="41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7" t="s">
        <v>296</v>
      </c>
    </row>
    <row r="4" customFormat="false" ht="15" hidden="false" customHeight="true" outlineLevel="0" collapsed="false">
      <c r="B4" s="38" t="s">
        <v>297</v>
      </c>
      <c r="C4" s="38" t="s">
        <v>188</v>
      </c>
      <c r="D4" s="38" t="s">
        <v>44</v>
      </c>
      <c r="E4" s="38" t="s">
        <v>298</v>
      </c>
    </row>
    <row r="5" customFormat="false" ht="15" hidden="false" customHeight="true" outlineLevel="0" collapsed="false">
      <c r="B5" s="1" t="s">
        <v>299</v>
      </c>
      <c r="C5" s="46" t="n">
        <f aca="false">'Amendment Economics'!D23-MAX(0,'Amendment Economics'!D5-'Amendment Economics'!D6-'Amendment Economics'!D7+'Amendment Economics'!D8)</f>
        <v>0</v>
      </c>
      <c r="D5" s="47" t="str">
        <f aca="false">IF(ABS(C5)&lt;0.01,"PASS","FAIL")</f>
        <v>PASS</v>
      </c>
      <c r="E5" s="1" t="s">
        <v>300</v>
      </c>
    </row>
    <row r="6" customFormat="false" ht="15" hidden="false" customHeight="true" outlineLevel="0" collapsed="false">
      <c r="B6" s="1" t="s">
        <v>301</v>
      </c>
      <c r="C6" s="46" t="n">
        <f aca="false">'Amendment Economics'!D28+'Amendment Economics'!D29-1</f>
        <v>0</v>
      </c>
      <c r="D6" s="47" t="str">
        <f aca="false">IF(ABS(C6)&lt;0.000001,"PASS","FAIL")</f>
        <v>PASS</v>
      </c>
      <c r="E6" s="1" t="s">
        <v>302</v>
      </c>
    </row>
    <row r="7" customFormat="false" ht="15" hidden="false" customHeight="true" outlineLevel="0" collapsed="false">
      <c r="B7" s="1" t="s">
        <v>303</v>
      </c>
      <c r="C7" s="46" t="n">
        <f aca="false">'Amendment Economics'!D25</f>
        <v>0.5</v>
      </c>
      <c r="D7" s="47" t="str">
        <f aca="false">IF(C7&gt;='Amendment Economics'!D15,"PASS","BREACH")</f>
        <v>BREACH</v>
      </c>
      <c r="E7" s="1" t="s">
        <v>304</v>
      </c>
    </row>
    <row r="8" customFormat="false" ht="15" hidden="false" customHeight="true" outlineLevel="0" collapsed="false">
      <c r="B8" s="1" t="s">
        <v>271</v>
      </c>
      <c r="C8" s="46" t="n">
        <f aca="false">'Amendment Economics'!D26</f>
        <v>7.6</v>
      </c>
      <c r="D8" s="47" t="str">
        <f aca="false">IF(C8&lt;='Amendment Economics'!D16,"PASS","BREACH")</f>
        <v>BREACH</v>
      </c>
      <c r="E8" s="1" t="s">
        <v>305</v>
      </c>
    </row>
    <row r="9" customFormat="false" ht="15" hidden="false" customHeight="true" outlineLevel="0" collapsed="false">
      <c r="B9" s="1" t="s">
        <v>306</v>
      </c>
      <c r="C9" s="46" t="n">
        <f aca="false">'Amendment Economics'!D28</f>
        <v>0.342105263157895</v>
      </c>
      <c r="D9" s="47" t="str">
        <f aca="false">IF(C9&gt;='Amendment Economics'!D17,"PASS","BREACH")</f>
        <v>BREACH</v>
      </c>
      <c r="E9" s="1" t="s">
        <v>307</v>
      </c>
    </row>
    <row r="10" customFormat="false" ht="15" hidden="false" customHeight="true" outlineLevel="0" collapsed="false">
      <c r="B10" s="1" t="s">
        <v>308</v>
      </c>
      <c r="C10" s="46" t="n">
        <f aca="false">'Amendment Economics'!D8-'Amendment Economics'!D6-'Amendment Economics'!D7</f>
        <v>30</v>
      </c>
      <c r="D10" s="47" t="str">
        <f aca="false">IF(C10&lt;=0,"PASS","BREACH")</f>
        <v>BREACH</v>
      </c>
      <c r="E10" s="1" t="s">
        <v>309</v>
      </c>
    </row>
    <row r="11" customFormat="false" ht="15" hidden="false" customHeight="true" outlineLevel="0" collapsed="false">
      <c r="B11" s="1" t="s">
        <v>310</v>
      </c>
      <c r="C11" s="46" t="n">
        <f aca="false">'Portfolio &amp; Concentration'!D13</f>
        <v>0.45</v>
      </c>
      <c r="D11" s="47" t="str">
        <f aca="false">IF(C11&lt;='Portfolio &amp; Concentration'!D15,"PASS","BREACH")</f>
        <v>BREACH</v>
      </c>
      <c r="E11" s="1" t="s">
        <v>311</v>
      </c>
    </row>
    <row r="13" customFormat="false" ht="15" hidden="false" customHeight="true" outlineLevel="0" collapsed="false">
      <c r="B13" s="48" t="s">
        <v>312</v>
      </c>
      <c r="C13" s="49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2026-08-04T23:45:57Z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