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Operating Case" sheetId="6" state="visible" r:id="rId8"/>
    <sheet name="Debt Schedule" sheetId="7" state="visible" r:id="rId9"/>
    <sheet name="Covenants" sheetId="8" state="visible" r:id="rId10"/>
    <sheet name="Yield &amp; Spread" sheetId="9" state="visible" r:id="rId11"/>
    <sheet name="Recovery" sheetId="10" state="visible" r:id="rId12"/>
    <sheet name="Sensitivity" sheetId="11" state="visible" r:id="rId13"/>
    <sheet name="Checks" sheetId="12" state="visible" r:id="rId14"/>
    <sheet name="Sources" sheetId="13" state="visible" r:id="rId15"/>
    <sheet name="RefreshLog" sheetId="14" state="visible" r:id="rId16"/>
    <sheet name="Portfolio &amp; Concentration" sheetId="15" state="visible" r:id="rId17"/>
    <sheet name="Amendment Economics" sheetId="16" state="visible" r:id="rId18"/>
    <sheet name="Decision &amp; Checks" sheetId="17" state="visible" r:id="rId19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<sst xmlns="http://schemas.openxmlformats.org/spreadsheetml/2006/main" count="446" uniqueCount="302">
  <si>
    <t xml:space="preserve">[BORROWER] — Private Credit Underwriting</t>
  </si>
  <si>
    <t xml:space="preserve">Borrower / issuer:</t>
  </si>
  <si>
    <t xml:space="preserve">[Name]</t>
  </si>
  <si>
    <t xml:space="preserve">Facility:</t>
  </si>
  <si>
    <t xml:space="preserve">Unitranche / TLB / revolver / notes</t>
  </si>
  <si>
    <t xml:space="preserve">Last refreshed:</t>
  </si>
  <si>
    <t xml:space="preserve">[date]</t>
  </si>
  <si>
    <t xml:space="preserve">Next test / maturity:</t>
  </si>
  <si>
    <t xml:space="preserve">Refresh cadence:</t>
  </si>
  <si>
    <t xml:space="preserve">Weekly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</si>
  <si>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</si>
  <si>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</si>
  <si>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</si>
  <si>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</si>
  <si>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</si>
  <si>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</si>
  <si>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</si>
  <si>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</si>
  <si>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</si>
  <si>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</si>
  <si>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</si>
  <si>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</si>
  <si>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</si>
  <si>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Private Credit — Institutional Decision Surface</t>
  </si>
  <si>
    <t xml:space="preserve">Model ID</t>
  </si>
  <si>
    <t xml:space="preserve">05</t>
  </si>
  <si>
    <t xml:space="preserve">Domain</t>
  </si>
  <si>
    <t xml:space="preserve">Private Credit</t>
  </si>
  <si>
    <t xml:space="preserve">Declared maturity</t>
  </si>
  <si>
    <t xml:space="preserve">M2</t>
  </si>
  <si>
    <t xml:space="preserve">Canonical builder</t>
  </si>
  <si>
    <t xml:space="preserve">tools/builders/build_private_credit_release.py</t>
  </si>
  <si>
    <t xml:space="preserve">Decision arena</t>
  </si>
  <si>
    <t xml:space="preserve">origination, underwriting, portfolio management, workout and credit committee</t>
  </si>
  <si>
    <t xml:space="preserve">Committee artifact</t>
  </si>
  <si>
    <t xml:space="preserve">credit approval memorandum</t>
  </si>
  <si>
    <t xml:space="preserve">Operating cadence</t>
  </si>
  <si>
    <t xml:space="preserve">weekly watchlist; monthly portfolio; event-driven amendments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</si>
  <si>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</si>
  <si>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</si>
  <si>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</si>
  <si>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</si>
  <si>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</si>
  <si>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</si>
  <si>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cash yield, OID and all-in return</t>
  </si>
  <si>
    <t xml:space="preserve">OPEN</t>
  </si>
  <si>
    <t xml:space="preserve">fixed-charge and interest coverage</t>
  </si>
  <si>
    <t xml:space="preserve">liquidity runway and revolver use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</si>
  <si>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</si>
  <si>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</si>
  <si>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</si>
  <si>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add-backs are capped or time-limited?</t>
  </si>
  <si>
    <t xml:space="preserve">Where can new money prime us?</t>
  </si>
  <si>
    <t xml:space="preserve">What is the first liquidity date, not the maturity date?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</si>
  <si>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</si>
  <si>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</si>
  <si>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</si>
  <si>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EBITDA miss and add-back rejection</t>
  </si>
  <si>
    <t xml:space="preserve">liquidity draw and revolver block</t>
  </si>
  <si>
    <t xml:space="preserve">rate shock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</si>
  <si>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</si>
  <si>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</si>
  <si>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</si>
  <si>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credit agreement and schedules</t>
  </si>
  <si>
    <t xml:space="preserve">QoE and borrowing-base reports</t>
  </si>
  <si>
    <t xml:space="preserve">sponsor model and lender case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</si>
  <si>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</si>
  <si>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</si>
  <si>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</si>
  <si>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debt cash schedule conserves</t>
  </si>
  <si>
    <t xml:space="preserve">yield includes OID and fees</t>
  </si>
  <si>
    <t xml:space="preserve">recovery cannot exceed collateral after costs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</si>
  <si>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</si>
  <si>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</si>
  <si>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</si>
  <si>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underwriting to sponsor EBITDA</t>
  </si>
  <si>
    <t xml:space="preserve">ignoring builder baskets and incremental debt</t>
  </si>
  <si>
    <t xml:space="preserve">assuming unrestricted cash is available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</si>
  <si>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</si>
  <si>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</si>
  <si>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</si>
  <si>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</si>
  <si>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</si>
  <si>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</si>
  <si>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</si>
  <si>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</si>
  <si>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</si>
  <si>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</si>
  <si>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</si>
  <si>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</si>
  <si>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OCC Rating Credit Risk</t>
  </si>
  <si>
    <t xml:space="preserve">repayment capacity and risk rating</t>
  </si>
  <si>
    <t xml:space="preserve">https://www.occ.treas.gov/publications-and-resources/publications/comptrollers-handbook/files/rating-credit-risk/pub-ch-rating-credit-risk.pdf</t>
  </si>
  <si>
    <t xml:space="preserve">FASB CECL</t>
  </si>
  <si>
    <t xml:space="preserve">lifetime expected credit loss</t>
  </si>
  <si>
    <t xml:space="preserve">https://www.fasb.org/page/PageContent?pageId=/projects/recentlycompleted/credit-losses.html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</si>
  <si>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</si>
  <si>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</si>
  <si>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</si>
  <si>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</si>
  <si>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</si>
  <si>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</si>
  <si>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</si>
  <si>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</si>
  <si>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</si>
  <si>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</si>
  <si>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</si>
  <si>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</si>
  <si>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</si>
  <si>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</si>
  <si>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</si>
  <si>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</si>
  <si>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borrower reporting</t>
  </si>
  <si>
    <t xml:space="preserve">monthly/quarterly</t>
  </si>
  <si>
    <t xml:space="preserve">covenant-definition normalization</t>
  </si>
  <si>
    <t xml:space="preserve">TO MAP</t>
  </si>
  <si>
    <t xml:space="preserve">agent notices</t>
  </si>
  <si>
    <t xml:space="preserve">event-driven</t>
  </si>
  <si>
    <t xml:space="preserve">principal, interest and amendment log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</si>
  <si>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</si>
  <si>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</si>
  <si>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</si>
  <si>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</si>
  <si>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</si>
  <si>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</si>
  <si>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Underwriting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</si>
  <si>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</si>
  <si>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</si>
  <si>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</si>
  <si>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</si>
  <si>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Revenue (LTM)</t>
  </si>
  <si>
    <t xml:space="preserve">$mm</t>
  </si>
  <si>
    <t xml:space="preserve">EBITDA margin</t>
  </si>
  <si>
    <t xml:space="preserve">%</t>
  </si>
  <si>
    <t xml:space="preserve">Revenue growth</t>
  </si>
  <si>
    <t xml:space="preserve">Maintenance capex / revenue</t>
  </si>
  <si>
    <t xml:space="preserve">Cash taxes / EBITDA</t>
  </si>
  <si>
    <t xml:space="preserve">Change in NWC / revenue change</t>
  </si>
  <si>
    <t xml:space="preserve">Opening cash</t>
  </si>
  <si>
    <t xml:space="preserve">Opening gross debt</t>
  </si>
  <si>
    <t xml:space="preserve">Base rate</t>
  </si>
  <si>
    <t xml:space="preserve">Cash spread</t>
  </si>
  <si>
    <t xml:space="preserve">OID / upfront fee</t>
  </si>
  <si>
    <t xml:space="preserve">PIK spread</t>
  </si>
  <si>
    <t xml:space="preserve">Mandatory amortization</t>
  </si>
  <si>
    <t xml:space="preserve">% opening debt</t>
  </si>
  <si>
    <t xml:space="preserve">Cash sweep</t>
  </si>
  <si>
    <t xml:space="preserve">% excess cash</t>
  </si>
  <si>
    <t xml:space="preserve">Minimum cash</t>
  </si>
  <si>
    <t xml:space="preserve">Maximum leverage</t>
  </si>
  <si>
    <t xml:space="preserve">x</t>
  </si>
  <si>
    <t xml:space="preserve">Minimum interest coverage</t>
  </si>
  <si>
    <t xml:space="preserve">Minimum DSCR</t>
  </si>
  <si>
    <t xml:space="preserve">Recovery multiple</t>
  </si>
  <si>
    <t xml:space="preserve">EV haircut</t>
  </si>
  <si>
    <t xml:space="preserve">Maturity</t>
  </si>
  <si>
    <t xml:space="preserve">years</t>
  </si>
  <si>
    <t xml:space="preserve">Operating Case &amp; CFADS</t>
  </si>
  <si>
    <t xml:space="preserve">LTM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</si>
  <si>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</si>
  <si>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</si>
  <si>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</si>
  <si>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</si>
  <si>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</si>
  <si>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</si>
  <si>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Growth</t>
  </si>
  <si>
    <t xml:space="preserve">EBITDA</t>
  </si>
  <si>
    <t xml:space="preserve">Cash taxes</t>
  </si>
  <si>
    <t xml:space="preserve">Maintenance capex</t>
  </si>
  <si>
    <t xml:space="preserve">Change in NWC</t>
  </si>
  <si>
    <t xml:space="preserve">CFADS before interest</t>
  </si>
  <si>
    <t xml:space="preserve">Cash interest</t>
  </si>
  <si>
    <t xml:space="preserve">CFADS after interest</t>
  </si>
  <si>
    <t xml:space="preserve">Debt &amp; Cash Schedule</t>
  </si>
  <si>
    <t xml:space="preserve">Close</t>
  </si>
  <si>
    <t xml:space="preserve">Beginning cash</t>
  </si>
  <si>
    <t xml:space="preserve">Cash before sweep</t>
  </si>
  <si>
    <t xml:space="preserve">Ending cash</t>
  </si>
  <si>
    <t xml:space="preserve">Beginning debt</t>
  </si>
  <si>
    <t xml:space="preserve">Cash interest rate</t>
  </si>
  <si>
    <t xml:space="preserve">Cash interest expense</t>
  </si>
  <si>
    <t xml:space="preserve">PIK accrual</t>
  </si>
  <si>
    <t xml:space="preserve">Ending debt</t>
  </si>
  <si>
    <t xml:space="preserve">Average debt</t>
  </si>
  <si>
    <t xml:space="preserve">PIK interest expense</t>
  </si>
  <si>
    <t xml:space="preserve">Total interest expense</t>
  </si>
  <si>
    <t xml:space="preserve">Covenant Compliance</t>
  </si>
  <si>
    <t xml:space="preserve">Metric</t>
  </si>
  <si>
    <t xml:space="preserve">Gross leverage</t>
  </si>
  <si>
    <t xml:space="preserve">Leverage headroom</t>
  </si>
  <si>
    <t xml:space="preserve">Interest coverage</t>
  </si>
  <si>
    <t xml:space="preserve">Minimum coverage</t>
  </si>
  <si>
    <t xml:space="preserve">Coverage headroom</t>
  </si>
  <si>
    <t xml:space="preserve">DSCR</t>
  </si>
  <si>
    <t xml:space="preserve">DSCR headroom</t>
  </si>
  <si>
    <t xml:space="preserve">Lender Yield &amp; Spread</t>
  </si>
  <si>
    <t xml:space="preserve">Value</t>
  </si>
  <si>
    <t xml:space="preserve">Units</t>
  </si>
  <si>
    <t xml:space="preserve">Method</t>
  </si>
  <si>
    <t xml:space="preserve">Cash coupon</t>
  </si>
  <si>
    <t xml:space="preserve">Base rate + spread</t>
  </si>
  <si>
    <t xml:space="preserve">PIK rate</t>
  </si>
  <si>
    <t xml:space="preserve">Issue price</t>
  </si>
  <si>
    <t xml:space="preserve">per 100</t>
  </si>
  <si>
    <t xml:space="preserve">100 less OID</t>
  </si>
  <si>
    <t xml:space="preserve">Contractual</t>
  </si>
  <si>
    <t xml:space="preserve">Approx. cash YTM</t>
  </si>
  <si>
    <t xml:space="preserve">Bond approximation</t>
  </si>
  <si>
    <t xml:space="preserve">Approx. all-in yield</t>
  </si>
  <si>
    <t xml:space="preserve">Cash YTM + PIK</t>
  </si>
  <si>
    <t xml:space="preserve">bps</t>
  </si>
  <si>
    <t xml:space="preserve">Spread × 10,000</t>
  </si>
  <si>
    <t xml:space="preserve">OID accretion / year</t>
  </si>
  <si>
    <t xml:space="preserve">OID ÷ maturity</t>
  </si>
  <si>
    <t xml:space="preserve">Recovery &amp; Loss Analysis</t>
  </si>
  <si>
    <t xml:space="preserve">Bridge</t>
  </si>
  <si>
    <t xml:space="preserve">Stressed EBITDA</t>
  </si>
  <si>
    <t xml:space="preserve">Gross enterprise value</t>
  </si>
  <si>
    <t xml:space="preserve">Net distributable value</t>
  </si>
  <si>
    <t xml:space="preserve">Debt claim</t>
  </si>
  <si>
    <t xml:space="preserve">Recovery value</t>
  </si>
  <si>
    <t xml:space="preserve">Recovery rate</t>
  </si>
  <si>
    <t xml:space="preserve">LGD</t>
  </si>
  <si>
    <t xml:space="preserve">Recovery Sensitivity</t>
  </si>
  <si>
    <t xml:space="preserve">EBITDA haircut / multiple</t>
  </si>
  <si>
    <t xml:space="preserve">Model Checks</t>
  </si>
  <si>
    <t xml:space="preserve">Check</t>
  </si>
  <si>
    <t xml:space="preserve">Debt nonnegative</t>
  </si>
  <si>
    <t xml:space="preserve">Cash above minimum</t>
  </si>
  <si>
    <t xml:space="preserve">Recovery bounded</t>
  </si>
  <si>
    <t xml:space="preserve">No covenant breach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</si>
  <si>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</si>
  <si>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</si>
  <si>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</si>
  <si>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</si>
  <si>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</si>
  <si>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Financial statements</t>
  </si>
  <si>
    <t xml:space="preserve">SEC filing, audited report, or data room</t>
  </si>
  <si>
    <t xml:space="preserve">[period]</t>
  </si>
  <si>
    <t xml:space="preserve">Reconcile EBITDA, cash, debt and CFADS</t>
  </si>
  <si>
    <t xml:space="preserve">Base rate / benchmark</t>
  </si>
  <si>
    <t xml:space="preserve">Treasury, central bank, or contract reference</t>
  </si>
  <si>
    <t xml:space="preserve">Freeze curve and floor assumptions</t>
  </si>
  <si>
    <t xml:space="preserve">Credit agreement / indenture</t>
  </si>
  <si>
    <t xml:space="preserve">Public filing or reviewed transaction document</t>
  </si>
  <si>
    <t xml:space="preserve">Covenants, baskets, amortization and collateral</t>
  </si>
  <si>
    <t xml:space="preserve">Recovery methodology</t>
  </si>
  <si>
    <t xml:space="preserve">Documented valuation and waterfall assumptions</t>
  </si>
  <si>
    <t xml:space="preserve">Bridge EV to claim-level recovery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</si>
  <si>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</si>
  <si>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</si>
  <si>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</si>
  <si>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</si>
  <si>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</si>
  <si>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</si>
  <si>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Portfolio Exposure, Concentration, and Weighted Credit Metrics</t>
  </si>
  <si>
    <t xml:space="preserve">Borrower / segment</t>
  </si>
  <si>
    <t xml:space="preserve">Base exposure</t>
  </si>
  <si>
    <t xml:space="preserve">Downside exposure</t>
  </si>
  <si>
    <t xml:space="preserve">Base leverage</t>
  </si>
  <si>
    <t xml:space="preserve">Downside leverage</t>
  </si>
  <si>
    <t xml:space="preserve">Borrower A</t>
  </si>
  <si>
    <t xml:space="preserve">Borrower B</t>
  </si>
  <si>
    <t xml:space="preserve">Borrower C</t>
  </si>
  <si>
    <t xml:space="preserve">Borrower D</t>
  </si>
  <si>
    <t xml:space="preserve">Borrower E</t>
  </si>
  <si>
    <t xml:space="preserve">Total exposure</t>
  </si>
  <si>
    <t xml:space="preserve">Top-1 concentration</t>
  </si>
  <si>
    <t xml:space="preserve">Weighted leverage</t>
  </si>
  <si>
    <t xml:space="preserve">Maximum concentration</t>
  </si>
  <si>
    <t xml:space="preserve">Debt Rollforward, PIK, DSCR, Leverage, and Recovery</t>
  </si>
  <si>
    <t xml:space="preserve">Adversarial</t>
  </si>
  <si>
    <t xml:space="preserve">Units / control</t>
  </si>
  <si>
    <t xml:space="preserve">Opening debt</t>
  </si>
  <si>
    <t xml:space="preserve">PIK interest</t>
  </si>
  <si>
    <t xml:space="preserve">CFADS</t>
  </si>
  <si>
    <t xml:space="preserve">Recovery enterprise value</t>
  </si>
  <si>
    <t xml:space="preserve">Senior claims</t>
  </si>
  <si>
    <t xml:space="preserve">Lender claim</t>
  </si>
  <si>
    <t xml:space="preserve">Minimum recovery</t>
  </si>
  <si>
    <t xml:space="preserve">Amendment fee</t>
  </si>
  <si>
    <t xml:space="preserve">Extension years</t>
  </si>
  <si>
    <t xml:space="preserve">Debt service</t>
  </si>
  <si>
    <t xml:space="preserve">Leverage</t>
  </si>
  <si>
    <t xml:space="preserve">Amendment fee dollars</t>
  </si>
  <si>
    <t xml:space="preserve">Private Credit Decision Dashboard and Independent Checks</t>
  </si>
  <si>
    <t xml:space="preserve">Check / decision</t>
  </si>
  <si>
    <t xml:space="preserve">Interpretation / action</t>
  </si>
  <si>
    <t xml:space="preserve">Debt rollforward residual</t>
  </si>
  <si>
    <t xml:space="preserve">Ending debt must reconcile to amortization, sweep, and PIK.</t>
  </si>
  <si>
    <t xml:space="preserve">Recovery / LGD identity</t>
  </si>
  <si>
    <t xml:space="preserve">Recovery rate plus LGD must equal one.</t>
  </si>
  <si>
    <t xml:space="preserve">Downside DSCR</t>
  </si>
  <si>
    <t xml:space="preserve">CFADS must cover cash interest and mandatory amortization.</t>
  </si>
  <si>
    <t xml:space="preserve">Debt must remain within approved leverage.</t>
  </si>
  <si>
    <t xml:space="preserve">Downside recovery</t>
  </si>
  <si>
    <t xml:space="preserve">Escalate impairment and amendment strategy.</t>
  </si>
  <si>
    <t xml:space="preserve">Debt compounding</t>
  </si>
  <si>
    <t xml:space="preserve">PIK cannot exceed deleveraging without explicit escalation.</t>
  </si>
  <si>
    <t xml:space="preserve">Portfolio concentration</t>
  </si>
  <si>
    <t xml:space="preserve">Single-name concentration must remain below the approved limit.</t>
  </si>
  <si>
    <t xml:space="preserve">Overall model status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</si>
</sst>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;[RED]&quot;($&quot;#,##0.0\);\-"/>
    <numFmt numFmtId="166" formatCode="0.0%;[RED]\(0.0%\);\-"/>
    <numFmt numFmtId="167" formatCode="0.0\x;[RED]\(0.0&quot;x)&quot;;\-"/>
    <numFmt numFmtId="168" formatCode="0.0"/>
    <numFmt numFmtId="169" formatCode="0.00"/>
    <numFmt numFmtId="170" formatCode="0.00%;[RED]\(0.00%\);\-"/>
    <numFmt numFmtId="171" formatCode="0&quot; bps&quot;"/>
    <numFmt numFmtId="172" formatCode="\$#,##0;&quot;($&quot;#,##0\);\-"/>
    <numFmt numFmtId="173" formatCode="0.0\x"/>
    <numFmt numFmtId="174" formatCode="0.0%;\(0.0%\);\-"/>
    <numFmt numFmtId="175" formatCode="#,##0;\(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6" min="4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2" t="s">
        <v>7</v>
      </c>
      <c r="C7" s="3" t="s">
        <v>6</v>
      </c>
    </row>
    <row r="8" customFormat="false" ht="15" hidden="false" customHeight="false" outlineLevel="0" collapsed="false">
      <c r="B8" s="2" t="s">
        <v>8</v>
      </c>
      <c r="C8" s="3" t="s">
        <v>9</v>
      </c>
    </row>
    <row r="9" customFormat="false" ht="15" hidden="false" customHeight="false" outlineLevel="0" collapsed="false">
      <c r="B9" s="2" t="s">
        <v>10</v>
      </c>
      <c r="C9" s="3" t="s">
        <v>11</v>
      </c>
    </row>
    <row r="10" customFormat="false" ht="15" hidden="false" customHeight="false" outlineLevel="0" collapsed="false">
      <c r="B10" s="2" t="s">
        <v>12</v>
      </c>
      <c r="C10" s="3" t="s">
        <v>13</v>
      </c>
    </row>
    <row r="13" customFormat="false" ht="15" hidden="false" customHeight="false" outlineLevel="0" collapsed="false">
      <c r="B13" s="4" t="s">
        <v>14</v>
      </c>
      <c r="C13" s="4"/>
      <c r="D13" s="4"/>
      <c r="E13" s="4"/>
      <c r="F13" s="4"/>
    </row>
    <row r="14" customFormat="false" ht="15" hidden="false" customHeight="false" outlineLevel="0" collapsed="false">
      <c r="B14" s="5" t="s">
        <v>15</v>
      </c>
      <c r="C14" s="6" t="s">
        <v>16</v>
      </c>
    </row>
    <row r="15" customFormat="false" ht="15" hidden="false" customHeight="false" outlineLevel="0" collapsed="false">
      <c r="B15" s="2" t="s">
        <v>17</v>
      </c>
      <c r="C15" s="6" t="s">
        <v>18</v>
      </c>
    </row>
    <row r="16" customFormat="false" ht="15" hidden="false" customHeight="false" outlineLevel="0" collapsed="false">
      <c r="B16" s="7" t="s">
        <v>19</v>
      </c>
      <c r="C16" s="6" t="s">
        <v>20</v>
      </c>
    </row>
    <row r="17" customFormat="false" ht="15" hidden="false" customHeight="false" outlineLevel="0" collapsed="false">
      <c r="B17" s="2" t="s">
        <v>21</v>
      </c>
      <c r="C17" s="6" t="s">
        <v>22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8" t="s">
        <v>23</v>
      </c>
      <c r="C2" s="8"/>
      <c r="D2" s="8"/>
      <c r="E2" s="8"/>
      <c r="F2" s="8"/>
    </row>
    <row r="4" customFormat="false" ht="15" hidden="false" customHeight="true" outlineLevel="0" collapsed="false">
      <c r="B4" s="9" t="s">
        <v>24</v>
      </c>
      <c r="C4" s="10" t="s">
        <v>25</v>
      </c>
      <c r="D4" s="10"/>
      <c r="E4" s="10"/>
      <c r="F4" s="10"/>
    </row>
    <row r="5" customFormat="false" ht="15" hidden="false" customHeight="true" outlineLevel="0" collapsed="false">
      <c r="B5" s="9" t="s">
        <v>26</v>
      </c>
      <c r="C5" s="10" t="s">
        <v>27</v>
      </c>
      <c r="D5" s="10"/>
      <c r="E5" s="10"/>
      <c r="F5" s="10"/>
    </row>
    <row r="6" customFormat="false" ht="15" hidden="false" customHeight="true" outlineLevel="0" collapsed="false">
      <c r="B6" s="9" t="s">
        <v>28</v>
      </c>
      <c r="C6" s="10" t="s">
        <v>29</v>
      </c>
      <c r="D6" s="10"/>
      <c r="E6" s="10"/>
      <c r="F6" s="10"/>
    </row>
    <row r="7" customFormat="false" ht="15" hidden="false" customHeight="true" outlineLevel="0" collapsed="false">
      <c r="B7" s="9" t="s">
        <v>30</v>
      </c>
      <c r="C7" s="10" t="s">
        <v>31</v>
      </c>
      <c r="D7" s="10"/>
      <c r="E7" s="10"/>
      <c r="F7" s="10"/>
    </row>
    <row r="8" customFormat="false" ht="15" hidden="false" customHeight="true" outlineLevel="0" collapsed="false">
      <c r="B8" s="9" t="s">
        <v>32</v>
      </c>
      <c r="C8" s="10" t="s">
        <v>33</v>
      </c>
      <c r="D8" s="10"/>
      <c r="E8" s="10"/>
      <c r="F8" s="10"/>
    </row>
    <row r="9" customFormat="false" ht="15" hidden="false" customHeight="true" outlineLevel="0" collapsed="false">
      <c r="B9" s="9" t="s">
        <v>34</v>
      </c>
      <c r="C9" s="10" t="s">
        <v>35</v>
      </c>
      <c r="D9" s="10"/>
      <c r="E9" s="10"/>
      <c r="F9" s="10"/>
    </row>
    <row r="10" customFormat="false" ht="15" hidden="false" customHeight="true" outlineLevel="0" collapsed="false">
      <c r="B10" s="9" t="s">
        <v>36</v>
      </c>
      <c r="C10" s="10" t="s">
        <v>37</v>
      </c>
      <c r="D10" s="10"/>
      <c r="E10" s="10"/>
      <c r="F10" s="10"/>
    </row>
    <row r="12" customFormat="false" ht="15" hidden="false" customHeight="false" outlineLevel="0" collapsed="false">
      <c r="B12" s="11" t="s">
        <v>38</v>
      </c>
      <c r="C12" s="11"/>
      <c r="D12" s="11"/>
      <c r="E12" s="11"/>
      <c r="F12" s="11"/>
    </row>
    <row r="13" customFormat="false" ht="15" hidden="false" customHeight="false" outlineLevel="0" collapsed="false">
      <c r="B13" s="12" t="s">
        <v>39</v>
      </c>
      <c r="C13" s="12" t="s">
        <v>40</v>
      </c>
      <c r="D13" s="12" t="s">
        <v>41</v>
      </c>
      <c r="E13" s="12" t="s">
        <v>42</v>
      </c>
      <c r="F13" s="12" t="s">
        <v>43</v>
      </c>
    </row>
    <row r="14" customFormat="false" ht="15" hidden="false" customHeight="false" outlineLevel="0" collapsed="false">
      <c r="B14" s="0" t="n">
        <v>1</v>
      </c>
      <c r="C14" s="0" t="s">
        <v>44</v>
      </c>
      <c r="F14" s="13" t="s">
        <v>45</v>
      </c>
    </row>
    <row r="15" customFormat="false" ht="15" hidden="false" customHeight="false" outlineLevel="0" collapsed="false">
      <c r="B15" s="0" t="n">
        <v>2</v>
      </c>
      <c r="C15" s="0" t="s">
        <v>46</v>
      </c>
      <c r="F15" s="13" t="s">
        <v>45</v>
      </c>
    </row>
    <row r="16" customFormat="false" ht="15" hidden="false" customHeight="false" outlineLevel="0" collapsed="false">
      <c r="B16" s="0" t="n">
        <v>3</v>
      </c>
      <c r="C16" s="0" t="s">
        <v>47</v>
      </c>
      <c r="F16" s="13" t="s">
        <v>45</v>
      </c>
    </row>
    <row r="17" customFormat="false" ht="15" hidden="false" customHeight="false" outlineLevel="0" collapsed="false">
      <c r="B17" s="0" t="n">
        <v>4</v>
      </c>
      <c r="C17" s="0" t="s">
        <v>48</v>
      </c>
      <c r="F17" s="13" t="s">
        <v>45</v>
      </c>
    </row>
    <row r="18" customFormat="false" ht="15" hidden="false" customHeight="false" outlineLevel="0" collapsed="false">
      <c r="B18" s="0" t="n">
        <v>5</v>
      </c>
      <c r="C18" s="0" t="s">
        <v>49</v>
      </c>
      <c r="F18" s="13" t="s">
        <v>45</v>
      </c>
    </row>
    <row r="20" customFormat="false" ht="15" hidden="false" customHeight="false" outlineLevel="0" collapsed="false">
      <c r="B20" s="11" t="s">
        <v>50</v>
      </c>
      <c r="C20" s="11"/>
      <c r="D20" s="11"/>
      <c r="E20" s="11"/>
      <c r="F20" s="11"/>
    </row>
    <row r="21" customFormat="false" ht="15" hidden="false" customHeight="false" outlineLevel="0" collapsed="false">
      <c r="B21" s="12" t="s">
        <v>39</v>
      </c>
      <c r="C21" s="12" t="s">
        <v>40</v>
      </c>
      <c r="D21" s="12" t="s">
        <v>41</v>
      </c>
      <c r="E21" s="12" t="s">
        <v>42</v>
      </c>
      <c r="F21" s="12" t="s">
        <v>43</v>
      </c>
    </row>
    <row r="22" customFormat="false" ht="15" hidden="false" customHeight="false" outlineLevel="0" collapsed="false">
      <c r="B22" s="0" t="n">
        <v>1</v>
      </c>
      <c r="C22" s="0" t="s">
        <v>51</v>
      </c>
      <c r="F22" s="13" t="s">
        <v>45</v>
      </c>
    </row>
    <row r="23" customFormat="false" ht="15" hidden="false" customHeight="false" outlineLevel="0" collapsed="false">
      <c r="B23" s="0" t="n">
        <v>2</v>
      </c>
      <c r="C23" s="0" t="s">
        <v>52</v>
      </c>
      <c r="F23" s="13" t="s">
        <v>45</v>
      </c>
    </row>
    <row r="24" customFormat="false" ht="15" hidden="false" customHeight="false" outlineLevel="0" collapsed="false">
      <c r="B24" s="0" t="n">
        <v>3</v>
      </c>
      <c r="C24" s="0" t="s">
        <v>53</v>
      </c>
      <c r="F24" s="13" t="s">
        <v>45</v>
      </c>
    </row>
    <row r="25" customFormat="false" ht="15" hidden="false" customHeight="false" outlineLevel="0" collapsed="false">
      <c r="B25" s="0" t="n">
        <v>4</v>
      </c>
      <c r="C25" s="0" t="s">
        <v>54</v>
      </c>
      <c r="F25" s="13" t="s">
        <v>45</v>
      </c>
    </row>
    <row r="26" customFormat="false" ht="15" hidden="false" customHeight="false" outlineLevel="0" collapsed="false">
      <c r="B26" s="0" t="n">
        <v>5</v>
      </c>
      <c r="C26" s="0" t="s">
        <v>55</v>
      </c>
      <c r="F26" s="13" t="s">
        <v>45</v>
      </c>
    </row>
    <row r="28" customFormat="false" ht="15" hidden="false" customHeight="false" outlineLevel="0" collapsed="false">
      <c r="B28" s="11" t="s">
        <v>56</v>
      </c>
      <c r="C28" s="11"/>
      <c r="D28" s="11"/>
      <c r="E28" s="11"/>
      <c r="F28" s="11"/>
    </row>
    <row r="29" customFormat="false" ht="15" hidden="false" customHeight="false" outlineLevel="0" collapsed="false">
      <c r="B29" s="12" t="s">
        <v>39</v>
      </c>
      <c r="C29" s="12" t="s">
        <v>40</v>
      </c>
      <c r="D29" s="12" t="s">
        <v>41</v>
      </c>
      <c r="E29" s="12" t="s">
        <v>42</v>
      </c>
      <c r="F29" s="12" t="s">
        <v>43</v>
      </c>
    </row>
    <row r="30" customFormat="false" ht="15" hidden="false" customHeight="false" outlineLevel="0" collapsed="false">
      <c r="B30" s="0" t="n">
        <v>1</v>
      </c>
      <c r="C30" s="0" t="s">
        <v>57</v>
      </c>
      <c r="F30" s="13" t="s">
        <v>45</v>
      </c>
    </row>
    <row r="31" customFormat="false" ht="15" hidden="false" customHeight="false" outlineLevel="0" collapsed="false">
      <c r="B31" s="0" t="n">
        <v>2</v>
      </c>
      <c r="C31" s="0" t="s">
        <v>58</v>
      </c>
      <c r="F31" s="13" t="s">
        <v>45</v>
      </c>
    </row>
    <row r="32" customFormat="false" ht="15" hidden="false" customHeight="false" outlineLevel="0" collapsed="false">
      <c r="B32" s="0" t="n">
        <v>3</v>
      </c>
      <c r="C32" s="0" t="s">
        <v>59</v>
      </c>
      <c r="F32" s="13" t="s">
        <v>45</v>
      </c>
    </row>
    <row r="33" customFormat="false" ht="15" hidden="false" customHeight="false" outlineLevel="0" collapsed="false">
      <c r="B33" s="0" t="n">
        <v>4</v>
      </c>
      <c r="C33" s="0" t="s">
        <v>60</v>
      </c>
      <c r="F33" s="13" t="s">
        <v>45</v>
      </c>
    </row>
    <row r="34" customFormat="false" ht="15" hidden="false" customHeight="false" outlineLevel="0" collapsed="false">
      <c r="B34" s="0" t="n">
        <v>5</v>
      </c>
      <c r="C34" s="0" t="s">
        <v>61</v>
      </c>
      <c r="F34" s="13" t="s">
        <v>45</v>
      </c>
    </row>
    <row r="36" customFormat="false" ht="15" hidden="false" customHeight="false" outlineLevel="0" collapsed="false">
      <c r="B36" s="11" t="s">
        <v>62</v>
      </c>
      <c r="C36" s="11"/>
      <c r="D36" s="11"/>
      <c r="E36" s="11"/>
      <c r="F36" s="11"/>
    </row>
    <row r="37" customFormat="false" ht="15" hidden="false" customHeight="false" outlineLevel="0" collapsed="false">
      <c r="B37" s="12" t="s">
        <v>39</v>
      </c>
      <c r="C37" s="12" t="s">
        <v>40</v>
      </c>
      <c r="D37" s="12" t="s">
        <v>41</v>
      </c>
      <c r="E37" s="12" t="s">
        <v>42</v>
      </c>
      <c r="F37" s="12" t="s">
        <v>43</v>
      </c>
    </row>
    <row r="38" customFormat="false" ht="15" hidden="false" customHeight="false" outlineLevel="0" collapsed="false">
      <c r="B38" s="0" t="n">
        <v>1</v>
      </c>
      <c r="C38" s="0" t="s">
        <v>63</v>
      </c>
      <c r="F38" s="13" t="s">
        <v>45</v>
      </c>
    </row>
    <row r="39" customFormat="false" ht="15" hidden="false" customHeight="false" outlineLevel="0" collapsed="false">
      <c r="B39" s="0" t="n">
        <v>2</v>
      </c>
      <c r="C39" s="0" t="s">
        <v>64</v>
      </c>
      <c r="F39" s="13" t="s">
        <v>45</v>
      </c>
    </row>
    <row r="40" customFormat="false" ht="15" hidden="false" customHeight="false" outlineLevel="0" collapsed="false">
      <c r="B40" s="0" t="n">
        <v>3</v>
      </c>
      <c r="C40" s="0" t="s">
        <v>65</v>
      </c>
      <c r="F40" s="13" t="s">
        <v>45</v>
      </c>
    </row>
    <row r="41" customFormat="false" ht="15" hidden="false" customHeight="false" outlineLevel="0" collapsed="false">
      <c r="B41" s="0" t="n">
        <v>4</v>
      </c>
      <c r="C41" s="0" t="s">
        <v>66</v>
      </c>
      <c r="F41" s="13" t="s">
        <v>45</v>
      </c>
    </row>
    <row r="42" customFormat="false" ht="15" hidden="false" customHeight="false" outlineLevel="0" collapsed="false">
      <c r="B42" s="0" t="n">
        <v>5</v>
      </c>
      <c r="C42" s="0" t="s">
        <v>67</v>
      </c>
      <c r="F42" s="13" t="s">
        <v>45</v>
      </c>
    </row>
    <row r="44" customFormat="false" ht="15" hidden="false" customHeight="false" outlineLevel="0" collapsed="false">
      <c r="B44" s="11" t="s">
        <v>68</v>
      </c>
      <c r="C44" s="11"/>
      <c r="D44" s="11"/>
      <c r="E44" s="11"/>
      <c r="F44" s="11"/>
    </row>
    <row r="45" customFormat="false" ht="15" hidden="false" customHeight="false" outlineLevel="0" collapsed="false">
      <c r="B45" s="12" t="s">
        <v>39</v>
      </c>
      <c r="C45" s="12" t="s">
        <v>40</v>
      </c>
      <c r="D45" s="12" t="s">
        <v>41</v>
      </c>
      <c r="E45" s="12" t="s">
        <v>42</v>
      </c>
      <c r="F45" s="12" t="s">
        <v>43</v>
      </c>
    </row>
    <row r="46" customFormat="false" ht="15" hidden="false" customHeight="false" outlineLevel="0" collapsed="false">
      <c r="B46" s="0" t="n">
        <v>1</v>
      </c>
      <c r="C46" s="0" t="s">
        <v>69</v>
      </c>
      <c r="F46" s="13" t="s">
        <v>45</v>
      </c>
    </row>
    <row r="47" customFormat="false" ht="15" hidden="false" customHeight="false" outlineLevel="0" collapsed="false">
      <c r="B47" s="0" t="n">
        <v>2</v>
      </c>
      <c r="C47" s="0" t="s">
        <v>70</v>
      </c>
      <c r="F47" s="13" t="s">
        <v>45</v>
      </c>
    </row>
    <row r="48" customFormat="false" ht="15" hidden="false" customHeight="false" outlineLevel="0" collapsed="false">
      <c r="B48" s="0" t="n">
        <v>3</v>
      </c>
      <c r="C48" s="0" t="s">
        <v>71</v>
      </c>
      <c r="F48" s="13" t="s">
        <v>45</v>
      </c>
    </row>
    <row r="49" customFormat="false" ht="15" hidden="false" customHeight="false" outlineLevel="0" collapsed="false">
      <c r="B49" s="0" t="n">
        <v>4</v>
      </c>
      <c r="C49" s="0" t="s">
        <v>72</v>
      </c>
      <c r="F49" s="13" t="s">
        <v>45</v>
      </c>
    </row>
    <row r="50" customFormat="false" ht="15" hidden="false" customHeight="false" outlineLevel="0" collapsed="false">
      <c r="B50" s="0" t="n">
        <v>5</v>
      </c>
      <c r="C50" s="0" t="s">
        <v>73</v>
      </c>
      <c r="F50" s="13" t="s">
        <v>45</v>
      </c>
    </row>
    <row r="52" customFormat="false" ht="15" hidden="false" customHeight="false" outlineLevel="0" collapsed="false">
      <c r="B52" s="11" t="s">
        <v>74</v>
      </c>
      <c r="C52" s="11"/>
      <c r="D52" s="11"/>
      <c r="E52" s="11"/>
      <c r="F52" s="11"/>
    </row>
    <row r="53" customFormat="false" ht="15" hidden="false" customHeight="false" outlineLevel="0" collapsed="false">
      <c r="B53" s="12" t="s">
        <v>39</v>
      </c>
      <c r="C53" s="12" t="s">
        <v>40</v>
      </c>
      <c r="D53" s="12" t="s">
        <v>41</v>
      </c>
      <c r="E53" s="12" t="s">
        <v>42</v>
      </c>
      <c r="F53" s="12" t="s">
        <v>43</v>
      </c>
    </row>
    <row r="54" customFormat="false" ht="15" hidden="false" customHeight="false" outlineLevel="0" collapsed="false">
      <c r="B54" s="0" t="n">
        <v>1</v>
      </c>
      <c r="C54" s="0" t="s">
        <v>75</v>
      </c>
      <c r="F54" s="13" t="s">
        <v>45</v>
      </c>
    </row>
    <row r="55" customFormat="false" ht="15" hidden="false" customHeight="false" outlineLevel="0" collapsed="false">
      <c r="B55" s="0" t="n">
        <v>2</v>
      </c>
      <c r="C55" s="0" t="s">
        <v>76</v>
      </c>
      <c r="F55" s="13" t="s">
        <v>45</v>
      </c>
    </row>
    <row r="56" customFormat="false" ht="15" hidden="false" customHeight="false" outlineLevel="0" collapsed="false">
      <c r="B56" s="0" t="n">
        <v>3</v>
      </c>
      <c r="C56" s="0" t="s">
        <v>77</v>
      </c>
      <c r="F56" s="13" t="s">
        <v>45</v>
      </c>
    </row>
    <row r="57" customFormat="false" ht="15" hidden="false" customHeight="false" outlineLevel="0" collapsed="false">
      <c r="B57" s="0" t="n">
        <v>4</v>
      </c>
      <c r="C57" s="0" t="s">
        <v>78</v>
      </c>
      <c r="F57" s="13" t="s">
        <v>45</v>
      </c>
    </row>
    <row r="58" customFormat="false" ht="15" hidden="false" customHeight="false" outlineLevel="0" collapsed="false">
      <c r="B58" s="0" t="n">
        <v>5</v>
      </c>
      <c r="C58" s="0" t="s">
        <v>79</v>
      </c>
      <c r="F58" s="13" t="s">
        <v>45</v>
      </c>
    </row>
    <row r="60" customFormat="false" ht="15" hidden="false" customHeight="false" outlineLevel="0" collapsed="false">
      <c r="B60" s="11" t="s">
        <v>80</v>
      </c>
      <c r="C60" s="11"/>
      <c r="D60" s="11"/>
      <c r="E60" s="11"/>
      <c r="F60" s="11"/>
    </row>
    <row r="61" customFormat="false" ht="15" hidden="false" customHeight="false" outlineLevel="0" collapsed="false">
      <c r="B61" s="12" t="s">
        <v>81</v>
      </c>
      <c r="C61" s="12" t="s">
        <v>82</v>
      </c>
      <c r="D61" s="12" t="s">
        <v>83</v>
      </c>
      <c r="E61" s="12" t="s">
        <v>84</v>
      </c>
      <c r="F61" s="12" t="s">
        <v>85</v>
      </c>
    </row>
    <row r="62" customFormat="false" ht="15" hidden="false" customHeight="false" outlineLevel="0" collapsed="false">
      <c r="B62" s="0" t="s">
        <v>86</v>
      </c>
      <c r="C62" s="0" t="s">
        <v>87</v>
      </c>
      <c r="D62" s="0" t="s">
        <v>88</v>
      </c>
      <c r="E62" s="0" t="s">
        <v>89</v>
      </c>
    </row>
    <row r="63" customFormat="false" ht="15" hidden="false" customHeight="false" outlineLevel="0" collapsed="false">
      <c r="B63" s="0" t="s">
        <v>90</v>
      </c>
      <c r="C63" s="0" t="s">
        <v>91</v>
      </c>
      <c r="D63" s="0" t="s">
        <v>92</v>
      </c>
      <c r="E63" s="0" t="s">
        <v>89</v>
      </c>
    </row>
    <row r="64" customFormat="false" ht="15" hidden="false" customHeight="false" outlineLevel="0" collapsed="false">
      <c r="B64" s="0" t="s">
        <v>93</v>
      </c>
      <c r="C64" s="0" t="s">
        <v>94</v>
      </c>
      <c r="D64" s="0" t="s">
        <v>95</v>
      </c>
      <c r="E64" s="0" t="s">
        <v>89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8" t="s">
        <v>96</v>
      </c>
      <c r="C2" s="8"/>
      <c r="D2" s="8"/>
      <c r="E2" s="8"/>
      <c r="F2" s="8"/>
      <c r="G2" s="8"/>
      <c r="H2" s="8"/>
      <c r="I2" s="8"/>
    </row>
    <row r="4" customFormat="false" ht="15" hidden="false" customHeight="false" outlineLevel="0" collapsed="false">
      <c r="B4" s="12" t="s">
        <v>97</v>
      </c>
      <c r="C4" s="12" t="s">
        <v>98</v>
      </c>
      <c r="D4" s="12" t="s">
        <v>99</v>
      </c>
      <c r="E4" s="12" t="s">
        <v>100</v>
      </c>
      <c r="F4" s="12" t="s">
        <v>101</v>
      </c>
      <c r="G4" s="12" t="s">
        <v>102</v>
      </c>
      <c r="H4" s="12" t="s">
        <v>43</v>
      </c>
      <c r="I4" s="12" t="s">
        <v>103</v>
      </c>
    </row>
    <row r="5" customFormat="false" ht="15" hidden="false" customHeight="false" outlineLevel="0" collapsed="false">
      <c r="D5" s="0" t="s">
        <v>69</v>
      </c>
      <c r="H5" s="13" t="s">
        <v>45</v>
      </c>
    </row>
    <row r="6" customFormat="false" ht="15" hidden="false" customHeight="false" outlineLevel="0" collapsed="false">
      <c r="D6" s="0" t="s">
        <v>70</v>
      </c>
      <c r="H6" s="13" t="s">
        <v>45</v>
      </c>
    </row>
    <row r="7" customFormat="false" ht="15" hidden="false" customHeight="false" outlineLevel="0" collapsed="false">
      <c r="D7" s="0" t="s">
        <v>71</v>
      </c>
      <c r="H7" s="13" t="s">
        <v>45</v>
      </c>
    </row>
    <row r="8" customFormat="false" ht="15" hidden="false" customHeight="false" outlineLevel="0" collapsed="false">
      <c r="D8" s="0" t="s">
        <v>72</v>
      </c>
      <c r="H8" s="13" t="s">
        <v>45</v>
      </c>
    </row>
    <row r="9" customFormat="false" ht="15" hidden="false" customHeight="false" outlineLevel="0" collapsed="false">
      <c r="D9" s="0" t="s">
        <v>73</v>
      </c>
      <c r="H9" s="13" t="s">
        <v>45</v>
      </c>
    </row>
    <row r="10" customFormat="false" ht="15" hidden="false" customHeight="false" outlineLevel="0" collapsed="false">
      <c r="H10" s="13"/>
    </row>
    <row r="11" customFormat="false" ht="15" hidden="false" customHeight="false" outlineLevel="0" collapsed="false">
      <c r="H11" s="13"/>
    </row>
    <row r="12" customFormat="false" ht="15" hidden="false" customHeight="false" outlineLevel="0" collapsed="false">
      <c r="H12" s="13"/>
    </row>
    <row r="13" customFormat="false" ht="15" hidden="false" customHeight="false" outlineLevel="0" collapsed="false">
      <c r="H13" s="13"/>
    </row>
    <row r="14" customFormat="false" ht="15" hidden="false" customHeight="false" outlineLevel="0" collapsed="false">
      <c r="H14" s="13"/>
    </row>
    <row r="15" customFormat="false" ht="15" hidden="false" customHeight="false" outlineLevel="0" collapsed="false">
      <c r="H15" s="13"/>
    </row>
    <row r="16" customFormat="false" ht="15" hidden="false" customHeight="false" outlineLevel="0" collapsed="false">
      <c r="H16" s="13"/>
    </row>
    <row r="17" customFormat="false" ht="15" hidden="false" customHeight="false" outlineLevel="0" collapsed="false">
      <c r="H17" s="13"/>
    </row>
    <row r="18" customFormat="false" ht="15" hidden="false" customHeight="false" outlineLevel="0" collapsed="false">
      <c r="H18" s="13"/>
    </row>
    <row r="19" customFormat="false" ht="15" hidden="false" customHeight="false" outlineLevel="0" collapsed="false">
      <c r="H19" s="13"/>
    </row>
    <row r="20" customFormat="false" ht="15" hidden="false" customHeight="false" outlineLevel="0" collapsed="false">
      <c r="H20" s="13"/>
    </row>
    <row r="21" customFormat="false" ht="15" hidden="false" customHeight="false" outlineLevel="0" collapsed="false">
      <c r="H21" s="13"/>
    </row>
    <row r="22" customFormat="false" ht="15" hidden="false" customHeight="false" outlineLevel="0" collapsed="false">
      <c r="H22" s="13"/>
    </row>
    <row r="23" customFormat="false" ht="15" hidden="false" customHeight="false" outlineLevel="0" collapsed="false">
      <c r="H23" s="13"/>
    </row>
    <row r="24" customFormat="false" ht="15" hidden="false" customHeight="false" outlineLevel="0" collapsed="false">
      <c r="H24" s="13"/>
    </row>
    <row r="25" customFormat="false" ht="15" hidden="false" customHeight="false" outlineLevel="0" collapsed="false">
      <c r="H25" s="13"/>
    </row>
    <row r="26" customFormat="false" ht="15" hidden="false" customHeight="false" outlineLevel="0" collapsed="false">
      <c r="H26" s="13"/>
    </row>
    <row r="27" customFormat="false" ht="15" hidden="false" customHeight="false" outlineLevel="0" collapsed="false">
      <c r="H27" s="13"/>
    </row>
    <row r="28" customFormat="false" ht="15" hidden="false" customHeight="false" outlineLevel="0" collapsed="false">
      <c r="H28" s="13"/>
    </row>
    <row r="29" customFormat="false" ht="15" hidden="false" customHeight="false" outlineLevel="0" collapsed="false">
      <c r="H29" s="13"/>
    </row>
    <row r="30" customFormat="false" ht="15" hidden="false" customHeight="false" outlineLevel="0" collapsed="false">
      <c r="H30" s="13"/>
    </row>
    <row r="31" customFormat="false" ht="15" hidden="false" customHeight="false" outlineLevel="0" collapsed="false">
      <c r="H31" s="13"/>
    </row>
    <row r="32" customFormat="false" ht="15" hidden="false" customHeight="false" outlineLevel="0" collapsed="false">
      <c r="H32" s="13"/>
    </row>
    <row r="33" customFormat="false" ht="15" hidden="false" customHeight="false" outlineLevel="0" collapsed="false">
      <c r="H33" s="13"/>
    </row>
    <row r="34" customFormat="false" ht="15" hidden="false" customHeight="false" outlineLevel="0" collapsed="false">
      <c r="H34" s="13"/>
    </row>
    <row r="35" customFormat="false" ht="15" hidden="false" customHeight="false" outlineLevel="0" collapsed="false">
      <c r="H35" s="13"/>
    </row>
    <row r="36" customFormat="false" ht="15" hidden="false" customHeight="false" outlineLevel="0" collapsed="false">
      <c r="H36" s="13"/>
    </row>
    <row r="37" customFormat="false" ht="15" hidden="false" customHeight="false" outlineLevel="0" collapsed="false">
      <c r="H37" s="13"/>
    </row>
    <row r="38" customFormat="false" ht="15" hidden="false" customHeight="false" outlineLevel="0" collapsed="false">
      <c r="H38" s="13"/>
    </row>
    <row r="39" customFormat="false" ht="15" hidden="false" customHeight="false" outlineLevel="0" collapsed="false">
      <c r="H39" s="13"/>
    </row>
    <row r="40" customFormat="false" ht="15" hidden="false" customHeight="false" outlineLevel="0" collapsed="false">
      <c r="H40" s="13"/>
    </row>
    <row r="41" customFormat="false" ht="15" hidden="false" customHeight="false" outlineLevel="0" collapsed="false">
      <c r="H41" s="13"/>
    </row>
    <row r="42" customFormat="false" ht="15" hidden="false" customHeight="false" outlineLevel="0" collapsed="false">
      <c r="H42" s="13"/>
    </row>
    <row r="43" customFormat="false" ht="15" hidden="false" customHeight="false" outlineLevel="0" collapsed="false">
      <c r="H43" s="13"/>
    </row>
    <row r="44" customFormat="false" ht="15" hidden="false" customHeight="false" outlineLevel="0" collapsed="false">
      <c r="H44" s="13"/>
    </row>
    <row r="45" customFormat="false" ht="15" hidden="false" customHeight="false" outlineLevel="0" collapsed="false">
      <c r="H45" s="13"/>
    </row>
    <row r="46" customFormat="false" ht="15" hidden="false" customHeight="false" outlineLevel="0" collapsed="false">
      <c r="H46" s="13"/>
    </row>
    <row r="47" customFormat="false" ht="15" hidden="false" customHeight="false" outlineLevel="0" collapsed="false">
      <c r="H47" s="13"/>
    </row>
    <row r="48" customFormat="false" ht="15" hidden="false" customHeight="false" outlineLevel="0" collapsed="false">
      <c r="H48" s="13"/>
    </row>
    <row r="49" customFormat="false" ht="15" hidden="false" customHeight="false" outlineLevel="0" collapsed="false">
      <c r="H49" s="13"/>
    </row>
    <row r="50" customFormat="false" ht="15" hidden="false" customHeight="false" outlineLevel="0" collapsed="false">
      <c r="H50" s="13"/>
    </row>
    <row r="51" customFormat="false" ht="15" hidden="false" customHeight="false" outlineLevel="0" collapsed="false">
      <c r="H51" s="13"/>
    </row>
    <row r="52" customFormat="false" ht="15" hidden="false" customHeight="false" outlineLevel="0" collapsed="false">
      <c r="H52" s="13"/>
    </row>
    <row r="53" customFormat="false" ht="15" hidden="false" customHeight="false" outlineLevel="0" collapsed="false">
      <c r="H53" s="13"/>
    </row>
    <row r="54" customFormat="false" ht="15" hidden="false" customHeight="false" outlineLevel="0" collapsed="false">
      <c r="H54" s="13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8" t="s">
        <v>104</v>
      </c>
      <c r="C2" s="8"/>
      <c r="D2" s="8"/>
      <c r="E2" s="8"/>
      <c r="F2" s="8"/>
      <c r="G2" s="8"/>
      <c r="H2" s="8"/>
      <c r="I2" s="8"/>
      <c r="J2" s="8"/>
    </row>
    <row r="4" customFormat="false" ht="15" hidden="false" customHeight="false" outlineLevel="0" collapsed="false">
      <c r="B4" s="12" t="s">
        <v>105</v>
      </c>
      <c r="C4" s="12" t="s">
        <v>106</v>
      </c>
      <c r="D4" s="12" t="s">
        <v>107</v>
      </c>
      <c r="E4" s="12" t="s">
        <v>108</v>
      </c>
      <c r="F4" s="12" t="s">
        <v>109</v>
      </c>
      <c r="G4" s="12" t="s">
        <v>41</v>
      </c>
      <c r="H4" s="12" t="s">
        <v>110</v>
      </c>
      <c r="I4" s="12" t="s">
        <v>111</v>
      </c>
      <c r="J4" s="12" t="s">
        <v>43</v>
      </c>
    </row>
    <row r="5" customFormat="false" ht="15" hidden="false" customHeight="false" outlineLevel="0" collapsed="false">
      <c r="B5" s="0" t="s">
        <v>112</v>
      </c>
      <c r="C5" s="0" t="s">
        <v>113</v>
      </c>
      <c r="D5" s="0" t="s">
        <v>114</v>
      </c>
      <c r="J5" s="13" t="s">
        <v>115</v>
      </c>
    </row>
    <row r="6" customFormat="false" ht="15" hidden="false" customHeight="false" outlineLevel="0" collapsed="false">
      <c r="B6" s="0" t="s">
        <v>116</v>
      </c>
      <c r="C6" s="0" t="s">
        <v>117</v>
      </c>
      <c r="D6" s="0" t="s">
        <v>118</v>
      </c>
      <c r="J6" s="13" t="s">
        <v>115</v>
      </c>
    </row>
    <row r="7" customFormat="false" ht="15" hidden="false" customHeight="false" outlineLevel="0" collapsed="false">
      <c r="B7" s="0" t="s">
        <v>119</v>
      </c>
      <c r="C7" s="0" t="s">
        <v>120</v>
      </c>
      <c r="D7" s="0" t="s">
        <v>121</v>
      </c>
      <c r="J7" s="13" t="s">
        <v>115</v>
      </c>
    </row>
    <row r="8" customFormat="false" ht="15" hidden="false" customHeight="false" outlineLevel="0" collapsed="false">
      <c r="B8" s="0" t="s">
        <v>122</v>
      </c>
      <c r="C8" s="0" t="s">
        <v>123</v>
      </c>
      <c r="D8" s="0" t="s">
        <v>124</v>
      </c>
      <c r="J8" s="13" t="s">
        <v>115</v>
      </c>
    </row>
    <row r="9" customFormat="false" ht="15" hidden="false" customHeight="false" outlineLevel="0" collapsed="false">
      <c r="J9" s="13"/>
    </row>
    <row r="10" customFormat="false" ht="15" hidden="false" customHeight="false" outlineLevel="0" collapsed="false">
      <c r="J10" s="13"/>
    </row>
    <row r="11" customFormat="false" ht="15" hidden="false" customHeight="false" outlineLevel="0" collapsed="false">
      <c r="J11" s="13"/>
    </row>
    <row r="12" customFormat="false" ht="15" hidden="false" customHeight="false" outlineLevel="0" collapsed="false">
      <c r="J12" s="13"/>
    </row>
    <row r="13" customFormat="false" ht="15" hidden="false" customHeight="false" outlineLevel="0" collapsed="false">
      <c r="J13" s="13"/>
    </row>
    <row r="14" customFormat="false" ht="15" hidden="false" customHeight="false" outlineLevel="0" collapsed="false">
      <c r="J14" s="13"/>
    </row>
    <row r="15" customFormat="false" ht="15" hidden="false" customHeight="false" outlineLevel="0" collapsed="false">
      <c r="J15" s="13"/>
    </row>
    <row r="16" customFormat="false" ht="15" hidden="false" customHeight="false" outlineLevel="0" collapsed="false">
      <c r="J16" s="13"/>
    </row>
    <row r="17" customFormat="false" ht="15" hidden="false" customHeight="false" outlineLevel="0" collapsed="false">
      <c r="J17" s="13"/>
    </row>
    <row r="18" customFormat="false" ht="15" hidden="false" customHeight="false" outlineLevel="0" collapsed="false">
      <c r="J18" s="13"/>
    </row>
    <row r="19" customFormat="false" ht="15" hidden="false" customHeight="false" outlineLevel="0" collapsed="false">
      <c r="J19" s="13"/>
    </row>
    <row r="20" customFormat="false" ht="15" hidden="false" customHeight="false" outlineLevel="0" collapsed="false">
      <c r="J20" s="13"/>
    </row>
    <row r="21" customFormat="false" ht="15" hidden="false" customHeight="false" outlineLevel="0" collapsed="false">
      <c r="J21" s="13"/>
    </row>
    <row r="22" customFormat="false" ht="15" hidden="false" customHeight="false" outlineLevel="0" collapsed="false">
      <c r="J22" s="13"/>
    </row>
    <row r="23" customFormat="false" ht="15" hidden="false" customHeight="false" outlineLevel="0" collapsed="false">
      <c r="J23" s="13"/>
    </row>
    <row r="24" customFormat="false" ht="15" hidden="false" customHeight="false" outlineLevel="0" collapsed="false">
      <c r="J24" s="13"/>
    </row>
    <row r="25" customFormat="false" ht="15" hidden="false" customHeight="false" outlineLevel="0" collapsed="false">
      <c r="J25" s="13"/>
    </row>
    <row r="26" customFormat="false" ht="15" hidden="false" customHeight="false" outlineLevel="0" collapsed="false">
      <c r="J26" s="13"/>
    </row>
    <row r="27" customFormat="false" ht="15" hidden="false" customHeight="false" outlineLevel="0" collapsed="false">
      <c r="J27" s="13"/>
    </row>
    <row r="28" customFormat="false" ht="15" hidden="false" customHeight="false" outlineLevel="0" collapsed="false">
      <c r="J28" s="13"/>
    </row>
    <row r="29" customFormat="false" ht="15" hidden="false" customHeight="false" outlineLevel="0" collapsed="false">
      <c r="J29" s="13"/>
    </row>
    <row r="30" customFormat="false" ht="15" hidden="false" customHeight="false" outlineLevel="0" collapsed="false">
      <c r="J30" s="13"/>
    </row>
    <row r="31" customFormat="false" ht="15" hidden="false" customHeight="false" outlineLevel="0" collapsed="false">
      <c r="J31" s="13"/>
    </row>
    <row r="32" customFormat="false" ht="15" hidden="false" customHeight="false" outlineLevel="0" collapsed="false">
      <c r="J32" s="13"/>
    </row>
    <row r="33" customFormat="false" ht="15" hidden="false" customHeight="false" outlineLevel="0" collapsed="false">
      <c r="J33" s="13"/>
    </row>
    <row r="34" customFormat="false" ht="15" hidden="false" customHeight="false" outlineLevel="0" collapsed="false">
      <c r="J34" s="13"/>
    </row>
    <row r="35" customFormat="false" ht="15" hidden="false" customHeight="false" outlineLevel="0" collapsed="false">
      <c r="J35" s="13"/>
    </row>
    <row r="36" customFormat="false" ht="15" hidden="false" customHeight="false" outlineLevel="0" collapsed="false">
      <c r="J36" s="13"/>
    </row>
    <row r="37" customFormat="false" ht="15" hidden="false" customHeight="false" outlineLevel="0" collapsed="false">
      <c r="J37" s="13"/>
    </row>
    <row r="38" customFormat="false" ht="15" hidden="false" customHeight="false" outlineLevel="0" collapsed="false">
      <c r="J38" s="13"/>
    </row>
    <row r="39" customFormat="false" ht="15" hidden="false" customHeight="false" outlineLevel="0" collapsed="false">
      <c r="J39" s="13"/>
    </row>
    <row r="40" customFormat="false" ht="15" hidden="false" customHeight="false" outlineLevel="0" collapsed="false">
      <c r="J40" s="13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5" min="3" style="0" width="15"/>
    <col collapsed="false" customWidth="true" hidden="false" outlineLevel="0" max="6" min="6" style="0" width="28"/>
  </cols>
  <sheetData>
    <row r="2" customFormat="false" ht="27.75" hidden="false" customHeight="true" outlineLevel="0" collapsed="false">
      <c r="B2" s="1" t="s">
        <v>125</v>
      </c>
      <c r="C2" s="1"/>
      <c r="D2" s="1"/>
      <c r="E2" s="1"/>
      <c r="F2" s="1"/>
    </row>
    <row r="4" customFormat="false" ht="15" hidden="false" customHeight="false" outlineLevel="0" collapsed="false">
      <c r="B4" s="14" t="s">
        <v>126</v>
      </c>
      <c r="C4" s="14" t="s">
        <v>11</v>
      </c>
      <c r="D4" s="14" t="s">
        <v>127</v>
      </c>
      <c r="E4" s="14" t="s">
        <v>128</v>
      </c>
      <c r="F4" s="14" t="s">
        <v>129</v>
      </c>
    </row>
    <row r="5" customFormat="false" ht="15" hidden="false" customHeight="false" outlineLevel="0" collapsed="false">
      <c r="B5" s="0" t="s">
        <v>130</v>
      </c>
      <c r="C5" s="15" t="n">
        <v>500</v>
      </c>
      <c r="D5" s="15" t="n">
        <v>500</v>
      </c>
      <c r="E5" s="16" t="n">
        <f aca="false">IF(Cover!$C$9="Downside",D5,C5)</f>
        <v>500</v>
      </c>
      <c r="F5" s="13" t="s">
        <v>131</v>
      </c>
    </row>
    <row r="6" customFormat="false" ht="15" hidden="false" customHeight="false" outlineLevel="0" collapsed="false">
      <c r="B6" s="0" t="s">
        <v>132</v>
      </c>
      <c r="C6" s="17" t="n">
        <v>0.2</v>
      </c>
      <c r="D6" s="17" t="n">
        <v>0.16</v>
      </c>
      <c r="E6" s="18" t="n">
        <f aca="false">IF(Cover!$C$9="Downside",D6,C6)</f>
        <v>0.2</v>
      </c>
      <c r="F6" s="13" t="s">
        <v>133</v>
      </c>
    </row>
    <row r="7" customFormat="false" ht="15" hidden="false" customHeight="false" outlineLevel="0" collapsed="false">
      <c r="B7" s="0" t="s">
        <v>134</v>
      </c>
      <c r="C7" s="17" t="n">
        <v>0.04</v>
      </c>
      <c r="D7" s="17" t="n">
        <v>-0.05</v>
      </c>
      <c r="E7" s="18" t="n">
        <f aca="false">IF(Cover!$C$9="Downside",D7,C7)</f>
        <v>0.04</v>
      </c>
      <c r="F7" s="13" t="s">
        <v>133</v>
      </c>
    </row>
    <row r="8" customFormat="false" ht="15" hidden="false" customHeight="false" outlineLevel="0" collapsed="false">
      <c r="B8" s="0" t="s">
        <v>135</v>
      </c>
      <c r="C8" s="17" t="n">
        <v>0.03</v>
      </c>
      <c r="D8" s="17" t="n">
        <v>0.035</v>
      </c>
      <c r="E8" s="18" t="n">
        <f aca="false">IF(Cover!$C$9="Downside",D8,C8)</f>
        <v>0.03</v>
      </c>
      <c r="F8" s="13" t="s">
        <v>133</v>
      </c>
    </row>
    <row r="9" customFormat="false" ht="15" hidden="false" customHeight="false" outlineLevel="0" collapsed="false">
      <c r="B9" s="0" t="s">
        <v>136</v>
      </c>
      <c r="C9" s="17" t="n">
        <v>0.15</v>
      </c>
      <c r="D9" s="17" t="n">
        <v>0.1</v>
      </c>
      <c r="E9" s="18" t="n">
        <f aca="false">IF(Cover!$C$9="Downside",D9,C9)</f>
        <v>0.15</v>
      </c>
      <c r="F9" s="13" t="s">
        <v>133</v>
      </c>
    </row>
    <row r="10" customFormat="false" ht="15" hidden="false" customHeight="false" outlineLevel="0" collapsed="false">
      <c r="B10" s="0" t="s">
        <v>137</v>
      </c>
      <c r="C10" s="17" t="n">
        <v>0.08</v>
      </c>
      <c r="D10" s="17" t="n">
        <v>0.1</v>
      </c>
      <c r="E10" s="18" t="n">
        <f aca="false">IF(Cover!$C$9="Downside",D10,C10)</f>
        <v>0.08</v>
      </c>
      <c r="F10" s="13" t="s">
        <v>133</v>
      </c>
    </row>
    <row r="11" customFormat="false" ht="15" hidden="false" customHeight="false" outlineLevel="0" collapsed="false">
      <c r="B11" s="0" t="s">
        <v>138</v>
      </c>
      <c r="C11" s="15" t="n">
        <v>25</v>
      </c>
      <c r="D11" s="15" t="n">
        <v>20</v>
      </c>
      <c r="E11" s="16" t="n">
        <f aca="false">IF(Cover!$C$9="Downside",D11,C11)</f>
        <v>25</v>
      </c>
      <c r="F11" s="13" t="s">
        <v>131</v>
      </c>
    </row>
    <row r="12" customFormat="false" ht="15" hidden="false" customHeight="false" outlineLevel="0" collapsed="false">
      <c r="B12" s="0" t="s">
        <v>139</v>
      </c>
      <c r="C12" s="15" t="n">
        <v>350</v>
      </c>
      <c r="D12" s="15" t="n">
        <v>350</v>
      </c>
      <c r="E12" s="16" t="n">
        <f aca="false">IF(Cover!$C$9="Downside",D12,C12)</f>
        <v>350</v>
      </c>
      <c r="F12" s="13" t="s">
        <v>131</v>
      </c>
    </row>
    <row r="13" customFormat="false" ht="15" hidden="false" customHeight="false" outlineLevel="0" collapsed="false">
      <c r="B13" s="0" t="s">
        <v>140</v>
      </c>
      <c r="C13" s="17" t="n">
        <v>0.045</v>
      </c>
      <c r="D13" s="17" t="n">
        <v>0.055</v>
      </c>
      <c r="E13" s="18" t="n">
        <f aca="false">IF(Cover!$C$9="Downside",D13,C13)</f>
        <v>0.045</v>
      </c>
      <c r="F13" s="13" t="s">
        <v>133</v>
      </c>
    </row>
    <row r="14" customFormat="false" ht="15" hidden="false" customHeight="false" outlineLevel="0" collapsed="false">
      <c r="B14" s="0" t="s">
        <v>141</v>
      </c>
      <c r="C14" s="17" t="n">
        <v>0.055</v>
      </c>
      <c r="D14" s="17" t="n">
        <v>0.07</v>
      </c>
      <c r="E14" s="18" t="n">
        <f aca="false">IF(Cover!$C$9="Downside",D14,C14)</f>
        <v>0.055</v>
      </c>
      <c r="F14" s="13" t="s">
        <v>133</v>
      </c>
    </row>
    <row r="15" customFormat="false" ht="15" hidden="false" customHeight="false" outlineLevel="0" collapsed="false">
      <c r="B15" s="0" t="s">
        <v>142</v>
      </c>
      <c r="C15" s="17" t="n">
        <v>0.02</v>
      </c>
      <c r="D15" s="17" t="n">
        <v>0.02</v>
      </c>
      <c r="E15" s="18" t="n">
        <f aca="false">IF(Cover!$C$9="Downside",D15,C15)</f>
        <v>0.02</v>
      </c>
      <c r="F15" s="13" t="s">
        <v>133</v>
      </c>
    </row>
    <row r="16" customFormat="false" ht="15" hidden="false" customHeight="false" outlineLevel="0" collapsed="false">
      <c r="B16" s="0" t="s">
        <v>143</v>
      </c>
      <c r="C16" s="17" t="n">
        <v>0</v>
      </c>
      <c r="D16" s="17" t="n">
        <v>0.02</v>
      </c>
      <c r="E16" s="18" t="n">
        <f aca="false">IF(Cover!$C$9="Downside",D16,C16)</f>
        <v>0</v>
      </c>
      <c r="F16" s="13" t="s">
        <v>133</v>
      </c>
    </row>
    <row r="17" customFormat="false" ht="15" hidden="false" customHeight="false" outlineLevel="0" collapsed="false">
      <c r="B17" s="0" t="s">
        <v>144</v>
      </c>
      <c r="C17" s="17" t="n">
        <v>0.01</v>
      </c>
      <c r="D17" s="17" t="n">
        <v>0</v>
      </c>
      <c r="E17" s="18" t="n">
        <f aca="false">IF(Cover!$C$9="Downside",D17,C17)</f>
        <v>0.01</v>
      </c>
      <c r="F17" s="13" t="s">
        <v>145</v>
      </c>
    </row>
    <row r="18" customFormat="false" ht="15" hidden="false" customHeight="false" outlineLevel="0" collapsed="false">
      <c r="B18" s="0" t="s">
        <v>146</v>
      </c>
      <c r="C18" s="17" t="n">
        <v>0.5</v>
      </c>
      <c r="D18" s="17" t="n">
        <v>0.25</v>
      </c>
      <c r="E18" s="18" t="n">
        <f aca="false">IF(Cover!$C$9="Downside",D18,C18)</f>
        <v>0.5</v>
      </c>
      <c r="F18" s="13" t="s">
        <v>147</v>
      </c>
    </row>
    <row r="19" customFormat="false" ht="15" hidden="false" customHeight="false" outlineLevel="0" collapsed="false">
      <c r="B19" s="0" t="s">
        <v>148</v>
      </c>
      <c r="C19" s="15" t="n">
        <v>15</v>
      </c>
      <c r="D19" s="15" t="n">
        <v>20</v>
      </c>
      <c r="E19" s="16" t="n">
        <f aca="false">IF(Cover!$C$9="Downside",D19,C19)</f>
        <v>15</v>
      </c>
      <c r="F19" s="13" t="s">
        <v>131</v>
      </c>
    </row>
    <row r="20" customFormat="false" ht="15" hidden="false" customHeight="false" outlineLevel="0" collapsed="false">
      <c r="B20" s="0" t="s">
        <v>149</v>
      </c>
      <c r="C20" s="19" t="n">
        <v>6</v>
      </c>
      <c r="D20" s="19" t="n">
        <v>5.5</v>
      </c>
      <c r="E20" s="20" t="n">
        <f aca="false">IF(Cover!$C$9="Downside",D20,C20)</f>
        <v>6</v>
      </c>
      <c r="F20" s="13" t="s">
        <v>150</v>
      </c>
    </row>
    <row r="21" customFormat="false" ht="15" hidden="false" customHeight="false" outlineLevel="0" collapsed="false">
      <c r="B21" s="0" t="s">
        <v>151</v>
      </c>
      <c r="C21" s="19" t="n">
        <v>1.75</v>
      </c>
      <c r="D21" s="19" t="n">
        <v>1.5</v>
      </c>
      <c r="E21" s="20" t="n">
        <f aca="false">IF(Cover!$C$9="Downside",D21,C21)</f>
        <v>1.75</v>
      </c>
      <c r="F21" s="13" t="s">
        <v>150</v>
      </c>
    </row>
    <row r="22" customFormat="false" ht="15" hidden="false" customHeight="false" outlineLevel="0" collapsed="false">
      <c r="B22" s="0" t="s">
        <v>152</v>
      </c>
      <c r="C22" s="19" t="n">
        <v>1</v>
      </c>
      <c r="D22" s="19" t="n">
        <v>1</v>
      </c>
      <c r="E22" s="20" t="n">
        <f aca="false">IF(Cover!$C$9="Downside",D22,C22)</f>
        <v>1</v>
      </c>
      <c r="F22" s="13" t="s">
        <v>150</v>
      </c>
    </row>
    <row r="23" customFormat="false" ht="15" hidden="false" customHeight="false" outlineLevel="0" collapsed="false">
      <c r="B23" s="0" t="s">
        <v>153</v>
      </c>
      <c r="C23" s="19" t="n">
        <v>5</v>
      </c>
      <c r="D23" s="19" t="n">
        <v>4</v>
      </c>
      <c r="E23" s="20" t="n">
        <f aca="false">IF(Cover!$C$9="Downside",D23,C23)</f>
        <v>5</v>
      </c>
      <c r="F23" s="13" t="s">
        <v>150</v>
      </c>
    </row>
    <row r="24" customFormat="false" ht="15" hidden="false" customHeight="false" outlineLevel="0" collapsed="false">
      <c r="B24" s="0" t="s">
        <v>154</v>
      </c>
      <c r="C24" s="17" t="n">
        <v>0.2</v>
      </c>
      <c r="D24" s="17" t="n">
        <v>0.35</v>
      </c>
      <c r="E24" s="18" t="n">
        <f aca="false">IF(Cover!$C$9="Downside",D24,C24)</f>
        <v>0.2</v>
      </c>
      <c r="F24" s="13" t="s">
        <v>133</v>
      </c>
    </row>
    <row r="25" customFormat="false" ht="15" hidden="false" customHeight="false" outlineLevel="0" collapsed="false">
      <c r="B25" s="0" t="s">
        <v>155</v>
      </c>
      <c r="C25" s="21" t="n">
        <v>7</v>
      </c>
      <c r="D25" s="21" t="n">
        <v>7</v>
      </c>
      <c r="E25" s="22" t="n">
        <f aca="false">IF(Cover!$C$9="Downside",D25,C25)</f>
        <v>7</v>
      </c>
      <c r="F25" s="13" t="s">
        <v>156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8" min="3" style="0" width="13"/>
  </cols>
  <sheetData>
    <row r="2" customFormat="false" ht="27.75" hidden="false" customHeight="true" outlineLevel="0" collapsed="false">
      <c r="B2" s="1" t="s">
        <v>157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4" t="s">
        <v>131</v>
      </c>
      <c r="C4" s="14" t="s">
        <v>158</v>
      </c>
      <c r="D4" s="14" t="s">
        <v>159</v>
      </c>
      <c r="E4" s="14" t="s">
        <v>160</v>
      </c>
      <c r="F4" s="14" t="s">
        <v>161</v>
      </c>
      <c r="G4" s="14" t="s">
        <v>162</v>
      </c>
      <c r="H4" s="14" t="s">
        <v>163</v>
      </c>
    </row>
    <row r="5" customFormat="false" ht="15" hidden="false" customHeight="false" outlineLevel="0" collapsed="false">
      <c r="B5" s="0" t="s">
        <v>164</v>
      </c>
      <c r="C5" s="16" t="n">
        <f aca="false">Assumptions!E5</f>
        <v>500</v>
      </c>
      <c r="D5" s="23" t="n">
        <f aca="false">C5*(1+Assumptions!$E$7)</f>
        <v>520</v>
      </c>
      <c r="E5" s="23" t="n">
        <f aca="false">D5*(1+Assumptions!$E$7)</f>
        <v>540.8</v>
      </c>
      <c r="F5" s="23" t="n">
        <f aca="false">E5*(1+Assumptions!$E$7)</f>
        <v>562.432</v>
      </c>
      <c r="G5" s="23" t="n">
        <f aca="false">F5*(1+Assumptions!$E$7)</f>
        <v>584.92928</v>
      </c>
      <c r="H5" s="23" t="n">
        <f aca="false">G5*(1+Assumptions!$E$7)</f>
        <v>608.3264512</v>
      </c>
    </row>
    <row r="6" customFormat="false" ht="15" hidden="false" customHeight="false" outlineLevel="0" collapsed="false">
      <c r="B6" s="0" t="s">
        <v>165</v>
      </c>
      <c r="D6" s="24" t="n">
        <f aca="false">IFERROR(D5/C5-1,0)</f>
        <v>0.04</v>
      </c>
      <c r="E6" s="24" t="n">
        <f aca="false">IFERROR(E5/D5-1,0)</f>
        <v>0.04</v>
      </c>
      <c r="F6" s="24" t="n">
        <f aca="false">IFERROR(F5/E5-1,0)</f>
        <v>0.04</v>
      </c>
      <c r="G6" s="24" t="n">
        <f aca="false">IFERROR(G5/F5-1,0)</f>
        <v>0.04</v>
      </c>
      <c r="H6" s="24" t="n">
        <f aca="false">IFERROR(H5/G5-1,0)</f>
        <v>0.04</v>
      </c>
    </row>
    <row r="7" customFormat="false" ht="15" hidden="false" customHeight="false" outlineLevel="0" collapsed="false">
      <c r="B7" s="0" t="s">
        <v>166</v>
      </c>
      <c r="C7" s="16" t="n">
        <f aca="false">C5*Assumptions!E6</f>
        <v>100</v>
      </c>
      <c r="D7" s="23" t="n">
        <f aca="false">D5*Assumptions!$E$6</f>
        <v>104</v>
      </c>
      <c r="E7" s="23" t="n">
        <f aca="false">E5*Assumptions!$E$6</f>
        <v>108.16</v>
      </c>
      <c r="F7" s="23" t="n">
        <f aca="false">F5*Assumptions!$E$6</f>
        <v>112.4864</v>
      </c>
      <c r="G7" s="23" t="n">
        <f aca="false">G5*Assumptions!$E$6</f>
        <v>116.985856</v>
      </c>
      <c r="H7" s="23" t="n">
        <f aca="false">H5*Assumptions!$E$6</f>
        <v>121.66529024</v>
      </c>
    </row>
    <row r="8" customFormat="false" ht="15" hidden="false" customHeight="false" outlineLevel="0" collapsed="false">
      <c r="B8" s="0" t="s">
        <v>132</v>
      </c>
      <c r="C8" s="24" t="n">
        <f aca="false">IFERROR(C7/C5,0)</f>
        <v>0.2</v>
      </c>
      <c r="D8" s="24" t="n">
        <f aca="false">IFERROR(D7/D5,0)</f>
        <v>0.2</v>
      </c>
      <c r="E8" s="24" t="n">
        <f aca="false">IFERROR(E7/E5,0)</f>
        <v>0.2</v>
      </c>
      <c r="F8" s="24" t="n">
        <f aca="false">IFERROR(F7/F5,0)</f>
        <v>0.2</v>
      </c>
      <c r="G8" s="24" t="n">
        <f aca="false">IFERROR(G7/G5,0)</f>
        <v>0.2</v>
      </c>
      <c r="H8" s="24" t="n">
        <f aca="false">IFERROR(H7/H5,0)</f>
        <v>0.2</v>
      </c>
    </row>
    <row r="9" customFormat="false" ht="15" hidden="false" customHeight="false" outlineLevel="0" collapsed="false">
      <c r="B9" s="0" t="s">
        <v>167</v>
      </c>
      <c r="D9" s="23" t="n">
        <f aca="false">D7*Assumptions!$E$9</f>
        <v>15.6</v>
      </c>
      <c r="E9" s="23" t="n">
        <f aca="false">E7*Assumptions!$E$9</f>
        <v>16.224</v>
      </c>
      <c r="F9" s="23" t="n">
        <f aca="false">F7*Assumptions!$E$9</f>
        <v>16.87296</v>
      </c>
      <c r="G9" s="23" t="n">
        <f aca="false">G7*Assumptions!$E$9</f>
        <v>17.5478784</v>
      </c>
      <c r="H9" s="23" t="n">
        <f aca="false">H7*Assumptions!$E$9</f>
        <v>18.249793536</v>
      </c>
    </row>
    <row r="10" customFormat="false" ht="15" hidden="false" customHeight="false" outlineLevel="0" collapsed="false">
      <c r="B10" s="0" t="s">
        <v>168</v>
      </c>
      <c r="D10" s="23" t="n">
        <f aca="false">D5*Assumptions!$E$8</f>
        <v>15.6</v>
      </c>
      <c r="E10" s="23" t="n">
        <f aca="false">E5*Assumptions!$E$8</f>
        <v>16.224</v>
      </c>
      <c r="F10" s="23" t="n">
        <f aca="false">F5*Assumptions!$E$8</f>
        <v>16.87296</v>
      </c>
      <c r="G10" s="23" t="n">
        <f aca="false">G5*Assumptions!$E$8</f>
        <v>17.5478784</v>
      </c>
      <c r="H10" s="23" t="n">
        <f aca="false">H5*Assumptions!$E$8</f>
        <v>18.249793536</v>
      </c>
    </row>
    <row r="11" customFormat="false" ht="15" hidden="false" customHeight="false" outlineLevel="0" collapsed="false">
      <c r="B11" s="0" t="s">
        <v>169</v>
      </c>
      <c r="D11" s="23" t="n">
        <f aca="false">MAX(0,(D5-C5)*Assumptions!$E$10)</f>
        <v>1.6</v>
      </c>
      <c r="E11" s="23" t="n">
        <f aca="false">MAX(0,(E5-D5)*Assumptions!$E$10)</f>
        <v>1.66400000000001</v>
      </c>
      <c r="F11" s="23" t="n">
        <f aca="false">MAX(0,(F5-E5)*Assumptions!$E$10)</f>
        <v>1.73056000000001</v>
      </c>
      <c r="G11" s="23" t="n">
        <f aca="false">MAX(0,(G5-F5)*Assumptions!$E$10)</f>
        <v>1.7997824</v>
      </c>
      <c r="H11" s="23" t="n">
        <f aca="false">MAX(0,(H5-G5)*Assumptions!$E$10)</f>
        <v>1.871773696</v>
      </c>
    </row>
    <row r="12" customFormat="false" ht="15" hidden="false" customHeight="false" outlineLevel="0" collapsed="false">
      <c r="B12" s="25" t="s">
        <v>170</v>
      </c>
      <c r="C12" s="26"/>
      <c r="D12" s="26" t="n">
        <f aca="false">D7-D9-D10-D11</f>
        <v>71.2</v>
      </c>
      <c r="E12" s="26" t="n">
        <f aca="false">E7-E9-E10-E11</f>
        <v>74.048</v>
      </c>
      <c r="F12" s="26" t="n">
        <f aca="false">F7-F9-F10-F11</f>
        <v>77.00992</v>
      </c>
      <c r="G12" s="26" t="n">
        <f aca="false">G7-G9-G10-G11</f>
        <v>80.0903168</v>
      </c>
      <c r="H12" s="26" t="n">
        <f aca="false">H7-H9-H10-H11</f>
        <v>83.293929472</v>
      </c>
    </row>
    <row r="13" customFormat="false" ht="15" hidden="false" customHeight="false" outlineLevel="0" collapsed="false">
      <c r="B13" s="0" t="s">
        <v>171</v>
      </c>
      <c r="D13" s="23" t="n">
        <f aca="false">'Debt Schedule'!D13</f>
        <v>35</v>
      </c>
      <c r="E13" s="23" t="n">
        <f aca="false">'Debt Schedule'!E13</f>
        <v>32.515</v>
      </c>
      <c r="F13" s="23" t="n">
        <f aca="false">'Debt Schedule'!F13</f>
        <v>29.19585</v>
      </c>
      <c r="G13" s="23" t="n">
        <f aca="false">'Debt Schedule'!G13</f>
        <v>25.1455715</v>
      </c>
      <c r="H13" s="23" t="n">
        <f aca="false">'Debt Schedule'!H13</f>
        <v>20.373194985</v>
      </c>
    </row>
    <row r="14" customFormat="false" ht="15" hidden="false" customHeight="false" outlineLevel="0" collapsed="false">
      <c r="B14" s="25" t="s">
        <v>172</v>
      </c>
      <c r="C14" s="26"/>
      <c r="D14" s="26" t="n">
        <f aca="false">D12-D13</f>
        <v>36.2</v>
      </c>
      <c r="E14" s="26" t="n">
        <f aca="false">E12-E13</f>
        <v>41.533</v>
      </c>
      <c r="F14" s="26" t="n">
        <f aca="false">F12-F13</f>
        <v>47.81407</v>
      </c>
      <c r="G14" s="26" t="n">
        <f aca="false">G12-G13</f>
        <v>54.9447453</v>
      </c>
      <c r="H14" s="26" t="n">
        <f aca="false">H12-H13</f>
        <v>62.9207344870001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8" min="3" style="0" width="13"/>
  </cols>
  <sheetData>
    <row r="2" customFormat="false" ht="27.75" hidden="false" customHeight="true" outlineLevel="0" collapsed="false">
      <c r="B2" s="1" t="s">
        <v>173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4" t="s">
        <v>131</v>
      </c>
      <c r="C4" s="14" t="s">
        <v>174</v>
      </c>
      <c r="D4" s="14" t="s">
        <v>159</v>
      </c>
      <c r="E4" s="14" t="s">
        <v>160</v>
      </c>
      <c r="F4" s="14" t="s">
        <v>161</v>
      </c>
      <c r="G4" s="14" t="s">
        <v>162</v>
      </c>
      <c r="H4" s="14" t="s">
        <v>163</v>
      </c>
    </row>
    <row r="5" customFormat="false" ht="15" hidden="false" customHeight="false" outlineLevel="0" collapsed="false">
      <c r="B5" s="0" t="s">
        <v>175</v>
      </c>
      <c r="C5" s="16" t="n">
        <f aca="false">Assumptions!E11</f>
        <v>25</v>
      </c>
      <c r="D5" s="23" t="n">
        <f aca="false">C10</f>
        <v>25</v>
      </c>
      <c r="E5" s="23" t="n">
        <f aca="false">D10</f>
        <v>36.35</v>
      </c>
      <c r="F5" s="23" t="n">
        <f aca="false">E10</f>
        <v>44.6915</v>
      </c>
      <c r="G5" s="23" t="n">
        <f aca="false">F10</f>
        <v>52.002785</v>
      </c>
      <c r="H5" s="23" t="n">
        <f aca="false">G10</f>
        <v>59.22376515</v>
      </c>
    </row>
    <row r="6" customFormat="false" ht="15" hidden="false" customHeight="false" outlineLevel="0" collapsed="false">
      <c r="B6" s="0" t="s">
        <v>172</v>
      </c>
      <c r="D6" s="23" t="n">
        <f aca="false">'Operating Case'!D14</f>
        <v>36.2</v>
      </c>
      <c r="E6" s="23" t="n">
        <f aca="false">'Operating Case'!E14</f>
        <v>41.533</v>
      </c>
      <c r="F6" s="23" t="n">
        <f aca="false">'Operating Case'!F14</f>
        <v>47.81407</v>
      </c>
      <c r="G6" s="23" t="n">
        <f aca="false">'Operating Case'!G14</f>
        <v>54.9447453</v>
      </c>
      <c r="H6" s="23" t="n">
        <f aca="false">'Operating Case'!H14</f>
        <v>62.9207344870001</v>
      </c>
    </row>
    <row r="7" customFormat="false" ht="15" hidden="false" customHeight="false" outlineLevel="0" collapsed="false">
      <c r="B7" s="0" t="s">
        <v>144</v>
      </c>
      <c r="D7" s="23" t="n">
        <f aca="false">MIN(D11,Assumptions!$E$12*Assumptions!$E$17)</f>
        <v>3.5</v>
      </c>
      <c r="E7" s="23" t="n">
        <f aca="false">MIN(E11,Assumptions!$E$12*Assumptions!$E$17)</f>
        <v>3.5</v>
      </c>
      <c r="F7" s="23" t="n">
        <f aca="false">MIN(F11,Assumptions!$E$12*Assumptions!$E$17)</f>
        <v>3.5</v>
      </c>
      <c r="G7" s="23" t="n">
        <f aca="false">MIN(G11,Assumptions!$E$12*Assumptions!$E$17)</f>
        <v>3.5</v>
      </c>
      <c r="H7" s="23" t="n">
        <f aca="false">MIN(H11,Assumptions!$E$12*Assumptions!$E$17)</f>
        <v>3.5</v>
      </c>
    </row>
    <row r="8" customFormat="false" ht="15" hidden="false" customHeight="false" outlineLevel="0" collapsed="false">
      <c r="B8" s="0" t="s">
        <v>176</v>
      </c>
      <c r="D8" s="23" t="n">
        <f aca="false">D5+D6-D7</f>
        <v>57.7</v>
      </c>
      <c r="E8" s="23" t="n">
        <f aca="false">E5+E6-E7</f>
        <v>74.383</v>
      </c>
      <c r="F8" s="23" t="n">
        <f aca="false">F5+F6-F7</f>
        <v>89.00557</v>
      </c>
      <c r="G8" s="23" t="n">
        <f aca="false">G5+G6-G7</f>
        <v>103.4475303</v>
      </c>
      <c r="H8" s="23" t="n">
        <f aca="false">H5+H6-H7</f>
        <v>118.644499637</v>
      </c>
    </row>
    <row r="9" customFormat="false" ht="15" hidden="false" customHeight="false" outlineLevel="0" collapsed="false">
      <c r="B9" s="0" t="s">
        <v>146</v>
      </c>
      <c r="D9" s="23" t="n">
        <f aca="false">MIN(MAX(0,D11-D7),MAX(0,D8-Assumptions!$E$19)*Assumptions!$E$18)</f>
        <v>21.35</v>
      </c>
      <c r="E9" s="23" t="n">
        <f aca="false">MIN(MAX(0,E11-E7),MAX(0,E8-Assumptions!$E$19)*Assumptions!$E$18)</f>
        <v>29.6915</v>
      </c>
      <c r="F9" s="23" t="n">
        <f aca="false">MIN(MAX(0,F11-F7),MAX(0,F8-Assumptions!$E$19)*Assumptions!$E$18)</f>
        <v>37.002785</v>
      </c>
      <c r="G9" s="23" t="n">
        <f aca="false">MIN(MAX(0,G11-G7),MAX(0,G8-Assumptions!$E$19)*Assumptions!$E$18)</f>
        <v>44.22376515</v>
      </c>
      <c r="H9" s="23" t="n">
        <f aca="false">MIN(MAX(0,H11-H7),MAX(0,H8-Assumptions!$E$19)*Assumptions!$E$18)</f>
        <v>51.8222498185</v>
      </c>
    </row>
    <row r="10" customFormat="false" ht="15" hidden="false" customHeight="false" outlineLevel="0" collapsed="false">
      <c r="B10" s="25" t="s">
        <v>177</v>
      </c>
      <c r="C10" s="26" t="n">
        <f aca="false">C5</f>
        <v>25</v>
      </c>
      <c r="D10" s="26" t="n">
        <f aca="false">D8-D9</f>
        <v>36.35</v>
      </c>
      <c r="E10" s="26" t="n">
        <f aca="false">E8-E9</f>
        <v>44.6915</v>
      </c>
      <c r="F10" s="26" t="n">
        <f aca="false">F8-F9</f>
        <v>52.002785</v>
      </c>
      <c r="G10" s="26" t="n">
        <f aca="false">G8-G9</f>
        <v>59.22376515</v>
      </c>
      <c r="H10" s="26" t="n">
        <f aca="false">H8-H9</f>
        <v>66.8222498185</v>
      </c>
    </row>
    <row r="11" customFormat="false" ht="15" hidden="false" customHeight="false" outlineLevel="0" collapsed="false">
      <c r="B11" s="0" t="s">
        <v>178</v>
      </c>
      <c r="C11" s="16" t="n">
        <f aca="false">Assumptions!E12</f>
        <v>350</v>
      </c>
      <c r="D11" s="23" t="n">
        <f aca="false">C15</f>
        <v>350</v>
      </c>
      <c r="E11" s="23" t="n">
        <f aca="false">D15</f>
        <v>325.15</v>
      </c>
      <c r="F11" s="23" t="n">
        <f aca="false">E15</f>
        <v>291.9585</v>
      </c>
      <c r="G11" s="23" t="n">
        <f aca="false">F15</f>
        <v>251.455715</v>
      </c>
      <c r="H11" s="23" t="n">
        <f aca="false">G15</f>
        <v>203.73194985</v>
      </c>
    </row>
    <row r="12" customFormat="false" ht="15" hidden="false" customHeight="false" outlineLevel="0" collapsed="false">
      <c r="B12" s="0" t="s">
        <v>179</v>
      </c>
      <c r="C12" s="18" t="n">
        <f aca="false">Assumptions!E13+Assumptions!E14</f>
        <v>0.1</v>
      </c>
      <c r="D12" s="24" t="n">
        <f aca="false">Assumptions!$E$13+Assumptions!$E$14</f>
        <v>0.1</v>
      </c>
      <c r="E12" s="24" t="n">
        <f aca="false">Assumptions!$E$13+Assumptions!$E$14</f>
        <v>0.1</v>
      </c>
      <c r="F12" s="24" t="n">
        <f aca="false">Assumptions!$E$13+Assumptions!$E$14</f>
        <v>0.1</v>
      </c>
      <c r="G12" s="24" t="n">
        <f aca="false">Assumptions!$E$13+Assumptions!$E$14</f>
        <v>0.1</v>
      </c>
      <c r="H12" s="24" t="n">
        <f aca="false">Assumptions!$E$13+Assumptions!$E$14</f>
        <v>0.1</v>
      </c>
    </row>
    <row r="13" customFormat="false" ht="15" hidden="false" customHeight="false" outlineLevel="0" collapsed="false">
      <c r="B13" s="0" t="s">
        <v>180</v>
      </c>
      <c r="D13" s="23" t="n">
        <f aca="false">D11*D12</f>
        <v>35</v>
      </c>
      <c r="E13" s="23" t="n">
        <f aca="false">E11*E12</f>
        <v>32.515</v>
      </c>
      <c r="F13" s="23" t="n">
        <f aca="false">F11*F12</f>
        <v>29.19585</v>
      </c>
      <c r="G13" s="23" t="n">
        <f aca="false">G11*G12</f>
        <v>25.1455715</v>
      </c>
      <c r="H13" s="23" t="n">
        <f aca="false">H11*H12</f>
        <v>20.373194985</v>
      </c>
    </row>
    <row r="14" customFormat="false" ht="15" hidden="false" customHeight="false" outlineLevel="0" collapsed="false">
      <c r="B14" s="0" t="s">
        <v>181</v>
      </c>
      <c r="D14" s="23" t="n">
        <f aca="false">MAX(0,D11-D7-D9)*Assumptions!$E$16</f>
        <v>0</v>
      </c>
      <c r="E14" s="23" t="n">
        <f aca="false">MAX(0,E11-E7-E9)*Assumptions!$E$16</f>
        <v>0</v>
      </c>
      <c r="F14" s="23" t="n">
        <f aca="false">MAX(0,F11-F7-F9)*Assumptions!$E$16</f>
        <v>0</v>
      </c>
      <c r="G14" s="23" t="n">
        <f aca="false">MAX(0,G11-G7-G9)*Assumptions!$E$16</f>
        <v>0</v>
      </c>
      <c r="H14" s="23" t="n">
        <f aca="false">MAX(0,H11-H7-H9)*Assumptions!$E$16</f>
        <v>0</v>
      </c>
    </row>
    <row r="15" customFormat="false" ht="15" hidden="false" customHeight="false" outlineLevel="0" collapsed="false">
      <c r="B15" s="25" t="s">
        <v>182</v>
      </c>
      <c r="C15" s="26" t="n">
        <f aca="false">C11</f>
        <v>350</v>
      </c>
      <c r="D15" s="26" t="n">
        <f aca="false">MAX(0,D11-D7-D9+D14)</f>
        <v>325.15</v>
      </c>
      <c r="E15" s="26" t="n">
        <f aca="false">MAX(0,E11-E7-E9+E14)</f>
        <v>291.9585</v>
      </c>
      <c r="F15" s="26" t="n">
        <f aca="false">MAX(0,F11-F7-F9+F14)</f>
        <v>251.455715</v>
      </c>
      <c r="G15" s="26" t="n">
        <f aca="false">MAX(0,G11-G7-G9+G14)</f>
        <v>203.73194985</v>
      </c>
      <c r="H15" s="26" t="n">
        <f aca="false">MAX(0,H11-H7-H9+H14)</f>
        <v>148.4097000315</v>
      </c>
    </row>
    <row r="16" customFormat="false" ht="15" hidden="false" customHeight="false" outlineLevel="0" collapsed="false">
      <c r="B16" s="0" t="s">
        <v>183</v>
      </c>
      <c r="C16" s="23" t="n">
        <f aca="false">C11</f>
        <v>350</v>
      </c>
      <c r="D16" s="23" t="n">
        <f aca="false">AVERAGE(D11,D15)</f>
        <v>337.575</v>
      </c>
      <c r="E16" s="23" t="n">
        <f aca="false">AVERAGE(E11,E15)</f>
        <v>308.55425</v>
      </c>
      <c r="F16" s="23" t="n">
        <f aca="false">AVERAGE(F11,F15)</f>
        <v>271.7071075</v>
      </c>
      <c r="G16" s="23" t="n">
        <f aca="false">AVERAGE(G11,G15)</f>
        <v>227.593832425</v>
      </c>
      <c r="H16" s="23" t="n">
        <f aca="false">AVERAGE(H11,H15)</f>
        <v>176.07082494075</v>
      </c>
    </row>
    <row r="17" customFormat="false" ht="15" hidden="false" customHeight="false" outlineLevel="0" collapsed="false">
      <c r="B17" s="0" t="s">
        <v>184</v>
      </c>
      <c r="D17" s="23" t="n">
        <f aca="false">D11*Assumptions!$E$16</f>
        <v>0</v>
      </c>
      <c r="E17" s="23" t="n">
        <f aca="false">E11*Assumptions!$E$16</f>
        <v>0</v>
      </c>
      <c r="F17" s="23" t="n">
        <f aca="false">F11*Assumptions!$E$16</f>
        <v>0</v>
      </c>
      <c r="G17" s="23" t="n">
        <f aca="false">G11*Assumptions!$E$16</f>
        <v>0</v>
      </c>
      <c r="H17" s="23" t="n">
        <f aca="false">H11*Assumptions!$E$16</f>
        <v>0</v>
      </c>
    </row>
    <row r="18" customFormat="false" ht="15" hidden="false" customHeight="false" outlineLevel="0" collapsed="false">
      <c r="B18" s="25" t="s">
        <v>185</v>
      </c>
      <c r="C18" s="26"/>
      <c r="D18" s="26" t="n">
        <f aca="false">D13+D17</f>
        <v>35</v>
      </c>
      <c r="E18" s="26" t="n">
        <f aca="false">E13+E17</f>
        <v>32.515</v>
      </c>
      <c r="F18" s="26" t="n">
        <f aca="false">F13+F17</f>
        <v>29.19585</v>
      </c>
      <c r="G18" s="26" t="n">
        <f aca="false">G13+G17</f>
        <v>25.1455715</v>
      </c>
      <c r="H18" s="26" t="n">
        <f aca="false">H13+H17</f>
        <v>20.373194985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7" min="3" style="0" width="13"/>
  </cols>
  <sheetData>
    <row r="2" customFormat="false" ht="27.75" hidden="false" customHeight="true" outlineLevel="0" collapsed="false">
      <c r="B2" s="1" t="s">
        <v>186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4" t="s">
        <v>187</v>
      </c>
      <c r="C4" s="14" t="s">
        <v>159</v>
      </c>
      <c r="D4" s="14" t="s">
        <v>160</v>
      </c>
      <c r="E4" s="14" t="s">
        <v>161</v>
      </c>
      <c r="F4" s="14" t="s">
        <v>162</v>
      </c>
      <c r="G4" s="14" t="s">
        <v>163</v>
      </c>
    </row>
    <row r="5" customFormat="false" ht="15" hidden="false" customHeight="false" outlineLevel="0" collapsed="false">
      <c r="B5" s="0" t="s">
        <v>188</v>
      </c>
      <c r="C5" s="27" t="n">
        <f aca="false">IFERROR('Debt Schedule'!D15/'Operating Case'!D7,0)</f>
        <v>3.12644230769231</v>
      </c>
      <c r="D5" s="27" t="n">
        <f aca="false">IFERROR('Debt Schedule'!E15/'Operating Case'!E7,0)</f>
        <v>2.69932045118343</v>
      </c>
      <c r="E5" s="27" t="n">
        <f aca="false">IFERROR('Debt Schedule'!F15/'Operating Case'!F7,0)</f>
        <v>2.23543215001991</v>
      </c>
      <c r="F5" s="27" t="n">
        <f aca="false">IFERROR('Debt Schedule'!G15/'Operating Case'!G7,0)</f>
        <v>1.74150924578438</v>
      </c>
      <c r="G5" s="27" t="n">
        <f aca="false">IFERROR('Debt Schedule'!H15/'Operating Case'!H7,0)</f>
        <v>1.21981955361914</v>
      </c>
    </row>
    <row r="6" customFormat="false" ht="15" hidden="false" customHeight="false" outlineLevel="0" collapsed="false">
      <c r="B6" s="0" t="s">
        <v>149</v>
      </c>
      <c r="C6" s="27" t="n">
        <f aca="false">Assumptions!$E$20</f>
        <v>6</v>
      </c>
      <c r="D6" s="27" t="n">
        <f aca="false">Assumptions!$E$20</f>
        <v>6</v>
      </c>
      <c r="E6" s="27" t="n">
        <f aca="false">Assumptions!$E$20</f>
        <v>6</v>
      </c>
      <c r="F6" s="27" t="n">
        <f aca="false">Assumptions!$E$20</f>
        <v>6</v>
      </c>
      <c r="G6" s="27" t="n">
        <f aca="false">Assumptions!$E$20</f>
        <v>6</v>
      </c>
    </row>
    <row r="7" customFormat="false" ht="15" hidden="false" customHeight="false" outlineLevel="0" collapsed="false">
      <c r="B7" s="0" t="s">
        <v>189</v>
      </c>
      <c r="C7" s="27" t="n">
        <f aca="false">C6-C5</f>
        <v>2.87355769230769</v>
      </c>
      <c r="D7" s="27" t="n">
        <f aca="false">D6-D5</f>
        <v>3.30067954881657</v>
      </c>
      <c r="E7" s="27" t="n">
        <f aca="false">E6-E5</f>
        <v>3.76456784998009</v>
      </c>
      <c r="F7" s="27" t="n">
        <f aca="false">F6-F5</f>
        <v>4.25849075421562</v>
      </c>
      <c r="G7" s="27" t="n">
        <f aca="false">G6-G5</f>
        <v>4.78018044638086</v>
      </c>
    </row>
    <row r="8" customFormat="false" ht="15" hidden="false" customHeight="false" outlineLevel="0" collapsed="false">
      <c r="B8" s="0" t="s">
        <v>190</v>
      </c>
      <c r="C8" s="27" t="n">
        <f aca="false">IFERROR('Operating Case'!D7/'Debt Schedule'!D18,0)</f>
        <v>2.97142857142857</v>
      </c>
      <c r="D8" s="27" t="n">
        <f aca="false">IFERROR('Operating Case'!E7/'Debt Schedule'!E18,0)</f>
        <v>3.32646470859603</v>
      </c>
      <c r="E8" s="27" t="n">
        <f aca="false">IFERROR('Operating Case'!F7/'Debt Schedule'!F18,0)</f>
        <v>3.85282154826799</v>
      </c>
      <c r="F8" s="27" t="n">
        <f aca="false">IFERROR('Operating Case'!G7/'Debt Schedule'!G18,0)</f>
        <v>4.65234429052448</v>
      </c>
      <c r="G8" s="27" t="n">
        <f aca="false">IFERROR('Operating Case'!H7/'Debt Schedule'!H18,0)</f>
        <v>5.97183163119862</v>
      </c>
    </row>
    <row r="9" customFormat="false" ht="15" hidden="false" customHeight="false" outlineLevel="0" collapsed="false">
      <c r="B9" s="0" t="s">
        <v>191</v>
      </c>
      <c r="C9" s="27" t="n">
        <f aca="false">Assumptions!$E$21</f>
        <v>1.75</v>
      </c>
      <c r="D9" s="27" t="n">
        <f aca="false">Assumptions!$E$21</f>
        <v>1.75</v>
      </c>
      <c r="E9" s="27" t="n">
        <f aca="false">Assumptions!$E$21</f>
        <v>1.75</v>
      </c>
      <c r="F9" s="27" t="n">
        <f aca="false">Assumptions!$E$21</f>
        <v>1.75</v>
      </c>
      <c r="G9" s="27" t="n">
        <f aca="false">Assumptions!$E$21</f>
        <v>1.75</v>
      </c>
    </row>
    <row r="10" customFormat="false" ht="15" hidden="false" customHeight="false" outlineLevel="0" collapsed="false">
      <c r="B10" s="0" t="s">
        <v>192</v>
      </c>
      <c r="C10" s="27" t="n">
        <f aca="false">C8-C9</f>
        <v>1.22142857142857</v>
      </c>
      <c r="D10" s="27" t="n">
        <f aca="false">D8-D9</f>
        <v>1.57646470859603</v>
      </c>
      <c r="E10" s="27" t="n">
        <f aca="false">E8-E9</f>
        <v>2.10282154826799</v>
      </c>
      <c r="F10" s="27" t="n">
        <f aca="false">F8-F9</f>
        <v>2.90234429052448</v>
      </c>
      <c r="G10" s="27" t="n">
        <f aca="false">G8-G9</f>
        <v>4.22183163119862</v>
      </c>
    </row>
    <row r="11" customFormat="false" ht="15" hidden="false" customHeight="false" outlineLevel="0" collapsed="false">
      <c r="B11" s="0" t="s">
        <v>193</v>
      </c>
      <c r="C11" s="27" t="n">
        <f aca="false">IFERROR('Operating Case'!D12/('Debt Schedule'!D7+'Debt Schedule'!D13),0)</f>
        <v>1.84935064935065</v>
      </c>
      <c r="D11" s="27" t="n">
        <f aca="false">IFERROR('Operating Case'!E12/('Debt Schedule'!E7+'Debt Schedule'!E13),0)</f>
        <v>2.05603220880189</v>
      </c>
      <c r="E11" s="27" t="n">
        <f aca="false">IFERROR('Operating Case'!F12/('Debt Schedule'!F7+'Debt Schedule'!F13),0)</f>
        <v>2.35534234467065</v>
      </c>
      <c r="F11" s="27" t="n">
        <f aca="false">IFERROR('Operating Case'!G12/('Debt Schedule'!G7+'Debt Schedule'!G13),0)</f>
        <v>2.79590570570394</v>
      </c>
      <c r="G11" s="27" t="n">
        <f aca="false">IFERROR('Operating Case'!H12/('Debt Schedule'!H7+'Debt Schedule'!H13),0)</f>
        <v>3.48901475166333</v>
      </c>
    </row>
    <row r="12" customFormat="false" ht="15" hidden="false" customHeight="false" outlineLevel="0" collapsed="false">
      <c r="B12" s="0" t="s">
        <v>152</v>
      </c>
      <c r="C12" s="27" t="n">
        <f aca="false">Assumptions!$E$22</f>
        <v>1</v>
      </c>
      <c r="D12" s="27" t="n">
        <f aca="false">Assumptions!$E$22</f>
        <v>1</v>
      </c>
      <c r="E12" s="27" t="n">
        <f aca="false">Assumptions!$E$22</f>
        <v>1</v>
      </c>
      <c r="F12" s="27" t="n">
        <f aca="false">Assumptions!$E$22</f>
        <v>1</v>
      </c>
      <c r="G12" s="27" t="n">
        <f aca="false">Assumptions!$E$22</f>
        <v>1</v>
      </c>
    </row>
    <row r="13" customFormat="false" ht="15" hidden="false" customHeight="false" outlineLevel="0" collapsed="false">
      <c r="B13" s="0" t="s">
        <v>194</v>
      </c>
      <c r="C13" s="27" t="n">
        <f aca="false">C11-C12</f>
        <v>0.84935064935065</v>
      </c>
      <c r="D13" s="27" t="n">
        <f aca="false">D11-D12</f>
        <v>1.05603220880189</v>
      </c>
      <c r="E13" s="27" t="n">
        <f aca="false">E11-E12</f>
        <v>1.35534234467065</v>
      </c>
      <c r="F13" s="27" t="n">
        <f aca="false">F11-F12</f>
        <v>1.79590570570394</v>
      </c>
      <c r="G13" s="27" t="n">
        <f aca="false">G11-G12</f>
        <v>2.48901475166333</v>
      </c>
    </row>
    <row r="14" customFormat="false" ht="15" hidden="false" customHeight="false" outlineLevel="0" collapsed="false">
      <c r="B14" s="0" t="s">
        <v>43</v>
      </c>
      <c r="C14" s="0" t="str">
        <f aca="false">IF(AND(C7&gt;=0,C10&gt;=0,C13&gt;=0),"PASS","BREACH")</f>
        <v>PASS</v>
      </c>
      <c r="D14" s="0" t="str">
        <f aca="false">IF(AND(D7&gt;=0,D10&gt;=0,D13&gt;=0),"PASS","BREACH")</f>
        <v>PASS</v>
      </c>
      <c r="E14" s="0" t="str">
        <f aca="false">IF(AND(E7&gt;=0,E10&gt;=0,E13&gt;=0),"PASS","BREACH")</f>
        <v>PASS</v>
      </c>
      <c r="F14" s="0" t="str">
        <f aca="false">IF(AND(F7&gt;=0,F10&gt;=0,F13&gt;=0),"PASS","BREACH")</f>
        <v>PASS</v>
      </c>
      <c r="G14" s="0" t="str">
        <f aca="false">IF(AND(G7&gt;=0,G10&gt;=0,G13&gt;=0),"PASS","BREACH")</f>
        <v>PASS</v>
      </c>
    </row>
  </sheetData>
  <mergeCells count="1">
    <mergeCell ref="B2:G2"/>
  </mergeCells>
  <conditionalFormatting sqref="C14:G14">
    <cfRule type="expression" priority="2" aboveAverage="0" equalAverage="0" bottom="0" percent="0" rank="0" text="" dxfId="0">
      <formula>C14="PASS"</formula>
    </cfRule>
    <cfRule type="expression" priority="3" aboveAverage="0" equalAverage="0" bottom="0" percent="0" rank="0" text="" dxfId="1">
      <formula>C14="FAIL"</formula>
    </cfRule>
    <cfRule type="expression" priority="4" aboveAverage="0" equalAverage="0" bottom="0" percent="0" rank="0" text="" dxfId="2">
      <formula>C14="REVIEW"</formula>
    </cfRule>
    <cfRule type="expression" priority="5" aboveAverage="0" equalAverage="0" bottom="0" percent="0" rank="0" text="" dxfId="1">
      <formula>C14="BREACH"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6"/>
  </cols>
  <sheetData>
    <row r="2" customFormat="false" ht="27.75" hidden="false" customHeight="true" outlineLevel="0" collapsed="false">
      <c r="B2" s="1" t="s">
        <v>195</v>
      </c>
      <c r="C2" s="1"/>
      <c r="D2" s="1"/>
      <c r="E2" s="1"/>
    </row>
    <row r="4" customFormat="false" ht="15" hidden="false" customHeight="false" outlineLevel="0" collapsed="false">
      <c r="B4" s="14" t="s">
        <v>187</v>
      </c>
      <c r="C4" s="14" t="s">
        <v>196</v>
      </c>
      <c r="D4" s="14" t="s">
        <v>197</v>
      </c>
      <c r="E4" s="14" t="s">
        <v>198</v>
      </c>
    </row>
    <row r="5" customFormat="false" ht="15" hidden="false" customHeight="false" outlineLevel="0" collapsed="false">
      <c r="B5" s="0" t="s">
        <v>199</v>
      </c>
      <c r="C5" s="18" t="n">
        <f aca="false">Assumptions!E13+Assumptions!E14</f>
        <v>0.1</v>
      </c>
      <c r="D5" s="13" t="s">
        <v>133</v>
      </c>
      <c r="E5" s="13" t="s">
        <v>200</v>
      </c>
    </row>
    <row r="6" customFormat="false" ht="15" hidden="false" customHeight="false" outlineLevel="0" collapsed="false">
      <c r="B6" s="0" t="s">
        <v>201</v>
      </c>
      <c r="C6" s="18" t="n">
        <f aca="false">Assumptions!E16</f>
        <v>0</v>
      </c>
      <c r="D6" s="13" t="s">
        <v>133</v>
      </c>
      <c r="E6" s="13" t="s">
        <v>143</v>
      </c>
    </row>
    <row r="7" customFormat="false" ht="15" hidden="false" customHeight="false" outlineLevel="0" collapsed="false">
      <c r="B7" s="0" t="s">
        <v>202</v>
      </c>
      <c r="C7" s="28" t="n">
        <f aca="false">100*(1-Assumptions!E15)</f>
        <v>98</v>
      </c>
      <c r="D7" s="13" t="s">
        <v>203</v>
      </c>
      <c r="E7" s="13" t="s">
        <v>204</v>
      </c>
    </row>
    <row r="8" customFormat="false" ht="15" hidden="false" customHeight="false" outlineLevel="0" collapsed="false">
      <c r="B8" s="0" t="s">
        <v>155</v>
      </c>
      <c r="C8" s="22" t="n">
        <f aca="false">Assumptions!E25</f>
        <v>7</v>
      </c>
      <c r="D8" s="13" t="s">
        <v>156</v>
      </c>
      <c r="E8" s="13" t="s">
        <v>205</v>
      </c>
    </row>
    <row r="9" customFormat="false" ht="15" hidden="false" customHeight="false" outlineLevel="0" collapsed="false">
      <c r="B9" s="0" t="s">
        <v>206</v>
      </c>
      <c r="C9" s="29" t="n">
        <f aca="false">IFERROR((C5*100+(100-C7)/C8)/((100+C7)/2),0)</f>
        <v>0.103896103896104</v>
      </c>
      <c r="D9" s="13" t="s">
        <v>133</v>
      </c>
      <c r="E9" s="13" t="s">
        <v>207</v>
      </c>
    </row>
    <row r="10" customFormat="false" ht="15" hidden="false" customHeight="false" outlineLevel="0" collapsed="false">
      <c r="B10" s="0" t="s">
        <v>208</v>
      </c>
      <c r="C10" s="29" t="n">
        <f aca="false">C9+C6</f>
        <v>0.103896103896104</v>
      </c>
      <c r="D10" s="13" t="s">
        <v>133</v>
      </c>
      <c r="E10" s="13" t="s">
        <v>209</v>
      </c>
    </row>
    <row r="11" customFormat="false" ht="15" hidden="false" customHeight="false" outlineLevel="0" collapsed="false">
      <c r="B11" s="0" t="s">
        <v>141</v>
      </c>
      <c r="C11" s="30" t="n">
        <f aca="false">Assumptions!E14*10000</f>
        <v>550</v>
      </c>
      <c r="D11" s="13" t="s">
        <v>210</v>
      </c>
      <c r="E11" s="13" t="s">
        <v>211</v>
      </c>
    </row>
    <row r="12" customFormat="false" ht="15" hidden="false" customHeight="false" outlineLevel="0" collapsed="false">
      <c r="B12" s="0" t="s">
        <v>212</v>
      </c>
      <c r="C12" s="30" t="n">
        <f aca="false">IFERROR(Assumptions!E15/Assumptions!E25*10000,0)</f>
        <v>28.5714285714286</v>
      </c>
      <c r="D12" s="13" t="s">
        <v>210</v>
      </c>
      <c r="E12" s="13" t="s">
        <v>213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4" min="3" style="0" width="18"/>
  </cols>
  <sheetData>
    <row r="2" customFormat="false" ht="27.75" hidden="false" customHeight="true" outlineLevel="0" collapsed="false">
      <c r="B2" s="1" t="s">
        <v>214</v>
      </c>
      <c r="C2" s="1"/>
      <c r="D2" s="1"/>
    </row>
    <row r="4" customFormat="false" ht="15" hidden="false" customHeight="false" outlineLevel="0" collapsed="false">
      <c r="B4" s="14" t="s">
        <v>215</v>
      </c>
      <c r="C4" s="14" t="s">
        <v>11</v>
      </c>
      <c r="D4" s="14" t="s">
        <v>127</v>
      </c>
    </row>
    <row r="5" customFormat="false" ht="15" hidden="false" customHeight="false" outlineLevel="0" collapsed="false">
      <c r="B5" s="0" t="s">
        <v>216</v>
      </c>
      <c r="C5" s="23" t="n">
        <f aca="false">'Operating Case'!H7</f>
        <v>121.66529024</v>
      </c>
      <c r="D5" s="23" t="n">
        <f aca="false">'Operating Case'!H7*(1+Assumptions!D7)</f>
        <v>115.582025728</v>
      </c>
    </row>
    <row r="6" customFormat="false" ht="15" hidden="false" customHeight="false" outlineLevel="0" collapsed="false">
      <c r="B6" s="0" t="s">
        <v>153</v>
      </c>
      <c r="C6" s="27" t="n">
        <f aca="false">Assumptions!C23</f>
        <v>5</v>
      </c>
      <c r="D6" s="27" t="n">
        <f aca="false">Assumptions!D23</f>
        <v>4</v>
      </c>
    </row>
    <row r="7" customFormat="false" ht="15" hidden="false" customHeight="false" outlineLevel="0" collapsed="false">
      <c r="B7" s="0" t="s">
        <v>217</v>
      </c>
      <c r="C7" s="23" t="n">
        <f aca="false">C5*C6</f>
        <v>608.3264512</v>
      </c>
      <c r="D7" s="23" t="n">
        <f aca="false">D5*D6</f>
        <v>462.328102912</v>
      </c>
    </row>
    <row r="8" customFormat="false" ht="15" hidden="false" customHeight="false" outlineLevel="0" collapsed="false">
      <c r="B8" s="0" t="s">
        <v>154</v>
      </c>
      <c r="C8" s="23" t="n">
        <f aca="false">C7*Assumptions!C24</f>
        <v>121.66529024</v>
      </c>
      <c r="D8" s="23" t="n">
        <f aca="false">D7*Assumptions!D24</f>
        <v>161.8148360192</v>
      </c>
    </row>
    <row r="9" customFormat="false" ht="15" hidden="false" customHeight="false" outlineLevel="0" collapsed="false">
      <c r="B9" s="0" t="s">
        <v>218</v>
      </c>
      <c r="C9" s="23" t="n">
        <f aca="false">C7-C8</f>
        <v>486.66116096</v>
      </c>
      <c r="D9" s="23" t="n">
        <f aca="false">D7-D8</f>
        <v>300.5132668928</v>
      </c>
    </row>
    <row r="10" customFormat="false" ht="15" hidden="false" customHeight="false" outlineLevel="0" collapsed="false">
      <c r="B10" s="0" t="s">
        <v>219</v>
      </c>
      <c r="C10" s="23" t="n">
        <f aca="false">'Debt Schedule'!H15</f>
        <v>148.4097000315</v>
      </c>
      <c r="D10" s="23" t="n">
        <f aca="false">'Debt Schedule'!H15</f>
        <v>148.4097000315</v>
      </c>
    </row>
    <row r="11" customFormat="false" ht="15" hidden="false" customHeight="false" outlineLevel="0" collapsed="false">
      <c r="B11" s="25" t="s">
        <v>220</v>
      </c>
      <c r="C11" s="26" t="n">
        <f aca="false">MIN(C9,C10)</f>
        <v>148.4097000315</v>
      </c>
      <c r="D11" s="26" t="n">
        <f aca="false">MIN(D9,D10)</f>
        <v>148.4097000315</v>
      </c>
    </row>
    <row r="12" customFormat="false" ht="15" hidden="false" customHeight="false" outlineLevel="0" collapsed="false">
      <c r="B12" s="0" t="s">
        <v>221</v>
      </c>
      <c r="C12" s="24" t="n">
        <f aca="false">IFERROR(C11/C10,0)</f>
        <v>1</v>
      </c>
      <c r="D12" s="24" t="n">
        <f aca="false">IFERROR(D11/D10,0)</f>
        <v>1</v>
      </c>
    </row>
    <row r="13" customFormat="false" ht="15" hidden="false" customHeight="false" outlineLevel="0" collapsed="false">
      <c r="B13" s="0" t="s">
        <v>222</v>
      </c>
      <c r="C13" s="24" t="n">
        <f aca="false">1-C12</f>
        <v>0</v>
      </c>
      <c r="D13" s="24" t="n">
        <f aca="false">1-D12</f>
        <v>0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7" min="3" style="0" width="12"/>
  </cols>
  <sheetData>
    <row r="2" customFormat="false" ht="27.75" hidden="false" customHeight="true" outlineLevel="0" collapsed="false">
      <c r="B2" s="1" t="s">
        <v>223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4" t="s">
        <v>224</v>
      </c>
      <c r="C4" s="14" t="n">
        <v>3</v>
      </c>
      <c r="D4" s="14" t="n">
        <v>4</v>
      </c>
      <c r="E4" s="14" t="n">
        <v>5</v>
      </c>
      <c r="F4" s="14" t="n">
        <v>6</v>
      </c>
      <c r="G4" s="14" t="n">
        <v>7</v>
      </c>
    </row>
    <row r="5" customFormat="false" ht="15" hidden="false" customHeight="false" outlineLevel="0" collapsed="false">
      <c r="B5" s="24" t="n">
        <v>0</v>
      </c>
      <c r="C5" s="24" t="n">
        <f aca="false">IFERROR(MIN(1,MAX(0,('Operating Case'!$H$7*(1-$B5)*C$4)/'Debt Schedule'!$H$15)),1)</f>
        <v>1</v>
      </c>
      <c r="D5" s="24" t="n">
        <f aca="false">IFERROR(MIN(1,MAX(0,('Operating Case'!$H$7*(1-$B5)*D$4)/'Debt Schedule'!$H$15)),1)</f>
        <v>1</v>
      </c>
      <c r="E5" s="24" t="n">
        <f aca="false">IFERROR(MIN(1,MAX(0,('Operating Case'!$H$7*(1-$B5)*E$4)/'Debt Schedule'!$H$15)),1)</f>
        <v>1</v>
      </c>
      <c r="F5" s="24" t="n">
        <f aca="false">IFERROR(MIN(1,MAX(0,('Operating Case'!$H$7*(1-$B5)*F$4)/'Debt Schedule'!$H$15)),1)</f>
        <v>1</v>
      </c>
      <c r="G5" s="24" t="n">
        <f aca="false">IFERROR(MIN(1,MAX(0,('Operating Case'!$H$7*(1-$B5)*G$4)/'Debt Schedule'!$H$15)),1)</f>
        <v>1</v>
      </c>
    </row>
    <row r="6" customFormat="false" ht="15" hidden="false" customHeight="false" outlineLevel="0" collapsed="false">
      <c r="B6" s="24" t="n">
        <v>0.1</v>
      </c>
      <c r="C6" s="24" t="n">
        <f aca="false">IFERROR(MIN(1,MAX(0,('Operating Case'!$H$7*(1-$B6)*C$4)/'Debt Schedule'!$H$15)),1)</f>
        <v>1</v>
      </c>
      <c r="D6" s="24" t="n">
        <f aca="false">IFERROR(MIN(1,MAX(0,('Operating Case'!$H$7*(1-$B6)*D$4)/'Debt Schedule'!$H$15)),1)</f>
        <v>1</v>
      </c>
      <c r="E6" s="24" t="n">
        <f aca="false">IFERROR(MIN(1,MAX(0,('Operating Case'!$H$7*(1-$B6)*E$4)/'Debt Schedule'!$H$15)),1)</f>
        <v>1</v>
      </c>
      <c r="F6" s="24" t="n">
        <f aca="false">IFERROR(MIN(1,MAX(0,('Operating Case'!$H$7*(1-$B6)*F$4)/'Debt Schedule'!$H$15)),1)</f>
        <v>1</v>
      </c>
      <c r="G6" s="24" t="n">
        <f aca="false">IFERROR(MIN(1,MAX(0,('Operating Case'!$H$7*(1-$B6)*G$4)/'Debt Schedule'!$H$15)),1)</f>
        <v>1</v>
      </c>
    </row>
    <row r="7" customFormat="false" ht="15" hidden="false" customHeight="false" outlineLevel="0" collapsed="false">
      <c r="B7" s="24" t="n">
        <v>0.2</v>
      </c>
      <c r="C7" s="24" t="n">
        <f aca="false">IFERROR(MIN(1,MAX(0,('Operating Case'!$H$7*(1-$B7)*C$4)/'Debt Schedule'!$H$15)),1)</f>
        <v>1</v>
      </c>
      <c r="D7" s="24" t="n">
        <f aca="false">IFERROR(MIN(1,MAX(0,('Operating Case'!$H$7*(1-$B7)*D$4)/'Debt Schedule'!$H$15)),1)</f>
        <v>1</v>
      </c>
      <c r="E7" s="24" t="n">
        <f aca="false">IFERROR(MIN(1,MAX(0,('Operating Case'!$H$7*(1-$B7)*E$4)/'Debt Schedule'!$H$15)),1)</f>
        <v>1</v>
      </c>
      <c r="F7" s="24" t="n">
        <f aca="false">IFERROR(MIN(1,MAX(0,('Operating Case'!$H$7*(1-$B7)*F$4)/'Debt Schedule'!$H$15)),1)</f>
        <v>1</v>
      </c>
      <c r="G7" s="24" t="n">
        <f aca="false">IFERROR(MIN(1,MAX(0,('Operating Case'!$H$7*(1-$B7)*G$4)/'Debt Schedule'!$H$15)),1)</f>
        <v>1</v>
      </c>
    </row>
    <row r="8" customFormat="false" ht="15" hidden="false" customHeight="false" outlineLevel="0" collapsed="false">
      <c r="B8" s="24" t="n">
        <v>0.3</v>
      </c>
      <c r="C8" s="24" t="n">
        <f aca="false">IFERROR(MIN(1,MAX(0,('Operating Case'!$H$7*(1-$B8)*C$4)/'Debt Schedule'!$H$15)),1)</f>
        <v>1</v>
      </c>
      <c r="D8" s="24" t="n">
        <f aca="false">IFERROR(MIN(1,MAX(0,('Operating Case'!$H$7*(1-$B8)*D$4)/'Debt Schedule'!$H$15)),1)</f>
        <v>1</v>
      </c>
      <c r="E8" s="24" t="n">
        <f aca="false">IFERROR(MIN(1,MAX(0,('Operating Case'!$H$7*(1-$B8)*E$4)/'Debt Schedule'!$H$15)),1)</f>
        <v>1</v>
      </c>
      <c r="F8" s="24" t="n">
        <f aca="false">IFERROR(MIN(1,MAX(0,('Operating Case'!$H$7*(1-$B8)*F$4)/'Debt Schedule'!$H$15)),1)</f>
        <v>1</v>
      </c>
      <c r="G8" s="24" t="n">
        <f aca="false">IFERROR(MIN(1,MAX(0,('Operating Case'!$H$7*(1-$B8)*G$4)/'Debt Schedule'!$H$15)),1)</f>
        <v>1</v>
      </c>
    </row>
    <row r="9" customFormat="false" ht="15" hidden="false" customHeight="false" outlineLevel="0" collapsed="false">
      <c r="B9" s="24" t="n">
        <v>0.4</v>
      </c>
      <c r="C9" s="24" t="n">
        <f aca="false">IFERROR(MIN(1,MAX(0,('Operating Case'!$H$7*(1-$B9)*C$4)/'Debt Schedule'!$H$15)),1)</f>
        <v>1</v>
      </c>
      <c r="D9" s="24" t="n">
        <f aca="false">IFERROR(MIN(1,MAX(0,('Operating Case'!$H$7*(1-$B9)*D$4)/'Debt Schedule'!$H$15)),1)</f>
        <v>1</v>
      </c>
      <c r="E9" s="24" t="n">
        <f aca="false">IFERROR(MIN(1,MAX(0,('Operating Case'!$H$7*(1-$B9)*E$4)/'Debt Schedule'!$H$15)),1)</f>
        <v>1</v>
      </c>
      <c r="F9" s="24" t="n">
        <f aca="false">IFERROR(MIN(1,MAX(0,('Operating Case'!$H$7*(1-$B9)*F$4)/'Debt Schedule'!$H$15)),1)</f>
        <v>1</v>
      </c>
      <c r="G9" s="24" t="n">
        <f aca="false">IFERROR(MIN(1,MAX(0,('Operating Case'!$H$7*(1-$B9)*G$4)/'Debt Schedule'!$H$15)),1)</f>
        <v>1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225</v>
      </c>
      <c r="C2" s="1"/>
    </row>
    <row r="4" customFormat="false" ht="15" hidden="false" customHeight="false" outlineLevel="0" collapsed="false">
      <c r="B4" s="14" t="s">
        <v>226</v>
      </c>
      <c r="C4" s="14" t="s">
        <v>43</v>
      </c>
    </row>
    <row r="5" customFormat="false" ht="15" hidden="false" customHeight="false" outlineLevel="0" collapsed="false">
      <c r="B5" s="0" t="s">
        <v>227</v>
      </c>
      <c r="C5" s="0" t="str">
        <f aca="false">IF(MIN('Debt Schedule'!D15:H15)&gt;=0,"PASS","FAIL")</f>
        <v>PASS</v>
      </c>
    </row>
    <row r="6" customFormat="false" ht="15" hidden="false" customHeight="false" outlineLevel="0" collapsed="false">
      <c r="B6" s="0" t="s">
        <v>228</v>
      </c>
      <c r="C6" s="0" t="str">
        <f aca="false">IF(MIN('Debt Schedule'!D10:H10)&gt;=Assumptions!E19,"PASS","REVIEW")</f>
        <v>PASS</v>
      </c>
    </row>
    <row r="7" customFormat="false" ht="15" hidden="false" customHeight="false" outlineLevel="0" collapsed="false">
      <c r="B7" s="0" t="s">
        <v>229</v>
      </c>
      <c r="C7" s="0" t="str">
        <f aca="false">IF(AND(MIN(Recovery!C12:D12)&gt;=0,MAX(Recovery!C12:D12)&lt;=1),"PASS","FAIL")</f>
        <v>PASS</v>
      </c>
    </row>
    <row r="8" customFormat="false" ht="15" hidden="false" customHeight="false" outlineLevel="0" collapsed="false">
      <c r="B8" s="0" t="s">
        <v>230</v>
      </c>
      <c r="C8" s="0" t="str">
        <f aca="false">IF(COUNTIF(Covenants!C14:G14,"BREACH")=0,"PASS","REVIEW")</f>
        <v>PASS</v>
      </c>
    </row>
    <row r="9" customFormat="false" ht="15" hidden="false" customHeight="false" outlineLevel="0" collapsed="false">
      <c r="B9" s="0" t="s">
        <v>231</v>
      </c>
      <c r="C9" s="0" t="str">
        <f aca="false">IF(COUNTIF(C5:C8,"FAIL")+COUNTIF(C5:C8,"REVIEW")=0,"PASS","REVIEW")</f>
        <v>PASS</v>
      </c>
    </row>
  </sheetData>
  <mergeCells count="1">
    <mergeCell ref="B2:C2"/>
  </mergeCells>
  <conditionalFormatting sqref="C5:C9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48"/>
  </cols>
  <sheetData>
    <row r="2" customFormat="false" ht="27.75" hidden="false" customHeight="true" outlineLevel="0" collapsed="false">
      <c r="B2" s="1" t="s">
        <v>232</v>
      </c>
      <c r="C2" s="1"/>
      <c r="D2" s="1"/>
      <c r="E2" s="1"/>
    </row>
    <row r="4" customFormat="false" ht="15" hidden="false" customHeight="false" outlineLevel="0" collapsed="false">
      <c r="B4" s="14" t="s">
        <v>233</v>
      </c>
      <c r="C4" s="14" t="s">
        <v>234</v>
      </c>
      <c r="D4" s="14" t="s">
        <v>109</v>
      </c>
      <c r="E4" s="14" t="s">
        <v>235</v>
      </c>
    </row>
    <row r="5" customFormat="false" ht="15" hidden="false" customHeight="false" outlineLevel="0" collapsed="false">
      <c r="B5" s="31" t="s">
        <v>236</v>
      </c>
      <c r="C5" s="31" t="s">
        <v>237</v>
      </c>
      <c r="D5" s="31" t="s">
        <v>238</v>
      </c>
      <c r="E5" s="31" t="s">
        <v>239</v>
      </c>
    </row>
    <row r="6" customFormat="false" ht="15" hidden="false" customHeight="false" outlineLevel="0" collapsed="false">
      <c r="B6" s="31" t="s">
        <v>240</v>
      </c>
      <c r="C6" s="31" t="s">
        <v>241</v>
      </c>
      <c r="D6" s="31" t="s">
        <v>6</v>
      </c>
      <c r="E6" s="31" t="s">
        <v>242</v>
      </c>
    </row>
    <row r="7" customFormat="false" ht="15" hidden="false" customHeight="false" outlineLevel="0" collapsed="false">
      <c r="B7" s="31" t="s">
        <v>243</v>
      </c>
      <c r="C7" s="31" t="s">
        <v>244</v>
      </c>
      <c r="D7" s="31" t="s">
        <v>6</v>
      </c>
      <c r="E7" s="31" t="s">
        <v>245</v>
      </c>
    </row>
    <row r="8" customFormat="false" ht="15" hidden="false" customHeight="false" outlineLevel="0" collapsed="false">
      <c r="B8" s="31" t="s">
        <v>246</v>
      </c>
      <c r="C8" s="31" t="s">
        <v>247</v>
      </c>
      <c r="D8" s="31" t="s">
        <v>6</v>
      </c>
      <c r="E8" s="31" t="s">
        <v>248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1" t="s">
        <v>249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4" t="s">
        <v>97</v>
      </c>
      <c r="C4" s="14" t="s">
        <v>250</v>
      </c>
      <c r="D4" s="14" t="s">
        <v>251</v>
      </c>
      <c r="E4" s="14" t="s">
        <v>252</v>
      </c>
      <c r="F4" s="14" t="s">
        <v>253</v>
      </c>
      <c r="G4" s="14" t="s">
        <v>254</v>
      </c>
    </row>
    <row r="5" customFormat="false" ht="15" hidden="false" customHeight="false" outlineLevel="0" collapsed="false">
      <c r="B5" s="32"/>
      <c r="C5" s="32"/>
      <c r="D5" s="32"/>
      <c r="E5" s="32"/>
      <c r="F5" s="32"/>
      <c r="G5" s="32"/>
    </row>
    <row r="6" customFormat="false" ht="15" hidden="false" customHeight="false" outlineLevel="0" collapsed="false">
      <c r="B6" s="32"/>
      <c r="C6" s="32"/>
      <c r="D6" s="32"/>
      <c r="E6" s="32"/>
      <c r="F6" s="32"/>
      <c r="G6" s="32"/>
    </row>
    <row r="7" customFormat="false" ht="15" hidden="false" customHeight="false" outlineLevel="0" collapsed="false">
      <c r="B7" s="32"/>
      <c r="C7" s="32"/>
      <c r="D7" s="32"/>
      <c r="E7" s="32"/>
      <c r="F7" s="32"/>
      <c r="G7" s="32"/>
    </row>
    <row r="8" customFormat="false" ht="15" hidden="false" customHeight="false" outlineLevel="0" collapsed="false">
      <c r="B8" s="32"/>
      <c r="C8" s="32"/>
      <c r="D8" s="32"/>
      <c r="E8" s="32"/>
      <c r="F8" s="32"/>
      <c r="G8" s="32"/>
    </row>
    <row r="9" customFormat="false" ht="15" hidden="false" customHeight="false" outlineLevel="0" collapsed="false">
      <c r="B9" s="32"/>
      <c r="C9" s="32"/>
      <c r="D9" s="32"/>
      <c r="E9" s="32"/>
      <c r="F9" s="32"/>
      <c r="G9" s="32"/>
    </row>
    <row r="10" customFormat="false" ht="15" hidden="false" customHeight="false" outlineLevel="0" collapsed="false">
      <c r="B10" s="32"/>
      <c r="C10" s="32"/>
      <c r="D10" s="32"/>
      <c r="E10" s="32"/>
      <c r="F10" s="32"/>
      <c r="G10" s="32"/>
    </row>
    <row r="11" customFormat="false" ht="15" hidden="false" customHeight="false" outlineLevel="0" collapsed="false">
      <c r="B11" s="32"/>
      <c r="C11" s="32"/>
      <c r="D11" s="32"/>
      <c r="E11" s="32"/>
      <c r="F11" s="32"/>
      <c r="G11" s="32"/>
    </row>
    <row r="12" customFormat="false" ht="15" hidden="false" customHeight="false" outlineLevel="0" collapsed="false">
      <c r="B12" s="32"/>
      <c r="C12" s="32"/>
      <c r="D12" s="32"/>
      <c r="E12" s="32"/>
      <c r="F12" s="32"/>
      <c r="G12" s="32"/>
    </row>
    <row r="13" customFormat="false" ht="15" hidden="false" customHeight="false" outlineLevel="0" collapsed="false">
      <c r="B13" s="32"/>
      <c r="C13" s="32"/>
      <c r="D13" s="32"/>
      <c r="E13" s="32"/>
      <c r="F13" s="32"/>
      <c r="G13" s="32"/>
    </row>
    <row r="14" customFormat="false" ht="15" hidden="false" customHeight="false" outlineLevel="0" collapsed="false">
      <c r="B14" s="32"/>
      <c r="C14" s="32"/>
      <c r="D14" s="32"/>
      <c r="E14" s="32"/>
      <c r="F14" s="32"/>
      <c r="G14" s="32"/>
    </row>
    <row r="15" customFormat="false" ht="15" hidden="false" customHeight="false" outlineLevel="0" collapsed="false">
      <c r="B15" s="32"/>
      <c r="C15" s="32"/>
      <c r="D15" s="32"/>
      <c r="E15" s="32"/>
      <c r="F15" s="32"/>
      <c r="G15" s="32"/>
    </row>
    <row r="16" customFormat="false" ht="15" hidden="false" customHeight="false" outlineLevel="0" collapsed="false">
      <c r="B16" s="32"/>
      <c r="C16" s="32"/>
      <c r="D16" s="32"/>
      <c r="E16" s="32"/>
      <c r="F16" s="32"/>
      <c r="G16" s="32"/>
    </row>
    <row r="17" customFormat="false" ht="15" hidden="false" customHeight="false" outlineLevel="0" collapsed="false">
      <c r="B17" s="32"/>
      <c r="C17" s="32"/>
      <c r="D17" s="32"/>
      <c r="E17" s="32"/>
      <c r="F17" s="32"/>
      <c r="G17" s="32"/>
    </row>
    <row r="18" customFormat="false" ht="15" hidden="false" customHeight="false" outlineLevel="0" collapsed="false">
      <c r="B18" s="32"/>
      <c r="C18" s="32"/>
      <c r="D18" s="32"/>
      <c r="E18" s="32"/>
      <c r="F18" s="32"/>
      <c r="G18" s="32"/>
    </row>
    <row r="19" customFormat="false" ht="15" hidden="false" customHeight="false" outlineLevel="0" collapsed="false">
      <c r="B19" s="32"/>
      <c r="C19" s="32"/>
      <c r="D19" s="32"/>
      <c r="E19" s="32"/>
      <c r="F19" s="32"/>
      <c r="G19" s="32"/>
    </row>
    <row r="20" customFormat="false" ht="15" hidden="false" customHeight="false" outlineLevel="0" collapsed="false">
      <c r="B20" s="32"/>
      <c r="C20" s="32"/>
      <c r="D20" s="32"/>
      <c r="E20" s="32"/>
      <c r="F20" s="32"/>
      <c r="G20" s="32"/>
    </row>
    <row r="21" customFormat="false" ht="15" hidden="false" customHeight="false" outlineLevel="0" collapsed="false">
      <c r="B21" s="32"/>
      <c r="C21" s="32"/>
      <c r="D21" s="32"/>
      <c r="E21" s="32"/>
      <c r="F21" s="32"/>
      <c r="G21" s="32"/>
    </row>
    <row r="22" customFormat="false" ht="15" hidden="false" customHeight="false" outlineLevel="0" collapsed="false">
      <c r="B22" s="32"/>
      <c r="C22" s="32"/>
      <c r="D22" s="32"/>
      <c r="E22" s="32"/>
      <c r="F22" s="32"/>
      <c r="G22" s="32"/>
    </row>
    <row r="23" customFormat="false" ht="15" hidden="false" customHeight="false" outlineLevel="0" collapsed="false">
      <c r="B23" s="32"/>
      <c r="C23" s="32"/>
      <c r="D23" s="32"/>
      <c r="E23" s="32"/>
      <c r="F23" s="32"/>
      <c r="G23" s="32"/>
    </row>
    <row r="24" customFormat="false" ht="15" hidden="false" customHeight="false" outlineLevel="0" collapsed="false">
      <c r="B24" s="32"/>
      <c r="C24" s="32"/>
      <c r="D24" s="32"/>
      <c r="E24" s="32"/>
      <c r="F24" s="32"/>
      <c r="G24" s="32"/>
    </row>
    <row r="25" customFormat="false" ht="15" hidden="false" customHeight="false" outlineLevel="0" collapsed="false">
      <c r="B25" s="32"/>
      <c r="C25" s="32"/>
      <c r="D25" s="32"/>
      <c r="E25" s="32"/>
      <c r="F25" s="32"/>
      <c r="G25" s="32"/>
    </row>
    <row r="26" customFormat="false" ht="15" hidden="false" customHeight="false" outlineLevel="0" collapsed="false">
      <c r="B26" s="32"/>
      <c r="C26" s="32"/>
      <c r="D26" s="32"/>
      <c r="E26" s="32"/>
      <c r="F26" s="32"/>
      <c r="G26" s="32"/>
    </row>
    <row r="27" customFormat="false" ht="15" hidden="false" customHeight="false" outlineLevel="0" collapsed="false">
      <c r="B27" s="32"/>
      <c r="C27" s="32"/>
      <c r="D27" s="32"/>
      <c r="E27" s="32"/>
      <c r="F27" s="32"/>
      <c r="G27" s="32"/>
    </row>
    <row r="28" customFormat="false" ht="15" hidden="false" customHeight="false" outlineLevel="0" collapsed="false">
      <c r="B28" s="32"/>
      <c r="C28" s="32"/>
      <c r="D28" s="32"/>
      <c r="E28" s="32"/>
      <c r="F28" s="32"/>
      <c r="G28" s="32"/>
    </row>
    <row r="29" customFormat="false" ht="15" hidden="false" customHeight="false" outlineLevel="0" collapsed="false">
      <c r="B29" s="32"/>
      <c r="C29" s="32"/>
      <c r="D29" s="32"/>
      <c r="E29" s="32"/>
      <c r="F29" s="32"/>
      <c r="G29" s="32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6" min="3" style="0" width="18"/>
  </cols>
  <sheetData>
    <row r="2" customFormat="false" ht="19.7" hidden="false" customHeight="false" outlineLevel="0" collapsed="false">
      <c r="B2" s="33" t="s">
        <v>255</v>
      </c>
    </row>
    <row r="4" customFormat="false" ht="15" hidden="false" customHeight="false" outlineLevel="0" collapsed="false">
      <c r="B4" s="34" t="s">
        <v>256</v>
      </c>
      <c r="C4" s="34" t="s">
        <v>257</v>
      </c>
      <c r="D4" s="34" t="s">
        <v>258</v>
      </c>
      <c r="E4" s="34" t="s">
        <v>259</v>
      </c>
      <c r="F4" s="34" t="s">
        <v>260</v>
      </c>
    </row>
    <row r="5" customFormat="false" ht="15" hidden="false" customHeight="false" outlineLevel="0" collapsed="false">
      <c r="B5" s="0" t="s">
        <v>261</v>
      </c>
      <c r="C5" s="35" t="n">
        <v>35</v>
      </c>
      <c r="D5" s="35" t="n">
        <v>45</v>
      </c>
      <c r="E5" s="36" t="n">
        <v>4</v>
      </c>
      <c r="F5" s="36" t="n">
        <v>7</v>
      </c>
    </row>
    <row r="6" customFormat="false" ht="15" hidden="false" customHeight="false" outlineLevel="0" collapsed="false">
      <c r="B6" s="0" t="s">
        <v>262</v>
      </c>
      <c r="C6" s="35" t="n">
        <v>25</v>
      </c>
      <c r="D6" s="35" t="n">
        <v>30</v>
      </c>
      <c r="E6" s="36" t="n">
        <v>4.5</v>
      </c>
      <c r="F6" s="36" t="n">
        <v>6.5</v>
      </c>
    </row>
    <row r="7" customFormat="false" ht="15" hidden="false" customHeight="false" outlineLevel="0" collapsed="false">
      <c r="B7" s="0" t="s">
        <v>263</v>
      </c>
      <c r="C7" s="35" t="n">
        <v>20</v>
      </c>
      <c r="D7" s="35" t="n">
        <v>15</v>
      </c>
      <c r="E7" s="36" t="n">
        <v>3.5</v>
      </c>
      <c r="F7" s="36" t="n">
        <v>5</v>
      </c>
    </row>
    <row r="8" customFormat="false" ht="15" hidden="false" customHeight="false" outlineLevel="0" collapsed="false">
      <c r="B8" s="0" t="s">
        <v>264</v>
      </c>
      <c r="C8" s="35" t="n">
        <v>12</v>
      </c>
      <c r="D8" s="35" t="n">
        <v>7</v>
      </c>
      <c r="E8" s="36" t="n">
        <v>3</v>
      </c>
      <c r="F8" s="36" t="n">
        <v>4</v>
      </c>
    </row>
    <row r="9" customFormat="false" ht="15" hidden="false" customHeight="false" outlineLevel="0" collapsed="false">
      <c r="B9" s="0" t="s">
        <v>265</v>
      </c>
      <c r="C9" s="35" t="n">
        <v>8</v>
      </c>
      <c r="D9" s="35" t="n">
        <v>3</v>
      </c>
      <c r="E9" s="36" t="n">
        <v>2.5</v>
      </c>
      <c r="F9" s="36" t="n">
        <v>3.5</v>
      </c>
    </row>
    <row r="12" customFormat="false" ht="15" hidden="false" customHeight="false" outlineLevel="0" collapsed="false">
      <c r="B12" s="0" t="s">
        <v>266</v>
      </c>
      <c r="C12" s="37" t="n">
        <f aca="false">SUM(C5:C9)</f>
        <v>100</v>
      </c>
      <c r="D12" s="37" t="n">
        <f aca="false">SUM(D5:D9)</f>
        <v>100</v>
      </c>
    </row>
    <row r="13" customFormat="false" ht="15" hidden="false" customHeight="false" outlineLevel="0" collapsed="false">
      <c r="B13" s="0" t="s">
        <v>267</v>
      </c>
      <c r="C13" s="38" t="n">
        <f aca="false">IFERROR(MAX(C5:C9)/C12,0)</f>
        <v>0.35</v>
      </c>
      <c r="D13" s="38" t="n">
        <f aca="false">IFERROR(MAX(D5:D9)/D12,0)</f>
        <v>0.45</v>
      </c>
    </row>
    <row r="14" customFormat="false" ht="15" hidden="false" customHeight="false" outlineLevel="0" collapsed="false">
      <c r="B14" s="0" t="s">
        <v>268</v>
      </c>
      <c r="C14" s="39" t="n">
        <f aca="false">IFERROR(SUMPRODUCT(C5:C9,E5:E9)/C12,0)</f>
        <v>3.785</v>
      </c>
      <c r="D14" s="39" t="n">
        <f aca="false">IFERROR(SUMPRODUCT(D5:D9,F5:F9)/D12,0)</f>
        <v>6.235</v>
      </c>
    </row>
    <row r="15" customFormat="false" ht="15" hidden="false" customHeight="false" outlineLevel="0" collapsed="false">
      <c r="B15" s="0" t="s">
        <v>269</v>
      </c>
      <c r="C15" s="40" t="n">
        <v>0.4</v>
      </c>
      <c r="D15" s="40" t="n">
        <v>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33" t="s">
        <v>270</v>
      </c>
    </row>
    <row r="4" customFormat="false" ht="15" hidden="false" customHeight="false" outlineLevel="0" collapsed="false">
      <c r="B4" s="34" t="s">
        <v>187</v>
      </c>
      <c r="C4" s="34" t="s">
        <v>11</v>
      </c>
      <c r="D4" s="34" t="s">
        <v>271</v>
      </c>
      <c r="E4" s="34" t="s">
        <v>272</v>
      </c>
    </row>
    <row r="5" customFormat="false" ht="15" hidden="false" customHeight="false" outlineLevel="0" collapsed="false">
      <c r="B5" s="0" t="s">
        <v>273</v>
      </c>
      <c r="C5" s="35" t="n">
        <v>350</v>
      </c>
      <c r="D5" s="35" t="n">
        <v>350</v>
      </c>
    </row>
    <row r="6" customFormat="false" ht="15" hidden="false" customHeight="false" outlineLevel="0" collapsed="false">
      <c r="B6" s="0" t="s">
        <v>144</v>
      </c>
      <c r="C6" s="35" t="n">
        <v>10</v>
      </c>
      <c r="D6" s="35" t="n">
        <v>0</v>
      </c>
    </row>
    <row r="7" customFormat="false" ht="15" hidden="false" customHeight="false" outlineLevel="0" collapsed="false">
      <c r="B7" s="0" t="s">
        <v>146</v>
      </c>
      <c r="C7" s="35" t="n">
        <v>40</v>
      </c>
      <c r="D7" s="35" t="n">
        <v>0</v>
      </c>
    </row>
    <row r="8" customFormat="false" ht="15" hidden="false" customHeight="false" outlineLevel="0" collapsed="false">
      <c r="B8" s="0" t="s">
        <v>274</v>
      </c>
      <c r="C8" s="35" t="n">
        <v>0</v>
      </c>
      <c r="D8" s="35" t="n">
        <v>30</v>
      </c>
    </row>
    <row r="9" customFormat="false" ht="15" hidden="false" customHeight="false" outlineLevel="0" collapsed="false">
      <c r="B9" s="0" t="s">
        <v>275</v>
      </c>
      <c r="C9" s="35" t="n">
        <v>80</v>
      </c>
      <c r="D9" s="35" t="n">
        <v>20</v>
      </c>
    </row>
    <row r="10" customFormat="false" ht="15" hidden="false" customHeight="false" outlineLevel="0" collapsed="false">
      <c r="B10" s="0" t="s">
        <v>171</v>
      </c>
      <c r="C10" s="35" t="n">
        <v>25</v>
      </c>
      <c r="D10" s="35" t="n">
        <v>40</v>
      </c>
    </row>
    <row r="11" customFormat="false" ht="15" hidden="false" customHeight="false" outlineLevel="0" collapsed="false">
      <c r="B11" s="0" t="s">
        <v>166</v>
      </c>
      <c r="C11" s="35" t="n">
        <v>100</v>
      </c>
      <c r="D11" s="35" t="n">
        <v>50</v>
      </c>
    </row>
    <row r="12" customFormat="false" ht="15" hidden="false" customHeight="false" outlineLevel="0" collapsed="false">
      <c r="B12" s="0" t="s">
        <v>276</v>
      </c>
      <c r="C12" s="35" t="n">
        <v>500</v>
      </c>
      <c r="D12" s="35" t="n">
        <v>180</v>
      </c>
    </row>
    <row r="13" customFormat="false" ht="15" hidden="false" customHeight="false" outlineLevel="0" collapsed="false">
      <c r="B13" s="0" t="s">
        <v>277</v>
      </c>
      <c r="C13" s="35" t="n">
        <v>50</v>
      </c>
      <c r="D13" s="35" t="n">
        <v>50</v>
      </c>
    </row>
    <row r="14" customFormat="false" ht="15" hidden="false" customHeight="false" outlineLevel="0" collapsed="false">
      <c r="B14" s="0" t="s">
        <v>278</v>
      </c>
      <c r="C14" s="35" t="n">
        <v>300</v>
      </c>
      <c r="D14" s="35" t="n">
        <v>380</v>
      </c>
    </row>
    <row r="15" customFormat="false" ht="15" hidden="false" customHeight="false" outlineLevel="0" collapsed="false">
      <c r="B15" s="0" t="s">
        <v>152</v>
      </c>
      <c r="C15" s="36" t="n">
        <v>1</v>
      </c>
      <c r="D15" s="36" t="n">
        <v>1</v>
      </c>
    </row>
    <row r="16" customFormat="false" ht="15" hidden="false" customHeight="false" outlineLevel="0" collapsed="false">
      <c r="B16" s="0" t="s">
        <v>149</v>
      </c>
      <c r="C16" s="36" t="n">
        <v>6</v>
      </c>
      <c r="D16" s="36" t="n">
        <v>6</v>
      </c>
    </row>
    <row r="17" customFormat="false" ht="15" hidden="false" customHeight="false" outlineLevel="0" collapsed="false">
      <c r="B17" s="0" t="s">
        <v>279</v>
      </c>
      <c r="C17" s="40" t="n">
        <v>0.6</v>
      </c>
      <c r="D17" s="40" t="n">
        <v>0.6</v>
      </c>
    </row>
    <row r="18" customFormat="false" ht="15" hidden="false" customHeight="false" outlineLevel="0" collapsed="false">
      <c r="B18" s="0" t="s">
        <v>280</v>
      </c>
      <c r="C18" s="40" t="n">
        <v>0.01</v>
      </c>
      <c r="D18" s="40" t="n">
        <v>0.03</v>
      </c>
    </row>
    <row r="19" customFormat="false" ht="15" hidden="false" customHeight="false" outlineLevel="0" collapsed="false">
      <c r="B19" s="0" t="s">
        <v>281</v>
      </c>
      <c r="C19" s="41" t="n">
        <v>0</v>
      </c>
      <c r="D19" s="41" t="n">
        <v>2</v>
      </c>
    </row>
    <row r="23" customFormat="false" ht="15" hidden="false" customHeight="false" outlineLevel="0" collapsed="false">
      <c r="B23" s="0" t="s">
        <v>182</v>
      </c>
      <c r="C23" s="37" t="n">
        <f aca="false">MAX(0,C5-C6-C7+C8)</f>
        <v>300</v>
      </c>
      <c r="D23" s="37" t="n">
        <f aca="false">MAX(0,D5-D6-D7+D8)</f>
        <v>380</v>
      </c>
    </row>
    <row r="24" customFormat="false" ht="15" hidden="false" customHeight="false" outlineLevel="0" collapsed="false">
      <c r="B24" s="0" t="s">
        <v>282</v>
      </c>
      <c r="C24" s="37" t="n">
        <f aca="false">C6+C10</f>
        <v>35</v>
      </c>
      <c r="D24" s="37" t="n">
        <f aca="false">D6+D10</f>
        <v>40</v>
      </c>
    </row>
    <row r="25" customFormat="false" ht="15" hidden="false" customHeight="false" outlineLevel="0" collapsed="false">
      <c r="B25" s="0" t="s">
        <v>193</v>
      </c>
      <c r="C25" s="39" t="n">
        <f aca="false">IFERROR(C9/C24,0)</f>
        <v>2.28571428571429</v>
      </c>
      <c r="D25" s="39" t="n">
        <f aca="false">IFERROR(D9/D24,0)</f>
        <v>0.5</v>
      </c>
    </row>
    <row r="26" customFormat="false" ht="15" hidden="false" customHeight="false" outlineLevel="0" collapsed="false">
      <c r="B26" s="0" t="s">
        <v>283</v>
      </c>
      <c r="C26" s="39" t="n">
        <f aca="false">IFERROR(C23/C11,0)</f>
        <v>3</v>
      </c>
      <c r="D26" s="39" t="n">
        <f aca="false">IFERROR(D23/D11,0)</f>
        <v>7.6</v>
      </c>
    </row>
    <row r="27" customFormat="false" ht="15" hidden="false" customHeight="false" outlineLevel="0" collapsed="false">
      <c r="B27" s="0" t="s">
        <v>220</v>
      </c>
      <c r="C27" s="37" t="n">
        <f aca="false">MIN(C14,MAX(0,C12-C13))</f>
        <v>300</v>
      </c>
      <c r="D27" s="37" t="n">
        <f aca="false">MIN(D14,MAX(0,D12-D13))</f>
        <v>130</v>
      </c>
    </row>
    <row r="28" customFormat="false" ht="15" hidden="false" customHeight="false" outlineLevel="0" collapsed="false">
      <c r="B28" s="0" t="s">
        <v>221</v>
      </c>
      <c r="C28" s="38" t="n">
        <f aca="false">IFERROR(C27/C14,1)</f>
        <v>1</v>
      </c>
      <c r="D28" s="38" t="n">
        <f aca="false">IFERROR(D27/D14,1)</f>
        <v>0.342105263157895</v>
      </c>
    </row>
    <row r="29" customFormat="false" ht="15" hidden="false" customHeight="false" outlineLevel="0" collapsed="false">
      <c r="B29" s="0" t="s">
        <v>222</v>
      </c>
      <c r="C29" s="38" t="n">
        <f aca="false">1-C28</f>
        <v>0</v>
      </c>
      <c r="D29" s="38" t="n">
        <f aca="false">1-D28</f>
        <v>0.657894736842105</v>
      </c>
    </row>
    <row r="30" customFormat="false" ht="15" hidden="false" customHeight="false" outlineLevel="0" collapsed="false">
      <c r="B30" s="0" t="s">
        <v>284</v>
      </c>
      <c r="C30" s="37" t="n">
        <f aca="false">C5*C18</f>
        <v>3.5</v>
      </c>
      <c r="D30" s="37" t="n">
        <f aca="false">D5*D18</f>
        <v>10.5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4"/>
  </cols>
  <sheetData>
    <row r="2" customFormat="false" ht="19.7" hidden="false" customHeight="false" outlineLevel="0" collapsed="false">
      <c r="B2" s="33" t="s">
        <v>285</v>
      </c>
    </row>
    <row r="4" customFormat="false" ht="15" hidden="false" customHeight="false" outlineLevel="0" collapsed="false">
      <c r="B4" s="34" t="s">
        <v>286</v>
      </c>
      <c r="C4" s="34" t="s">
        <v>187</v>
      </c>
      <c r="D4" s="34" t="s">
        <v>43</v>
      </c>
      <c r="E4" s="34" t="s">
        <v>287</v>
      </c>
    </row>
    <row r="5" customFormat="false" ht="15" hidden="false" customHeight="false" outlineLevel="0" collapsed="false">
      <c r="B5" s="0" t="s">
        <v>288</v>
      </c>
      <c r="C5" s="42" t="n">
        <f aca="false">'Amendment Economics'!D23-MAX(0,'Amendment Economics'!D5-'Amendment Economics'!D6-'Amendment Economics'!D7+'Amendment Economics'!D8)</f>
        <v>0</v>
      </c>
      <c r="D5" s="43" t="str">
        <f aca="false">IF(ABS(C5)&lt;0.01,"PASS","FAIL")</f>
        <v>PASS</v>
      </c>
      <c r="E5" s="13" t="s">
        <v>289</v>
      </c>
    </row>
    <row r="6" customFormat="false" ht="15" hidden="false" customHeight="false" outlineLevel="0" collapsed="false">
      <c r="B6" s="0" t="s">
        <v>290</v>
      </c>
      <c r="C6" s="42" t="n">
        <f aca="false">'Amendment Economics'!D28+'Amendment Economics'!D29-1</f>
        <v>0</v>
      </c>
      <c r="D6" s="43" t="str">
        <f aca="false">IF(ABS(C6)&lt;0.000001,"PASS","FAIL")</f>
        <v>PASS</v>
      </c>
      <c r="E6" s="13" t="s">
        <v>291</v>
      </c>
    </row>
    <row r="7" customFormat="false" ht="15" hidden="false" customHeight="false" outlineLevel="0" collapsed="false">
      <c r="B7" s="0" t="s">
        <v>292</v>
      </c>
      <c r="C7" s="42" t="n">
        <f aca="false">'Amendment Economics'!D25</f>
        <v>0.5</v>
      </c>
      <c r="D7" s="43" t="str">
        <f aca="false">IF(C7&gt;='Amendment Economics'!D15,"PASS","BREACH")</f>
        <v>BREACH</v>
      </c>
      <c r="E7" s="13" t="s">
        <v>293</v>
      </c>
    </row>
    <row r="8" customFormat="false" ht="15" hidden="false" customHeight="false" outlineLevel="0" collapsed="false">
      <c r="B8" s="0" t="s">
        <v>260</v>
      </c>
      <c r="C8" s="42" t="n">
        <f aca="false">'Amendment Economics'!D26</f>
        <v>7.6</v>
      </c>
      <c r="D8" s="43" t="str">
        <f aca="false">IF(C8&lt;='Amendment Economics'!D16,"PASS","BREACH")</f>
        <v>BREACH</v>
      </c>
      <c r="E8" s="13" t="s">
        <v>294</v>
      </c>
    </row>
    <row r="9" customFormat="false" ht="15" hidden="false" customHeight="false" outlineLevel="0" collapsed="false">
      <c r="B9" s="0" t="s">
        <v>295</v>
      </c>
      <c r="C9" s="42" t="n">
        <f aca="false">'Amendment Economics'!D28</f>
        <v>0.342105263157895</v>
      </c>
      <c r="D9" s="43" t="str">
        <f aca="false">IF(C9&gt;='Amendment Economics'!D17,"PASS","BREACH")</f>
        <v>BREACH</v>
      </c>
      <c r="E9" s="13" t="s">
        <v>296</v>
      </c>
    </row>
    <row r="10" customFormat="false" ht="15" hidden="false" customHeight="false" outlineLevel="0" collapsed="false">
      <c r="B10" s="0" t="s">
        <v>297</v>
      </c>
      <c r="C10" s="42" t="n">
        <f aca="false">'Amendment Economics'!D8-'Amendment Economics'!D6-'Amendment Economics'!D7</f>
        <v>30</v>
      </c>
      <c r="D10" s="43" t="str">
        <f aca="false">IF(C10&lt;=0,"PASS","BREACH")</f>
        <v>BREACH</v>
      </c>
      <c r="E10" s="13" t="s">
        <v>298</v>
      </c>
    </row>
    <row r="11" customFormat="false" ht="15" hidden="false" customHeight="false" outlineLevel="0" collapsed="false">
      <c r="B11" s="0" t="s">
        <v>299</v>
      </c>
      <c r="C11" s="42" t="n">
        <f aca="false">'Portfolio &amp; Concentration'!D13</f>
        <v>0.45</v>
      </c>
      <c r="D11" s="43" t="str">
        <f aca="false">IF(C11&lt;='Portfolio &amp; Concentration'!D15,"PASS","BREACH")</f>
        <v>BREACH</v>
      </c>
      <c r="E11" s="13" t="s">
        <v>300</v>
      </c>
    </row>
    <row r="13" customFormat="false" ht="15" hidden="false" customHeight="false" outlineLevel="0" collapsed="false">
      <c r="B13" s="44" t="s">
        <v>301</v>
      </c>
      <c r="C13" s="45" t="str">
        <f aca="false">IF(COUNTIF(D5:D11,"FAIL")+COUNTIF(D5:D11,"BREACH")&gt;0,"BREACH",IF(COUNTIF(D5:D11,"REVIEW")&gt;0,"REVIEW","PASS"))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2026-08-04T17:34:22Z</dcterms:created>
  <dc:creator>openpyxl</dc:creator>
  <dc:description/>
  <dc:language>en-US</dc:language>
  <cp:lastModifiedBy/>
  <dcterms:modified xsi:type="dcterms:W3CDTF">2026-08-04T17:34:22Z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