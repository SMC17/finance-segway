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over" sheetId="1" state="visible" r:id="rId1"/>
    <sheet name="Institutional Surface" sheetId="2" state="visible" r:id="rId2"/>
    <sheet name="Challenge Log" sheetId="3" state="visible" r:id="rId3"/>
    <sheet name="Lineage Map" sheetId="4" state="visible" r:id="rId4"/>
    <sheet name="Property Pro Forma" sheetId="5" state="visible" r:id="rId5"/>
    <sheet name="Cap Rate &amp; Valuation" sheetId="6" state="visible" r:id="rId6"/>
    <sheet name="REIT FFO-AFFO" sheetId="7" state="visible" r:id="rId7"/>
    <sheet name="5-Year Hold &amp; IRR" sheetId="8" state="visible" r:id="rId8"/>
    <sheet name="RefreshLog" sheetId="9" state="visible" r:id="rId9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5">
    <numFmt numFmtId="164" formatCode="\$#,##0;&quot;($&quot;#,##0\);\-"/>
    <numFmt numFmtId="165" formatCode="0.0%;\(0.0%\);\-"/>
    <numFmt numFmtId="166" formatCode="#,##0;\(#,##0\);\-"/>
    <numFmt numFmtId="167" formatCode="\$#,##0.00;&quot;($&quot;#,##0.00\);\-"/>
    <numFmt numFmtId="168" formatCode="0.0\x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8000"/>
      <sz val="10"/>
    </font>
    <font>
      <name val="Arial"/>
      <charset val="1"/>
      <family val="0"/>
      <i val="1"/>
      <color rgb="FF808080"/>
      <sz val="8"/>
    </font>
    <font>
      <name val="Arial"/>
      <charset val="1"/>
      <family val="0"/>
      <b val="1"/>
      <color rgb="FFFFFFFF"/>
      <sz val="11"/>
    </font>
    <font>
      <b val="1"/>
      <color rgb="00FFFFFF"/>
      <sz val="15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D9D9"/>
        <bgColor rgb="FFBFBFBF"/>
      </patternFill>
    </fill>
    <fill>
      <patternFill patternType="solid">
        <fgColor rgb="FF1F4E78"/>
        <bgColor rgb="FF003366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bottom style="thin">
        <color rgb="00B7B7B7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165" fontId="6" fillId="2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6" fontId="6" fillId="0" borderId="1" applyAlignment="1" pivotButton="0" quotePrefix="0" xfId="0">
      <alignment horizontal="general" vertical="bottom"/>
    </xf>
    <xf numFmtId="167" fontId="0" fillId="0" borderId="1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general" vertical="bottom"/>
    </xf>
    <xf numFmtId="0" fontId="10" fillId="4" borderId="0" applyAlignment="1" pivotButton="0" quotePrefix="0" xfId="0">
      <alignment horizontal="center" vertical="bottom"/>
    </xf>
    <xf numFmtId="164" fontId="0" fillId="0" borderId="1" applyAlignment="1" pivotButton="0" quotePrefix="0" xfId="0">
      <alignment horizontal="general" vertical="bottom"/>
    </xf>
    <xf numFmtId="168" fontId="0" fillId="2" borderId="1" applyAlignment="1" pivotButton="0" quotePrefix="0" xfId="0">
      <alignment horizontal="general" vertical="bottom"/>
    </xf>
    <xf numFmtId="165" fontId="5" fillId="2" borderId="1" applyAlignment="1" pivotButton="0" quotePrefix="0" xfId="0">
      <alignment horizontal="general" vertical="bottom"/>
    </xf>
    <xf numFmtId="168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1" fillId="5" borderId="0" pivotButton="0" quotePrefix="0" xfId="0"/>
    <xf numFmtId="0" fontId="12" fillId="0" borderId="0" pivotButton="0" quotePrefix="0" xfId="0"/>
    <xf numFmtId="0" fontId="0" fillId="0" borderId="0" applyAlignment="1" pivotButton="0" quotePrefix="0" xfId="0">
      <alignment wrapText="1"/>
    </xf>
    <xf numFmtId="0" fontId="13" fillId="5" borderId="0" pivotButton="0" quotePrefix="0" xfId="0"/>
    <xf numFmtId="0" fontId="12" fillId="6" borderId="2" applyAlignment="1" pivotButton="0" quotePrefix="0" xfId="0">
      <alignment wrapText="1"/>
    </xf>
    <xf numFmtId="0" fontId="7" fillId="0" borderId="0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165" fontId="6" fillId="2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6" fontId="6" fillId="0" borderId="1" applyAlignment="1" pivotButton="0" quotePrefix="0" xfId="0">
      <alignment horizontal="general" vertical="bottom"/>
    </xf>
    <xf numFmtId="167" fontId="0" fillId="0" borderId="1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general" vertical="bottom"/>
    </xf>
    <xf numFmtId="0" fontId="10" fillId="4" borderId="0" applyAlignment="1" pivotButton="0" quotePrefix="0" xfId="0">
      <alignment horizontal="center" vertical="bottom"/>
    </xf>
    <xf numFmtId="164" fontId="0" fillId="0" borderId="1" applyAlignment="1" pivotButton="0" quotePrefix="0" xfId="0">
      <alignment horizontal="general" vertical="bottom"/>
    </xf>
    <xf numFmtId="168" fontId="0" fillId="2" borderId="1" applyAlignment="1" pivotButton="0" quotePrefix="0" xfId="0">
      <alignment horizontal="general" vertical="bottom"/>
    </xf>
    <xf numFmtId="165" fontId="5" fillId="2" borderId="1" applyAlignment="1" pivotButton="0" quotePrefix="0" xfId="0">
      <alignment horizontal="general" vertical="bottom"/>
    </xf>
    <xf numFmtId="168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2" min="1" max="1"/>
    <col width="30" customWidth="1" style="22" min="2" max="2"/>
    <col width="40" customWidth="1" style="22" min="3" max="3"/>
    <col width="4" customWidth="1" style="22" min="4" max="4"/>
  </cols>
  <sheetData>
    <row r="2" ht="19.7" customHeight="1" s="23">
      <c r="B2" s="24" t="inlineStr">
        <is>
          <t>[PROPERTY/REIT] — Real Estate Model</t>
        </is>
      </c>
    </row>
    <row r="4" ht="15" customHeight="1" s="23">
      <c r="B4" s="25" t="inlineStr">
        <is>
          <t>Property type:</t>
        </is>
      </c>
      <c r="C4" s="26" t="inlineStr">
        <is>
          <t>Office / Multifamily / Industrial / Retail</t>
        </is>
      </c>
    </row>
    <row r="5" ht="15" customHeight="1" s="23">
      <c r="B5" s="25" t="inlineStr">
        <is>
          <t>Location:</t>
        </is>
      </c>
      <c r="C5" s="26" t="inlineStr">
        <is>
          <t>[fill in]</t>
        </is>
      </c>
    </row>
    <row r="6" ht="15" customHeight="1" s="23">
      <c r="B6" s="25" t="inlineStr">
        <is>
          <t>Last refreshed:</t>
        </is>
      </c>
      <c r="C6" s="26" t="inlineStr">
        <is>
          <t>[date]</t>
        </is>
      </c>
    </row>
    <row r="7" ht="15" customHeight="1" s="23">
      <c r="B7" s="25" t="inlineStr">
        <is>
          <t>Refresh cadence:</t>
        </is>
      </c>
      <c r="C7" s="26" t="inlineStr">
        <is>
          <t>Weekly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style="23" min="2" max="2"/>
    <col width="48" customWidth="1" style="23" min="3" max="3"/>
    <col width="24" customWidth="1" style="23" min="4" max="4"/>
    <col width="34" customWidth="1" style="23" min="5" max="5"/>
    <col width="20" customWidth="1" style="23" min="6" max="6"/>
  </cols>
  <sheetData>
    <row r="2">
      <c r="B2" s="27" t="inlineStr">
        <is>
          <t>Real Estate &amp; REIT — Institutional Decision Surface</t>
        </is>
      </c>
    </row>
    <row r="4">
      <c r="B4" s="28" t="inlineStr">
        <is>
          <t>Model ID</t>
        </is>
      </c>
      <c r="C4" s="29" t="inlineStr">
        <is>
          <t>17</t>
        </is>
      </c>
    </row>
    <row r="5">
      <c r="B5" s="28" t="inlineStr">
        <is>
          <t>Domain</t>
        </is>
      </c>
      <c r="C5" s="29" t="inlineStr">
        <is>
          <t>Real Estate &amp; REIT</t>
        </is>
      </c>
    </row>
    <row r="6">
      <c r="B6" s="28" t="inlineStr">
        <is>
          <t>Declared maturity</t>
        </is>
      </c>
      <c r="C6" s="29" t="inlineStr">
        <is>
          <t>M1</t>
        </is>
      </c>
    </row>
    <row r="7">
      <c r="B7" s="28" t="inlineStr">
        <is>
          <t>Canonical builder</t>
        </is>
      </c>
      <c r="C7" s="29" t="inlineStr">
        <is>
          <t>tools/builders/build_real_estate_template.py</t>
        </is>
      </c>
    </row>
    <row r="8">
      <c r="B8" s="28" t="inlineStr">
        <is>
          <t>Decision arena</t>
        </is>
      </c>
      <c r="C8" s="29" t="inlineStr">
        <is>
          <t>acquisitions, asset management, leasing, lender and investment committee</t>
        </is>
      </c>
    </row>
    <row r="9">
      <c r="B9" s="28" t="inlineStr">
        <is>
          <t>Committee artifact</t>
        </is>
      </c>
      <c r="C9" s="29" t="inlineStr">
        <is>
          <t>asset underwriting and business-plan pack</t>
        </is>
      </c>
    </row>
    <row r="10">
      <c r="B10" s="28" t="inlineStr">
        <is>
          <t>Operating cadence</t>
        </is>
      </c>
      <c r="C10" s="29" t="inlineStr">
        <is>
          <t>monthly asset management; quarterly valuation; annual plan</t>
        </is>
      </c>
    </row>
    <row r="12">
      <c r="B12" s="30" t="inlineStr">
        <is>
          <t>Key decision outputs</t>
        </is>
      </c>
    </row>
    <row r="13">
      <c r="B13" s="31" t="inlineStr">
        <is>
          <t>#</t>
        </is>
      </c>
      <c r="C13" s="31" t="inlineStr">
        <is>
          <t>Requirement</t>
        </is>
      </c>
      <c r="D13" s="31" t="inlineStr">
        <is>
          <t>Owner</t>
        </is>
      </c>
      <c r="E13" s="31" t="inlineStr">
        <is>
          <t>Evidence / location</t>
        </is>
      </c>
      <c r="F13" s="31" t="inlineStr">
        <is>
          <t>Status</t>
        </is>
      </c>
    </row>
    <row r="14">
      <c r="B14" t="n">
        <v>1</v>
      </c>
      <c r="C14" t="inlineStr">
        <is>
          <t>NOI and cash flow</t>
        </is>
      </c>
      <c r="D14" t="inlineStr"/>
      <c r="E14" t="inlineStr"/>
      <c r="F14" t="inlineStr">
        <is>
          <t>OPEN</t>
        </is>
      </c>
    </row>
    <row r="15">
      <c r="B15" t="n">
        <v>2</v>
      </c>
      <c r="C15" t="inlineStr">
        <is>
          <t>lease rollover and mark-to-market</t>
        </is>
      </c>
      <c r="D15" t="inlineStr"/>
      <c r="E15" t="inlineStr"/>
      <c r="F15" t="inlineStr">
        <is>
          <t>OPEN</t>
        </is>
      </c>
    </row>
    <row r="16">
      <c r="B16" t="n">
        <v>3</v>
      </c>
      <c r="C16" t="inlineStr">
        <is>
          <t>tenant improvements / leasing commissions</t>
        </is>
      </c>
      <c r="D16" t="inlineStr"/>
      <c r="E16" t="inlineStr"/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D17" t="inlineStr"/>
      <c r="E17" t="inlineStr"/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D18" t="inlineStr"/>
      <c r="E18" t="inlineStr"/>
      <c r="F18" t="inlineStr">
        <is>
          <t>OPEN</t>
        </is>
      </c>
    </row>
    <row r="20">
      <c r="B20" s="30" t="inlineStr">
        <is>
          <t>Insider questions</t>
        </is>
      </c>
    </row>
    <row r="21">
      <c r="B21" s="31" t="inlineStr">
        <is>
          <t>#</t>
        </is>
      </c>
      <c r="C21" s="31" t="inlineStr">
        <is>
          <t>Requirement</t>
        </is>
      </c>
      <c r="D21" s="31" t="inlineStr">
        <is>
          <t>Owner</t>
        </is>
      </c>
      <c r="E21" s="31" t="inlineStr">
        <is>
          <t>Evidence / location</t>
        </is>
      </c>
      <c r="F21" s="31" t="inlineStr">
        <is>
          <t>Status</t>
        </is>
      </c>
    </row>
    <row r="22">
      <c r="B22" t="n">
        <v>1</v>
      </c>
      <c r="C22" t="inlineStr">
        <is>
          <t>Which leases drive the next two years of cash?</t>
        </is>
      </c>
      <c r="D22" t="inlineStr"/>
      <c r="E22" t="inlineStr"/>
      <c r="F22" t="inlineStr">
        <is>
          <t>OPEN</t>
        </is>
      </c>
    </row>
    <row r="23">
      <c r="B23" t="n">
        <v>2</v>
      </c>
      <c r="C23" t="inlineStr">
        <is>
          <t>What downtime and TI/LC are required to re-lease?</t>
        </is>
      </c>
      <c r="D23" t="inlineStr"/>
      <c r="E23" t="inlineStr"/>
      <c r="F23" t="inlineStr">
        <is>
          <t>OPEN</t>
        </is>
      </c>
    </row>
    <row r="24">
      <c r="B24" t="n">
        <v>3</v>
      </c>
      <c r="C24" t="inlineStr">
        <is>
          <t>What NOI is truly stabilized?</t>
        </is>
      </c>
      <c r="D24" t="inlineStr"/>
      <c r="E24" t="inlineStr"/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D25" t="inlineStr"/>
      <c r="E25" t="inlineStr"/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D26" t="inlineStr"/>
      <c r="E26" t="inlineStr"/>
      <c r="F26" t="inlineStr">
        <is>
          <t>OPEN</t>
        </is>
      </c>
    </row>
    <row r="28">
      <c r="B28" s="30" t="inlineStr">
        <is>
          <t>Scenario families</t>
        </is>
      </c>
    </row>
    <row r="29">
      <c r="B29" s="31" t="inlineStr">
        <is>
          <t>#</t>
        </is>
      </c>
      <c r="C29" s="31" t="inlineStr">
        <is>
          <t>Requirement</t>
        </is>
      </c>
      <c r="D29" s="31" t="inlineStr">
        <is>
          <t>Owner</t>
        </is>
      </c>
      <c r="E29" s="31" t="inlineStr">
        <is>
          <t>Evidence / location</t>
        </is>
      </c>
      <c r="F29" s="31" t="inlineStr">
        <is>
          <t>Status</t>
        </is>
      </c>
    </row>
    <row r="30">
      <c r="B30" t="n">
        <v>1</v>
      </c>
      <c r="C30" t="inlineStr">
        <is>
          <t>occupancy and rent decline</t>
        </is>
      </c>
      <c r="D30" t="inlineStr"/>
      <c r="E30" t="inlineStr"/>
      <c r="F30" t="inlineStr">
        <is>
          <t>OPEN</t>
        </is>
      </c>
    </row>
    <row r="31">
      <c r="B31" t="n">
        <v>2</v>
      </c>
      <c r="C31" t="inlineStr">
        <is>
          <t>lease rollover concentration</t>
        </is>
      </c>
      <c r="D31" t="inlineStr"/>
      <c r="E31" t="inlineStr"/>
      <c r="F31" t="inlineStr">
        <is>
          <t>OPEN</t>
        </is>
      </c>
    </row>
    <row r="32">
      <c r="B32" t="n">
        <v>3</v>
      </c>
      <c r="C32" t="inlineStr">
        <is>
          <t>cap-rate expansion</t>
        </is>
      </c>
      <c r="D32" t="inlineStr"/>
      <c r="E32" t="inlineStr"/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D33" t="inlineStr"/>
      <c r="E33" t="inlineStr"/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D34" t="inlineStr"/>
      <c r="E34" t="inlineStr"/>
      <c r="F34" t="inlineStr">
        <is>
          <t>OPEN</t>
        </is>
      </c>
    </row>
    <row r="36">
      <c r="B36" s="30" t="inlineStr">
        <is>
          <t>Primary diligence documents</t>
        </is>
      </c>
    </row>
    <row r="37">
      <c r="B37" s="31" t="inlineStr">
        <is>
          <t>#</t>
        </is>
      </c>
      <c r="C37" s="31" t="inlineStr">
        <is>
          <t>Requirement</t>
        </is>
      </c>
      <c r="D37" s="31" t="inlineStr">
        <is>
          <t>Owner</t>
        </is>
      </c>
      <c r="E37" s="31" t="inlineStr">
        <is>
          <t>Evidence / location</t>
        </is>
      </c>
      <c r="F37" s="31" t="inlineStr">
        <is>
          <t>Status</t>
        </is>
      </c>
    </row>
    <row r="38">
      <c r="B38" t="n">
        <v>1</v>
      </c>
      <c r="C38" t="inlineStr">
        <is>
          <t>rent roll and leases</t>
        </is>
      </c>
      <c r="D38" t="inlineStr"/>
      <c r="E38" t="inlineStr"/>
      <c r="F38" t="inlineStr">
        <is>
          <t>OPEN</t>
        </is>
      </c>
    </row>
    <row r="39">
      <c r="B39" t="n">
        <v>2</v>
      </c>
      <c r="C39" t="inlineStr">
        <is>
          <t>property operating statements</t>
        </is>
      </c>
      <c r="D39" t="inlineStr"/>
      <c r="E39" t="inlineStr"/>
      <c r="F39" t="inlineStr">
        <is>
          <t>OPEN</t>
        </is>
      </c>
    </row>
    <row r="40">
      <c r="B40" t="n">
        <v>3</v>
      </c>
      <c r="C40" t="inlineStr">
        <is>
          <t>engineering / PCA report</t>
        </is>
      </c>
      <c r="D40" t="inlineStr"/>
      <c r="E40" t="inlineStr"/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D41" t="inlineStr"/>
      <c r="E41" t="inlineStr"/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D42" t="inlineStr"/>
      <c r="E42" t="inlineStr"/>
      <c r="F42" t="inlineStr">
        <is>
          <t>OPEN</t>
        </is>
      </c>
    </row>
    <row r="44">
      <c r="B44" s="30" t="inlineStr">
        <is>
          <t>Challenge tests</t>
        </is>
      </c>
    </row>
    <row r="45">
      <c r="B45" s="31" t="inlineStr">
        <is>
          <t>#</t>
        </is>
      </c>
      <c r="C45" s="31" t="inlineStr">
        <is>
          <t>Requirement</t>
        </is>
      </c>
      <c r="D45" s="31" t="inlineStr">
        <is>
          <t>Owner</t>
        </is>
      </c>
      <c r="E45" s="31" t="inlineStr">
        <is>
          <t>Evidence / location</t>
        </is>
      </c>
      <c r="F45" s="31" t="inlineStr">
        <is>
          <t>Status</t>
        </is>
      </c>
    </row>
    <row r="46">
      <c r="B46" t="n">
        <v>1</v>
      </c>
      <c r="C46" t="inlineStr">
        <is>
          <t>rent roll ties to revenue</t>
        </is>
      </c>
      <c r="D46" t="inlineStr"/>
      <c r="E46" t="inlineStr"/>
      <c r="F46" t="inlineStr">
        <is>
          <t>OPEN</t>
        </is>
      </c>
    </row>
    <row r="47">
      <c r="B47" t="n">
        <v>2</v>
      </c>
      <c r="C47" t="inlineStr">
        <is>
          <t>lease expirations reconcile</t>
        </is>
      </c>
      <c r="D47" t="inlineStr"/>
      <c r="E47" t="inlineStr"/>
      <c r="F47" t="inlineStr">
        <is>
          <t>OPEN</t>
        </is>
      </c>
    </row>
    <row r="48">
      <c r="B48" t="n">
        <v>3</v>
      </c>
      <c r="C48" t="inlineStr">
        <is>
          <t>NOI excludes capital items consistently</t>
        </is>
      </c>
      <c r="D48" t="inlineStr"/>
      <c r="E48" t="inlineStr"/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D49" t="inlineStr"/>
      <c r="E49" t="inlineStr"/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D50" t="inlineStr"/>
      <c r="E50" t="inlineStr"/>
      <c r="F50" t="inlineStr">
        <is>
          <t>OPEN</t>
        </is>
      </c>
    </row>
    <row r="52">
      <c r="B52" s="30" t="inlineStr">
        <is>
          <t>Known failure modes</t>
        </is>
      </c>
    </row>
    <row r="53">
      <c r="B53" s="31" t="inlineStr">
        <is>
          <t>#</t>
        </is>
      </c>
      <c r="C53" s="31" t="inlineStr">
        <is>
          <t>Requirement</t>
        </is>
      </c>
      <c r="D53" s="31" t="inlineStr">
        <is>
          <t>Owner</t>
        </is>
      </c>
      <c r="E53" s="31" t="inlineStr">
        <is>
          <t>Evidence / location</t>
        </is>
      </c>
      <c r="F53" s="31" t="inlineStr">
        <is>
          <t>Status</t>
        </is>
      </c>
    </row>
    <row r="54">
      <c r="B54" t="n">
        <v>1</v>
      </c>
      <c r="C54" t="inlineStr">
        <is>
          <t>using average occupancy through a known rollover</t>
        </is>
      </c>
      <c r="D54" t="inlineStr"/>
      <c r="E54" t="inlineStr"/>
      <c r="F54" t="inlineStr">
        <is>
          <t>OPEN</t>
        </is>
      </c>
    </row>
    <row r="55">
      <c r="B55" t="n">
        <v>2</v>
      </c>
      <c r="C55" t="inlineStr">
        <is>
          <t>ignoring free rent and concessions</t>
        </is>
      </c>
      <c r="D55" t="inlineStr"/>
      <c r="E55" t="inlineStr"/>
      <c r="F55" t="inlineStr">
        <is>
          <t>OPEN</t>
        </is>
      </c>
    </row>
    <row r="56">
      <c r="B56" t="n">
        <v>3</v>
      </c>
      <c r="C56" t="inlineStr">
        <is>
          <t>capitalizing recurring operating costs</t>
        </is>
      </c>
      <c r="D56" t="inlineStr"/>
      <c r="E56" t="inlineStr"/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D57" t="inlineStr"/>
      <c r="E57" t="inlineStr"/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D58" t="inlineStr"/>
      <c r="E58" t="inlineStr"/>
      <c r="F58" t="inlineStr">
        <is>
          <t>OPEN</t>
        </is>
      </c>
    </row>
    <row r="60">
      <c r="B60" s="30" t="inlineStr">
        <is>
          <t>Regulatory / methodological anchors</t>
        </is>
      </c>
    </row>
    <row r="61">
      <c r="B61" s="31" t="inlineStr">
        <is>
          <t>Standard</t>
        </is>
      </c>
      <c r="C61" s="31" t="inlineStr">
        <is>
          <t>Scope</t>
        </is>
      </c>
      <c r="D61" s="31" t="inlineStr">
        <is>
          <t>Source URL</t>
        </is>
      </c>
      <c r="E61" s="31" t="inlineStr">
        <is>
          <t>Applicability</t>
        </is>
      </c>
      <c r="F61" s="31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  <c r="F62" t="inlineStr"/>
    </row>
    <row r="63">
      <c r="B63" t="inlineStr">
        <is>
          <t>SEC Rule 2a-5</t>
        </is>
      </c>
      <c r="C63" t="inlineStr">
        <is>
          <t>fair-value governance and testing</t>
        </is>
      </c>
      <c r="D63" t="inlineStr">
        <is>
          <t>https://www.sec.gov/files/rules/final/2020/ic-34128.pdf</t>
        </is>
      </c>
      <c r="E63" t="inlineStr">
        <is>
          <t>Map explicitly</t>
        </is>
      </c>
      <c r="F63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style="23" min="2" max="2"/>
    <col width="22" customWidth="1" style="23" min="3" max="3"/>
    <col width="52" customWidth="1" style="23" min="4" max="4"/>
    <col width="46" customWidth="1" style="23" min="5" max="5"/>
    <col width="36" customWidth="1" style="23" min="6" max="6"/>
    <col width="14" customWidth="1" style="23" min="7" max="7"/>
    <col width="18" customWidth="1" style="23" min="8" max="8"/>
    <col width="14" customWidth="1" style="23" min="9" max="9"/>
  </cols>
  <sheetData>
    <row r="2">
      <c r="B2" s="27" t="inlineStr">
        <is>
          <t>Independent Challenge, Override and Closure Log</t>
        </is>
      </c>
    </row>
    <row r="4">
      <c r="B4" s="31" t="inlineStr">
        <is>
          <t>Date</t>
        </is>
      </c>
      <c r="C4" s="31" t="inlineStr">
        <is>
          <t>Reviewer</t>
        </is>
      </c>
      <c r="D4" s="31" t="inlineStr">
        <is>
          <t>Challenge</t>
        </is>
      </c>
      <c r="E4" s="31" t="inlineStr">
        <is>
          <t>Owner response</t>
        </is>
      </c>
      <c r="F4" s="31" t="inlineStr">
        <is>
          <t>Evidence</t>
        </is>
      </c>
      <c r="G4" s="31" t="inlineStr">
        <is>
          <t>Impact</t>
        </is>
      </c>
      <c r="H4" s="31" t="inlineStr">
        <is>
          <t>Status</t>
        </is>
      </c>
      <c r="I4" s="31" t="inlineStr">
        <is>
          <t>Closure</t>
        </is>
      </c>
    </row>
    <row r="5">
      <c r="B5" t="inlineStr"/>
      <c r="C5" t="inlineStr"/>
      <c r="D5" t="inlineStr">
        <is>
          <t>rent roll ties to revenue</t>
        </is>
      </c>
      <c r="E5" t="inlineStr"/>
      <c r="F5" t="inlineStr"/>
      <c r="G5" t="inlineStr"/>
      <c r="H5" t="inlineStr">
        <is>
          <t>OPEN</t>
        </is>
      </c>
      <c r="I5" t="inlineStr"/>
    </row>
    <row r="6">
      <c r="B6" t="inlineStr"/>
      <c r="C6" t="inlineStr"/>
      <c r="D6" t="inlineStr">
        <is>
          <t>lease expirations reconcile</t>
        </is>
      </c>
      <c r="E6" t="inlineStr"/>
      <c r="F6" t="inlineStr"/>
      <c r="G6" t="inlineStr"/>
      <c r="H6" t="inlineStr">
        <is>
          <t>OPEN</t>
        </is>
      </c>
      <c r="I6" t="inlineStr"/>
    </row>
    <row r="7">
      <c r="B7" t="inlineStr"/>
      <c r="C7" t="inlineStr"/>
      <c r="D7" t="inlineStr">
        <is>
          <t>NOI excludes capital items consistently</t>
        </is>
      </c>
      <c r="E7" t="inlineStr"/>
      <c r="F7" t="inlineStr"/>
      <c r="G7" t="inlineStr"/>
      <c r="H7" t="inlineStr">
        <is>
          <t>OPEN</t>
        </is>
      </c>
      <c r="I7" t="inlineStr"/>
    </row>
    <row r="8">
      <c r="B8" t="inlineStr"/>
      <c r="C8" t="inlineStr"/>
      <c r="D8" t="inlineStr">
        <is>
          <t>source-to-model lineage is reproducible</t>
        </is>
      </c>
      <c r="E8" t="inlineStr"/>
      <c r="F8" t="inlineStr"/>
      <c r="G8" t="inlineStr"/>
      <c r="H8" t="inlineStr">
        <is>
          <t>OPEN</t>
        </is>
      </c>
      <c r="I8" t="inlineStr"/>
    </row>
    <row r="9">
      <c r="B9" t="inlineStr"/>
      <c r="C9" t="inlineStr"/>
      <c r="D9" t="inlineStr">
        <is>
          <t>units, signs, dates and legal definitions reconcile</t>
        </is>
      </c>
      <c r="E9" t="inlineStr"/>
      <c r="F9" t="inlineStr"/>
      <c r="G9" t="inlineStr"/>
      <c r="H9" t="inlineStr">
        <is>
          <t>OPEN</t>
        </is>
      </c>
      <c r="I9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style="23" min="2" max="2"/>
    <col width="18" customWidth="1" style="23" min="3" max="3"/>
    <col width="42" customWidth="1" style="23" min="4" max="4"/>
    <col width="24" customWidth="1" style="23" min="5" max="5"/>
    <col width="18" customWidth="1" style="23" min="6" max="6"/>
    <col width="22" customWidth="1" style="23" min="7" max="7"/>
    <col width="42" customWidth="1" style="23" min="8" max="8"/>
    <col width="30" customWidth="1" style="23" min="9" max="9"/>
    <col width="15" customWidth="1" style="23" min="10" max="10"/>
  </cols>
  <sheetData>
    <row r="2">
      <c r="B2" s="27" t="inlineStr">
        <is>
          <t>Source, Transformation, Ownership and Refresh Map</t>
        </is>
      </c>
    </row>
    <row r="4">
      <c r="B4" s="31" t="inlineStr">
        <is>
          <t>Source class</t>
        </is>
      </c>
      <c r="C4" s="31" t="inlineStr">
        <is>
          <t>Cadence</t>
        </is>
      </c>
      <c r="D4" s="31" t="inlineStr">
        <is>
          <t>Control</t>
        </is>
      </c>
      <c r="E4" s="31" t="inlineStr">
        <is>
          <t>System / provider</t>
        </is>
      </c>
      <c r="F4" s="31" t="inlineStr">
        <is>
          <t>As-of</t>
        </is>
      </c>
      <c r="G4" s="31" t="inlineStr">
        <is>
          <t>Owner</t>
        </is>
      </c>
      <c r="H4" s="31" t="inlineStr">
        <is>
          <t>Transform</t>
        </is>
      </c>
      <c r="I4" s="31" t="inlineStr">
        <is>
          <t>Downstream</t>
        </is>
      </c>
      <c r="J4" s="31" t="inlineStr">
        <is>
          <t>Status</t>
        </is>
      </c>
    </row>
    <row r="5">
      <c r="B5" t="inlineStr">
        <is>
          <t>rent roll</t>
        </is>
      </c>
      <c r="C5" t="inlineStr">
        <is>
          <t>monthly</t>
        </is>
      </c>
      <c r="D5" t="inlineStr">
        <is>
          <t>lease-to-ledger tie</t>
        </is>
      </c>
      <c r="E5" t="inlineStr"/>
      <c r="F5" t="inlineStr"/>
      <c r="G5" t="inlineStr"/>
      <c r="H5" t="inlineStr"/>
      <c r="I5" t="inlineStr"/>
      <c r="J5" t="inlineStr">
        <is>
          <t>TO MAP</t>
        </is>
      </c>
    </row>
    <row r="6">
      <c r="B6" t="inlineStr">
        <is>
          <t>operating actuals</t>
        </is>
      </c>
      <c r="C6" t="inlineStr">
        <is>
          <t>monthly</t>
        </is>
      </c>
      <c r="D6" t="inlineStr">
        <is>
          <t>property and GL mapping</t>
        </is>
      </c>
      <c r="E6" t="inlineStr"/>
      <c r="F6" t="inlineStr"/>
      <c r="G6" t="inlineStr"/>
      <c r="H6" t="inlineStr"/>
      <c r="I6" t="inlineStr"/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E7" t="inlineStr"/>
      <c r="F7" t="inlineStr"/>
      <c r="G7" t="inlineStr"/>
      <c r="H7" t="inlineStr"/>
      <c r="I7" t="inlineStr"/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E8" t="inlineStr"/>
      <c r="F8" t="inlineStr"/>
      <c r="G8" t="inlineStr"/>
      <c r="H8" t="inlineStr"/>
      <c r="I8" t="inlineStr"/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C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2" min="1" max="1"/>
    <col width="30" customWidth="1" style="22" min="2" max="2"/>
    <col width="14" customWidth="1" style="22" min="3" max="5"/>
  </cols>
  <sheetData>
    <row r="2" ht="19.7" customHeight="1" s="23">
      <c r="B2" s="24" t="inlineStr">
        <is>
          <t>Property Pro Forma (annual, $)</t>
        </is>
      </c>
    </row>
    <row r="5" ht="15" customHeight="1" s="23">
      <c r="B5" s="32" t="inlineStr">
        <is>
          <t>Gross potential rent</t>
        </is>
      </c>
      <c r="C5" s="33" t="n">
        <v>0</v>
      </c>
    </row>
    <row r="6" ht="15" customHeight="1" s="23">
      <c r="B6" s="32" t="inlineStr">
        <is>
          <t>- Vacancy &amp; credit loss</t>
        </is>
      </c>
      <c r="C6" s="33" t="n">
        <v>0</v>
      </c>
    </row>
    <row r="7" ht="15" customHeight="1" s="23">
      <c r="B7" s="32" t="inlineStr">
        <is>
          <t>Effective gross income</t>
        </is>
      </c>
      <c r="C7" s="34">
        <f>C5+C6</f>
        <v/>
      </c>
    </row>
    <row r="8" ht="15" customHeight="1" s="23">
      <c r="B8" s="32" t="inlineStr">
        <is>
          <t>+ Other income (parking, fees)</t>
        </is>
      </c>
      <c r="C8" s="33" t="n">
        <v>0</v>
      </c>
    </row>
    <row r="9" ht="15" customHeight="1" s="23">
      <c r="B9" s="25" t="inlineStr">
        <is>
          <t>Total revenue</t>
        </is>
      </c>
      <c r="C9" s="35">
        <f>C7+C8</f>
        <v/>
      </c>
    </row>
    <row r="10" ht="15" customHeight="1" s="23">
      <c r="B10" s="32" t="inlineStr">
        <is>
          <t>- Operating expenses (taxes, insurance, mgmt, R&amp;M)</t>
        </is>
      </c>
      <c r="C10" s="33" t="n">
        <v>0</v>
      </c>
    </row>
    <row r="11" ht="15" customHeight="1" s="23">
      <c r="B11" s="25" t="inlineStr">
        <is>
          <t>Net Operating Income (NOI)</t>
        </is>
      </c>
      <c r="C11" s="35">
        <f>C9+C10</f>
        <v/>
      </c>
    </row>
    <row r="12" ht="15" customHeight="1" s="23">
      <c r="B12" s="32" t="inlineStr">
        <is>
          <t>- Capex reserve</t>
        </is>
      </c>
      <c r="C12" s="33" t="n">
        <v>0</v>
      </c>
    </row>
    <row r="13" ht="15" customHeight="1" s="23">
      <c r="B13" s="32" t="inlineStr">
        <is>
          <t>- Debt service (P&amp;I)</t>
        </is>
      </c>
      <c r="C13" s="33" t="n">
        <v>0</v>
      </c>
    </row>
    <row r="14" ht="15" customHeight="1" s="23">
      <c r="B14" s="25" t="inlineStr">
        <is>
          <t>Cash flow before tax</t>
        </is>
      </c>
      <c r="C14" s="35">
        <f>C11+C12+C13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C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2" min="1" max="1"/>
    <col width="30" customWidth="1" style="22" min="2" max="2"/>
    <col width="16" customWidth="1" style="22" min="3" max="3"/>
    <col width="40" customWidth="1" style="22" min="4" max="4"/>
  </cols>
  <sheetData>
    <row r="2" ht="19.7" customHeight="1" s="23">
      <c r="B2" s="24" t="inlineStr">
        <is>
          <t>Cap Rate Valuation</t>
        </is>
      </c>
    </row>
    <row r="4" ht="15" customHeight="1" s="23">
      <c r="B4" s="22" t="inlineStr">
        <is>
          <t>NOI (from pro forma)</t>
        </is>
      </c>
      <c r="C4" s="36">
        <f>'Property Pro Forma'!C11</f>
        <v/>
      </c>
    </row>
    <row r="5" ht="15" customHeight="1" s="23">
      <c r="B5" s="22" t="inlineStr">
        <is>
          <t>Market cap rate %</t>
        </is>
      </c>
      <c r="C5" s="37" t="n">
        <v>0.06</v>
      </c>
    </row>
    <row r="6" ht="15" customHeight="1" s="23">
      <c r="B6" s="22" t="inlineStr">
        <is>
          <t>Implied value (NOI / cap rate)</t>
        </is>
      </c>
      <c r="C6" s="35">
        <f>IFERROR(C4/C5,"-")</f>
        <v/>
      </c>
    </row>
    <row r="8" ht="15" customHeight="1" s="23">
      <c r="B8" s="22" t="inlineStr">
        <is>
          <t>Purchase price ($)</t>
        </is>
      </c>
      <c r="C8" s="33" t="n">
        <v>0</v>
      </c>
    </row>
    <row r="9" ht="15" customHeight="1" s="23">
      <c r="B9" s="22" t="inlineStr">
        <is>
          <t>Going-in cap rate (NOI / price)</t>
        </is>
      </c>
      <c r="C9" s="38">
        <f>IFERROR(C4/C8,"-")</f>
        <v/>
      </c>
    </row>
    <row r="10" ht="15" customHeight="1" s="23">
      <c r="B10" s="22" t="inlineStr">
        <is>
          <t>Debt amount</t>
        </is>
      </c>
      <c r="C10" s="33" t="n">
        <v>0</v>
      </c>
    </row>
    <row r="11" ht="15" customHeight="1" s="23">
      <c r="B11" s="22" t="inlineStr">
        <is>
          <t>Cash-on-cash return</t>
        </is>
      </c>
      <c r="C11" s="38">
        <f>IFERROR('Property Pro Forma'!C14/(C8-C10),"-")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2: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2" min="1" max="1"/>
    <col width="34" customWidth="1" style="22" min="2" max="2"/>
    <col width="16" customWidth="1" style="22" min="3" max="3"/>
    <col width="40" customWidth="1" style="22" min="4" max="4"/>
  </cols>
  <sheetData>
    <row r="2" ht="19.7" customHeight="1" s="23">
      <c r="B2" s="24" t="inlineStr">
        <is>
          <t>REIT FFO / AFFO</t>
        </is>
      </c>
    </row>
    <row r="4" ht="15" customHeight="1" s="23">
      <c r="B4" s="22" t="inlineStr">
        <is>
          <t>Net income (GAAP)</t>
        </is>
      </c>
      <c r="C4" s="33" t="n">
        <v>0</v>
      </c>
    </row>
    <row r="5" ht="15" customHeight="1" s="23">
      <c r="B5" s="22" t="inlineStr">
        <is>
          <t>+ Real estate depreciation &amp; amortization</t>
        </is>
      </c>
      <c r="C5" s="33" t="n">
        <v>0</v>
      </c>
    </row>
    <row r="6" ht="15" customHeight="1" s="23">
      <c r="B6" s="22" t="inlineStr">
        <is>
          <t>- Gains on property sales</t>
        </is>
      </c>
      <c r="C6" s="33" t="n">
        <v>0</v>
      </c>
    </row>
    <row r="7" ht="15" customHeight="1" s="23">
      <c r="B7" s="22" t="inlineStr">
        <is>
          <t>FFO (Funds From Operations)</t>
        </is>
      </c>
      <c r="C7" s="35">
        <f>C4+C5+C6</f>
        <v/>
      </c>
    </row>
    <row r="9" ht="15" customHeight="1" s="23">
      <c r="B9" s="22" t="inlineStr">
        <is>
          <t>- Recurring capex / leasing costs</t>
        </is>
      </c>
      <c r="C9" s="33" t="n">
        <v>0</v>
      </c>
    </row>
    <row r="10" ht="15" customHeight="1" s="23">
      <c r="B10" s="22" t="inlineStr">
        <is>
          <t>- Straight-line rent adjustment</t>
        </is>
      </c>
      <c r="C10" s="33" t="n">
        <v>0</v>
      </c>
    </row>
    <row r="11" ht="15" customHeight="1" s="23">
      <c r="B11" s="22" t="inlineStr">
        <is>
          <t>AFFO (Adjusted FFO)</t>
        </is>
      </c>
      <c r="C11" s="35">
        <f>C7+C9+C10</f>
        <v/>
      </c>
      <c r="D11" s="39" t="inlineStr">
        <is>
          <t>AFFO is the better proxy for sustainable dividend-paying capacity</t>
        </is>
      </c>
    </row>
    <row r="13" ht="15" customHeight="1" s="23">
      <c r="B13" s="22" t="inlineStr">
        <is>
          <t>Shares/units outstanding</t>
        </is>
      </c>
      <c r="C13" s="40" t="n">
        <v>1</v>
      </c>
    </row>
    <row r="14" ht="15" customHeight="1" s="23">
      <c r="B14" s="22" t="inlineStr">
        <is>
          <t>FFO / share</t>
        </is>
      </c>
      <c r="C14" s="41">
        <f>IFERROR(C7/C13,"-")</f>
        <v/>
      </c>
    </row>
    <row r="15" ht="15" customHeight="1" s="23">
      <c r="B15" s="22" t="inlineStr">
        <is>
          <t>AFFO / share</t>
        </is>
      </c>
      <c r="C15" s="41">
        <f>IFERROR(C11/C13,"-")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H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2" min="1" max="1"/>
    <col width="30" customWidth="1" style="22" min="2" max="2"/>
    <col width="12" customWidth="1" style="22" min="3" max="8"/>
  </cols>
  <sheetData>
    <row r="2" ht="19.7" customHeight="1" s="23">
      <c r="B2" s="24" t="inlineStr">
        <is>
          <t>5-Year Hold — Levered Cash Flow &amp; IRR</t>
        </is>
      </c>
    </row>
    <row r="4" ht="15" customHeight="1" s="23">
      <c r="B4" s="42" t="inlineStr">
        <is>
          <t>Assumptions</t>
        </is>
      </c>
    </row>
    <row r="5" ht="15" customHeight="1" s="23">
      <c r="B5" s="22" t="inlineStr">
        <is>
          <t>NOI growth rate (%/yr)</t>
        </is>
      </c>
      <c r="C5" s="37" t="n">
        <v>0.02</v>
      </c>
    </row>
    <row r="6" ht="15" customHeight="1" s="23">
      <c r="B6" s="22" t="inlineStr">
        <is>
          <t>Exit cap rate (%)</t>
        </is>
      </c>
      <c r="C6" s="37" t="n">
        <v>0.065</v>
      </c>
    </row>
    <row r="7" ht="15" customHeight="1" s="23">
      <c r="B7" s="22" t="inlineStr">
        <is>
          <t>Selling costs (% of exit value)</t>
        </is>
      </c>
      <c r="C7" s="43" t="n">
        <v>0.02</v>
      </c>
    </row>
    <row r="8" ht="15" customHeight="1" s="23">
      <c r="B8" s="22" t="inlineStr">
        <is>
          <t>Annual debt service ($, assumed constant / interest-only)</t>
        </is>
      </c>
      <c r="C8" s="36">
        <f>IFERROR(ABS('Property Pro Forma'!C13),"-")</f>
        <v/>
      </c>
    </row>
    <row r="9" ht="15" customHeight="1" s="23">
      <c r="B9" s="22" t="inlineStr">
        <is>
          <t>Initial equity (purchase price - debt)</t>
        </is>
      </c>
      <c r="C9" s="36">
        <f>IFERROR('Cap Rate &amp; Valuation'!C8-'Cap Rate &amp; Valuation'!C10,"-")</f>
        <v/>
      </c>
    </row>
    <row r="12" ht="15" customHeight="1" s="23">
      <c r="C12" s="44" t="inlineStr">
        <is>
          <t>Yr1</t>
        </is>
      </c>
      <c r="D12" s="44" t="inlineStr">
        <is>
          <t>Yr2</t>
        </is>
      </c>
      <c r="E12" s="44" t="inlineStr">
        <is>
          <t>Yr3</t>
        </is>
      </c>
      <c r="F12" s="44" t="inlineStr">
        <is>
          <t>Yr4</t>
        </is>
      </c>
      <c r="G12" s="44" t="inlineStr">
        <is>
          <t>Yr5</t>
        </is>
      </c>
    </row>
    <row r="13" ht="15" customHeight="1" s="23">
      <c r="B13" s="22" t="inlineStr">
        <is>
          <t>NOI</t>
        </is>
      </c>
      <c r="C13" s="36">
        <f>'Property Pro Forma'!C11</f>
        <v/>
      </c>
      <c r="D13" s="45">
        <f>C13*(1+$C$5)</f>
        <v/>
      </c>
      <c r="E13" s="45">
        <f>D13*(1+$C$5)</f>
        <v/>
      </c>
      <c r="F13" s="45">
        <f>E13*(1+$C$5)</f>
        <v/>
      </c>
      <c r="G13" s="45">
        <f>F13*(1+$C$5)</f>
        <v/>
      </c>
    </row>
    <row r="14" ht="15" customHeight="1" s="23">
      <c r="B14" s="22" t="inlineStr">
        <is>
          <t>Debt service</t>
        </is>
      </c>
      <c r="C14" s="45">
        <f>$C$8</f>
        <v/>
      </c>
      <c r="D14" s="45">
        <f>$C$8</f>
        <v/>
      </c>
      <c r="E14" s="45">
        <f>$C$8</f>
        <v/>
      </c>
      <c r="F14" s="45">
        <f>$C$8</f>
        <v/>
      </c>
      <c r="G14" s="45">
        <f>$C$8</f>
        <v/>
      </c>
    </row>
    <row r="15" ht="15" customHeight="1" s="23">
      <c r="B15" s="22" t="inlineStr">
        <is>
          <t>Levered cash flow</t>
        </is>
      </c>
      <c r="C15" s="45">
        <f>C13-C14</f>
        <v/>
      </c>
      <c r="D15" s="45">
        <f>D13-D14</f>
        <v/>
      </c>
      <c r="E15" s="45">
        <f>E13-E14</f>
        <v/>
      </c>
      <c r="F15" s="45">
        <f>F13-F14</f>
        <v/>
      </c>
      <c r="G15" s="45">
        <f>G13-G14</f>
        <v/>
      </c>
    </row>
    <row r="16" ht="15" customHeight="1" s="23">
      <c r="B16" s="22" t="inlineStr">
        <is>
          <t>DSCR (NOI / debt service)</t>
        </is>
      </c>
      <c r="C16" s="46">
        <f>IFERROR(C13/C14,"-")</f>
        <v/>
      </c>
      <c r="D16" s="46">
        <f>IFERROR(D13/D14,"-")</f>
        <v/>
      </c>
      <c r="E16" s="46">
        <f>IFERROR(E13/E14,"-")</f>
        <v/>
      </c>
      <c r="F16" s="46">
        <f>IFERROR(F13/F14,"-")</f>
        <v/>
      </c>
      <c r="G16" s="46">
        <f>IFERROR(G13/G14,"-")</f>
        <v/>
      </c>
    </row>
    <row r="18" ht="15" customHeight="1" s="23">
      <c r="B18" s="42" t="inlineStr">
        <is>
          <t>Exit (end of Yr5)</t>
        </is>
      </c>
    </row>
    <row r="19" ht="15" customHeight="1" s="23">
      <c r="B19" s="22" t="inlineStr">
        <is>
          <t>Forward NOI (Yr6, for exit cap)</t>
        </is>
      </c>
      <c r="C19" s="45">
        <f>G13*(1+$C$5)</f>
        <v/>
      </c>
    </row>
    <row r="20" ht="15" customHeight="1" s="23">
      <c r="B20" s="22" t="inlineStr">
        <is>
          <t>Exit value (forward NOI / exit cap rate)</t>
        </is>
      </c>
      <c r="C20" s="45">
        <f>IFERROR(C19/C6,"-")</f>
        <v/>
      </c>
    </row>
    <row r="21" ht="15" customHeight="1" s="23">
      <c r="B21" s="22" t="inlineStr">
        <is>
          <t>Less: selling costs</t>
        </is>
      </c>
      <c r="C21" s="45">
        <f>-C20*C7</f>
        <v/>
      </c>
    </row>
    <row r="22" ht="15" customHeight="1" s="23">
      <c r="B22" s="22" t="inlineStr">
        <is>
          <t>Less: debt payoff (assumed interest-only, balance unchanged)</t>
        </is>
      </c>
      <c r="C22" s="36">
        <f>-'Cap Rate &amp; Valuation'!C10</f>
        <v/>
      </c>
    </row>
    <row r="23" ht="15" customHeight="1" s="23">
      <c r="B23" s="22" t="inlineStr">
        <is>
          <t>Net exit equity proceeds</t>
        </is>
      </c>
      <c r="C23" s="35">
        <f>C20+C21+C22</f>
        <v/>
      </c>
    </row>
    <row r="25" ht="15" customHeight="1" s="23">
      <c r="B25" s="42" t="n"/>
      <c r="C25" s="44" t="inlineStr">
        <is>
          <t>Yr0</t>
        </is>
      </c>
      <c r="D25" s="44" t="inlineStr">
        <is>
          <t>Yr1</t>
        </is>
      </c>
      <c r="E25" s="44" t="inlineStr">
        <is>
          <t>Yr2</t>
        </is>
      </c>
      <c r="F25" s="44" t="inlineStr">
        <is>
          <t>Yr3</t>
        </is>
      </c>
      <c r="G25" s="44" t="inlineStr">
        <is>
          <t>Yr4</t>
        </is>
      </c>
      <c r="H25" s="44" t="inlineStr">
        <is>
          <t>Yr5</t>
        </is>
      </c>
    </row>
    <row r="26" ht="15" customHeight="1" s="23">
      <c r="B26" s="22" t="inlineStr">
        <is>
          <t>Equity cash flow</t>
        </is>
      </c>
      <c r="C26" s="45">
        <f>-C9</f>
        <v/>
      </c>
      <c r="D26" s="45">
        <f>C15</f>
        <v/>
      </c>
      <c r="E26" s="45">
        <f>D15</f>
        <v/>
      </c>
      <c r="F26" s="45">
        <f>E15</f>
        <v/>
      </c>
      <c r="G26" s="45">
        <f>F15</f>
        <v/>
      </c>
      <c r="H26" s="45">
        <f>G15+C23</f>
        <v/>
      </c>
    </row>
    <row r="27" ht="15" customHeight="1" s="23">
      <c r="B27" s="22" t="inlineStr">
        <is>
          <t>Levered IRR</t>
        </is>
      </c>
      <c r="C27" s="47">
        <f>IFERROR(IRR(C26:H26),"-")</f>
        <v/>
      </c>
    </row>
    <row r="28" ht="15" customHeight="1" s="23">
      <c r="B28" s="22" t="inlineStr">
        <is>
          <t>Equity multiple (MOIC)</t>
        </is>
      </c>
      <c r="C28" s="48">
        <f>IFERROR(SUM(D26:H26)/C9,"-")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F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2" min="1" max="1"/>
    <col width="14" customWidth="1" style="22" min="2" max="2"/>
    <col width="16" customWidth="1" style="22" min="3" max="3"/>
    <col width="30" customWidth="1" style="22" min="4" max="5"/>
    <col width="16" customWidth="1" style="22" min="6" max="6"/>
  </cols>
  <sheetData>
    <row r="2" ht="19.7" customHeight="1" s="23">
      <c r="B2" s="24" t="inlineStr">
        <is>
          <t>Refresh Log</t>
        </is>
      </c>
    </row>
    <row r="4" ht="15" customHeight="1" s="23">
      <c r="B4" s="44" t="inlineStr">
        <is>
          <t>Date</t>
        </is>
      </c>
      <c r="C4" s="44" t="inlineStr">
        <is>
          <t>Trigger</t>
        </is>
      </c>
      <c r="D4" s="44" t="inlineStr">
        <is>
          <t>What changed</t>
        </is>
      </c>
      <c r="E4" s="44" t="inlineStr">
        <is>
          <t>Reviewer notes</t>
        </is>
      </c>
      <c r="F4" s="44" t="inlineStr">
        <is>
          <t>Next check</t>
        </is>
      </c>
    </row>
    <row r="5" ht="15" customHeight="1" s="23">
      <c r="B5" s="49" t="n"/>
      <c r="C5" s="49" t="n"/>
      <c r="D5" s="49" t="n"/>
      <c r="E5" s="49" t="n"/>
      <c r="F5" s="49" t="n"/>
    </row>
    <row r="6" ht="15" customHeight="1" s="23">
      <c r="B6" s="49" t="n"/>
      <c r="C6" s="49" t="n"/>
      <c r="D6" s="49" t="n"/>
      <c r="E6" s="49" t="n"/>
      <c r="F6" s="49" t="n"/>
    </row>
    <row r="7" ht="15" customHeight="1" s="23">
      <c r="B7" s="49" t="n"/>
      <c r="C7" s="49" t="n"/>
      <c r="D7" s="49" t="n"/>
      <c r="E7" s="49" t="n"/>
      <c r="F7" s="49" t="n"/>
    </row>
    <row r="8" ht="15" customHeight="1" s="23">
      <c r="B8" s="49" t="n"/>
      <c r="C8" s="49" t="n"/>
      <c r="D8" s="49" t="n"/>
      <c r="E8" s="49" t="n"/>
      <c r="F8" s="49" t="n"/>
    </row>
    <row r="9" ht="15" customHeight="1" s="23">
      <c r="B9" s="49" t="n"/>
      <c r="C9" s="49" t="n"/>
      <c r="D9" s="49" t="n"/>
      <c r="E9" s="49" t="n"/>
      <c r="F9" s="49" t="n"/>
    </row>
    <row r="10" ht="15" customHeight="1" s="23">
      <c r="B10" s="49" t="n"/>
      <c r="C10" s="49" t="n"/>
      <c r="D10" s="49" t="n"/>
      <c r="E10" s="49" t="n"/>
      <c r="F10" s="49" t="n"/>
    </row>
    <row r="11" ht="15" customHeight="1" s="23">
      <c r="B11" s="49" t="n"/>
      <c r="C11" s="49" t="n"/>
      <c r="D11" s="49" t="n"/>
      <c r="E11" s="49" t="n"/>
      <c r="F11" s="49" t="n"/>
    </row>
    <row r="12" ht="15" customHeight="1" s="23">
      <c r="B12" s="49" t="n"/>
      <c r="C12" s="49" t="n"/>
      <c r="D12" s="49" t="n"/>
      <c r="E12" s="49" t="n"/>
      <c r="F12" s="49" t="n"/>
    </row>
    <row r="13" ht="15" customHeight="1" s="23">
      <c r="B13" s="49" t="n"/>
      <c r="C13" s="49" t="n"/>
      <c r="D13" s="49" t="n"/>
      <c r="E13" s="49" t="n"/>
      <c r="F13" s="49" t="n"/>
    </row>
    <row r="14" ht="15" customHeight="1" s="23">
      <c r="B14" s="49" t="n"/>
      <c r="C14" s="49" t="n"/>
      <c r="D14" s="49" t="n"/>
      <c r="E14" s="49" t="n"/>
      <c r="F14" s="4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2026-08-03T22:55:38Z</dcterms:created>
  <dcterms:modified xsi:type="dcterms:W3CDTF">2026-08-04T03:48:34Z</dcterms:modified>
  <cp:revision>0</cp:revision>
</cp:coreProperties>
</file>