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Property Pro Forma" sheetId="5" state="visible" r:id="rId7"/>
    <sheet name="Lease Roll" sheetId="6" state="visible" r:id="rId8"/>
    <sheet name="Cap Rate &amp; Valuation" sheetId="7" state="visible" r:id="rId9"/>
    <sheet name="Debt Schedule" sheetId="8" state="visible" r:id="rId10"/>
    <sheet name="REIT FFO-AFFO" sheetId="9" state="visible" r:id="rId11"/>
    <sheet name="Decision &amp; Checks" sheetId="10" state="visible" r:id="rId12"/>
    <sheet name="5-Year Hold &amp; IRR" sheetId="11" state="visible" r:id="rId13"/>
    <sheet name="RefreshLog" sheetId="12" state="visible" r:id="rId14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<sst xmlns="http://schemas.openxmlformats.org/spreadsheetml/2006/main" count="307" uniqueCount="221">
  <si>
    <t xml:space="preserve">[PROPERTY/REIT] — Real Estate Model</t>
  </si>
  <si>
    <t xml:space="preserve">Property type:</t>
  </si>
  <si>
    <t xml:space="preserve">Office / Multifamily / Industrial / Retail</t>
  </si>
  <si>
    <t xml:space="preserve">Location:</t>
  </si>
  <si>
    <t xml:space="preserve">[fill in]</t>
  </si>
  <si>
    <t xml:space="preserve">Last refreshed:</t>
  </si>
  <si>
    <t xml:space="preserve">2026-08-04</t>
  </si>
  <si>
    <t xml:space="preserve">Refresh cadence:</t>
  </si>
  <si>
    <t xml:space="preserve">Weekly</t>
  </si>
  <si>
    <t xml:space="preserve">Real Estate &amp; REIT — Institutional Decision Surface</t>
  </si>
  <si>
    <t xml:space="preserve">Model ID</t>
  </si>
  <si>
    <t xml:space="preserve">17</t>
  </si>
  <si>
    <t xml:space="preserve">Domain</t>
  </si>
  <si>
    <t xml:space="preserve">Real Estate &amp; REIT</t>
  </si>
  <si>
    <t xml:space="preserve">Declared maturity</t>
  </si>
  <si>
    <t xml:space="preserve">M2</t>
  </si>
  <si>
    <t xml:space="preserve">Canonical builder</t>
  </si>
  <si>
    <t xml:space="preserve">tools/builders/build_real_estate_release.py</t>
  </si>
  <si>
    <t xml:space="preserve">Decision arena</t>
  </si>
  <si>
    <t xml:space="preserve">acquisitions, asset management, leasing, lender and investment committee</t>
  </si>
  <si>
    <t xml:space="preserve">Committee artifact</t>
  </si>
  <si>
    <t xml:space="preserve">asset underwriting and business-plan pack</t>
  </si>
  <si>
    <t xml:space="preserve">Operating cadence</t>
  </si>
  <si>
    <t xml:space="preserve">monthly asset management; quarterly valuation; annual plan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</si>
  <si>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</si>
  <si>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</si>
  <si>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</si>
  <si>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</si>
  <si>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</si>
  <si>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</si>
  <si>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NOI and cash flow</t>
  </si>
  <si>
    <t xml:space="preserve">OPEN</t>
  </si>
  <si>
    <t xml:space="preserve">lease rollover and mark-to-market</t>
  </si>
  <si>
    <t xml:space="preserve">tenant improvements / leasing commissions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</si>
  <si>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</si>
  <si>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</si>
  <si>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</si>
  <si>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Which leases drive the next two years of cash?</t>
  </si>
  <si>
    <t xml:space="preserve">What downtime and TI/LC are required to re-lease?</t>
  </si>
  <si>
    <t xml:space="preserve">What NOI is truly stabilized?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</si>
  <si>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</si>
  <si>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</si>
  <si>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</si>
  <si>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occupancy and rent decline</t>
  </si>
  <si>
    <t xml:space="preserve">lease rollover concentration</t>
  </si>
  <si>
    <t xml:space="preserve">cap-rate expansion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</si>
  <si>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</si>
  <si>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</si>
  <si>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</si>
  <si>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rent roll and leases</t>
  </si>
  <si>
    <t xml:space="preserve">property operating statements</t>
  </si>
  <si>
    <t xml:space="preserve">engineering / PCA report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</si>
  <si>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</si>
  <si>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</si>
  <si>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</si>
  <si>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rent roll ties to revenue</t>
  </si>
  <si>
    <t xml:space="preserve">lease expirations reconcile</t>
  </si>
  <si>
    <t xml:space="preserve">NOI excludes capital items consistently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</si>
  <si>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</si>
  <si>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</si>
  <si>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</si>
  <si>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average occupancy through a known rollover</t>
  </si>
  <si>
    <t xml:space="preserve">ignoring free rent and concessions</t>
  </si>
  <si>
    <t xml:space="preserve">capitalizing recurring operating costs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</si>
  <si>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</si>
  <si>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</si>
  <si>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</si>
  <si>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</si>
  <si>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</si>
  <si>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</si>
  <si>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</si>
  <si>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</si>
  <si>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</si>
  <si>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</si>
  <si>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</si>
  <si>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</si>
  <si>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</si>
  <si>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</si>
  <si>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</si>
  <si>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</si>
  <si>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</si>
  <si>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</si>
  <si>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</si>
  <si>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</si>
  <si>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</si>
  <si>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</si>
  <si>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</si>
  <si>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</si>
  <si>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</si>
  <si>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</si>
  <si>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</si>
  <si>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</si>
  <si>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</si>
  <si>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</si>
  <si>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</si>
  <si>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rent roll</t>
  </si>
  <si>
    <t xml:space="preserve">monthly</t>
  </si>
  <si>
    <t xml:space="preserve">lease-to-ledger tie</t>
  </si>
  <si>
    <t xml:space="preserve">TO MAP</t>
  </si>
  <si>
    <t xml:space="preserve">operating actuals</t>
  </si>
  <si>
    <t xml:space="preserve">property and GL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</si>
  <si>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</si>
  <si>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</si>
  <si>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</si>
  <si>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</si>
  <si>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</si>
  <si>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</si>
  <si>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Property Pro Forma (annual, $)</t>
  </si>
  <si>
    <t xml:space="preserve">Gross potential rent</t>
  </si>
  <si>
    <t xml:space="preserve">Vacancy &amp; credit loss</t>
  </si>
  <si>
    <t xml:space="preserve">Effective gross income</t>
  </si>
  <si>
    <t xml:space="preserve">+ Other income (parking, fees)</t>
  </si>
  <si>
    <t xml:space="preserve">Total revenue</t>
  </si>
  <si>
    <t xml:space="preserve">Operating expenses (taxes, insurance, management, R&amp;M)</t>
  </si>
  <si>
    <t xml:space="preserve">Net Operating Income (NOI)</t>
  </si>
  <si>
    <t xml:space="preserve">Recurring capex reserve</t>
  </si>
  <si>
    <t xml:space="preserve">Debt service (P&amp;I)</t>
  </si>
  <si>
    <t xml:space="preserve">Cash flow before tax</t>
  </si>
  <si>
    <t xml:space="preserve">Lease Expiration, Renewal, Downtime, and Occupancy Roll</t>
  </si>
  <si>
    <t xml:space="preserve">Year</t>
  </si>
  <si>
    <t xml:space="preserve">Beginning annual rent</t>
  </si>
  <si>
    <t xml:space="preserve">Expiring rent %</t>
  </si>
  <si>
    <t xml:space="preserve">Renewal probability</t>
  </si>
  <si>
    <t xml:space="preserve">Renewal spread</t>
  </si>
  <si>
    <t xml:space="preserve">Downtime months</t>
  </si>
  <si>
    <t xml:space="preserve">Lost rent</t>
  </si>
  <si>
    <t xml:space="preserve">Renewed rent</t>
  </si>
  <si>
    <t xml:space="preserve">Ending annual rent</t>
  </si>
  <si>
    <t xml:space="preserve">Economic occupancy</t>
  </si>
  <si>
    <t xml:space="preserve">This roll deliberately separates contractual expiration, renewal probability, spread, and downtime; new-leasing assumptions must be added explicitly rather than hidden in rent growth.</t>
  </si>
  <si>
    <t xml:space="preserve">Cap Rate Valuation</t>
  </si>
  <si>
    <t xml:space="preserve">NOI (from pro forma)</t>
  </si>
  <si>
    <t xml:space="preserve">Market cap rate %</t>
  </si>
  <si>
    <t xml:space="preserve">Implied value (NOI / cap rate)</t>
  </si>
  <si>
    <t xml:space="preserve">Purchase price ($)</t>
  </si>
  <si>
    <t xml:space="preserve">Going-in cap rate (NOI / price)</t>
  </si>
  <si>
    <t xml:space="preserve">Debt amount</t>
  </si>
  <si>
    <t xml:space="preserve">Cash-on-cash return</t>
  </si>
  <si>
    <t xml:space="preserve">Property Debt Amortization and Coverage</t>
  </si>
  <si>
    <t xml:space="preserve">Interest rate</t>
  </si>
  <si>
    <t xml:space="preserve">Amortization term (years)</t>
  </si>
  <si>
    <t xml:space="preserve">Minimum DSCR</t>
  </si>
  <si>
    <t xml:space="preserve">Beginning debt</t>
  </si>
  <si>
    <t xml:space="preserve">Interest</t>
  </si>
  <si>
    <t xml:space="preserve">Principal</t>
  </si>
  <si>
    <t xml:space="preserve">Debt service</t>
  </si>
  <si>
    <t xml:space="preserve">Ending debt</t>
  </si>
  <si>
    <t xml:space="preserve">NOI</t>
  </si>
  <si>
    <t xml:space="preserve">DSCR</t>
  </si>
  <si>
    <t xml:space="preserve">Headroom</t>
  </si>
  <si>
    <t xml:space="preserve">REIT FFO / AFFO</t>
  </si>
  <si>
    <t xml:space="preserve">Net income (GAAP)</t>
  </si>
  <si>
    <t xml:space="preserve">+ Real estate depreciation &amp; amortization</t>
  </si>
  <si>
    <t xml:space="preserve">Gains on property sales</t>
  </si>
  <si>
    <t xml:space="preserve">FFO (Funds From Operations)</t>
  </si>
  <si>
    <t xml:space="preserve">Recurring capex / leasing costs</t>
  </si>
  <si>
    <t xml:space="preserve">Straight-line rent adjustment</t>
  </si>
  <si>
    <t xml:space="preserve">AFFO (Adjusted FFO)</t>
  </si>
  <si>
    <t xml:space="preserve">AFFO is non-GAAP and must disclose its definition and reconciliation; this implementation deducts recurring capex and straight-line rent.</t>
  </si>
  <si>
    <t xml:space="preserve">Shares/units outstanding</t>
  </si>
  <si>
    <t xml:space="preserve">FFO / share</t>
  </si>
  <si>
    <t xml:space="preserve">AFFO / share</t>
  </si>
  <si>
    <t xml:space="preserve">Real Estate / REIT Decision Dashboard and Independent Checks</t>
  </si>
  <si>
    <t xml:space="preserve">Check / decision</t>
  </si>
  <si>
    <t xml:space="preserve">Metric</t>
  </si>
  <si>
    <t xml:space="preserve">Interpretation / action</t>
  </si>
  <si>
    <t xml:space="preserve">NOI identity residual</t>
  </si>
  <si>
    <t xml:space="preserve">NOI must reconcile from gross rent through vacancy, other income, and operating expenses.</t>
  </si>
  <si>
    <t xml:space="preserve">FFO bridge residual</t>
  </si>
  <si>
    <t xml:space="preserve">FFO must reconcile from GAAP net income under the disclosed Nareit-style definition.</t>
  </si>
  <si>
    <t xml:space="preserve">AFFO bridge residual</t>
  </si>
  <si>
    <t xml:space="preserve">AFFO is non-GAAP; recurring capex and straight-line rent adjustments must be explicit.</t>
  </si>
  <si>
    <t xml:space="preserve">Minimum five-year DSCR</t>
  </si>
  <si>
    <t xml:space="preserve">Escalate covenant pressure and refinance dependency.</t>
  </si>
  <si>
    <t xml:space="preserve">Loan-to-value</t>
  </si>
  <si>
    <t xml:space="preserve">High leverage magnifies cap-rate and NOI shocks.</t>
  </si>
  <si>
    <t xml:space="preserve">Minimum economic occupancy</t>
  </si>
  <si>
    <t xml:space="preserve">Review tenant rollover, downtime, leasing costs, and concentration.</t>
  </si>
  <si>
    <t xml:space="preserve">Year-one levered cash flow</t>
  </si>
  <si>
    <t xml:space="preserve">Negative cash flow requires funded reserves or a restructuring plan.</t>
  </si>
  <si>
    <t xml:space="preserve">Exit cap spread vs going-in</t>
  </si>
  <si>
    <t xml:space="preserve">Cap-rate compression should never be an unchallenged base-case return driver.</t>
  </si>
  <si>
    <t xml:space="preserve">Overall model status</t>
  </si>
  <si>
    <t xml:space="preserve">Primary decision outputs</t>
  </si>
  <si>
    <t xml:space="preserve">Going-in cap rate</t>
  </si>
  <si>
    <t xml:space="preserve">Levered IRR</t>
  </si>
  <si>
    <t xml:space="preserve">Equity MOIC</t>
  </si>
  <si>
    <t xml:space="preserve">FFO</t>
  </si>
  <si>
    <t xml:space="preserve">AFFO</t>
  </si>
  <si>
    <t xml:space="preserve">5-Year Hold — Levered Cash Flow &amp; IRR</t>
  </si>
  <si>
    <t xml:space="preserve">Assumptions</t>
  </si>
  <si>
    <t xml:space="preserve">NOI growth rate (%/yr)</t>
  </si>
  <si>
    <t xml:space="preserve">Exit cap rate (%)</t>
  </si>
  <si>
    <t xml:space="preserve">Selling costs (% of exit value)</t>
  </si>
  <si>
    <t xml:space="preserve">Annual debt service ($, assumed constant / interest-only)</t>
  </si>
  <si>
    <t xml:space="preserve">Initial equity (purchase price - debt)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</si>
  <si>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</si>
  <si>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</si>
  <si>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</si>
  <si>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</si>
  <si>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</si>
  <si>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Levered cash flow</t>
  </si>
  <si>
    <t xml:space="preserve">DSCR (NOI / debt service)</t>
  </si>
  <si>
    <t xml:space="preserve">Exit (end of Yr5)</t>
  </si>
  <si>
    <t xml:space="preserve">Forward NOI (Yr6, for exit cap)</t>
  </si>
  <si>
    <t xml:space="preserve">Exit value (forward NOI / exit cap rate)</t>
  </si>
  <si>
    <t xml:space="preserve">Less: selling costs</t>
  </si>
  <si>
    <t xml:space="preserve">Less: debt payoff (assumed interest-only, balance unchanged)</t>
  </si>
  <si>
    <t xml:space="preserve">Net exit equity proceeds</t>
  </si>
  <si>
    <t xml:space="preserve">Yr0</t>
  </si>
  <si>
    <t xml:space="preserve">Equity cash flow</t>
  </si>
  <si>
    <t xml:space="preserve">Equity multiple (MOIC)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</si>
  <si>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</si>
  <si>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</si>
  <si>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</si>
  <si>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</si>
  <si>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</si>
  <si>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</si>
  <si>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adversarial benchmark real-estate-adversarial-refinancing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</si>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</sst>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0.0"/>
    <numFmt numFmtId="168" formatCode="#,##0;\(#,##0\);\-"/>
    <numFmt numFmtId="169" formatCode="0.0\x"/>
    <numFmt numFmtId="170" formatCode="\$#,##0.00;&quot;($&quot;#,##0.00\);\-"/>
    <numFmt numFmtId="171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9</v>
      </c>
      <c r="C2" s="5"/>
      <c r="D2" s="5"/>
      <c r="E2" s="5"/>
      <c r="F2" s="5"/>
    </row>
    <row r="4" customFormat="false" ht="15" hidden="false" customHeight="true" outlineLevel="0" collapsed="false">
      <c r="B4" s="6" t="s">
        <v>10</v>
      </c>
      <c r="C4" s="7" t="s">
        <v>11</v>
      </c>
      <c r="D4" s="7"/>
      <c r="E4" s="7"/>
      <c r="F4" s="7"/>
    </row>
    <row r="5" customFormat="false" ht="15" hidden="false" customHeight="true" outlineLevel="0" collapsed="false">
      <c r="B5" s="6" t="s">
        <v>12</v>
      </c>
      <c r="C5" s="7" t="s">
        <v>13</v>
      </c>
      <c r="D5" s="7"/>
      <c r="E5" s="7"/>
      <c r="F5" s="7"/>
    </row>
    <row r="6" customFormat="false" ht="15" hidden="false" customHeight="true" outlineLevel="0" collapsed="false">
      <c r="B6" s="6" t="s">
        <v>14</v>
      </c>
      <c r="C6" s="7" t="s">
        <v>15</v>
      </c>
      <c r="D6" s="7"/>
      <c r="E6" s="7"/>
      <c r="F6" s="7"/>
    </row>
    <row r="7" customFormat="false" ht="15" hidden="false" customHeight="true" outlineLevel="0" collapsed="false">
      <c r="B7" s="6" t="s">
        <v>16</v>
      </c>
      <c r="C7" s="7" t="s">
        <v>17</v>
      </c>
      <c r="D7" s="7"/>
      <c r="E7" s="7"/>
      <c r="F7" s="7"/>
    </row>
    <row r="8" customFormat="false" ht="15" hidden="false" customHeight="true" outlineLevel="0" collapsed="false">
      <c r="B8" s="6" t="s">
        <v>18</v>
      </c>
      <c r="C8" s="7" t="s">
        <v>19</v>
      </c>
      <c r="D8" s="7"/>
      <c r="E8" s="7"/>
      <c r="F8" s="7"/>
    </row>
    <row r="9" customFormat="false" ht="15" hidden="false" customHeight="true" outlineLevel="0" collapsed="false">
      <c r="B9" s="6" t="s">
        <v>20</v>
      </c>
      <c r="C9" s="7" t="s">
        <v>21</v>
      </c>
      <c r="D9" s="7"/>
      <c r="E9" s="7"/>
      <c r="F9" s="7"/>
    </row>
    <row r="10" customFormat="false" ht="15" hidden="false" customHeight="true" outlineLevel="0" collapsed="false">
      <c r="B10" s="6" t="s">
        <v>22</v>
      </c>
      <c r="C10" s="7" t="s">
        <v>23</v>
      </c>
      <c r="D10" s="7"/>
      <c r="E10" s="7"/>
      <c r="F10" s="7"/>
    </row>
    <row r="12" customFormat="false" ht="15" hidden="false" customHeight="false" outlineLevel="0" collapsed="false">
      <c r="B12" s="8" t="s">
        <v>24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25</v>
      </c>
      <c r="C13" s="9" t="s">
        <v>26</v>
      </c>
      <c r="D13" s="9" t="s">
        <v>27</v>
      </c>
      <c r="E13" s="9" t="s">
        <v>28</v>
      </c>
      <c r="F13" s="9" t="s">
        <v>29</v>
      </c>
    </row>
    <row r="14" customFormat="false" ht="15" hidden="false" customHeight="false" outlineLevel="0" collapsed="false">
      <c r="B14" s="0" t="n">
        <v>1</v>
      </c>
      <c r="C14" s="0" t="s">
        <v>30</v>
      </c>
      <c r="F14" s="10" t="s">
        <v>31</v>
      </c>
    </row>
    <row r="15" customFormat="false" ht="15" hidden="false" customHeight="false" outlineLevel="0" collapsed="false">
      <c r="B15" s="0" t="n">
        <v>2</v>
      </c>
      <c r="C15" s="0" t="s">
        <v>32</v>
      </c>
      <c r="F15" s="10" t="s">
        <v>31</v>
      </c>
    </row>
    <row r="16" customFormat="false" ht="15" hidden="false" customHeight="false" outlineLevel="0" collapsed="false">
      <c r="B16" s="0" t="n">
        <v>3</v>
      </c>
      <c r="C16" s="0" t="s">
        <v>33</v>
      </c>
      <c r="F16" s="10" t="s">
        <v>31</v>
      </c>
    </row>
    <row r="17" customFormat="false" ht="15" hidden="false" customHeight="false" outlineLevel="0" collapsed="false">
      <c r="B17" s="0" t="n">
        <v>4</v>
      </c>
      <c r="C17" s="0" t="s">
        <v>34</v>
      </c>
      <c r="F17" s="10" t="s">
        <v>31</v>
      </c>
    </row>
    <row r="18" customFormat="false" ht="15" hidden="false" customHeight="false" outlineLevel="0" collapsed="false">
      <c r="B18" s="0" t="n">
        <v>5</v>
      </c>
      <c r="C18" s="0" t="s">
        <v>35</v>
      </c>
      <c r="F18" s="10" t="s">
        <v>31</v>
      </c>
    </row>
    <row r="20" customFormat="false" ht="15" hidden="false" customHeight="false" outlineLevel="0" collapsed="false">
      <c r="B20" s="8" t="s">
        <v>36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25</v>
      </c>
      <c r="C21" s="9" t="s">
        <v>26</v>
      </c>
      <c r="D21" s="9" t="s">
        <v>27</v>
      </c>
      <c r="E21" s="9" t="s">
        <v>28</v>
      </c>
      <c r="F21" s="9" t="s">
        <v>29</v>
      </c>
    </row>
    <row r="22" customFormat="false" ht="15" hidden="false" customHeight="false" outlineLevel="0" collapsed="false">
      <c r="B22" s="0" t="n">
        <v>1</v>
      </c>
      <c r="C22" s="0" t="s">
        <v>37</v>
      </c>
      <c r="F22" s="10" t="s">
        <v>31</v>
      </c>
    </row>
    <row r="23" customFormat="false" ht="15" hidden="false" customHeight="false" outlineLevel="0" collapsed="false">
      <c r="B23" s="0" t="n">
        <v>2</v>
      </c>
      <c r="C23" s="0" t="s">
        <v>38</v>
      </c>
      <c r="F23" s="10" t="s">
        <v>31</v>
      </c>
    </row>
    <row r="24" customFormat="false" ht="15" hidden="false" customHeight="false" outlineLevel="0" collapsed="false">
      <c r="B24" s="0" t="n">
        <v>3</v>
      </c>
      <c r="C24" s="0" t="s">
        <v>39</v>
      </c>
      <c r="F24" s="10" t="s">
        <v>31</v>
      </c>
    </row>
    <row r="25" customFormat="false" ht="15" hidden="false" customHeight="false" outlineLevel="0" collapsed="false">
      <c r="B25" s="0" t="n">
        <v>4</v>
      </c>
      <c r="C25" s="0" t="s">
        <v>40</v>
      </c>
      <c r="F25" s="10" t="s">
        <v>31</v>
      </c>
    </row>
    <row r="26" customFormat="false" ht="15" hidden="false" customHeight="false" outlineLevel="0" collapsed="false">
      <c r="B26" s="0" t="n">
        <v>5</v>
      </c>
      <c r="C26" s="0" t="s">
        <v>41</v>
      </c>
      <c r="F26" s="10" t="s">
        <v>31</v>
      </c>
    </row>
    <row r="28" customFormat="false" ht="15" hidden="false" customHeight="false" outlineLevel="0" collapsed="false">
      <c r="B28" s="8" t="s">
        <v>42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25</v>
      </c>
      <c r="C29" s="9" t="s">
        <v>26</v>
      </c>
      <c r="D29" s="9" t="s">
        <v>27</v>
      </c>
      <c r="E29" s="9" t="s">
        <v>28</v>
      </c>
      <c r="F29" s="9" t="s">
        <v>29</v>
      </c>
    </row>
    <row r="30" customFormat="false" ht="15" hidden="false" customHeight="false" outlineLevel="0" collapsed="false">
      <c r="B30" s="0" t="n">
        <v>1</v>
      </c>
      <c r="C30" s="0" t="s">
        <v>43</v>
      </c>
      <c r="F30" s="10" t="s">
        <v>31</v>
      </c>
    </row>
    <row r="31" customFormat="false" ht="15" hidden="false" customHeight="false" outlineLevel="0" collapsed="false">
      <c r="B31" s="0" t="n">
        <v>2</v>
      </c>
      <c r="C31" s="0" t="s">
        <v>44</v>
      </c>
      <c r="F31" s="10" t="s">
        <v>31</v>
      </c>
    </row>
    <row r="32" customFormat="false" ht="15" hidden="false" customHeight="false" outlineLevel="0" collapsed="false">
      <c r="B32" s="0" t="n">
        <v>3</v>
      </c>
      <c r="C32" s="0" t="s">
        <v>45</v>
      </c>
      <c r="F32" s="10" t="s">
        <v>31</v>
      </c>
    </row>
    <row r="33" customFormat="false" ht="15" hidden="false" customHeight="false" outlineLevel="0" collapsed="false">
      <c r="B33" s="0" t="n">
        <v>4</v>
      </c>
      <c r="C33" s="0" t="s">
        <v>46</v>
      </c>
      <c r="F33" s="10" t="s">
        <v>31</v>
      </c>
    </row>
    <row r="34" customFormat="false" ht="15" hidden="false" customHeight="false" outlineLevel="0" collapsed="false">
      <c r="B34" s="0" t="n">
        <v>5</v>
      </c>
      <c r="C34" s="0" t="s">
        <v>47</v>
      </c>
      <c r="F34" s="10" t="s">
        <v>31</v>
      </c>
    </row>
    <row r="36" customFormat="false" ht="15" hidden="false" customHeight="false" outlineLevel="0" collapsed="false">
      <c r="B36" s="8" t="s">
        <v>48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25</v>
      </c>
      <c r="C37" s="9" t="s">
        <v>26</v>
      </c>
      <c r="D37" s="9" t="s">
        <v>27</v>
      </c>
      <c r="E37" s="9" t="s">
        <v>28</v>
      </c>
      <c r="F37" s="9" t="s">
        <v>29</v>
      </c>
    </row>
    <row r="38" customFormat="false" ht="15" hidden="false" customHeight="false" outlineLevel="0" collapsed="false">
      <c r="B38" s="0" t="n">
        <v>1</v>
      </c>
      <c r="C38" s="0" t="s">
        <v>49</v>
      </c>
      <c r="F38" s="10" t="s">
        <v>31</v>
      </c>
    </row>
    <row r="39" customFormat="false" ht="15" hidden="false" customHeight="false" outlineLevel="0" collapsed="false">
      <c r="B39" s="0" t="n">
        <v>2</v>
      </c>
      <c r="C39" s="0" t="s">
        <v>50</v>
      </c>
      <c r="F39" s="10" t="s">
        <v>31</v>
      </c>
    </row>
    <row r="40" customFormat="false" ht="15" hidden="false" customHeight="false" outlineLevel="0" collapsed="false">
      <c r="B40" s="0" t="n">
        <v>3</v>
      </c>
      <c r="C40" s="0" t="s">
        <v>51</v>
      </c>
      <c r="F40" s="10" t="s">
        <v>31</v>
      </c>
    </row>
    <row r="41" customFormat="false" ht="15" hidden="false" customHeight="false" outlineLevel="0" collapsed="false">
      <c r="B41" s="0" t="n">
        <v>4</v>
      </c>
      <c r="C41" s="0" t="s">
        <v>52</v>
      </c>
      <c r="F41" s="10" t="s">
        <v>31</v>
      </c>
    </row>
    <row r="42" customFormat="false" ht="15" hidden="false" customHeight="false" outlineLevel="0" collapsed="false">
      <c r="B42" s="0" t="n">
        <v>5</v>
      </c>
      <c r="C42" s="0" t="s">
        <v>53</v>
      </c>
      <c r="F42" s="10" t="s">
        <v>31</v>
      </c>
    </row>
    <row r="44" customFormat="false" ht="15" hidden="false" customHeight="false" outlineLevel="0" collapsed="false">
      <c r="B44" s="8" t="s">
        <v>54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25</v>
      </c>
      <c r="C45" s="9" t="s">
        <v>26</v>
      </c>
      <c r="D45" s="9" t="s">
        <v>27</v>
      </c>
      <c r="E45" s="9" t="s">
        <v>28</v>
      </c>
      <c r="F45" s="9" t="s">
        <v>29</v>
      </c>
    </row>
    <row r="46" customFormat="false" ht="15" hidden="false" customHeight="false" outlineLevel="0" collapsed="false">
      <c r="B46" s="0" t="n">
        <v>1</v>
      </c>
      <c r="C46" s="0" t="s">
        <v>55</v>
      </c>
      <c r="F46" s="10" t="s">
        <v>31</v>
      </c>
    </row>
    <row r="47" customFormat="false" ht="15" hidden="false" customHeight="false" outlineLevel="0" collapsed="false">
      <c r="B47" s="0" t="n">
        <v>2</v>
      </c>
      <c r="C47" s="0" t="s">
        <v>56</v>
      </c>
      <c r="F47" s="10" t="s">
        <v>31</v>
      </c>
    </row>
    <row r="48" customFormat="false" ht="15" hidden="false" customHeight="false" outlineLevel="0" collapsed="false">
      <c r="B48" s="0" t="n">
        <v>3</v>
      </c>
      <c r="C48" s="0" t="s">
        <v>57</v>
      </c>
      <c r="F48" s="10" t="s">
        <v>31</v>
      </c>
    </row>
    <row r="49" customFormat="false" ht="15" hidden="false" customHeight="false" outlineLevel="0" collapsed="false">
      <c r="B49" s="0" t="n">
        <v>4</v>
      </c>
      <c r="C49" s="0" t="s">
        <v>58</v>
      </c>
      <c r="F49" s="10" t="s">
        <v>31</v>
      </c>
    </row>
    <row r="50" customFormat="false" ht="15" hidden="false" customHeight="false" outlineLevel="0" collapsed="false">
      <c r="B50" s="0" t="n">
        <v>5</v>
      </c>
      <c r="C50" s="0" t="s">
        <v>59</v>
      </c>
      <c r="F50" s="10" t="s">
        <v>31</v>
      </c>
    </row>
    <row r="52" customFormat="false" ht="15" hidden="false" customHeight="false" outlineLevel="0" collapsed="false">
      <c r="B52" s="8" t="s">
        <v>60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25</v>
      </c>
      <c r="C53" s="9" t="s">
        <v>26</v>
      </c>
      <c r="D53" s="9" t="s">
        <v>27</v>
      </c>
      <c r="E53" s="9" t="s">
        <v>28</v>
      </c>
      <c r="F53" s="9" t="s">
        <v>29</v>
      </c>
    </row>
    <row r="54" customFormat="false" ht="15" hidden="false" customHeight="false" outlineLevel="0" collapsed="false">
      <c r="B54" s="0" t="n">
        <v>1</v>
      </c>
      <c r="C54" s="0" t="s">
        <v>61</v>
      </c>
      <c r="F54" s="10" t="s">
        <v>31</v>
      </c>
    </row>
    <row r="55" customFormat="false" ht="15" hidden="false" customHeight="false" outlineLevel="0" collapsed="false">
      <c r="B55" s="0" t="n">
        <v>2</v>
      </c>
      <c r="C55" s="0" t="s">
        <v>62</v>
      </c>
      <c r="F55" s="10" t="s">
        <v>31</v>
      </c>
    </row>
    <row r="56" customFormat="false" ht="15" hidden="false" customHeight="false" outlineLevel="0" collapsed="false">
      <c r="B56" s="0" t="n">
        <v>3</v>
      </c>
      <c r="C56" s="0" t="s">
        <v>63</v>
      </c>
      <c r="F56" s="10" t="s">
        <v>31</v>
      </c>
    </row>
    <row r="57" customFormat="false" ht="15" hidden="false" customHeight="false" outlineLevel="0" collapsed="false">
      <c r="B57" s="0" t="n">
        <v>4</v>
      </c>
      <c r="C57" s="0" t="s">
        <v>64</v>
      </c>
      <c r="F57" s="10" t="s">
        <v>31</v>
      </c>
    </row>
    <row r="58" customFormat="false" ht="15" hidden="false" customHeight="false" outlineLevel="0" collapsed="false">
      <c r="B58" s="0" t="n">
        <v>5</v>
      </c>
      <c r="C58" s="0" t="s">
        <v>65</v>
      </c>
      <c r="F58" s="10" t="s">
        <v>31</v>
      </c>
    </row>
    <row r="60" customFormat="false" ht="15" hidden="false" customHeight="false" outlineLevel="0" collapsed="false">
      <c r="B60" s="8" t="s">
        <v>66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67</v>
      </c>
      <c r="C61" s="9" t="s">
        <v>68</v>
      </c>
      <c r="D61" s="9" t="s">
        <v>69</v>
      </c>
      <c r="E61" s="9" t="s">
        <v>70</v>
      </c>
      <c r="F61" s="9" t="s">
        <v>71</v>
      </c>
    </row>
    <row r="62" customFormat="false" ht="15" hidden="false" customHeight="false" outlineLevel="0" collapsed="false">
      <c r="B62" s="0" t="s">
        <v>72</v>
      </c>
      <c r="C62" s="0" t="s">
        <v>73</v>
      </c>
      <c r="D62" s="0" t="s">
        <v>74</v>
      </c>
      <c r="E62" s="0" t="s">
        <v>75</v>
      </c>
    </row>
    <row r="63" customFormat="false" ht="15" hidden="false" customHeight="false" outlineLevel="0" collapsed="false">
      <c r="B63" s="0" t="s">
        <v>76</v>
      </c>
      <c r="C63" s="0" t="s">
        <v>77</v>
      </c>
      <c r="D63" s="0" t="s">
        <v>78</v>
      </c>
      <c r="E63" s="0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79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80</v>
      </c>
      <c r="C4" s="9" t="s">
        <v>81</v>
      </c>
      <c r="D4" s="9" t="s">
        <v>82</v>
      </c>
      <c r="E4" s="9" t="s">
        <v>83</v>
      </c>
      <c r="F4" s="9" t="s">
        <v>84</v>
      </c>
      <c r="G4" s="9" t="s">
        <v>85</v>
      </c>
      <c r="H4" s="9" t="s">
        <v>29</v>
      </c>
      <c r="I4" s="9" t="s">
        <v>86</v>
      </c>
    </row>
    <row r="5" customFormat="false" ht="15" hidden="false" customHeight="false" outlineLevel="0" collapsed="false">
      <c r="D5" s="0" t="s">
        <v>55</v>
      </c>
      <c r="H5" s="10" t="s">
        <v>31</v>
      </c>
    </row>
    <row r="6" customFormat="false" ht="15" hidden="false" customHeight="false" outlineLevel="0" collapsed="false">
      <c r="D6" s="0" t="s">
        <v>56</v>
      </c>
      <c r="H6" s="10" t="s">
        <v>31</v>
      </c>
    </row>
    <row r="7" customFormat="false" ht="15" hidden="false" customHeight="false" outlineLevel="0" collapsed="false">
      <c r="D7" s="0" t="s">
        <v>57</v>
      </c>
      <c r="H7" s="10" t="s">
        <v>31</v>
      </c>
    </row>
    <row r="8" customFormat="false" ht="15" hidden="false" customHeight="false" outlineLevel="0" collapsed="false">
      <c r="D8" s="0" t="s">
        <v>58</v>
      </c>
      <c r="H8" s="10" t="s">
        <v>31</v>
      </c>
    </row>
    <row r="9" customFormat="false" ht="15" hidden="false" customHeight="false" outlineLevel="0" collapsed="false">
      <c r="D9" s="0" t="s">
        <v>59</v>
      </c>
      <c r="H9" s="10" t="s">
        <v>31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87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27</v>
      </c>
      <c r="H4" s="9" t="s">
        <v>93</v>
      </c>
      <c r="I4" s="9" t="s">
        <v>94</v>
      </c>
      <c r="J4" s="9" t="s">
        <v>29</v>
      </c>
    </row>
    <row r="5" customFormat="false" ht="15" hidden="false" customHeight="false" outlineLevel="0" collapsed="false">
      <c r="B5" s="0" t="s">
        <v>95</v>
      </c>
      <c r="C5" s="0" t="s">
        <v>96</v>
      </c>
      <c r="D5" s="0" t="s">
        <v>97</v>
      </c>
      <c r="J5" s="10" t="s">
        <v>98</v>
      </c>
    </row>
    <row r="6" customFormat="false" ht="15" hidden="false" customHeight="false" outlineLevel="0" collapsed="false">
      <c r="B6" s="0" t="s">
        <v>99</v>
      </c>
      <c r="C6" s="0" t="s">
        <v>96</v>
      </c>
      <c r="D6" s="0" t="s">
        <v>100</v>
      </c>
      <c r="J6" s="10" t="s">
        <v>98</v>
      </c>
    </row>
    <row r="7" customFormat="false" ht="15" hidden="false" customHeight="false" outlineLevel="0" collapsed="false">
      <c r="B7" s="0" t="s">
        <v>101</v>
      </c>
      <c r="C7" s="0" t="s">
        <v>102</v>
      </c>
      <c r="D7" s="0" t="s">
        <v>103</v>
      </c>
      <c r="J7" s="10" t="s">
        <v>98</v>
      </c>
    </row>
    <row r="8" customFormat="false" ht="15" hidden="false" customHeight="false" outlineLevel="0" collapsed="false">
      <c r="B8" s="0" t="s">
        <v>104</v>
      </c>
      <c r="C8" s="0" t="s">
        <v>105</v>
      </c>
      <c r="D8" s="0" t="s">
        <v>106</v>
      </c>
      <c r="J8" s="10" t="s">
        <v>98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9.7" hidden="false" customHeight="false" outlineLevel="0" collapsed="false">
      <c r="B2" s="1" t="s">
        <v>107</v>
      </c>
    </row>
    <row r="5" customFormat="false" ht="15" hidden="false" customHeight="false" outlineLevel="0" collapsed="false">
      <c r="B5" s="11" t="s">
        <v>108</v>
      </c>
      <c r="C5" s="12" t="n">
        <v>20</v>
      </c>
    </row>
    <row r="6" customFormat="false" ht="15" hidden="false" customHeight="false" outlineLevel="0" collapsed="false">
      <c r="B6" s="11" t="s">
        <v>109</v>
      </c>
      <c r="C6" s="12" t="n">
        <v>6</v>
      </c>
    </row>
    <row r="7" customFormat="false" ht="15" hidden="false" customHeight="false" outlineLevel="0" collapsed="false">
      <c r="B7" s="11" t="s">
        <v>110</v>
      </c>
      <c r="C7" s="13" t="n">
        <f aca="false">C5-C6</f>
        <v>14</v>
      </c>
    </row>
    <row r="8" customFormat="false" ht="15" hidden="false" customHeight="false" outlineLevel="0" collapsed="false">
      <c r="B8" s="11" t="s">
        <v>111</v>
      </c>
      <c r="C8" s="12" t="n">
        <v>0.5</v>
      </c>
    </row>
    <row r="9" customFormat="false" ht="15" hidden="false" customHeight="false" outlineLevel="0" collapsed="false">
      <c r="B9" s="2" t="s">
        <v>112</v>
      </c>
      <c r="C9" s="14" t="n">
        <f aca="false">C7+C8</f>
        <v>14.5</v>
      </c>
    </row>
    <row r="10" customFormat="false" ht="15" hidden="false" customHeight="false" outlineLevel="0" collapsed="false">
      <c r="B10" s="11" t="s">
        <v>113</v>
      </c>
      <c r="C10" s="12" t="n">
        <v>9</v>
      </c>
    </row>
    <row r="11" customFormat="false" ht="15" hidden="false" customHeight="false" outlineLevel="0" collapsed="false">
      <c r="B11" s="2" t="s">
        <v>114</v>
      </c>
      <c r="C11" s="14" t="n">
        <f aca="false">C9-C10</f>
        <v>5.5</v>
      </c>
    </row>
    <row r="12" customFormat="false" ht="15" hidden="false" customHeight="false" outlineLevel="0" collapsed="false">
      <c r="B12" s="11" t="s">
        <v>115</v>
      </c>
      <c r="C12" s="12" t="n">
        <v>4</v>
      </c>
    </row>
    <row r="13" customFormat="false" ht="15" hidden="false" customHeight="false" outlineLevel="0" collapsed="false">
      <c r="B13" s="11" t="s">
        <v>116</v>
      </c>
      <c r="C13" s="15" t="n">
        <f aca="false">'Debt Schedule'!E8</f>
        <v>11.1752710354266</v>
      </c>
    </row>
    <row r="14" customFormat="false" ht="15" hidden="false" customHeight="false" outlineLevel="0" collapsed="false">
      <c r="B14" s="2" t="s">
        <v>117</v>
      </c>
      <c r="C14" s="14" t="n">
        <f aca="false">C11-C12-C13</f>
        <v>-9.67527103542664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8" min="6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4"/>
  </cols>
  <sheetData>
    <row r="2" customFormat="false" ht="19.7" hidden="false" customHeight="false" outlineLevel="0" collapsed="false">
      <c r="B2" s="1" t="s">
        <v>118</v>
      </c>
    </row>
    <row r="4" customFormat="false" ht="15" hidden="false" customHeight="false" outlineLevel="0" collapsed="false">
      <c r="B4" s="16" t="s">
        <v>119</v>
      </c>
      <c r="C4" s="16" t="s">
        <v>120</v>
      </c>
      <c r="D4" s="16" t="s">
        <v>121</v>
      </c>
      <c r="E4" s="16" t="s">
        <v>122</v>
      </c>
      <c r="F4" s="16" t="s">
        <v>123</v>
      </c>
      <c r="G4" s="16" t="s">
        <v>124</v>
      </c>
      <c r="H4" s="16" t="s">
        <v>125</v>
      </c>
      <c r="I4" s="16" t="s">
        <v>126</v>
      </c>
      <c r="J4" s="16" t="s">
        <v>127</v>
      </c>
      <c r="K4" s="16" t="s">
        <v>128</v>
      </c>
    </row>
    <row r="5" customFormat="false" ht="15" hidden="false" customHeight="false" outlineLevel="0" collapsed="false">
      <c r="B5" s="0" t="n">
        <v>1</v>
      </c>
      <c r="C5" s="17" t="n">
        <f aca="false">'Property Pro Forma'!C5</f>
        <v>20</v>
      </c>
      <c r="D5" s="18" t="n">
        <v>0.18</v>
      </c>
      <c r="E5" s="18" t="n">
        <v>0.75</v>
      </c>
      <c r="F5" s="18" t="n">
        <v>0.03</v>
      </c>
      <c r="G5" s="19" t="n">
        <v>3</v>
      </c>
      <c r="H5" s="20" t="n">
        <f aca="false">C5*D5*(1-E5)*G5/12</f>
        <v>0.225</v>
      </c>
      <c r="I5" s="20" t="n">
        <f aca="false">C5*D5*E5*(1+F5)</f>
        <v>2.781</v>
      </c>
      <c r="J5" s="20" t="n">
        <f aca="false">C5*(1-D5)+I5</f>
        <v>19.181</v>
      </c>
      <c r="K5" s="21" t="n">
        <f aca="false">IFERROR(1-H5/C5,0)</f>
        <v>0.98875</v>
      </c>
    </row>
    <row r="6" customFormat="false" ht="15" hidden="false" customHeight="false" outlineLevel="0" collapsed="false">
      <c r="B6" s="0" t="n">
        <v>2</v>
      </c>
      <c r="C6" s="17" t="n">
        <f aca="false">J5</f>
        <v>19.181</v>
      </c>
      <c r="D6" s="18" t="n">
        <v>0.2</v>
      </c>
      <c r="E6" s="18" t="n">
        <v>0.72</v>
      </c>
      <c r="F6" s="18" t="n">
        <v>0.03</v>
      </c>
      <c r="G6" s="19" t="n">
        <v>3</v>
      </c>
      <c r="H6" s="20" t="n">
        <f aca="false">C6*D6*(1-E6)*G6/12</f>
        <v>0.268534</v>
      </c>
      <c r="I6" s="20" t="n">
        <f aca="false">C6*D6*E6*(1+F6)</f>
        <v>2.84492592</v>
      </c>
      <c r="J6" s="20" t="n">
        <f aca="false">C6*(1-D6)+I6</f>
        <v>18.18972592</v>
      </c>
      <c r="K6" s="21" t="n">
        <f aca="false">IFERROR(1-H6/C6,0)</f>
        <v>0.986</v>
      </c>
    </row>
    <row r="7" customFormat="false" ht="15" hidden="false" customHeight="false" outlineLevel="0" collapsed="false">
      <c r="B7" s="0" t="n">
        <v>3</v>
      </c>
      <c r="C7" s="17" t="n">
        <f aca="false">J6</f>
        <v>18.18972592</v>
      </c>
      <c r="D7" s="18" t="n">
        <v>0.22</v>
      </c>
      <c r="E7" s="18" t="n">
        <v>0.7</v>
      </c>
      <c r="F7" s="18" t="n">
        <v>0.025</v>
      </c>
      <c r="G7" s="19" t="n">
        <v>4</v>
      </c>
      <c r="H7" s="20" t="n">
        <f aca="false">C7*D7*(1-E7)*G7/12</f>
        <v>0.40017397024</v>
      </c>
      <c r="I7" s="20" t="n">
        <f aca="false">C7*D7*E7*(1+F7)</f>
        <v>2.871248236472</v>
      </c>
      <c r="J7" s="20" t="n">
        <f aca="false">C7*(1-D7)+I7</f>
        <v>17.059234454072</v>
      </c>
      <c r="K7" s="21" t="n">
        <f aca="false">IFERROR(1-H7/C7,0)</f>
        <v>0.978</v>
      </c>
    </row>
    <row r="8" customFormat="false" ht="15" hidden="false" customHeight="false" outlineLevel="0" collapsed="false">
      <c r="B8" s="0" t="n">
        <v>4</v>
      </c>
      <c r="C8" s="17" t="n">
        <f aca="false">J7</f>
        <v>17.059234454072</v>
      </c>
      <c r="D8" s="18" t="n">
        <v>0.18</v>
      </c>
      <c r="E8" s="18" t="n">
        <v>0.68</v>
      </c>
      <c r="F8" s="18" t="n">
        <v>0.02</v>
      </c>
      <c r="G8" s="19" t="n">
        <v>4</v>
      </c>
      <c r="H8" s="20" t="n">
        <f aca="false">C8*D8*(1-E8)*G8/12</f>
        <v>0.327537301518182</v>
      </c>
      <c r="I8" s="20" t="n">
        <f aca="false">C8*D8*E8*(1+F8)</f>
        <v>2.12981130312198</v>
      </c>
      <c r="J8" s="20" t="n">
        <f aca="false">C8*(1-D8)+I8</f>
        <v>16.118383555461</v>
      </c>
      <c r="K8" s="21" t="n">
        <f aca="false">IFERROR(1-H8/C8,0)</f>
        <v>0.9808</v>
      </c>
    </row>
    <row r="9" customFormat="false" ht="15" hidden="false" customHeight="false" outlineLevel="0" collapsed="false">
      <c r="B9" s="0" t="n">
        <v>5</v>
      </c>
      <c r="C9" s="17" t="n">
        <f aca="false">J8</f>
        <v>16.118383555461</v>
      </c>
      <c r="D9" s="18" t="n">
        <v>0.25</v>
      </c>
      <c r="E9" s="18" t="n">
        <v>0.65</v>
      </c>
      <c r="F9" s="18" t="n">
        <v>0.02</v>
      </c>
      <c r="G9" s="19" t="n">
        <v>5</v>
      </c>
      <c r="H9" s="20" t="n">
        <f aca="false">C9*D9*(1-E9)*G9/12</f>
        <v>0.587649400459516</v>
      </c>
      <c r="I9" s="20" t="n">
        <f aca="false">C9*D9*E9*(1+F9)</f>
        <v>2.67162207431766</v>
      </c>
      <c r="J9" s="20" t="n">
        <f aca="false">C9*(1-D9)+I9</f>
        <v>14.7604097409134</v>
      </c>
      <c r="K9" s="21" t="n">
        <f aca="false">IFERROR(1-H9/C9,0)</f>
        <v>0.963541666666667</v>
      </c>
    </row>
    <row r="12" customFormat="false" ht="15" hidden="false" customHeight="false" outlineLevel="0" collapsed="false">
      <c r="B12" s="2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130</v>
      </c>
    </row>
    <row r="4" customFormat="false" ht="15" hidden="false" customHeight="false" outlineLevel="0" collapsed="false">
      <c r="B4" s="0" t="s">
        <v>131</v>
      </c>
      <c r="C4" s="23" t="n">
        <f aca="false">'Property Pro Forma'!C11</f>
        <v>5.5</v>
      </c>
    </row>
    <row r="5" customFormat="false" ht="15" hidden="false" customHeight="false" outlineLevel="0" collapsed="false">
      <c r="B5" s="0" t="s">
        <v>132</v>
      </c>
      <c r="C5" s="18" t="n">
        <v>0.09</v>
      </c>
    </row>
    <row r="6" customFormat="false" ht="15" hidden="false" customHeight="false" outlineLevel="0" collapsed="false">
      <c r="B6" s="0" t="s">
        <v>133</v>
      </c>
      <c r="C6" s="14" t="n">
        <f aca="false">IFERROR(C4/C5,"-")</f>
        <v>61.1111111111111</v>
      </c>
    </row>
    <row r="8" customFormat="false" ht="15" hidden="false" customHeight="false" outlineLevel="0" collapsed="false">
      <c r="B8" s="0" t="s">
        <v>134</v>
      </c>
      <c r="C8" s="12" t="n">
        <v>100</v>
      </c>
    </row>
    <row r="9" customFormat="false" ht="15" hidden="false" customHeight="false" outlineLevel="0" collapsed="false">
      <c r="B9" s="0" t="s">
        <v>135</v>
      </c>
      <c r="C9" s="21" t="n">
        <f aca="false">IFERROR(C4/C8,"-")</f>
        <v>0.055</v>
      </c>
    </row>
    <row r="10" customFormat="false" ht="15" hidden="false" customHeight="false" outlineLevel="0" collapsed="false">
      <c r="B10" s="0" t="s">
        <v>136</v>
      </c>
      <c r="C10" s="12" t="n">
        <v>85</v>
      </c>
    </row>
    <row r="11" customFormat="false" ht="15" hidden="false" customHeight="false" outlineLevel="0" collapsed="false">
      <c r="B11" s="0" t="s">
        <v>137</v>
      </c>
      <c r="C11" s="21" t="n">
        <f aca="false">IFERROR('Property Pro Forma'!C14/(C8-C10),"-")</f>
        <v>-0.645018069028443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10" min="8" style="0" width="16"/>
  </cols>
  <sheetData>
    <row r="2" customFormat="false" ht="19.7" hidden="false" customHeight="false" outlineLevel="0" collapsed="false">
      <c r="B2" s="1" t="s">
        <v>138</v>
      </c>
    </row>
    <row r="3" customFormat="false" ht="15" hidden="false" customHeight="false" outlineLevel="0" collapsed="false">
      <c r="B3" s="0" t="s">
        <v>139</v>
      </c>
      <c r="C3" s="18" t="n">
        <v>0.1</v>
      </c>
    </row>
    <row r="4" customFormat="false" ht="15" hidden="false" customHeight="false" outlineLevel="0" collapsed="false">
      <c r="B4" s="0" t="s">
        <v>140</v>
      </c>
      <c r="C4" s="24" t="n">
        <v>15</v>
      </c>
    </row>
    <row r="5" customFormat="false" ht="15" hidden="false" customHeight="false" outlineLevel="0" collapsed="false">
      <c r="B5" s="0" t="s">
        <v>141</v>
      </c>
      <c r="C5" s="25" t="n">
        <v>1.25</v>
      </c>
    </row>
    <row r="7" customFormat="false" ht="15" hidden="false" customHeight="false" outlineLevel="0" collapsed="false">
      <c r="B7" s="16" t="s">
        <v>119</v>
      </c>
      <c r="C7" s="16" t="s">
        <v>142</v>
      </c>
      <c r="D7" s="16" t="s">
        <v>143</v>
      </c>
      <c r="E7" s="16" t="s">
        <v>144</v>
      </c>
      <c r="F7" s="16" t="s">
        <v>145</v>
      </c>
      <c r="G7" s="16" t="s">
        <v>146</v>
      </c>
      <c r="H7" s="16" t="s">
        <v>147</v>
      </c>
      <c r="I7" s="16" t="s">
        <v>148</v>
      </c>
      <c r="J7" s="16" t="s">
        <v>149</v>
      </c>
    </row>
    <row r="8" customFormat="false" ht="15" hidden="false" customHeight="false" outlineLevel="0" collapsed="false">
      <c r="B8" s="0" t="n">
        <v>1</v>
      </c>
      <c r="C8" s="20" t="n">
        <f aca="false">'Cap Rate &amp; Valuation'!C10</f>
        <v>85</v>
      </c>
      <c r="D8" s="20" t="n">
        <f aca="false">C8*$C$3</f>
        <v>8.5</v>
      </c>
      <c r="E8" s="20" t="n">
        <f aca="false">D8+F8</f>
        <v>11.1752710354266</v>
      </c>
      <c r="F8" s="20" t="n">
        <f aca="false">MIN(C8,MAX(0,-PMT($C$3,$C$4,'Cap Rate &amp; Valuation'!$C$10)-D8))</f>
        <v>2.67527103542664</v>
      </c>
      <c r="G8" s="20" t="n">
        <f aca="false">MAX(0,C8-F8)</f>
        <v>82.3247289645734</v>
      </c>
      <c r="H8" s="20" t="n">
        <f aca="false">'5-Year Hold &amp; IRR'!C13</f>
        <v>5.5</v>
      </c>
      <c r="I8" s="26" t="n">
        <f aca="false">IFERROR(H8/E8,0)</f>
        <v>0.492158085702306</v>
      </c>
      <c r="J8" s="26" t="n">
        <f aca="false">I8-$C$5</f>
        <v>-0.757841914297694</v>
      </c>
    </row>
    <row r="9" customFormat="false" ht="15" hidden="false" customHeight="false" outlineLevel="0" collapsed="false">
      <c r="B9" s="0" t="n">
        <v>2</v>
      </c>
      <c r="C9" s="20" t="n">
        <f aca="false">G8</f>
        <v>82.3247289645734</v>
      </c>
      <c r="D9" s="20" t="n">
        <f aca="false">C9*$C$3</f>
        <v>8.23247289645734</v>
      </c>
      <c r="E9" s="20" t="n">
        <f aca="false">D9+F9</f>
        <v>11.1752710354266</v>
      </c>
      <c r="F9" s="20" t="n">
        <f aca="false">MIN(C9,MAX(0,-PMT($C$3,$C$4,'Cap Rate &amp; Valuation'!$C$10)-D9))</f>
        <v>2.9427981389693</v>
      </c>
      <c r="G9" s="20" t="n">
        <f aca="false">MAX(0,C9-F9)</f>
        <v>79.381930825604</v>
      </c>
      <c r="H9" s="20" t="n">
        <f aca="false">'5-Year Hold &amp; IRR'!D13</f>
        <v>5.335</v>
      </c>
      <c r="I9" s="26" t="n">
        <f aca="false">IFERROR(H9/E9,0)</f>
        <v>0.477393343131237</v>
      </c>
      <c r="J9" s="26" t="n">
        <f aca="false">I9-$C$5</f>
        <v>-0.772606656868763</v>
      </c>
    </row>
    <row r="10" customFormat="false" ht="15" hidden="false" customHeight="false" outlineLevel="0" collapsed="false">
      <c r="B10" s="0" t="n">
        <v>3</v>
      </c>
      <c r="C10" s="20" t="n">
        <f aca="false">G9</f>
        <v>79.381930825604</v>
      </c>
      <c r="D10" s="20" t="n">
        <f aca="false">C10*$C$3</f>
        <v>7.93819308256041</v>
      </c>
      <c r="E10" s="20" t="n">
        <f aca="false">D10+F10</f>
        <v>11.1752710354266</v>
      </c>
      <c r="F10" s="20" t="n">
        <f aca="false">MIN(C10,MAX(0,-PMT($C$3,$C$4,'Cap Rate &amp; Valuation'!$C$10)-D10))</f>
        <v>3.23707795286624</v>
      </c>
      <c r="G10" s="20" t="n">
        <f aca="false">MAX(0,C10-F10)</f>
        <v>76.1448528727378</v>
      </c>
      <c r="H10" s="20" t="n">
        <f aca="false">'5-Year Hold &amp; IRR'!E13</f>
        <v>5.17495</v>
      </c>
      <c r="I10" s="26" t="n">
        <f aca="false">IFERROR(H10/E10,0)</f>
        <v>0.4630715428373</v>
      </c>
      <c r="J10" s="26" t="n">
        <f aca="false">I10-$C$5</f>
        <v>-0.7869284571627</v>
      </c>
    </row>
    <row r="11" customFormat="false" ht="15" hidden="false" customHeight="false" outlineLevel="0" collapsed="false">
      <c r="B11" s="0" t="n">
        <v>4</v>
      </c>
      <c r="C11" s="20" t="n">
        <f aca="false">G10</f>
        <v>76.1448528727378</v>
      </c>
      <c r="D11" s="20" t="n">
        <f aca="false">C11*$C$3</f>
        <v>7.61448528727378</v>
      </c>
      <c r="E11" s="20" t="n">
        <f aca="false">D11+F11</f>
        <v>11.1752710354266</v>
      </c>
      <c r="F11" s="20" t="n">
        <f aca="false">MIN(C11,MAX(0,-PMT($C$3,$C$4,'Cap Rate &amp; Valuation'!$C$10)-D11))</f>
        <v>3.56078574815286</v>
      </c>
      <c r="G11" s="20" t="n">
        <f aca="false">MAX(0,C11-F11)</f>
        <v>72.584067124585</v>
      </c>
      <c r="H11" s="20" t="n">
        <f aca="false">'5-Year Hold &amp; IRR'!F13</f>
        <v>5.0197015</v>
      </c>
      <c r="I11" s="26" t="n">
        <f aca="false">IFERROR(H11/E11,0)</f>
        <v>0.449179396552181</v>
      </c>
      <c r="J11" s="26" t="n">
        <f aca="false">I11-$C$5</f>
        <v>-0.80082060344782</v>
      </c>
    </row>
    <row r="12" customFormat="false" ht="15" hidden="false" customHeight="false" outlineLevel="0" collapsed="false">
      <c r="B12" s="0" t="n">
        <v>5</v>
      </c>
      <c r="C12" s="20" t="n">
        <f aca="false">G11</f>
        <v>72.584067124585</v>
      </c>
      <c r="D12" s="20" t="n">
        <f aca="false">C12*$C$3</f>
        <v>7.2584067124585</v>
      </c>
      <c r="E12" s="20" t="n">
        <f aca="false">D12+F12</f>
        <v>11.1752710354266</v>
      </c>
      <c r="F12" s="20" t="n">
        <f aca="false">MIN(C12,MAX(0,-PMT($C$3,$C$4,'Cap Rate &amp; Valuation'!$C$10)-D12))</f>
        <v>3.91686432296814</v>
      </c>
      <c r="G12" s="20" t="n">
        <f aca="false">MAX(0,C12-F12)</f>
        <v>68.6672028016168</v>
      </c>
      <c r="H12" s="20" t="n">
        <f aca="false">'5-Year Hold &amp; IRR'!G13</f>
        <v>4.869110455</v>
      </c>
      <c r="I12" s="26" t="n">
        <f aca="false">IFERROR(H12/E12,0)</f>
        <v>0.435704014655615</v>
      </c>
      <c r="J12" s="26" t="n">
        <f aca="false">I12-$C$5</f>
        <v>-0.814295985344385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150</v>
      </c>
    </row>
    <row r="4" customFormat="false" ht="15" hidden="false" customHeight="false" outlineLevel="0" collapsed="false">
      <c r="B4" s="0" t="s">
        <v>151</v>
      </c>
      <c r="C4" s="12" t="n">
        <v>-3</v>
      </c>
    </row>
    <row r="5" customFormat="false" ht="15" hidden="false" customHeight="false" outlineLevel="0" collapsed="false">
      <c r="B5" s="0" t="s">
        <v>152</v>
      </c>
      <c r="C5" s="12" t="n">
        <v>2</v>
      </c>
    </row>
    <row r="6" customFormat="false" ht="15" hidden="false" customHeight="false" outlineLevel="0" collapsed="false">
      <c r="B6" s="0" t="s">
        <v>153</v>
      </c>
      <c r="C6" s="12" t="n">
        <v>0</v>
      </c>
    </row>
    <row r="7" customFormat="false" ht="15" hidden="false" customHeight="false" outlineLevel="0" collapsed="false">
      <c r="B7" s="0" t="s">
        <v>154</v>
      </c>
      <c r="C7" s="14" t="n">
        <f aca="false">C4+C5-C6</f>
        <v>-1</v>
      </c>
    </row>
    <row r="9" customFormat="false" ht="15" hidden="false" customHeight="false" outlineLevel="0" collapsed="false">
      <c r="B9" s="0" t="s">
        <v>155</v>
      </c>
      <c r="C9" s="12" t="n">
        <v>4</v>
      </c>
    </row>
    <row r="10" customFormat="false" ht="15" hidden="false" customHeight="false" outlineLevel="0" collapsed="false">
      <c r="B10" s="0" t="s">
        <v>156</v>
      </c>
      <c r="C10" s="12" t="n">
        <v>1</v>
      </c>
    </row>
    <row r="11" customFormat="false" ht="15" hidden="false" customHeight="false" outlineLevel="0" collapsed="false">
      <c r="B11" s="0" t="s">
        <v>157</v>
      </c>
      <c r="C11" s="14" t="n">
        <f aca="false">C7-C9-C10</f>
        <v>-6</v>
      </c>
      <c r="D11" s="22" t="s">
        <v>158</v>
      </c>
    </row>
    <row r="13" customFormat="false" ht="15" hidden="false" customHeight="false" outlineLevel="0" collapsed="false">
      <c r="B13" s="0" t="s">
        <v>159</v>
      </c>
      <c r="C13" s="24" t="n">
        <v>10</v>
      </c>
    </row>
    <row r="14" customFormat="false" ht="15" hidden="false" customHeight="false" outlineLevel="0" collapsed="false">
      <c r="B14" s="0" t="s">
        <v>160</v>
      </c>
      <c r="C14" s="27" t="n">
        <f aca="false">IFERROR(C7/C13,"-")</f>
        <v>-0.1</v>
      </c>
    </row>
    <row r="15" customFormat="false" ht="15" hidden="false" customHeight="false" outlineLevel="0" collapsed="false">
      <c r="B15" s="0" t="s">
        <v>161</v>
      </c>
      <c r="C15" s="27" t="n">
        <f aca="false">IFERROR(C11/C13,"-")</f>
        <v>-0.6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162</v>
      </c>
    </row>
    <row r="4" customFormat="false" ht="15" hidden="false" customHeight="false" outlineLevel="0" collapsed="false">
      <c r="B4" s="16" t="s">
        <v>163</v>
      </c>
      <c r="C4" s="16" t="s">
        <v>164</v>
      </c>
      <c r="D4" s="16" t="s">
        <v>29</v>
      </c>
      <c r="E4" s="16" t="s">
        <v>165</v>
      </c>
    </row>
    <row r="5" customFormat="false" ht="15" hidden="false" customHeight="false" outlineLevel="0" collapsed="false">
      <c r="B5" s="0" t="s">
        <v>166</v>
      </c>
      <c r="C5" s="28" t="n">
        <f aca="false">'Property Pro Forma'!C11-('Property Pro Forma'!C5-'Property Pro Forma'!C6+'Property Pro Forma'!C8-'Property Pro Forma'!C10)</f>
        <v>0</v>
      </c>
      <c r="D5" s="28" t="str">
        <f aca="false">IF(ABS(C5)&lt;0.01,"PASS","FAIL")</f>
        <v>PASS</v>
      </c>
      <c r="E5" s="10" t="s">
        <v>167</v>
      </c>
    </row>
    <row r="6" customFormat="false" ht="15" hidden="false" customHeight="false" outlineLevel="0" collapsed="false">
      <c r="B6" s="0" t="s">
        <v>168</v>
      </c>
      <c r="C6" s="28" t="n">
        <f aca="false">'REIT FFO-AFFO'!C7-('REIT FFO-AFFO'!C4+'REIT FFO-AFFO'!C5-'REIT FFO-AFFO'!C6)</f>
        <v>0</v>
      </c>
      <c r="D6" s="28" t="str">
        <f aca="false">IF(ABS(C6)&lt;0.01,"PASS","FAIL")</f>
        <v>PASS</v>
      </c>
      <c r="E6" s="10" t="s">
        <v>169</v>
      </c>
    </row>
    <row r="7" customFormat="false" ht="15" hidden="false" customHeight="false" outlineLevel="0" collapsed="false">
      <c r="B7" s="0" t="s">
        <v>170</v>
      </c>
      <c r="C7" s="28" t="n">
        <f aca="false">'REIT FFO-AFFO'!C11-('REIT FFO-AFFO'!C7-'REIT FFO-AFFO'!C9-'REIT FFO-AFFO'!C10)</f>
        <v>0</v>
      </c>
      <c r="D7" s="28" t="str">
        <f aca="false">IF(ABS(C7)&lt;0.01,"PASS","FAIL")</f>
        <v>PASS</v>
      </c>
      <c r="E7" s="10" t="s">
        <v>171</v>
      </c>
    </row>
    <row r="8" customFormat="false" ht="15" hidden="false" customHeight="false" outlineLevel="0" collapsed="false">
      <c r="B8" s="0" t="s">
        <v>172</v>
      </c>
      <c r="C8" s="28" t="n">
        <f aca="false">MIN('Debt Schedule'!I8:I12)</f>
        <v>0.435704014655615</v>
      </c>
      <c r="D8" s="28" t="str">
        <f aca="false">IF(C8&gt;='Debt Schedule'!C5,"PASS",IF(C8&gt;=1,"REVIEW","BREACH"))</f>
        <v>BREACH</v>
      </c>
      <c r="E8" s="10" t="s">
        <v>173</v>
      </c>
    </row>
    <row r="9" customFormat="false" ht="15" hidden="false" customHeight="false" outlineLevel="0" collapsed="false">
      <c r="B9" s="0" t="s">
        <v>174</v>
      </c>
      <c r="C9" s="28" t="n">
        <f aca="false">IFERROR('Cap Rate &amp; Valuation'!C10/'Cap Rate &amp; Valuation'!C8,0)</f>
        <v>0.85</v>
      </c>
      <c r="D9" s="28" t="str">
        <f aca="false">IF(C9&lt;=0.75,"PASS",IF(C9&lt;=0.85,"REVIEW","BREACH"))</f>
        <v>REVIEW</v>
      </c>
      <c r="E9" s="10" t="s">
        <v>175</v>
      </c>
    </row>
    <row r="10" customFormat="false" ht="15" hidden="false" customHeight="false" outlineLevel="0" collapsed="false">
      <c r="B10" s="0" t="s">
        <v>176</v>
      </c>
      <c r="C10" s="28" t="n">
        <f aca="false">MIN('Lease Roll'!K5:K9)</f>
        <v>0.963541666666667</v>
      </c>
      <c r="D10" s="28" t="str">
        <f aca="false">IF(C10&gt;=0.9,"PASS",IF(C10&gt;=0.8,"REVIEW","BREACH"))</f>
        <v>PASS</v>
      </c>
      <c r="E10" s="10" t="s">
        <v>177</v>
      </c>
    </row>
    <row r="11" customFormat="false" ht="15" hidden="false" customHeight="false" outlineLevel="0" collapsed="false">
      <c r="B11" s="0" t="s">
        <v>178</v>
      </c>
      <c r="C11" s="20" t="n">
        <f aca="false">'Property Pro Forma'!C14</f>
        <v>-9.67527103542664</v>
      </c>
      <c r="D11" s="28" t="str">
        <f aca="false">IF(C11&gt;=0,"PASS","BREACH")</f>
        <v>BREACH</v>
      </c>
      <c r="E11" s="10" t="s">
        <v>179</v>
      </c>
    </row>
    <row r="12" customFormat="false" ht="15" hidden="false" customHeight="false" outlineLevel="0" collapsed="false">
      <c r="B12" s="0" t="s">
        <v>180</v>
      </c>
      <c r="C12" s="28" t="n">
        <f aca="false">IF(AND(ISNUMBER('5-Year Hold &amp; IRR'!C6),ISNUMBER('Cap Rate &amp; Valuation'!C9)),'5-Year Hold &amp; IRR'!C6-'Cap Rate &amp; Valuation'!C9,0)</f>
        <v>0.045</v>
      </c>
      <c r="D12" s="28" t="str">
        <f aca="false">IF(AND(ISNUMBER('5-Year Hold &amp; IRR'!C6),ISNUMBER('Cap Rate &amp; Valuation'!C9)),IF(C12&gt;=0,"PASS","REVIEW"),"REVIEW")</f>
        <v>PASS</v>
      </c>
      <c r="E12" s="10" t="s">
        <v>181</v>
      </c>
    </row>
    <row r="14" customFormat="false" ht="15" hidden="false" customHeight="false" outlineLevel="0" collapsed="false">
      <c r="B14" s="2" t="s">
        <v>182</v>
      </c>
      <c r="C14" s="29" t="str">
        <f aca="false">IF(COUNTIF(D5:D12,"FAIL")+COUNTIF(D5:D12,"BREACH")&gt;0,"BREACH",IF(COUNTIF(D5:D12,"REVIEW")&gt;0,"REVIEW","PASS"))</f>
        <v>BREACH</v>
      </c>
    </row>
    <row r="16" customFormat="false" ht="15" hidden="false" customHeight="false" outlineLevel="0" collapsed="false">
      <c r="B16" s="30" t="s">
        <v>183</v>
      </c>
    </row>
    <row r="17" customFormat="false" ht="15" hidden="false" customHeight="false" outlineLevel="0" collapsed="false">
      <c r="B17" s="0" t="s">
        <v>147</v>
      </c>
      <c r="C17" s="20" t="n">
        <f aca="false">'Property Pro Forma'!C11</f>
        <v>5.5</v>
      </c>
    </row>
    <row r="18" customFormat="false" ht="15" hidden="false" customHeight="false" outlineLevel="0" collapsed="false">
      <c r="B18" s="0" t="s">
        <v>184</v>
      </c>
      <c r="C18" s="21" t="n">
        <f aca="false">'Cap Rate &amp; Valuation'!C9</f>
        <v>0.055</v>
      </c>
    </row>
    <row r="19" customFormat="false" ht="15" hidden="false" customHeight="false" outlineLevel="0" collapsed="false">
      <c r="B19" s="0" t="s">
        <v>185</v>
      </c>
      <c r="C19" s="21" t="str">
        <f aca="false">'5-Year Hold &amp; IRR'!C27</f>
        <v>-</v>
      </c>
    </row>
    <row r="20" customFormat="false" ht="15" hidden="false" customHeight="false" outlineLevel="0" collapsed="false">
      <c r="B20" s="0" t="s">
        <v>186</v>
      </c>
      <c r="C20" s="26" t="n">
        <f aca="false">'5-Year Hold &amp; IRR'!C28</f>
        <v>-3.55357596445267</v>
      </c>
    </row>
    <row r="21" customFormat="false" ht="15" hidden="false" customHeight="false" outlineLevel="0" collapsed="false">
      <c r="B21" s="0" t="s">
        <v>187</v>
      </c>
      <c r="C21" s="20" t="n">
        <f aca="false">'REIT FFO-AFFO'!C7</f>
        <v>-1</v>
      </c>
    </row>
    <row r="22" customFormat="false" ht="15" hidden="false" customHeight="false" outlineLevel="0" collapsed="false">
      <c r="B22" s="0" t="s">
        <v>188</v>
      </c>
      <c r="C22" s="20" t="n">
        <f aca="false">'REIT FFO-AFFO'!C11</f>
        <v>-6</v>
      </c>
    </row>
    <row r="23" customFormat="false" ht="15" hidden="false" customHeight="false" outlineLevel="0" collapsed="false">
      <c r="B23" s="0" t="s">
        <v>146</v>
      </c>
      <c r="C23" s="20" t="n">
        <f aca="false">'Debt Schedule'!G12</f>
        <v>68.6672028016168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189</v>
      </c>
    </row>
    <row r="4" customFormat="false" ht="15" hidden="false" customHeight="false" outlineLevel="0" collapsed="false">
      <c r="B4" s="30" t="s">
        <v>190</v>
      </c>
    </row>
    <row r="5" customFormat="false" ht="15" hidden="false" customHeight="false" outlineLevel="0" collapsed="false">
      <c r="B5" s="0" t="s">
        <v>191</v>
      </c>
      <c r="C5" s="18" t="n">
        <v>-0.03</v>
      </c>
    </row>
    <row r="6" customFormat="false" ht="15" hidden="false" customHeight="false" outlineLevel="0" collapsed="false">
      <c r="B6" s="0" t="s">
        <v>192</v>
      </c>
      <c r="C6" s="18" t="n">
        <v>0.1</v>
      </c>
    </row>
    <row r="7" customFormat="false" ht="15" hidden="false" customHeight="false" outlineLevel="0" collapsed="false">
      <c r="B7" s="0" t="s">
        <v>193</v>
      </c>
      <c r="C7" s="18" t="n">
        <v>0.04</v>
      </c>
    </row>
    <row r="8" customFormat="false" ht="15" hidden="false" customHeight="false" outlineLevel="0" collapsed="false">
      <c r="B8" s="0" t="s">
        <v>194</v>
      </c>
      <c r="C8" s="23" t="n">
        <f aca="false">IFERROR(ABS('Property Pro Forma'!C13),"-")</f>
        <v>11.1752710354266</v>
      </c>
    </row>
    <row r="9" customFormat="false" ht="15" hidden="false" customHeight="false" outlineLevel="0" collapsed="false">
      <c r="B9" s="0" t="s">
        <v>195</v>
      </c>
      <c r="C9" s="23" t="n">
        <f aca="false">IFERROR('Cap Rate &amp; Valuation'!C8-'Cap Rate &amp; Valuation'!C10,"-")</f>
        <v>15</v>
      </c>
    </row>
    <row r="12" customFormat="false" ht="15" hidden="false" customHeight="false" outlineLevel="0" collapsed="false">
      <c r="C12" s="16" t="s">
        <v>196</v>
      </c>
      <c r="D12" s="16" t="s">
        <v>197</v>
      </c>
      <c r="E12" s="16" t="s">
        <v>198</v>
      </c>
      <c r="F12" s="16" t="s">
        <v>199</v>
      </c>
      <c r="G12" s="16" t="s">
        <v>200</v>
      </c>
    </row>
    <row r="13" customFormat="false" ht="15" hidden="false" customHeight="false" outlineLevel="0" collapsed="false">
      <c r="B13" s="0" t="s">
        <v>147</v>
      </c>
      <c r="C13" s="23" t="n">
        <f aca="false">'Property Pro Forma'!C11</f>
        <v>5.5</v>
      </c>
      <c r="D13" s="20" t="n">
        <f aca="false">C13*(1+$C$5)</f>
        <v>5.335</v>
      </c>
      <c r="E13" s="20" t="n">
        <f aca="false">D13*(1+$C$5)</f>
        <v>5.17495</v>
      </c>
      <c r="F13" s="20" t="n">
        <f aca="false">E13*(1+$C$5)</f>
        <v>5.0197015</v>
      </c>
      <c r="G13" s="20" t="n">
        <f aca="false">F13*(1+$C$5)</f>
        <v>4.869110455</v>
      </c>
    </row>
    <row r="14" customFormat="false" ht="15" hidden="false" customHeight="false" outlineLevel="0" collapsed="false">
      <c r="B14" s="0" t="s">
        <v>145</v>
      </c>
      <c r="C14" s="20" t="n">
        <f aca="false">'Debt Schedule'!E8</f>
        <v>11.1752710354266</v>
      </c>
      <c r="D14" s="20" t="n">
        <f aca="false">'Debt Schedule'!E9</f>
        <v>11.1752710354266</v>
      </c>
      <c r="E14" s="20" t="n">
        <f aca="false">'Debt Schedule'!E10</f>
        <v>11.1752710354266</v>
      </c>
      <c r="F14" s="20" t="n">
        <f aca="false">'Debt Schedule'!E11</f>
        <v>11.1752710354266</v>
      </c>
      <c r="G14" s="20" t="n">
        <f aca="false">'Debt Schedule'!E12</f>
        <v>11.1752710354266</v>
      </c>
    </row>
    <row r="15" customFormat="false" ht="15" hidden="false" customHeight="false" outlineLevel="0" collapsed="false">
      <c r="B15" s="0" t="s">
        <v>201</v>
      </c>
      <c r="C15" s="20" t="n">
        <f aca="false">C13-C14</f>
        <v>-5.67527103542664</v>
      </c>
      <c r="D15" s="20" t="n">
        <f aca="false">D13-D14</f>
        <v>-5.84027103542664</v>
      </c>
      <c r="E15" s="20" t="n">
        <f aca="false">E13-E14</f>
        <v>-6.00032103542664</v>
      </c>
      <c r="F15" s="20" t="n">
        <f aca="false">F13-F14</f>
        <v>-6.15556953542664</v>
      </c>
      <c r="G15" s="20" t="n">
        <f aca="false">G13-G14</f>
        <v>-6.30616058042664</v>
      </c>
    </row>
    <row r="16" customFormat="false" ht="15" hidden="false" customHeight="false" outlineLevel="0" collapsed="false">
      <c r="B16" s="0" t="s">
        <v>202</v>
      </c>
      <c r="C16" s="31" t="n">
        <f aca="false">IFERROR(C13/C14,0)</f>
        <v>0.492158085702306</v>
      </c>
      <c r="D16" s="31" t="n">
        <f aca="false">IFERROR(D13/D14,0)</f>
        <v>0.477393343131237</v>
      </c>
      <c r="E16" s="31" t="n">
        <f aca="false">IFERROR(E13/E14,0)</f>
        <v>0.4630715428373</v>
      </c>
      <c r="F16" s="31" t="n">
        <f aca="false">IFERROR(F13/F14,0)</f>
        <v>0.449179396552181</v>
      </c>
      <c r="G16" s="31" t="n">
        <f aca="false">IFERROR(G13/G14,0)</f>
        <v>0.435704014655615</v>
      </c>
    </row>
    <row r="18" customFormat="false" ht="15" hidden="false" customHeight="false" outlineLevel="0" collapsed="false">
      <c r="B18" s="30" t="s">
        <v>203</v>
      </c>
    </row>
    <row r="19" customFormat="false" ht="15" hidden="false" customHeight="false" outlineLevel="0" collapsed="false">
      <c r="B19" s="0" t="s">
        <v>204</v>
      </c>
      <c r="C19" s="20" t="n">
        <f aca="false">G13*(1+$C$5)</f>
        <v>4.72303714135</v>
      </c>
    </row>
    <row r="20" customFormat="false" ht="15" hidden="false" customHeight="false" outlineLevel="0" collapsed="false">
      <c r="B20" s="0" t="s">
        <v>205</v>
      </c>
      <c r="C20" s="20" t="n">
        <f aca="false">IFERROR(C19/C6,"-")</f>
        <v>47.2303714135</v>
      </c>
    </row>
    <row r="21" customFormat="false" ht="15" hidden="false" customHeight="false" outlineLevel="0" collapsed="false">
      <c r="B21" s="0" t="s">
        <v>206</v>
      </c>
      <c r="C21" s="20" t="n">
        <f aca="false">-C20*C7</f>
        <v>-1.88921485654</v>
      </c>
    </row>
    <row r="22" customFormat="false" ht="15" hidden="false" customHeight="false" outlineLevel="0" collapsed="false">
      <c r="B22" s="0" t="s">
        <v>207</v>
      </c>
      <c r="C22" s="23" t="n">
        <f aca="false">-'Debt Schedule'!G12</f>
        <v>-68.6672028016168</v>
      </c>
    </row>
    <row r="23" customFormat="false" ht="15" hidden="false" customHeight="false" outlineLevel="0" collapsed="false">
      <c r="B23" s="0" t="s">
        <v>208</v>
      </c>
      <c r="C23" s="14" t="n">
        <f aca="false">C20+C21+C22</f>
        <v>-23.3260462446568</v>
      </c>
    </row>
    <row r="25" customFormat="false" ht="15" hidden="false" customHeight="false" outlineLevel="0" collapsed="false">
      <c r="B25" s="30"/>
      <c r="C25" s="16" t="s">
        <v>209</v>
      </c>
      <c r="D25" s="16" t="s">
        <v>196</v>
      </c>
      <c r="E25" s="16" t="s">
        <v>197</v>
      </c>
      <c r="F25" s="16" t="s">
        <v>198</v>
      </c>
      <c r="G25" s="16" t="s">
        <v>199</v>
      </c>
      <c r="H25" s="16" t="s">
        <v>200</v>
      </c>
    </row>
    <row r="26" customFormat="false" ht="15" hidden="false" customHeight="false" outlineLevel="0" collapsed="false">
      <c r="B26" s="0" t="s">
        <v>210</v>
      </c>
      <c r="C26" s="20" t="n">
        <f aca="false">-C9</f>
        <v>-15</v>
      </c>
      <c r="D26" s="20" t="n">
        <f aca="false">C15</f>
        <v>-5.67527103542664</v>
      </c>
      <c r="E26" s="20" t="n">
        <f aca="false">D15</f>
        <v>-5.84027103542664</v>
      </c>
      <c r="F26" s="20" t="n">
        <f aca="false">E15</f>
        <v>-6.00032103542664</v>
      </c>
      <c r="G26" s="20" t="n">
        <f aca="false">F15</f>
        <v>-6.15556953542664</v>
      </c>
      <c r="H26" s="20" t="n">
        <f aca="false">G15+C23</f>
        <v>-29.6322068250835</v>
      </c>
    </row>
    <row r="27" customFormat="false" ht="15" hidden="false" customHeight="false" outlineLevel="0" collapsed="false">
      <c r="B27" s="0" t="s">
        <v>185</v>
      </c>
      <c r="C27" s="32" t="str">
        <f aca="false">IFERROR(IRR(C26:H26),"-")</f>
        <v>-</v>
      </c>
    </row>
    <row r="28" customFormat="false" ht="15" hidden="false" customHeight="false" outlineLevel="0" collapsed="false">
      <c r="B28" s="0" t="s">
        <v>211</v>
      </c>
      <c r="C28" s="33" t="n">
        <f aca="false">IFERROR(SUM(D26:H26)/C9,"-")</f>
        <v>-3.55357596445267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212</v>
      </c>
    </row>
    <row r="4" customFormat="false" ht="15" hidden="false" customHeight="false" outlineLevel="0" collapsed="false">
      <c r="B4" s="16" t="s">
        <v>80</v>
      </c>
      <c r="C4" s="16" t="s">
        <v>213</v>
      </c>
      <c r="D4" s="16" t="s">
        <v>214</v>
      </c>
      <c r="E4" s="16" t="s">
        <v>215</v>
      </c>
      <c r="F4" s="16" t="s">
        <v>216</v>
      </c>
    </row>
    <row r="5" customFormat="false" ht="15" hidden="false" customHeight="false" outlineLevel="0" collapsed="false">
      <c r="B5" s="28" t="s">
        <v>6</v>
      </c>
      <c r="C5" s="28" t="s">
        <v>217</v>
      </c>
      <c r="D5" s="28" t="s">
        <v>218</v>
      </c>
      <c r="E5" s="28" t="s">
        <v>219</v>
      </c>
      <c r="F5" s="28" t="s">
        <v>220</v>
      </c>
    </row>
    <row r="6" customFormat="false" ht="15" hidden="false" customHeight="false" outlineLevel="0" collapsed="false">
      <c r="B6" s="28"/>
      <c r="C6" s="28"/>
      <c r="D6" s="28"/>
      <c r="E6" s="28"/>
      <c r="F6" s="28"/>
    </row>
    <row r="7" customFormat="false" ht="15" hidden="false" customHeight="false" outlineLevel="0" collapsed="false">
      <c r="B7" s="28"/>
      <c r="C7" s="28"/>
      <c r="D7" s="28"/>
      <c r="E7" s="28"/>
      <c r="F7" s="28"/>
    </row>
    <row r="8" customFormat="false" ht="15" hidden="false" customHeight="false" outlineLevel="0" collapsed="false">
      <c r="B8" s="28"/>
      <c r="C8" s="28"/>
      <c r="D8" s="28"/>
      <c r="E8" s="28"/>
      <c r="F8" s="28"/>
    </row>
    <row r="9" customFormat="false" ht="15" hidden="false" customHeight="false" outlineLevel="0" collapsed="false">
      <c r="B9" s="28"/>
      <c r="C9" s="28"/>
      <c r="D9" s="28"/>
      <c r="E9" s="28"/>
      <c r="F9" s="28"/>
    </row>
    <row r="10" customFormat="false" ht="15" hidden="false" customHeight="false" outlineLevel="0" collapsed="false">
      <c r="B10" s="28"/>
      <c r="C10" s="28"/>
      <c r="D10" s="28"/>
      <c r="E10" s="28"/>
      <c r="F10" s="28"/>
    </row>
    <row r="11" customFormat="false" ht="15" hidden="false" customHeight="false" outlineLevel="0" collapsed="false">
      <c r="B11" s="28"/>
      <c r="C11" s="28"/>
      <c r="D11" s="28"/>
      <c r="E11" s="28"/>
      <c r="F11" s="28"/>
    </row>
    <row r="12" customFormat="false" ht="15" hidden="false" customHeight="false" outlineLevel="0" collapsed="false">
      <c r="B12" s="28"/>
      <c r="C12" s="28"/>
      <c r="D12" s="28"/>
      <c r="E12" s="28"/>
      <c r="F12" s="28"/>
    </row>
    <row r="13" customFormat="false" ht="15" hidden="false" customHeight="false" outlineLevel="0" collapsed="false">
      <c r="B13" s="28"/>
      <c r="C13" s="28"/>
      <c r="D13" s="28"/>
      <c r="E13" s="28"/>
      <c r="F13" s="28"/>
    </row>
    <row r="14" customFormat="false" ht="15" hidden="false" customHeight="false" outlineLevel="0" collapsed="false">
      <c r="B14" s="28"/>
      <c r="C14" s="28"/>
      <c r="D14" s="28"/>
      <c r="E14" s="28"/>
      <c r="F14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