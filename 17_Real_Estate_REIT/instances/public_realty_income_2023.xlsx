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Property Pro Forma" sheetId="5" state="visible" r:id="rId5"/>
    <sheet xmlns:r="http://schemas.openxmlformats.org/officeDocument/2006/relationships" name="Lease Roll" sheetId="6" state="visible" r:id="rId6"/>
    <sheet xmlns:r="http://schemas.openxmlformats.org/officeDocument/2006/relationships" name="Cap Rate &amp; Valuation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REIT FFO-AFFO" sheetId="9" state="visible" r:id="rId9"/>
    <sheet xmlns:r="http://schemas.openxmlformats.org/officeDocument/2006/relationships" name="Decision &amp; Checks" sheetId="10" state="visible" r:id="rId10"/>
    <sheet xmlns:r="http://schemas.openxmlformats.org/officeDocument/2006/relationships" name="5-Year Hold &amp; IRR" sheetId="11" state="visible" r:id="rId11"/>
    <sheet xmlns:r="http://schemas.openxmlformats.org/officeDocument/2006/relationships" name="RefreshLog" sheetId="12" state="visible" r:id="rId12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;&quot;($&quot;#,##0\);\-"/>
    <numFmt numFmtId="165" formatCode="0.0%;\(0.0%\);\-"/>
    <numFmt numFmtId="166" formatCode="0.0"/>
    <numFmt numFmtId="167" formatCode="#,##0;\(#,##0\);\-"/>
    <numFmt numFmtId="168" formatCode="0.0\x"/>
    <numFmt numFmtId="169" formatCode="\$#,##0.00;&quot;($&quot;#,##0.00\);\-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8"/>
    </font>
    <font>
      <name val="Arial"/>
      <charset val="1"/>
      <family val="0"/>
      <color rgb="FF008000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4" fontId="10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0" fontId="11" fillId="4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8" fontId="0" fillId="5" borderId="2" applyAlignment="1" pivotButton="0" quotePrefix="0" xfId="0">
      <alignment horizontal="general" vertical="bottom"/>
    </xf>
    <xf numFmtId="165" fontId="5" fillId="5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4" fontId="10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0" fontId="11" fillId="4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8" fontId="0" fillId="5" borderId="2" applyAlignment="1" pivotButton="0" quotePrefix="0" xfId="0">
      <alignment horizontal="general" vertical="bottom"/>
    </xf>
    <xf numFmtId="165" fontId="5" fillId="5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0" customWidth="1" style="34" min="2" max="2"/>
    <col width="40" customWidth="1" style="34" min="3" max="3"/>
    <col width="4" customWidth="1" style="34" min="4" max="4"/>
  </cols>
  <sheetData>
    <row r="2" ht="19.7" customHeight="1" s="35">
      <c r="B2" s="36" t="inlineStr">
        <is>
          <t>[PROPERTY/REIT] — Real Estate Model</t>
        </is>
      </c>
    </row>
    <row r="4" ht="15" customHeight="1" s="35">
      <c r="B4" s="37" t="inlineStr">
        <is>
          <t>Property type:</t>
        </is>
      </c>
      <c r="C4" s="38" t="inlineStr">
        <is>
          <t>Office / Multifamily / Industrial / Retail</t>
        </is>
      </c>
    </row>
    <row r="5" ht="15" customHeight="1" s="35">
      <c r="B5" s="37" t="inlineStr">
        <is>
          <t>Location:</t>
        </is>
      </c>
      <c r="C5" s="38" t="inlineStr">
        <is>
          <t>[fill in]</t>
        </is>
      </c>
    </row>
    <row r="6" ht="15" customHeight="1" s="35">
      <c r="B6" s="37" t="inlineStr">
        <is>
          <t>Last refreshed:</t>
        </is>
      </c>
      <c r="C6" s="39" t="inlineStr">
        <is>
          <t>2023-12-31</t>
        </is>
      </c>
    </row>
    <row r="7" ht="15" customHeight="1" s="35">
      <c r="B7" s="37" t="inlineStr">
        <is>
          <t>Refresh cadence:</t>
        </is>
      </c>
      <c r="C7" s="38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4" min="2" max="2"/>
    <col width="48" customWidth="1" style="34" min="3" max="3"/>
    <col width="24" customWidth="1" style="34" min="4" max="4"/>
    <col width="34" customWidth="1" style="34" min="5" max="5"/>
    <col width="20" customWidth="1" style="34" min="6" max="6"/>
  </cols>
  <sheetData>
    <row r="2" ht="18.55" customHeight="1" s="35">
      <c r="B2" s="40" t="inlineStr">
        <is>
          <t>Real Estate &amp; REIT — Institutional Decision Surface</t>
        </is>
      </c>
    </row>
    <row r="4" ht="15" customHeight="1" s="35">
      <c r="B4" s="41" t="inlineStr">
        <is>
          <t>Model ID</t>
        </is>
      </c>
      <c r="C4" s="42" t="inlineStr">
        <is>
          <t>17</t>
        </is>
      </c>
    </row>
    <row r="5" ht="15" customHeight="1" s="35">
      <c r="B5" s="41" t="inlineStr">
        <is>
          <t>Domain</t>
        </is>
      </c>
      <c r="C5" s="42" t="inlineStr">
        <is>
          <t>Real Estate &amp; REIT</t>
        </is>
      </c>
    </row>
    <row r="6" ht="15" customHeight="1" s="35">
      <c r="B6" s="41" t="inlineStr">
        <is>
          <t>Declared maturity</t>
        </is>
      </c>
      <c r="C6" s="42" t="inlineStr">
        <is>
          <t>M2</t>
        </is>
      </c>
    </row>
    <row r="7" ht="15" customHeight="1" s="35">
      <c r="B7" s="41" t="inlineStr">
        <is>
          <t>Canonical builder</t>
        </is>
      </c>
      <c r="C7" s="42" t="inlineStr">
        <is>
          <t>tools/builders/build_real_estate_release.py</t>
        </is>
      </c>
    </row>
    <row r="8" ht="15" customHeight="1" s="35">
      <c r="B8" s="41" t="inlineStr">
        <is>
          <t>Decision arena</t>
        </is>
      </c>
      <c r="C8" s="42" t="inlineStr">
        <is>
          <t>acquisitions, asset management, leasing, lender and investment committee</t>
        </is>
      </c>
    </row>
    <row r="9" ht="15" customHeight="1" s="35">
      <c r="B9" s="41" t="inlineStr">
        <is>
          <t>Committee artifact</t>
        </is>
      </c>
      <c r="C9" s="42" t="inlineStr">
        <is>
          <t>asset underwriting and business-plan pack</t>
        </is>
      </c>
    </row>
    <row r="10" ht="15" customHeight="1" s="35">
      <c r="B10" s="41" t="inlineStr">
        <is>
          <t>Operating cadence</t>
        </is>
      </c>
      <c r="C10" s="42" t="inlineStr">
        <is>
          <t>monthly asset management; quarterly valuation; annual plan</t>
        </is>
      </c>
    </row>
    <row r="12" ht="15" customHeight="1" s="35">
      <c r="B12" s="43" t="inlineStr">
        <is>
          <t>Key decision outputs</t>
        </is>
      </c>
    </row>
    <row r="13" ht="15" customHeight="1" s="35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 ht="15" customHeight="1" s="35">
      <c r="B14" s="34" t="n">
        <v>1</v>
      </c>
      <c r="C14" s="34" t="inlineStr">
        <is>
          <t>NOI and cash flow</t>
        </is>
      </c>
      <c r="F14" s="34" t="inlineStr">
        <is>
          <t>OPEN</t>
        </is>
      </c>
    </row>
    <row r="15" ht="15" customHeight="1" s="35">
      <c r="B15" s="34" t="n">
        <v>2</v>
      </c>
      <c r="C15" s="34" t="inlineStr">
        <is>
          <t>lease rollover and mark-to-market</t>
        </is>
      </c>
      <c r="F15" s="34" t="inlineStr">
        <is>
          <t>OPEN</t>
        </is>
      </c>
    </row>
    <row r="16" ht="15" customHeight="1" s="35">
      <c r="B16" s="34" t="n">
        <v>3</v>
      </c>
      <c r="C16" s="34" t="inlineStr">
        <is>
          <t>tenant improvements / leasing commissions</t>
        </is>
      </c>
      <c r="F16" s="34" t="inlineStr">
        <is>
          <t>OPEN</t>
        </is>
      </c>
    </row>
    <row r="17" ht="15" customHeight="1" s="35">
      <c r="B17" s="34" t="n">
        <v>4</v>
      </c>
      <c r="C17" s="34" t="inlineStr">
        <is>
          <t>base, downside and break-even outputs</t>
        </is>
      </c>
      <c r="F17" s="34" t="inlineStr">
        <is>
          <t>OPEN</t>
        </is>
      </c>
    </row>
    <row r="18" ht="15" customHeight="1" s="35">
      <c r="B18" s="34" t="n">
        <v>5</v>
      </c>
      <c r="C18" s="34" t="inlineStr">
        <is>
          <t>liquidity / funding requirement and binding constraint</t>
        </is>
      </c>
      <c r="F18" s="34" t="inlineStr">
        <is>
          <t>OPEN</t>
        </is>
      </c>
    </row>
    <row r="20" ht="15" customHeight="1" s="35">
      <c r="B20" s="43" t="inlineStr">
        <is>
          <t>Insider questions</t>
        </is>
      </c>
    </row>
    <row r="21" ht="15" customHeight="1" s="35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 ht="15" customHeight="1" s="35">
      <c r="B22" s="34" t="n">
        <v>1</v>
      </c>
      <c r="C22" s="34" t="inlineStr">
        <is>
          <t>Which leases drive the next two years of cash?</t>
        </is>
      </c>
      <c r="F22" s="34" t="inlineStr">
        <is>
          <t>OPEN</t>
        </is>
      </c>
    </row>
    <row r="23" ht="15" customHeight="1" s="35">
      <c r="B23" s="34" t="n">
        <v>2</v>
      </c>
      <c r="C23" s="34" t="inlineStr">
        <is>
          <t>What downtime and TI/LC are required to re-lease?</t>
        </is>
      </c>
      <c r="F23" s="34" t="inlineStr">
        <is>
          <t>OPEN</t>
        </is>
      </c>
    </row>
    <row r="24" ht="15" customHeight="1" s="35">
      <c r="B24" s="34" t="n">
        <v>3</v>
      </c>
      <c r="C24" s="34" t="inlineStr">
        <is>
          <t>What NOI is truly stabilized?</t>
        </is>
      </c>
      <c r="F24" s="34" t="inlineStr">
        <is>
          <t>OPEN</t>
        </is>
      </c>
    </row>
    <row r="25" ht="15" customHeight="1" s="35">
      <c r="B25" s="34" t="n">
        <v>4</v>
      </c>
      <c r="C25" s="34" t="inlineStr">
        <is>
          <t>Which assumption is owner-approved versus modeler judgement?</t>
        </is>
      </c>
      <c r="F25" s="34" t="inlineStr">
        <is>
          <t>OPEN</t>
        </is>
      </c>
    </row>
    <row r="26" ht="15" customHeight="1" s="35">
      <c r="B26" s="34" t="n">
        <v>5</v>
      </c>
      <c r="C26" s="34" t="inlineStr">
        <is>
          <t>What fails first and who must act?</t>
        </is>
      </c>
      <c r="F26" s="34" t="inlineStr">
        <is>
          <t>OPEN</t>
        </is>
      </c>
    </row>
    <row r="28" ht="15" customHeight="1" s="35">
      <c r="B28" s="43" t="inlineStr">
        <is>
          <t>Scenario families</t>
        </is>
      </c>
    </row>
    <row r="29" ht="15" customHeight="1" s="35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 ht="15" customHeight="1" s="35">
      <c r="B30" s="34" t="n">
        <v>1</v>
      </c>
      <c r="C30" s="34" t="inlineStr">
        <is>
          <t>occupancy and rent decline</t>
        </is>
      </c>
      <c r="F30" s="34" t="inlineStr">
        <is>
          <t>OPEN</t>
        </is>
      </c>
    </row>
    <row r="31" ht="15" customHeight="1" s="35">
      <c r="B31" s="34" t="n">
        <v>2</v>
      </c>
      <c r="C31" s="34" t="inlineStr">
        <is>
          <t>lease rollover concentration</t>
        </is>
      </c>
      <c r="F31" s="34" t="inlineStr">
        <is>
          <t>OPEN</t>
        </is>
      </c>
    </row>
    <row r="32" ht="15" customHeight="1" s="35">
      <c r="B32" s="34" t="n">
        <v>3</v>
      </c>
      <c r="C32" s="34" t="inlineStr">
        <is>
          <t>cap-rate expansion</t>
        </is>
      </c>
      <c r="F32" s="34" t="inlineStr">
        <is>
          <t>OPEN</t>
        </is>
      </c>
    </row>
    <row r="33" ht="15" customHeight="1" s="35">
      <c r="B33" s="34" t="n">
        <v>4</v>
      </c>
      <c r="C33" s="34" t="inlineStr">
        <is>
          <t>data freshness / source failure</t>
        </is>
      </c>
      <c r="F33" s="34" t="inlineStr">
        <is>
          <t>OPEN</t>
        </is>
      </c>
    </row>
    <row r="34" ht="15" customHeight="1" s="35">
      <c r="B34" s="34" t="n">
        <v>5</v>
      </c>
      <c r="C34" s="34" t="inlineStr">
        <is>
          <t>combined severe-but-plausible downside</t>
        </is>
      </c>
      <c r="F34" s="34" t="inlineStr">
        <is>
          <t>OPEN</t>
        </is>
      </c>
    </row>
    <row r="36" ht="15" customHeight="1" s="35">
      <c r="B36" s="43" t="inlineStr">
        <is>
          <t>Primary diligence documents</t>
        </is>
      </c>
    </row>
    <row r="37" ht="15" customHeight="1" s="35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 ht="15" customHeight="1" s="35">
      <c r="B38" s="34" t="n">
        <v>1</v>
      </c>
      <c r="C38" s="34" t="inlineStr">
        <is>
          <t>rent roll and leases</t>
        </is>
      </c>
      <c r="F38" s="34" t="inlineStr">
        <is>
          <t>OPEN</t>
        </is>
      </c>
    </row>
    <row r="39" ht="15" customHeight="1" s="35">
      <c r="B39" s="34" t="n">
        <v>2</v>
      </c>
      <c r="C39" s="34" t="inlineStr">
        <is>
          <t>property operating statements</t>
        </is>
      </c>
      <c r="F39" s="34" t="inlineStr">
        <is>
          <t>OPEN</t>
        </is>
      </c>
    </row>
    <row r="40" ht="15" customHeight="1" s="35">
      <c r="B40" s="34" t="n">
        <v>3</v>
      </c>
      <c r="C40" s="34" t="inlineStr">
        <is>
          <t>engineering / PCA report</t>
        </is>
      </c>
      <c r="F40" s="34" t="inlineStr">
        <is>
          <t>OPEN</t>
        </is>
      </c>
    </row>
    <row r="41" ht="15" customHeight="1" s="35">
      <c r="B41" s="34" t="n">
        <v>4</v>
      </c>
      <c r="C41" s="34" t="inlineStr">
        <is>
          <t>approved model card and assumption register</t>
        </is>
      </c>
      <c r="F41" s="34" t="inlineStr">
        <is>
          <t>OPEN</t>
        </is>
      </c>
    </row>
    <row r="42" ht="15" customHeight="1" s="35">
      <c r="B42" s="34" t="n">
        <v>5</v>
      </c>
      <c r="C42" s="34" t="inlineStr">
        <is>
          <t>independent validation and challenge record</t>
        </is>
      </c>
      <c r="F42" s="34" t="inlineStr">
        <is>
          <t>OPEN</t>
        </is>
      </c>
    </row>
    <row r="44" ht="15" customHeight="1" s="35">
      <c r="B44" s="43" t="inlineStr">
        <is>
          <t>Challenge tests</t>
        </is>
      </c>
    </row>
    <row r="45" ht="15" customHeight="1" s="3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 ht="15" customHeight="1" s="35">
      <c r="B46" s="34" t="n">
        <v>1</v>
      </c>
      <c r="C46" s="34" t="inlineStr">
        <is>
          <t>rent roll ties to revenue</t>
        </is>
      </c>
      <c r="F46" s="34" t="inlineStr">
        <is>
          <t>OPEN</t>
        </is>
      </c>
    </row>
    <row r="47" ht="15" customHeight="1" s="35">
      <c r="B47" s="34" t="n">
        <v>2</v>
      </c>
      <c r="C47" s="34" t="inlineStr">
        <is>
          <t>lease expirations reconcile</t>
        </is>
      </c>
      <c r="F47" s="34" t="inlineStr">
        <is>
          <t>OPEN</t>
        </is>
      </c>
    </row>
    <row r="48" ht="15" customHeight="1" s="35">
      <c r="B48" s="34" t="n">
        <v>3</v>
      </c>
      <c r="C48" s="34" t="inlineStr">
        <is>
          <t>NOI excludes capital items consistently</t>
        </is>
      </c>
      <c r="F48" s="34" t="inlineStr">
        <is>
          <t>OPEN</t>
        </is>
      </c>
    </row>
    <row r="49" ht="15" customHeight="1" s="35">
      <c r="B49" s="34" t="n">
        <v>4</v>
      </c>
      <c r="C49" s="34" t="inlineStr">
        <is>
          <t>source-to-model lineage is reproducible</t>
        </is>
      </c>
      <c r="F49" s="34" t="inlineStr">
        <is>
          <t>OPEN</t>
        </is>
      </c>
    </row>
    <row r="50" ht="15" customHeight="1" s="35">
      <c r="B50" s="34" t="n">
        <v>5</v>
      </c>
      <c r="C50" s="34" t="inlineStr">
        <is>
          <t>units, signs, dates and legal definitions reconcile</t>
        </is>
      </c>
      <c r="F50" s="34" t="inlineStr">
        <is>
          <t>OPEN</t>
        </is>
      </c>
    </row>
    <row r="52" ht="15" customHeight="1" s="35">
      <c r="B52" s="43" t="inlineStr">
        <is>
          <t>Known failure modes</t>
        </is>
      </c>
    </row>
    <row r="53" ht="15" customHeight="1" s="35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 ht="15" customHeight="1" s="35">
      <c r="B54" s="34" t="n">
        <v>1</v>
      </c>
      <c r="C54" s="34" t="inlineStr">
        <is>
          <t>using average occupancy through a known rollover</t>
        </is>
      </c>
      <c r="F54" s="34" t="inlineStr">
        <is>
          <t>OPEN</t>
        </is>
      </c>
    </row>
    <row r="55" ht="15" customHeight="1" s="35">
      <c r="B55" s="34" t="n">
        <v>2</v>
      </c>
      <c r="C55" s="34" t="inlineStr">
        <is>
          <t>ignoring free rent and concessions</t>
        </is>
      </c>
      <c r="F55" s="34" t="inlineStr">
        <is>
          <t>OPEN</t>
        </is>
      </c>
    </row>
    <row r="56" ht="15" customHeight="1" s="35">
      <c r="B56" s="34" t="n">
        <v>3</v>
      </c>
      <c r="C56" s="34" t="inlineStr">
        <is>
          <t>capitalizing recurring operating costs</t>
        </is>
      </c>
      <c r="F56" s="34" t="inlineStr">
        <is>
          <t>OPEN</t>
        </is>
      </c>
    </row>
    <row r="57" ht="15" customHeight="1" s="35">
      <c r="B57" s="34" t="n">
        <v>4</v>
      </c>
      <c r="C57" s="34" t="inlineStr">
        <is>
          <t>stale vintage presented as current</t>
        </is>
      </c>
      <c r="F57" s="34" t="inlineStr">
        <is>
          <t>OPEN</t>
        </is>
      </c>
    </row>
    <row r="58" ht="15" customHeight="1" s="35">
      <c r="B58" s="34" t="n">
        <v>5</v>
      </c>
      <c r="C58" s="34" t="inlineStr">
        <is>
          <t>decision output disconnected from a binding constraint</t>
        </is>
      </c>
      <c r="F58" s="34" t="inlineStr">
        <is>
          <t>OPEN</t>
        </is>
      </c>
    </row>
    <row r="60" ht="15" customHeight="1" s="35">
      <c r="B60" s="43" t="inlineStr">
        <is>
          <t>Regulatory / methodological anchors</t>
        </is>
      </c>
    </row>
    <row r="61" ht="15" customHeight="1" s="35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 ht="15" customHeight="1" s="35">
      <c r="B62" s="34" t="inlineStr">
        <is>
          <t>Federal Reserve SR 26-2 Model Risk Management</t>
        </is>
      </c>
      <c r="C62" s="34" t="inlineStr">
        <is>
          <t>governance, validation, change control, monitoring</t>
        </is>
      </c>
      <c r="D62" s="34" t="inlineStr">
        <is>
          <t>https://www.federalreserve.gov/supervisionreg/srletters/SR2602.htm</t>
        </is>
      </c>
      <c r="E62" s="34" t="inlineStr">
        <is>
          <t>Map explicitly</t>
        </is>
      </c>
    </row>
    <row r="63" ht="15" customHeight="1" s="35">
      <c r="B63" s="34" t="inlineStr">
        <is>
          <t>SEC Rule 2a-5</t>
        </is>
      </c>
      <c r="C63" s="34" t="inlineStr">
        <is>
          <t>fair-value governance and testing</t>
        </is>
      </c>
      <c r="D63" s="34" t="inlineStr">
        <is>
          <t>https://www.sec.gov/files/rules/final/2020/ic-34128.pdf</t>
        </is>
      </c>
      <c r="E63" s="3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4" min="2" max="2"/>
    <col width="22" customWidth="1" style="34" min="3" max="3"/>
    <col width="52" customWidth="1" style="34" min="4" max="4"/>
    <col width="46" customWidth="1" style="34" min="5" max="5"/>
    <col width="36" customWidth="1" style="34" min="6" max="6"/>
    <col width="14" customWidth="1" style="34" min="7" max="7"/>
    <col width="18" customWidth="1" style="34" min="8" max="8"/>
    <col width="14" customWidth="1" style="34" min="9" max="9"/>
  </cols>
  <sheetData>
    <row r="2" ht="18.55" customHeight="1" s="35">
      <c r="B2" s="40" t="inlineStr">
        <is>
          <t>Independent Challenge, Override and Closure Log</t>
        </is>
      </c>
    </row>
    <row r="4" ht="15" customHeight="1" s="35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 ht="15" customHeight="1" s="35">
      <c r="D5" s="34" t="inlineStr">
        <is>
          <t>rent roll ties to revenue</t>
        </is>
      </c>
      <c r="H5" s="34" t="inlineStr">
        <is>
          <t>OPEN</t>
        </is>
      </c>
    </row>
    <row r="6" ht="15" customHeight="1" s="35">
      <c r="D6" s="34" t="inlineStr">
        <is>
          <t>lease expirations reconcile</t>
        </is>
      </c>
      <c r="H6" s="34" t="inlineStr">
        <is>
          <t>OPEN</t>
        </is>
      </c>
    </row>
    <row r="7" ht="15" customHeight="1" s="35">
      <c r="D7" s="34" t="inlineStr">
        <is>
          <t>NOI excludes capital items consistently</t>
        </is>
      </c>
      <c r="H7" s="34" t="inlineStr">
        <is>
          <t>OPEN</t>
        </is>
      </c>
    </row>
    <row r="8" ht="15" customHeight="1" s="35">
      <c r="D8" s="34" t="inlineStr">
        <is>
          <t>source-to-model lineage is reproducible</t>
        </is>
      </c>
      <c r="H8" s="34" t="inlineStr">
        <is>
          <t>OPEN</t>
        </is>
      </c>
    </row>
    <row r="9" ht="15" customHeight="1" s="35">
      <c r="D9" s="34" t="inlineStr">
        <is>
          <t>units, signs, dates and legal definitions reconcile</t>
        </is>
      </c>
      <c r="H9" s="34" t="inlineStr">
        <is>
          <t>OPEN</t>
        </is>
      </c>
    </row>
    <row r="10" ht="15" customHeight="1" s="35">
      <c r="H10" s="34" t="n"/>
    </row>
    <row r="11" ht="15" customHeight="1" s="35">
      <c r="H11" s="34" t="n"/>
    </row>
    <row r="12" ht="15" customHeight="1" s="35">
      <c r="H12" s="34" t="n"/>
    </row>
    <row r="13" ht="15" customHeight="1" s="35">
      <c r="H13" s="34" t="n"/>
    </row>
    <row r="14" ht="15" customHeight="1" s="35">
      <c r="H14" s="34" t="n"/>
    </row>
    <row r="15" ht="15" customHeight="1" s="35">
      <c r="H15" s="34" t="n"/>
    </row>
    <row r="16" ht="15" customHeight="1" s="35">
      <c r="H16" s="34" t="n"/>
    </row>
    <row r="17" ht="15" customHeight="1" s="35">
      <c r="H17" s="34" t="n"/>
    </row>
    <row r="18" ht="15" customHeight="1" s="35">
      <c r="H18" s="34" t="n"/>
    </row>
    <row r="19" ht="15" customHeight="1" s="35">
      <c r="H19" s="34" t="n"/>
    </row>
    <row r="20" ht="15" customHeight="1" s="35">
      <c r="H20" s="34" t="n"/>
    </row>
    <row r="21" ht="15" customHeight="1" s="35">
      <c r="H21" s="34" t="n"/>
    </row>
    <row r="22" ht="15" customHeight="1" s="35">
      <c r="H22" s="34" t="n"/>
    </row>
    <row r="23" ht="15" customHeight="1" s="35">
      <c r="H23" s="34" t="n"/>
    </row>
    <row r="24" ht="15" customHeight="1" s="35">
      <c r="H24" s="34" t="n"/>
    </row>
    <row r="25" ht="15" customHeight="1" s="35">
      <c r="H25" s="34" t="n"/>
    </row>
    <row r="26" ht="15" customHeight="1" s="35">
      <c r="H26" s="34" t="n"/>
    </row>
    <row r="27" ht="15" customHeight="1" s="35">
      <c r="H27" s="34" t="n"/>
    </row>
    <row r="28" ht="15" customHeight="1" s="35">
      <c r="H28" s="34" t="n"/>
    </row>
    <row r="29" ht="15" customHeight="1" s="35">
      <c r="H29" s="34" t="n"/>
    </row>
    <row r="30" ht="15" customHeight="1" s="35">
      <c r="H30" s="34" t="n"/>
    </row>
    <row r="31" ht="15" customHeight="1" s="35">
      <c r="H31" s="34" t="n"/>
    </row>
    <row r="32" ht="15" customHeight="1" s="35">
      <c r="H32" s="34" t="n"/>
    </row>
    <row r="33" ht="15" customHeight="1" s="35">
      <c r="H33" s="34" t="n"/>
    </row>
    <row r="34" ht="15" customHeight="1" s="35">
      <c r="H34" s="34" t="n"/>
    </row>
    <row r="35" ht="15" customHeight="1" s="35">
      <c r="H35" s="34" t="n"/>
    </row>
    <row r="36" ht="15" customHeight="1" s="35">
      <c r="H36" s="34" t="n"/>
    </row>
    <row r="37" ht="15" customHeight="1" s="35">
      <c r="H37" s="34" t="n"/>
    </row>
    <row r="38" ht="15" customHeight="1" s="35">
      <c r="H38" s="34" t="n"/>
    </row>
    <row r="39" ht="15" customHeight="1" s="35">
      <c r="H39" s="34" t="n"/>
    </row>
    <row r="40" ht="15" customHeight="1" s="35">
      <c r="H40" s="34" t="n"/>
    </row>
    <row r="41" ht="15" customHeight="1" s="35">
      <c r="H41" s="34" t="n"/>
    </row>
    <row r="42" ht="15" customHeight="1" s="35">
      <c r="H42" s="34" t="n"/>
    </row>
    <row r="43" ht="15" customHeight="1" s="35">
      <c r="H43" s="34" t="n"/>
    </row>
    <row r="44" ht="15" customHeight="1" s="35">
      <c r="H44" s="34" t="n"/>
    </row>
    <row r="45" ht="15" customHeight="1" s="35">
      <c r="H45" s="34" t="n"/>
    </row>
    <row r="46" ht="15" customHeight="1" s="35">
      <c r="H46" s="34" t="n"/>
    </row>
    <row r="47" ht="15" customHeight="1" s="35">
      <c r="H47" s="34" t="n"/>
    </row>
    <row r="48" ht="15" customHeight="1" s="35">
      <c r="H48" s="34" t="n"/>
    </row>
    <row r="49" ht="15" customHeight="1" s="35">
      <c r="H49" s="34" t="n"/>
    </row>
    <row r="50" ht="15" customHeight="1" s="35">
      <c r="H50" s="34" t="n"/>
    </row>
    <row r="51" ht="15" customHeight="1" s="35">
      <c r="H51" s="34" t="n"/>
    </row>
    <row r="52" ht="15" customHeight="1" s="35">
      <c r="H52" s="34" t="n"/>
    </row>
    <row r="53" ht="15" customHeight="1" s="35">
      <c r="H53" s="34" t="n"/>
    </row>
    <row r="54" ht="15" customHeight="1" s="35">
      <c r="H54" s="34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4" min="2" max="2"/>
    <col width="18" customWidth="1" style="34" min="3" max="3"/>
    <col width="42" customWidth="1" style="34" min="4" max="4"/>
    <col width="24" customWidth="1" style="34" min="5" max="5"/>
    <col width="18" customWidth="1" style="34" min="6" max="6"/>
    <col width="22" customWidth="1" style="34" min="7" max="7"/>
    <col width="42" customWidth="1" style="34" min="8" max="8"/>
    <col width="30" customWidth="1" style="34" min="9" max="9"/>
    <col width="15" customWidth="1" style="34" min="10" max="10"/>
  </cols>
  <sheetData>
    <row r="2" ht="18.55" customHeight="1" s="35">
      <c r="B2" s="40" t="inlineStr">
        <is>
          <t>Source, Transformation, Ownership and Refresh Map</t>
        </is>
      </c>
    </row>
    <row r="4" ht="15" customHeight="1" s="35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 ht="15" customHeight="1" s="35">
      <c r="B5" s="34" t="inlineStr">
        <is>
          <t>rent roll</t>
        </is>
      </c>
      <c r="C5" s="34" t="inlineStr">
        <is>
          <t>monthly</t>
        </is>
      </c>
      <c r="D5" s="34" t="inlineStr">
        <is>
          <t>lease-to-ledger tie</t>
        </is>
      </c>
      <c r="J5" s="34" t="inlineStr">
        <is>
          <t>TO MAP</t>
        </is>
      </c>
    </row>
    <row r="6" ht="15" customHeight="1" s="35">
      <c r="B6" s="34" t="inlineStr">
        <is>
          <t>operating actuals</t>
        </is>
      </c>
      <c r="C6" s="34" t="inlineStr">
        <is>
          <t>monthly</t>
        </is>
      </c>
      <c r="D6" s="34" t="inlineStr">
        <is>
          <t>property and GL mapping</t>
        </is>
      </c>
      <c r="J6" s="34" t="inlineStr">
        <is>
          <t>TO MAP</t>
        </is>
      </c>
    </row>
    <row r="7" ht="15" customHeight="1" s="35">
      <c r="B7" s="34" t="inlineStr">
        <is>
          <t>model governance evidence</t>
        </is>
      </c>
      <c r="C7" s="34" t="inlineStr">
        <is>
          <t>per release</t>
        </is>
      </c>
      <c r="D7" s="34" t="inlineStr">
        <is>
          <t>version, reviewer, sign-off and change log</t>
        </is>
      </c>
      <c r="J7" s="34" t="inlineStr">
        <is>
          <t>TO MAP</t>
        </is>
      </c>
    </row>
    <row r="8" ht="15" customHeight="1" s="35">
      <c r="B8" s="34" t="inlineStr">
        <is>
          <t>decision-use snapshot</t>
        </is>
      </c>
      <c r="C8" s="34" t="inlineStr">
        <is>
          <t>per decision</t>
        </is>
      </c>
      <c r="D8" s="34" t="inlineStr">
        <is>
          <t>immutable as-of date and source receipt</t>
        </is>
      </c>
      <c r="J8" s="34" t="inlineStr">
        <is>
          <t>TO MAP</t>
        </is>
      </c>
    </row>
    <row r="9" ht="15" customHeight="1" s="35">
      <c r="J9" s="34" t="n"/>
    </row>
    <row r="10" ht="15" customHeight="1" s="35">
      <c r="J10" s="34" t="n"/>
    </row>
    <row r="11" ht="15" customHeight="1" s="35">
      <c r="J11" s="34" t="n"/>
    </row>
    <row r="12" ht="15" customHeight="1" s="35">
      <c r="J12" s="34" t="n"/>
    </row>
    <row r="13" ht="15" customHeight="1" s="35">
      <c r="J13" s="34" t="n"/>
    </row>
    <row r="14" ht="15" customHeight="1" s="35">
      <c r="J14" s="34" t="n"/>
    </row>
    <row r="15" ht="15" customHeight="1" s="35">
      <c r="J15" s="34" t="n"/>
    </row>
    <row r="16" ht="15" customHeight="1" s="35">
      <c r="J16" s="34" t="n"/>
    </row>
    <row r="17" ht="15" customHeight="1" s="35">
      <c r="J17" s="34" t="n"/>
    </row>
    <row r="18" ht="15" customHeight="1" s="35">
      <c r="J18" s="34" t="n"/>
    </row>
    <row r="19" ht="15" customHeight="1" s="35">
      <c r="J19" s="34" t="n"/>
    </row>
    <row r="20" ht="15" customHeight="1" s="35">
      <c r="J20" s="34" t="n"/>
    </row>
    <row r="21" ht="15" customHeight="1" s="35">
      <c r="J21" s="34" t="n"/>
    </row>
    <row r="22" ht="15" customHeight="1" s="35">
      <c r="J22" s="34" t="n"/>
    </row>
    <row r="23" ht="15" customHeight="1" s="35">
      <c r="J23" s="34" t="n"/>
    </row>
    <row r="24" ht="15" customHeight="1" s="35">
      <c r="J24" s="34" t="n"/>
    </row>
    <row r="25" ht="15" customHeight="1" s="35">
      <c r="J25" s="34" t="n"/>
    </row>
    <row r="26" ht="15" customHeight="1" s="35">
      <c r="J26" s="34" t="n"/>
    </row>
    <row r="27" ht="15" customHeight="1" s="35">
      <c r="J27" s="34" t="n"/>
    </row>
    <row r="28" ht="15" customHeight="1" s="35">
      <c r="J28" s="34" t="n"/>
    </row>
    <row r="29" ht="15" customHeight="1" s="35">
      <c r="J29" s="34" t="n"/>
    </row>
    <row r="30" ht="15" customHeight="1" s="35">
      <c r="J30" s="34" t="n"/>
    </row>
    <row r="31" ht="15" customHeight="1" s="35">
      <c r="J31" s="34" t="n"/>
    </row>
    <row r="32" ht="15" customHeight="1" s="35">
      <c r="J32" s="34" t="n"/>
    </row>
    <row r="33" ht="15" customHeight="1" s="35">
      <c r="J33" s="34" t="n"/>
    </row>
    <row r="34" ht="15" customHeight="1" s="35">
      <c r="J34" s="34" t="n"/>
    </row>
    <row r="35" ht="15" customHeight="1" s="35">
      <c r="J35" s="34" t="n"/>
    </row>
    <row r="36" ht="15" customHeight="1" s="35">
      <c r="J36" s="34" t="n"/>
    </row>
    <row r="37" ht="15" customHeight="1" s="35">
      <c r="J37" s="34" t="n"/>
    </row>
    <row r="38" ht="15" customHeight="1" s="35">
      <c r="J38" s="34" t="n"/>
    </row>
    <row r="39" ht="15" customHeight="1" s="35">
      <c r="J39" s="34" t="n"/>
    </row>
    <row r="40" ht="15" customHeight="1" s="35">
      <c r="J40" s="34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C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0" customWidth="1" style="34" min="2" max="2"/>
    <col width="14" customWidth="1" style="34" min="3" max="5"/>
  </cols>
  <sheetData>
    <row r="2" ht="19.7" customHeight="1" s="35">
      <c r="B2" s="36" t="inlineStr">
        <is>
          <t>Property Pro Forma (annual, $)</t>
        </is>
      </c>
    </row>
    <row r="5" ht="15" customHeight="1" s="35">
      <c r="B5" s="45" t="inlineStr">
        <is>
          <t>Gross potential rent</t>
        </is>
      </c>
      <c r="C5" s="46" t="n">
        <v>0</v>
      </c>
    </row>
    <row r="6" ht="15" customHeight="1" s="35">
      <c r="B6" s="45" t="inlineStr">
        <is>
          <t>Vacancy &amp; credit loss</t>
        </is>
      </c>
      <c r="C6" s="46" t="n">
        <v>0</v>
      </c>
    </row>
    <row r="7" ht="15" customHeight="1" s="35">
      <c r="B7" s="45" t="inlineStr">
        <is>
          <t>Effective gross income</t>
        </is>
      </c>
      <c r="C7" s="47">
        <f>C5-C6</f>
        <v/>
      </c>
    </row>
    <row r="8" ht="15" customHeight="1" s="35">
      <c r="B8" s="45" t="inlineStr">
        <is>
          <t>+ Other income (parking, fees)</t>
        </is>
      </c>
      <c r="C8" s="46" t="n">
        <v>0</v>
      </c>
    </row>
    <row r="9" ht="15" customHeight="1" s="35">
      <c r="B9" s="37" t="inlineStr">
        <is>
          <t>Total revenue</t>
        </is>
      </c>
      <c r="C9" s="48">
        <f>C7+C8</f>
        <v/>
      </c>
    </row>
    <row r="10" ht="15" customHeight="1" s="35">
      <c r="B10" s="45" t="inlineStr">
        <is>
          <t>Operating expenses (taxes, insurance, management, R&amp;M)</t>
        </is>
      </c>
      <c r="C10" s="46" t="n">
        <v>0</v>
      </c>
    </row>
    <row r="11" ht="15" customHeight="1" s="35">
      <c r="B11" s="37" t="inlineStr">
        <is>
          <t>Net Operating Income (NOI)</t>
        </is>
      </c>
      <c r="C11" s="48">
        <f>C9-C10</f>
        <v/>
      </c>
    </row>
    <row r="12" ht="15" customHeight="1" s="35">
      <c r="B12" s="45" t="inlineStr">
        <is>
          <t>Recurring capex reserve</t>
        </is>
      </c>
      <c r="C12" s="46" t="n">
        <v>0</v>
      </c>
    </row>
    <row r="13" ht="15" customHeight="1" s="35">
      <c r="B13" s="45" t="inlineStr">
        <is>
          <t>Debt service (P&amp;I)</t>
        </is>
      </c>
      <c r="C13" s="46">
        <f>'Debt Schedule'!E8</f>
        <v/>
      </c>
    </row>
    <row r="14" ht="15" customHeight="1" s="35">
      <c r="B14" s="37" t="inlineStr">
        <is>
          <t>Cash flow before tax</t>
        </is>
      </c>
      <c r="C14" s="48">
        <f>C11-C12-C13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K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12" customWidth="1" style="34" min="2" max="2"/>
    <col width="18" customWidth="1" style="34" min="3" max="3"/>
    <col width="15" customWidth="1" style="34" min="4" max="4"/>
    <col width="17" customWidth="1" style="34" min="5" max="5"/>
    <col width="16" customWidth="1" style="34" min="6" max="8"/>
    <col width="18" customWidth="1" style="34" min="9" max="9"/>
    <col width="16" customWidth="1" style="34" min="10" max="10"/>
    <col width="14" customWidth="1" style="34" min="11" max="11"/>
  </cols>
  <sheetData>
    <row r="2" ht="19.7" customHeight="1" s="35">
      <c r="B2" s="36" t="inlineStr">
        <is>
          <t>Lease Expiration, Renewal, Downtime, and Occupancy Roll</t>
        </is>
      </c>
    </row>
    <row r="4" ht="15" customHeight="1" s="35">
      <c r="B4" s="49" t="inlineStr">
        <is>
          <t>Year</t>
        </is>
      </c>
      <c r="C4" s="49" t="inlineStr">
        <is>
          <t>Beginning annual rent</t>
        </is>
      </c>
      <c r="D4" s="49" t="inlineStr">
        <is>
          <t>Expiring rent %</t>
        </is>
      </c>
      <c r="E4" s="49" t="inlineStr">
        <is>
          <t>Renewal probability</t>
        </is>
      </c>
      <c r="F4" s="49" t="inlineStr">
        <is>
          <t>Renewal spread</t>
        </is>
      </c>
      <c r="G4" s="49" t="inlineStr">
        <is>
          <t>Downtime months</t>
        </is>
      </c>
      <c r="H4" s="49" t="inlineStr">
        <is>
          <t>Lost rent</t>
        </is>
      </c>
      <c r="I4" s="49" t="inlineStr">
        <is>
          <t>Renewed rent</t>
        </is>
      </c>
      <c r="J4" s="49" t="inlineStr">
        <is>
          <t>Ending annual rent</t>
        </is>
      </c>
      <c r="K4" s="49" t="inlineStr">
        <is>
          <t>Economic occupancy</t>
        </is>
      </c>
    </row>
    <row r="5" ht="15" customHeight="1" s="35">
      <c r="B5" s="34" t="n">
        <v>1</v>
      </c>
      <c r="C5" s="50">
        <f>'Property Pro Forma'!C5</f>
        <v/>
      </c>
      <c r="D5" s="51" t="n">
        <v>0.18</v>
      </c>
      <c r="E5" s="51" t="n">
        <v>0.75</v>
      </c>
      <c r="F5" s="51" t="n">
        <v>0.03</v>
      </c>
      <c r="G5" s="52" t="n">
        <v>3</v>
      </c>
      <c r="H5" s="53">
        <f>C5*D5*(1-E5)*G5/12</f>
        <v/>
      </c>
      <c r="I5" s="53">
        <f>C5*D5*E5*(1+F5)</f>
        <v/>
      </c>
      <c r="J5" s="53">
        <f>C5*(1-D5)+I5</f>
        <v/>
      </c>
      <c r="K5" s="54">
        <f>IFERROR(1-H5/C5,0)</f>
        <v/>
      </c>
    </row>
    <row r="6" ht="15" customHeight="1" s="35">
      <c r="B6" s="34" t="n">
        <v>2</v>
      </c>
      <c r="C6" s="50">
        <f>J5</f>
        <v/>
      </c>
      <c r="D6" s="51" t="n">
        <v>0.2</v>
      </c>
      <c r="E6" s="51" t="n">
        <v>0.72</v>
      </c>
      <c r="F6" s="51" t="n">
        <v>0.03</v>
      </c>
      <c r="G6" s="52" t="n">
        <v>3</v>
      </c>
      <c r="H6" s="53">
        <f>C6*D6*(1-E6)*G6/12</f>
        <v/>
      </c>
      <c r="I6" s="53">
        <f>C6*D6*E6*(1+F6)</f>
        <v/>
      </c>
      <c r="J6" s="53">
        <f>C6*(1-D6)+I6</f>
        <v/>
      </c>
      <c r="K6" s="54">
        <f>IFERROR(1-H6/C6,0)</f>
        <v/>
      </c>
    </row>
    <row r="7" ht="15" customHeight="1" s="35">
      <c r="B7" s="34" t="n">
        <v>3</v>
      </c>
      <c r="C7" s="50">
        <f>J6</f>
        <v/>
      </c>
      <c r="D7" s="51" t="n">
        <v>0.22</v>
      </c>
      <c r="E7" s="51" t="n">
        <v>0.7</v>
      </c>
      <c r="F7" s="51" t="n">
        <v>0.025</v>
      </c>
      <c r="G7" s="52" t="n">
        <v>4</v>
      </c>
      <c r="H7" s="53">
        <f>C7*D7*(1-E7)*G7/12</f>
        <v/>
      </c>
      <c r="I7" s="53">
        <f>C7*D7*E7*(1+F7)</f>
        <v/>
      </c>
      <c r="J7" s="53">
        <f>C7*(1-D7)+I7</f>
        <v/>
      </c>
      <c r="K7" s="54">
        <f>IFERROR(1-H7/C7,0)</f>
        <v/>
      </c>
    </row>
    <row r="8" ht="15" customHeight="1" s="35">
      <c r="B8" s="34" t="n">
        <v>4</v>
      </c>
      <c r="C8" s="50">
        <f>J7</f>
        <v/>
      </c>
      <c r="D8" s="51" t="n">
        <v>0.18</v>
      </c>
      <c r="E8" s="51" t="n">
        <v>0.68</v>
      </c>
      <c r="F8" s="51" t="n">
        <v>0.02</v>
      </c>
      <c r="G8" s="52" t="n">
        <v>4</v>
      </c>
      <c r="H8" s="53">
        <f>C8*D8*(1-E8)*G8/12</f>
        <v/>
      </c>
      <c r="I8" s="53">
        <f>C8*D8*E8*(1+F8)</f>
        <v/>
      </c>
      <c r="J8" s="53">
        <f>C8*(1-D8)+I8</f>
        <v/>
      </c>
      <c r="K8" s="54">
        <f>IFERROR(1-H8/C8,0)</f>
        <v/>
      </c>
    </row>
    <row r="9" ht="15" customHeight="1" s="35">
      <c r="B9" s="34" t="n">
        <v>5</v>
      </c>
      <c r="C9" s="50">
        <f>J8</f>
        <v/>
      </c>
      <c r="D9" s="51" t="n">
        <v>0.25</v>
      </c>
      <c r="E9" s="51" t="n">
        <v>0.65</v>
      </c>
      <c r="F9" s="51" t="n">
        <v>0.02</v>
      </c>
      <c r="G9" s="52" t="n">
        <v>5</v>
      </c>
      <c r="H9" s="53">
        <f>C9*D9*(1-E9)*G9/12</f>
        <v/>
      </c>
      <c r="I9" s="53">
        <f>C9*D9*E9*(1+F9)</f>
        <v/>
      </c>
      <c r="J9" s="53">
        <f>C9*(1-D9)+I9</f>
        <v/>
      </c>
      <c r="K9" s="54">
        <f>IFERROR(1-H9/C9,0)</f>
        <v/>
      </c>
    </row>
    <row r="12" ht="15" customHeight="1" s="35">
      <c r="B12" s="55" t="inlineStr">
        <is>
          <t>This roll deliberately separates contractual expiration, renewal probability, spread, and downtime; new-leasing assumptions must be added explicitly rather than hidden in rent growth.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0" customWidth="1" style="34" min="2" max="2"/>
    <col width="16" customWidth="1" style="34" min="3" max="3"/>
    <col width="40" customWidth="1" style="34" min="4" max="4"/>
  </cols>
  <sheetData>
    <row r="2" ht="19.7" customHeight="1" s="35">
      <c r="B2" s="36" t="inlineStr">
        <is>
          <t>Cap Rate Valuation</t>
        </is>
      </c>
    </row>
    <row r="4" ht="15" customHeight="1" s="35">
      <c r="B4" s="34" t="inlineStr">
        <is>
          <t>NOI (from pro forma)</t>
        </is>
      </c>
      <c r="C4" s="56">
        <f>'Property Pro Forma'!C11</f>
        <v/>
      </c>
    </row>
    <row r="5" ht="15" customHeight="1" s="35">
      <c r="B5" s="34" t="inlineStr">
        <is>
          <t>Market cap rate %</t>
        </is>
      </c>
      <c r="C5" s="51" t="n">
        <v>0.06</v>
      </c>
    </row>
    <row r="6" ht="15" customHeight="1" s="35">
      <c r="B6" s="34" t="inlineStr">
        <is>
          <t>Implied value (NOI / cap rate)</t>
        </is>
      </c>
      <c r="C6" s="48">
        <f>IFERROR(C4/C5,"-")</f>
        <v/>
      </c>
    </row>
    <row r="8" ht="15" customHeight="1" s="35">
      <c r="B8" s="34" t="inlineStr">
        <is>
          <t>Purchase price ($)</t>
        </is>
      </c>
      <c r="C8" s="46" t="n">
        <v>0</v>
      </c>
    </row>
    <row r="9" ht="15" customHeight="1" s="35">
      <c r="B9" s="34" t="inlineStr">
        <is>
          <t>Going-in cap rate (NOI / price)</t>
        </is>
      </c>
      <c r="C9" s="54">
        <f>IFERROR(C4/C8,"-")</f>
        <v/>
      </c>
    </row>
    <row r="10" ht="15" customHeight="1" s="35">
      <c r="B10" s="34" t="inlineStr">
        <is>
          <t>Debt amount</t>
        </is>
      </c>
      <c r="C10" s="46" t="n">
        <v>0</v>
      </c>
    </row>
    <row r="11" ht="15" customHeight="1" s="35">
      <c r="B11" s="34" t="inlineStr">
        <is>
          <t>Cash-on-cash return</t>
        </is>
      </c>
      <c r="C11" s="54">
        <f>IFERROR('Property Pro Forma'!C14/(C8-C10),"-")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12" customWidth="1" style="34" min="2" max="2"/>
    <col width="18" customWidth="1" style="34" min="3" max="3"/>
    <col width="16" customWidth="1" style="34" min="4" max="6"/>
    <col width="18" customWidth="1" style="34" min="7" max="7"/>
    <col width="16" customWidth="1" style="34" min="8" max="10"/>
  </cols>
  <sheetData>
    <row r="2" ht="19.7" customHeight="1" s="35">
      <c r="B2" s="36" t="inlineStr">
        <is>
          <t>Property Debt Amortization and Coverage</t>
        </is>
      </c>
    </row>
    <row r="3" ht="15" customHeight="1" s="35">
      <c r="B3" s="34" t="inlineStr">
        <is>
          <t>Interest rate</t>
        </is>
      </c>
      <c r="C3" s="51" t="n">
        <v>0.06</v>
      </c>
    </row>
    <row r="4" ht="15" customHeight="1" s="35">
      <c r="B4" s="34" t="inlineStr">
        <is>
          <t>Amortization term (years)</t>
        </is>
      </c>
      <c r="C4" s="57" t="n">
        <v>25</v>
      </c>
    </row>
    <row r="5" ht="15" customHeight="1" s="35">
      <c r="B5" s="34" t="inlineStr">
        <is>
          <t>Minimum DSCR</t>
        </is>
      </c>
      <c r="C5" s="58" t="n">
        <v>1.25</v>
      </c>
    </row>
    <row r="7" ht="15" customHeight="1" s="35">
      <c r="B7" s="49" t="inlineStr">
        <is>
          <t>Year</t>
        </is>
      </c>
      <c r="C7" s="49" t="inlineStr">
        <is>
          <t>Beginning debt</t>
        </is>
      </c>
      <c r="D7" s="49" t="inlineStr">
        <is>
          <t>Interest</t>
        </is>
      </c>
      <c r="E7" s="49" t="inlineStr">
        <is>
          <t>Principal</t>
        </is>
      </c>
      <c r="F7" s="49" t="inlineStr">
        <is>
          <t>Debt service</t>
        </is>
      </c>
      <c r="G7" s="49" t="inlineStr">
        <is>
          <t>Ending debt</t>
        </is>
      </c>
      <c r="H7" s="49" t="inlineStr">
        <is>
          <t>NOI</t>
        </is>
      </c>
      <c r="I7" s="49" t="inlineStr">
        <is>
          <t>DSCR</t>
        </is>
      </c>
      <c r="J7" s="49" t="inlineStr">
        <is>
          <t>Headroom</t>
        </is>
      </c>
    </row>
    <row r="8" ht="15" customHeight="1" s="35">
      <c r="B8" s="34" t="n">
        <v>1</v>
      </c>
      <c r="C8" s="53">
        <f>'Cap Rate &amp; Valuation'!C10</f>
        <v/>
      </c>
      <c r="D8" s="53">
        <f>C8*$C$3</f>
        <v/>
      </c>
      <c r="E8" s="53">
        <f>D8+F8</f>
        <v/>
      </c>
      <c r="F8" s="53">
        <f>MIN(C8,MAX(0,-PMT($C$3,$C$4,'Cap Rate &amp; Valuation'!$C$10)-D8))</f>
        <v/>
      </c>
      <c r="G8" s="53">
        <f>MAX(0,C8-F8)</f>
        <v/>
      </c>
      <c r="H8" s="53">
        <f>'5-Year Hold &amp; IRR'!C13</f>
        <v/>
      </c>
      <c r="I8" s="59">
        <f>IFERROR(H8/E8,0)</f>
        <v/>
      </c>
      <c r="J8" s="59">
        <f>I8-$C$5</f>
        <v/>
      </c>
    </row>
    <row r="9" ht="15" customHeight="1" s="35">
      <c r="B9" s="34" t="n">
        <v>2</v>
      </c>
      <c r="C9" s="53">
        <f>G8</f>
        <v/>
      </c>
      <c r="D9" s="53">
        <f>C9*$C$3</f>
        <v/>
      </c>
      <c r="E9" s="53">
        <f>D9+F9</f>
        <v/>
      </c>
      <c r="F9" s="53">
        <f>MIN(C9,MAX(0,-PMT($C$3,$C$4,'Cap Rate &amp; Valuation'!$C$10)-D9))</f>
        <v/>
      </c>
      <c r="G9" s="53">
        <f>MAX(0,C9-F9)</f>
        <v/>
      </c>
      <c r="H9" s="53">
        <f>'5-Year Hold &amp; IRR'!D13</f>
        <v/>
      </c>
      <c r="I9" s="59">
        <f>IFERROR(H9/E9,0)</f>
        <v/>
      </c>
      <c r="J9" s="59">
        <f>I9-$C$5</f>
        <v/>
      </c>
    </row>
    <row r="10" ht="15" customHeight="1" s="35">
      <c r="B10" s="34" t="n">
        <v>3</v>
      </c>
      <c r="C10" s="53">
        <f>G9</f>
        <v/>
      </c>
      <c r="D10" s="53">
        <f>C10*$C$3</f>
        <v/>
      </c>
      <c r="E10" s="53">
        <f>D10+F10</f>
        <v/>
      </c>
      <c r="F10" s="53">
        <f>MIN(C10,MAX(0,-PMT($C$3,$C$4,'Cap Rate &amp; Valuation'!$C$10)-D10))</f>
        <v/>
      </c>
      <c r="G10" s="53">
        <f>MAX(0,C10-F10)</f>
        <v/>
      </c>
      <c r="H10" s="53">
        <f>'5-Year Hold &amp; IRR'!E13</f>
        <v/>
      </c>
      <c r="I10" s="59">
        <f>IFERROR(H10/E10,0)</f>
        <v/>
      </c>
      <c r="J10" s="59">
        <f>I10-$C$5</f>
        <v/>
      </c>
    </row>
    <row r="11" ht="15" customHeight="1" s="35">
      <c r="B11" s="34" t="n">
        <v>4</v>
      </c>
      <c r="C11" s="53">
        <f>G10</f>
        <v/>
      </c>
      <c r="D11" s="53">
        <f>C11*$C$3</f>
        <v/>
      </c>
      <c r="E11" s="53">
        <f>D11+F11</f>
        <v/>
      </c>
      <c r="F11" s="53">
        <f>MIN(C11,MAX(0,-PMT($C$3,$C$4,'Cap Rate &amp; Valuation'!$C$10)-D11))</f>
        <v/>
      </c>
      <c r="G11" s="53">
        <f>MAX(0,C11-F11)</f>
        <v/>
      </c>
      <c r="H11" s="53">
        <f>'5-Year Hold &amp; IRR'!F13</f>
        <v/>
      </c>
      <c r="I11" s="59">
        <f>IFERROR(H11/E11,0)</f>
        <v/>
      </c>
      <c r="J11" s="59">
        <f>I11-$C$5</f>
        <v/>
      </c>
    </row>
    <row r="12" ht="15" customHeight="1" s="35">
      <c r="B12" s="34" t="n">
        <v>5</v>
      </c>
      <c r="C12" s="53">
        <f>G11</f>
        <v/>
      </c>
      <c r="D12" s="53">
        <f>C12*$C$3</f>
        <v/>
      </c>
      <c r="E12" s="53">
        <f>D12+F12</f>
        <v/>
      </c>
      <c r="F12" s="53">
        <f>MIN(C12,MAX(0,-PMT($C$3,$C$4,'Cap Rate &amp; Valuation'!$C$10)-D12))</f>
        <v/>
      </c>
      <c r="G12" s="53">
        <f>MAX(0,C12-F12)</f>
        <v/>
      </c>
      <c r="H12" s="53">
        <f>'5-Year Hold &amp; IRR'!G13</f>
        <v/>
      </c>
      <c r="I12" s="59">
        <f>IFERROR(H12/E12,0)</f>
        <v/>
      </c>
      <c r="J12" s="59">
        <f>I12-$C$5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4" customWidth="1" style="34" min="2" max="2"/>
    <col width="16" customWidth="1" style="34" min="3" max="3"/>
    <col width="40" customWidth="1" style="34" min="4" max="4"/>
  </cols>
  <sheetData>
    <row r="2" ht="19.7" customHeight="1" s="35">
      <c r="B2" s="36" t="inlineStr">
        <is>
          <t>REIT FFO / AFFO</t>
        </is>
      </c>
    </row>
    <row r="4" ht="15" customHeight="1" s="35">
      <c r="B4" s="34" t="inlineStr">
        <is>
          <t>Net income (GAAP)</t>
        </is>
      </c>
      <c r="C4" s="60" t="n">
        <v>872.309</v>
      </c>
    </row>
    <row r="5" ht="15" customHeight="1" s="35">
      <c r="B5" s="34" t="inlineStr">
        <is>
          <t>+ Real estate depreciation &amp; amortization</t>
        </is>
      </c>
      <c r="C5" s="60" t="n">
        <v>1895.177</v>
      </c>
    </row>
    <row r="6" ht="15" customHeight="1" s="35">
      <c r="B6" s="34" t="inlineStr">
        <is>
          <t>Gains on property sales</t>
        </is>
      </c>
      <c r="C6" s="60" t="n">
        <v>25.667</v>
      </c>
    </row>
    <row r="7" ht="15" customHeight="1" s="35">
      <c r="B7" s="34" t="inlineStr">
        <is>
          <t>FFO (Funds From Operations)</t>
        </is>
      </c>
      <c r="C7" s="48">
        <f>C4+C5-C6</f>
        <v/>
      </c>
    </row>
    <row r="9" ht="15" customHeight="1" s="35">
      <c r="B9" s="34" t="inlineStr">
        <is>
          <t>Recurring capex / leasing costs</t>
        </is>
      </c>
      <c r="C9" s="46" t="n">
        <v>0</v>
      </c>
    </row>
    <row r="10" ht="15" customHeight="1" s="35">
      <c r="B10" s="34" t="inlineStr">
        <is>
          <t>Straight-line rent adjustment</t>
        </is>
      </c>
      <c r="C10" s="46" t="n">
        <v>0</v>
      </c>
    </row>
    <row r="11" ht="15" customHeight="1" s="35">
      <c r="B11" s="34" t="inlineStr">
        <is>
          <t>AFFO (Adjusted FFO)</t>
        </is>
      </c>
      <c r="C11" s="48">
        <f>C7-C9-C10</f>
        <v/>
      </c>
      <c r="D11" s="55" t="inlineStr">
        <is>
          <t>AFFO is non-GAAP and must disclose its definition and reconciliation; this implementation deducts recurring capex and straight-line rent.</t>
        </is>
      </c>
    </row>
    <row r="13" ht="15" customHeight="1" s="35">
      <c r="B13" s="34" t="inlineStr">
        <is>
          <t>Shares/units outstanding</t>
        </is>
      </c>
      <c r="C13" s="61" t="n">
        <v>1</v>
      </c>
    </row>
    <row r="14" ht="15" customHeight="1" s="35">
      <c r="B14" s="34" t="inlineStr">
        <is>
          <t>FFO / share</t>
        </is>
      </c>
      <c r="C14" s="62">
        <f>IFERROR(C7/C13,"-")</f>
        <v/>
      </c>
    </row>
    <row r="15" ht="15" customHeight="1" s="35">
      <c r="B15" s="34" t="inlineStr">
        <is>
          <t>AFFO / share</t>
        </is>
      </c>
      <c r="C15" s="62">
        <f>IFERROR(C11/C13,"-")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8" customWidth="1" style="34" min="2" max="2"/>
    <col width="18" customWidth="1" style="34" min="3" max="4"/>
    <col width="48" customWidth="1" style="34" min="5" max="5"/>
  </cols>
  <sheetData>
    <row r="2" ht="19.7" customHeight="1" s="35">
      <c r="B2" s="36" t="inlineStr">
        <is>
          <t>Real Estate / REIT Decision Dashboard and Independent Checks</t>
        </is>
      </c>
    </row>
    <row r="4" ht="15" customHeight="1" s="35">
      <c r="B4" s="49" t="inlineStr">
        <is>
          <t>Check / decision</t>
        </is>
      </c>
      <c r="C4" s="49" t="inlineStr">
        <is>
          <t>Metric</t>
        </is>
      </c>
      <c r="D4" s="49" t="inlineStr">
        <is>
          <t>Status</t>
        </is>
      </c>
      <c r="E4" s="49" t="inlineStr">
        <is>
          <t>Interpretation / action</t>
        </is>
      </c>
    </row>
    <row r="5" ht="15" customHeight="1" s="35">
      <c r="B5" s="34" t="inlineStr">
        <is>
          <t>NOI identity residual</t>
        </is>
      </c>
      <c r="C5" s="63">
        <f>'Property Pro Forma'!C11-('Property Pro Forma'!C5-'Property Pro Forma'!C6+'Property Pro Forma'!C8-'Property Pro Forma'!C10)</f>
        <v/>
      </c>
      <c r="D5" s="63">
        <f>IF(ABS(C5)&lt;0.01,"PASS","FAIL")</f>
        <v/>
      </c>
      <c r="E5" s="34" t="inlineStr">
        <is>
          <t>NOI must reconcile from gross rent through vacancy, other income, and operating expenses.</t>
        </is>
      </c>
    </row>
    <row r="6" ht="15" customHeight="1" s="35">
      <c r="B6" s="34" t="inlineStr">
        <is>
          <t>FFO bridge residual</t>
        </is>
      </c>
      <c r="C6" s="63">
        <f>'REIT FFO-AFFO'!C7-('REIT FFO-AFFO'!C4+'REIT FFO-AFFO'!C5-'REIT FFO-AFFO'!C6)</f>
        <v/>
      </c>
      <c r="D6" s="63">
        <f>IF(ABS(C6)&lt;0.01,"PASS","FAIL")</f>
        <v/>
      </c>
      <c r="E6" s="34" t="inlineStr">
        <is>
          <t>FFO must reconcile from GAAP net income under the disclosed Nareit-style definition.</t>
        </is>
      </c>
    </row>
    <row r="7" ht="15" customHeight="1" s="35">
      <c r="B7" s="34" t="inlineStr">
        <is>
          <t>AFFO bridge residual</t>
        </is>
      </c>
      <c r="C7" s="63">
        <f>'REIT FFO-AFFO'!C11-('REIT FFO-AFFO'!C7-'REIT FFO-AFFO'!C9-'REIT FFO-AFFO'!C10)</f>
        <v/>
      </c>
      <c r="D7" s="63">
        <f>IF(ABS(C7)&lt;0.01,"PASS","FAIL")</f>
        <v/>
      </c>
      <c r="E7" s="34" t="inlineStr">
        <is>
          <t>AFFO is non-GAAP; recurring capex and straight-line rent adjustments must be explicit.</t>
        </is>
      </c>
    </row>
    <row r="8" ht="15" customHeight="1" s="35">
      <c r="B8" s="34" t="inlineStr">
        <is>
          <t>Minimum five-year DSCR</t>
        </is>
      </c>
      <c r="C8" s="63">
        <f>MIN('Debt Schedule'!I8:I12)</f>
        <v/>
      </c>
      <c r="D8" s="63">
        <f>IF(C8&gt;='Debt Schedule'!C5,"PASS",IF(C8&gt;=1,"REVIEW","BREACH"))</f>
        <v/>
      </c>
      <c r="E8" s="34" t="inlineStr">
        <is>
          <t>Escalate covenant pressure and refinance dependency.</t>
        </is>
      </c>
    </row>
    <row r="9" ht="15" customHeight="1" s="35">
      <c r="B9" s="34" t="inlineStr">
        <is>
          <t>Loan-to-value</t>
        </is>
      </c>
      <c r="C9" s="63">
        <f>IFERROR('Cap Rate &amp; Valuation'!C10/'Cap Rate &amp; Valuation'!C8,0)</f>
        <v/>
      </c>
      <c r="D9" s="63">
        <f>IF(C9&lt;=0.75,"PASS",IF(C9&lt;=0.85,"REVIEW","BREACH"))</f>
        <v/>
      </c>
      <c r="E9" s="34" t="inlineStr">
        <is>
          <t>High leverage magnifies cap-rate and NOI shocks.</t>
        </is>
      </c>
    </row>
    <row r="10" ht="15" customHeight="1" s="35">
      <c r="B10" s="34" t="inlineStr">
        <is>
          <t>Minimum economic occupancy</t>
        </is>
      </c>
      <c r="C10" s="63">
        <f>MIN('Lease Roll'!K5:K9)</f>
        <v/>
      </c>
      <c r="D10" s="63">
        <f>IF(C10&gt;=0.9,"PASS",IF(C10&gt;=0.8,"REVIEW","BREACH"))</f>
        <v/>
      </c>
      <c r="E10" s="34" t="inlineStr">
        <is>
          <t>Review tenant rollover, downtime, leasing costs, and concentration.</t>
        </is>
      </c>
    </row>
    <row r="11" ht="15" customHeight="1" s="35">
      <c r="B11" s="34" t="inlineStr">
        <is>
          <t>Year-one levered cash flow</t>
        </is>
      </c>
      <c r="C11" s="53">
        <f>'Property Pro Forma'!C14</f>
        <v/>
      </c>
      <c r="D11" s="63">
        <f>IF(C11&gt;=0,"PASS","BREACH")</f>
        <v/>
      </c>
      <c r="E11" s="34" t="inlineStr">
        <is>
          <t>Negative cash flow requires funded reserves or a restructuring plan.</t>
        </is>
      </c>
    </row>
    <row r="12" ht="15" customHeight="1" s="35">
      <c r="B12" s="34" t="inlineStr">
        <is>
          <t>Exit cap spread vs going-in</t>
        </is>
      </c>
      <c r="C12" s="63">
        <f>IF(AND(ISNUMBER('5-Year Hold &amp; IRR'!C6),ISNUMBER('Cap Rate &amp; Valuation'!C9)),'5-Year Hold &amp; IRR'!C6-'Cap Rate &amp; Valuation'!C9,0)</f>
        <v/>
      </c>
      <c r="D12" s="63">
        <f>IF(AND(ISNUMBER('5-Year Hold &amp; IRR'!C6),ISNUMBER('Cap Rate &amp; Valuation'!C9)),IF(C12&gt;=0,"PASS","REVIEW"),"REVIEW")</f>
        <v/>
      </c>
      <c r="E12" s="34" t="inlineStr">
        <is>
          <t>Cap-rate compression should never be an unchallenged base-case return driver.</t>
        </is>
      </c>
    </row>
    <row r="14" ht="15" customHeight="1" s="35">
      <c r="B14" s="37" t="inlineStr">
        <is>
          <t>Overall model status</t>
        </is>
      </c>
      <c r="C14" s="64">
        <f>IF(COUNTIF(D5:D12,"FAIL")+COUNTIF(D5:D12,"BREACH")&gt;0,"BREACH",IF(COUNTIF(D5:D12,"REVIEW")&gt;0,"REVIEW","PASS"))</f>
        <v/>
      </c>
    </row>
    <row r="16" ht="15" customHeight="1" s="35">
      <c r="B16" s="65" t="inlineStr">
        <is>
          <t>Primary decision outputs</t>
        </is>
      </c>
    </row>
    <row r="17" ht="15" customHeight="1" s="35">
      <c r="B17" s="34" t="inlineStr">
        <is>
          <t>NOI</t>
        </is>
      </c>
      <c r="C17" s="53">
        <f>'Property Pro Forma'!C11</f>
        <v/>
      </c>
    </row>
    <row r="18" ht="15" customHeight="1" s="35">
      <c r="B18" s="34" t="inlineStr">
        <is>
          <t>Going-in cap rate</t>
        </is>
      </c>
      <c r="C18" s="54">
        <f>'Cap Rate &amp; Valuation'!C9</f>
        <v/>
      </c>
    </row>
    <row r="19" ht="15" customHeight="1" s="35">
      <c r="B19" s="34" t="inlineStr">
        <is>
          <t>Levered IRR</t>
        </is>
      </c>
      <c r="C19" s="54">
        <f>'5-Year Hold &amp; IRR'!C27</f>
        <v/>
      </c>
    </row>
    <row r="20" ht="15" customHeight="1" s="35">
      <c r="B20" s="34" t="inlineStr">
        <is>
          <t>Equity MOIC</t>
        </is>
      </c>
      <c r="C20" s="59">
        <f>'5-Year Hold &amp; IRR'!C28</f>
        <v/>
      </c>
    </row>
    <row r="21" ht="15" customHeight="1" s="35">
      <c r="B21" s="34" t="inlineStr">
        <is>
          <t>FFO</t>
        </is>
      </c>
      <c r="C21" s="53">
        <f>'REIT FFO-AFFO'!C7</f>
        <v/>
      </c>
    </row>
    <row r="22" ht="15" customHeight="1" s="35">
      <c r="B22" s="34" t="inlineStr">
        <is>
          <t>AFFO</t>
        </is>
      </c>
      <c r="C22" s="53">
        <f>'REIT FFO-AFFO'!C11</f>
        <v/>
      </c>
    </row>
    <row r="23" ht="15" customHeight="1" s="35">
      <c r="B23" s="34" t="inlineStr">
        <is>
          <t>Ending debt</t>
        </is>
      </c>
      <c r="C23" s="53">
        <f>'Debt Schedule'!G12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H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30" customWidth="1" style="34" min="2" max="2"/>
    <col width="12" customWidth="1" style="34" min="3" max="8"/>
  </cols>
  <sheetData>
    <row r="2" ht="19.7" customHeight="1" s="35">
      <c r="B2" s="36" t="inlineStr">
        <is>
          <t>5-Year Hold — Levered Cash Flow &amp; IRR</t>
        </is>
      </c>
    </row>
    <row r="4" ht="15" customHeight="1" s="35">
      <c r="B4" s="65" t="inlineStr">
        <is>
          <t>Assumptions</t>
        </is>
      </c>
    </row>
    <row r="5" ht="15" customHeight="1" s="35">
      <c r="B5" s="34" t="inlineStr">
        <is>
          <t>NOI growth rate (%/yr)</t>
        </is>
      </c>
      <c r="C5" s="51" t="n">
        <v>0.02</v>
      </c>
    </row>
    <row r="6" ht="15" customHeight="1" s="35">
      <c r="B6" s="34" t="inlineStr">
        <is>
          <t>Exit cap rate (%)</t>
        </is>
      </c>
      <c r="C6" s="51" t="n">
        <v>0.065</v>
      </c>
    </row>
    <row r="7" ht="15" customHeight="1" s="35">
      <c r="B7" s="34" t="inlineStr">
        <is>
          <t>Selling costs (% of exit value)</t>
        </is>
      </c>
      <c r="C7" s="66" t="n">
        <v>0.02</v>
      </c>
    </row>
    <row r="8" ht="15" customHeight="1" s="35">
      <c r="B8" s="34" t="inlineStr">
        <is>
          <t>Annual debt service ($, assumed constant / interest-only)</t>
        </is>
      </c>
      <c r="C8" s="56">
        <f>IFERROR(ABS('Property Pro Forma'!C13),"-")</f>
        <v/>
      </c>
    </row>
    <row r="9" ht="15" customHeight="1" s="35">
      <c r="B9" s="34" t="inlineStr">
        <is>
          <t>Initial equity (purchase price - debt)</t>
        </is>
      </c>
      <c r="C9" s="56">
        <f>IFERROR('Cap Rate &amp; Valuation'!C8-'Cap Rate &amp; Valuation'!C10,"-")</f>
        <v/>
      </c>
    </row>
    <row r="12" ht="15" customHeight="1" s="35">
      <c r="C12" s="49" t="inlineStr">
        <is>
          <t>Yr1</t>
        </is>
      </c>
      <c r="D12" s="49" t="inlineStr">
        <is>
          <t>Yr2</t>
        </is>
      </c>
      <c r="E12" s="49" t="inlineStr">
        <is>
          <t>Yr3</t>
        </is>
      </c>
      <c r="F12" s="49" t="inlineStr">
        <is>
          <t>Yr4</t>
        </is>
      </c>
      <c r="G12" s="49" t="inlineStr">
        <is>
          <t>Yr5</t>
        </is>
      </c>
    </row>
    <row r="13" ht="15" customHeight="1" s="35">
      <c r="B13" s="34" t="inlineStr">
        <is>
          <t>NOI</t>
        </is>
      </c>
      <c r="C13" s="56">
        <f>'Property Pro Forma'!C11</f>
        <v/>
      </c>
      <c r="D13" s="53">
        <f>C13*(1+$C$5)</f>
        <v/>
      </c>
      <c r="E13" s="53">
        <f>D13*(1+$C$5)</f>
        <v/>
      </c>
      <c r="F13" s="53">
        <f>E13*(1+$C$5)</f>
        <v/>
      </c>
      <c r="G13" s="53">
        <f>F13*(1+$C$5)</f>
        <v/>
      </c>
    </row>
    <row r="14" ht="15" customHeight="1" s="35">
      <c r="B14" s="34" t="inlineStr">
        <is>
          <t>Debt service</t>
        </is>
      </c>
      <c r="C14" s="53">
        <f>'Debt Schedule'!E8</f>
        <v/>
      </c>
      <c r="D14" s="53">
        <f>'Debt Schedule'!E9</f>
        <v/>
      </c>
      <c r="E14" s="53">
        <f>'Debt Schedule'!E10</f>
        <v/>
      </c>
      <c r="F14" s="53">
        <f>'Debt Schedule'!E11</f>
        <v/>
      </c>
      <c r="G14" s="53">
        <f>'Debt Schedule'!E12</f>
        <v/>
      </c>
    </row>
    <row r="15" ht="15" customHeight="1" s="35">
      <c r="B15" s="34" t="inlineStr">
        <is>
          <t>Levered cash flow</t>
        </is>
      </c>
      <c r="C15" s="53">
        <f>C13-C14</f>
        <v/>
      </c>
      <c r="D15" s="53">
        <f>D13-D14</f>
        <v/>
      </c>
      <c r="E15" s="53">
        <f>E13-E14</f>
        <v/>
      </c>
      <c r="F15" s="53">
        <f>F13-F14</f>
        <v/>
      </c>
      <c r="G15" s="53">
        <f>G13-G14</f>
        <v/>
      </c>
    </row>
    <row r="16" ht="15" customHeight="1" s="35">
      <c r="B16" s="34" t="inlineStr">
        <is>
          <t>DSCR (NOI / debt service)</t>
        </is>
      </c>
      <c r="C16" s="67">
        <f>IFERROR(C13/C14,0)</f>
        <v/>
      </c>
      <c r="D16" s="67">
        <f>IFERROR(D13/D14,0)</f>
        <v/>
      </c>
      <c r="E16" s="67">
        <f>IFERROR(E13/E14,0)</f>
        <v/>
      </c>
      <c r="F16" s="67">
        <f>IFERROR(F13/F14,0)</f>
        <v/>
      </c>
      <c r="G16" s="67">
        <f>IFERROR(G13/G14,0)</f>
        <v/>
      </c>
    </row>
    <row r="18" ht="15" customHeight="1" s="35">
      <c r="B18" s="65" t="inlineStr">
        <is>
          <t>Exit (end of Yr5)</t>
        </is>
      </c>
    </row>
    <row r="19" ht="15" customHeight="1" s="35">
      <c r="B19" s="34" t="inlineStr">
        <is>
          <t>Forward NOI (Yr6, for exit cap)</t>
        </is>
      </c>
      <c r="C19" s="53">
        <f>G13*(1+$C$5)</f>
        <v/>
      </c>
    </row>
    <row r="20" ht="15" customHeight="1" s="35">
      <c r="B20" s="34" t="inlineStr">
        <is>
          <t>Exit value (forward NOI / exit cap rate)</t>
        </is>
      </c>
      <c r="C20" s="53">
        <f>IFERROR(C19/C6,"-")</f>
        <v/>
      </c>
    </row>
    <row r="21" ht="15" customHeight="1" s="35">
      <c r="B21" s="34" t="inlineStr">
        <is>
          <t>Less: selling costs</t>
        </is>
      </c>
      <c r="C21" s="53">
        <f>-C20*C7</f>
        <v/>
      </c>
    </row>
    <row r="22" ht="15" customHeight="1" s="35">
      <c r="B22" s="34" t="inlineStr">
        <is>
          <t>Less: debt payoff (assumed interest-only, balance unchanged)</t>
        </is>
      </c>
      <c r="C22" s="56">
        <f>-'Debt Schedule'!G12</f>
        <v/>
      </c>
    </row>
    <row r="23" ht="15" customHeight="1" s="35">
      <c r="B23" s="34" t="inlineStr">
        <is>
          <t>Net exit equity proceeds</t>
        </is>
      </c>
      <c r="C23" s="48">
        <f>C20+C21+C22</f>
        <v/>
      </c>
    </row>
    <row r="25" ht="15" customHeight="1" s="35">
      <c r="B25" s="65" t="n"/>
      <c r="C25" s="49" t="inlineStr">
        <is>
          <t>Yr0</t>
        </is>
      </c>
      <c r="D25" s="49" t="inlineStr">
        <is>
          <t>Yr1</t>
        </is>
      </c>
      <c r="E25" s="49" t="inlineStr">
        <is>
          <t>Yr2</t>
        </is>
      </c>
      <c r="F25" s="49" t="inlineStr">
        <is>
          <t>Yr3</t>
        </is>
      </c>
      <c r="G25" s="49" t="inlineStr">
        <is>
          <t>Yr4</t>
        </is>
      </c>
      <c r="H25" s="49" t="inlineStr">
        <is>
          <t>Yr5</t>
        </is>
      </c>
    </row>
    <row r="26" ht="15" customHeight="1" s="35">
      <c r="B26" s="34" t="inlineStr">
        <is>
          <t>Equity cash flow</t>
        </is>
      </c>
      <c r="C26" s="53">
        <f>-C9</f>
        <v/>
      </c>
      <c r="D26" s="53">
        <f>C15</f>
        <v/>
      </c>
      <c r="E26" s="53">
        <f>D15</f>
        <v/>
      </c>
      <c r="F26" s="53">
        <f>E15</f>
        <v/>
      </c>
      <c r="G26" s="53">
        <f>F15</f>
        <v/>
      </c>
      <c r="H26" s="53">
        <f>G15+C23</f>
        <v/>
      </c>
    </row>
    <row r="27" ht="15" customHeight="1" s="35">
      <c r="B27" s="34" t="inlineStr">
        <is>
          <t>Levered IRR</t>
        </is>
      </c>
      <c r="C27" s="68">
        <f>IFERROR(IRR(C26:H26),"-")</f>
        <v/>
      </c>
    </row>
    <row r="28" ht="15" customHeight="1" s="35">
      <c r="B28" s="34" t="inlineStr">
        <is>
          <t>Equity multiple (MOIC)</t>
        </is>
      </c>
      <c r="C28" s="69">
        <f>IFERROR(SUM(D26:H26)/C9,"-")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4" min="1" max="1"/>
    <col width="14" customWidth="1" style="34" min="2" max="2"/>
    <col width="16" customWidth="1" style="34" min="3" max="3"/>
    <col width="30" customWidth="1" style="34" min="4" max="5"/>
    <col width="16" customWidth="1" style="34" min="6" max="6"/>
  </cols>
  <sheetData>
    <row r="2" ht="19.7" customHeight="1" s="35">
      <c r="B2" s="36" t="inlineStr">
        <is>
          <t>Refresh Log</t>
        </is>
      </c>
    </row>
    <row r="4" ht="15" customHeight="1" s="35">
      <c r="B4" s="49" t="inlineStr">
        <is>
          <t>Date</t>
        </is>
      </c>
      <c r="C4" s="49" t="inlineStr">
        <is>
          <t>Trigger</t>
        </is>
      </c>
      <c r="D4" s="49" t="inlineStr">
        <is>
          <t>What changed</t>
        </is>
      </c>
      <c r="E4" s="49" t="inlineStr">
        <is>
          <t>Reviewer notes</t>
        </is>
      </c>
      <c r="F4" s="49" t="inlineStr">
        <is>
          <t>Next check</t>
        </is>
      </c>
    </row>
    <row r="5" ht="15" customHeight="1" s="35">
      <c r="B5" s="63" t="inlineStr">
        <is>
          <t>2026-08-04</t>
        </is>
      </c>
      <c r="C5" s="63" t="inlineStr">
        <is>
          <t>External historical evidence materialization</t>
        </is>
      </c>
      <c r="D5" s="63" t="inlineStr">
        <is>
          <t>Generated public case real-estate-public-realty-income-2023 from canonical release template</t>
        </is>
      </c>
      <c r="E5" s="63" t="inlineStr">
        <is>
          <t>External historical case; human stakeholder approval remains pending</t>
        </is>
      </c>
      <c r="F5" s="63" t="inlineStr">
        <is>
          <t>On source revision, builder change, monitoring breach, or annual review</t>
        </is>
      </c>
    </row>
    <row r="6" ht="15" customHeight="1" s="35">
      <c r="B6" s="63" t="n"/>
      <c r="C6" s="63" t="n"/>
      <c r="D6" s="63" t="n"/>
      <c r="E6" s="63" t="n"/>
      <c r="F6" s="63" t="n"/>
    </row>
    <row r="7" ht="15" customHeight="1" s="35">
      <c r="B7" s="63" t="n"/>
      <c r="C7" s="63" t="n"/>
      <c r="D7" s="63" t="n"/>
      <c r="E7" s="63" t="n"/>
      <c r="F7" s="63" t="n"/>
    </row>
    <row r="8" ht="15" customHeight="1" s="35">
      <c r="B8" s="63" t="n"/>
      <c r="C8" s="63" t="n"/>
      <c r="D8" s="63" t="n"/>
      <c r="E8" s="63" t="n"/>
      <c r="F8" s="63" t="n"/>
    </row>
    <row r="9" ht="15" customHeight="1" s="35">
      <c r="B9" s="63" t="n"/>
      <c r="C9" s="63" t="n"/>
      <c r="D9" s="63" t="n"/>
      <c r="E9" s="63" t="n"/>
      <c r="F9" s="63" t="n"/>
    </row>
    <row r="10" ht="15" customHeight="1" s="35">
      <c r="B10" s="63" t="n"/>
      <c r="C10" s="63" t="n"/>
      <c r="D10" s="63" t="n"/>
      <c r="E10" s="63" t="n"/>
      <c r="F10" s="63" t="n"/>
    </row>
    <row r="11" ht="15" customHeight="1" s="35">
      <c r="B11" s="63" t="n"/>
      <c r="C11" s="63" t="n"/>
      <c r="D11" s="63" t="n"/>
      <c r="E11" s="63" t="n"/>
      <c r="F11" s="63" t="n"/>
    </row>
    <row r="12" ht="15" customHeight="1" s="35">
      <c r="B12" s="63" t="n"/>
      <c r="C12" s="63" t="n"/>
      <c r="D12" s="63" t="n"/>
      <c r="E12" s="63" t="n"/>
      <c r="F12" s="63" t="n"/>
    </row>
    <row r="13" ht="15" customHeight="1" s="35">
      <c r="B13" s="63" t="n"/>
      <c r="C13" s="63" t="n"/>
      <c r="D13" s="63" t="n"/>
      <c r="E13" s="63" t="n"/>
      <c r="F13" s="63" t="n"/>
    </row>
    <row r="14" ht="15" customHeight="1" s="35">
      <c r="B14" s="63" t="n"/>
      <c r="C14" s="63" t="n"/>
      <c r="D14" s="63" t="n"/>
      <c r="E14" s="63" t="n"/>
      <c r="F14" s="6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2026-08-04T18:30:40Z</dcterms:modified>
  <cp:revision>0</cp:revision>
</cp:coreProperties>
</file>