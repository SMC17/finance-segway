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Property Pro Forma" sheetId="5" state="visible" r:id="rId7"/>
    <sheet name="Lease Roll" sheetId="6" state="visible" r:id="rId8"/>
    <sheet name="Cap Rate &amp; Valuation" sheetId="7" state="visible" r:id="rId9"/>
    <sheet name="Debt Schedule" sheetId="8" state="visible" r:id="rId10"/>
    <sheet name="REIT FFO-AFFO" sheetId="9" state="visible" r:id="rId11"/>
    <sheet name="Decision &amp; Checks" sheetId="10" state="visible" r:id="rId12"/>
    <sheet name="5-Year Hold &amp; IRR" sheetId="11" state="visible" r:id="rId13"/>
    <sheet name="RefreshLog" sheetId="12" state="visible" r:id="rId14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<sst xmlns="http://schemas.openxmlformats.org/spreadsheetml/2006/main" count="307" uniqueCount="222">
  <si>
    <t xml:space="preserve">WeWork 2022 occupancy-economics and refinancing stress proxy</t>
  </si>
  <si>
    <t xml:space="preserve">Property type:</t>
  </si>
  <si>
    <t xml:space="preserve">Office / Multifamily / Industrial / Retail</t>
  </si>
  <si>
    <t xml:space="preserve">Location:</t>
  </si>
  <si>
    <t xml:space="preserve">[fill in]</t>
  </si>
  <si>
    <t xml:space="preserve">Last refreshed:</t>
  </si>
  <si>
    <t xml:space="preserve">2022-12-31</t>
  </si>
  <si>
    <t xml:space="preserve">Refresh cadence:</t>
  </si>
  <si>
    <t xml:space="preserve">Weekly</t>
  </si>
  <si>
    <t xml:space="preserve">Real Estate &amp; REIT — Institutional Decision Surface</t>
  </si>
  <si>
    <t xml:space="preserve">Model ID</t>
  </si>
  <si>
    <t xml:space="preserve">17</t>
  </si>
  <si>
    <t xml:space="preserve">Domain</t>
  </si>
  <si>
    <t xml:space="preserve">Real Estate &amp; REIT</t>
  </si>
  <si>
    <t xml:space="preserve">Declared maturity</t>
  </si>
  <si>
    <t xml:space="preserve">M2</t>
  </si>
  <si>
    <t xml:space="preserve">Canonical builder</t>
  </si>
  <si>
    <t xml:space="preserve">tools/builders/build_real_estate_release.py</t>
  </si>
  <si>
    <t xml:space="preserve">Decision arena</t>
  </si>
  <si>
    <t xml:space="preserve">acquisitions, asset management, leasing, lender and investment committee</t>
  </si>
  <si>
    <t xml:space="preserve">Committee artifact</t>
  </si>
  <si>
    <t xml:space="preserve">asset underwriting and business-plan pack</t>
  </si>
  <si>
    <t xml:space="preserve">Operating cadence</t>
  </si>
  <si>
    <t xml:space="preserve">monthly asset management; quarterly valuation; annual plan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</si>
  <si>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</si>
  <si>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</si>
  <si>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</si>
  <si>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</si>
  <si>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</si>
  <si>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</si>
  <si>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NOI and cash flow</t>
  </si>
  <si>
    <t xml:space="preserve">OPEN</t>
  </si>
  <si>
    <t xml:space="preserve">lease rollover and mark-to-market</t>
  </si>
  <si>
    <t xml:space="preserve">tenant improvements / leasing commissions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</si>
  <si>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</si>
  <si>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</si>
  <si>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</si>
  <si>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Which leases drive the next two years of cash?</t>
  </si>
  <si>
    <t xml:space="preserve">What downtime and TI/LC are required to re-lease?</t>
  </si>
  <si>
    <t xml:space="preserve">What NOI is truly stabilized?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</si>
  <si>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</si>
  <si>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</si>
  <si>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</si>
  <si>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occupancy and rent decline</t>
  </si>
  <si>
    <t xml:space="preserve">lease rollover concentration</t>
  </si>
  <si>
    <t xml:space="preserve">cap-rate expansion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</si>
  <si>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</si>
  <si>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</si>
  <si>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</si>
  <si>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rent roll and leases</t>
  </si>
  <si>
    <t xml:space="preserve">property operating statements</t>
  </si>
  <si>
    <t xml:space="preserve">engineering / PCA report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</si>
  <si>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</si>
  <si>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</si>
  <si>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</si>
  <si>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rent roll ties to revenue</t>
  </si>
  <si>
    <t xml:space="preserve">lease expirations reconcile</t>
  </si>
  <si>
    <t xml:space="preserve">NOI excludes capital items consistently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</si>
  <si>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</si>
  <si>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</si>
  <si>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</si>
  <si>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using average occupancy through a known rollover</t>
  </si>
  <si>
    <t xml:space="preserve">ignoring free rent and concessions</t>
  </si>
  <si>
    <t xml:space="preserve">capitalizing recurring operating costs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</si>
  <si>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</si>
  <si>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</si>
  <si>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</si>
  <si>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</si>
  <si>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</si>
  <si>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</si>
  <si>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</si>
  <si>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</si>
  <si>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</si>
  <si>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</si>
  <si>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</si>
  <si>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</si>
  <si>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SEC Rule 2a-5</t>
  </si>
  <si>
    <t xml:space="preserve">fair-value governance and testing</t>
  </si>
  <si>
    <t xml:space="preserve">https://www.sec.gov/files/rules/final/2020/ic-34128.pdf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</si>
  <si>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</si>
  <si>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</si>
  <si>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</si>
  <si>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</si>
  <si>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</si>
  <si>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</si>
  <si>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</si>
  <si>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</si>
  <si>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</si>
  <si>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</si>
  <si>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</si>
  <si>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</si>
  <si>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</si>
  <si>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</si>
  <si>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</si>
  <si>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</si>
  <si>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rent roll</t>
  </si>
  <si>
    <t xml:space="preserve">monthly</t>
  </si>
  <si>
    <t xml:space="preserve">lease-to-ledger tie</t>
  </si>
  <si>
    <t xml:space="preserve">TO MAP</t>
  </si>
  <si>
    <t xml:space="preserve">operating actuals</t>
  </si>
  <si>
    <t xml:space="preserve">property and GL mapping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</si>
  <si>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</si>
  <si>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</si>
  <si>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</si>
  <si>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</si>
  <si>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</si>
  <si>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</si>
  <si>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Property Pro Forma (annual, $)</t>
  </si>
  <si>
    <t xml:space="preserve">Gross potential rent</t>
  </si>
  <si>
    <t xml:space="preserve">Vacancy &amp; credit loss</t>
  </si>
  <si>
    <t xml:space="preserve">Effective gross income</t>
  </si>
  <si>
    <t xml:space="preserve">+ Other income (parking, fees)</t>
  </si>
  <si>
    <t xml:space="preserve">Total revenue</t>
  </si>
  <si>
    <t xml:space="preserve">Operating expenses (taxes, insurance, management, R&amp;M)</t>
  </si>
  <si>
    <t xml:space="preserve">Net Operating Income (NOI)</t>
  </si>
  <si>
    <t xml:space="preserve">Recurring capex reserve</t>
  </si>
  <si>
    <t xml:space="preserve">Debt service (P&amp;I)</t>
  </si>
  <si>
    <t xml:space="preserve">Cash flow before tax</t>
  </si>
  <si>
    <t xml:space="preserve">Lease Expiration, Renewal, Downtime, and Occupancy Roll</t>
  </si>
  <si>
    <t xml:space="preserve">Year</t>
  </si>
  <si>
    <t xml:space="preserve">Beginning annual rent</t>
  </si>
  <si>
    <t xml:space="preserve">Expiring rent %</t>
  </si>
  <si>
    <t xml:space="preserve">Renewal probability</t>
  </si>
  <si>
    <t xml:space="preserve">Renewal spread</t>
  </si>
  <si>
    <t xml:space="preserve">Downtime months</t>
  </si>
  <si>
    <t xml:space="preserve">Lost rent</t>
  </si>
  <si>
    <t xml:space="preserve">Renewed rent</t>
  </si>
  <si>
    <t xml:space="preserve">Ending annual rent</t>
  </si>
  <si>
    <t xml:space="preserve">Economic occupancy</t>
  </si>
  <si>
    <t xml:space="preserve">This roll deliberately separates contractual expiration, renewal probability, spread, and downtime; new-leasing assumptions must be added explicitly rather than hidden in rent growth.</t>
  </si>
  <si>
    <t xml:space="preserve">Cap Rate Valuation</t>
  </si>
  <si>
    <t xml:space="preserve">NOI (from pro forma)</t>
  </si>
  <si>
    <t xml:space="preserve">Market cap rate %</t>
  </si>
  <si>
    <t xml:space="preserve">Implied value (NOI / cap rate)</t>
  </si>
  <si>
    <t xml:space="preserve">Purchase price ($)</t>
  </si>
  <si>
    <t xml:space="preserve">Going-in cap rate (NOI / price)</t>
  </si>
  <si>
    <t xml:space="preserve">Debt amount</t>
  </si>
  <si>
    <t xml:space="preserve">Cash-on-cash return</t>
  </si>
  <si>
    <t xml:space="preserve">Property Debt Amortization and Coverage</t>
  </si>
  <si>
    <t xml:space="preserve">Interest rate</t>
  </si>
  <si>
    <t xml:space="preserve">Amortization term (years)</t>
  </si>
  <si>
    <t xml:space="preserve">Minimum DSCR</t>
  </si>
  <si>
    <t xml:space="preserve">Beginning debt</t>
  </si>
  <si>
    <t xml:space="preserve">Interest</t>
  </si>
  <si>
    <t xml:space="preserve">Principal</t>
  </si>
  <si>
    <t xml:space="preserve">Debt service</t>
  </si>
  <si>
    <t xml:space="preserve">Ending debt</t>
  </si>
  <si>
    <t xml:space="preserve">NOI</t>
  </si>
  <si>
    <t xml:space="preserve">DSCR</t>
  </si>
  <si>
    <t xml:space="preserve">Headroom</t>
  </si>
  <si>
    <t xml:space="preserve">REIT FFO / AFFO</t>
  </si>
  <si>
    <t xml:space="preserve">Net income (GAAP)</t>
  </si>
  <si>
    <t xml:space="preserve">+ Real estate depreciation &amp; amortization</t>
  </si>
  <si>
    <t xml:space="preserve">Gains on property sales</t>
  </si>
  <si>
    <t xml:space="preserve">FFO (Funds From Operations)</t>
  </si>
  <si>
    <t xml:space="preserve">Recurring capex / leasing costs</t>
  </si>
  <si>
    <t xml:space="preserve">Straight-line rent adjustment</t>
  </si>
  <si>
    <t xml:space="preserve">AFFO (Adjusted FFO)</t>
  </si>
  <si>
    <t xml:space="preserve">AFFO is non-GAAP and must disclose its definition and reconciliation; this implementation deducts recurring capex and straight-line rent.</t>
  </si>
  <si>
    <t xml:space="preserve">Shares/units outstanding</t>
  </si>
  <si>
    <t xml:space="preserve">FFO / share</t>
  </si>
  <si>
    <t xml:space="preserve">AFFO / share</t>
  </si>
  <si>
    <t xml:space="preserve">Real Estate / REIT Decision Dashboard and Independent Checks</t>
  </si>
  <si>
    <t xml:space="preserve">Check / decision</t>
  </si>
  <si>
    <t xml:space="preserve">Metric</t>
  </si>
  <si>
    <t xml:space="preserve">Interpretation / action</t>
  </si>
  <si>
    <t xml:space="preserve">NOI identity residual</t>
  </si>
  <si>
    <t xml:space="preserve">NOI must reconcile from gross rent through vacancy, other income, and operating expenses.</t>
  </si>
  <si>
    <t xml:space="preserve">FFO bridge residual</t>
  </si>
  <si>
    <t xml:space="preserve">FFO must reconcile from GAAP net income under the disclosed Nareit-style definition.</t>
  </si>
  <si>
    <t xml:space="preserve">AFFO bridge residual</t>
  </si>
  <si>
    <t xml:space="preserve">AFFO is non-GAAP; recurring capex and straight-line rent adjustments must be explicit.</t>
  </si>
  <si>
    <t xml:space="preserve">Minimum five-year DSCR</t>
  </si>
  <si>
    <t xml:space="preserve">Escalate covenant pressure and refinance dependency.</t>
  </si>
  <si>
    <t xml:space="preserve">Loan-to-value</t>
  </si>
  <si>
    <t xml:space="preserve">High leverage magnifies cap-rate and NOI shocks.</t>
  </si>
  <si>
    <t xml:space="preserve">Minimum economic occupancy</t>
  </si>
  <si>
    <t xml:space="preserve">Review tenant rollover, downtime, leasing costs, and concentration.</t>
  </si>
  <si>
    <t xml:space="preserve">Year-one levered cash flow</t>
  </si>
  <si>
    <t xml:space="preserve">Negative cash flow requires funded reserves or a restructuring plan.</t>
  </si>
  <si>
    <t xml:space="preserve">Exit cap spread vs going-in</t>
  </si>
  <si>
    <t xml:space="preserve">Cap-rate compression should never be an unchallenged base-case return driver.</t>
  </si>
  <si>
    <t xml:space="preserve">Overall model status</t>
  </si>
  <si>
    <t xml:space="preserve">Primary decision outputs</t>
  </si>
  <si>
    <t xml:space="preserve">Going-in cap rate</t>
  </si>
  <si>
    <t xml:space="preserve">Levered IRR</t>
  </si>
  <si>
    <t xml:space="preserve">Equity MOIC</t>
  </si>
  <si>
    <t xml:space="preserve">FFO</t>
  </si>
  <si>
    <t xml:space="preserve">AFFO</t>
  </si>
  <si>
    <t xml:space="preserve">5-Year Hold — Levered Cash Flow &amp; IRR</t>
  </si>
  <si>
    <t xml:space="preserve">Assumptions</t>
  </si>
  <si>
    <t xml:space="preserve">NOI growth rate (%/yr)</t>
  </si>
  <si>
    <t xml:space="preserve">Exit cap rate (%)</t>
  </si>
  <si>
    <t xml:space="preserve">Selling costs (% of exit value)</t>
  </si>
  <si>
    <t xml:space="preserve">Annual debt service ($, assumed constant / interest-only)</t>
  </si>
  <si>
    <t xml:space="preserve">Initial equity (purchase price - debt)</t>
  </si>
  <si>
    <t xml:space="preserve">Yr1</t>
  </si>
  <si>
    <t xml:space="preserve">Yr2</t>
  </si>
  <si>
    <t xml:space="preserve">Yr3</t>
  </si>
  <si>
    <t xml:space="preserve">Yr4</t>
  </si>
  <si>
    <t xml:space="preserve">Yr5</t>
  </si>
  <si>
    <t xml:space="preserve">Levered cash flow</t>
  </si>
  <si>
    <t xml:space="preserve">DSCR (NOI / debt service)</t>
  </si>
  <si>
    <t xml:space="preserve">Exit (end of Yr5)</t>
  </si>
  <si>
    <t xml:space="preserve">Forward NOI (Yr6, for exit cap)</t>
  </si>
  <si>
    <t xml:space="preserve">Exit value (forward NOI / exit cap rate)</t>
  </si>
  <si>
    <t xml:space="preserve">Less: selling costs</t>
  </si>
  <si>
    <t xml:space="preserve">Less: debt payoff (assumed interest-only, balance unchanged)</t>
  </si>
  <si>
    <t xml:space="preserve">Net exit equity proceeds</t>
  </si>
  <si>
    <t xml:space="preserve">Yr0</t>
  </si>
  <si>
    <t xml:space="preserve">Equity cash flow</t>
  </si>
  <si>
    <t xml:space="preserve">Equity multiple (MOIC)</t>
  </si>
  <si>
    <t xml:space="preserve">Refresh Log</t>
  </si>
  <si>
    <t xml:space="preserve">Trigger</t>
  </si>
  <si>
    <t xml:space="preserve">What changed</t>
  </si>
  <si>
    <t xml:space="preserve">Reviewer notes</t>
  </si>
  <si>
    <t xml:space="preserve">Next check</t>
  </si>
  <si>
    <t xml:space="preserve">2026-08-04</t>
  </si>
  <si>
    <t xml:space="preserve">External historical evidence materialization</t>
  </si>
  <si>
    <t xml:space="preserve">Generated public case real-estate-public-wework-2022-stress from canonical release template</t>
  </si>
  <si>
    <t xml:space="preserve">External historical case; human stakeholder approval remains pending</t>
  </si>
  <si>
    <t xml:space="preserve">On source revision, builder change, monitoring breach, or annual review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</si>
</sst>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;&quot;($&quot;#,##0\);\-"/>
    <numFmt numFmtId="166" formatCode="0.0%;\(0.0%\);\-"/>
    <numFmt numFmtId="167" formatCode="0.0"/>
    <numFmt numFmtId="168" formatCode="#,##0;\(#,##0\);\-"/>
    <numFmt numFmtId="169" formatCode="0.0\x"/>
    <numFmt numFmtId="170" formatCode="\$#,##0.00;&quot;($&quot;#,##0.0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D9D9D9"/>
      </patternFill>
    </fill>
    <fill>
      <patternFill patternType="solid">
        <fgColor rgb="FF1F4E78"/>
        <bgColor rgb="FF17365D"/>
      </patternFill>
    </fill>
    <fill>
      <patternFill patternType="solid">
        <fgColor rgb="FFD9D9D9"/>
        <bgColor rgb="FFD9EAF7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7B7B7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4"/>
  </cols>
  <sheetData>
    <row r="2" customFormat="false" ht="19.7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3" t="s">
        <v>4</v>
      </c>
    </row>
    <row r="6" customFormat="false" ht="15" hidden="false" customHeight="false" outlineLevel="0" collapsed="false">
      <c r="B6" s="2" t="s">
        <v>5</v>
      </c>
      <c r="C6" s="4" t="s">
        <v>6</v>
      </c>
    </row>
    <row r="7" customFormat="false" ht="15" hidden="false" customHeight="false" outlineLevel="0" collapsed="false">
      <c r="B7" s="2" t="s">
        <v>7</v>
      </c>
      <c r="C7" s="3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5" t="s">
        <v>9</v>
      </c>
      <c r="C2" s="5"/>
      <c r="D2" s="5"/>
      <c r="E2" s="5"/>
      <c r="F2" s="5"/>
    </row>
    <row r="4" customFormat="false" ht="15" hidden="false" customHeight="true" outlineLevel="0" collapsed="false">
      <c r="B4" s="6" t="s">
        <v>10</v>
      </c>
      <c r="C4" s="7" t="s">
        <v>11</v>
      </c>
      <c r="D4" s="7"/>
      <c r="E4" s="7"/>
      <c r="F4" s="7"/>
    </row>
    <row r="5" customFormat="false" ht="15" hidden="false" customHeight="true" outlineLevel="0" collapsed="false">
      <c r="B5" s="6" t="s">
        <v>12</v>
      </c>
      <c r="C5" s="7" t="s">
        <v>13</v>
      </c>
      <c r="D5" s="7"/>
      <c r="E5" s="7"/>
      <c r="F5" s="7"/>
    </row>
    <row r="6" customFormat="false" ht="15" hidden="false" customHeight="true" outlineLevel="0" collapsed="false">
      <c r="B6" s="6" t="s">
        <v>14</v>
      </c>
      <c r="C6" s="7" t="s">
        <v>15</v>
      </c>
      <c r="D6" s="7"/>
      <c r="E6" s="7"/>
      <c r="F6" s="7"/>
    </row>
    <row r="7" customFormat="false" ht="15" hidden="false" customHeight="true" outlineLevel="0" collapsed="false">
      <c r="B7" s="6" t="s">
        <v>16</v>
      </c>
      <c r="C7" s="7" t="s">
        <v>17</v>
      </c>
      <c r="D7" s="7"/>
      <c r="E7" s="7"/>
      <c r="F7" s="7"/>
    </row>
    <row r="8" customFormat="false" ht="15" hidden="false" customHeight="true" outlineLevel="0" collapsed="false">
      <c r="B8" s="6" t="s">
        <v>18</v>
      </c>
      <c r="C8" s="7" t="s">
        <v>19</v>
      </c>
      <c r="D8" s="7"/>
      <c r="E8" s="7"/>
      <c r="F8" s="7"/>
    </row>
    <row r="9" customFormat="false" ht="15" hidden="false" customHeight="true" outlineLevel="0" collapsed="false">
      <c r="B9" s="6" t="s">
        <v>20</v>
      </c>
      <c r="C9" s="7" t="s">
        <v>21</v>
      </c>
      <c r="D9" s="7"/>
      <c r="E9" s="7"/>
      <c r="F9" s="7"/>
    </row>
    <row r="10" customFormat="false" ht="15" hidden="false" customHeight="true" outlineLevel="0" collapsed="false">
      <c r="B10" s="6" t="s">
        <v>22</v>
      </c>
      <c r="C10" s="7" t="s">
        <v>23</v>
      </c>
      <c r="D10" s="7"/>
      <c r="E10" s="7"/>
      <c r="F10" s="7"/>
    </row>
    <row r="12" customFormat="false" ht="15" hidden="false" customHeight="false" outlineLevel="0" collapsed="false">
      <c r="B12" s="8" t="s">
        <v>24</v>
      </c>
      <c r="C12" s="8"/>
      <c r="D12" s="8"/>
      <c r="E12" s="8"/>
      <c r="F12" s="8"/>
    </row>
    <row r="13" customFormat="false" ht="15" hidden="false" customHeight="false" outlineLevel="0" collapsed="false">
      <c r="B13" s="9" t="s">
        <v>25</v>
      </c>
      <c r="C13" s="9" t="s">
        <v>26</v>
      </c>
      <c r="D13" s="9" t="s">
        <v>27</v>
      </c>
      <c r="E13" s="9" t="s">
        <v>28</v>
      </c>
      <c r="F13" s="9" t="s">
        <v>29</v>
      </c>
    </row>
    <row r="14" customFormat="false" ht="15" hidden="false" customHeight="false" outlineLevel="0" collapsed="false">
      <c r="B14" s="0" t="n">
        <v>1</v>
      </c>
      <c r="C14" s="0" t="s">
        <v>30</v>
      </c>
      <c r="F14" s="10" t="s">
        <v>31</v>
      </c>
    </row>
    <row r="15" customFormat="false" ht="15" hidden="false" customHeight="false" outlineLevel="0" collapsed="false">
      <c r="B15" s="0" t="n">
        <v>2</v>
      </c>
      <c r="C15" s="0" t="s">
        <v>32</v>
      </c>
      <c r="F15" s="10" t="s">
        <v>31</v>
      </c>
    </row>
    <row r="16" customFormat="false" ht="15" hidden="false" customHeight="false" outlineLevel="0" collapsed="false">
      <c r="B16" s="0" t="n">
        <v>3</v>
      </c>
      <c r="C16" s="0" t="s">
        <v>33</v>
      </c>
      <c r="F16" s="10" t="s">
        <v>31</v>
      </c>
    </row>
    <row r="17" customFormat="false" ht="15" hidden="false" customHeight="false" outlineLevel="0" collapsed="false">
      <c r="B17" s="0" t="n">
        <v>4</v>
      </c>
      <c r="C17" s="0" t="s">
        <v>34</v>
      </c>
      <c r="F17" s="10" t="s">
        <v>31</v>
      </c>
    </row>
    <row r="18" customFormat="false" ht="15" hidden="false" customHeight="false" outlineLevel="0" collapsed="false">
      <c r="B18" s="0" t="n">
        <v>5</v>
      </c>
      <c r="C18" s="0" t="s">
        <v>35</v>
      </c>
      <c r="F18" s="10" t="s">
        <v>31</v>
      </c>
    </row>
    <row r="20" customFormat="false" ht="15" hidden="false" customHeight="false" outlineLevel="0" collapsed="false">
      <c r="B20" s="8" t="s">
        <v>36</v>
      </c>
      <c r="C20" s="8"/>
      <c r="D20" s="8"/>
      <c r="E20" s="8"/>
      <c r="F20" s="8"/>
    </row>
    <row r="21" customFormat="false" ht="15" hidden="false" customHeight="false" outlineLevel="0" collapsed="false">
      <c r="B21" s="9" t="s">
        <v>25</v>
      </c>
      <c r="C21" s="9" t="s">
        <v>26</v>
      </c>
      <c r="D21" s="9" t="s">
        <v>27</v>
      </c>
      <c r="E21" s="9" t="s">
        <v>28</v>
      </c>
      <c r="F21" s="9" t="s">
        <v>29</v>
      </c>
    </row>
    <row r="22" customFormat="false" ht="15" hidden="false" customHeight="false" outlineLevel="0" collapsed="false">
      <c r="B22" s="0" t="n">
        <v>1</v>
      </c>
      <c r="C22" s="0" t="s">
        <v>37</v>
      </c>
      <c r="F22" s="10" t="s">
        <v>31</v>
      </c>
    </row>
    <row r="23" customFormat="false" ht="15" hidden="false" customHeight="false" outlineLevel="0" collapsed="false">
      <c r="B23" s="0" t="n">
        <v>2</v>
      </c>
      <c r="C23" s="0" t="s">
        <v>38</v>
      </c>
      <c r="F23" s="10" t="s">
        <v>31</v>
      </c>
    </row>
    <row r="24" customFormat="false" ht="15" hidden="false" customHeight="false" outlineLevel="0" collapsed="false">
      <c r="B24" s="0" t="n">
        <v>3</v>
      </c>
      <c r="C24" s="0" t="s">
        <v>39</v>
      </c>
      <c r="F24" s="10" t="s">
        <v>31</v>
      </c>
    </row>
    <row r="25" customFormat="false" ht="15" hidden="false" customHeight="false" outlineLevel="0" collapsed="false">
      <c r="B25" s="0" t="n">
        <v>4</v>
      </c>
      <c r="C25" s="0" t="s">
        <v>40</v>
      </c>
      <c r="F25" s="10" t="s">
        <v>31</v>
      </c>
    </row>
    <row r="26" customFormat="false" ht="15" hidden="false" customHeight="false" outlineLevel="0" collapsed="false">
      <c r="B26" s="0" t="n">
        <v>5</v>
      </c>
      <c r="C26" s="0" t="s">
        <v>41</v>
      </c>
      <c r="F26" s="10" t="s">
        <v>31</v>
      </c>
    </row>
    <row r="28" customFormat="false" ht="15" hidden="false" customHeight="false" outlineLevel="0" collapsed="false">
      <c r="B28" s="8" t="s">
        <v>42</v>
      </c>
      <c r="C28" s="8"/>
      <c r="D28" s="8"/>
      <c r="E28" s="8"/>
      <c r="F28" s="8"/>
    </row>
    <row r="29" customFormat="false" ht="15" hidden="false" customHeight="false" outlineLevel="0" collapsed="false">
      <c r="B29" s="9" t="s">
        <v>25</v>
      </c>
      <c r="C29" s="9" t="s">
        <v>26</v>
      </c>
      <c r="D29" s="9" t="s">
        <v>27</v>
      </c>
      <c r="E29" s="9" t="s">
        <v>28</v>
      </c>
      <c r="F29" s="9" t="s">
        <v>29</v>
      </c>
    </row>
    <row r="30" customFormat="false" ht="15" hidden="false" customHeight="false" outlineLevel="0" collapsed="false">
      <c r="B30" s="0" t="n">
        <v>1</v>
      </c>
      <c r="C30" s="0" t="s">
        <v>43</v>
      </c>
      <c r="F30" s="10" t="s">
        <v>31</v>
      </c>
    </row>
    <row r="31" customFormat="false" ht="15" hidden="false" customHeight="false" outlineLevel="0" collapsed="false">
      <c r="B31" s="0" t="n">
        <v>2</v>
      </c>
      <c r="C31" s="0" t="s">
        <v>44</v>
      </c>
      <c r="F31" s="10" t="s">
        <v>31</v>
      </c>
    </row>
    <row r="32" customFormat="false" ht="15" hidden="false" customHeight="false" outlineLevel="0" collapsed="false">
      <c r="B32" s="0" t="n">
        <v>3</v>
      </c>
      <c r="C32" s="0" t="s">
        <v>45</v>
      </c>
      <c r="F32" s="10" t="s">
        <v>31</v>
      </c>
    </row>
    <row r="33" customFormat="false" ht="15" hidden="false" customHeight="false" outlineLevel="0" collapsed="false">
      <c r="B33" s="0" t="n">
        <v>4</v>
      </c>
      <c r="C33" s="0" t="s">
        <v>46</v>
      </c>
      <c r="F33" s="10" t="s">
        <v>31</v>
      </c>
    </row>
    <row r="34" customFormat="false" ht="15" hidden="false" customHeight="false" outlineLevel="0" collapsed="false">
      <c r="B34" s="0" t="n">
        <v>5</v>
      </c>
      <c r="C34" s="0" t="s">
        <v>47</v>
      </c>
      <c r="F34" s="10" t="s">
        <v>31</v>
      </c>
    </row>
    <row r="36" customFormat="false" ht="15" hidden="false" customHeight="false" outlineLevel="0" collapsed="false">
      <c r="B36" s="8" t="s">
        <v>48</v>
      </c>
      <c r="C36" s="8"/>
      <c r="D36" s="8"/>
      <c r="E36" s="8"/>
      <c r="F36" s="8"/>
    </row>
    <row r="37" customFormat="false" ht="15" hidden="false" customHeight="false" outlineLevel="0" collapsed="false">
      <c r="B37" s="9" t="s">
        <v>25</v>
      </c>
      <c r="C37" s="9" t="s">
        <v>26</v>
      </c>
      <c r="D37" s="9" t="s">
        <v>27</v>
      </c>
      <c r="E37" s="9" t="s">
        <v>28</v>
      </c>
      <c r="F37" s="9" t="s">
        <v>29</v>
      </c>
    </row>
    <row r="38" customFormat="false" ht="15" hidden="false" customHeight="false" outlineLevel="0" collapsed="false">
      <c r="B38" s="0" t="n">
        <v>1</v>
      </c>
      <c r="C38" s="0" t="s">
        <v>49</v>
      </c>
      <c r="F38" s="10" t="s">
        <v>31</v>
      </c>
    </row>
    <row r="39" customFormat="false" ht="15" hidden="false" customHeight="false" outlineLevel="0" collapsed="false">
      <c r="B39" s="0" t="n">
        <v>2</v>
      </c>
      <c r="C39" s="0" t="s">
        <v>50</v>
      </c>
      <c r="F39" s="10" t="s">
        <v>31</v>
      </c>
    </row>
    <row r="40" customFormat="false" ht="15" hidden="false" customHeight="false" outlineLevel="0" collapsed="false">
      <c r="B40" s="0" t="n">
        <v>3</v>
      </c>
      <c r="C40" s="0" t="s">
        <v>51</v>
      </c>
      <c r="F40" s="10" t="s">
        <v>31</v>
      </c>
    </row>
    <row r="41" customFormat="false" ht="15" hidden="false" customHeight="false" outlineLevel="0" collapsed="false">
      <c r="B41" s="0" t="n">
        <v>4</v>
      </c>
      <c r="C41" s="0" t="s">
        <v>52</v>
      </c>
      <c r="F41" s="10" t="s">
        <v>31</v>
      </c>
    </row>
    <row r="42" customFormat="false" ht="15" hidden="false" customHeight="false" outlineLevel="0" collapsed="false">
      <c r="B42" s="0" t="n">
        <v>5</v>
      </c>
      <c r="C42" s="0" t="s">
        <v>53</v>
      </c>
      <c r="F42" s="10" t="s">
        <v>31</v>
      </c>
    </row>
    <row r="44" customFormat="false" ht="15" hidden="false" customHeight="false" outlineLevel="0" collapsed="false">
      <c r="B44" s="8" t="s">
        <v>54</v>
      </c>
      <c r="C44" s="8"/>
      <c r="D44" s="8"/>
      <c r="E44" s="8"/>
      <c r="F44" s="8"/>
    </row>
    <row r="45" customFormat="false" ht="15" hidden="false" customHeight="false" outlineLevel="0" collapsed="false">
      <c r="B45" s="9" t="s">
        <v>25</v>
      </c>
      <c r="C45" s="9" t="s">
        <v>26</v>
      </c>
      <c r="D45" s="9" t="s">
        <v>27</v>
      </c>
      <c r="E45" s="9" t="s">
        <v>28</v>
      </c>
      <c r="F45" s="9" t="s">
        <v>29</v>
      </c>
    </row>
    <row r="46" customFormat="false" ht="15" hidden="false" customHeight="false" outlineLevel="0" collapsed="false">
      <c r="B46" s="0" t="n">
        <v>1</v>
      </c>
      <c r="C46" s="0" t="s">
        <v>55</v>
      </c>
      <c r="F46" s="10" t="s">
        <v>31</v>
      </c>
    </row>
    <row r="47" customFormat="false" ht="15" hidden="false" customHeight="false" outlineLevel="0" collapsed="false">
      <c r="B47" s="0" t="n">
        <v>2</v>
      </c>
      <c r="C47" s="0" t="s">
        <v>56</v>
      </c>
      <c r="F47" s="10" t="s">
        <v>31</v>
      </c>
    </row>
    <row r="48" customFormat="false" ht="15" hidden="false" customHeight="false" outlineLevel="0" collapsed="false">
      <c r="B48" s="0" t="n">
        <v>3</v>
      </c>
      <c r="C48" s="0" t="s">
        <v>57</v>
      </c>
      <c r="F48" s="10" t="s">
        <v>31</v>
      </c>
    </row>
    <row r="49" customFormat="false" ht="15" hidden="false" customHeight="false" outlineLevel="0" collapsed="false">
      <c r="B49" s="0" t="n">
        <v>4</v>
      </c>
      <c r="C49" s="0" t="s">
        <v>58</v>
      </c>
      <c r="F49" s="10" t="s">
        <v>31</v>
      </c>
    </row>
    <row r="50" customFormat="false" ht="15" hidden="false" customHeight="false" outlineLevel="0" collapsed="false">
      <c r="B50" s="0" t="n">
        <v>5</v>
      </c>
      <c r="C50" s="0" t="s">
        <v>59</v>
      </c>
      <c r="F50" s="10" t="s">
        <v>31</v>
      </c>
    </row>
    <row r="52" customFormat="false" ht="15" hidden="false" customHeight="false" outlineLevel="0" collapsed="false">
      <c r="B52" s="8" t="s">
        <v>60</v>
      </c>
      <c r="C52" s="8"/>
      <c r="D52" s="8"/>
      <c r="E52" s="8"/>
      <c r="F52" s="8"/>
    </row>
    <row r="53" customFormat="false" ht="15" hidden="false" customHeight="false" outlineLevel="0" collapsed="false">
      <c r="B53" s="9" t="s">
        <v>25</v>
      </c>
      <c r="C53" s="9" t="s">
        <v>26</v>
      </c>
      <c r="D53" s="9" t="s">
        <v>27</v>
      </c>
      <c r="E53" s="9" t="s">
        <v>28</v>
      </c>
      <c r="F53" s="9" t="s">
        <v>29</v>
      </c>
    </row>
    <row r="54" customFormat="false" ht="15" hidden="false" customHeight="false" outlineLevel="0" collapsed="false">
      <c r="B54" s="0" t="n">
        <v>1</v>
      </c>
      <c r="C54" s="0" t="s">
        <v>61</v>
      </c>
      <c r="F54" s="10" t="s">
        <v>31</v>
      </c>
    </row>
    <row r="55" customFormat="false" ht="15" hidden="false" customHeight="false" outlineLevel="0" collapsed="false">
      <c r="B55" s="0" t="n">
        <v>2</v>
      </c>
      <c r="C55" s="0" t="s">
        <v>62</v>
      </c>
      <c r="F55" s="10" t="s">
        <v>31</v>
      </c>
    </row>
    <row r="56" customFormat="false" ht="15" hidden="false" customHeight="false" outlineLevel="0" collapsed="false">
      <c r="B56" s="0" t="n">
        <v>3</v>
      </c>
      <c r="C56" s="0" t="s">
        <v>63</v>
      </c>
      <c r="F56" s="10" t="s">
        <v>31</v>
      </c>
    </row>
    <row r="57" customFormat="false" ht="15" hidden="false" customHeight="false" outlineLevel="0" collapsed="false">
      <c r="B57" s="0" t="n">
        <v>4</v>
      </c>
      <c r="C57" s="0" t="s">
        <v>64</v>
      </c>
      <c r="F57" s="10" t="s">
        <v>31</v>
      </c>
    </row>
    <row r="58" customFormat="false" ht="15" hidden="false" customHeight="false" outlineLevel="0" collapsed="false">
      <c r="B58" s="0" t="n">
        <v>5</v>
      </c>
      <c r="C58" s="0" t="s">
        <v>65</v>
      </c>
      <c r="F58" s="10" t="s">
        <v>31</v>
      </c>
    </row>
    <row r="60" customFormat="false" ht="15" hidden="false" customHeight="false" outlineLevel="0" collapsed="false">
      <c r="B60" s="8" t="s">
        <v>66</v>
      </c>
      <c r="C60" s="8"/>
      <c r="D60" s="8"/>
      <c r="E60" s="8"/>
      <c r="F60" s="8"/>
    </row>
    <row r="61" customFormat="false" ht="15" hidden="false" customHeight="false" outlineLevel="0" collapsed="false">
      <c r="B61" s="9" t="s">
        <v>67</v>
      </c>
      <c r="C61" s="9" t="s">
        <v>68</v>
      </c>
      <c r="D61" s="9" t="s">
        <v>69</v>
      </c>
      <c r="E61" s="9" t="s">
        <v>70</v>
      </c>
      <c r="F61" s="9" t="s">
        <v>71</v>
      </c>
    </row>
    <row r="62" customFormat="false" ht="15" hidden="false" customHeight="false" outlineLevel="0" collapsed="false">
      <c r="B62" s="0" t="s">
        <v>72</v>
      </c>
      <c r="C62" s="0" t="s">
        <v>73</v>
      </c>
      <c r="D62" s="0" t="s">
        <v>74</v>
      </c>
      <c r="E62" s="0" t="s">
        <v>75</v>
      </c>
    </row>
    <row r="63" customFormat="false" ht="15" hidden="false" customHeight="false" outlineLevel="0" collapsed="false">
      <c r="B63" s="0" t="s">
        <v>76</v>
      </c>
      <c r="C63" s="0" t="s">
        <v>77</v>
      </c>
      <c r="D63" s="0" t="s">
        <v>78</v>
      </c>
      <c r="E63" s="0" t="s">
        <v>75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5" t="s">
        <v>79</v>
      </c>
      <c r="C2" s="5"/>
      <c r="D2" s="5"/>
      <c r="E2" s="5"/>
      <c r="F2" s="5"/>
      <c r="G2" s="5"/>
      <c r="H2" s="5"/>
      <c r="I2" s="5"/>
    </row>
    <row r="4" customFormat="false" ht="15" hidden="false" customHeight="false" outlineLevel="0" collapsed="false">
      <c r="B4" s="9" t="s">
        <v>80</v>
      </c>
      <c r="C4" s="9" t="s">
        <v>81</v>
      </c>
      <c r="D4" s="9" t="s">
        <v>82</v>
      </c>
      <c r="E4" s="9" t="s">
        <v>83</v>
      </c>
      <c r="F4" s="9" t="s">
        <v>84</v>
      </c>
      <c r="G4" s="9" t="s">
        <v>85</v>
      </c>
      <c r="H4" s="9" t="s">
        <v>29</v>
      </c>
      <c r="I4" s="9" t="s">
        <v>86</v>
      </c>
    </row>
    <row r="5" customFormat="false" ht="15" hidden="false" customHeight="false" outlineLevel="0" collapsed="false">
      <c r="D5" s="0" t="s">
        <v>55</v>
      </c>
      <c r="H5" s="10" t="s">
        <v>31</v>
      </c>
    </row>
    <row r="6" customFormat="false" ht="15" hidden="false" customHeight="false" outlineLevel="0" collapsed="false">
      <c r="D6" s="0" t="s">
        <v>56</v>
      </c>
      <c r="H6" s="10" t="s">
        <v>31</v>
      </c>
    </row>
    <row r="7" customFormat="false" ht="15" hidden="false" customHeight="false" outlineLevel="0" collapsed="false">
      <c r="D7" s="0" t="s">
        <v>57</v>
      </c>
      <c r="H7" s="10" t="s">
        <v>31</v>
      </c>
    </row>
    <row r="8" customFormat="false" ht="15" hidden="false" customHeight="false" outlineLevel="0" collapsed="false">
      <c r="D8" s="0" t="s">
        <v>58</v>
      </c>
      <c r="H8" s="10" t="s">
        <v>31</v>
      </c>
    </row>
    <row r="9" customFormat="false" ht="15" hidden="false" customHeight="false" outlineLevel="0" collapsed="false">
      <c r="D9" s="0" t="s">
        <v>59</v>
      </c>
      <c r="H9" s="10" t="s">
        <v>31</v>
      </c>
    </row>
    <row r="10" customFormat="false" ht="15" hidden="false" customHeight="false" outlineLevel="0" collapsed="false">
      <c r="H10" s="10"/>
    </row>
    <row r="11" customFormat="false" ht="15" hidden="false" customHeight="false" outlineLevel="0" collapsed="false">
      <c r="H11" s="10"/>
    </row>
    <row r="12" customFormat="false" ht="15" hidden="false" customHeight="false" outlineLevel="0" collapsed="false">
      <c r="H12" s="10"/>
    </row>
    <row r="13" customFormat="false" ht="15" hidden="false" customHeight="false" outlineLevel="0" collapsed="false">
      <c r="H13" s="10"/>
    </row>
    <row r="14" customFormat="false" ht="15" hidden="false" customHeight="false" outlineLevel="0" collapsed="false">
      <c r="H14" s="10"/>
    </row>
    <row r="15" customFormat="false" ht="15" hidden="false" customHeight="false" outlineLevel="0" collapsed="false">
      <c r="H15" s="10"/>
    </row>
    <row r="16" customFormat="false" ht="15" hidden="false" customHeight="false" outlineLevel="0" collapsed="false">
      <c r="H16" s="10"/>
    </row>
    <row r="17" customFormat="false" ht="15" hidden="false" customHeight="false" outlineLevel="0" collapsed="false">
      <c r="H17" s="10"/>
    </row>
    <row r="18" customFormat="false" ht="15" hidden="false" customHeight="false" outlineLevel="0" collapsed="false">
      <c r="H18" s="10"/>
    </row>
    <row r="19" customFormat="false" ht="15" hidden="false" customHeight="false" outlineLevel="0" collapsed="false">
      <c r="H19" s="10"/>
    </row>
    <row r="20" customFormat="false" ht="15" hidden="false" customHeight="false" outlineLevel="0" collapsed="false">
      <c r="H20" s="10"/>
    </row>
    <row r="21" customFormat="false" ht="15" hidden="false" customHeight="false" outlineLevel="0" collapsed="false">
      <c r="H21" s="10"/>
    </row>
    <row r="22" customFormat="false" ht="15" hidden="false" customHeight="false" outlineLevel="0" collapsed="false">
      <c r="H22" s="10"/>
    </row>
    <row r="23" customFormat="false" ht="15" hidden="false" customHeight="false" outlineLevel="0" collapsed="false">
      <c r="H23" s="10"/>
    </row>
    <row r="24" customFormat="false" ht="15" hidden="false" customHeight="false" outlineLevel="0" collapsed="false">
      <c r="H24" s="10"/>
    </row>
    <row r="25" customFormat="false" ht="15" hidden="false" customHeight="false" outlineLevel="0" collapsed="false">
      <c r="H25" s="10"/>
    </row>
    <row r="26" customFormat="false" ht="15" hidden="false" customHeight="false" outlineLevel="0" collapsed="false">
      <c r="H26" s="10"/>
    </row>
    <row r="27" customFormat="false" ht="15" hidden="false" customHeight="false" outlineLevel="0" collapsed="false">
      <c r="H27" s="10"/>
    </row>
    <row r="28" customFormat="false" ht="15" hidden="false" customHeight="false" outlineLevel="0" collapsed="false">
      <c r="H28" s="10"/>
    </row>
    <row r="29" customFormat="false" ht="15" hidden="false" customHeight="false" outlineLevel="0" collapsed="false">
      <c r="H29" s="10"/>
    </row>
    <row r="30" customFormat="false" ht="15" hidden="false" customHeight="false" outlineLevel="0" collapsed="false">
      <c r="H30" s="10"/>
    </row>
    <row r="31" customFormat="false" ht="15" hidden="false" customHeight="false" outlineLevel="0" collapsed="false">
      <c r="H31" s="10"/>
    </row>
    <row r="32" customFormat="false" ht="15" hidden="false" customHeight="false" outlineLevel="0" collapsed="false">
      <c r="H32" s="10"/>
    </row>
    <row r="33" customFormat="false" ht="15" hidden="false" customHeight="false" outlineLevel="0" collapsed="false">
      <c r="H33" s="10"/>
    </row>
    <row r="34" customFormat="false" ht="15" hidden="false" customHeight="false" outlineLevel="0" collapsed="false">
      <c r="H34" s="10"/>
    </row>
    <row r="35" customFormat="false" ht="15" hidden="false" customHeight="false" outlineLevel="0" collapsed="false">
      <c r="H35" s="10"/>
    </row>
    <row r="36" customFormat="false" ht="15" hidden="false" customHeight="false" outlineLevel="0" collapsed="false">
      <c r="H36" s="10"/>
    </row>
    <row r="37" customFormat="false" ht="15" hidden="false" customHeight="false" outlineLevel="0" collapsed="false">
      <c r="H37" s="10"/>
    </row>
    <row r="38" customFormat="false" ht="15" hidden="false" customHeight="false" outlineLevel="0" collapsed="false">
      <c r="H38" s="10"/>
    </row>
    <row r="39" customFormat="false" ht="15" hidden="false" customHeight="false" outlineLevel="0" collapsed="false">
      <c r="H39" s="10"/>
    </row>
    <row r="40" customFormat="false" ht="15" hidden="false" customHeight="false" outlineLevel="0" collapsed="false">
      <c r="H40" s="10"/>
    </row>
    <row r="41" customFormat="false" ht="15" hidden="false" customHeight="false" outlineLevel="0" collapsed="false">
      <c r="H41" s="10"/>
    </row>
    <row r="42" customFormat="false" ht="15" hidden="false" customHeight="false" outlineLevel="0" collapsed="false">
      <c r="H42" s="10"/>
    </row>
    <row r="43" customFormat="false" ht="15" hidden="false" customHeight="false" outlineLevel="0" collapsed="false">
      <c r="H43" s="10"/>
    </row>
    <row r="44" customFormat="false" ht="15" hidden="false" customHeight="false" outlineLevel="0" collapsed="false">
      <c r="H44" s="10"/>
    </row>
    <row r="45" customFormat="false" ht="15" hidden="false" customHeight="false" outlineLevel="0" collapsed="false">
      <c r="H45" s="10"/>
    </row>
    <row r="46" customFormat="false" ht="15" hidden="false" customHeight="false" outlineLevel="0" collapsed="false">
      <c r="H46" s="10"/>
    </row>
    <row r="47" customFormat="false" ht="15" hidden="false" customHeight="false" outlineLevel="0" collapsed="false">
      <c r="H47" s="10"/>
    </row>
    <row r="48" customFormat="false" ht="15" hidden="false" customHeight="false" outlineLevel="0" collapsed="false">
      <c r="H48" s="10"/>
    </row>
    <row r="49" customFormat="false" ht="15" hidden="false" customHeight="false" outlineLevel="0" collapsed="false">
      <c r="H49" s="10"/>
    </row>
    <row r="50" customFormat="false" ht="15" hidden="false" customHeight="false" outlineLevel="0" collapsed="false">
      <c r="H50" s="10"/>
    </row>
    <row r="51" customFormat="false" ht="15" hidden="false" customHeight="false" outlineLevel="0" collapsed="false">
      <c r="H51" s="10"/>
    </row>
    <row r="52" customFormat="false" ht="15" hidden="false" customHeight="false" outlineLevel="0" collapsed="false">
      <c r="H52" s="10"/>
    </row>
    <row r="53" customFormat="false" ht="15" hidden="false" customHeight="false" outlineLevel="0" collapsed="false">
      <c r="H53" s="10"/>
    </row>
    <row r="54" customFormat="false" ht="15" hidden="false" customHeight="false" outlineLevel="0" collapsed="false">
      <c r="H54" s="10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5" t="s">
        <v>87</v>
      </c>
      <c r="C2" s="5"/>
      <c r="D2" s="5"/>
      <c r="E2" s="5"/>
      <c r="F2" s="5"/>
      <c r="G2" s="5"/>
      <c r="H2" s="5"/>
      <c r="I2" s="5"/>
      <c r="J2" s="5"/>
    </row>
    <row r="4" customFormat="false" ht="15" hidden="false" customHeight="false" outlineLevel="0" collapsed="false">
      <c r="B4" s="9" t="s">
        <v>88</v>
      </c>
      <c r="C4" s="9" t="s">
        <v>89</v>
      </c>
      <c r="D4" s="9" t="s">
        <v>90</v>
      </c>
      <c r="E4" s="9" t="s">
        <v>91</v>
      </c>
      <c r="F4" s="9" t="s">
        <v>92</v>
      </c>
      <c r="G4" s="9" t="s">
        <v>27</v>
      </c>
      <c r="H4" s="9" t="s">
        <v>93</v>
      </c>
      <c r="I4" s="9" t="s">
        <v>94</v>
      </c>
      <c r="J4" s="9" t="s">
        <v>29</v>
      </c>
    </row>
    <row r="5" customFormat="false" ht="15" hidden="false" customHeight="false" outlineLevel="0" collapsed="false">
      <c r="B5" s="0" t="s">
        <v>95</v>
      </c>
      <c r="C5" s="0" t="s">
        <v>96</v>
      </c>
      <c r="D5" s="0" t="s">
        <v>97</v>
      </c>
      <c r="J5" s="10" t="s">
        <v>98</v>
      </c>
    </row>
    <row r="6" customFormat="false" ht="15" hidden="false" customHeight="false" outlineLevel="0" collapsed="false">
      <c r="B6" s="0" t="s">
        <v>99</v>
      </c>
      <c r="C6" s="0" t="s">
        <v>96</v>
      </c>
      <c r="D6" s="0" t="s">
        <v>100</v>
      </c>
      <c r="J6" s="10" t="s">
        <v>98</v>
      </c>
    </row>
    <row r="7" customFormat="false" ht="15" hidden="false" customHeight="false" outlineLevel="0" collapsed="false">
      <c r="B7" s="0" t="s">
        <v>101</v>
      </c>
      <c r="C7" s="0" t="s">
        <v>102</v>
      </c>
      <c r="D7" s="0" t="s">
        <v>103</v>
      </c>
      <c r="J7" s="10" t="s">
        <v>98</v>
      </c>
    </row>
    <row r="8" customFormat="false" ht="15" hidden="false" customHeight="false" outlineLevel="0" collapsed="false">
      <c r="B8" s="0" t="s">
        <v>104</v>
      </c>
      <c r="C8" s="0" t="s">
        <v>105</v>
      </c>
      <c r="D8" s="0" t="s">
        <v>106</v>
      </c>
      <c r="J8" s="10" t="s">
        <v>98</v>
      </c>
    </row>
    <row r="9" customFormat="false" ht="15" hidden="false" customHeight="false" outlineLevel="0" collapsed="false">
      <c r="J9" s="10"/>
    </row>
    <row r="10" customFormat="false" ht="15" hidden="false" customHeight="false" outlineLevel="0" collapsed="false">
      <c r="J10" s="10"/>
    </row>
    <row r="11" customFormat="false" ht="15" hidden="false" customHeight="false" outlineLevel="0" collapsed="false">
      <c r="J11" s="10"/>
    </row>
    <row r="12" customFormat="false" ht="15" hidden="false" customHeight="false" outlineLevel="0" collapsed="false">
      <c r="J12" s="10"/>
    </row>
    <row r="13" customFormat="false" ht="15" hidden="false" customHeight="false" outlineLevel="0" collapsed="false">
      <c r="J13" s="10"/>
    </row>
    <row r="14" customFormat="false" ht="15" hidden="false" customHeight="false" outlineLevel="0" collapsed="false">
      <c r="J14" s="10"/>
    </row>
    <row r="15" customFormat="false" ht="15" hidden="false" customHeight="false" outlineLevel="0" collapsed="false">
      <c r="J15" s="10"/>
    </row>
    <row r="16" customFormat="false" ht="15" hidden="false" customHeight="false" outlineLevel="0" collapsed="false">
      <c r="J16" s="10"/>
    </row>
    <row r="17" customFormat="false" ht="15" hidden="false" customHeight="false" outlineLevel="0" collapsed="false">
      <c r="J17" s="10"/>
    </row>
    <row r="18" customFormat="false" ht="15" hidden="false" customHeight="false" outlineLevel="0" collapsed="false">
      <c r="J18" s="10"/>
    </row>
    <row r="19" customFormat="false" ht="15" hidden="false" customHeight="false" outlineLevel="0" collapsed="false">
      <c r="J19" s="10"/>
    </row>
    <row r="20" customFormat="false" ht="15" hidden="false" customHeight="false" outlineLevel="0" collapsed="false">
      <c r="J20" s="10"/>
    </row>
    <row r="21" customFormat="false" ht="15" hidden="false" customHeight="false" outlineLevel="0" collapsed="false">
      <c r="J21" s="10"/>
    </row>
    <row r="22" customFormat="false" ht="15" hidden="false" customHeight="false" outlineLevel="0" collapsed="false">
      <c r="J22" s="10"/>
    </row>
    <row r="23" customFormat="false" ht="15" hidden="false" customHeight="false" outlineLevel="0" collapsed="false">
      <c r="J23" s="10"/>
    </row>
    <row r="24" customFormat="false" ht="15" hidden="false" customHeight="false" outlineLevel="0" collapsed="false">
      <c r="J24" s="10"/>
    </row>
    <row r="25" customFormat="false" ht="15" hidden="false" customHeight="false" outlineLevel="0" collapsed="false">
      <c r="J25" s="10"/>
    </row>
    <row r="26" customFormat="false" ht="15" hidden="false" customHeight="false" outlineLevel="0" collapsed="false">
      <c r="J26" s="10"/>
    </row>
    <row r="27" customFormat="false" ht="15" hidden="false" customHeight="false" outlineLevel="0" collapsed="false">
      <c r="J27" s="10"/>
    </row>
    <row r="28" customFormat="false" ht="15" hidden="false" customHeight="false" outlineLevel="0" collapsed="false">
      <c r="J28" s="10"/>
    </row>
    <row r="29" customFormat="false" ht="15" hidden="false" customHeight="false" outlineLevel="0" collapsed="false">
      <c r="J29" s="10"/>
    </row>
    <row r="30" customFormat="false" ht="15" hidden="false" customHeight="false" outlineLevel="0" collapsed="false">
      <c r="J30" s="10"/>
    </row>
    <row r="31" customFormat="false" ht="15" hidden="false" customHeight="false" outlineLevel="0" collapsed="false">
      <c r="J31" s="10"/>
    </row>
    <row r="32" customFormat="false" ht="15" hidden="false" customHeight="false" outlineLevel="0" collapsed="false">
      <c r="J32" s="10"/>
    </row>
    <row r="33" customFormat="false" ht="15" hidden="false" customHeight="false" outlineLevel="0" collapsed="false">
      <c r="J33" s="10"/>
    </row>
    <row r="34" customFormat="false" ht="15" hidden="false" customHeight="false" outlineLevel="0" collapsed="false">
      <c r="J34" s="10"/>
    </row>
    <row r="35" customFormat="false" ht="15" hidden="false" customHeight="false" outlineLevel="0" collapsed="false">
      <c r="J35" s="10"/>
    </row>
    <row r="36" customFormat="false" ht="15" hidden="false" customHeight="false" outlineLevel="0" collapsed="false">
      <c r="J36" s="10"/>
    </row>
    <row r="37" customFormat="false" ht="15" hidden="false" customHeight="false" outlineLevel="0" collapsed="false">
      <c r="J37" s="10"/>
    </row>
    <row r="38" customFormat="false" ht="15" hidden="false" customHeight="false" outlineLevel="0" collapsed="false">
      <c r="J38" s="10"/>
    </row>
    <row r="39" customFormat="false" ht="15" hidden="false" customHeight="false" outlineLevel="0" collapsed="false">
      <c r="J39" s="10"/>
    </row>
    <row r="40" customFormat="false" ht="15" hidden="false" customHeight="false" outlineLevel="0" collapsed="false">
      <c r="J40" s="10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5" min="3" style="0" width="14"/>
  </cols>
  <sheetData>
    <row r="2" customFormat="false" ht="19.7" hidden="false" customHeight="false" outlineLevel="0" collapsed="false">
      <c r="B2" s="1" t="s">
        <v>107</v>
      </c>
    </row>
    <row r="5" customFormat="false" ht="15" hidden="false" customHeight="false" outlineLevel="0" collapsed="false">
      <c r="B5" s="11" t="s">
        <v>108</v>
      </c>
      <c r="C5" s="12" t="n">
        <v>3245</v>
      </c>
    </row>
    <row r="6" customFormat="false" ht="15" hidden="false" customHeight="false" outlineLevel="0" collapsed="false">
      <c r="B6" s="11" t="s">
        <v>109</v>
      </c>
      <c r="C6" s="13" t="n">
        <v>0</v>
      </c>
    </row>
    <row r="7" customFormat="false" ht="15" hidden="false" customHeight="false" outlineLevel="0" collapsed="false">
      <c r="B7" s="11" t="s">
        <v>110</v>
      </c>
      <c r="C7" s="14" t="n">
        <f aca="false">C5-C6</f>
        <v>3245</v>
      </c>
    </row>
    <row r="8" customFormat="false" ht="15" hidden="false" customHeight="false" outlineLevel="0" collapsed="false">
      <c r="B8" s="11" t="s">
        <v>111</v>
      </c>
      <c r="C8" s="13" t="n">
        <v>0</v>
      </c>
    </row>
    <row r="9" customFormat="false" ht="15" hidden="false" customHeight="false" outlineLevel="0" collapsed="false">
      <c r="B9" s="2" t="s">
        <v>112</v>
      </c>
      <c r="C9" s="15" t="n">
        <f aca="false">C7+C8</f>
        <v>3245</v>
      </c>
    </row>
    <row r="10" customFormat="false" ht="15" hidden="false" customHeight="false" outlineLevel="0" collapsed="false">
      <c r="B10" s="11" t="s">
        <v>113</v>
      </c>
      <c r="C10" s="12" t="n">
        <v>5354.25</v>
      </c>
    </row>
    <row r="11" customFormat="false" ht="15" hidden="false" customHeight="false" outlineLevel="0" collapsed="false">
      <c r="B11" s="2" t="s">
        <v>114</v>
      </c>
      <c r="C11" s="15" t="n">
        <f aca="false">C9-C10</f>
        <v>-2109.25</v>
      </c>
    </row>
    <row r="12" customFormat="false" ht="15" hidden="false" customHeight="false" outlineLevel="0" collapsed="false">
      <c r="B12" s="11" t="s">
        <v>115</v>
      </c>
      <c r="C12" s="13" t="n">
        <v>0</v>
      </c>
    </row>
    <row r="13" customFormat="false" ht="15" hidden="false" customHeight="false" outlineLevel="0" collapsed="false">
      <c r="B13" s="11" t="s">
        <v>116</v>
      </c>
      <c r="C13" s="16" t="n">
        <f aca="false">'Debt Schedule'!E8</f>
        <v>0</v>
      </c>
    </row>
    <row r="14" customFormat="false" ht="15" hidden="false" customHeight="false" outlineLevel="0" collapsed="false">
      <c r="B14" s="2" t="s">
        <v>117</v>
      </c>
      <c r="C14" s="15" t="n">
        <f aca="false">C11-C12-C13</f>
        <v>-2109.25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5"/>
    <col collapsed="false" customWidth="true" hidden="false" outlineLevel="0" max="5" min="5" style="0" width="17"/>
    <col collapsed="false" customWidth="true" hidden="false" outlineLevel="0" max="8" min="6" style="0" width="16"/>
    <col collapsed="false" customWidth="true" hidden="false" outlineLevel="0" max="9" min="9" style="0" width="18"/>
    <col collapsed="false" customWidth="true" hidden="false" outlineLevel="0" max="10" min="10" style="0" width="16"/>
    <col collapsed="false" customWidth="true" hidden="false" outlineLevel="0" max="11" min="11" style="0" width="14"/>
  </cols>
  <sheetData>
    <row r="2" customFormat="false" ht="19.7" hidden="false" customHeight="false" outlineLevel="0" collapsed="false">
      <c r="B2" s="1" t="s">
        <v>118</v>
      </c>
    </row>
    <row r="4" customFormat="false" ht="15" hidden="false" customHeight="false" outlineLevel="0" collapsed="false">
      <c r="B4" s="17" t="s">
        <v>119</v>
      </c>
      <c r="C4" s="17" t="s">
        <v>120</v>
      </c>
      <c r="D4" s="17" t="s">
        <v>121</v>
      </c>
      <c r="E4" s="17" t="s">
        <v>122</v>
      </c>
      <c r="F4" s="17" t="s">
        <v>123</v>
      </c>
      <c r="G4" s="17" t="s">
        <v>124</v>
      </c>
      <c r="H4" s="17" t="s">
        <v>125</v>
      </c>
      <c r="I4" s="17" t="s">
        <v>126</v>
      </c>
      <c r="J4" s="17" t="s">
        <v>127</v>
      </c>
      <c r="K4" s="17" t="s">
        <v>128</v>
      </c>
    </row>
    <row r="5" customFormat="false" ht="15" hidden="false" customHeight="false" outlineLevel="0" collapsed="false">
      <c r="B5" s="0" t="n">
        <v>1</v>
      </c>
      <c r="C5" s="18" t="n">
        <f aca="false">'Property Pro Forma'!C5</f>
        <v>3245</v>
      </c>
      <c r="D5" s="19" t="n">
        <v>0.18</v>
      </c>
      <c r="E5" s="19" t="n">
        <v>0.75</v>
      </c>
      <c r="F5" s="19" t="n">
        <v>0.03</v>
      </c>
      <c r="G5" s="20" t="n">
        <v>6</v>
      </c>
      <c r="H5" s="21" t="n">
        <f aca="false">C5*D5*(1-E5)*G5/12</f>
        <v>73.0125</v>
      </c>
      <c r="I5" s="21" t="n">
        <f aca="false">C5*D5*E5*(1+F5)</f>
        <v>451.21725</v>
      </c>
      <c r="J5" s="21" t="n">
        <f aca="false">C5*(1-D5)+I5</f>
        <v>3112.11725</v>
      </c>
      <c r="K5" s="22" t="n">
        <f aca="false">IFERROR(1-H5/C5,0)</f>
        <v>0.9775</v>
      </c>
    </row>
    <row r="6" customFormat="false" ht="15" hidden="false" customHeight="false" outlineLevel="0" collapsed="false">
      <c r="B6" s="0" t="n">
        <v>2</v>
      </c>
      <c r="C6" s="18" t="n">
        <f aca="false">J5</f>
        <v>3112.11725</v>
      </c>
      <c r="D6" s="19" t="n">
        <v>0.2</v>
      </c>
      <c r="E6" s="19" t="n">
        <v>0.75</v>
      </c>
      <c r="F6" s="19" t="n">
        <v>0.03</v>
      </c>
      <c r="G6" s="20" t="n">
        <v>6</v>
      </c>
      <c r="H6" s="21" t="n">
        <f aca="false">C6*D6*(1-E6)*G6/12</f>
        <v>77.80293125</v>
      </c>
      <c r="I6" s="21" t="n">
        <f aca="false">C6*D6*E6*(1+F6)</f>
        <v>480.822115125</v>
      </c>
      <c r="J6" s="21" t="n">
        <f aca="false">C6*(1-D6)+I6</f>
        <v>2970.515915125</v>
      </c>
      <c r="K6" s="22" t="n">
        <f aca="false">IFERROR(1-H6/C6,0)</f>
        <v>0.975</v>
      </c>
    </row>
    <row r="7" customFormat="false" ht="15" hidden="false" customHeight="false" outlineLevel="0" collapsed="false">
      <c r="B7" s="0" t="n">
        <v>3</v>
      </c>
      <c r="C7" s="18" t="n">
        <f aca="false">J6</f>
        <v>2970.515915125</v>
      </c>
      <c r="D7" s="19" t="n">
        <v>0.22</v>
      </c>
      <c r="E7" s="19" t="n">
        <v>0.75</v>
      </c>
      <c r="F7" s="19" t="n">
        <v>0.025</v>
      </c>
      <c r="G7" s="20" t="n">
        <v>6</v>
      </c>
      <c r="H7" s="21" t="n">
        <f aca="false">C7*D7*(1-E7)*G7/12</f>
        <v>81.6891876659375</v>
      </c>
      <c r="I7" s="21" t="n">
        <f aca="false">C7*D7*E7*(1+F7)</f>
        <v>502.388504145516</v>
      </c>
      <c r="J7" s="21" t="n">
        <f aca="false">C7*(1-D7)+I7</f>
        <v>2819.39091794302</v>
      </c>
      <c r="K7" s="22" t="n">
        <f aca="false">IFERROR(1-H7/C7,0)</f>
        <v>0.9725</v>
      </c>
    </row>
    <row r="8" customFormat="false" ht="15" hidden="false" customHeight="false" outlineLevel="0" collapsed="false">
      <c r="B8" s="0" t="n">
        <v>4</v>
      </c>
      <c r="C8" s="18" t="n">
        <f aca="false">J7</f>
        <v>2819.39091794302</v>
      </c>
      <c r="D8" s="19" t="n">
        <v>0.18</v>
      </c>
      <c r="E8" s="19" t="n">
        <v>0.75</v>
      </c>
      <c r="F8" s="19" t="n">
        <v>0.02</v>
      </c>
      <c r="G8" s="20" t="n">
        <v>6</v>
      </c>
      <c r="H8" s="21" t="n">
        <f aca="false">C8*D8*(1-E8)*G8/12</f>
        <v>63.4362956537179</v>
      </c>
      <c r="I8" s="21" t="n">
        <f aca="false">C8*D8*E8*(1+F8)</f>
        <v>388.230129400753</v>
      </c>
      <c r="J8" s="21" t="n">
        <f aca="false">C8*(1-D8)+I8</f>
        <v>2700.13068211403</v>
      </c>
      <c r="K8" s="22" t="n">
        <f aca="false">IFERROR(1-H8/C8,0)</f>
        <v>0.9775</v>
      </c>
    </row>
    <row r="9" customFormat="false" ht="15" hidden="false" customHeight="false" outlineLevel="0" collapsed="false">
      <c r="B9" s="0" t="n">
        <v>5</v>
      </c>
      <c r="C9" s="18" t="n">
        <f aca="false">J8</f>
        <v>2700.13068211403</v>
      </c>
      <c r="D9" s="19" t="n">
        <v>0.25</v>
      </c>
      <c r="E9" s="19" t="n">
        <v>0.75</v>
      </c>
      <c r="F9" s="19" t="n">
        <v>0.02</v>
      </c>
      <c r="G9" s="20" t="n">
        <v>6</v>
      </c>
      <c r="H9" s="21" t="n">
        <f aca="false">C9*D9*(1-E9)*G9/12</f>
        <v>84.3790838160633</v>
      </c>
      <c r="I9" s="21" t="n">
        <f aca="false">C9*D9*E9*(1+F9)</f>
        <v>516.399992954308</v>
      </c>
      <c r="J9" s="21" t="n">
        <f aca="false">C9*(1-D9)+I9</f>
        <v>2541.49800453983</v>
      </c>
      <c r="K9" s="22" t="n">
        <f aca="false">IFERROR(1-H9/C9,0)</f>
        <v>0.96875</v>
      </c>
    </row>
    <row r="12" customFormat="false" ht="15" hidden="false" customHeight="false" outlineLevel="0" collapsed="false">
      <c r="B12" s="23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40"/>
  </cols>
  <sheetData>
    <row r="2" customFormat="false" ht="19.7" hidden="false" customHeight="false" outlineLevel="0" collapsed="false">
      <c r="B2" s="1" t="s">
        <v>130</v>
      </c>
    </row>
    <row r="4" customFormat="false" ht="15" hidden="false" customHeight="false" outlineLevel="0" collapsed="false">
      <c r="B4" s="0" t="s">
        <v>131</v>
      </c>
      <c r="C4" s="16" t="n">
        <f aca="false">'Property Pro Forma'!C11</f>
        <v>-2109.25</v>
      </c>
    </row>
    <row r="5" customFormat="false" ht="15" hidden="false" customHeight="false" outlineLevel="0" collapsed="false">
      <c r="B5" s="0" t="s">
        <v>132</v>
      </c>
      <c r="C5" s="19" t="n">
        <v>0.06</v>
      </c>
    </row>
    <row r="6" customFormat="false" ht="15" hidden="false" customHeight="false" outlineLevel="0" collapsed="false">
      <c r="B6" s="0" t="s">
        <v>133</v>
      </c>
      <c r="C6" s="15" t="n">
        <f aca="false">IFERROR(C4/C5,"-")</f>
        <v>-35154.1666666667</v>
      </c>
    </row>
    <row r="8" customFormat="false" ht="15" hidden="false" customHeight="false" outlineLevel="0" collapsed="false">
      <c r="B8" s="0" t="s">
        <v>134</v>
      </c>
      <c r="C8" s="13" t="n">
        <v>0</v>
      </c>
    </row>
    <row r="9" customFormat="false" ht="15" hidden="false" customHeight="false" outlineLevel="0" collapsed="false">
      <c r="B9" s="0" t="s">
        <v>135</v>
      </c>
      <c r="C9" s="22" t="str">
        <f aca="false">IFERROR(C4/C8,"-")</f>
        <v>-</v>
      </c>
    </row>
    <row r="10" customFormat="false" ht="15" hidden="false" customHeight="false" outlineLevel="0" collapsed="false">
      <c r="B10" s="0" t="s">
        <v>136</v>
      </c>
      <c r="C10" s="13" t="n">
        <v>0</v>
      </c>
    </row>
    <row r="11" customFormat="false" ht="15" hidden="false" customHeight="false" outlineLevel="0" collapsed="false">
      <c r="B11" s="0" t="s">
        <v>137</v>
      </c>
      <c r="C11" s="22" t="str">
        <f aca="false">IFERROR('Property Pro Forma'!C14/(C8-C10),"-")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6" min="4" style="0" width="16"/>
    <col collapsed="false" customWidth="true" hidden="false" outlineLevel="0" max="7" min="7" style="0" width="18"/>
    <col collapsed="false" customWidth="true" hidden="false" outlineLevel="0" max="10" min="8" style="0" width="16"/>
  </cols>
  <sheetData>
    <row r="2" customFormat="false" ht="19.7" hidden="false" customHeight="false" outlineLevel="0" collapsed="false">
      <c r="B2" s="1" t="s">
        <v>138</v>
      </c>
    </row>
    <row r="3" customFormat="false" ht="15" hidden="false" customHeight="false" outlineLevel="0" collapsed="false">
      <c r="B3" s="0" t="s">
        <v>139</v>
      </c>
      <c r="C3" s="19" t="n">
        <v>0.06</v>
      </c>
    </row>
    <row r="4" customFormat="false" ht="15" hidden="false" customHeight="false" outlineLevel="0" collapsed="false">
      <c r="B4" s="0" t="s">
        <v>140</v>
      </c>
      <c r="C4" s="24" t="n">
        <v>25</v>
      </c>
    </row>
    <row r="5" customFormat="false" ht="15" hidden="false" customHeight="false" outlineLevel="0" collapsed="false">
      <c r="B5" s="0" t="s">
        <v>141</v>
      </c>
      <c r="C5" s="25" t="n">
        <v>1.25</v>
      </c>
    </row>
    <row r="7" customFormat="false" ht="15" hidden="false" customHeight="false" outlineLevel="0" collapsed="false">
      <c r="B7" s="17" t="s">
        <v>119</v>
      </c>
      <c r="C7" s="17" t="s">
        <v>142</v>
      </c>
      <c r="D7" s="17" t="s">
        <v>143</v>
      </c>
      <c r="E7" s="17" t="s">
        <v>144</v>
      </c>
      <c r="F7" s="17" t="s">
        <v>145</v>
      </c>
      <c r="G7" s="17" t="s">
        <v>146</v>
      </c>
      <c r="H7" s="17" t="s">
        <v>147</v>
      </c>
      <c r="I7" s="17" t="s">
        <v>148</v>
      </c>
      <c r="J7" s="17" t="s">
        <v>149</v>
      </c>
    </row>
    <row r="8" customFormat="false" ht="15" hidden="false" customHeight="false" outlineLevel="0" collapsed="false">
      <c r="B8" s="0" t="n">
        <v>1</v>
      </c>
      <c r="C8" s="21" t="n">
        <f aca="false">'Cap Rate &amp; Valuation'!C10</f>
        <v>0</v>
      </c>
      <c r="D8" s="21" t="n">
        <f aca="false">C8*$C$3</f>
        <v>0</v>
      </c>
      <c r="E8" s="21" t="n">
        <f aca="false">D8+F8</f>
        <v>0</v>
      </c>
      <c r="F8" s="21" t="n">
        <f aca="false">MIN(C8,MAX(0,-PMT($C$3,$C$4,'Cap Rate &amp; Valuation'!$C$10)-D8))</f>
        <v>0</v>
      </c>
      <c r="G8" s="21" t="n">
        <f aca="false">MAX(0,C8-F8)</f>
        <v>0</v>
      </c>
      <c r="H8" s="21" t="n">
        <f aca="false">'5-Year Hold &amp; IRR'!C13</f>
        <v>-2109.25</v>
      </c>
      <c r="I8" s="26" t="n">
        <f aca="false">IFERROR(H8/E8,0)</f>
        <v>0</v>
      </c>
      <c r="J8" s="26" t="n">
        <f aca="false">I8-$C$5</f>
        <v>-1.25</v>
      </c>
    </row>
    <row r="9" customFormat="false" ht="15" hidden="false" customHeight="false" outlineLevel="0" collapsed="false">
      <c r="B9" s="0" t="n">
        <v>2</v>
      </c>
      <c r="C9" s="21" t="n">
        <f aca="false">G8</f>
        <v>0</v>
      </c>
      <c r="D9" s="21" t="n">
        <f aca="false">C9*$C$3</f>
        <v>0</v>
      </c>
      <c r="E9" s="21" t="n">
        <f aca="false">D9+F9</f>
        <v>0</v>
      </c>
      <c r="F9" s="21" t="n">
        <f aca="false">MIN(C9,MAX(0,-PMT($C$3,$C$4,'Cap Rate &amp; Valuation'!$C$10)-D9))</f>
        <v>0</v>
      </c>
      <c r="G9" s="21" t="n">
        <f aca="false">MAX(0,C9-F9)</f>
        <v>0</v>
      </c>
      <c r="H9" s="21" t="n">
        <f aca="false">'5-Year Hold &amp; IRR'!D13</f>
        <v>-2151.435</v>
      </c>
      <c r="I9" s="26" t="n">
        <f aca="false">IFERROR(H9/E9,0)</f>
        <v>0</v>
      </c>
      <c r="J9" s="26" t="n">
        <f aca="false">I9-$C$5</f>
        <v>-1.25</v>
      </c>
    </row>
    <row r="10" customFormat="false" ht="15" hidden="false" customHeight="false" outlineLevel="0" collapsed="false">
      <c r="B10" s="0" t="n">
        <v>3</v>
      </c>
      <c r="C10" s="21" t="n">
        <f aca="false">G9</f>
        <v>0</v>
      </c>
      <c r="D10" s="21" t="n">
        <f aca="false">C10*$C$3</f>
        <v>0</v>
      </c>
      <c r="E10" s="21" t="n">
        <f aca="false">D10+F10</f>
        <v>0</v>
      </c>
      <c r="F10" s="21" t="n">
        <f aca="false">MIN(C10,MAX(0,-PMT($C$3,$C$4,'Cap Rate &amp; Valuation'!$C$10)-D10))</f>
        <v>0</v>
      </c>
      <c r="G10" s="21" t="n">
        <f aca="false">MAX(0,C10-F10)</f>
        <v>0</v>
      </c>
      <c r="H10" s="21" t="n">
        <f aca="false">'5-Year Hold &amp; IRR'!E13</f>
        <v>-2194.4637</v>
      </c>
      <c r="I10" s="26" t="n">
        <f aca="false">IFERROR(H10/E10,0)</f>
        <v>0</v>
      </c>
      <c r="J10" s="26" t="n">
        <f aca="false">I10-$C$5</f>
        <v>-1.25</v>
      </c>
    </row>
    <row r="11" customFormat="false" ht="15" hidden="false" customHeight="false" outlineLevel="0" collapsed="false">
      <c r="B11" s="0" t="n">
        <v>4</v>
      </c>
      <c r="C11" s="21" t="n">
        <f aca="false">G10</f>
        <v>0</v>
      </c>
      <c r="D11" s="21" t="n">
        <f aca="false">C11*$C$3</f>
        <v>0</v>
      </c>
      <c r="E11" s="21" t="n">
        <f aca="false">D11+F11</f>
        <v>0</v>
      </c>
      <c r="F11" s="21" t="n">
        <f aca="false">MIN(C11,MAX(0,-PMT($C$3,$C$4,'Cap Rate &amp; Valuation'!$C$10)-D11))</f>
        <v>0</v>
      </c>
      <c r="G11" s="21" t="n">
        <f aca="false">MAX(0,C11-F11)</f>
        <v>0</v>
      </c>
      <c r="H11" s="21" t="n">
        <f aca="false">'5-Year Hold &amp; IRR'!F13</f>
        <v>-2238.352974</v>
      </c>
      <c r="I11" s="26" t="n">
        <f aca="false">IFERROR(H11/E11,0)</f>
        <v>0</v>
      </c>
      <c r="J11" s="26" t="n">
        <f aca="false">I11-$C$5</f>
        <v>-1.25</v>
      </c>
    </row>
    <row r="12" customFormat="false" ht="15" hidden="false" customHeight="false" outlineLevel="0" collapsed="false">
      <c r="B12" s="0" t="n">
        <v>5</v>
      </c>
      <c r="C12" s="21" t="n">
        <f aca="false">G11</f>
        <v>0</v>
      </c>
      <c r="D12" s="21" t="n">
        <f aca="false">C12*$C$3</f>
        <v>0</v>
      </c>
      <c r="E12" s="21" t="n">
        <f aca="false">D12+F12</f>
        <v>0</v>
      </c>
      <c r="F12" s="21" t="n">
        <f aca="false">MIN(C12,MAX(0,-PMT($C$3,$C$4,'Cap Rate &amp; Valuation'!$C$10)-D12))</f>
        <v>0</v>
      </c>
      <c r="G12" s="21" t="n">
        <f aca="false">MAX(0,C12-F12)</f>
        <v>0</v>
      </c>
      <c r="H12" s="21" t="n">
        <f aca="false">'5-Year Hold &amp; IRR'!G13</f>
        <v>-2283.12003348</v>
      </c>
      <c r="I12" s="26" t="n">
        <f aca="false">IFERROR(H12/E12,0)</f>
        <v>0</v>
      </c>
      <c r="J12" s="26" t="n">
        <f aca="false">I12-$C$5</f>
        <v>-1.25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40"/>
  </cols>
  <sheetData>
    <row r="2" customFormat="false" ht="19.7" hidden="false" customHeight="false" outlineLevel="0" collapsed="false">
      <c r="B2" s="1" t="s">
        <v>150</v>
      </c>
    </row>
    <row r="4" customFormat="false" ht="15" hidden="false" customHeight="false" outlineLevel="0" collapsed="false">
      <c r="B4" s="0" t="s">
        <v>151</v>
      </c>
      <c r="C4" s="12" t="n">
        <v>-2034</v>
      </c>
    </row>
    <row r="5" customFormat="false" ht="15" hidden="false" customHeight="false" outlineLevel="0" collapsed="false">
      <c r="B5" s="0" t="s">
        <v>152</v>
      </c>
      <c r="C5" s="12" t="n">
        <v>0</v>
      </c>
    </row>
    <row r="6" customFormat="false" ht="15" hidden="false" customHeight="false" outlineLevel="0" collapsed="false">
      <c r="B6" s="0" t="s">
        <v>153</v>
      </c>
      <c r="C6" s="12" t="n">
        <v>0</v>
      </c>
    </row>
    <row r="7" customFormat="false" ht="15" hidden="false" customHeight="false" outlineLevel="0" collapsed="false">
      <c r="B7" s="0" t="s">
        <v>154</v>
      </c>
      <c r="C7" s="15" t="n">
        <f aca="false">C4+C5-C6</f>
        <v>-2034</v>
      </c>
    </row>
    <row r="9" customFormat="false" ht="15" hidden="false" customHeight="false" outlineLevel="0" collapsed="false">
      <c r="B9" s="0" t="s">
        <v>155</v>
      </c>
      <c r="C9" s="13" t="n">
        <v>0</v>
      </c>
    </row>
    <row r="10" customFormat="false" ht="15" hidden="false" customHeight="false" outlineLevel="0" collapsed="false">
      <c r="B10" s="0" t="s">
        <v>156</v>
      </c>
      <c r="C10" s="13" t="n">
        <v>0</v>
      </c>
    </row>
    <row r="11" customFormat="false" ht="15" hidden="false" customHeight="false" outlineLevel="0" collapsed="false">
      <c r="B11" s="0" t="s">
        <v>157</v>
      </c>
      <c r="C11" s="15" t="n">
        <f aca="false">C7-C9-C10</f>
        <v>-2034</v>
      </c>
      <c r="D11" s="23" t="s">
        <v>158</v>
      </c>
    </row>
    <row r="13" customFormat="false" ht="15" hidden="false" customHeight="false" outlineLevel="0" collapsed="false">
      <c r="B13" s="0" t="s">
        <v>159</v>
      </c>
      <c r="C13" s="27" t="n">
        <v>1</v>
      </c>
    </row>
    <row r="14" customFormat="false" ht="15" hidden="false" customHeight="false" outlineLevel="0" collapsed="false">
      <c r="B14" s="0" t="s">
        <v>160</v>
      </c>
      <c r="C14" s="28" t="n">
        <f aca="false">IFERROR(C7/C13,"-")</f>
        <v>-2034</v>
      </c>
    </row>
    <row r="15" customFormat="false" ht="15" hidden="false" customHeight="false" outlineLevel="0" collapsed="false">
      <c r="B15" s="0" t="s">
        <v>161</v>
      </c>
      <c r="C15" s="28" t="n">
        <f aca="false">IFERROR(C11/C13,"-")</f>
        <v>-2034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4" min="3" style="0" width="18"/>
    <col collapsed="false" customWidth="true" hidden="false" outlineLevel="0" max="5" min="5" style="0" width="48"/>
  </cols>
  <sheetData>
    <row r="2" customFormat="false" ht="19.7" hidden="false" customHeight="false" outlineLevel="0" collapsed="false">
      <c r="B2" s="1" t="s">
        <v>162</v>
      </c>
    </row>
    <row r="4" customFormat="false" ht="15" hidden="false" customHeight="false" outlineLevel="0" collapsed="false">
      <c r="B4" s="17" t="s">
        <v>163</v>
      </c>
      <c r="C4" s="17" t="s">
        <v>164</v>
      </c>
      <c r="D4" s="17" t="s">
        <v>29</v>
      </c>
      <c r="E4" s="17" t="s">
        <v>165</v>
      </c>
    </row>
    <row r="5" customFormat="false" ht="15" hidden="false" customHeight="false" outlineLevel="0" collapsed="false">
      <c r="B5" s="0" t="s">
        <v>166</v>
      </c>
      <c r="C5" s="29" t="n">
        <f aca="false">'Property Pro Forma'!C11-('Property Pro Forma'!C5-'Property Pro Forma'!C6+'Property Pro Forma'!C8-'Property Pro Forma'!C10)</f>
        <v>0</v>
      </c>
      <c r="D5" s="29" t="str">
        <f aca="false">IF(ABS(C5)&lt;0.01,"PASS","FAIL")</f>
        <v>PASS</v>
      </c>
      <c r="E5" s="0" t="s">
        <v>167</v>
      </c>
    </row>
    <row r="6" customFormat="false" ht="15" hidden="false" customHeight="false" outlineLevel="0" collapsed="false">
      <c r="B6" s="0" t="s">
        <v>168</v>
      </c>
      <c r="C6" s="29" t="n">
        <f aca="false">'REIT FFO-AFFO'!C7-('REIT FFO-AFFO'!C4+'REIT FFO-AFFO'!C5-'REIT FFO-AFFO'!C6)</f>
        <v>0</v>
      </c>
      <c r="D6" s="29" t="str">
        <f aca="false">IF(ABS(C6)&lt;0.01,"PASS","FAIL")</f>
        <v>PASS</v>
      </c>
      <c r="E6" s="0" t="s">
        <v>169</v>
      </c>
    </row>
    <row r="7" customFormat="false" ht="15" hidden="false" customHeight="false" outlineLevel="0" collapsed="false">
      <c r="B7" s="0" t="s">
        <v>170</v>
      </c>
      <c r="C7" s="29" t="n">
        <f aca="false">'REIT FFO-AFFO'!C11-('REIT FFO-AFFO'!C7-'REIT FFO-AFFO'!C9-'REIT FFO-AFFO'!C10)</f>
        <v>0</v>
      </c>
      <c r="D7" s="29" t="str">
        <f aca="false">IF(ABS(C7)&lt;0.01,"PASS","FAIL")</f>
        <v>PASS</v>
      </c>
      <c r="E7" s="0" t="s">
        <v>171</v>
      </c>
    </row>
    <row r="8" customFormat="false" ht="15" hidden="false" customHeight="false" outlineLevel="0" collapsed="false">
      <c r="B8" s="0" t="s">
        <v>172</v>
      </c>
      <c r="C8" s="29" t="n">
        <f aca="false">MIN('Debt Schedule'!I8:I12)</f>
        <v>0</v>
      </c>
      <c r="D8" s="29" t="str">
        <f aca="false">IF(C8&gt;='Debt Schedule'!C5,"PASS",IF(C8&gt;=1,"REVIEW","BREACH"))</f>
        <v>BREACH</v>
      </c>
      <c r="E8" s="0" t="s">
        <v>173</v>
      </c>
    </row>
    <row r="9" customFormat="false" ht="15" hidden="false" customHeight="false" outlineLevel="0" collapsed="false">
      <c r="B9" s="0" t="s">
        <v>174</v>
      </c>
      <c r="C9" s="29" t="str">
        <f aca="false">IFERROR('Cap Rate &amp; Valuation'!C10/'Cap Rate &amp; Valuation'!C8,"-")</f>
        <v>-</v>
      </c>
      <c r="D9" s="29" t="str">
        <f aca="false">IF(ISNUMBER(C9),IF(C9&lt;=0.75,"PASS",IF(C9&lt;=0.85,"REVIEW","BREACH")),"REVIEW")</f>
        <v>REVIEW</v>
      </c>
      <c r="E9" s="0" t="s">
        <v>175</v>
      </c>
    </row>
    <row r="10" customFormat="false" ht="15" hidden="false" customHeight="false" outlineLevel="0" collapsed="false">
      <c r="B10" s="0" t="s">
        <v>176</v>
      </c>
      <c r="C10" s="29" t="n">
        <f aca="false">MIN('Lease Roll'!K5:K9)</f>
        <v>0.96875</v>
      </c>
      <c r="D10" s="29" t="str">
        <f aca="false">IF(C10&gt;=0.9,"PASS",IF(C10&gt;=0.8,"REVIEW","BREACH"))</f>
        <v>PASS</v>
      </c>
      <c r="E10" s="0" t="s">
        <v>177</v>
      </c>
    </row>
    <row r="11" customFormat="false" ht="15" hidden="false" customHeight="false" outlineLevel="0" collapsed="false">
      <c r="B11" s="0" t="s">
        <v>178</v>
      </c>
      <c r="C11" s="21" t="n">
        <f aca="false">'Property Pro Forma'!C14</f>
        <v>-2109.25</v>
      </c>
      <c r="D11" s="29" t="str">
        <f aca="false">IF(C11&gt;=0,"PASS","BREACH")</f>
        <v>BREACH</v>
      </c>
      <c r="E11" s="0" t="s">
        <v>179</v>
      </c>
    </row>
    <row r="12" customFormat="false" ht="15" hidden="false" customHeight="false" outlineLevel="0" collapsed="false">
      <c r="B12" s="0" t="s">
        <v>180</v>
      </c>
      <c r="C12" s="29" t="n">
        <f aca="false">IF(AND(ISNUMBER('5-Year Hold &amp; IRR'!C6),ISNUMBER('Cap Rate &amp; Valuation'!C9)),'5-Year Hold &amp; IRR'!C6-'Cap Rate &amp; Valuation'!C9,0)</f>
        <v>0</v>
      </c>
      <c r="D12" s="29" t="str">
        <f aca="false">IF(AND(ISNUMBER('5-Year Hold &amp; IRR'!C6),ISNUMBER('Cap Rate &amp; Valuation'!C9)),IF(C12&gt;=0,"PASS","REVIEW"),"REVIEW")</f>
        <v>REVIEW</v>
      </c>
      <c r="E12" s="0" t="s">
        <v>181</v>
      </c>
    </row>
    <row r="14" customFormat="false" ht="15" hidden="false" customHeight="false" outlineLevel="0" collapsed="false">
      <c r="B14" s="2" t="s">
        <v>182</v>
      </c>
      <c r="C14" s="30" t="str">
        <f aca="false">IF(COUNTIF(D5:D12,"FAIL")+COUNTIF(D5:D12,"BREACH")&gt;0,"BREACH",IF(COUNTIF(D5:D12,"REVIEW")&gt;0,"REVIEW","PASS"))</f>
        <v>BREACH</v>
      </c>
    </row>
    <row r="16" customFormat="false" ht="15" hidden="false" customHeight="false" outlineLevel="0" collapsed="false">
      <c r="B16" s="31" t="s">
        <v>183</v>
      </c>
    </row>
    <row r="17" customFormat="false" ht="15" hidden="false" customHeight="false" outlineLevel="0" collapsed="false">
      <c r="B17" s="0" t="s">
        <v>147</v>
      </c>
      <c r="C17" s="21" t="n">
        <f aca="false">'Property Pro Forma'!C11</f>
        <v>-2109.25</v>
      </c>
    </row>
    <row r="18" customFormat="false" ht="15" hidden="false" customHeight="false" outlineLevel="0" collapsed="false">
      <c r="B18" s="0" t="s">
        <v>184</v>
      </c>
      <c r="C18" s="22" t="str">
        <f aca="false">'Cap Rate &amp; Valuation'!C9</f>
        <v>-</v>
      </c>
    </row>
    <row r="19" customFormat="false" ht="15" hidden="false" customHeight="false" outlineLevel="0" collapsed="false">
      <c r="B19" s="0" t="s">
        <v>185</v>
      </c>
      <c r="C19" s="22" t="str">
        <f aca="false">'5-Year Hold &amp; IRR'!C27</f>
        <v>-</v>
      </c>
    </row>
    <row r="20" customFormat="false" ht="15" hidden="false" customHeight="false" outlineLevel="0" collapsed="false">
      <c r="B20" s="0" t="s">
        <v>186</v>
      </c>
      <c r="C20" s="26" t="str">
        <f aca="false">'5-Year Hold &amp; IRR'!C28</f>
        <v>-</v>
      </c>
    </row>
    <row r="21" customFormat="false" ht="15" hidden="false" customHeight="false" outlineLevel="0" collapsed="false">
      <c r="B21" s="0" t="s">
        <v>187</v>
      </c>
      <c r="C21" s="21" t="n">
        <f aca="false">'REIT FFO-AFFO'!C7</f>
        <v>-2034</v>
      </c>
    </row>
    <row r="22" customFormat="false" ht="15" hidden="false" customHeight="false" outlineLevel="0" collapsed="false">
      <c r="B22" s="0" t="s">
        <v>188</v>
      </c>
      <c r="C22" s="21" t="n">
        <f aca="false">'REIT FFO-AFFO'!C11</f>
        <v>-2034</v>
      </c>
    </row>
    <row r="23" customFormat="false" ht="15" hidden="false" customHeight="false" outlineLevel="0" collapsed="false">
      <c r="B23" s="0" t="s">
        <v>146</v>
      </c>
      <c r="C23" s="21" t="n">
        <f aca="false">'Debt Schedule'!G12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8" min="3" style="0" width="12"/>
  </cols>
  <sheetData>
    <row r="2" customFormat="false" ht="19.7" hidden="false" customHeight="false" outlineLevel="0" collapsed="false">
      <c r="B2" s="1" t="s">
        <v>189</v>
      </c>
    </row>
    <row r="4" customFormat="false" ht="15" hidden="false" customHeight="false" outlineLevel="0" collapsed="false">
      <c r="B4" s="31" t="s">
        <v>190</v>
      </c>
    </row>
    <row r="5" customFormat="false" ht="15" hidden="false" customHeight="false" outlineLevel="0" collapsed="false">
      <c r="B5" s="0" t="s">
        <v>191</v>
      </c>
      <c r="C5" s="19" t="n">
        <v>0.02</v>
      </c>
    </row>
    <row r="6" customFormat="false" ht="15" hidden="false" customHeight="false" outlineLevel="0" collapsed="false">
      <c r="B6" s="0" t="s">
        <v>192</v>
      </c>
      <c r="C6" s="19" t="n">
        <v>0.065</v>
      </c>
    </row>
    <row r="7" customFormat="false" ht="15" hidden="false" customHeight="false" outlineLevel="0" collapsed="false">
      <c r="B7" s="0" t="s">
        <v>193</v>
      </c>
      <c r="C7" s="32" t="n">
        <v>0.02</v>
      </c>
    </row>
    <row r="8" customFormat="false" ht="15" hidden="false" customHeight="false" outlineLevel="0" collapsed="false">
      <c r="B8" s="0" t="s">
        <v>194</v>
      </c>
      <c r="C8" s="16" t="n">
        <f aca="false">IFERROR(ABS('Property Pro Forma'!C13),"-")</f>
        <v>0</v>
      </c>
    </row>
    <row r="9" customFormat="false" ht="15" hidden="false" customHeight="false" outlineLevel="0" collapsed="false">
      <c r="B9" s="0" t="s">
        <v>195</v>
      </c>
      <c r="C9" s="16" t="n">
        <f aca="false">IFERROR('Cap Rate &amp; Valuation'!C8-'Cap Rate &amp; Valuation'!C10,"-")</f>
        <v>0</v>
      </c>
    </row>
    <row r="12" customFormat="false" ht="15" hidden="false" customHeight="false" outlineLevel="0" collapsed="false">
      <c r="C12" s="17" t="s">
        <v>196</v>
      </c>
      <c r="D12" s="17" t="s">
        <v>197</v>
      </c>
      <c r="E12" s="17" t="s">
        <v>198</v>
      </c>
      <c r="F12" s="17" t="s">
        <v>199</v>
      </c>
      <c r="G12" s="17" t="s">
        <v>200</v>
      </c>
    </row>
    <row r="13" customFormat="false" ht="15" hidden="false" customHeight="false" outlineLevel="0" collapsed="false">
      <c r="B13" s="0" t="s">
        <v>147</v>
      </c>
      <c r="C13" s="16" t="n">
        <f aca="false">'Property Pro Forma'!C11</f>
        <v>-2109.25</v>
      </c>
      <c r="D13" s="21" t="n">
        <f aca="false">C13*(1+$C$5)</f>
        <v>-2151.435</v>
      </c>
      <c r="E13" s="21" t="n">
        <f aca="false">D13*(1+$C$5)</f>
        <v>-2194.4637</v>
      </c>
      <c r="F13" s="21" t="n">
        <f aca="false">E13*(1+$C$5)</f>
        <v>-2238.352974</v>
      </c>
      <c r="G13" s="21" t="n">
        <f aca="false">F13*(1+$C$5)</f>
        <v>-2283.12003348</v>
      </c>
    </row>
    <row r="14" customFormat="false" ht="15" hidden="false" customHeight="false" outlineLevel="0" collapsed="false">
      <c r="B14" s="0" t="s">
        <v>145</v>
      </c>
      <c r="C14" s="21" t="n">
        <f aca="false">'Debt Schedule'!E8</f>
        <v>0</v>
      </c>
      <c r="D14" s="21" t="n">
        <f aca="false">'Debt Schedule'!E9</f>
        <v>0</v>
      </c>
      <c r="E14" s="21" t="n">
        <f aca="false">'Debt Schedule'!E10</f>
        <v>0</v>
      </c>
      <c r="F14" s="21" t="n">
        <f aca="false">'Debt Schedule'!E11</f>
        <v>0</v>
      </c>
      <c r="G14" s="21" t="n">
        <f aca="false">'Debt Schedule'!E12</f>
        <v>0</v>
      </c>
    </row>
    <row r="15" customFormat="false" ht="15" hidden="false" customHeight="false" outlineLevel="0" collapsed="false">
      <c r="B15" s="0" t="s">
        <v>201</v>
      </c>
      <c r="C15" s="21" t="n">
        <f aca="false">C13-C14</f>
        <v>-2109.25</v>
      </c>
      <c r="D15" s="21" t="n">
        <f aca="false">D13-D14</f>
        <v>-2151.435</v>
      </c>
      <c r="E15" s="21" t="n">
        <f aca="false">E13-E14</f>
        <v>-2194.4637</v>
      </c>
      <c r="F15" s="21" t="n">
        <f aca="false">F13-F14</f>
        <v>-2238.352974</v>
      </c>
      <c r="G15" s="21" t="n">
        <f aca="false">G13-G14</f>
        <v>-2283.12003348</v>
      </c>
    </row>
    <row r="16" customFormat="false" ht="15" hidden="false" customHeight="false" outlineLevel="0" collapsed="false">
      <c r="B16" s="0" t="s">
        <v>202</v>
      </c>
      <c r="C16" s="33" t="n">
        <f aca="false">IFERROR(C13/C14,0)</f>
        <v>0</v>
      </c>
      <c r="D16" s="33" t="n">
        <f aca="false">IFERROR(D13/D14,0)</f>
        <v>0</v>
      </c>
      <c r="E16" s="33" t="n">
        <f aca="false">IFERROR(E13/E14,0)</f>
        <v>0</v>
      </c>
      <c r="F16" s="33" t="n">
        <f aca="false">IFERROR(F13/F14,0)</f>
        <v>0</v>
      </c>
      <c r="G16" s="33" t="n">
        <f aca="false">IFERROR(G13/G14,0)</f>
        <v>0</v>
      </c>
    </row>
    <row r="18" customFormat="false" ht="15" hidden="false" customHeight="false" outlineLevel="0" collapsed="false">
      <c r="B18" s="31" t="s">
        <v>203</v>
      </c>
    </row>
    <row r="19" customFormat="false" ht="15" hidden="false" customHeight="false" outlineLevel="0" collapsed="false">
      <c r="B19" s="0" t="s">
        <v>204</v>
      </c>
      <c r="C19" s="21" t="n">
        <f aca="false">G13*(1+$C$5)</f>
        <v>-2328.7824341496</v>
      </c>
    </row>
    <row r="20" customFormat="false" ht="15" hidden="false" customHeight="false" outlineLevel="0" collapsed="false">
      <c r="B20" s="0" t="s">
        <v>205</v>
      </c>
      <c r="C20" s="21" t="n">
        <f aca="false">IFERROR(C19/C6,"-")</f>
        <v>-35827.42206384</v>
      </c>
    </row>
    <row r="21" customFormat="false" ht="15" hidden="false" customHeight="false" outlineLevel="0" collapsed="false">
      <c r="B21" s="0" t="s">
        <v>206</v>
      </c>
      <c r="C21" s="21" t="n">
        <f aca="false">-C20*C7</f>
        <v>716.5484412768</v>
      </c>
    </row>
    <row r="22" customFormat="false" ht="15" hidden="false" customHeight="false" outlineLevel="0" collapsed="false">
      <c r="B22" s="0" t="s">
        <v>207</v>
      </c>
      <c r="C22" s="16" t="n">
        <f aca="false">-'Debt Schedule'!G12</f>
        <v>-0</v>
      </c>
    </row>
    <row r="23" customFormat="false" ht="15" hidden="false" customHeight="false" outlineLevel="0" collapsed="false">
      <c r="B23" s="0" t="s">
        <v>208</v>
      </c>
      <c r="C23" s="15" t="n">
        <f aca="false">C20+C21+C22</f>
        <v>-35110.8736225632</v>
      </c>
    </row>
    <row r="25" customFormat="false" ht="15" hidden="false" customHeight="false" outlineLevel="0" collapsed="false">
      <c r="B25" s="31"/>
      <c r="C25" s="17" t="s">
        <v>209</v>
      </c>
      <c r="D25" s="17" t="s">
        <v>196</v>
      </c>
      <c r="E25" s="17" t="s">
        <v>197</v>
      </c>
      <c r="F25" s="17" t="s">
        <v>198</v>
      </c>
      <c r="G25" s="17" t="s">
        <v>199</v>
      </c>
      <c r="H25" s="17" t="s">
        <v>200</v>
      </c>
    </row>
    <row r="26" customFormat="false" ht="15" hidden="false" customHeight="false" outlineLevel="0" collapsed="false">
      <c r="B26" s="0" t="s">
        <v>210</v>
      </c>
      <c r="C26" s="21" t="n">
        <f aca="false">-C9</f>
        <v>-0</v>
      </c>
      <c r="D26" s="21" t="n">
        <f aca="false">C15</f>
        <v>-2109.25</v>
      </c>
      <c r="E26" s="21" t="n">
        <f aca="false">D15</f>
        <v>-2151.435</v>
      </c>
      <c r="F26" s="21" t="n">
        <f aca="false">E15</f>
        <v>-2194.4637</v>
      </c>
      <c r="G26" s="21" t="n">
        <f aca="false">F15</f>
        <v>-2238.352974</v>
      </c>
      <c r="H26" s="21" t="n">
        <f aca="false">G15+C23</f>
        <v>-37393.9936560432</v>
      </c>
    </row>
    <row r="27" customFormat="false" ht="15" hidden="false" customHeight="false" outlineLevel="0" collapsed="false">
      <c r="B27" s="0" t="s">
        <v>185</v>
      </c>
      <c r="C27" s="34" t="str">
        <f aca="false">IFERROR(IRR(C26:H26),"-")</f>
        <v>-</v>
      </c>
    </row>
    <row r="28" customFormat="false" ht="15" hidden="false" customHeight="false" outlineLevel="0" collapsed="false">
      <c r="B28" s="0" t="s">
        <v>211</v>
      </c>
      <c r="C28" s="35" t="str">
        <f aca="false">IFERROR(SUM(D26:H26)/C9,"-")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30"/>
    <col collapsed="false" customWidth="true" hidden="false" outlineLevel="0" max="6" min="6" style="0" width="16"/>
  </cols>
  <sheetData>
    <row r="2" customFormat="false" ht="19.7" hidden="false" customHeight="false" outlineLevel="0" collapsed="false">
      <c r="B2" s="1" t="s">
        <v>212</v>
      </c>
    </row>
    <row r="4" customFormat="false" ht="15" hidden="false" customHeight="false" outlineLevel="0" collapsed="false">
      <c r="B4" s="17" t="s">
        <v>80</v>
      </c>
      <c r="C4" s="17" t="s">
        <v>213</v>
      </c>
      <c r="D4" s="17" t="s">
        <v>214</v>
      </c>
      <c r="E4" s="17" t="s">
        <v>215</v>
      </c>
      <c r="F4" s="17" t="s">
        <v>216</v>
      </c>
    </row>
    <row r="5" customFormat="false" ht="15" hidden="false" customHeight="false" outlineLevel="0" collapsed="false">
      <c r="B5" s="29" t="s">
        <v>217</v>
      </c>
      <c r="C5" s="29" t="s">
        <v>218</v>
      </c>
      <c r="D5" s="29" t="s">
        <v>219</v>
      </c>
      <c r="E5" s="29" t="s">
        <v>220</v>
      </c>
      <c r="F5" s="29" t="s">
        <v>221</v>
      </c>
    </row>
    <row r="6" customFormat="false" ht="15" hidden="false" customHeight="false" outlineLevel="0" collapsed="false">
      <c r="B6" s="29"/>
      <c r="C6" s="29"/>
      <c r="D6" s="29"/>
      <c r="E6" s="29"/>
      <c r="F6" s="29"/>
    </row>
    <row r="7" customFormat="false" ht="15" hidden="false" customHeight="false" outlineLevel="0" collapsed="false">
      <c r="B7" s="29"/>
      <c r="C7" s="29"/>
      <c r="D7" s="29"/>
      <c r="E7" s="29"/>
      <c r="F7" s="29"/>
    </row>
    <row r="8" customFormat="false" ht="15" hidden="false" customHeight="false" outlineLevel="0" collapsed="false">
      <c r="B8" s="29"/>
      <c r="C8" s="29"/>
      <c r="D8" s="29"/>
      <c r="E8" s="29"/>
      <c r="F8" s="29"/>
    </row>
    <row r="9" customFormat="false" ht="15" hidden="false" customHeight="false" outlineLevel="0" collapsed="false">
      <c r="B9" s="29"/>
      <c r="C9" s="29"/>
      <c r="D9" s="29"/>
      <c r="E9" s="29"/>
      <c r="F9" s="29"/>
    </row>
    <row r="10" customFormat="false" ht="15" hidden="false" customHeight="false" outlineLevel="0" collapsed="false">
      <c r="B10" s="29"/>
      <c r="C10" s="29"/>
      <c r="D10" s="29"/>
      <c r="E10" s="29"/>
      <c r="F10" s="29"/>
    </row>
    <row r="11" customFormat="false" ht="15" hidden="false" customHeight="false" outlineLevel="0" collapsed="false">
      <c r="B11" s="29"/>
      <c r="C11" s="29"/>
      <c r="D11" s="29"/>
      <c r="E11" s="29"/>
      <c r="F11" s="29"/>
    </row>
    <row r="12" customFormat="false" ht="15" hidden="false" customHeight="false" outlineLevel="0" collapsed="false">
      <c r="B12" s="29"/>
      <c r="C12" s="29"/>
      <c r="D12" s="29"/>
      <c r="E12" s="29"/>
      <c r="F12" s="29"/>
    </row>
    <row r="13" customFormat="false" ht="15" hidden="false" customHeight="false" outlineLevel="0" collapsed="false">
      <c r="B13" s="29"/>
      <c r="C13" s="29"/>
      <c r="D13" s="29"/>
      <c r="E13" s="29"/>
      <c r="F13" s="29"/>
    </row>
    <row r="14" customFormat="false" ht="15" hidden="false" customHeight="false" outlineLevel="0" collapsed="false">
      <c r="B14" s="29"/>
      <c r="C14" s="29"/>
      <c r="D14" s="29"/>
      <c r="E14" s="29"/>
      <c r="F14" s="2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2026-09-07T21:00:33Z</dcterms:created>
  <dc:creator>openpyxl</dc:creator>
  <dc:description/>
  <dc:language>en-US</dc:language>
  <cp:lastModifiedBy/>
  <dcterms:modified xsi:type="dcterms:W3CDTF">2026-09-07T21:00:54Z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