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llateral" sheetId="6" state="visible" r:id="rId8"/>
    <sheet name="Loss Curves" sheetId="7" state="visible" r:id="rId9"/>
    <sheet name="Waterfall" sheetId="8" state="visible" r:id="rId10"/>
    <sheet name="Triggers" sheetId="9" state="visible" r:id="rId11"/>
    <sheet name="Tranche Analytic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<sst xmlns="http://schemas.openxmlformats.org/spreadsheetml/2006/main" count="466" uniqueCount="289">
  <si>
    <t xml:space="preserve">[TRANSACTION] — Structured Credit Model</t>
  </si>
  <si>
    <t xml:space="preserve">Transaction / collateral:</t>
  </si>
  <si>
    <t xml:space="preserve">U.S. mortgage-crisis delinquency stress</t>
  </si>
  <si>
    <t xml:space="preserve">Cut-off / payment date:</t>
  </si>
  <si>
    <t xml:space="preserve">[dates]</t>
  </si>
  <si>
    <t xml:space="preserve">Last refreshed:</t>
  </si>
  <si>
    <t xml:space="preserve">2009-10-01</t>
  </si>
  <si>
    <t xml:space="preserve">Next distribution / trigger date:</t>
  </si>
  <si>
    <t xml:space="preserve">[date]</t>
  </si>
  <si>
    <t xml:space="preserve">Refresh cadence:</t>
  </si>
  <si>
    <t xml:space="preserve">Monthly and on servicer reports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</si>
  <si>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</si>
  <si>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</si>
  <si>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</si>
  <si>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</si>
  <si>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</si>
  <si>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</si>
  <si>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</si>
  <si>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</si>
  <si>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</si>
  <si>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</si>
  <si>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</si>
  <si>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</si>
  <si>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</si>
  <si>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Structured Finance &amp; Securitization — Institutional Decision Surface</t>
  </si>
  <si>
    <t xml:space="preserve">Model ID</t>
  </si>
  <si>
    <t xml:space="preserve">19</t>
  </si>
  <si>
    <t xml:space="preserve">Domain</t>
  </si>
  <si>
    <t xml:space="preserve">Structured Finance &amp; Securitization</t>
  </si>
  <si>
    <t xml:space="preserve">Declared maturity</t>
  </si>
  <si>
    <t xml:space="preserve">M2</t>
  </si>
  <si>
    <t xml:space="preserve">Canonical builder</t>
  </si>
  <si>
    <t xml:space="preserve">tools/builders/build_securitization_institutional.py</t>
  </si>
  <si>
    <t xml:space="preserve">Decision arena</t>
  </si>
  <si>
    <t xml:space="preserve">structuring, collateral, servicing, trustee, rating agency and investor</t>
  </si>
  <si>
    <t xml:space="preserve">Committee artifact</t>
  </si>
  <si>
    <t xml:space="preserve">cash-flow, trigger and tranche-loss pack</t>
  </si>
  <si>
    <t xml:space="preserve">Operating cadence</t>
  </si>
  <si>
    <t xml:space="preserve">monthly surveillance; event-driven trigger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</si>
  <si>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</si>
  <si>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</si>
  <si>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</si>
  <si>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</si>
  <si>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</si>
  <si>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</si>
  <si>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collateral cash flow and losses</t>
  </si>
  <si>
    <t xml:space="preserve">OPEN</t>
  </si>
  <si>
    <t xml:space="preserve">tranche interest/principal waterfall</t>
  </si>
  <si>
    <t xml:space="preserve">OC/IC and performance triggers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</si>
  <si>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</si>
  <si>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</si>
  <si>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</si>
  <si>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changes when the trigger fails?</t>
  </si>
  <si>
    <t xml:space="preserve">Who advances delinquent interest and for how long?</t>
  </si>
  <si>
    <t xml:space="preserve">Which tape fields are servicer-created?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</si>
  <si>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</si>
  <si>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</si>
  <si>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</si>
  <si>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default and severity</t>
  </si>
  <si>
    <t xml:space="preserve">prepayment</t>
  </si>
  <si>
    <t xml:space="preserve">recovery timing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</si>
  <si>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</si>
  <si>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</si>
  <si>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</si>
  <si>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offering memorandum</t>
  </si>
  <si>
    <t xml:space="preserve">pool tape and data dictionary</t>
  </si>
  <si>
    <t xml:space="preserve">servicing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</si>
  <si>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</si>
  <si>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</si>
  <si>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</si>
  <si>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collateral roll-forward conserves</t>
  </si>
  <si>
    <t xml:space="preserve">waterfall distributes available funds only</t>
  </si>
  <si>
    <t xml:space="preserve">tranche balances nonnegative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</si>
  <si>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</si>
  <si>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</si>
  <si>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</si>
  <si>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pool averages where tails drive loss</t>
  </si>
  <si>
    <t xml:space="preserve">ignoring delinquency roll and modification</t>
  </si>
  <si>
    <t xml:space="preserve">misreading trigger cure mechanics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</si>
  <si>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</si>
  <si>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</si>
  <si>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</si>
  <si>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</si>
  <si>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</si>
  <si>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</si>
  <si>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</si>
  <si>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</si>
  <si>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</si>
  <si>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</si>
  <si>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</si>
  <si>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</si>
  <si>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</si>
  <si>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</si>
  <si>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</si>
  <si>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</si>
  <si>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</si>
  <si>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</si>
  <si>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</si>
  <si>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</si>
  <si>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</si>
  <si>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</si>
  <si>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</si>
  <si>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</si>
  <si>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</si>
  <si>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</si>
  <si>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</si>
  <si>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</si>
  <si>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</si>
  <si>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</si>
  <si>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</si>
  <si>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tape</t>
  </si>
  <si>
    <t xml:space="preserve">monthly</t>
  </si>
  <si>
    <t xml:space="preserve">field and cut-off reconciliation</t>
  </si>
  <si>
    <t xml:space="preserve">TO MAP</t>
  </si>
  <si>
    <t xml:space="preserve">servicer report</t>
  </si>
  <si>
    <t xml:space="preserve">cash and status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</si>
  <si>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</si>
  <si>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</si>
  <si>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</si>
  <si>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</si>
  <si>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</si>
  <si>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</si>
  <si>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Collateral and Capital Structure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</si>
  <si>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</si>
  <si>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</si>
  <si>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</si>
  <si>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</si>
  <si>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</si>
  <si>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</si>
  <si>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</si>
  <si>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</si>
  <si>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</si>
  <si>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</si>
  <si>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</si>
  <si>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</si>
  <si>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</si>
  <si>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</si>
  <si>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</si>
  <si>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</si>
  <si>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</si>
  <si>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</si>
  <si>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</si>
  <si>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</si>
  <si>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</si>
  <si>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</si>
  <si>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</si>
  <si>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</si>
  <si>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</si>
  <si>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</si>
  <si>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</si>
  <si>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</si>
  <si>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</si>
  <si>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</si>
  <si>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</si>
  <si>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</si>
  <si>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</si>
  <si>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</si>
  <si>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</si>
  <si>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</si>
  <si>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</si>
  <si>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</si>
  <si>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</si>
  <si>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</si>
  <si>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</si>
  <si>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</si>
  <si>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</si>
  <si>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</si>
  <si>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</si>
  <si>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</si>
  <si>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</si>
  <si>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</si>
  <si>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</si>
  <si>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</si>
  <si>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</si>
  <si>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</si>
  <si>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</si>
  <si>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</si>
  <si>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</si>
  <si>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</si>
  <si>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</si>
  <si>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</si>
  <si>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</si>
  <si>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</si>
  <si>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</si>
  <si>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</si>
  <si>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</si>
  <si>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</si>
  <si>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</si>
  <si>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</si>
  <si>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</si>
  <si>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</si>
  <si>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</si>
  <si>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</si>
  <si>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</si>
  <si>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</si>
  <si>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</si>
  <si>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</si>
  <si>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</si>
  <si>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</si>
  <si>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</si>
  <si>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</si>
  <si>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</si>
  <si>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</si>
  <si>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</si>
  <si>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</si>
  <si>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</si>
  <si>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</si>
  <si>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</si>
  <si>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</si>
  <si>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</si>
  <si>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</si>
  <si>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</si>
  <si>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</si>
  <si>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</si>
  <si>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</si>
  <si>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</si>
  <si>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</si>
  <si>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</si>
  <si>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</si>
  <si>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</si>
  <si>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</si>
  <si>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</si>
  <si>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</si>
  <si>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</si>
  <si>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</si>
  <si>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</si>
  <si>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</si>
  <si>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</si>
  <si>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</si>
  <si>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</si>
  <si>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</si>
  <si>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</si>
  <si>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</si>
  <si>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</si>
  <si>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</si>
  <si>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</si>
  <si>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</si>
  <si>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</si>
  <si>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</si>
  <si>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</si>
  <si>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</si>
  <si>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</si>
  <si>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</si>
  <si>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</si>
  <si>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</si>
  <si>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</si>
  <si>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</si>
  <si>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</si>
  <si>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</si>
  <si>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</si>
  <si>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</si>
  <si>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</si>
  <si>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</si>
  <si>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</si>
  <si>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</si>
  <si>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</si>
  <si>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</si>
  <si>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</si>
  <si>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</si>
  <si>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</si>
  <si>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</si>
  <si>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</si>
  <si>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</si>
  <si>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</si>
  <si>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</si>
  <si>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</si>
  <si>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Mortgage delinquency rate via FRED</t>
  </si>
  <si>
    <t xml:space="preserve">https://fred.stlouisfed.org/series/DRSFRMACBS</t>
  </si>
  <si>
    <t xml:space="preserve">Federal Reserve Board / FRED; frozen curated observation as of case date</t>
  </si>
  <si>
    <t xml:space="preserve">Frozen source snapshot</t>
  </si>
  <si>
    <t xml:space="preserve">repo://19_Structured_Finance_Securitization/sources/snapshots/securitization-fed-mortgage-2009.json</t>
  </si>
  <si>
    <t xml:space="preserve">Immutable curated observation package with SHA-256 digest</t>
  </si>
  <si>
    <t xml:space="preserve">Retained modeler assumption from securitization-adversarial-default.json</t>
  </si>
  <si>
    <t xml:space="preserve">repo://standards/benchmark_cases/securitization-adversarial-default.json</t>
  </si>
  <si>
    <t xml:space="preserve">Not an external observation; retained for sensitivity and transaction-structure completeness</t>
  </si>
  <si>
    <t xml:space="preserve">Stressed recovery assumption</t>
  </si>
  <si>
    <t xml:space="preserve">Modeler-owned assumption documented in frozen snapshot</t>
  </si>
  <si>
    <t xml:space="preserve">Stressed recovery lag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</si>
  <si>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</si>
  <si>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</si>
  <si>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</si>
  <si>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</si>
  <si>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</si>
  <si>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</si>
  <si>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</si>
  <si>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</si>
  <si>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securitization-fed-mortgage-2009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</si>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</sst>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12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1000</v>
      </c>
      <c r="D5" s="17" t="n">
        <v>1000</v>
      </c>
      <c r="E5" s="18" t="n">
        <f aca="false">IF(Cover!$C$9="Downside",D5,C5)</f>
        <v>1000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9" t="n">
        <v>0.08</v>
      </c>
      <c r="D6" s="19" t="n">
        <v>0.075</v>
      </c>
      <c r="E6" s="20" t="n">
        <f aca="false">IF(Cover!$C$9="Downside",D6,C6)</f>
        <v>0.075</v>
      </c>
      <c r="F6" s="1" t="s">
        <v>130</v>
      </c>
    </row>
    <row r="7" customFormat="false" ht="15" hidden="false" customHeight="true" outlineLevel="0" collapsed="false">
      <c r="B7" s="1" t="s">
        <v>131</v>
      </c>
      <c r="C7" s="19" t="n">
        <v>0.12</v>
      </c>
      <c r="D7" s="21" t="n">
        <v>0.03</v>
      </c>
      <c r="E7" s="20" t="n">
        <f aca="false">IF(Cover!$C$9="Downside",D7,C7)</f>
        <v>0.03</v>
      </c>
      <c r="F7" s="1" t="s">
        <v>130</v>
      </c>
    </row>
    <row r="8" customFormat="false" ht="15" hidden="false" customHeight="true" outlineLevel="0" collapsed="false">
      <c r="B8" s="1" t="s">
        <v>132</v>
      </c>
      <c r="C8" s="19" t="n">
        <v>0.025</v>
      </c>
      <c r="D8" s="21" t="n">
        <v>0.1014</v>
      </c>
      <c r="E8" s="20" t="n">
        <f aca="false">IF(Cover!$C$9="Downside",D8,C8)</f>
        <v>0.1014</v>
      </c>
      <c r="F8" s="1" t="s">
        <v>130</v>
      </c>
    </row>
    <row r="9" customFormat="false" ht="15" hidden="false" customHeight="true" outlineLevel="0" collapsed="false">
      <c r="B9" s="1" t="s">
        <v>133</v>
      </c>
      <c r="C9" s="19" t="n">
        <v>0.45</v>
      </c>
      <c r="D9" s="21" t="n">
        <v>0.15</v>
      </c>
      <c r="E9" s="20" t="n">
        <f aca="false">IF(Cover!$C$9="Downside",D9,C9)</f>
        <v>0.15</v>
      </c>
      <c r="F9" s="1" t="s">
        <v>130</v>
      </c>
    </row>
    <row r="10" customFormat="false" ht="15" hidden="false" customHeight="true" outlineLevel="0" collapsed="false">
      <c r="B10" s="1" t="s">
        <v>134</v>
      </c>
      <c r="C10" s="22" t="n">
        <v>3</v>
      </c>
      <c r="D10" s="23" t="n">
        <v>9</v>
      </c>
      <c r="E10" s="24" t="n">
        <f aca="false">IF(Cover!$C$9="Downside",D10,C10)</f>
        <v>9</v>
      </c>
      <c r="F10" s="1" t="s">
        <v>135</v>
      </c>
    </row>
    <row r="11" customFormat="false" ht="15" hidden="false" customHeight="true" outlineLevel="0" collapsed="false">
      <c r="B11" s="1" t="s">
        <v>136</v>
      </c>
      <c r="C11" s="19" t="n">
        <v>0.01</v>
      </c>
      <c r="D11" s="19" t="n">
        <v>0.012</v>
      </c>
      <c r="E11" s="20" t="n">
        <f aca="false">IF(Cover!$C$9="Downside",D11,C11)</f>
        <v>0.012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17" t="n">
        <v>650</v>
      </c>
      <c r="D12" s="17" t="n">
        <v>650</v>
      </c>
      <c r="E12" s="18" t="n">
        <f aca="false">IF(Cover!$C$9="Downside",D12,C12)</f>
        <v>650</v>
      </c>
      <c r="F12" s="1" t="s">
        <v>128</v>
      </c>
    </row>
    <row r="13" customFormat="false" ht="15" hidden="false" customHeight="true" outlineLevel="0" collapsed="false">
      <c r="B13" s="1" t="s">
        <v>139</v>
      </c>
      <c r="C13" s="19" t="n">
        <v>0.05</v>
      </c>
      <c r="D13" s="19" t="n">
        <v>0.06</v>
      </c>
      <c r="E13" s="20" t="n">
        <f aca="false">IF(Cover!$C$9="Downside",D13,C13)</f>
        <v>0.06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17" t="n">
        <v>220</v>
      </c>
      <c r="D14" s="17" t="n">
        <v>220</v>
      </c>
      <c r="E14" s="18" t="n">
        <f aca="false">IF(Cover!$C$9="Downside",D14,C14)</f>
        <v>220</v>
      </c>
      <c r="F14" s="1" t="s">
        <v>128</v>
      </c>
    </row>
    <row r="15" customFormat="false" ht="15" hidden="false" customHeight="true" outlineLevel="0" collapsed="false">
      <c r="B15" s="1" t="s">
        <v>141</v>
      </c>
      <c r="C15" s="19" t="n">
        <v>0.08</v>
      </c>
      <c r="D15" s="19" t="n">
        <v>0.1</v>
      </c>
      <c r="E15" s="20" t="n">
        <f aca="false">IF(Cover!$C$9="Downside",D15,C15)</f>
        <v>0.1</v>
      </c>
      <c r="F15" s="1" t="s">
        <v>130</v>
      </c>
    </row>
    <row r="16" customFormat="false" ht="15" hidden="false" customHeight="true" outlineLevel="0" collapsed="false">
      <c r="B16" s="1" t="s">
        <v>142</v>
      </c>
      <c r="C16" s="17" t="n">
        <v>20</v>
      </c>
      <c r="D16" s="17" t="n">
        <v>20</v>
      </c>
      <c r="E16" s="18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25" t="n">
        <v>1.08</v>
      </c>
      <c r="D17" s="25" t="n">
        <v>1.08</v>
      </c>
      <c r="E17" s="26" t="n">
        <f aca="false">IF(Cover!$C$9="Downside",D17,C17)</f>
        <v>1.08</v>
      </c>
      <c r="F17" s="1" t="s">
        <v>144</v>
      </c>
    </row>
    <row r="18" customFormat="false" ht="15" hidden="false" customHeight="true" outlineLevel="0" collapsed="false">
      <c r="B18" s="1" t="s">
        <v>145</v>
      </c>
      <c r="C18" s="25" t="n">
        <v>1.5</v>
      </c>
      <c r="D18" s="25" t="n">
        <v>1.5</v>
      </c>
      <c r="E18" s="26" t="n">
        <f aca="false">IF(Cover!$C$9="Downside",D18,C18)</f>
        <v>1.5</v>
      </c>
      <c r="F18" s="1" t="s">
        <v>144</v>
      </c>
    </row>
    <row r="19" customFormat="false" ht="15" hidden="false" customHeight="true" outlineLevel="0" collapsed="false">
      <c r="B19" s="1" t="s">
        <v>146</v>
      </c>
      <c r="C19" s="25" t="n">
        <v>1.15</v>
      </c>
      <c r="D19" s="25" t="n">
        <v>1.15</v>
      </c>
      <c r="E19" s="26" t="n">
        <f aca="false">IF(Cover!$C$9="Downside",D19,C19)</f>
        <v>1.15</v>
      </c>
      <c r="F19" s="1" t="s">
        <v>144</v>
      </c>
    </row>
    <row r="20" customFormat="false" ht="15" hidden="false" customHeight="true" outlineLevel="0" collapsed="false">
      <c r="B20" s="1" t="s">
        <v>147</v>
      </c>
      <c r="C20" s="22" t="n">
        <v>12</v>
      </c>
      <c r="D20" s="22" t="n">
        <v>12</v>
      </c>
      <c r="E20" s="24" t="n">
        <f aca="false">IF(Cover!$C$9="Downside",D20,C20)</f>
        <v>12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2" t="n">
        <v>24</v>
      </c>
      <c r="D21" s="22" t="n">
        <v>24</v>
      </c>
      <c r="E21" s="24" t="n">
        <f aca="false">IF(Cover!$C$9="Downside",D21,C21)</f>
        <v>24</v>
      </c>
      <c r="F21" s="1" t="s">
        <v>135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174</v>
      </c>
      <c r="C5" s="27" t="n">
        <f aca="false">Assumptions!E5</f>
        <v>1000</v>
      </c>
      <c r="D5" s="27" t="n">
        <f aca="false">C14</f>
        <v>947.424853711269</v>
      </c>
      <c r="E5" s="27" t="n">
        <f aca="false">D14</f>
        <v>895.917040852447</v>
      </c>
      <c r="F5" s="27" t="n">
        <f aca="false">E14</f>
        <v>845.459075037548</v>
      </c>
      <c r="G5" s="27" t="n">
        <f aca="false">F14</f>
        <v>796.033729675839</v>
      </c>
      <c r="H5" s="27" t="n">
        <f aca="false">G14</f>
        <v>747.624034323129</v>
      </c>
      <c r="I5" s="27" t="n">
        <f aca="false">H14</f>
        <v>700.213271082461</v>
      </c>
      <c r="J5" s="27" t="n">
        <f aca="false">I14</f>
        <v>653.784971053555</v>
      </c>
      <c r="K5" s="27" t="n">
        <f aca="false">J14</f>
        <v>608.322910830361</v>
      </c>
      <c r="L5" s="27" t="n">
        <f aca="false">K14</f>
        <v>563.811109046088</v>
      </c>
      <c r="M5" s="27" t="n">
        <f aca="false">L14</f>
        <v>520.233822965071</v>
      </c>
      <c r="N5" s="27" t="n">
        <f aca="false">M14</f>
        <v>477.575545120872</v>
      </c>
      <c r="O5" s="27" t="n">
        <f aca="false">N14</f>
        <v>435.821</v>
      </c>
      <c r="P5" s="27" t="n">
        <f aca="false">O14</f>
        <v>394.955140770633</v>
      </c>
      <c r="Q5" s="27" t="n">
        <f aca="false">P14</f>
        <v>354.963146055776</v>
      </c>
      <c r="R5" s="27" t="n">
        <f aca="false">Q14</f>
        <v>315.830416750233</v>
      </c>
      <c r="S5" s="27" t="n">
        <f aca="false">R14</f>
        <v>277.542572880843</v>
      </c>
      <c r="T5" s="27" t="n">
        <f aca="false">S14</f>
        <v>240.085450509388</v>
      </c>
      <c r="U5" s="27" t="n">
        <f aca="false">T14</f>
        <v>203.445098677619</v>
      </c>
      <c r="V5" s="27" t="n">
        <f aca="false">U14</f>
        <v>167.607776393842</v>
      </c>
      <c r="W5" s="27" t="n">
        <f aca="false">V14</f>
        <v>132.559949660499</v>
      </c>
      <c r="X5" s="27" t="n">
        <f aca="false">W14</f>
        <v>98.2882885422301</v>
      </c>
      <c r="Y5" s="27" t="n">
        <f aca="false">X14</f>
        <v>64.7796642738458</v>
      </c>
      <c r="Z5" s="27" t="n">
        <f aca="false">Y14</f>
        <v>32.0211464077114</v>
      </c>
    </row>
    <row r="6" customFormat="false" ht="15" hidden="false" customHeight="true" outlineLevel="0" collapsed="false">
      <c r="B6" s="1" t="s">
        <v>175</v>
      </c>
      <c r="C6" s="27" t="n">
        <f aca="false">MIN(C5,C5/24)</f>
        <v>41.6666666666667</v>
      </c>
      <c r="D6" s="27" t="n">
        <f aca="false">MIN(D5,D5/23)</f>
        <v>41.1923849439682</v>
      </c>
      <c r="E6" s="27" t="n">
        <f aca="false">MIN(E5,E5/22)</f>
        <v>40.7235018569294</v>
      </c>
      <c r="F6" s="27" t="n">
        <f aca="false">MIN(F5,F5/21)</f>
        <v>40.2599559541689</v>
      </c>
      <c r="G6" s="27" t="n">
        <f aca="false">MIN(G5,G5/20)</f>
        <v>39.801686483792</v>
      </c>
      <c r="H6" s="27" t="n">
        <f aca="false">MIN(H5,H5/19)</f>
        <v>39.3486333854278</v>
      </c>
      <c r="I6" s="27" t="n">
        <f aca="false">MIN(I5,I5/18)</f>
        <v>38.9007372823589</v>
      </c>
      <c r="J6" s="27" t="n">
        <f aca="false">MIN(J5,J5/17)</f>
        <v>38.4579394737385</v>
      </c>
      <c r="K6" s="27" t="n">
        <f aca="false">MIN(K5,K5/16)</f>
        <v>38.0201819268976</v>
      </c>
      <c r="L6" s="27" t="n">
        <f aca="false">MIN(L5,L5/15)</f>
        <v>37.5874072697392</v>
      </c>
      <c r="M6" s="27" t="n">
        <f aca="false">MIN(M5,M5/14)</f>
        <v>37.1595587832194</v>
      </c>
      <c r="N6" s="27" t="n">
        <f aca="false">MIN(N5,N5/13)</f>
        <v>36.7365803939133</v>
      </c>
      <c r="O6" s="27" t="n">
        <f aca="false">MIN(O5,O5/12)</f>
        <v>36.3184166666666</v>
      </c>
      <c r="P6" s="27" t="n">
        <f aca="false">MIN(P5,P5/11)</f>
        <v>35.9050127973303</v>
      </c>
      <c r="Q6" s="27" t="n">
        <f aca="false">MIN(Q5,Q5/10)</f>
        <v>35.4963146055776</v>
      </c>
      <c r="R6" s="27" t="n">
        <f aca="false">MIN(R5,R5/9)</f>
        <v>35.0922685278037</v>
      </c>
      <c r="S6" s="27" t="n">
        <f aca="false">MIN(S5,S5/8)</f>
        <v>34.6928216101054</v>
      </c>
      <c r="T6" s="27" t="n">
        <f aca="false">MIN(T5,T5/7)</f>
        <v>34.2979215013411</v>
      </c>
      <c r="U6" s="27" t="n">
        <f aca="false">MIN(U5,U5/6)</f>
        <v>33.9075164462699</v>
      </c>
      <c r="V6" s="27" t="n">
        <f aca="false">MIN(V5,V5/5)</f>
        <v>33.5215552787684</v>
      </c>
      <c r="W6" s="27" t="n">
        <f aca="false">MIN(W5,W5/4)</f>
        <v>33.1399874151249</v>
      </c>
      <c r="X6" s="27" t="n">
        <f aca="false">MIN(X5,X5/3)</f>
        <v>32.76276284741</v>
      </c>
      <c r="Y6" s="27" t="n">
        <f aca="false">MIN(Y5,Y5/2)</f>
        <v>32.3898321369229</v>
      </c>
      <c r="Z6" s="27" t="n">
        <f aca="false">MIN(Z5,Z5/1)</f>
        <v>32.0211464077114</v>
      </c>
    </row>
    <row r="7" customFormat="false" ht="15" hidden="false" customHeight="true" outlineLevel="0" collapsed="false">
      <c r="B7" s="1" t="s">
        <v>176</v>
      </c>
      <c r="C7" s="27" t="n">
        <f aca="false">MAX(0,C5-C6)*'Loss Curves'!C6</f>
        <v>8.50060748703141</v>
      </c>
      <c r="D7" s="27" t="n">
        <f aca="false">MAX(0,D5-D6)*'Loss Curves'!D6</f>
        <v>8.03846244416794</v>
      </c>
      <c r="E7" s="27" t="n">
        <f aca="false">MAX(0,E5-E6)*'Loss Curves'!E6</f>
        <v>7.58573697437863</v>
      </c>
      <c r="F7" s="27" t="n">
        <f aca="false">MAX(0,F5-F6)*'Loss Curves'!F6</f>
        <v>7.14227651502393</v>
      </c>
      <c r="G7" s="27" t="n">
        <f aca="false">MAX(0,G5-G6)*'Loss Curves'!G6</f>
        <v>6.70792880169535</v>
      </c>
      <c r="H7" s="27" t="n">
        <f aca="false">MAX(0,H5-H6)*'Loss Curves'!H6</f>
        <v>6.28254383592125</v>
      </c>
      <c r="I7" s="27" t="n">
        <f aca="false">MAX(0,I5-I6)*'Loss Curves'!I6</f>
        <v>5.86597385331012</v>
      </c>
      <c r="J7" s="27" t="n">
        <f aca="false">MAX(0,J5-J6)*'Loss Curves'!J6</f>
        <v>5.45807329212543</v>
      </c>
      <c r="K7" s="27" t="n">
        <f aca="false">MAX(0,K5-K6)*'Loss Curves'!K6</f>
        <v>5.0586987622865</v>
      </c>
      <c r="L7" s="27" t="n">
        <f aca="false">MAX(0,L5-L6)*'Loss Curves'!L6</f>
        <v>4.66770901478965</v>
      </c>
      <c r="M7" s="27" t="n">
        <f aca="false">MAX(0,M5-M6)*'Loss Curves'!M6</f>
        <v>4.28496491154411</v>
      </c>
      <c r="N7" s="27" t="n">
        <f aca="false">MAX(0,N5-N6)*'Loss Curves'!N6</f>
        <v>3.91032939561722</v>
      </c>
      <c r="O7" s="27" t="n">
        <f aca="false">MAX(0,O5-O6)*'Loss Curves'!O6</f>
        <v>3.54366746188354</v>
      </c>
      <c r="P7" s="27" t="n">
        <f aca="false">MAX(0,P5-P6)*'Loss Curves'!P6</f>
        <v>3.18484612807247</v>
      </c>
      <c r="Q7" s="27" t="n">
        <f aca="false">MAX(0,Q5-Q6)*'Loss Curves'!Q6</f>
        <v>2.83373440620914</v>
      </c>
      <c r="R7" s="27" t="n">
        <f aca="false">MAX(0,R5-R6)*'Loss Curves'!R6</f>
        <v>2.49020327444339</v>
      </c>
      <c r="S7" s="27" t="n">
        <f aca="false">MAX(0,S5-S6)*'Loss Curves'!S6</f>
        <v>2.15412564926165</v>
      </c>
      <c r="T7" s="27" t="n">
        <f aca="false">MAX(0,T5-T6)*'Loss Curves'!T6</f>
        <v>1.82537635807669</v>
      </c>
      <c r="U7" s="27" t="n">
        <f aca="false">MAX(0,U5-U6)*'Loss Curves'!U6</f>
        <v>1.50383211219027</v>
      </c>
      <c r="V7" s="27" t="n">
        <f aca="false">MAX(0,V5-V6)*'Loss Curves'!V6</f>
        <v>1.1893714801237</v>
      </c>
      <c r="W7" s="27" t="n">
        <f aca="false">MAX(0,W5-W6)*'Loss Curves'!W6</f>
        <v>0.881874861311386</v>
      </c>
      <c r="X7" s="27" t="n">
        <f aca="false">MAX(0,X5-X6)*'Loss Curves'!X6</f>
        <v>0.581224460152755</v>
      </c>
      <c r="Y7" s="27" t="n">
        <f aca="false">MAX(0,Y5-Y6)*'Loss Curves'!Y6</f>
        <v>0.287304260417549</v>
      </c>
      <c r="Z7" s="27" t="n">
        <f aca="false">MAX(0,Z5-Z6)*'Loss Curves'!Z6</f>
        <v>0</v>
      </c>
    </row>
    <row r="8" customFormat="false" ht="15" hidden="false" customHeight="true" outlineLevel="0" collapsed="false">
      <c r="B8" s="1" t="s">
        <v>177</v>
      </c>
      <c r="C8" s="27" t="n">
        <v>0</v>
      </c>
      <c r="D8" s="27" t="n">
        <v>0</v>
      </c>
      <c r="E8" s="27" t="n">
        <v>0</v>
      </c>
      <c r="F8" s="27" t="n">
        <f aca="false">C7*Assumptions!$E$9</f>
        <v>1.27509112305471</v>
      </c>
      <c r="G8" s="27" t="n">
        <f aca="false">D7*Assumptions!$E$9</f>
        <v>1.20576936662519</v>
      </c>
      <c r="H8" s="27" t="n">
        <f aca="false">E7*Assumptions!$E$9</f>
        <v>1.13786054615679</v>
      </c>
      <c r="I8" s="27" t="n">
        <f aca="false">F7*Assumptions!$E$9</f>
        <v>1.07134147725359</v>
      </c>
      <c r="J8" s="27" t="n">
        <f aca="false">G7*Assumptions!$E$9</f>
        <v>1.0061893202543</v>
      </c>
      <c r="K8" s="27" t="n">
        <f aca="false">H7*Assumptions!$E$9</f>
        <v>0.942381575388188</v>
      </c>
      <c r="L8" s="27" t="n">
        <f aca="false">I7*Assumptions!$E$9</f>
        <v>0.879896077996517</v>
      </c>
      <c r="M8" s="27" t="n">
        <f aca="false">J7*Assumptions!$E$9</f>
        <v>0.818710993818814</v>
      </c>
      <c r="N8" s="27" t="n">
        <f aca="false">K7*Assumptions!$E$9</f>
        <v>0.758804814342975</v>
      </c>
      <c r="O8" s="27" t="n">
        <f aca="false">L7*Assumptions!$E$9</f>
        <v>0.700156352218448</v>
      </c>
      <c r="P8" s="27" t="n">
        <f aca="false">M7*Assumptions!$E$9</f>
        <v>0.642744736731617</v>
      </c>
      <c r="Q8" s="27" t="n">
        <f aca="false">N7*Assumptions!$E$9</f>
        <v>0.586549409342583</v>
      </c>
      <c r="R8" s="27" t="n">
        <f aca="false">O7*Assumptions!$E$9</f>
        <v>0.53155011928253</v>
      </c>
      <c r="S8" s="27" t="n">
        <f aca="false">P7*Assumptions!$E$9</f>
        <v>0.47772691921087</v>
      </c>
      <c r="T8" s="27" t="n">
        <f aca="false">Q7*Assumptions!$E$9</f>
        <v>0.425060160931371</v>
      </c>
      <c r="U8" s="27" t="n">
        <f aca="false">R7*Assumptions!$E$9</f>
        <v>0.373530491166509</v>
      </c>
      <c r="V8" s="27" t="n">
        <f aca="false">S7*Assumptions!$E$9</f>
        <v>0.323118847389247</v>
      </c>
      <c r="W8" s="27" t="n">
        <f aca="false">T7*Assumptions!$E$9</f>
        <v>0.273806453711504</v>
      </c>
      <c r="X8" s="27" t="n">
        <f aca="false">U7*Assumptions!$E$9</f>
        <v>0.225574816828541</v>
      </c>
      <c r="Y8" s="27" t="n">
        <f aca="false">V7*Assumptions!$E$9</f>
        <v>0.178405722018555</v>
      </c>
      <c r="Z8" s="27" t="n">
        <f aca="false">W7*Assumptions!$E$9</f>
        <v>0.132281229196708</v>
      </c>
    </row>
    <row r="9" customFormat="false" ht="15" hidden="false" customHeight="true" outlineLevel="0" collapsed="false">
      <c r="B9" s="1" t="s">
        <v>178</v>
      </c>
      <c r="C9" s="27" t="n">
        <f aca="false">MAX(0,C5-C6-C7)*'Loss Curves'!C5</f>
        <v>2.40787213503339</v>
      </c>
      <c r="D9" s="27" t="n">
        <f aca="false">MAX(0,D5-D6-D7)*'Loss Curves'!D5</f>
        <v>2.27696547068588</v>
      </c>
      <c r="E9" s="27" t="n">
        <f aca="false">MAX(0,E5-E6-E7)*'Loss Curves'!E5</f>
        <v>2.14872698359085</v>
      </c>
      <c r="F9" s="27" t="n">
        <f aca="false">MAX(0,F5-F6-F7)*'Loss Curves'!F5</f>
        <v>2.02311289251579</v>
      </c>
      <c r="G9" s="27" t="n">
        <f aca="false">MAX(0,G5-G6-G7)*'Loss Curves'!G5</f>
        <v>1.90008006722243</v>
      </c>
      <c r="H9" s="27" t="n">
        <f aca="false">MAX(0,H5-H6-H7)*'Loss Curves'!H5</f>
        <v>1.77958601931912</v>
      </c>
      <c r="I9" s="27" t="n">
        <f aca="false">MAX(0,I5-I6-I7)*'Loss Curves'!I5</f>
        <v>1.66158889323714</v>
      </c>
      <c r="J9" s="27" t="n">
        <f aca="false">MAX(0,J5-J6-J7)*'Loss Curves'!J5</f>
        <v>1.54604745732923</v>
      </c>
      <c r="K9" s="27" t="n">
        <f aca="false">MAX(0,K5-K6-K7)*'Loss Curves'!K5</f>
        <v>1.43292109508885</v>
      </c>
      <c r="L9" s="27" t="n">
        <f aca="false">MAX(0,L5-L6-L7)*'Loss Curves'!L5</f>
        <v>1.32216979648841</v>
      </c>
      <c r="M9" s="27" t="n">
        <f aca="false">MAX(0,M5-M6-M7)*'Loss Curves'!M5</f>
        <v>1.21375414943503</v>
      </c>
      <c r="N9" s="27" t="n">
        <f aca="false">MAX(0,N5-N6-N7)*'Loss Curves'!N5</f>
        <v>1.10763533134227</v>
      </c>
      <c r="O9" s="27" t="n">
        <f aca="false">MAX(0,O5-O6-O7)*'Loss Curves'!O5</f>
        <v>1.0037751008162</v>
      </c>
      <c r="P9" s="27" t="n">
        <f aca="false">MAX(0,P5-P6-P7)*'Loss Curves'!P5</f>
        <v>0.902135789454354</v>
      </c>
      <c r="Q9" s="27" t="n">
        <f aca="false">MAX(0,Q5-Q6-Q7)*'Loss Curves'!Q5</f>
        <v>0.802680293756183</v>
      </c>
      <c r="R9" s="27" t="n">
        <f aca="false">MAX(0,R5-R6-R7)*'Loss Curves'!R5</f>
        <v>0.7053720671433</v>
      </c>
      <c r="S9" s="27" t="n">
        <f aca="false">MAX(0,S5-S6-S7)*'Loss Curves'!S5</f>
        <v>0.610175112088277</v>
      </c>
      <c r="T9" s="27" t="n">
        <f aca="false">MAX(0,T5-T6-T7)*'Loss Curves'!T5</f>
        <v>0.517053972350453</v>
      </c>
      <c r="U9" s="27" t="n">
        <f aca="false">MAX(0,U5-U6-U7)*'Loss Curves'!U5</f>
        <v>0.425973725317355</v>
      </c>
      <c r="V9" s="27" t="n">
        <f aca="false">MAX(0,V5-V6-V7)*'Loss Curves'!V5</f>
        <v>0.336899974450342</v>
      </c>
      <c r="W9" s="27" t="n">
        <f aca="false">MAX(0,W5-W6-W7)*'Loss Curves'!W5</f>
        <v>0.249798841833088</v>
      </c>
      <c r="X9" s="27" t="n">
        <f aca="false">MAX(0,X5-X6-X7)*'Loss Curves'!X5</f>
        <v>0.164636960821536</v>
      </c>
      <c r="Y9" s="27" t="n">
        <f aca="false">MAX(0,Y5-Y6-Y7)*'Loss Curves'!Y5</f>
        <v>0.0813814687939885</v>
      </c>
      <c r="Z9" s="27" t="n">
        <f aca="false">MAX(0,Z5-Z6-Z7)*'Loss Curves'!Z5</f>
        <v>0</v>
      </c>
    </row>
    <row r="10" customFormat="false" ht="15" hidden="false" customHeight="true" outlineLevel="0" collapsed="false">
      <c r="B10" s="1" t="s">
        <v>179</v>
      </c>
      <c r="C10" s="27" t="n">
        <f aca="false">C5*Assumptions!$E$6/Assumptions!$E$20</f>
        <v>6.25</v>
      </c>
      <c r="D10" s="27" t="n">
        <f aca="false">D5*Assumptions!$E$6/Assumptions!$E$20</f>
        <v>5.92140533569543</v>
      </c>
      <c r="E10" s="27" t="n">
        <f aca="false">E5*Assumptions!$E$6/Assumptions!$E$20</f>
        <v>5.59948150532779</v>
      </c>
      <c r="F10" s="27" t="n">
        <f aca="false">F5*Assumptions!$E$6/Assumptions!$E$20</f>
        <v>5.28411921898467</v>
      </c>
      <c r="G10" s="27" t="n">
        <f aca="false">G5*Assumptions!$E$6/Assumptions!$E$20</f>
        <v>4.97521081047399</v>
      </c>
      <c r="H10" s="27" t="n">
        <f aca="false">H5*Assumptions!$E$6/Assumptions!$E$20</f>
        <v>4.67265021451956</v>
      </c>
      <c r="I10" s="27" t="n">
        <f aca="false">I5*Assumptions!$E$6/Assumptions!$E$20</f>
        <v>4.37633294426538</v>
      </c>
      <c r="J10" s="27" t="n">
        <f aca="false">J5*Assumptions!$E$6/Assumptions!$E$20</f>
        <v>4.08615606908472</v>
      </c>
      <c r="K10" s="27" t="n">
        <f aca="false">K5*Assumptions!$E$6/Assumptions!$E$20</f>
        <v>3.80201819268976</v>
      </c>
      <c r="L10" s="27" t="n">
        <f aca="false">L5*Assumptions!$E$6/Assumptions!$E$20</f>
        <v>3.52381943153805</v>
      </c>
      <c r="M10" s="27" t="n">
        <f aca="false">M5*Assumptions!$E$6/Assumptions!$E$20</f>
        <v>3.25146139353169</v>
      </c>
      <c r="N10" s="27" t="n">
        <f aca="false">N5*Assumptions!$E$6/Assumptions!$E$20</f>
        <v>2.98484715700545</v>
      </c>
      <c r="O10" s="27" t="n">
        <f aca="false">O5*Assumptions!$E$6/Assumptions!$E$20</f>
        <v>2.72388125</v>
      </c>
      <c r="P10" s="27" t="n">
        <f aca="false">P5*Assumptions!$E$6/Assumptions!$E$20</f>
        <v>2.46846962981646</v>
      </c>
      <c r="Q10" s="27" t="n">
        <f aca="false">Q5*Assumptions!$E$6/Assumptions!$E$20</f>
        <v>2.2185196628486</v>
      </c>
      <c r="R10" s="27" t="n">
        <f aca="false">R5*Assumptions!$E$6/Assumptions!$E$20</f>
        <v>1.97394010468896</v>
      </c>
      <c r="S10" s="27" t="n">
        <f aca="false">S5*Assumptions!$E$6/Assumptions!$E$20</f>
        <v>1.73464108050527</v>
      </c>
      <c r="T10" s="27" t="n">
        <f aca="false">T5*Assumptions!$E$6/Assumptions!$E$20</f>
        <v>1.50053406568367</v>
      </c>
      <c r="U10" s="27" t="n">
        <f aca="false">U5*Assumptions!$E$6/Assumptions!$E$20</f>
        <v>1.27153186673512</v>
      </c>
      <c r="V10" s="27" t="n">
        <f aca="false">V5*Assumptions!$E$6/Assumptions!$E$20</f>
        <v>1.04754860246151</v>
      </c>
      <c r="W10" s="27" t="n">
        <f aca="false">W5*Assumptions!$E$6/Assumptions!$E$20</f>
        <v>0.828499685378121</v>
      </c>
      <c r="X10" s="27" t="n">
        <f aca="false">X5*Assumptions!$E$6/Assumptions!$E$20</f>
        <v>0.614301803388938</v>
      </c>
      <c r="Y10" s="27" t="n">
        <f aca="false">Y5*Assumptions!$E$6/Assumptions!$E$20</f>
        <v>0.404872901711536</v>
      </c>
      <c r="Z10" s="27" t="n">
        <f aca="false">Z5*Assumptions!$E$6/Assumptions!$E$20</f>
        <v>0.200132165048196</v>
      </c>
    </row>
    <row r="11" customFormat="false" ht="15" hidden="false" customHeight="true" outlineLevel="0" collapsed="false">
      <c r="B11" s="1" t="s">
        <v>180</v>
      </c>
      <c r="C11" s="27" t="n">
        <f aca="false">C5*Assumptions!$E$11/Assumptions!$E$20</f>
        <v>1</v>
      </c>
      <c r="D11" s="27" t="n">
        <f aca="false">D5*Assumptions!$E$11/Assumptions!$E$20</f>
        <v>0.947424853711269</v>
      </c>
      <c r="E11" s="27" t="n">
        <f aca="false">E5*Assumptions!$E$11/Assumptions!$E$20</f>
        <v>0.895917040852447</v>
      </c>
      <c r="F11" s="27" t="n">
        <f aca="false">F5*Assumptions!$E$11/Assumptions!$E$20</f>
        <v>0.845459075037548</v>
      </c>
      <c r="G11" s="27" t="n">
        <f aca="false">G5*Assumptions!$E$11/Assumptions!$E$20</f>
        <v>0.796033729675839</v>
      </c>
      <c r="H11" s="27" t="n">
        <f aca="false">H5*Assumptions!$E$11/Assumptions!$E$20</f>
        <v>0.747624034323129</v>
      </c>
      <c r="I11" s="27" t="n">
        <f aca="false">I5*Assumptions!$E$11/Assumptions!$E$20</f>
        <v>0.700213271082461</v>
      </c>
      <c r="J11" s="27" t="n">
        <f aca="false">J5*Assumptions!$E$11/Assumptions!$E$20</f>
        <v>0.653784971053555</v>
      </c>
      <c r="K11" s="27" t="n">
        <f aca="false">K5*Assumptions!$E$11/Assumptions!$E$20</f>
        <v>0.608322910830361</v>
      </c>
      <c r="L11" s="27" t="n">
        <f aca="false">L5*Assumptions!$E$11/Assumptions!$E$20</f>
        <v>0.563811109046088</v>
      </c>
      <c r="M11" s="27" t="n">
        <f aca="false">M5*Assumptions!$E$11/Assumptions!$E$20</f>
        <v>0.520233822965071</v>
      </c>
      <c r="N11" s="27" t="n">
        <f aca="false">N5*Assumptions!$E$11/Assumptions!$E$20</f>
        <v>0.477575545120872</v>
      </c>
      <c r="O11" s="27" t="n">
        <f aca="false">O5*Assumptions!$E$11/Assumptions!$E$20</f>
        <v>0.435821</v>
      </c>
      <c r="P11" s="27" t="n">
        <f aca="false">P5*Assumptions!$E$11/Assumptions!$E$20</f>
        <v>0.394955140770633</v>
      </c>
      <c r="Q11" s="27" t="n">
        <f aca="false">Q5*Assumptions!$E$11/Assumptions!$E$20</f>
        <v>0.354963146055776</v>
      </c>
      <c r="R11" s="27" t="n">
        <f aca="false">R5*Assumptions!$E$11/Assumptions!$E$20</f>
        <v>0.315830416750233</v>
      </c>
      <c r="S11" s="27" t="n">
        <f aca="false">S5*Assumptions!$E$11/Assumptions!$E$20</f>
        <v>0.277542572880843</v>
      </c>
      <c r="T11" s="27" t="n">
        <f aca="false">T5*Assumptions!$E$11/Assumptions!$E$20</f>
        <v>0.240085450509388</v>
      </c>
      <c r="U11" s="27" t="n">
        <f aca="false">U5*Assumptions!$E$11/Assumptions!$E$20</f>
        <v>0.203445098677619</v>
      </c>
      <c r="V11" s="27" t="n">
        <f aca="false">V5*Assumptions!$E$11/Assumptions!$E$20</f>
        <v>0.167607776393842</v>
      </c>
      <c r="W11" s="27" t="n">
        <f aca="false">W5*Assumptions!$E$11/Assumptions!$E$20</f>
        <v>0.132559949660499</v>
      </c>
      <c r="X11" s="27" t="n">
        <f aca="false">X5*Assumptions!$E$11/Assumptions!$E$20</f>
        <v>0.0982882885422301</v>
      </c>
      <c r="Y11" s="27" t="n">
        <f aca="false">Y5*Assumptions!$E$11/Assumptions!$E$20</f>
        <v>0.0647796642738458</v>
      </c>
      <c r="Z11" s="27" t="n">
        <f aca="false">Z5*Assumptions!$E$11/Assumptions!$E$20</f>
        <v>0.0320211464077114</v>
      </c>
    </row>
    <row r="12" customFormat="false" ht="15" hidden="false" customHeight="true" outlineLevel="0" collapsed="false">
      <c r="B12" s="28" t="s">
        <v>181</v>
      </c>
      <c r="C12" s="29" t="n">
        <f aca="false">MAX(0,C10-C11)</f>
        <v>5.25</v>
      </c>
      <c r="D12" s="29" t="n">
        <f aca="false">MAX(0,D10-D11)</f>
        <v>4.97398048198416</v>
      </c>
      <c r="E12" s="29" t="n">
        <f aca="false">MAX(0,E10-E11)</f>
        <v>4.70356446447534</v>
      </c>
      <c r="F12" s="29" t="n">
        <f aca="false">MAX(0,F10-F11)</f>
        <v>4.43866014394712</v>
      </c>
      <c r="G12" s="29" t="n">
        <f aca="false">MAX(0,G10-G11)</f>
        <v>4.17917708079815</v>
      </c>
      <c r="H12" s="29" t="n">
        <f aca="false">MAX(0,H10-H11)</f>
        <v>3.92502618019643</v>
      </c>
      <c r="I12" s="29" t="n">
        <f aca="false">MAX(0,I10-I11)</f>
        <v>3.67611967318292</v>
      </c>
      <c r="J12" s="29" t="n">
        <f aca="false">MAX(0,J10-J11)</f>
        <v>3.43237109803116</v>
      </c>
      <c r="K12" s="29" t="n">
        <f aca="false">MAX(0,K10-K11)</f>
        <v>3.1936952818594</v>
      </c>
      <c r="L12" s="29" t="n">
        <f aca="false">MAX(0,L10-L11)</f>
        <v>2.96000832249196</v>
      </c>
      <c r="M12" s="29" t="n">
        <f aca="false">MAX(0,M10-M11)</f>
        <v>2.73122757056662</v>
      </c>
      <c r="N12" s="29" t="n">
        <f aca="false">MAX(0,N10-N11)</f>
        <v>2.50727161188458</v>
      </c>
      <c r="O12" s="29" t="n">
        <f aca="false">MAX(0,O10-O11)</f>
        <v>2.28806025</v>
      </c>
      <c r="P12" s="29" t="n">
        <f aca="false">MAX(0,P10-P11)</f>
        <v>2.07351448904582</v>
      </c>
      <c r="Q12" s="29" t="n">
        <f aca="false">MAX(0,Q10-Q11)</f>
        <v>1.86355651679282</v>
      </c>
      <c r="R12" s="29" t="n">
        <f aca="false">MAX(0,R10-R11)</f>
        <v>1.65810968793872</v>
      </c>
      <c r="S12" s="29" t="n">
        <f aca="false">MAX(0,S10-S11)</f>
        <v>1.45709850762443</v>
      </c>
      <c r="T12" s="29" t="n">
        <f aca="false">MAX(0,T10-T11)</f>
        <v>1.26044861517428</v>
      </c>
      <c r="U12" s="29" t="n">
        <f aca="false">MAX(0,U10-U11)</f>
        <v>1.0680867680575</v>
      </c>
      <c r="V12" s="29" t="n">
        <f aca="false">MAX(0,V10-V11)</f>
        <v>0.879940826067669</v>
      </c>
      <c r="W12" s="29" t="n">
        <f aca="false">MAX(0,W10-W11)</f>
        <v>0.695939735717622</v>
      </c>
      <c r="X12" s="29" t="n">
        <f aca="false">MAX(0,X10-X11)</f>
        <v>0.516013514846708</v>
      </c>
      <c r="Y12" s="29" t="n">
        <f aca="false">MAX(0,Y10-Y11)</f>
        <v>0.34009323743769</v>
      </c>
      <c r="Z12" s="29" t="n">
        <f aca="false">MAX(0,Z10-Z11)</f>
        <v>0.168111018640485</v>
      </c>
    </row>
    <row r="13" customFormat="false" ht="15" hidden="false" customHeight="true" outlineLevel="0" collapsed="false">
      <c r="B13" s="28" t="s">
        <v>182</v>
      </c>
      <c r="C13" s="29" t="n">
        <f aca="false">C6+C8+C9</f>
        <v>44.0745388017001</v>
      </c>
      <c r="D13" s="29" t="n">
        <f aca="false">D6+D8+D9</f>
        <v>43.4693504146541</v>
      </c>
      <c r="E13" s="29" t="n">
        <f aca="false">E6+E8+E9</f>
        <v>42.8722288405202</v>
      </c>
      <c r="F13" s="29" t="n">
        <f aca="false">F6+F8+F9</f>
        <v>43.5581599697394</v>
      </c>
      <c r="G13" s="29" t="n">
        <f aca="false">G6+G8+G9</f>
        <v>42.9075359176396</v>
      </c>
      <c r="H13" s="29" t="n">
        <f aca="false">H6+H8+H9</f>
        <v>42.2660799509038</v>
      </c>
      <c r="I13" s="29" t="n">
        <f aca="false">I6+I8+I9</f>
        <v>41.6336676528497</v>
      </c>
      <c r="J13" s="29" t="n">
        <f aca="false">J6+J8+J9</f>
        <v>41.010176251322</v>
      </c>
      <c r="K13" s="29" t="n">
        <f aca="false">K6+K8+K9</f>
        <v>40.3954845973746</v>
      </c>
      <c r="L13" s="29" t="n">
        <f aca="false">L6+L8+L9</f>
        <v>39.7894731442242</v>
      </c>
      <c r="M13" s="29" t="n">
        <f aca="false">M6+M8+M9</f>
        <v>39.1920239264732</v>
      </c>
      <c r="N13" s="29" t="n">
        <f aca="false">N6+N8+N9</f>
        <v>38.6030205395985</v>
      </c>
      <c r="O13" s="29" t="n">
        <f aca="false">O6+O8+O9</f>
        <v>38.0223481197013</v>
      </c>
      <c r="P13" s="29" t="n">
        <f aca="false">P6+P8+P9</f>
        <v>37.4498933235163</v>
      </c>
      <c r="Q13" s="29" t="n">
        <f aca="false">Q6+Q8+Q9</f>
        <v>36.8855443086764</v>
      </c>
      <c r="R13" s="29" t="n">
        <f aca="false">R6+R8+R9</f>
        <v>36.3291907142295</v>
      </c>
      <c r="S13" s="29" t="n">
        <f aca="false">S6+S8+S9</f>
        <v>35.7807236414045</v>
      </c>
      <c r="T13" s="29" t="n">
        <f aca="false">T6+T8+T9</f>
        <v>35.2400356346229</v>
      </c>
      <c r="U13" s="29" t="n">
        <f aca="false">U6+U8+U9</f>
        <v>34.7070206627538</v>
      </c>
      <c r="V13" s="29" t="n">
        <f aca="false">V6+V8+V9</f>
        <v>34.1815741006079</v>
      </c>
      <c r="W13" s="29" t="n">
        <f aca="false">W6+W8+W9</f>
        <v>33.6635927106694</v>
      </c>
      <c r="X13" s="29" t="n">
        <f aca="false">X6+X8+X9</f>
        <v>33.1529746250601</v>
      </c>
      <c r="Y13" s="29" t="n">
        <f aca="false">Y6+Y8+Y9</f>
        <v>32.6496193277354</v>
      </c>
      <c r="Z13" s="29" t="n">
        <f aca="false">Z6+Z8+Z9</f>
        <v>32.1534276369081</v>
      </c>
    </row>
    <row r="14" customFormat="false" ht="15" hidden="false" customHeight="true" outlineLevel="0" collapsed="false">
      <c r="B14" s="28" t="s">
        <v>183</v>
      </c>
      <c r="C14" s="29" t="n">
        <f aca="false">MAX(0,C5-C6-C7-C9)</f>
        <v>947.424853711269</v>
      </c>
      <c r="D14" s="29" t="n">
        <f aca="false">MAX(0,D5-D6-D7-D9)</f>
        <v>895.917040852447</v>
      </c>
      <c r="E14" s="29" t="n">
        <f aca="false">MAX(0,E5-E6-E7-E9)</f>
        <v>845.459075037548</v>
      </c>
      <c r="F14" s="29" t="n">
        <f aca="false">MAX(0,F5-F6-F7-F9)</f>
        <v>796.033729675839</v>
      </c>
      <c r="G14" s="29" t="n">
        <f aca="false">MAX(0,G5-G6-G7-G9)</f>
        <v>747.624034323129</v>
      </c>
      <c r="H14" s="29" t="n">
        <f aca="false">MAX(0,H5-H6-H7-H9)</f>
        <v>700.213271082461</v>
      </c>
      <c r="I14" s="29" t="n">
        <f aca="false">MAX(0,I5-I6-I7-I9)</f>
        <v>653.784971053555</v>
      </c>
      <c r="J14" s="29" t="n">
        <f aca="false">MAX(0,J5-J6-J7-J9)</f>
        <v>608.322910830361</v>
      </c>
      <c r="K14" s="29" t="n">
        <f aca="false">MAX(0,K5-K6-K7-K9)</f>
        <v>563.811109046088</v>
      </c>
      <c r="L14" s="29" t="n">
        <f aca="false">MAX(0,L5-L6-L7-L9)</f>
        <v>520.233822965071</v>
      </c>
      <c r="M14" s="29" t="n">
        <f aca="false">MAX(0,M5-M6-M7-M9)</f>
        <v>477.575545120872</v>
      </c>
      <c r="N14" s="29" t="n">
        <f aca="false">MAX(0,N5-N6-N7-N9)</f>
        <v>435.821</v>
      </c>
      <c r="O14" s="29" t="n">
        <f aca="false">MAX(0,O5-O6-O7-O9)</f>
        <v>394.955140770633</v>
      </c>
      <c r="P14" s="29" t="n">
        <f aca="false">MAX(0,P5-P6-P7-P9)</f>
        <v>354.963146055776</v>
      </c>
      <c r="Q14" s="29" t="n">
        <f aca="false">MAX(0,Q5-Q6-Q7-Q9)</f>
        <v>315.830416750233</v>
      </c>
      <c r="R14" s="29" t="n">
        <f aca="false">MAX(0,R5-R6-R7-R9)</f>
        <v>277.542572880843</v>
      </c>
      <c r="S14" s="29" t="n">
        <f aca="false">MAX(0,S5-S6-S7-S9)</f>
        <v>240.085450509388</v>
      </c>
      <c r="T14" s="29" t="n">
        <f aca="false">MAX(0,T5-T6-T7-T9)</f>
        <v>203.445098677619</v>
      </c>
      <c r="U14" s="29" t="n">
        <f aca="false">MAX(0,U5-U6-U7-U9)</f>
        <v>167.607776393842</v>
      </c>
      <c r="V14" s="29" t="n">
        <f aca="false">MAX(0,V5-V6-V7-V9)</f>
        <v>132.559949660499</v>
      </c>
      <c r="W14" s="29" t="n">
        <f aca="false">MAX(0,W5-W6-W7-W9)</f>
        <v>98.2882885422301</v>
      </c>
      <c r="X14" s="29" t="n">
        <f aca="false">MAX(0,X5-X6-X7-X9)</f>
        <v>64.7796642738458</v>
      </c>
      <c r="Y14" s="29" t="n">
        <f aca="false">MAX(0,Y5-Y6-Y7-Y9)</f>
        <v>32.0211464077114</v>
      </c>
      <c r="Z14" s="29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185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186</v>
      </c>
      <c r="C5" s="30" t="n">
        <f aca="false">1-(1-Assumptions!$E$7)^(1/Assumptions!$E$20)</f>
        <v>0.00253504861383669</v>
      </c>
      <c r="D5" s="30" t="n">
        <f aca="false">1-(1-Assumptions!$E$7)^(1/Assumptions!$E$20)</f>
        <v>0.00253504861383669</v>
      </c>
      <c r="E5" s="30" t="n">
        <f aca="false">1-(1-Assumptions!$E$7)^(1/Assumptions!$E$20)</f>
        <v>0.00253504861383669</v>
      </c>
      <c r="F5" s="30" t="n">
        <f aca="false">1-(1-Assumptions!$E$7)^(1/Assumptions!$E$20)</f>
        <v>0.00253504861383669</v>
      </c>
      <c r="G5" s="30" t="n">
        <f aca="false">1-(1-Assumptions!$E$7)^(1/Assumptions!$E$20)</f>
        <v>0.00253504861383669</v>
      </c>
      <c r="H5" s="30" t="n">
        <f aca="false">1-(1-Assumptions!$E$7)^(1/Assumptions!$E$20)</f>
        <v>0.00253504861383669</v>
      </c>
      <c r="I5" s="30" t="n">
        <f aca="false">1-(1-Assumptions!$E$7)^(1/Assumptions!$E$20)</f>
        <v>0.00253504861383669</v>
      </c>
      <c r="J5" s="30" t="n">
        <f aca="false">1-(1-Assumptions!$E$7)^(1/Assumptions!$E$20)</f>
        <v>0.00253504861383669</v>
      </c>
      <c r="K5" s="30" t="n">
        <f aca="false">1-(1-Assumptions!$E$7)^(1/Assumptions!$E$20)</f>
        <v>0.00253504861383669</v>
      </c>
      <c r="L5" s="30" t="n">
        <f aca="false">1-(1-Assumptions!$E$7)^(1/Assumptions!$E$20)</f>
        <v>0.00253504861383669</v>
      </c>
      <c r="M5" s="30" t="n">
        <f aca="false">1-(1-Assumptions!$E$7)^(1/Assumptions!$E$20)</f>
        <v>0.00253504861383669</v>
      </c>
      <c r="N5" s="30" t="n">
        <f aca="false">1-(1-Assumptions!$E$7)^(1/Assumptions!$E$20)</f>
        <v>0.00253504861383669</v>
      </c>
      <c r="O5" s="30" t="n">
        <f aca="false">1-(1-Assumptions!$E$7)^(1/Assumptions!$E$20)</f>
        <v>0.00253504861383669</v>
      </c>
      <c r="P5" s="30" t="n">
        <f aca="false">1-(1-Assumptions!$E$7)^(1/Assumptions!$E$20)</f>
        <v>0.00253504861383669</v>
      </c>
      <c r="Q5" s="30" t="n">
        <f aca="false">1-(1-Assumptions!$E$7)^(1/Assumptions!$E$20)</f>
        <v>0.00253504861383669</v>
      </c>
      <c r="R5" s="30" t="n">
        <f aca="false">1-(1-Assumptions!$E$7)^(1/Assumptions!$E$20)</f>
        <v>0.00253504861383669</v>
      </c>
      <c r="S5" s="30" t="n">
        <f aca="false">1-(1-Assumptions!$E$7)^(1/Assumptions!$E$20)</f>
        <v>0.00253504861383669</v>
      </c>
      <c r="T5" s="30" t="n">
        <f aca="false">1-(1-Assumptions!$E$7)^(1/Assumptions!$E$20)</f>
        <v>0.00253504861383669</v>
      </c>
      <c r="U5" s="30" t="n">
        <f aca="false">1-(1-Assumptions!$E$7)^(1/Assumptions!$E$20)</f>
        <v>0.00253504861383669</v>
      </c>
      <c r="V5" s="30" t="n">
        <f aca="false">1-(1-Assumptions!$E$7)^(1/Assumptions!$E$20)</f>
        <v>0.00253504861383669</v>
      </c>
      <c r="W5" s="30" t="n">
        <f aca="false">1-(1-Assumptions!$E$7)^(1/Assumptions!$E$20)</f>
        <v>0.00253504861383669</v>
      </c>
      <c r="X5" s="30" t="n">
        <f aca="false">1-(1-Assumptions!$E$7)^(1/Assumptions!$E$20)</f>
        <v>0.00253504861383669</v>
      </c>
      <c r="Y5" s="30" t="n">
        <f aca="false">1-(1-Assumptions!$E$7)^(1/Assumptions!$E$20)</f>
        <v>0.00253504861383669</v>
      </c>
      <c r="Z5" s="30" t="n">
        <f aca="false">1-(1-Assumptions!$E$7)^(1/Assumptions!$E$20)</f>
        <v>0.00253504861383669</v>
      </c>
    </row>
    <row r="6" customFormat="false" ht="15" hidden="false" customHeight="true" outlineLevel="0" collapsed="false">
      <c r="B6" s="1" t="s">
        <v>187</v>
      </c>
      <c r="C6" s="30" t="n">
        <f aca="false">1-(1-Assumptions!$E$8)^(1/Assumptions!$E$20)</f>
        <v>0.00887019911690234</v>
      </c>
      <c r="D6" s="30" t="n">
        <f aca="false">1-(1-Assumptions!$E$8)^(1/Assumptions!$E$20)</f>
        <v>0.00887019911690234</v>
      </c>
      <c r="E6" s="30" t="n">
        <f aca="false">1-(1-Assumptions!$E$8)^(1/Assumptions!$E$20)</f>
        <v>0.00887019911690234</v>
      </c>
      <c r="F6" s="30" t="n">
        <f aca="false">1-(1-Assumptions!$E$8)^(1/Assumptions!$E$20)</f>
        <v>0.00887019911690234</v>
      </c>
      <c r="G6" s="30" t="n">
        <f aca="false">1-(1-Assumptions!$E$8)^(1/Assumptions!$E$20)</f>
        <v>0.00887019911690234</v>
      </c>
      <c r="H6" s="30" t="n">
        <f aca="false">1-(1-Assumptions!$E$8)^(1/Assumptions!$E$20)</f>
        <v>0.00887019911690234</v>
      </c>
      <c r="I6" s="30" t="n">
        <f aca="false">1-(1-Assumptions!$E$8)^(1/Assumptions!$E$20)</f>
        <v>0.00887019911690234</v>
      </c>
      <c r="J6" s="30" t="n">
        <f aca="false">1-(1-Assumptions!$E$8)^(1/Assumptions!$E$20)</f>
        <v>0.00887019911690234</v>
      </c>
      <c r="K6" s="30" t="n">
        <f aca="false">1-(1-Assumptions!$E$8)^(1/Assumptions!$E$20)</f>
        <v>0.00887019911690234</v>
      </c>
      <c r="L6" s="30" t="n">
        <f aca="false">1-(1-Assumptions!$E$8)^(1/Assumptions!$E$20)</f>
        <v>0.00887019911690234</v>
      </c>
      <c r="M6" s="30" t="n">
        <f aca="false">1-(1-Assumptions!$E$8)^(1/Assumptions!$E$20)</f>
        <v>0.00887019911690234</v>
      </c>
      <c r="N6" s="30" t="n">
        <f aca="false">1-(1-Assumptions!$E$8)^(1/Assumptions!$E$20)</f>
        <v>0.00887019911690234</v>
      </c>
      <c r="O6" s="30" t="n">
        <f aca="false">1-(1-Assumptions!$E$8)^(1/Assumptions!$E$20)</f>
        <v>0.00887019911690234</v>
      </c>
      <c r="P6" s="30" t="n">
        <f aca="false">1-(1-Assumptions!$E$8)^(1/Assumptions!$E$20)</f>
        <v>0.00887019911690234</v>
      </c>
      <c r="Q6" s="30" t="n">
        <f aca="false">1-(1-Assumptions!$E$8)^(1/Assumptions!$E$20)</f>
        <v>0.00887019911690234</v>
      </c>
      <c r="R6" s="30" t="n">
        <f aca="false">1-(1-Assumptions!$E$8)^(1/Assumptions!$E$20)</f>
        <v>0.00887019911690234</v>
      </c>
      <c r="S6" s="30" t="n">
        <f aca="false">1-(1-Assumptions!$E$8)^(1/Assumptions!$E$20)</f>
        <v>0.00887019911690234</v>
      </c>
      <c r="T6" s="30" t="n">
        <f aca="false">1-(1-Assumptions!$E$8)^(1/Assumptions!$E$20)</f>
        <v>0.00887019911690234</v>
      </c>
      <c r="U6" s="30" t="n">
        <f aca="false">1-(1-Assumptions!$E$8)^(1/Assumptions!$E$20)</f>
        <v>0.00887019911690234</v>
      </c>
      <c r="V6" s="30" t="n">
        <f aca="false">1-(1-Assumptions!$E$8)^(1/Assumptions!$E$20)</f>
        <v>0.00887019911690234</v>
      </c>
      <c r="W6" s="30" t="n">
        <f aca="false">1-(1-Assumptions!$E$8)^(1/Assumptions!$E$20)</f>
        <v>0.00887019911690234</v>
      </c>
      <c r="X6" s="30" t="n">
        <f aca="false">1-(1-Assumptions!$E$8)^(1/Assumptions!$E$20)</f>
        <v>0.00887019911690234</v>
      </c>
      <c r="Y6" s="30" t="n">
        <f aca="false">1-(1-Assumptions!$E$8)^(1/Assumptions!$E$20)</f>
        <v>0.00887019911690234</v>
      </c>
      <c r="Z6" s="30" t="n">
        <f aca="false">1-(1-Assumptions!$E$8)^(1/Assumptions!$E$20)</f>
        <v>0.00887019911690234</v>
      </c>
    </row>
    <row r="7" customFormat="false" ht="15" hidden="false" customHeight="true" outlineLevel="0" collapsed="false">
      <c r="B7" s="1" t="s">
        <v>133</v>
      </c>
      <c r="C7" s="30" t="n">
        <f aca="false">Assumptions!$E$9</f>
        <v>0.15</v>
      </c>
      <c r="D7" s="30" t="n">
        <f aca="false">Assumptions!$E$9</f>
        <v>0.15</v>
      </c>
      <c r="E7" s="30" t="n">
        <f aca="false">Assumptions!$E$9</f>
        <v>0.15</v>
      </c>
      <c r="F7" s="30" t="n">
        <f aca="false">Assumptions!$E$9</f>
        <v>0.15</v>
      </c>
      <c r="G7" s="30" t="n">
        <f aca="false">Assumptions!$E$9</f>
        <v>0.15</v>
      </c>
      <c r="H7" s="30" t="n">
        <f aca="false">Assumptions!$E$9</f>
        <v>0.15</v>
      </c>
      <c r="I7" s="30" t="n">
        <f aca="false">Assumptions!$E$9</f>
        <v>0.15</v>
      </c>
      <c r="J7" s="30" t="n">
        <f aca="false">Assumptions!$E$9</f>
        <v>0.15</v>
      </c>
      <c r="K7" s="30" t="n">
        <f aca="false">Assumptions!$E$9</f>
        <v>0.15</v>
      </c>
      <c r="L7" s="30" t="n">
        <f aca="false">Assumptions!$E$9</f>
        <v>0.15</v>
      </c>
      <c r="M7" s="30" t="n">
        <f aca="false">Assumptions!$E$9</f>
        <v>0.15</v>
      </c>
      <c r="N7" s="30" t="n">
        <f aca="false">Assumptions!$E$9</f>
        <v>0.15</v>
      </c>
      <c r="O7" s="30" t="n">
        <f aca="false">Assumptions!$E$9</f>
        <v>0.15</v>
      </c>
      <c r="P7" s="30" t="n">
        <f aca="false">Assumptions!$E$9</f>
        <v>0.15</v>
      </c>
      <c r="Q7" s="30" t="n">
        <f aca="false">Assumptions!$E$9</f>
        <v>0.15</v>
      </c>
      <c r="R7" s="30" t="n">
        <f aca="false">Assumptions!$E$9</f>
        <v>0.15</v>
      </c>
      <c r="S7" s="30" t="n">
        <f aca="false">Assumptions!$E$9</f>
        <v>0.15</v>
      </c>
      <c r="T7" s="30" t="n">
        <f aca="false">Assumptions!$E$9</f>
        <v>0.15</v>
      </c>
      <c r="U7" s="30" t="n">
        <f aca="false">Assumptions!$E$9</f>
        <v>0.15</v>
      </c>
      <c r="V7" s="30" t="n">
        <f aca="false">Assumptions!$E$9</f>
        <v>0.15</v>
      </c>
      <c r="W7" s="30" t="n">
        <f aca="false">Assumptions!$E$9</f>
        <v>0.15</v>
      </c>
      <c r="X7" s="30" t="n">
        <f aca="false">Assumptions!$E$9</f>
        <v>0.15</v>
      </c>
      <c r="Y7" s="30" t="n">
        <f aca="false">Assumptions!$E$9</f>
        <v>0.15</v>
      </c>
      <c r="Z7" s="30" t="n">
        <f aca="false">Assumptions!$E$9</f>
        <v>0.15</v>
      </c>
    </row>
    <row r="8" customFormat="false" ht="15" hidden="false" customHeight="true" outlineLevel="0" collapsed="false">
      <c r="B8" s="1" t="s">
        <v>188</v>
      </c>
      <c r="C8" s="30" t="n">
        <f aca="false">Collateral!C9/Assumptions!$E$5</f>
        <v>0.00240787213503339</v>
      </c>
      <c r="D8" s="30" t="n">
        <f aca="false">C8+Collateral!D9/Assumptions!$E$5</f>
        <v>0.00468483760571927</v>
      </c>
      <c r="E8" s="30" t="n">
        <f aca="false">D8+Collateral!E9/Assumptions!$E$5</f>
        <v>0.00683356458931012</v>
      </c>
      <c r="F8" s="30" t="n">
        <f aca="false">E8+Collateral!F9/Assumptions!$E$5</f>
        <v>0.00885667748182591</v>
      </c>
      <c r="G8" s="30" t="n">
        <f aca="false">F8+Collateral!G9/Assumptions!$E$5</f>
        <v>0.0107567575490483</v>
      </c>
      <c r="H8" s="30" t="n">
        <f aca="false">G8+Collateral!H9/Assumptions!$E$5</f>
        <v>0.0125363435683675</v>
      </c>
      <c r="I8" s="30" t="n">
        <f aca="false">H8+Collateral!I9/Assumptions!$E$5</f>
        <v>0.0141979324616046</v>
      </c>
      <c r="J8" s="30" t="n">
        <f aca="false">I8+Collateral!J9/Assumptions!$E$5</f>
        <v>0.0157439799189338</v>
      </c>
      <c r="K8" s="30" t="n">
        <f aca="false">J8+Collateral!K9/Assumptions!$E$5</f>
        <v>0.0171769010140227</v>
      </c>
      <c r="L8" s="30" t="n">
        <f aca="false">K8+Collateral!L9/Assumptions!$E$5</f>
        <v>0.0184990708105111</v>
      </c>
      <c r="M8" s="30" t="n">
        <f aca="false">L8+Collateral!M9/Assumptions!$E$5</f>
        <v>0.0197128249599461</v>
      </c>
      <c r="N8" s="30" t="n">
        <f aca="false">M8+Collateral!N9/Assumptions!$E$5</f>
        <v>0.0208204602912884</v>
      </c>
      <c r="O8" s="30" t="n">
        <f aca="false">N8+Collateral!O9/Assumptions!$E$5</f>
        <v>0.0218242353921046</v>
      </c>
      <c r="P8" s="30" t="n">
        <f aca="false">O8+Collateral!P9/Assumptions!$E$5</f>
        <v>0.022726371181559</v>
      </c>
      <c r="Q8" s="30" t="n">
        <f aca="false">P8+Collateral!Q9/Assumptions!$E$5</f>
        <v>0.0235290514753151</v>
      </c>
      <c r="R8" s="30" t="n">
        <f aca="false">Q8+Collateral!R9/Assumptions!$E$5</f>
        <v>0.0242344235424584</v>
      </c>
      <c r="S8" s="30" t="n">
        <f aca="false">R8+Collateral!S9/Assumptions!$E$5</f>
        <v>0.0248445986545467</v>
      </c>
      <c r="T8" s="30" t="n">
        <f aca="false">S8+Collateral!T9/Assumptions!$E$5</f>
        <v>0.0253616526268972</v>
      </c>
      <c r="U8" s="30" t="n">
        <f aca="false">T8+Collateral!U9/Assumptions!$E$5</f>
        <v>0.0257876263522145</v>
      </c>
      <c r="V8" s="30" t="n">
        <f aca="false">U8+Collateral!V9/Assumptions!$E$5</f>
        <v>0.0261245263266649</v>
      </c>
      <c r="W8" s="30" t="n">
        <f aca="false">V8+Collateral!W9/Assumptions!$E$5</f>
        <v>0.026374325168498</v>
      </c>
      <c r="X8" s="30" t="n">
        <f aca="false">W8+Collateral!X9/Assumptions!$E$5</f>
        <v>0.0265389621293195</v>
      </c>
      <c r="Y8" s="30" t="n">
        <f aca="false">X8+Collateral!Y9/Assumptions!$E$5</f>
        <v>0.0266203435981135</v>
      </c>
      <c r="Z8" s="30" t="n">
        <f aca="false">Y8+Collateral!Z9/Assumptions!$E$5</f>
        <v>0.0266203435981135</v>
      </c>
    </row>
    <row r="9" customFormat="false" ht="15" hidden="false" customHeight="true" outlineLevel="0" collapsed="false">
      <c r="B9" s="1" t="s">
        <v>189</v>
      </c>
      <c r="C9" s="30" t="n">
        <f aca="false">Collateral!C9*(1-C7)/Assumptions!$E$5</f>
        <v>0.00204669131477838</v>
      </c>
      <c r="D9" s="30" t="n">
        <f aca="false">C9+Collateral!D9*(1-D7)/Assumptions!$E$5</f>
        <v>0.00398211196486138</v>
      </c>
      <c r="E9" s="30" t="n">
        <f aca="false">D9+Collateral!E9*(1-E7)/Assumptions!$E$5</f>
        <v>0.0058085299009136</v>
      </c>
      <c r="F9" s="30" t="n">
        <f aca="false">E9+Collateral!F9*(1-F7)/Assumptions!$E$5</f>
        <v>0.00752817585955202</v>
      </c>
      <c r="G9" s="30" t="n">
        <f aca="false">F9+Collateral!G9*(1-G7)/Assumptions!$E$5</f>
        <v>0.00914324391669109</v>
      </c>
      <c r="H9" s="30" t="n">
        <f aca="false">G9+Collateral!H9*(1-H7)/Assumptions!$E$5</f>
        <v>0.0106558920331123</v>
      </c>
      <c r="I9" s="30" t="n">
        <f aca="false">H9+Collateral!I9*(1-I7)/Assumptions!$E$5</f>
        <v>0.0120682425923639</v>
      </c>
      <c r="J9" s="30" t="n">
        <f aca="false">I9+Collateral!J9*(1-J7)/Assumptions!$E$5</f>
        <v>0.0133823829310938</v>
      </c>
      <c r="K9" s="30" t="n">
        <f aca="false">J9+Collateral!K9*(1-K7)/Assumptions!$E$5</f>
        <v>0.0146003658619193</v>
      </c>
      <c r="L9" s="30" t="n">
        <f aca="false">K9+Collateral!L9*(1-L7)/Assumptions!$E$5</f>
        <v>0.0157242101889344</v>
      </c>
      <c r="M9" s="30" t="n">
        <f aca="false">L9+Collateral!M9*(1-M7)/Assumptions!$E$5</f>
        <v>0.0167559012159542</v>
      </c>
      <c r="N9" s="30" t="n">
        <f aca="false">M9+Collateral!N9*(1-N7)/Assumptions!$E$5</f>
        <v>0.0176973912475951</v>
      </c>
      <c r="O9" s="30" t="n">
        <f aca="false">N9+Collateral!O9*(1-O7)/Assumptions!$E$5</f>
        <v>0.0185506000832889</v>
      </c>
      <c r="P9" s="30" t="n">
        <f aca="false">O9+Collateral!P9*(1-P7)/Assumptions!$E$5</f>
        <v>0.0193174155043251</v>
      </c>
      <c r="Q9" s="30" t="n">
        <f aca="false">P9+Collateral!Q9*(1-Q7)/Assumptions!$E$5</f>
        <v>0.0199996937540179</v>
      </c>
      <c r="R9" s="30" t="n">
        <f aca="false">Q9+Collateral!R9*(1-R7)/Assumptions!$E$5</f>
        <v>0.0205992600110897</v>
      </c>
      <c r="S9" s="30" t="n">
        <f aca="false">R9+Collateral!S9*(1-S7)/Assumptions!$E$5</f>
        <v>0.0211179088563647</v>
      </c>
      <c r="T9" s="30" t="n">
        <f aca="false">S9+Collateral!T9*(1-T7)/Assumptions!$E$5</f>
        <v>0.0215574047328626</v>
      </c>
      <c r="U9" s="30" t="n">
        <f aca="false">T9+Collateral!U9*(1-U7)/Assumptions!$E$5</f>
        <v>0.0219194823993823</v>
      </c>
      <c r="V9" s="30" t="n">
        <f aca="false">U9+Collateral!V9*(1-V7)/Assumptions!$E$5</f>
        <v>0.0222058473776651</v>
      </c>
      <c r="W9" s="30" t="n">
        <f aca="false">V9+Collateral!W9*(1-W7)/Assumptions!$E$5</f>
        <v>0.0224181763932233</v>
      </c>
      <c r="X9" s="30" t="n">
        <f aca="false">W9+Collateral!X9*(1-X7)/Assumptions!$E$5</f>
        <v>0.0225581178099216</v>
      </c>
      <c r="Y9" s="30" t="n">
        <f aca="false">X9+Collateral!Y9*(1-Y7)/Assumptions!$E$5</f>
        <v>0.0226272920583965</v>
      </c>
      <c r="Z9" s="30" t="n">
        <f aca="false">Y9+Collateral!Z9*(1-Z7)/Assumptions!$E$5</f>
        <v>0.0226272920583965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191</v>
      </c>
      <c r="C5" s="27" t="n">
        <f aca="false">Collateral!C12+Collateral!C8</f>
        <v>5.25</v>
      </c>
      <c r="D5" s="27" t="n">
        <f aca="false">Collateral!D12+Collateral!D8</f>
        <v>4.97398048198416</v>
      </c>
      <c r="E5" s="27" t="n">
        <f aca="false">Collateral!E12+Collateral!E8</f>
        <v>4.70356446447534</v>
      </c>
      <c r="F5" s="27" t="n">
        <f aca="false">Collateral!F12+Collateral!F8</f>
        <v>5.71375126700184</v>
      </c>
      <c r="G5" s="27" t="n">
        <f aca="false">Collateral!G12+Collateral!G8</f>
        <v>5.38494644742335</v>
      </c>
      <c r="H5" s="27" t="n">
        <f aca="false">Collateral!H12+Collateral!H8</f>
        <v>5.06288672635322</v>
      </c>
      <c r="I5" s="27" t="n">
        <f aca="false">Collateral!I12+Collateral!I8</f>
        <v>4.74746115043651</v>
      </c>
      <c r="J5" s="27" t="n">
        <f aca="false">Collateral!J12+Collateral!J8</f>
        <v>4.43856041828546</v>
      </c>
      <c r="K5" s="27" t="n">
        <f aca="false">Collateral!K12+Collateral!K8</f>
        <v>4.13607685724759</v>
      </c>
      <c r="L5" s="27" t="n">
        <f aca="false">Collateral!L12+Collateral!L8</f>
        <v>3.83990440048848</v>
      </c>
      <c r="M5" s="27" t="n">
        <f aca="false">Collateral!M12+Collateral!M8</f>
        <v>3.54993856438544</v>
      </c>
      <c r="N5" s="27" t="n">
        <f aca="false">Collateral!N12+Collateral!N8</f>
        <v>3.26607642622756</v>
      </c>
      <c r="O5" s="27" t="n">
        <f aca="false">Collateral!O12+Collateral!O8</f>
        <v>2.98821660221845</v>
      </c>
      <c r="P5" s="27" t="n">
        <f aca="false">Collateral!P12+Collateral!P8</f>
        <v>2.71625922577744</v>
      </c>
      <c r="Q5" s="27" t="n">
        <f aca="false">Collateral!Q12+Collateral!Q8</f>
        <v>2.45010592613541</v>
      </c>
      <c r="R5" s="27" t="n">
        <f aca="false">Collateral!R12+Collateral!R8</f>
        <v>2.18965980722126</v>
      </c>
      <c r="S5" s="27" t="n">
        <f aca="false">Collateral!S12+Collateral!S8</f>
        <v>1.9348254268353</v>
      </c>
      <c r="T5" s="27" t="n">
        <f aca="false">Collateral!T12+Collateral!T8</f>
        <v>1.68550877610566</v>
      </c>
      <c r="U5" s="27" t="n">
        <f aca="false">Collateral!U12+Collateral!U8</f>
        <v>1.44161725922401</v>
      </c>
      <c r="V5" s="27" t="n">
        <f aca="false">Collateral!V12+Collateral!V8</f>
        <v>1.20305967345692</v>
      </c>
      <c r="W5" s="27" t="n">
        <f aca="false">Collateral!W12+Collateral!W8</f>
        <v>0.969746189429125</v>
      </c>
      <c r="X5" s="27" t="n">
        <f aca="false">Collateral!X12+Collateral!X8</f>
        <v>0.741588331675249</v>
      </c>
      <c r="Y5" s="27" t="n">
        <f aca="false">Collateral!Y12+Collateral!Y8</f>
        <v>0.518498959456245</v>
      </c>
      <c r="Z5" s="27" t="n">
        <f aca="false">Collateral!Z12+Collateral!Z8</f>
        <v>0.300392247837192</v>
      </c>
    </row>
    <row r="6" customFormat="false" ht="15" hidden="false" customHeight="true" outlineLevel="0" collapsed="false">
      <c r="B6" s="1" t="s">
        <v>192</v>
      </c>
      <c r="C6" s="27" t="n">
        <f aca="false">Collateral!C13</f>
        <v>44.0745388017001</v>
      </c>
      <c r="D6" s="27" t="n">
        <f aca="false">Collateral!D13</f>
        <v>43.4693504146541</v>
      </c>
      <c r="E6" s="27" t="n">
        <f aca="false">Collateral!E13</f>
        <v>42.8722288405202</v>
      </c>
      <c r="F6" s="27" t="n">
        <f aca="false">Collateral!F13</f>
        <v>43.5581599697394</v>
      </c>
      <c r="G6" s="27" t="n">
        <f aca="false">Collateral!G13</f>
        <v>42.9075359176396</v>
      </c>
      <c r="H6" s="27" t="n">
        <f aca="false">Collateral!H13</f>
        <v>42.2660799509038</v>
      </c>
      <c r="I6" s="27" t="n">
        <f aca="false">Collateral!I13</f>
        <v>41.6336676528497</v>
      </c>
      <c r="J6" s="27" t="n">
        <f aca="false">Collateral!J13</f>
        <v>41.010176251322</v>
      </c>
      <c r="K6" s="27" t="n">
        <f aca="false">Collateral!K13</f>
        <v>40.3954845973746</v>
      </c>
      <c r="L6" s="27" t="n">
        <f aca="false">Collateral!L13</f>
        <v>39.7894731442242</v>
      </c>
      <c r="M6" s="27" t="n">
        <f aca="false">Collateral!M13</f>
        <v>39.1920239264732</v>
      </c>
      <c r="N6" s="27" t="n">
        <f aca="false">Collateral!N13</f>
        <v>38.6030205395985</v>
      </c>
      <c r="O6" s="27" t="n">
        <f aca="false">Collateral!O13</f>
        <v>38.0223481197013</v>
      </c>
      <c r="P6" s="27" t="n">
        <f aca="false">Collateral!P13</f>
        <v>37.4498933235163</v>
      </c>
      <c r="Q6" s="27" t="n">
        <f aca="false">Collateral!Q13</f>
        <v>36.8855443086764</v>
      </c>
      <c r="R6" s="27" t="n">
        <f aca="false">Collateral!R13</f>
        <v>36.3291907142295</v>
      </c>
      <c r="S6" s="27" t="n">
        <f aca="false">Collateral!S13</f>
        <v>35.7807236414045</v>
      </c>
      <c r="T6" s="27" t="n">
        <f aca="false">Collateral!T13</f>
        <v>35.2400356346229</v>
      </c>
      <c r="U6" s="27" t="n">
        <f aca="false">Collateral!U13</f>
        <v>34.7070206627538</v>
      </c>
      <c r="V6" s="27" t="n">
        <f aca="false">Collateral!V13</f>
        <v>34.1815741006079</v>
      </c>
      <c r="W6" s="27" t="n">
        <f aca="false">Collateral!W13</f>
        <v>33.6635927106694</v>
      </c>
      <c r="X6" s="27" t="n">
        <f aca="false">Collateral!X13</f>
        <v>33.1529746250601</v>
      </c>
      <c r="Y6" s="27" t="n">
        <f aca="false">Collateral!Y13</f>
        <v>32.6496193277354</v>
      </c>
      <c r="Z6" s="27" t="n">
        <f aca="false">Collateral!Z13</f>
        <v>32.1534276369081</v>
      </c>
    </row>
    <row r="7" customFormat="false" ht="15" hidden="false" customHeight="true" outlineLevel="0" collapsed="false">
      <c r="B7" s="1" t="s">
        <v>193</v>
      </c>
      <c r="C7" s="27" t="n">
        <f aca="false">Assumptions!E12</f>
        <v>650</v>
      </c>
      <c r="D7" s="27" t="n">
        <f aca="false">C12</f>
        <v>605.9254611983</v>
      </c>
      <c r="E7" s="27" t="n">
        <f aca="false">D12</f>
        <v>562.456110783646</v>
      </c>
      <c r="F7" s="27" t="n">
        <f aca="false">E12</f>
        <v>519.583881943126</v>
      </c>
      <c r="G7" s="27" t="n">
        <f aca="false">F12</f>
        <v>476.025721973386</v>
      </c>
      <c r="H7" s="27" t="n">
        <f aca="false">G12</f>
        <v>433.118186055747</v>
      </c>
      <c r="I7" s="27" t="n">
        <f aca="false">H12</f>
        <v>390.852106104843</v>
      </c>
      <c r="J7" s="27" t="n">
        <f aca="false">I12</f>
        <v>349.218438451993</v>
      </c>
      <c r="K7" s="27" t="n">
        <f aca="false">J12</f>
        <v>308.208262200671</v>
      </c>
      <c r="L7" s="27" t="n">
        <f aca="false">K12</f>
        <v>267.812777603296</v>
      </c>
      <c r="M7" s="27" t="n">
        <f aca="false">L12</f>
        <v>228.023304459072</v>
      </c>
      <c r="N7" s="27" t="n">
        <f aca="false">M12</f>
        <v>188.831280532599</v>
      </c>
      <c r="O7" s="27" t="n">
        <f aca="false">N12</f>
        <v>150.228259993001</v>
      </c>
      <c r="P7" s="27" t="n">
        <f aca="false">O12</f>
        <v>112.205911873299</v>
      </c>
      <c r="Q7" s="27" t="n">
        <f aca="false">P12</f>
        <v>74.7560185497831</v>
      </c>
      <c r="R7" s="27" t="n">
        <f aca="false">Q12</f>
        <v>37.8704742411067</v>
      </c>
      <c r="S7" s="27" t="n">
        <f aca="false">R12</f>
        <v>1.54128352687714</v>
      </c>
      <c r="T7" s="27" t="n">
        <f aca="false">S12</f>
        <v>0</v>
      </c>
      <c r="U7" s="27" t="n">
        <f aca="false">T12</f>
        <v>0</v>
      </c>
      <c r="V7" s="27" t="n">
        <f aca="false">U12</f>
        <v>0</v>
      </c>
      <c r="W7" s="27" t="n">
        <f aca="false">V12</f>
        <v>0</v>
      </c>
      <c r="X7" s="27" t="n">
        <f aca="false">W12</f>
        <v>0</v>
      </c>
      <c r="Y7" s="27" t="n">
        <f aca="false">X12</f>
        <v>0</v>
      </c>
      <c r="Z7" s="27" t="n">
        <f aca="false">Y12</f>
        <v>0</v>
      </c>
    </row>
    <row r="8" customFormat="false" ht="15" hidden="false" customHeight="true" outlineLevel="0" collapsed="false">
      <c r="B8" s="1" t="s">
        <v>194</v>
      </c>
      <c r="C8" s="27" t="n">
        <f aca="false">C7*Assumptions!$E$13/Assumptions!$E$20+0</f>
        <v>3.25</v>
      </c>
      <c r="D8" s="27" t="n">
        <f aca="false">D7*Assumptions!$E$13/Assumptions!$E$20+C10</f>
        <v>3.0296273059915</v>
      </c>
      <c r="E8" s="27" t="n">
        <f aca="false">E7*Assumptions!$E$13/Assumptions!$E$20+D10</f>
        <v>2.81228055391823</v>
      </c>
      <c r="F8" s="27" t="n">
        <f aca="false">F7*Assumptions!$E$13/Assumptions!$E$20+E10</f>
        <v>2.59791940971563</v>
      </c>
      <c r="G8" s="27" t="n">
        <f aca="false">G7*Assumptions!$E$13/Assumptions!$E$20+F10</f>
        <v>2.38012860986693</v>
      </c>
      <c r="H8" s="27" t="n">
        <f aca="false">H7*Assumptions!$E$13/Assumptions!$E$20+G10</f>
        <v>2.16559093027873</v>
      </c>
      <c r="I8" s="27" t="n">
        <f aca="false">I7*Assumptions!$E$13/Assumptions!$E$20+H10</f>
        <v>1.95426053052421</v>
      </c>
      <c r="J8" s="27" t="n">
        <f aca="false">J7*Assumptions!$E$13/Assumptions!$E$20+I10</f>
        <v>1.74609219225997</v>
      </c>
      <c r="K8" s="27" t="n">
        <f aca="false">K7*Assumptions!$E$13/Assumptions!$E$20+J10</f>
        <v>1.54104131100336</v>
      </c>
      <c r="L8" s="27" t="n">
        <f aca="false">L7*Assumptions!$E$13/Assumptions!$E$20+K10</f>
        <v>1.33906388801648</v>
      </c>
      <c r="M8" s="27" t="n">
        <f aca="false">M7*Assumptions!$E$13/Assumptions!$E$20+L10</f>
        <v>1.14011652229536</v>
      </c>
      <c r="N8" s="27" t="n">
        <f aca="false">N7*Assumptions!$E$13/Assumptions!$E$20+M10</f>
        <v>0.944156402662996</v>
      </c>
      <c r="O8" s="27" t="n">
        <f aca="false">O7*Assumptions!$E$13/Assumptions!$E$20+N10</f>
        <v>0.751141299965003</v>
      </c>
      <c r="P8" s="27" t="n">
        <f aca="false">P7*Assumptions!$E$13/Assumptions!$E$20+O10</f>
        <v>0.561029559366497</v>
      </c>
      <c r="Q8" s="27" t="n">
        <f aca="false">Q7*Assumptions!$E$13/Assumptions!$E$20+P10</f>
        <v>0.373780092748915</v>
      </c>
      <c r="R8" s="27" t="n">
        <f aca="false">R7*Assumptions!$E$13/Assumptions!$E$20+Q10</f>
        <v>0.189352371205533</v>
      </c>
      <c r="S8" s="27" t="n">
        <f aca="false">S7*Assumptions!$E$13/Assumptions!$E$20+R10</f>
        <v>0.00770641763438572</v>
      </c>
      <c r="T8" s="27" t="n">
        <f aca="false">T7*Assumptions!$E$13/Assumptions!$E$20+S10</f>
        <v>0</v>
      </c>
      <c r="U8" s="27" t="n">
        <f aca="false">U7*Assumptions!$E$13/Assumptions!$E$20+T10</f>
        <v>0</v>
      </c>
      <c r="V8" s="27" t="n">
        <f aca="false">V7*Assumptions!$E$13/Assumptions!$E$20+U10</f>
        <v>0</v>
      </c>
      <c r="W8" s="27" t="n">
        <f aca="false">W7*Assumptions!$E$13/Assumptions!$E$20+V10</f>
        <v>0</v>
      </c>
      <c r="X8" s="27" t="n">
        <f aca="false">X7*Assumptions!$E$13/Assumptions!$E$20+W10</f>
        <v>0</v>
      </c>
      <c r="Y8" s="27" t="n">
        <f aca="false">Y7*Assumptions!$E$13/Assumptions!$E$20+X10</f>
        <v>0</v>
      </c>
      <c r="Z8" s="27" t="n">
        <f aca="false">Z7*Assumptions!$E$13/Assumptions!$E$20+Y10</f>
        <v>0</v>
      </c>
    </row>
    <row r="9" customFormat="false" ht="15" hidden="false" customHeight="true" outlineLevel="0" collapsed="false">
      <c r="B9" s="1" t="s">
        <v>195</v>
      </c>
      <c r="C9" s="27" t="n">
        <f aca="false">MIN(C5,C8)</f>
        <v>3.25</v>
      </c>
      <c r="D9" s="27" t="n">
        <f aca="false">MIN(D5,D8)</f>
        <v>3.0296273059915</v>
      </c>
      <c r="E9" s="27" t="n">
        <f aca="false">MIN(E5,E8)</f>
        <v>2.81228055391823</v>
      </c>
      <c r="F9" s="27" t="n">
        <f aca="false">MIN(F5,F8)</f>
        <v>2.59791940971563</v>
      </c>
      <c r="G9" s="27" t="n">
        <f aca="false">MIN(G5,G8)</f>
        <v>2.38012860986693</v>
      </c>
      <c r="H9" s="27" t="n">
        <f aca="false">MIN(H5,H8)</f>
        <v>2.16559093027873</v>
      </c>
      <c r="I9" s="27" t="n">
        <f aca="false">MIN(I5,I8)</f>
        <v>1.95426053052421</v>
      </c>
      <c r="J9" s="27" t="n">
        <f aca="false">MIN(J5,J8)</f>
        <v>1.74609219225997</v>
      </c>
      <c r="K9" s="27" t="n">
        <f aca="false">MIN(K5,K8)</f>
        <v>1.54104131100336</v>
      </c>
      <c r="L9" s="27" t="n">
        <f aca="false">MIN(L5,L8)</f>
        <v>1.33906388801648</v>
      </c>
      <c r="M9" s="27" t="n">
        <f aca="false">MIN(M5,M8)</f>
        <v>1.14011652229536</v>
      </c>
      <c r="N9" s="27" t="n">
        <f aca="false">MIN(N5,N8)</f>
        <v>0.944156402662996</v>
      </c>
      <c r="O9" s="27" t="n">
        <f aca="false">MIN(O5,O8)</f>
        <v>0.751141299965003</v>
      </c>
      <c r="P9" s="27" t="n">
        <f aca="false">MIN(P5,P8)</f>
        <v>0.561029559366497</v>
      </c>
      <c r="Q9" s="27" t="n">
        <f aca="false">MIN(Q5,Q8)</f>
        <v>0.373780092748915</v>
      </c>
      <c r="R9" s="27" t="n">
        <f aca="false">MIN(R5,R8)</f>
        <v>0.189352371205533</v>
      </c>
      <c r="S9" s="27" t="n">
        <f aca="false">MIN(S5,S8)</f>
        <v>0.00770641763438572</v>
      </c>
      <c r="T9" s="27" t="n">
        <f aca="false">MIN(T5,T8)</f>
        <v>0</v>
      </c>
      <c r="U9" s="27" t="n">
        <f aca="false">MIN(U5,U8)</f>
        <v>0</v>
      </c>
      <c r="V9" s="27" t="n">
        <f aca="false">MIN(V5,V8)</f>
        <v>0</v>
      </c>
      <c r="W9" s="27" t="n">
        <f aca="false">MIN(W5,W8)</f>
        <v>0</v>
      </c>
      <c r="X9" s="27" t="n">
        <f aca="false">MIN(X5,X8)</f>
        <v>0</v>
      </c>
      <c r="Y9" s="27" t="n">
        <f aca="false">MIN(Y5,Y8)</f>
        <v>0</v>
      </c>
      <c r="Z9" s="27" t="n">
        <f aca="false">MIN(Z5,Z8)</f>
        <v>0</v>
      </c>
    </row>
    <row r="10" customFormat="false" ht="15" hidden="false" customHeight="true" outlineLevel="0" collapsed="false">
      <c r="B10" s="1" t="s">
        <v>196</v>
      </c>
      <c r="C10" s="27" t="n">
        <f aca="false">C8-C9</f>
        <v>0</v>
      </c>
      <c r="D10" s="27" t="n">
        <f aca="false">D8-D9</f>
        <v>0</v>
      </c>
      <c r="E10" s="27" t="n">
        <f aca="false">E8-E9</f>
        <v>0</v>
      </c>
      <c r="F10" s="27" t="n">
        <f aca="false">F8-F9</f>
        <v>0</v>
      </c>
      <c r="G10" s="27" t="n">
        <f aca="false">G8-G9</f>
        <v>0</v>
      </c>
      <c r="H10" s="27" t="n">
        <f aca="false">H8-H9</f>
        <v>0</v>
      </c>
      <c r="I10" s="27" t="n">
        <f aca="false">I8-I9</f>
        <v>0</v>
      </c>
      <c r="J10" s="27" t="n">
        <f aca="false">J8-J9</f>
        <v>0</v>
      </c>
      <c r="K10" s="27" t="n">
        <f aca="false">K8-K9</f>
        <v>0</v>
      </c>
      <c r="L10" s="27" t="n">
        <f aca="false">L8-L9</f>
        <v>0</v>
      </c>
      <c r="M10" s="27" t="n">
        <f aca="false">M8-M9</f>
        <v>0</v>
      </c>
      <c r="N10" s="27" t="n">
        <f aca="false">N8-N9</f>
        <v>0</v>
      </c>
      <c r="O10" s="27" t="n">
        <f aca="false">O8-O9</f>
        <v>0</v>
      </c>
      <c r="P10" s="27" t="n">
        <f aca="false">P8-P9</f>
        <v>0</v>
      </c>
      <c r="Q10" s="27" t="n">
        <f aca="false">Q8-Q9</f>
        <v>0</v>
      </c>
      <c r="R10" s="27" t="n">
        <f aca="false">R8-R9</f>
        <v>0</v>
      </c>
      <c r="S10" s="27" t="n">
        <f aca="false">S8-S9</f>
        <v>0</v>
      </c>
      <c r="T10" s="27" t="n">
        <f aca="false">T8-T9</f>
        <v>0</v>
      </c>
      <c r="U10" s="27" t="n">
        <f aca="false">U8-U9</f>
        <v>0</v>
      </c>
      <c r="V10" s="27" t="n">
        <f aca="false">V8-V9</f>
        <v>0</v>
      </c>
      <c r="W10" s="27" t="n">
        <f aca="false">W8-W9</f>
        <v>0</v>
      </c>
      <c r="X10" s="27" t="n">
        <f aca="false">X8-X9</f>
        <v>0</v>
      </c>
      <c r="Y10" s="27" t="n">
        <f aca="false">Y8-Y9</f>
        <v>0</v>
      </c>
      <c r="Z10" s="27" t="n">
        <f aca="false">Z8-Z9</f>
        <v>0</v>
      </c>
    </row>
    <row r="11" customFormat="false" ht="15" hidden="false" customHeight="true" outlineLevel="0" collapsed="false">
      <c r="B11" s="1" t="s">
        <v>197</v>
      </c>
      <c r="C11" s="27" t="n">
        <f aca="false">MIN(C7,C6)</f>
        <v>44.0745388017001</v>
      </c>
      <c r="D11" s="27" t="n">
        <f aca="false">MIN(D7,D6)</f>
        <v>43.4693504146541</v>
      </c>
      <c r="E11" s="27" t="n">
        <f aca="false">MIN(E7,E6)</f>
        <v>42.8722288405202</v>
      </c>
      <c r="F11" s="27" t="n">
        <f aca="false">MIN(F7,F6)</f>
        <v>43.5581599697394</v>
      </c>
      <c r="G11" s="27" t="n">
        <f aca="false">MIN(G7,G6)</f>
        <v>42.9075359176396</v>
      </c>
      <c r="H11" s="27" t="n">
        <f aca="false">MIN(H7,H6)</f>
        <v>42.2660799509038</v>
      </c>
      <c r="I11" s="27" t="n">
        <f aca="false">MIN(I7,I6)</f>
        <v>41.6336676528497</v>
      </c>
      <c r="J11" s="27" t="n">
        <f aca="false">MIN(J7,J6)</f>
        <v>41.010176251322</v>
      </c>
      <c r="K11" s="27" t="n">
        <f aca="false">MIN(K7,K6)</f>
        <v>40.3954845973746</v>
      </c>
      <c r="L11" s="27" t="n">
        <f aca="false">MIN(L7,L6)</f>
        <v>39.7894731442242</v>
      </c>
      <c r="M11" s="27" t="n">
        <f aca="false">MIN(M7,M6)</f>
        <v>39.1920239264732</v>
      </c>
      <c r="N11" s="27" t="n">
        <f aca="false">MIN(N7,N6)</f>
        <v>38.6030205395985</v>
      </c>
      <c r="O11" s="27" t="n">
        <f aca="false">MIN(O7,O6)</f>
        <v>38.0223481197013</v>
      </c>
      <c r="P11" s="27" t="n">
        <f aca="false">MIN(P7,P6)</f>
        <v>37.4498933235163</v>
      </c>
      <c r="Q11" s="27" t="n">
        <f aca="false">MIN(Q7,Q6)</f>
        <v>36.8855443086764</v>
      </c>
      <c r="R11" s="27" t="n">
        <f aca="false">MIN(R7,R6)</f>
        <v>36.3291907142295</v>
      </c>
      <c r="S11" s="27" t="n">
        <f aca="false">MIN(S7,S6)</f>
        <v>1.54128352687714</v>
      </c>
      <c r="T11" s="27" t="n">
        <f aca="false">MIN(T7,T6)</f>
        <v>0</v>
      </c>
      <c r="U11" s="27" t="n">
        <f aca="false">MIN(U7,U6)</f>
        <v>0</v>
      </c>
      <c r="V11" s="27" t="n">
        <f aca="false">MIN(V7,V6)</f>
        <v>0</v>
      </c>
      <c r="W11" s="27" t="n">
        <f aca="false">MIN(W7,W6)</f>
        <v>0</v>
      </c>
      <c r="X11" s="27" t="n">
        <f aca="false">MIN(X7,X6)</f>
        <v>0</v>
      </c>
      <c r="Y11" s="27" t="n">
        <f aca="false">MIN(Y7,Y6)</f>
        <v>0</v>
      </c>
      <c r="Z11" s="27" t="n">
        <f aca="false">MIN(Z7,Z6)</f>
        <v>0</v>
      </c>
    </row>
    <row r="12" customFormat="false" ht="15" hidden="false" customHeight="true" outlineLevel="0" collapsed="false">
      <c r="B12" s="28" t="s">
        <v>198</v>
      </c>
      <c r="C12" s="29" t="n">
        <f aca="false">MAX(0,C7-C11)</f>
        <v>605.9254611983</v>
      </c>
      <c r="D12" s="29" t="n">
        <f aca="false">MAX(0,D7-D11)</f>
        <v>562.456110783646</v>
      </c>
      <c r="E12" s="29" t="n">
        <f aca="false">MAX(0,E7-E11)</f>
        <v>519.583881943126</v>
      </c>
      <c r="F12" s="29" t="n">
        <f aca="false">MAX(0,F7-F11)</f>
        <v>476.025721973386</v>
      </c>
      <c r="G12" s="29" t="n">
        <f aca="false">MAX(0,G7-G11)</f>
        <v>433.118186055747</v>
      </c>
      <c r="H12" s="29" t="n">
        <f aca="false">MAX(0,H7-H11)</f>
        <v>390.852106104843</v>
      </c>
      <c r="I12" s="29" t="n">
        <f aca="false">MAX(0,I7-I11)</f>
        <v>349.218438451993</v>
      </c>
      <c r="J12" s="29" t="n">
        <f aca="false">MAX(0,J7-J11)</f>
        <v>308.208262200671</v>
      </c>
      <c r="K12" s="29" t="n">
        <f aca="false">MAX(0,K7-K11)</f>
        <v>267.812777603296</v>
      </c>
      <c r="L12" s="29" t="n">
        <f aca="false">MAX(0,L7-L11)</f>
        <v>228.023304459072</v>
      </c>
      <c r="M12" s="29" t="n">
        <f aca="false">MAX(0,M7-M11)</f>
        <v>188.831280532599</v>
      </c>
      <c r="N12" s="29" t="n">
        <f aca="false">MAX(0,N7-N11)</f>
        <v>150.228259993001</v>
      </c>
      <c r="O12" s="29" t="n">
        <f aca="false">MAX(0,O7-O11)</f>
        <v>112.205911873299</v>
      </c>
      <c r="P12" s="29" t="n">
        <f aca="false">MAX(0,P7-P11)</f>
        <v>74.7560185497831</v>
      </c>
      <c r="Q12" s="29" t="n">
        <f aca="false">MAX(0,Q7-Q11)</f>
        <v>37.8704742411067</v>
      </c>
      <c r="R12" s="29" t="n">
        <f aca="false">MAX(0,R7-R11)</f>
        <v>1.54128352687714</v>
      </c>
      <c r="S12" s="29" t="n">
        <f aca="false">MAX(0,S7-S11)</f>
        <v>0</v>
      </c>
      <c r="T12" s="29" t="n">
        <f aca="false">MAX(0,T7-T11)</f>
        <v>0</v>
      </c>
      <c r="U12" s="29" t="n">
        <f aca="false">MAX(0,U7-U11)</f>
        <v>0</v>
      </c>
      <c r="V12" s="29" t="n">
        <f aca="false">MAX(0,V7-V11)</f>
        <v>0</v>
      </c>
      <c r="W12" s="29" t="n">
        <f aca="false">MAX(0,W7-W11)</f>
        <v>0</v>
      </c>
      <c r="X12" s="29" t="n">
        <f aca="false">MAX(0,X7-X11)</f>
        <v>0</v>
      </c>
      <c r="Y12" s="29" t="n">
        <f aca="false">MAX(0,Y7-Y11)</f>
        <v>0</v>
      </c>
      <c r="Z12" s="29" t="n">
        <f aca="false">MAX(0,Z7-Z11)</f>
        <v>0</v>
      </c>
    </row>
    <row r="13" customFormat="false" ht="15" hidden="false" customHeight="true" outlineLevel="0" collapsed="false">
      <c r="B13" s="1" t="s">
        <v>199</v>
      </c>
      <c r="C13" s="27" t="n">
        <f aca="false">Assumptions!E14</f>
        <v>220</v>
      </c>
      <c r="D13" s="27" t="n">
        <f aca="false">C18</f>
        <v>220</v>
      </c>
      <c r="E13" s="27" t="n">
        <f aca="false">D18</f>
        <v>220</v>
      </c>
      <c r="F13" s="27" t="n">
        <f aca="false">E18</f>
        <v>220</v>
      </c>
      <c r="G13" s="27" t="n">
        <f aca="false">F18</f>
        <v>220</v>
      </c>
      <c r="H13" s="27" t="n">
        <f aca="false">G18</f>
        <v>220</v>
      </c>
      <c r="I13" s="27" t="n">
        <f aca="false">H18</f>
        <v>220</v>
      </c>
      <c r="J13" s="27" t="n">
        <f aca="false">I18</f>
        <v>220</v>
      </c>
      <c r="K13" s="27" t="n">
        <f aca="false">J18</f>
        <v>220</v>
      </c>
      <c r="L13" s="27" t="n">
        <f aca="false">K18</f>
        <v>220</v>
      </c>
      <c r="M13" s="27" t="n">
        <f aca="false">L18</f>
        <v>220</v>
      </c>
      <c r="N13" s="27" t="n">
        <f aca="false">M18</f>
        <v>220</v>
      </c>
      <c r="O13" s="27" t="n">
        <f aca="false">N18</f>
        <v>220</v>
      </c>
      <c r="P13" s="27" t="n">
        <f aca="false">O18</f>
        <v>220</v>
      </c>
      <c r="Q13" s="27" t="n">
        <f aca="false">P18</f>
        <v>220</v>
      </c>
      <c r="R13" s="27" t="n">
        <f aca="false">Q18</f>
        <v>220</v>
      </c>
      <c r="S13" s="27" t="n">
        <f aca="false">R18</f>
        <v>220</v>
      </c>
      <c r="T13" s="27" t="n">
        <f aca="false">S18</f>
        <v>185.760559885473</v>
      </c>
      <c r="U13" s="27" t="n">
        <f aca="false">T18</f>
        <v>150.52052425085</v>
      </c>
      <c r="V13" s="27" t="n">
        <f aca="false">U18</f>
        <v>115.813503588096</v>
      </c>
      <c r="W13" s="27" t="n">
        <f aca="false">V18</f>
        <v>81.631929487488</v>
      </c>
      <c r="X13" s="27" t="n">
        <f aca="false">W18</f>
        <v>47.9683367768185</v>
      </c>
      <c r="Y13" s="27" t="n">
        <f aca="false">X18</f>
        <v>14.8153621517584</v>
      </c>
      <c r="Z13" s="27" t="n">
        <f aca="false">Y18</f>
        <v>0</v>
      </c>
    </row>
    <row r="14" customFormat="false" ht="15" hidden="false" customHeight="true" outlineLevel="0" collapsed="false">
      <c r="B14" s="1" t="s">
        <v>200</v>
      </c>
      <c r="C14" s="27" t="n">
        <f aca="false">C13*Assumptions!$E$15/Assumptions!$E$20+0</f>
        <v>1.83333333333333</v>
      </c>
      <c r="D14" s="27" t="n">
        <f aca="false">D13*Assumptions!$E$15/Assumptions!$E$20+C16</f>
        <v>1.83333333333333</v>
      </c>
      <c r="E14" s="27" t="n">
        <f aca="false">E13*Assumptions!$E$15/Assumptions!$E$20+D16</f>
        <v>1.83333333333333</v>
      </c>
      <c r="F14" s="27" t="n">
        <f aca="false">F13*Assumptions!$E$15/Assumptions!$E$20+E16</f>
        <v>1.83333333333333</v>
      </c>
      <c r="G14" s="27" t="n">
        <f aca="false">G13*Assumptions!$E$15/Assumptions!$E$20+F16</f>
        <v>1.83333333333333</v>
      </c>
      <c r="H14" s="27" t="n">
        <f aca="false">H13*Assumptions!$E$15/Assumptions!$E$20+G16</f>
        <v>1.83333333333333</v>
      </c>
      <c r="I14" s="27" t="n">
        <f aca="false">I13*Assumptions!$E$15/Assumptions!$E$20+H16</f>
        <v>1.83333333333333</v>
      </c>
      <c r="J14" s="27" t="n">
        <f aca="false">J13*Assumptions!$E$15/Assumptions!$E$20+I16</f>
        <v>1.83333333333333</v>
      </c>
      <c r="K14" s="27" t="n">
        <f aca="false">K13*Assumptions!$E$15/Assumptions!$E$20+J16</f>
        <v>1.83333333333333</v>
      </c>
      <c r="L14" s="27" t="n">
        <f aca="false">L13*Assumptions!$E$15/Assumptions!$E$20+K16</f>
        <v>1.83333333333333</v>
      </c>
      <c r="M14" s="27" t="n">
        <f aca="false">M13*Assumptions!$E$15/Assumptions!$E$20+L16</f>
        <v>1.83333333333333</v>
      </c>
      <c r="N14" s="27" t="n">
        <f aca="false">N13*Assumptions!$E$15/Assumptions!$E$20+M16</f>
        <v>1.83333333333333</v>
      </c>
      <c r="O14" s="27" t="n">
        <f aca="false">O13*Assumptions!$E$15/Assumptions!$E$20+N16</f>
        <v>1.83333333333333</v>
      </c>
      <c r="P14" s="27" t="n">
        <f aca="false">P13*Assumptions!$E$15/Assumptions!$E$20+O16</f>
        <v>1.83333333333333</v>
      </c>
      <c r="Q14" s="27" t="n">
        <f aca="false">Q13*Assumptions!$E$15/Assumptions!$E$20+P16</f>
        <v>1.83333333333333</v>
      </c>
      <c r="R14" s="27" t="n">
        <f aca="false">R13*Assumptions!$E$15/Assumptions!$E$20+Q16</f>
        <v>1.83333333333333</v>
      </c>
      <c r="S14" s="27" t="n">
        <f aca="false">S13*Assumptions!$E$15/Assumptions!$E$20+R16</f>
        <v>1.83333333333333</v>
      </c>
      <c r="T14" s="27" t="n">
        <f aca="false">T13*Assumptions!$E$15/Assumptions!$E$20+S16</f>
        <v>1.54800466571227</v>
      </c>
      <c r="U14" s="27" t="n">
        <f aca="false">U13*Assumptions!$E$15/Assumptions!$E$20+T16</f>
        <v>1.25433770209041</v>
      </c>
      <c r="V14" s="27" t="n">
        <f aca="false">V13*Assumptions!$E$15/Assumptions!$E$20+U16</f>
        <v>0.9651125299008</v>
      </c>
      <c r="W14" s="27" t="n">
        <f aca="false">W13*Assumptions!$E$15/Assumptions!$E$20+V16</f>
        <v>0.6802660790624</v>
      </c>
      <c r="X14" s="27" t="n">
        <f aca="false">X13*Assumptions!$E$15/Assumptions!$E$20+W16</f>
        <v>0.399736139806821</v>
      </c>
      <c r="Y14" s="27" t="n">
        <f aca="false">Y13*Assumptions!$E$15/Assumptions!$E$20+X16</f>
        <v>0.123461351264654</v>
      </c>
      <c r="Z14" s="27" t="n">
        <f aca="false">Z13*Assumptions!$E$15/Assumptions!$E$20+Y16</f>
        <v>0</v>
      </c>
    </row>
    <row r="15" customFormat="false" ht="15" hidden="false" customHeight="true" outlineLevel="0" collapsed="false">
      <c r="B15" s="1" t="s">
        <v>201</v>
      </c>
      <c r="C15" s="27" t="n">
        <f aca="false">MIN(MAX(0,C5-C9),C14)</f>
        <v>1.83333333333333</v>
      </c>
      <c r="D15" s="27" t="n">
        <f aca="false">MIN(MAX(0,D5-D9),D14)</f>
        <v>1.83333333333333</v>
      </c>
      <c r="E15" s="27" t="n">
        <f aca="false">MIN(MAX(0,E5-E9),E14)</f>
        <v>1.83333333333333</v>
      </c>
      <c r="F15" s="27" t="n">
        <f aca="false">MIN(MAX(0,F5-F9),F14)</f>
        <v>1.83333333333333</v>
      </c>
      <c r="G15" s="27" t="n">
        <f aca="false">MIN(MAX(0,G5-G9),G14)</f>
        <v>1.83333333333333</v>
      </c>
      <c r="H15" s="27" t="n">
        <f aca="false">MIN(MAX(0,H5-H9),H14)</f>
        <v>1.83333333333333</v>
      </c>
      <c r="I15" s="27" t="n">
        <f aca="false">MIN(MAX(0,I5-I9),I14)</f>
        <v>1.83333333333333</v>
      </c>
      <c r="J15" s="27" t="n">
        <f aca="false">MIN(MAX(0,J5-J9),J14)</f>
        <v>1.83333333333333</v>
      </c>
      <c r="K15" s="27" t="n">
        <f aca="false">MIN(MAX(0,K5-K9),K14)</f>
        <v>1.83333333333333</v>
      </c>
      <c r="L15" s="27" t="n">
        <f aca="false">MIN(MAX(0,L5-L9),L14)</f>
        <v>1.83333333333333</v>
      </c>
      <c r="M15" s="27" t="n">
        <f aca="false">MIN(MAX(0,M5-M9),M14)</f>
        <v>1.83333333333333</v>
      </c>
      <c r="N15" s="27" t="n">
        <f aca="false">MIN(MAX(0,N5-N9),N14)</f>
        <v>1.83333333333333</v>
      </c>
      <c r="O15" s="27" t="n">
        <f aca="false">MIN(MAX(0,O5-O9),O14)</f>
        <v>1.83333333333333</v>
      </c>
      <c r="P15" s="27" t="n">
        <f aca="false">MIN(MAX(0,P5-P9),P14)</f>
        <v>1.83333333333333</v>
      </c>
      <c r="Q15" s="27" t="n">
        <f aca="false">MIN(MAX(0,Q5-Q9),Q14)</f>
        <v>1.83333333333333</v>
      </c>
      <c r="R15" s="27" t="n">
        <f aca="false">MIN(MAX(0,R5-R9),R14)</f>
        <v>1.83333333333333</v>
      </c>
      <c r="S15" s="27" t="n">
        <f aca="false">MIN(MAX(0,S5-S9),S14)</f>
        <v>1.83333333333333</v>
      </c>
      <c r="T15" s="27" t="n">
        <f aca="false">MIN(MAX(0,T5-T9),T14)</f>
        <v>1.54800466571227</v>
      </c>
      <c r="U15" s="27" t="n">
        <f aca="false">MIN(MAX(0,U5-U9),U14)</f>
        <v>1.25433770209041</v>
      </c>
      <c r="V15" s="27" t="n">
        <f aca="false">MIN(MAX(0,V5-V9),V14)</f>
        <v>0.9651125299008</v>
      </c>
      <c r="W15" s="27" t="n">
        <f aca="false">MIN(MAX(0,W5-W9),W14)</f>
        <v>0.6802660790624</v>
      </c>
      <c r="X15" s="27" t="n">
        <f aca="false">MIN(MAX(0,X5-X9),X14)</f>
        <v>0.399736139806821</v>
      </c>
      <c r="Y15" s="27" t="n">
        <f aca="false">MIN(MAX(0,Y5-Y9),Y14)</f>
        <v>0.123461351264654</v>
      </c>
      <c r="Z15" s="27" t="n">
        <f aca="false">MIN(MAX(0,Z5-Z9),Z14)</f>
        <v>0</v>
      </c>
    </row>
    <row r="16" customFormat="false" ht="15" hidden="false" customHeight="true" outlineLevel="0" collapsed="false">
      <c r="B16" s="1" t="s">
        <v>202</v>
      </c>
      <c r="C16" s="27" t="n">
        <f aca="false">C14-C15</f>
        <v>0</v>
      </c>
      <c r="D16" s="27" t="n">
        <f aca="false">D14-D15</f>
        <v>0</v>
      </c>
      <c r="E16" s="27" t="n">
        <f aca="false">E14-E15</f>
        <v>0</v>
      </c>
      <c r="F16" s="27" t="n">
        <f aca="false">F14-F15</f>
        <v>0</v>
      </c>
      <c r="G16" s="27" t="n">
        <f aca="false">G14-G15</f>
        <v>0</v>
      </c>
      <c r="H16" s="27" t="n">
        <f aca="false">H14-H15</f>
        <v>0</v>
      </c>
      <c r="I16" s="27" t="n">
        <f aca="false">I14-I15</f>
        <v>0</v>
      </c>
      <c r="J16" s="27" t="n">
        <f aca="false">J14-J15</f>
        <v>0</v>
      </c>
      <c r="K16" s="27" t="n">
        <f aca="false">K14-K15</f>
        <v>0</v>
      </c>
      <c r="L16" s="27" t="n">
        <f aca="false">L14-L15</f>
        <v>0</v>
      </c>
      <c r="M16" s="27" t="n">
        <f aca="false">M14-M15</f>
        <v>0</v>
      </c>
      <c r="N16" s="27" t="n">
        <f aca="false">N14-N15</f>
        <v>0</v>
      </c>
      <c r="O16" s="27" t="n">
        <f aca="false">O14-O15</f>
        <v>0</v>
      </c>
      <c r="P16" s="27" t="n">
        <f aca="false">P14-P15</f>
        <v>0</v>
      </c>
      <c r="Q16" s="27" t="n">
        <f aca="false">Q14-Q15</f>
        <v>0</v>
      </c>
      <c r="R16" s="27" t="n">
        <f aca="false">R14-R15</f>
        <v>0</v>
      </c>
      <c r="S16" s="27" t="n">
        <f aca="false">S14-S15</f>
        <v>0</v>
      </c>
      <c r="T16" s="27" t="n">
        <f aca="false">T14-T15</f>
        <v>0</v>
      </c>
      <c r="U16" s="27" t="n">
        <f aca="false">U14-U15</f>
        <v>0</v>
      </c>
      <c r="V16" s="27" t="n">
        <f aca="false">V14-V15</f>
        <v>0</v>
      </c>
      <c r="W16" s="27" t="n">
        <f aca="false">W14-W15</f>
        <v>0</v>
      </c>
      <c r="X16" s="27" t="n">
        <f aca="false">X14-X15</f>
        <v>0</v>
      </c>
      <c r="Y16" s="27" t="n">
        <f aca="false">Y14-Y15</f>
        <v>0</v>
      </c>
      <c r="Z16" s="27" t="n">
        <f aca="false">Z14-Z15</f>
        <v>0</v>
      </c>
    </row>
    <row r="17" customFormat="false" ht="15" hidden="false" customHeight="true" outlineLevel="0" collapsed="false">
      <c r="B17" s="1" t="s">
        <v>203</v>
      </c>
      <c r="C17" s="27" t="n">
        <f aca="false">MIN(C13,MAX(0,C6-C11))</f>
        <v>0</v>
      </c>
      <c r="D17" s="27" t="n">
        <f aca="false">MIN(D13,MAX(0,D6-D11))</f>
        <v>0</v>
      </c>
      <c r="E17" s="27" t="n">
        <f aca="false">MIN(E13,MAX(0,E6-E11))</f>
        <v>0</v>
      </c>
      <c r="F17" s="27" t="n">
        <f aca="false">MIN(F13,MAX(0,F6-F11))</f>
        <v>0</v>
      </c>
      <c r="G17" s="27" t="n">
        <f aca="false">MIN(G13,MAX(0,G6-G11))</f>
        <v>0</v>
      </c>
      <c r="H17" s="27" t="n">
        <f aca="false">MIN(H13,MAX(0,H6-H11))</f>
        <v>0</v>
      </c>
      <c r="I17" s="27" t="n">
        <f aca="false">MIN(I13,MAX(0,I6-I11))</f>
        <v>0</v>
      </c>
      <c r="J17" s="27" t="n">
        <f aca="false">MIN(J13,MAX(0,J6-J11))</f>
        <v>0</v>
      </c>
      <c r="K17" s="27" t="n">
        <f aca="false">MIN(K13,MAX(0,K6-K11))</f>
        <v>0</v>
      </c>
      <c r="L17" s="27" t="n">
        <f aca="false">MIN(L13,MAX(0,L6-L11))</f>
        <v>0</v>
      </c>
      <c r="M17" s="27" t="n">
        <f aca="false">MIN(M13,MAX(0,M6-M11))</f>
        <v>0</v>
      </c>
      <c r="N17" s="27" t="n">
        <f aca="false">MIN(N13,MAX(0,N6-N11))</f>
        <v>0</v>
      </c>
      <c r="O17" s="27" t="n">
        <f aca="false">MIN(O13,MAX(0,O6-O11))</f>
        <v>0</v>
      </c>
      <c r="P17" s="27" t="n">
        <f aca="false">MIN(P13,MAX(0,P6-P11))</f>
        <v>0</v>
      </c>
      <c r="Q17" s="27" t="n">
        <f aca="false">MIN(Q13,MAX(0,Q6-Q11))</f>
        <v>0</v>
      </c>
      <c r="R17" s="27" t="n">
        <f aca="false">MIN(R13,MAX(0,R6-R11))</f>
        <v>0</v>
      </c>
      <c r="S17" s="27" t="n">
        <f aca="false">MIN(S13,MAX(0,S6-S11))</f>
        <v>34.2394401145274</v>
      </c>
      <c r="T17" s="27" t="n">
        <f aca="false">MIN(T13,MAX(0,T6-T11))</f>
        <v>35.2400356346229</v>
      </c>
      <c r="U17" s="27" t="n">
        <f aca="false">MIN(U13,MAX(0,U6-U11))</f>
        <v>34.7070206627538</v>
      </c>
      <c r="V17" s="27" t="n">
        <f aca="false">MIN(V13,MAX(0,V6-V11))</f>
        <v>34.1815741006079</v>
      </c>
      <c r="W17" s="27" t="n">
        <f aca="false">MIN(W13,MAX(0,W6-W11))</f>
        <v>33.6635927106694</v>
      </c>
      <c r="X17" s="27" t="n">
        <f aca="false">MIN(X13,MAX(0,X6-X11))</f>
        <v>33.1529746250601</v>
      </c>
      <c r="Y17" s="27" t="n">
        <f aca="false">MIN(Y13,MAX(0,Y6-Y11))</f>
        <v>14.8153621517584</v>
      </c>
      <c r="Z17" s="27" t="n">
        <f aca="false">MIN(Z13,MAX(0,Z6-Z11))</f>
        <v>0</v>
      </c>
    </row>
    <row r="18" customFormat="false" ht="15" hidden="false" customHeight="true" outlineLevel="0" collapsed="false">
      <c r="B18" s="28" t="s">
        <v>204</v>
      </c>
      <c r="C18" s="29" t="n">
        <f aca="false">MAX(0,C13-C17)</f>
        <v>220</v>
      </c>
      <c r="D18" s="29" t="n">
        <f aca="false">MAX(0,D13-D17)</f>
        <v>220</v>
      </c>
      <c r="E18" s="29" t="n">
        <f aca="false">MAX(0,E13-E17)</f>
        <v>220</v>
      </c>
      <c r="F18" s="29" t="n">
        <f aca="false">MAX(0,F13-F17)</f>
        <v>220</v>
      </c>
      <c r="G18" s="29" t="n">
        <f aca="false">MAX(0,G13-G17)</f>
        <v>220</v>
      </c>
      <c r="H18" s="29" t="n">
        <f aca="false">MAX(0,H13-H17)</f>
        <v>220</v>
      </c>
      <c r="I18" s="29" t="n">
        <f aca="false">MAX(0,I13-I17)</f>
        <v>220</v>
      </c>
      <c r="J18" s="29" t="n">
        <f aca="false">MAX(0,J13-J17)</f>
        <v>220</v>
      </c>
      <c r="K18" s="29" t="n">
        <f aca="false">MAX(0,K13-K17)</f>
        <v>220</v>
      </c>
      <c r="L18" s="29" t="n">
        <f aca="false">MAX(0,L13-L17)</f>
        <v>220</v>
      </c>
      <c r="M18" s="29" t="n">
        <f aca="false">MAX(0,M13-M17)</f>
        <v>220</v>
      </c>
      <c r="N18" s="29" t="n">
        <f aca="false">MAX(0,N13-N17)</f>
        <v>220</v>
      </c>
      <c r="O18" s="29" t="n">
        <f aca="false">MAX(0,O13-O17)</f>
        <v>220</v>
      </c>
      <c r="P18" s="29" t="n">
        <f aca="false">MAX(0,P13-P17)</f>
        <v>220</v>
      </c>
      <c r="Q18" s="29" t="n">
        <f aca="false">MAX(0,Q13-Q17)</f>
        <v>220</v>
      </c>
      <c r="R18" s="29" t="n">
        <f aca="false">MAX(0,R13-R17)</f>
        <v>220</v>
      </c>
      <c r="S18" s="29" t="n">
        <f aca="false">MAX(0,S13-S17)</f>
        <v>185.760559885473</v>
      </c>
      <c r="T18" s="29" t="n">
        <f aca="false">MAX(0,T13-T17)</f>
        <v>150.52052425085</v>
      </c>
      <c r="U18" s="29" t="n">
        <f aca="false">MAX(0,U13-U17)</f>
        <v>115.813503588096</v>
      </c>
      <c r="V18" s="29" t="n">
        <f aca="false">MAX(0,V13-V17)</f>
        <v>81.631929487488</v>
      </c>
      <c r="W18" s="29" t="n">
        <f aca="false">MAX(0,W13-W17)</f>
        <v>47.9683367768185</v>
      </c>
      <c r="X18" s="29" t="n">
        <f aca="false">MAX(0,X13-X17)</f>
        <v>14.8153621517584</v>
      </c>
      <c r="Y18" s="29" t="n">
        <f aca="false">MAX(0,Y13-Y17)</f>
        <v>0</v>
      </c>
      <c r="Z18" s="29" t="n">
        <f aca="false">MAX(0,Z13-Z17)</f>
        <v>0</v>
      </c>
    </row>
    <row r="19" customFormat="false" ht="15" hidden="false" customHeight="true" outlineLevel="0" collapsed="false">
      <c r="B19" s="28" t="s">
        <v>205</v>
      </c>
      <c r="C19" s="29" t="n">
        <f aca="false">MAX(0,C5-C9-C15)+MAX(0,C6-C11-C17)</f>
        <v>0.166666666666667</v>
      </c>
      <c r="D19" s="29" t="n">
        <f aca="false">MAX(0,D5-D9-D15)+MAX(0,D6-D11-D17)</f>
        <v>0.111019842659327</v>
      </c>
      <c r="E19" s="29" t="n">
        <f aca="false">MAX(0,E5-E9-E15)+MAX(0,E6-E11-E17)</f>
        <v>0.0579505772237809</v>
      </c>
      <c r="F19" s="29" t="n">
        <f aca="false">MAX(0,F5-F9-F15)+MAX(0,F6-F11-F17)</f>
        <v>1.28249852395288</v>
      </c>
      <c r="G19" s="29" t="n">
        <f aca="false">MAX(0,G5-G9-G15)+MAX(0,G6-G11-G17)</f>
        <v>1.17148450422308</v>
      </c>
      <c r="H19" s="29" t="n">
        <f aca="false">MAX(0,H5-H9-H15)+MAX(0,H6-H11-H17)</f>
        <v>1.06396246274116</v>
      </c>
      <c r="I19" s="29" t="n">
        <f aca="false">MAX(0,I5-I9-I15)+MAX(0,I6-I11-I17)</f>
        <v>0.959867286578961</v>
      </c>
      <c r="J19" s="29" t="n">
        <f aca="false">MAX(0,J5-J9-J15)+MAX(0,J6-J11-J17)</f>
        <v>0.859134892692165</v>
      </c>
      <c r="K19" s="29" t="n">
        <f aca="false">MAX(0,K5-K9-K15)+MAX(0,K6-K11-K17)</f>
        <v>0.761702212910896</v>
      </c>
      <c r="L19" s="29" t="n">
        <f aca="false">MAX(0,L5-L9-L15)+MAX(0,L6-L11-L17)</f>
        <v>0.667507179138665</v>
      </c>
      <c r="M19" s="29" t="n">
        <f aca="false">MAX(0,M5-M9-M15)+MAX(0,M6-M11-M17)</f>
        <v>0.576488708756741</v>
      </c>
      <c r="N19" s="29" t="n">
        <f aca="false">MAX(0,N5-N9-N15)+MAX(0,N6-N11-N17)</f>
        <v>0.488586690231227</v>
      </c>
      <c r="O19" s="29" t="n">
        <f aca="false">MAX(0,O5-O9-O15)+MAX(0,O6-O11-O17)</f>
        <v>0.40374196892011</v>
      </c>
      <c r="P19" s="29" t="n">
        <f aca="false">MAX(0,P5-P9-P15)+MAX(0,P6-P11-P17)</f>
        <v>0.321896333077611</v>
      </c>
      <c r="Q19" s="29" t="n">
        <f aca="false">MAX(0,Q5-Q9-Q15)+MAX(0,Q6-Q11-Q17)</f>
        <v>0.242992500053159</v>
      </c>
      <c r="R19" s="29" t="n">
        <f aca="false">MAX(0,R5-R9-R15)+MAX(0,R6-R11-R17)</f>
        <v>0.166974102682388</v>
      </c>
      <c r="S19" s="29" t="n">
        <f aca="false">MAX(0,S5-S9-S15)+MAX(0,S6-S11-S17)</f>
        <v>0.0937856758675761</v>
      </c>
      <c r="T19" s="29" t="n">
        <f aca="false">MAX(0,T5-T9-T15)+MAX(0,T6-T11-T17)</f>
        <v>0.137504110393384</v>
      </c>
      <c r="U19" s="29" t="n">
        <f aca="false">MAX(0,U5-U9-U15)+MAX(0,U6-U11-U17)</f>
        <v>0.187279557133597</v>
      </c>
      <c r="V19" s="29" t="n">
        <f aca="false">MAX(0,V5-V9-V15)+MAX(0,V6-V11-V17)</f>
        <v>0.237947143556117</v>
      </c>
      <c r="W19" s="29" t="n">
        <f aca="false">MAX(0,W5-W9-W15)+MAX(0,W6-W11-W17)</f>
        <v>0.289480110366725</v>
      </c>
      <c r="X19" s="29" t="n">
        <f aca="false">MAX(0,X5-X9-X15)+MAX(0,X6-X11-X17)</f>
        <v>0.341852191868428</v>
      </c>
      <c r="Y19" s="29" t="n">
        <f aca="false">MAX(0,Y5-Y9-Y15)+MAX(0,Y6-Y11-Y17)</f>
        <v>18.2292947841686</v>
      </c>
      <c r="Z19" s="29" t="n">
        <f aca="false">MAX(0,Z5-Z9-Z15)+MAX(0,Z6-Z11-Z17)</f>
        <v>32.4538198847453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207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208</v>
      </c>
      <c r="C5" s="31" t="n">
        <f aca="false">IFERROR(Collateral!C14/(Waterfall!C12+Waterfall!C18),0)</f>
        <v>1.14710697056934</v>
      </c>
      <c r="D5" s="31" t="n">
        <f aca="false">IFERROR(Collateral!D14/(Waterfall!D12+Waterfall!D18),0)</f>
        <v>1.14500612686783</v>
      </c>
      <c r="E5" s="31" t="n">
        <f aca="false">IFERROR(Collateral!E14/(Waterfall!E12+Waterfall!E18),0)</f>
        <v>1.14315508447298</v>
      </c>
      <c r="F5" s="31" t="n">
        <f aca="false">IFERROR(Collateral!F14/(Waterfall!F12+Waterfall!F18),0)</f>
        <v>1.14368435611677</v>
      </c>
      <c r="G5" s="31" t="n">
        <f aca="false">IFERROR(Collateral!G14/(Waterfall!G12+Waterfall!G18),0)</f>
        <v>1.14469945912564</v>
      </c>
      <c r="H5" s="31" t="n">
        <f aca="false">IFERROR(Collateral!H14/(Waterfall!H12+Waterfall!H18),0)</f>
        <v>1.14628936216237</v>
      </c>
      <c r="I5" s="31" t="n">
        <f aca="false">IFERROR(Collateral!I14/(Waterfall!I12+Waterfall!I18),0)</f>
        <v>1.14856604580755</v>
      </c>
      <c r="J5" s="31" t="n">
        <f aca="false">IFERROR(Collateral!J14/(Waterfall!J12+Waterfall!J18),0)</f>
        <v>1.15167246399348</v>
      </c>
      <c r="K5" s="31" t="n">
        <f aca="false">IFERROR(Collateral!K14/(Waterfall!K12+Waterfall!K18),0)</f>
        <v>1.15579405651526</v>
      </c>
      <c r="L5" s="31" t="n">
        <f aca="false">IFERROR(Collateral!L14/(Waterfall!L12+Waterfall!L18),0)</f>
        <v>1.16117580890839</v>
      </c>
      <c r="M5" s="31" t="n">
        <f aca="false">IFERROR(Collateral!M14/(Waterfall!M12+Waterfall!M18),0)</f>
        <v>1.16814825054169</v>
      </c>
      <c r="N5" s="31" t="n">
        <f aca="false">IFERROR(Collateral!N14/(Waterfall!N12+Waterfall!N18),0)</f>
        <v>1.17716837717423</v>
      </c>
      <c r="O5" s="31" t="n">
        <f aca="false">IFERROR(Collateral!O14/(Waterfall!O12+Waterfall!O18),0)</f>
        <v>1.18888655094514</v>
      </c>
      <c r="P5" s="31" t="n">
        <f aca="false">IFERROR(Collateral!P14/(Waterfall!P12+Waterfall!P18),0)</f>
        <v>1.20426089279607</v>
      </c>
      <c r="Q5" s="31" t="n">
        <f aca="false">IFERROR(Collateral!Q14/(Waterfall!Q12+Waterfall!Q18),0)</f>
        <v>1.22476377987708</v>
      </c>
      <c r="R5" s="31" t="n">
        <f aca="false">IFERROR(Collateral!R14/(Waterfall!R12+Waterfall!R18),0)</f>
        <v>1.25278037782593</v>
      </c>
      <c r="S5" s="31" t="n">
        <f aca="false">IFERROR(Collateral!S14/(Waterfall!S12+Waterfall!S18),0)</f>
        <v>1.292445773513</v>
      </c>
      <c r="T5" s="31" t="n">
        <f aca="false">IFERROR(Collateral!T14/(Waterfall!T12+Waterfall!T18),0)</f>
        <v>1.35161035141339</v>
      </c>
      <c r="U5" s="31" t="n">
        <f aca="false">IFERROR(Collateral!U14/(Waterfall!U12+Waterfall!U18),0)</f>
        <v>1.4472213619403</v>
      </c>
      <c r="V5" s="31" t="n">
        <f aca="false">IFERROR(Collateral!V14/(Waterfall!V12+Waterfall!V18),0)</f>
        <v>1.62387377699822</v>
      </c>
      <c r="W5" s="31" t="n">
        <f aca="false">IFERROR(Collateral!W14/(Waterfall!W12+Waterfall!W18),0)</f>
        <v>2.04902431784396</v>
      </c>
      <c r="X5" s="31" t="n">
        <f aca="false">IFERROR(Collateral!X14/(Waterfall!X12+Waterfall!X18),0)</f>
        <v>4.37246579667018</v>
      </c>
      <c r="Y5" s="31" t="n">
        <f aca="false">IFERROR(Collateral!Y14/(Waterfall!Y12+Waterfall!Y18),0)</f>
        <v>0</v>
      </c>
      <c r="Z5" s="31" t="n">
        <f aca="false">IFERROR(Collateral!Z14/(Waterfall!Z12+Waterfall!Z18),0)</f>
        <v>0</v>
      </c>
    </row>
    <row r="6" customFormat="false" ht="15" hidden="false" customHeight="true" outlineLevel="0" collapsed="false">
      <c r="B6" s="1" t="s">
        <v>143</v>
      </c>
      <c r="C6" s="31" t="n">
        <f aca="false">Assumptions!$E$17</f>
        <v>1.08</v>
      </c>
      <c r="D6" s="31" t="n">
        <f aca="false">Assumptions!$E$17</f>
        <v>1.08</v>
      </c>
      <c r="E6" s="31" t="n">
        <f aca="false">Assumptions!$E$17</f>
        <v>1.08</v>
      </c>
      <c r="F6" s="31" t="n">
        <f aca="false">Assumptions!$E$17</f>
        <v>1.08</v>
      </c>
      <c r="G6" s="31" t="n">
        <f aca="false">Assumptions!$E$17</f>
        <v>1.08</v>
      </c>
      <c r="H6" s="31" t="n">
        <f aca="false">Assumptions!$E$17</f>
        <v>1.08</v>
      </c>
      <c r="I6" s="31" t="n">
        <f aca="false">Assumptions!$E$17</f>
        <v>1.08</v>
      </c>
      <c r="J6" s="31" t="n">
        <f aca="false">Assumptions!$E$17</f>
        <v>1.08</v>
      </c>
      <c r="K6" s="31" t="n">
        <f aca="false">Assumptions!$E$17</f>
        <v>1.08</v>
      </c>
      <c r="L6" s="31" t="n">
        <f aca="false">Assumptions!$E$17</f>
        <v>1.08</v>
      </c>
      <c r="M6" s="31" t="n">
        <f aca="false">Assumptions!$E$17</f>
        <v>1.08</v>
      </c>
      <c r="N6" s="31" t="n">
        <f aca="false">Assumptions!$E$17</f>
        <v>1.08</v>
      </c>
      <c r="O6" s="31" t="n">
        <f aca="false">Assumptions!$E$17</f>
        <v>1.08</v>
      </c>
      <c r="P6" s="31" t="n">
        <f aca="false">Assumptions!$E$17</f>
        <v>1.08</v>
      </c>
      <c r="Q6" s="31" t="n">
        <f aca="false">Assumptions!$E$17</f>
        <v>1.08</v>
      </c>
      <c r="R6" s="31" t="n">
        <f aca="false">Assumptions!$E$17</f>
        <v>1.08</v>
      </c>
      <c r="S6" s="31" t="n">
        <f aca="false">Assumptions!$E$17</f>
        <v>1.08</v>
      </c>
      <c r="T6" s="31" t="n">
        <f aca="false">Assumptions!$E$17</f>
        <v>1.08</v>
      </c>
      <c r="U6" s="31" t="n">
        <f aca="false">Assumptions!$E$17</f>
        <v>1.08</v>
      </c>
      <c r="V6" s="31" t="n">
        <f aca="false">Assumptions!$E$17</f>
        <v>1.08</v>
      </c>
      <c r="W6" s="31" t="n">
        <f aca="false">Assumptions!$E$17</f>
        <v>1.08</v>
      </c>
      <c r="X6" s="31" t="n">
        <f aca="false">Assumptions!$E$17</f>
        <v>1.08</v>
      </c>
      <c r="Y6" s="31" t="n">
        <f aca="false">Assumptions!$E$17</f>
        <v>1.08</v>
      </c>
      <c r="Z6" s="31" t="n">
        <f aca="false">Assumptions!$E$17</f>
        <v>1.08</v>
      </c>
    </row>
    <row r="7" customFormat="false" ht="15" hidden="false" customHeight="true" outlineLevel="0" collapsed="false">
      <c r="B7" s="1" t="s">
        <v>209</v>
      </c>
      <c r="C7" s="31" t="n">
        <f aca="false">IFERROR(Collateral!C12/Waterfall!C8,0)</f>
        <v>1.61538461538462</v>
      </c>
      <c r="D7" s="31" t="n">
        <f aca="false">IFERROR(Collateral!D12/Waterfall!D8,0)</f>
        <v>1.64177965789635</v>
      </c>
      <c r="E7" s="31" t="n">
        <f aca="false">IFERROR(Collateral!E12/Waterfall!E8,0)</f>
        <v>1.67250897422808</v>
      </c>
      <c r="F7" s="31" t="n">
        <f aca="false">IFERROR(Collateral!F12/Waterfall!F8,0)</f>
        <v>1.70854420169754</v>
      </c>
      <c r="G7" s="31" t="n">
        <f aca="false">IFERROR(Collateral!G12/Waterfall!G8,0)</f>
        <v>1.75586187379673</v>
      </c>
      <c r="H7" s="31" t="n">
        <f aca="false">IFERROR(Collateral!H12/Waterfall!H8,0)</f>
        <v>1.81245041495036</v>
      </c>
      <c r="I7" s="31" t="n">
        <f aca="false">IFERROR(Collateral!I12/Waterfall!I8,0)</f>
        <v>1.88107962872117</v>
      </c>
      <c r="J7" s="31" t="n">
        <f aca="false">IFERROR(Collateral!J12/Waterfall!J8,0)</f>
        <v>1.96574448545506</v>
      </c>
      <c r="K7" s="31" t="n">
        <f aca="false">IFERROR(Collateral!K12/Waterfall!K8,0)</f>
        <v>2.07242677990249</v>
      </c>
      <c r="L7" s="31" t="n">
        <f aca="false">IFERROR(Collateral!L12/Waterfall!L8,0)</f>
        <v>2.21050567413668</v>
      </c>
      <c r="M7" s="31" t="n">
        <f aca="false">IFERROR(Collateral!M12/Waterfall!M8,0)</f>
        <v>2.39556880122036</v>
      </c>
      <c r="N7" s="31" t="n">
        <f aca="false">IFERROR(Collateral!N12/Waterfall!N8,0)</f>
        <v>2.65556808682631</v>
      </c>
      <c r="O7" s="31" t="n">
        <f aca="false">IFERROR(Collateral!O12/Waterfall!O8,0)</f>
        <v>3.04611163053689</v>
      </c>
      <c r="P7" s="31" t="n">
        <f aca="false">IFERROR(Collateral!P12/Waterfall!P8,0)</f>
        <v>3.69590951925456</v>
      </c>
      <c r="Q7" s="31" t="n">
        <f aca="false">IFERROR(Collateral!Q12/Waterfall!Q8,0)</f>
        <v>4.9857029653119</v>
      </c>
      <c r="R7" s="31" t="n">
        <f aca="false">IFERROR(Collateral!R12/Waterfall!R8,0)</f>
        <v>8.75674108215377</v>
      </c>
      <c r="S7" s="31" t="n">
        <f aca="false">IFERROR(Collateral!S12/Waterfall!S8,0)</f>
        <v>189.07598533499</v>
      </c>
      <c r="T7" s="31" t="n">
        <f aca="false">IFERROR(Collateral!T12/Waterfall!T8,0)</f>
        <v>0</v>
      </c>
      <c r="U7" s="31" t="n">
        <f aca="false">IFERROR(Collateral!U12/Waterfall!U8,0)</f>
        <v>0</v>
      </c>
      <c r="V7" s="31" t="n">
        <f aca="false">IFERROR(Collateral!V12/Waterfall!V8,0)</f>
        <v>0</v>
      </c>
      <c r="W7" s="31" t="n">
        <f aca="false">IFERROR(Collateral!W12/Waterfall!W8,0)</f>
        <v>0</v>
      </c>
      <c r="X7" s="31" t="n">
        <f aca="false">IFERROR(Collateral!X12/Waterfall!X8,0)</f>
        <v>0</v>
      </c>
      <c r="Y7" s="31" t="n">
        <f aca="false">IFERROR(Collateral!Y12/Waterfall!Y8,0)</f>
        <v>0</v>
      </c>
      <c r="Z7" s="31" t="n">
        <f aca="false">IFERROR(Collateral!Z12/Waterfall!Z8,0)</f>
        <v>0</v>
      </c>
    </row>
    <row r="8" customFormat="false" ht="15" hidden="false" customHeight="true" outlineLevel="0" collapsed="false">
      <c r="B8" s="1" t="s">
        <v>210</v>
      </c>
      <c r="C8" s="31" t="n">
        <f aca="false">Assumptions!$E$18</f>
        <v>1.5</v>
      </c>
      <c r="D8" s="31" t="n">
        <f aca="false">Assumptions!$E$18</f>
        <v>1.5</v>
      </c>
      <c r="E8" s="31" t="n">
        <f aca="false">Assumptions!$E$18</f>
        <v>1.5</v>
      </c>
      <c r="F8" s="31" t="n">
        <f aca="false">Assumptions!$E$18</f>
        <v>1.5</v>
      </c>
      <c r="G8" s="31" t="n">
        <f aca="false">Assumptions!$E$18</f>
        <v>1.5</v>
      </c>
      <c r="H8" s="31" t="n">
        <f aca="false">Assumptions!$E$18</f>
        <v>1.5</v>
      </c>
      <c r="I8" s="31" t="n">
        <f aca="false">Assumptions!$E$18</f>
        <v>1.5</v>
      </c>
      <c r="J8" s="31" t="n">
        <f aca="false">Assumptions!$E$18</f>
        <v>1.5</v>
      </c>
      <c r="K8" s="31" t="n">
        <f aca="false">Assumptions!$E$18</f>
        <v>1.5</v>
      </c>
      <c r="L8" s="31" t="n">
        <f aca="false">Assumptions!$E$18</f>
        <v>1.5</v>
      </c>
      <c r="M8" s="31" t="n">
        <f aca="false">Assumptions!$E$18</f>
        <v>1.5</v>
      </c>
      <c r="N8" s="31" t="n">
        <f aca="false">Assumptions!$E$18</f>
        <v>1.5</v>
      </c>
      <c r="O8" s="31" t="n">
        <f aca="false">Assumptions!$E$18</f>
        <v>1.5</v>
      </c>
      <c r="P8" s="31" t="n">
        <f aca="false">Assumptions!$E$18</f>
        <v>1.5</v>
      </c>
      <c r="Q8" s="31" t="n">
        <f aca="false">Assumptions!$E$18</f>
        <v>1.5</v>
      </c>
      <c r="R8" s="31" t="n">
        <f aca="false">Assumptions!$E$18</f>
        <v>1.5</v>
      </c>
      <c r="S8" s="31" t="n">
        <f aca="false">Assumptions!$E$18</f>
        <v>1.5</v>
      </c>
      <c r="T8" s="31" t="n">
        <f aca="false">Assumptions!$E$18</f>
        <v>1.5</v>
      </c>
      <c r="U8" s="31" t="n">
        <f aca="false">Assumptions!$E$18</f>
        <v>1.5</v>
      </c>
      <c r="V8" s="31" t="n">
        <f aca="false">Assumptions!$E$18</f>
        <v>1.5</v>
      </c>
      <c r="W8" s="31" t="n">
        <f aca="false">Assumptions!$E$18</f>
        <v>1.5</v>
      </c>
      <c r="X8" s="31" t="n">
        <f aca="false">Assumptions!$E$18</f>
        <v>1.5</v>
      </c>
      <c r="Y8" s="31" t="n">
        <f aca="false">Assumptions!$E$18</f>
        <v>1.5</v>
      </c>
      <c r="Z8" s="31" t="n">
        <f aca="false">Assumptions!$E$18</f>
        <v>1.5</v>
      </c>
    </row>
    <row r="9" customFormat="false" ht="15" hidden="false" customHeight="true" outlineLevel="0" collapsed="false">
      <c r="B9" s="1" t="s">
        <v>211</v>
      </c>
      <c r="C9" s="31" t="n">
        <f aca="false">IFERROR(MAX(0,Collateral!C12-Waterfall!C8)/Waterfall!C14,0)</f>
        <v>1.09090909090909</v>
      </c>
      <c r="D9" s="31" t="n">
        <f aca="false">IFERROR(MAX(0,Collateral!D12-Waterfall!D8)/Waterfall!D14,0)</f>
        <v>1.06055627781418</v>
      </c>
      <c r="E9" s="31" t="n">
        <f aca="false">IFERROR(MAX(0,Collateral!E12-Waterfall!E8)/Waterfall!E14,0)</f>
        <v>1.03160940575843</v>
      </c>
      <c r="F9" s="31" t="n">
        <f aca="false">IFERROR(MAX(0,Collateral!F12-Waterfall!F8)/Waterfall!F14,0)</f>
        <v>1.00404040048991</v>
      </c>
      <c r="G9" s="31" t="n">
        <f aca="false">IFERROR(MAX(0,Collateral!G12-Waterfall!G8)/Waterfall!G14,0)</f>
        <v>0.981299165962486</v>
      </c>
      <c r="H9" s="31" t="n">
        <f aca="false">IFERROR(MAX(0,Collateral!H12-Waterfall!H8)/Waterfall!H14,0)</f>
        <v>0.959691954500561</v>
      </c>
      <c r="I9" s="31" t="n">
        <f aca="false">IFERROR(MAX(0,Collateral!I12-Waterfall!I8)/Waterfall!I14,0)</f>
        <v>0.939195895995657</v>
      </c>
      <c r="J9" s="31" t="n">
        <f aca="false">IFERROR(MAX(0,Collateral!J12-Waterfall!J8)/Waterfall!J14,0)</f>
        <v>0.919788494057016</v>
      </c>
      <c r="K9" s="31" t="n">
        <f aca="false">IFERROR(MAX(0,Collateral!K12-Waterfall!K8)/Waterfall!K14,0)</f>
        <v>0.901447620466932</v>
      </c>
      <c r="L9" s="31" t="n">
        <f aca="false">IFERROR(MAX(0,Collateral!L12-Waterfall!L8)/Waterfall!L14,0)</f>
        <v>0.884151509713899</v>
      </c>
      <c r="M9" s="31" t="n">
        <f aca="false">IFERROR(MAX(0,Collateral!M12-Waterfall!M8)/Waterfall!M14,0)</f>
        <v>0.867878753602506</v>
      </c>
      <c r="N9" s="31" t="n">
        <f aca="false">IFERROR(MAX(0,Collateral!N12-Waterfall!N8)/Waterfall!N14,0)</f>
        <v>0.852608295939046</v>
      </c>
      <c r="O9" s="31" t="n">
        <f aca="false">IFERROR(MAX(0,Collateral!O12-Waterfall!O8)/Waterfall!O14,0)</f>
        <v>0.838319427291816</v>
      </c>
      <c r="P9" s="31" t="n">
        <f aca="false">IFERROR(MAX(0,Collateral!P12-Waterfall!P8)/Waterfall!P14,0)</f>
        <v>0.824991779825088</v>
      </c>
      <c r="Q9" s="31" t="n">
        <f aca="false">IFERROR(MAX(0,Collateral!Q12-Waterfall!Q8)/Waterfall!Q14,0)</f>
        <v>0.812605322205769</v>
      </c>
      <c r="R9" s="31" t="n">
        <f aca="false">IFERROR(MAX(0,Collateral!R12-Waterfall!R8)/Waterfall!R14,0)</f>
        <v>0.801140354581741</v>
      </c>
      <c r="S9" s="31" t="n">
        <f aca="false">IFERROR(MAX(0,Collateral!S12-Waterfall!S8)/Waterfall!S14,0)</f>
        <v>0.790577503630931</v>
      </c>
      <c r="T9" s="31" t="n">
        <f aca="false">IFERROR(MAX(0,Collateral!T12-Waterfall!T8)/Waterfall!T14,0)</f>
        <v>0.81424083731319</v>
      </c>
      <c r="U9" s="31" t="n">
        <f aca="false">IFERROR(MAX(0,Collateral!U12-Waterfall!U8)/Waterfall!U14,0)</f>
        <v>0.851514521390439</v>
      </c>
      <c r="V9" s="31" t="n">
        <f aca="false">IFERROR(MAX(0,Collateral!V12-Waterfall!V8)/Waterfall!V14,0)</f>
        <v>0.911749458022388</v>
      </c>
      <c r="W9" s="31" t="n">
        <f aca="false">IFERROR(MAX(0,Collateral!W12-Waterfall!W8)/Waterfall!W14,0)</f>
        <v>1.02304047950888</v>
      </c>
      <c r="X9" s="31" t="n">
        <f aca="false">IFERROR(MAX(0,Collateral!X12-Waterfall!X8)/Waterfall!X14,0)</f>
        <v>1.2908853202417</v>
      </c>
      <c r="Y9" s="31" t="n">
        <f aca="false">IFERROR(MAX(0,Collateral!Y12-Waterfall!Y8)/Waterfall!Y14,0)</f>
        <v>2.75465345190222</v>
      </c>
      <c r="Z9" s="31" t="n">
        <f aca="false">IFERROR(MAX(0,Collateral!Z12-Waterfall!Z8)/Waterfall!Z14,0)</f>
        <v>0</v>
      </c>
    </row>
    <row r="10" customFormat="false" ht="15" hidden="false" customHeight="true" outlineLevel="0" collapsed="false">
      <c r="B10" s="1" t="s">
        <v>212</v>
      </c>
      <c r="C10" s="31" t="n">
        <f aca="false">Assumptions!$E$19</f>
        <v>1.15</v>
      </c>
      <c r="D10" s="31" t="n">
        <f aca="false">Assumptions!$E$19</f>
        <v>1.15</v>
      </c>
      <c r="E10" s="31" t="n">
        <f aca="false">Assumptions!$E$19</f>
        <v>1.15</v>
      </c>
      <c r="F10" s="31" t="n">
        <f aca="false">Assumptions!$E$19</f>
        <v>1.15</v>
      </c>
      <c r="G10" s="31" t="n">
        <f aca="false">Assumptions!$E$19</f>
        <v>1.15</v>
      </c>
      <c r="H10" s="31" t="n">
        <f aca="false">Assumptions!$E$19</f>
        <v>1.15</v>
      </c>
      <c r="I10" s="31" t="n">
        <f aca="false">Assumptions!$E$19</f>
        <v>1.15</v>
      </c>
      <c r="J10" s="31" t="n">
        <f aca="false">Assumptions!$E$19</f>
        <v>1.15</v>
      </c>
      <c r="K10" s="31" t="n">
        <f aca="false">Assumptions!$E$19</f>
        <v>1.15</v>
      </c>
      <c r="L10" s="31" t="n">
        <f aca="false">Assumptions!$E$19</f>
        <v>1.15</v>
      </c>
      <c r="M10" s="31" t="n">
        <f aca="false">Assumptions!$E$19</f>
        <v>1.15</v>
      </c>
      <c r="N10" s="31" t="n">
        <f aca="false">Assumptions!$E$19</f>
        <v>1.15</v>
      </c>
      <c r="O10" s="31" t="n">
        <f aca="false">Assumptions!$E$19</f>
        <v>1.15</v>
      </c>
      <c r="P10" s="31" t="n">
        <f aca="false">Assumptions!$E$19</f>
        <v>1.15</v>
      </c>
      <c r="Q10" s="31" t="n">
        <f aca="false">Assumptions!$E$19</f>
        <v>1.15</v>
      </c>
      <c r="R10" s="31" t="n">
        <f aca="false">Assumptions!$E$19</f>
        <v>1.15</v>
      </c>
      <c r="S10" s="31" t="n">
        <f aca="false">Assumptions!$E$19</f>
        <v>1.15</v>
      </c>
      <c r="T10" s="31" t="n">
        <f aca="false">Assumptions!$E$19</f>
        <v>1.15</v>
      </c>
      <c r="U10" s="31" t="n">
        <f aca="false">Assumptions!$E$19</f>
        <v>1.15</v>
      </c>
      <c r="V10" s="31" t="n">
        <f aca="false">Assumptions!$E$19</f>
        <v>1.15</v>
      </c>
      <c r="W10" s="31" t="n">
        <f aca="false">Assumptions!$E$19</f>
        <v>1.15</v>
      </c>
      <c r="X10" s="31" t="n">
        <f aca="false">Assumptions!$E$19</f>
        <v>1.15</v>
      </c>
      <c r="Y10" s="31" t="n">
        <f aca="false">Assumptions!$E$19</f>
        <v>1.15</v>
      </c>
      <c r="Z10" s="31" t="n">
        <f aca="false">Assumptions!$E$19</f>
        <v>1.15</v>
      </c>
    </row>
    <row r="11" customFormat="false" ht="15" hidden="false" customHeight="true" outlineLevel="0" collapsed="false">
      <c r="B11" s="1" t="s">
        <v>213</v>
      </c>
      <c r="C11" s="1" t="str">
        <f aca="false">IF(AND(C5&gt;=C6,C7&gt;=C8,C9&gt;=C10),"PASS","TRIGGER")</f>
        <v>TRIGGER</v>
      </c>
      <c r="D11" s="1" t="str">
        <f aca="false">IF(AND(D5&gt;=D6,D7&gt;=D8,D9&gt;=D10),"PASS","TRIGGER")</f>
        <v>TRIGGER</v>
      </c>
      <c r="E11" s="1" t="str">
        <f aca="false">IF(AND(E5&gt;=E6,E7&gt;=E8,E9&gt;=E10),"PASS","TRIGGER")</f>
        <v>TRIGGER</v>
      </c>
      <c r="F11" s="1" t="str">
        <f aca="false">IF(AND(F5&gt;=F6,F7&gt;=F8,F9&gt;=F10),"PASS","TRIGGER")</f>
        <v>TRIGGER</v>
      </c>
      <c r="G11" s="1" t="str">
        <f aca="false">IF(AND(G5&gt;=G6,G7&gt;=G8,G9&gt;=G10),"PASS","TRIGGER")</f>
        <v>TRIGGER</v>
      </c>
      <c r="H11" s="1" t="str">
        <f aca="false">IF(AND(H5&gt;=H6,H7&gt;=H8,H9&gt;=H10),"PASS","TRIGGER")</f>
        <v>TRIGGER</v>
      </c>
      <c r="I11" s="1" t="str">
        <f aca="false">IF(AND(I5&gt;=I6,I7&gt;=I8,I9&gt;=I10),"PASS","TRIGGER")</f>
        <v>TRIGGER</v>
      </c>
      <c r="J11" s="1" t="str">
        <f aca="false">IF(AND(J5&gt;=J6,J7&gt;=J8,J9&gt;=J10),"PASS","TRIGGER")</f>
        <v>TRIGGER</v>
      </c>
      <c r="K11" s="1" t="str">
        <f aca="false">IF(AND(K5&gt;=K6,K7&gt;=K8,K9&gt;=K10),"PASS","TRIGGER")</f>
        <v>TRIGGER</v>
      </c>
      <c r="L11" s="1" t="str">
        <f aca="false">IF(AND(L5&gt;=L6,L7&gt;=L8,L9&gt;=L10),"PASS","TRIGGER")</f>
        <v>TRIGGER</v>
      </c>
      <c r="M11" s="1" t="str">
        <f aca="false">IF(AND(M5&gt;=M6,M7&gt;=M8,M9&gt;=M10),"PASS","TRIGGER")</f>
        <v>TRIGGER</v>
      </c>
      <c r="N11" s="1" t="str">
        <f aca="false">IF(AND(N5&gt;=N6,N7&gt;=N8,N9&gt;=N10),"PASS","TRIGGER")</f>
        <v>TRIGGER</v>
      </c>
      <c r="O11" s="1" t="str">
        <f aca="false">IF(AND(O5&gt;=O6,O7&gt;=O8,O9&gt;=O10),"PASS","TRIGGER")</f>
        <v>TRIGGER</v>
      </c>
      <c r="P11" s="1" t="str">
        <f aca="false">IF(AND(P5&gt;=P6,P7&gt;=P8,P9&gt;=P10),"PASS","TRIGGER")</f>
        <v>TRIGGER</v>
      </c>
      <c r="Q11" s="1" t="str">
        <f aca="false">IF(AND(Q5&gt;=Q6,Q7&gt;=Q8,Q9&gt;=Q10),"PASS","TRIGGER")</f>
        <v>TRIGGER</v>
      </c>
      <c r="R11" s="1" t="str">
        <f aca="false">IF(AND(R5&gt;=R6,R7&gt;=R8,R9&gt;=R10),"PASS","TRIGGER")</f>
        <v>TRIGGER</v>
      </c>
      <c r="S11" s="1" t="str">
        <f aca="false">IF(AND(S5&gt;=S6,S7&gt;=S8,S9&gt;=S10),"PASS","TRIGGER")</f>
        <v>TRIGGER</v>
      </c>
      <c r="T11" s="1" t="str">
        <f aca="false">IF(AND(T5&gt;=T6,T7&gt;=T8,T9&gt;=T10),"PASS","TRIGGER")</f>
        <v>TRIGGER</v>
      </c>
      <c r="U11" s="1" t="str">
        <f aca="false">IF(AND(U5&gt;=U6,U7&gt;=U8,U9&gt;=U10),"PASS","TRIGGER")</f>
        <v>TRIGGER</v>
      </c>
      <c r="V11" s="1" t="str">
        <f aca="false">IF(AND(V5&gt;=V6,V7&gt;=V8,V9&gt;=V10),"PASS","TRIGGER")</f>
        <v>TRIGGER</v>
      </c>
      <c r="W11" s="1" t="str">
        <f aca="false">IF(AND(W5&gt;=W6,W7&gt;=W8,W9&gt;=W10),"PASS","TRIGGER")</f>
        <v>TRIGGER</v>
      </c>
      <c r="X11" s="1" t="str">
        <f aca="false">IF(AND(X5&gt;=X6,X7&gt;=X8,X9&gt;=X10),"PASS","TRIGGER")</f>
        <v>TRIGGER</v>
      </c>
      <c r="Y11" s="1" t="str">
        <f aca="false">IF(AND(Y5&gt;=Y6,Y7&gt;=Y8,Y9&gt;=Y10),"PASS","TRIGGER")</f>
        <v>TRIGGER</v>
      </c>
      <c r="Z11" s="1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207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1" t="s">
        <v>219</v>
      </c>
      <c r="C5" s="27" t="n">
        <f aca="false">Assumptions!E12</f>
        <v>650</v>
      </c>
      <c r="D5" s="27" t="n">
        <f aca="false">Assumptions!E14</f>
        <v>220</v>
      </c>
      <c r="E5" s="27" t="n">
        <f aca="false">Assumptions!E5-Assumptions!E12-Assumptions!E14</f>
        <v>130</v>
      </c>
      <c r="F5" s="1" t="s">
        <v>220</v>
      </c>
    </row>
    <row r="6" customFormat="false" ht="15" hidden="false" customHeight="true" outlineLevel="0" collapsed="false">
      <c r="B6" s="1" t="s">
        <v>221</v>
      </c>
      <c r="C6" s="27" t="n">
        <f aca="false">Waterfall!Z12</f>
        <v>0</v>
      </c>
      <c r="D6" s="27" t="n">
        <f aca="false">Waterfall!Z18</f>
        <v>0</v>
      </c>
      <c r="E6" s="27" t="n">
        <f aca="false">0</f>
        <v>0</v>
      </c>
      <c r="F6" s="1" t="s">
        <v>222</v>
      </c>
    </row>
    <row r="7" customFormat="false" ht="15" hidden="false" customHeight="true" outlineLevel="0" collapsed="false">
      <c r="B7" s="1" t="s">
        <v>223</v>
      </c>
      <c r="C7" s="27" t="n">
        <f aca="false">SUM(Waterfall!C11:Z11)</f>
        <v>650</v>
      </c>
      <c r="D7" s="27" t="n">
        <f aca="false">SUM(Waterfall!C17:Z17)</f>
        <v>220</v>
      </c>
      <c r="E7" s="27" t="n">
        <f aca="false">0</f>
        <v>0</v>
      </c>
      <c r="F7" s="1" t="s">
        <v>224</v>
      </c>
    </row>
    <row r="8" customFormat="false" ht="15" hidden="false" customHeight="true" outlineLevel="0" collapsed="false">
      <c r="B8" s="1" t="s">
        <v>225</v>
      </c>
      <c r="C8" s="27" t="n">
        <f aca="false">SUM(Waterfall!C9:Z9)</f>
        <v>26.7832873974537</v>
      </c>
      <c r="D8" s="27" t="n">
        <f aca="false">SUM(Waterfall!C15:Z15)</f>
        <v>36.137585134504</v>
      </c>
      <c r="E8" s="27" t="n">
        <f aca="false">SUM(Waterfall!C19:Z19)</f>
        <v>61.2734379106085</v>
      </c>
      <c r="F8" s="1" t="s">
        <v>226</v>
      </c>
    </row>
    <row r="9" customFormat="false" ht="15" hidden="false" customHeight="true" outlineLevel="0" collapsed="false">
      <c r="B9" s="1" t="s">
        <v>227</v>
      </c>
      <c r="C9" s="31" t="n">
        <f aca="false">SUMPRODUCT(COLUMN(Waterfall!C11:Z11)-COLUMN(Waterfall!B11),Waterfall!C11:Z11)/Assumptions!E20/SUM(Waterfall!C11:Z11)</f>
        <v>0.68675095890907</v>
      </c>
      <c r="D9" s="31" t="n">
        <f aca="false">SUMPRODUCT(COLUMN(Waterfall!C17:Z17)-COLUMN(Waterfall!B17),Waterfall!C17:Z17)/Assumptions!E20/SUM(Waterfall!C17:Z17)</f>
        <v>1.64261750611382</v>
      </c>
      <c r="E9" s="31" t="n">
        <f aca="false">0</f>
        <v>0</v>
      </c>
      <c r="F9" s="1" t="s">
        <v>228</v>
      </c>
    </row>
    <row r="10" customFormat="false" ht="15" hidden="false" customHeight="true" outlineLevel="0" collapsed="false">
      <c r="B10" s="1" t="s">
        <v>229</v>
      </c>
      <c r="C10" s="27" t="n">
        <f aca="false">SUM(Waterfall!C10:Z10)</f>
        <v>0</v>
      </c>
      <c r="D10" s="27" t="n">
        <f aca="false">SUM(Waterfall!C16:Z16)</f>
        <v>0</v>
      </c>
      <c r="E10" s="27" t="n">
        <f aca="false">0</f>
        <v>0</v>
      </c>
      <c r="F10" s="1" t="s">
        <v>230</v>
      </c>
    </row>
    <row r="11" customFormat="false" ht="15" hidden="false" customHeight="true" outlineLevel="0" collapsed="false">
      <c r="B11" s="1" t="s">
        <v>231</v>
      </c>
      <c r="C11" s="27" t="n">
        <f aca="false">Waterfall!Z12</f>
        <v>0</v>
      </c>
      <c r="D11" s="27" t="n">
        <f aca="false">Waterfall!Z18</f>
        <v>0</v>
      </c>
      <c r="E11" s="27" t="n">
        <f aca="false">MAX(0,Collateral!Z14-Waterfall!Z12-Waterfall!Z18)</f>
        <v>0</v>
      </c>
      <c r="F11" s="1" t="s">
        <v>232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234</v>
      </c>
      <c r="C4" s="32" t="n">
        <v>0</v>
      </c>
      <c r="D4" s="32" t="n">
        <v>0.06</v>
      </c>
      <c r="E4" s="32" t="n">
        <v>0.12</v>
      </c>
      <c r="F4" s="32" t="n">
        <v>0.18</v>
      </c>
      <c r="G4" s="32" t="n">
        <v>0.24</v>
      </c>
    </row>
    <row r="5" customFormat="false" ht="15" hidden="false" customHeight="true" outlineLevel="0" collapsed="false">
      <c r="B5" s="33" t="n">
        <v>0</v>
      </c>
      <c r="C5" s="27" t="n">
        <f aca="false">MAX(0,Assumptions!$E$12-Assumptions!$E$5*(1-(1-$B5)^(2))*(1-Assumptions!$E$9)-Assumptions!$E$5*(1-(1-C$4)^2))</f>
        <v>650</v>
      </c>
      <c r="D5" s="27" t="n">
        <f aca="false">MAX(0,Assumptions!$E$12-Assumptions!$E$5*(1-(1-$B5)^(2))*(1-Assumptions!$E$9)-Assumptions!$E$5*(1-(1-D$4)^2))</f>
        <v>533.6</v>
      </c>
      <c r="E5" s="27" t="n">
        <f aca="false">MAX(0,Assumptions!$E$12-Assumptions!$E$5*(1-(1-$B5)^(2))*(1-Assumptions!$E$9)-Assumptions!$E$5*(1-(1-E$4)^2))</f>
        <v>424.4</v>
      </c>
      <c r="F5" s="27" t="n">
        <f aca="false">MAX(0,Assumptions!$E$12-Assumptions!$E$5*(1-(1-$B5)^(2))*(1-Assumptions!$E$9)-Assumptions!$E$5*(1-(1-F$4)^2))</f>
        <v>322.4</v>
      </c>
      <c r="G5" s="27" t="n">
        <f aca="false">MAX(0,Assumptions!$E$12-Assumptions!$E$5*(1-(1-$B5)^(2))*(1-Assumptions!$E$9)-Assumptions!$E$5*(1-(1-G$4)^2))</f>
        <v>227.6</v>
      </c>
    </row>
    <row r="6" customFormat="false" ht="15" hidden="false" customHeight="true" outlineLevel="0" collapsed="false">
      <c r="B6" s="33" t="n">
        <v>0.03</v>
      </c>
      <c r="C6" s="27" t="n">
        <f aca="false">MAX(0,Assumptions!$E$12-Assumptions!$E$5*(1-(1-$B6)^(2))*(1-Assumptions!$E$9)-Assumptions!$E$5*(1-(1-C$4)^2))</f>
        <v>599.765</v>
      </c>
      <c r="D6" s="27" t="n">
        <f aca="false">MAX(0,Assumptions!$E$12-Assumptions!$E$5*(1-(1-$B6)^(2))*(1-Assumptions!$E$9)-Assumptions!$E$5*(1-(1-D$4)^2))</f>
        <v>483.365</v>
      </c>
      <c r="E6" s="27" t="n">
        <f aca="false">MAX(0,Assumptions!$E$12-Assumptions!$E$5*(1-(1-$B6)^(2))*(1-Assumptions!$E$9)-Assumptions!$E$5*(1-(1-E$4)^2))</f>
        <v>374.165</v>
      </c>
      <c r="F6" s="27" t="n">
        <f aca="false">MAX(0,Assumptions!$E$12-Assumptions!$E$5*(1-(1-$B6)^(2))*(1-Assumptions!$E$9)-Assumptions!$E$5*(1-(1-F$4)^2))</f>
        <v>272.165</v>
      </c>
      <c r="G6" s="27" t="n">
        <f aca="false">MAX(0,Assumptions!$E$12-Assumptions!$E$5*(1-(1-$B6)^(2))*(1-Assumptions!$E$9)-Assumptions!$E$5*(1-(1-G$4)^2))</f>
        <v>177.365</v>
      </c>
    </row>
    <row r="7" customFormat="false" ht="15" hidden="false" customHeight="true" outlineLevel="0" collapsed="false">
      <c r="B7" s="33" t="n">
        <v>0.06</v>
      </c>
      <c r="C7" s="27" t="n">
        <f aca="false">MAX(0,Assumptions!$E$12-Assumptions!$E$5*(1-(1-$B7)^(2))*(1-Assumptions!$E$9)-Assumptions!$E$5*(1-(1-C$4)^2))</f>
        <v>551.06</v>
      </c>
      <c r="D7" s="27" t="n">
        <f aca="false">MAX(0,Assumptions!$E$12-Assumptions!$E$5*(1-(1-$B7)^(2))*(1-Assumptions!$E$9)-Assumptions!$E$5*(1-(1-D$4)^2))</f>
        <v>434.66</v>
      </c>
      <c r="E7" s="27" t="n">
        <f aca="false">MAX(0,Assumptions!$E$12-Assumptions!$E$5*(1-(1-$B7)^(2))*(1-Assumptions!$E$9)-Assumptions!$E$5*(1-(1-E$4)^2))</f>
        <v>325.46</v>
      </c>
      <c r="F7" s="27" t="n">
        <f aca="false">MAX(0,Assumptions!$E$12-Assumptions!$E$5*(1-(1-$B7)^(2))*(1-Assumptions!$E$9)-Assumptions!$E$5*(1-(1-F$4)^2))</f>
        <v>223.46</v>
      </c>
      <c r="G7" s="27" t="n">
        <f aca="false">MAX(0,Assumptions!$E$12-Assumptions!$E$5*(1-(1-$B7)^(2))*(1-Assumptions!$E$9)-Assumptions!$E$5*(1-(1-G$4)^2))</f>
        <v>128.66</v>
      </c>
    </row>
    <row r="8" customFormat="false" ht="15" hidden="false" customHeight="true" outlineLevel="0" collapsed="false">
      <c r="B8" s="33" t="n">
        <v>0.09</v>
      </c>
      <c r="C8" s="27" t="n">
        <f aca="false">MAX(0,Assumptions!$E$12-Assumptions!$E$5*(1-(1-$B8)^(2))*(1-Assumptions!$E$9)-Assumptions!$E$5*(1-(1-C$4)^2))</f>
        <v>503.885</v>
      </c>
      <c r="D8" s="27" t="n">
        <f aca="false">MAX(0,Assumptions!$E$12-Assumptions!$E$5*(1-(1-$B8)^(2))*(1-Assumptions!$E$9)-Assumptions!$E$5*(1-(1-D$4)^2))</f>
        <v>387.485</v>
      </c>
      <c r="E8" s="27" t="n">
        <f aca="false">MAX(0,Assumptions!$E$12-Assumptions!$E$5*(1-(1-$B8)^(2))*(1-Assumptions!$E$9)-Assumptions!$E$5*(1-(1-E$4)^2))</f>
        <v>278.285</v>
      </c>
      <c r="F8" s="27" t="n">
        <f aca="false">MAX(0,Assumptions!$E$12-Assumptions!$E$5*(1-(1-$B8)^(2))*(1-Assumptions!$E$9)-Assumptions!$E$5*(1-(1-F$4)^2))</f>
        <v>176.285</v>
      </c>
      <c r="G8" s="27" t="n">
        <f aca="false">MAX(0,Assumptions!$E$12-Assumptions!$E$5*(1-(1-$B8)^(2))*(1-Assumptions!$E$9)-Assumptions!$E$5*(1-(1-G$4)^2))</f>
        <v>81.4850000000001</v>
      </c>
    </row>
    <row r="9" customFormat="false" ht="15" hidden="false" customHeight="true" outlineLevel="0" collapsed="false">
      <c r="B9" s="33" t="n">
        <v>0.12</v>
      </c>
      <c r="C9" s="27" t="n">
        <f aca="false">MAX(0,Assumptions!$E$12-Assumptions!$E$5*(1-(1-$B9)^(2))*(1-Assumptions!$E$9)-Assumptions!$E$5*(1-(1-C$4)^2))</f>
        <v>458.24</v>
      </c>
      <c r="D9" s="27" t="n">
        <f aca="false">MAX(0,Assumptions!$E$12-Assumptions!$E$5*(1-(1-$B9)^(2))*(1-Assumptions!$E$9)-Assumptions!$E$5*(1-(1-D$4)^2))</f>
        <v>341.84</v>
      </c>
      <c r="E9" s="27" t="n">
        <f aca="false">MAX(0,Assumptions!$E$12-Assumptions!$E$5*(1-(1-$B9)^(2))*(1-Assumptions!$E$9)-Assumptions!$E$5*(1-(1-E$4)^2))</f>
        <v>232.64</v>
      </c>
      <c r="F9" s="27" t="n">
        <f aca="false">MAX(0,Assumptions!$E$12-Assumptions!$E$5*(1-(1-$B9)^(2))*(1-Assumptions!$E$9)-Assumptions!$E$5*(1-(1-F$4)^2))</f>
        <v>130.64</v>
      </c>
      <c r="G9" s="27" t="n">
        <f aca="false">MAX(0,Assumptions!$E$12-Assumptions!$E$5*(1-(1-$B9)^(2))*(1-Assumptions!$E$9)-Assumptions!$E$5*(1-(1-G$4)^2))</f>
        <v>35.84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235</v>
      </c>
      <c r="C2" s="2"/>
    </row>
    <row r="4" customFormat="false" ht="15" hidden="false" customHeight="true" outlineLevel="0" collapsed="false">
      <c r="B4" s="16" t="s">
        <v>236</v>
      </c>
      <c r="C4" s="16" t="s">
        <v>44</v>
      </c>
    </row>
    <row r="5" customFormat="false" ht="15" hidden="false" customHeight="true" outlineLevel="0" collapsed="false">
      <c r="B5" s="1" t="s">
        <v>237</v>
      </c>
      <c r="C5" s="1" t="str">
        <f aca="false">IF(MIN(Collateral!C14:Z14)&gt;=0,"PASS","FAIL")</f>
        <v>PASS</v>
      </c>
    </row>
    <row r="6" customFormat="false" ht="15" hidden="false" customHeight="true" outlineLevel="0" collapsed="false">
      <c r="B6" s="1" t="s">
        <v>238</v>
      </c>
      <c r="C6" s="1" t="str">
        <f aca="false">IF(MIN(Waterfall!C12:Z12)&gt;=0,"PASS","FAIL")</f>
        <v>PASS</v>
      </c>
    </row>
    <row r="7" customFormat="false" ht="15" hidden="false" customHeight="true" outlineLevel="0" collapsed="false">
      <c r="B7" s="1" t="s">
        <v>239</v>
      </c>
      <c r="C7" s="1" t="str">
        <f aca="false">IF(MIN(Waterfall!C18:Z18)&gt;=0,"PASS","FAIL")</f>
        <v>PASS</v>
      </c>
    </row>
    <row r="8" customFormat="false" ht="15" hidden="false" customHeight="true" outlineLevel="0" collapsed="false">
      <c r="B8" s="1" t="s">
        <v>240</v>
      </c>
      <c r="C8" s="1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true" outlineLevel="0" collapsed="false">
      <c r="B9" s="1" t="s">
        <v>241</v>
      </c>
      <c r="C9" s="1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true" outlineLevel="0" collapsed="false">
      <c r="B10" s="1" t="s">
        <v>242</v>
      </c>
      <c r="C10" s="1" t="str">
        <f aca="false">IF(COUNTIF(Triggers!C11:Z11,"TRIGGER")=0,"PASS","REVIEW")</f>
        <v>REVIEW</v>
      </c>
    </row>
    <row r="11" customFormat="false" ht="15" hidden="false" customHeight="true" outlineLevel="0" collapsed="false">
      <c r="B11" s="1" t="s">
        <v>243</v>
      </c>
      <c r="C11" s="1" t="str">
        <f aca="false">IF(AND(MIN('Loss Curves'!C7:Z9)&gt;=0,MAX('Loss Curves'!C7:Z9)&lt;=1),"PASS","FAIL")</f>
        <v>PASS</v>
      </c>
    </row>
    <row r="12" customFormat="false" ht="15" hidden="false" customHeight="true" outlineLevel="0" collapsed="false">
      <c r="B12" s="1" t="s">
        <v>244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34" t="s">
        <v>249</v>
      </c>
      <c r="C5" s="34" t="s">
        <v>250</v>
      </c>
      <c r="D5" s="34" t="s">
        <v>8</v>
      </c>
      <c r="E5" s="34" t="s">
        <v>251</v>
      </c>
    </row>
    <row r="6" customFormat="false" ht="15" hidden="false" customHeight="true" outlineLevel="0" collapsed="false">
      <c r="B6" s="34" t="s">
        <v>252</v>
      </c>
      <c r="C6" s="34" t="s">
        <v>253</v>
      </c>
      <c r="D6" s="34" t="s">
        <v>254</v>
      </c>
      <c r="E6" s="34" t="s">
        <v>255</v>
      </c>
    </row>
    <row r="7" customFormat="false" ht="15" hidden="false" customHeight="true" outlineLevel="0" collapsed="false">
      <c r="B7" s="34" t="s">
        <v>256</v>
      </c>
      <c r="C7" s="34" t="s">
        <v>257</v>
      </c>
      <c r="D7" s="34" t="s">
        <v>258</v>
      </c>
      <c r="E7" s="34" t="s">
        <v>259</v>
      </c>
    </row>
    <row r="8" customFormat="false" ht="15" hidden="false" customHeight="true" outlineLevel="0" collapsed="false">
      <c r="B8" s="34" t="s">
        <v>260</v>
      </c>
      <c r="C8" s="34" t="s">
        <v>261</v>
      </c>
      <c r="D8" s="34" t="s">
        <v>8</v>
      </c>
      <c r="E8" s="34" t="s">
        <v>262</v>
      </c>
    </row>
    <row r="9" customFormat="false" ht="15" hidden="false" customHeight="true" outlineLevel="0" collapsed="false">
      <c r="B9" s="34" t="s">
        <v>263</v>
      </c>
      <c r="C9" s="34" t="s">
        <v>264</v>
      </c>
      <c r="D9" s="34" t="s">
        <v>8</v>
      </c>
      <c r="E9" s="34" t="s">
        <v>265</v>
      </c>
    </row>
    <row r="10" customFormat="false" ht="15" hidden="false" customHeight="false" outlineLevel="0" collapsed="false">
      <c r="B10" s="35" t="s">
        <v>266</v>
      </c>
      <c r="C10" s="35" t="s">
        <v>267</v>
      </c>
      <c r="D10" s="35" t="s">
        <v>6</v>
      </c>
      <c r="E10" s="35" t="s">
        <v>268</v>
      </c>
    </row>
    <row r="11" customFormat="false" ht="15" hidden="false" customHeight="false" outlineLevel="0" collapsed="false">
      <c r="B11" s="35" t="s">
        <v>269</v>
      </c>
      <c r="C11" s="35" t="s">
        <v>270</v>
      </c>
      <c r="D11" s="35" t="s">
        <v>6</v>
      </c>
      <c r="E11" s="35" t="s">
        <v>271</v>
      </c>
    </row>
    <row r="12" customFormat="false" ht="15" hidden="false" customHeight="false" outlineLevel="0" collapsed="false">
      <c r="B12" s="35" t="s">
        <v>272</v>
      </c>
      <c r="C12" s="35" t="s">
        <v>273</v>
      </c>
      <c r="D12" s="35" t="s">
        <v>6</v>
      </c>
      <c r="E12" s="35" t="s">
        <v>274</v>
      </c>
    </row>
    <row r="13" customFormat="false" ht="15" hidden="false" customHeight="false" outlineLevel="0" collapsed="false">
      <c r="B13" s="35" t="s">
        <v>275</v>
      </c>
      <c r="C13" s="35" t="s">
        <v>270</v>
      </c>
      <c r="D13" s="35" t="s">
        <v>6</v>
      </c>
      <c r="E13" s="35" t="s">
        <v>276</v>
      </c>
    </row>
    <row r="14" customFormat="false" ht="15" hidden="false" customHeight="false" outlineLevel="0" collapsed="false">
      <c r="B14" s="35" t="s">
        <v>277</v>
      </c>
      <c r="C14" s="35" t="s">
        <v>270</v>
      </c>
      <c r="D14" s="35" t="s">
        <v>6</v>
      </c>
      <c r="E14" s="35" t="s">
        <v>276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279</v>
      </c>
      <c r="D4" s="16" t="s">
        <v>280</v>
      </c>
      <c r="E4" s="16" t="s">
        <v>281</v>
      </c>
      <c r="F4" s="16" t="s">
        <v>282</v>
      </c>
      <c r="G4" s="16" t="s">
        <v>283</v>
      </c>
    </row>
    <row r="5" customFormat="false" ht="15" hidden="false" customHeight="true" outlineLevel="0" collapsed="false">
      <c r="B5" s="36" t="s">
        <v>284</v>
      </c>
      <c r="C5" s="36" t="s">
        <v>285</v>
      </c>
      <c r="D5" s="36" t="s">
        <v>270</v>
      </c>
      <c r="E5" s="36" t="s">
        <v>286</v>
      </c>
      <c r="F5" s="36" t="s">
        <v>287</v>
      </c>
      <c r="G5" s="36" t="s">
        <v>288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