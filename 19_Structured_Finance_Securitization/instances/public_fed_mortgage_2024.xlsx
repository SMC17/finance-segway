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Collateral" sheetId="6" state="visible" r:id="rId8"/>
    <sheet name="Loss Curves" sheetId="7" state="visible" r:id="rId9"/>
    <sheet name="Waterfall" sheetId="8" state="visible" r:id="rId10"/>
    <sheet name="Triggers" sheetId="9" state="visible" r:id="rId11"/>
    <sheet name="Tranche Analytics" sheetId="10" state="visible" r:id="rId12"/>
    <sheet name="Sensitivity" sheetId="11" state="visible" r:id="rId13"/>
    <sheet name="Checks" sheetId="12" state="visible" r:id="rId14"/>
    <sheet name="Sources" sheetId="13" state="visible" r:id="rId15"/>
    <sheet name="RefreshLog" sheetId="14" state="visible" r:id="rId16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<sst xmlns="http://schemas.openxmlformats.org/spreadsheetml/2006/main" count="458" uniqueCount="285">
  <si>
    <t xml:space="preserve">[TRANSACTION] — Structured Credit Model</t>
  </si>
  <si>
    <t xml:space="preserve">Transaction / collateral:</t>
  </si>
  <si>
    <t xml:space="preserve">ABS / RMBS / CMBS / CLO / specialty</t>
  </si>
  <si>
    <t xml:space="preserve">Cut-off / payment date:</t>
  </si>
  <si>
    <t xml:space="preserve">[dates]</t>
  </si>
  <si>
    <t xml:space="preserve">Last refreshed:</t>
  </si>
  <si>
    <t xml:space="preserve">2024-01-01</t>
  </si>
  <si>
    <t xml:space="preserve">Next distribution / trigger date:</t>
  </si>
  <si>
    <t xml:space="preserve">[date]</t>
  </si>
  <si>
    <t xml:space="preserve">Refresh cadence:</t>
  </si>
  <si>
    <t xml:space="preserve">Monthly and on servicer reports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</si>
  <si>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</si>
  <si>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</si>
  <si>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</si>
  <si>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</si>
  <si>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</si>
  <si>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</si>
  <si>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</si>
  <si>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</si>
  <si>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</si>
  <si>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</si>
  <si>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</si>
  <si>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</si>
  <si>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</si>
  <si>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Structured Finance &amp; Securitization — Institutional Decision Surface</t>
  </si>
  <si>
    <t xml:space="preserve">Model ID</t>
  </si>
  <si>
    <t xml:space="preserve">19</t>
  </si>
  <si>
    <t xml:space="preserve">Domain</t>
  </si>
  <si>
    <t xml:space="preserve">Structured Finance &amp; Securitization</t>
  </si>
  <si>
    <t xml:space="preserve">Declared maturity</t>
  </si>
  <si>
    <t xml:space="preserve">M2</t>
  </si>
  <si>
    <t xml:space="preserve">Canonical builder</t>
  </si>
  <si>
    <t xml:space="preserve">tools/builders/build_securitization_institutional.py</t>
  </si>
  <si>
    <t xml:space="preserve">Decision arena</t>
  </si>
  <si>
    <t xml:space="preserve">structuring, collateral, servicing, trustee, rating agency and investor</t>
  </si>
  <si>
    <t xml:space="preserve">Committee artifact</t>
  </si>
  <si>
    <t xml:space="preserve">cash-flow, trigger and tranche-loss pack</t>
  </si>
  <si>
    <t xml:space="preserve">Operating cadence</t>
  </si>
  <si>
    <t xml:space="preserve">monthly surveillance; event-driven trigger review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</si>
  <si>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</si>
  <si>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</si>
  <si>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</si>
  <si>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</si>
  <si>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</si>
  <si>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</si>
  <si>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collateral cash flow and losses</t>
  </si>
  <si>
    <t xml:space="preserve">OPEN</t>
  </si>
  <si>
    <t xml:space="preserve">tranche interest/principal waterfall</t>
  </si>
  <si>
    <t xml:space="preserve">OC/IC and performance triggers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</si>
  <si>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</si>
  <si>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</si>
  <si>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</si>
  <si>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changes when the trigger fails?</t>
  </si>
  <si>
    <t xml:space="preserve">Who advances delinquent interest and for how long?</t>
  </si>
  <si>
    <t xml:space="preserve">Which tape fields are servicer-created?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</si>
  <si>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</si>
  <si>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</si>
  <si>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</si>
  <si>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default and severity</t>
  </si>
  <si>
    <t xml:space="preserve">prepayment</t>
  </si>
  <si>
    <t xml:space="preserve">recovery timing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</si>
  <si>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</si>
  <si>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</si>
  <si>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</si>
  <si>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offering memorandum</t>
  </si>
  <si>
    <t xml:space="preserve">pool tape and data dictionary</t>
  </si>
  <si>
    <t xml:space="preserve">servicing agreement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</si>
  <si>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</si>
  <si>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</si>
  <si>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</si>
  <si>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collateral roll-forward conserves</t>
  </si>
  <si>
    <t xml:space="preserve">waterfall distributes available funds only</t>
  </si>
  <si>
    <t xml:space="preserve">tranche balances nonnegative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</si>
  <si>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</si>
  <si>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</si>
  <si>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</si>
  <si>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pool averages where tails drive loss</t>
  </si>
  <si>
    <t xml:space="preserve">ignoring delinquency roll and modification</t>
  </si>
  <si>
    <t xml:space="preserve">misreading trigger cure mechanics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</si>
  <si>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</si>
  <si>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</si>
  <si>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</si>
  <si>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</si>
  <si>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</si>
  <si>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</si>
  <si>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</si>
  <si>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</si>
  <si>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</si>
  <si>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</si>
  <si>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</si>
  <si>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</si>
  <si>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Framework</t>
  </si>
  <si>
    <t xml:space="preserve">prudential capital, liquidity, credit and market risk</t>
  </si>
  <si>
    <t xml:space="preserve">https://www.bis.org/basel_framework/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</si>
  <si>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</si>
  <si>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</si>
  <si>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</si>
  <si>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</si>
  <si>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</si>
  <si>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</si>
  <si>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</si>
  <si>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</si>
  <si>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</si>
  <si>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</si>
  <si>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</si>
  <si>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</si>
  <si>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</si>
  <si>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</si>
  <si>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</si>
  <si>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</si>
  <si>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loan-level tape</t>
  </si>
  <si>
    <t xml:space="preserve">monthly</t>
  </si>
  <si>
    <t xml:space="preserve">field and cut-off reconciliation</t>
  </si>
  <si>
    <t xml:space="preserve">TO MAP</t>
  </si>
  <si>
    <t xml:space="preserve">servicer report</t>
  </si>
  <si>
    <t xml:space="preserve">cash and status tie-out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</si>
  <si>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</si>
  <si>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</si>
  <si>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</si>
  <si>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</si>
  <si>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</si>
  <si>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</si>
  <si>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Collateral and Capital Structure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</si>
  <si>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</si>
  <si>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</si>
  <si>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</si>
  <si>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</si>
  <si>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Opening collateral balance</t>
  </si>
  <si>
    <t xml:space="preserve">$mm</t>
  </si>
  <si>
    <t xml:space="preserve">Collateral gross coupon</t>
  </si>
  <si>
    <t xml:space="preserve">%</t>
  </si>
  <si>
    <t xml:space="preserve">Annual CPR</t>
  </si>
  <si>
    <t xml:space="preserve">Annual CDR</t>
  </si>
  <si>
    <t xml:space="preserve">Recovery rate</t>
  </si>
  <si>
    <t xml:space="preserve">Recovery lag</t>
  </si>
  <si>
    <t xml:space="preserve">months</t>
  </si>
  <si>
    <t xml:space="preserve">Servicing and senior fees</t>
  </si>
  <si>
    <t xml:space="preserve">% annual</t>
  </si>
  <si>
    <t xml:space="preserve">Senior tranche opening balance</t>
  </si>
  <si>
    <t xml:space="preserve">Senior tranche coupon</t>
  </si>
  <si>
    <t xml:space="preserve">Mezz tranche opening balance</t>
  </si>
  <si>
    <t xml:space="preserve">Mezz tranche coupon</t>
  </si>
  <si>
    <t xml:space="preserve">Reserve account</t>
  </si>
  <si>
    <t xml:space="preserve">Minimum OC ratio</t>
  </si>
  <si>
    <t xml:space="preserve">x</t>
  </si>
  <si>
    <t xml:space="preserve">Minimum senior IC ratio</t>
  </si>
  <si>
    <t xml:space="preserve">Minimum mezz IC ratio</t>
  </si>
  <si>
    <t xml:space="preserve">Payment frequency</t>
  </si>
  <si>
    <t xml:space="preserve">per year</t>
  </si>
  <si>
    <t xml:space="preserve">Model horizon</t>
  </si>
  <si>
    <t xml:space="preserve">Monthly Collateral Cash Flows</t>
  </si>
  <si>
    <t xml:space="preserve">M1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</si>
  <si>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</si>
  <si>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</si>
  <si>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</si>
  <si>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</si>
  <si>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</si>
  <si>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</si>
  <si>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</si>
  <si>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</si>
  <si>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</si>
  <si>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</si>
  <si>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</si>
  <si>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</si>
  <si>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</si>
  <si>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</si>
  <si>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</si>
  <si>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</si>
  <si>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</si>
  <si>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</si>
  <si>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</si>
  <si>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</si>
  <si>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</si>
  <si>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</si>
  <si>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Beginning collateral</t>
  </si>
  <si>
    <t xml:space="preserve">Scheduled principal</t>
  </si>
  <si>
    <t xml:space="preserve">Defaults</t>
  </si>
  <si>
    <t xml:space="preserve">Recoveries</t>
  </si>
  <si>
    <t xml:space="preserve">Prepayments</t>
  </si>
  <si>
    <t xml:space="preserve">Interest collections</t>
  </si>
  <si>
    <t xml:space="preserve">Servicing / senior fees</t>
  </si>
  <si>
    <t xml:space="preserve">Net interest collections</t>
  </si>
  <si>
    <t xml:space="preserve">Principal collections</t>
  </si>
  <si>
    <t xml:space="preserve">Ending collateral</t>
  </si>
  <si>
    <t xml:space="preserve">Monthly Prepayment, Default, and Recovery Curves</t>
  </si>
  <si>
    <t xml:space="preserve">Rate</t>
  </si>
  <si>
    <t xml:space="preserve">SMM</t>
  </si>
  <si>
    <t xml:space="preserve">MDR</t>
  </si>
  <si>
    <t xml:space="preserve">Cumulative default rate</t>
  </si>
  <si>
    <t xml:space="preserve">Cumulative loss rate</t>
  </si>
  <si>
    <t xml:space="preserve">Monthly Priority of Payments</t>
  </si>
  <si>
    <t xml:space="preserve">Available interest</t>
  </si>
  <si>
    <t xml:space="preserve">Available principal</t>
  </si>
  <si>
    <t xml:space="preserve">Senior beginning balance</t>
  </si>
  <si>
    <t xml:space="preserve">Senior interest due</t>
  </si>
  <si>
    <t xml:space="preserve">Senior interest paid</t>
  </si>
  <si>
    <t xml:space="preserve">Senior interest shortfall</t>
  </si>
  <si>
    <t xml:space="preserve">Senior principal paid</t>
  </si>
  <si>
    <t xml:space="preserve">Senior ending balance</t>
  </si>
  <si>
    <t xml:space="preserve">Mezz beginning balance</t>
  </si>
  <si>
    <t xml:space="preserve">Mezz interest due</t>
  </si>
  <si>
    <t xml:space="preserve">Mezz interest paid</t>
  </si>
  <si>
    <t xml:space="preserve">Mezz interest shortfall</t>
  </si>
  <si>
    <t xml:space="preserve">Mezz principal paid</t>
  </si>
  <si>
    <t xml:space="preserve">Mezz ending balance</t>
  </si>
  <si>
    <t xml:space="preserve">Residual cash</t>
  </si>
  <si>
    <t xml:space="preserve">OC / IC Triggers and Cash Diversion</t>
  </si>
  <si>
    <t xml:space="preserve">Metric</t>
  </si>
  <si>
    <t xml:space="preserve">OC ratio</t>
  </si>
  <si>
    <t xml:space="preserve">Senior interest coverage</t>
  </si>
  <si>
    <t xml:space="preserve">Minimum senior IC</t>
  </si>
  <si>
    <t xml:space="preserve">Mezz interest coverage</t>
  </si>
  <si>
    <t xml:space="preserve">Minimum mezz IC</t>
  </si>
  <si>
    <t xml:space="preserve">Trigger status</t>
  </si>
  <si>
    <t xml:space="preserve">Tranche Yield, WAL, and Loss Analytics</t>
  </si>
  <si>
    <t xml:space="preserve">Senior</t>
  </si>
  <si>
    <t xml:space="preserve">Mezz</t>
  </si>
  <si>
    <t xml:space="preserve">Residual</t>
  </si>
  <si>
    <t xml:space="preserve">Notes</t>
  </si>
  <si>
    <t xml:space="preserve">Opening balance</t>
  </si>
  <si>
    <t xml:space="preserve">capital structure</t>
  </si>
  <si>
    <t xml:space="preserve">Ending balance</t>
  </si>
  <si>
    <t xml:space="preserve">modeled horizon</t>
  </si>
  <si>
    <t xml:space="preserve">Principal paid</t>
  </si>
  <si>
    <t xml:space="preserve">cash principal</t>
  </si>
  <si>
    <t xml:space="preserve">Interest paid</t>
  </si>
  <si>
    <t xml:space="preserve">cash interest / residual</t>
  </si>
  <si>
    <t xml:space="preserve">WAL</t>
  </si>
  <si>
    <t xml:space="preserve">years</t>
  </si>
  <si>
    <t xml:space="preserve">Interest shortfall</t>
  </si>
  <si>
    <t xml:space="preserve">cumulative</t>
  </si>
  <si>
    <t xml:space="preserve">Principal loss / unpaid balance</t>
  </si>
  <si>
    <t xml:space="preserve">end-horizon exposure</t>
  </si>
  <si>
    <t xml:space="preserve">Senior Ending Balance Sensitivity</t>
  </si>
  <si>
    <t xml:space="preserve">CDR / CPR</t>
  </si>
  <si>
    <t xml:space="preserve">Model Checks</t>
  </si>
  <si>
    <t xml:space="preserve">Check</t>
  </si>
  <si>
    <t xml:space="preserve">Collateral balance nonnegative</t>
  </si>
  <si>
    <t xml:space="preserve">Senior balance nonnegative</t>
  </si>
  <si>
    <t xml:space="preserve">Mezz balance nonnegative</t>
  </si>
  <si>
    <t xml:space="preserve">Collateral roll-forward</t>
  </si>
  <si>
    <t xml:space="preserve">Interest waterfall conserved</t>
  </si>
  <si>
    <t xml:space="preserve">No trigger breach</t>
  </si>
  <si>
    <t xml:space="preserve">Recovery and loss rates bounded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</si>
  <si>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</si>
  <si>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</si>
  <si>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</si>
  <si>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</si>
  <si>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</si>
  <si>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Offering memorandum / indenture</t>
  </si>
  <si>
    <t xml:space="preserve">[public filing / data room URL]</t>
  </si>
  <si>
    <t xml:space="preserve">Capital structure, priority of payments, triggers</t>
  </si>
  <si>
    <t xml:space="preserve">Servicer report</t>
  </si>
  <si>
    <t xml:space="preserve">[trustee / servicer URL]</t>
  </si>
  <si>
    <t xml:space="preserve">[payment date]</t>
  </si>
  <si>
    <t xml:space="preserve">Pool balance, delinquencies, defaults, recoveries</t>
  </si>
  <si>
    <t xml:space="preserve">Collateral data tape</t>
  </si>
  <si>
    <t xml:space="preserve">[restricted source]</t>
  </si>
  <si>
    <t xml:space="preserve">[cut-off date]</t>
  </si>
  <si>
    <t xml:space="preserve">Loan-level fields and transformations</t>
  </si>
  <si>
    <t xml:space="preserve">Rating methodology</t>
  </si>
  <si>
    <t xml:space="preserve">[agency methodology URL]</t>
  </si>
  <si>
    <t xml:space="preserve">Stress assumptions and legal criteria</t>
  </si>
  <si>
    <t xml:space="preserve">Market benchmarks</t>
  </si>
  <si>
    <t xml:space="preserve">[market data URL]</t>
  </si>
  <si>
    <t xml:space="preserve">Spreads, CPR/CDR expectations, relative value</t>
  </si>
  <si>
    <t xml:space="preserve">Mortgage delinquency rate via FRED</t>
  </si>
  <si>
    <t xml:space="preserve">https://fred.stlouisfed.org/series/DRSFRMACBS</t>
  </si>
  <si>
    <t xml:space="preserve">Federal Reserve Board / FRED; frozen curated observation as of case date</t>
  </si>
  <si>
    <t xml:space="preserve">Frozen source snapshot</t>
  </si>
  <si>
    <t xml:space="preserve">repo://19_Structured_Finance_Securitization/sources/snapshots/securitization-fed-mortgage-2024.json</t>
  </si>
  <si>
    <t xml:space="preserve">Immutable curated observation package with SHA-256 digest</t>
  </si>
  <si>
    <t xml:space="preserve">Base CPR assumption</t>
  </si>
  <si>
    <t xml:space="preserve">Modeler-owned assumption documented in frozen snapshot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</si>
  <si>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</si>
  <si>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</si>
  <si>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</si>
  <si>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</si>
  <si>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</si>
  <si>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</si>
  <si>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</si>
  <si>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</si>
  <si>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securitization-fed-mortgage-2024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</si>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</sst>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0%;[RED]\(0.00%\);\-"/>
    <numFmt numFmtId="167" formatCode="0"/>
    <numFmt numFmtId="168" formatCode="0.0\x;[RED]\(0.0&quot;x)&quot;;\-"/>
    <numFmt numFmtId="169" formatCode="0.0%;[RED]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94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95</v>
      </c>
      <c r="C4" s="14" t="s">
        <v>96</v>
      </c>
      <c r="D4" s="14" t="s">
        <v>97</v>
      </c>
      <c r="E4" s="14" t="s">
        <v>98</v>
      </c>
      <c r="F4" s="14" t="s">
        <v>99</v>
      </c>
      <c r="G4" s="14" t="s">
        <v>100</v>
      </c>
      <c r="H4" s="14" t="s">
        <v>44</v>
      </c>
      <c r="I4" s="14" t="s">
        <v>101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102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42</v>
      </c>
      <c r="H4" s="14" t="s">
        <v>108</v>
      </c>
      <c r="I4" s="14" t="s">
        <v>109</v>
      </c>
      <c r="J4" s="14" t="s">
        <v>44</v>
      </c>
    </row>
    <row r="5" customFormat="false" ht="15" hidden="false" customHeight="false" outlineLevel="0" collapsed="false">
      <c r="B5" s="1" t="s">
        <v>110</v>
      </c>
      <c r="C5" s="1" t="s">
        <v>111</v>
      </c>
      <c r="D5" s="1" t="s">
        <v>112</v>
      </c>
      <c r="E5" s="1"/>
      <c r="F5" s="1"/>
      <c r="G5" s="1"/>
      <c r="H5" s="1"/>
      <c r="I5" s="1"/>
      <c r="J5" s="15" t="s">
        <v>113</v>
      </c>
    </row>
    <row r="6" customFormat="false" ht="15" hidden="false" customHeight="false" outlineLevel="0" collapsed="false">
      <c r="B6" s="1" t="s">
        <v>114</v>
      </c>
      <c r="C6" s="1" t="s">
        <v>111</v>
      </c>
      <c r="D6" s="1" t="s">
        <v>115</v>
      </c>
      <c r="E6" s="1"/>
      <c r="F6" s="1"/>
      <c r="G6" s="1"/>
      <c r="H6" s="1"/>
      <c r="I6" s="1"/>
      <c r="J6" s="15" t="s">
        <v>113</v>
      </c>
    </row>
    <row r="7" customFormat="false" ht="15" hidden="false" customHeight="false" outlineLevel="0" collapsed="false">
      <c r="B7" s="1" t="s">
        <v>116</v>
      </c>
      <c r="C7" s="1" t="s">
        <v>117</v>
      </c>
      <c r="D7" s="1" t="s">
        <v>118</v>
      </c>
      <c r="E7" s="1"/>
      <c r="F7" s="1"/>
      <c r="G7" s="1"/>
      <c r="H7" s="1"/>
      <c r="I7" s="1"/>
      <c r="J7" s="15" t="s">
        <v>113</v>
      </c>
    </row>
    <row r="8" customFormat="false" ht="15" hidden="false" customHeight="false" outlineLevel="0" collapsed="false">
      <c r="B8" s="1" t="s">
        <v>119</v>
      </c>
      <c r="C8" s="1" t="s">
        <v>120</v>
      </c>
      <c r="D8" s="1" t="s">
        <v>121</v>
      </c>
      <c r="E8" s="1"/>
      <c r="F8" s="1"/>
      <c r="G8" s="1"/>
      <c r="H8" s="1"/>
      <c r="I8" s="1"/>
      <c r="J8" s="15" t="s">
        <v>113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122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123</v>
      </c>
      <c r="C4" s="16" t="s">
        <v>12</v>
      </c>
      <c r="D4" s="16" t="s">
        <v>124</v>
      </c>
      <c r="E4" s="16" t="s">
        <v>125</v>
      </c>
      <c r="F4" s="16" t="s">
        <v>126</v>
      </c>
    </row>
    <row r="5" customFormat="false" ht="15" hidden="false" customHeight="true" outlineLevel="0" collapsed="false">
      <c r="B5" s="1" t="s">
        <v>127</v>
      </c>
      <c r="C5" s="17" t="n">
        <v>1000</v>
      </c>
      <c r="D5" s="17" t="n">
        <v>1000</v>
      </c>
      <c r="E5" s="18" t="n">
        <f aca="false">IF(Cover!$C$9="Downside",D5,C5)</f>
        <v>1000</v>
      </c>
      <c r="F5" s="1" t="s">
        <v>128</v>
      </c>
    </row>
    <row r="6" customFormat="false" ht="15" hidden="false" customHeight="true" outlineLevel="0" collapsed="false">
      <c r="B6" s="1" t="s">
        <v>129</v>
      </c>
      <c r="C6" s="19" t="n">
        <v>0.08</v>
      </c>
      <c r="D6" s="19" t="n">
        <v>0.075</v>
      </c>
      <c r="E6" s="20" t="n">
        <f aca="false">IF(Cover!$C$9="Downside",D6,C6)</f>
        <v>0.08</v>
      </c>
      <c r="F6" s="1" t="s">
        <v>130</v>
      </c>
    </row>
    <row r="7" customFormat="false" ht="15" hidden="false" customHeight="true" outlineLevel="0" collapsed="false">
      <c r="B7" s="1" t="s">
        <v>131</v>
      </c>
      <c r="C7" s="21" t="n">
        <v>0.14</v>
      </c>
      <c r="D7" s="19" t="n">
        <v>0.06</v>
      </c>
      <c r="E7" s="20" t="n">
        <f aca="false">IF(Cover!$C$9="Downside",D7,C7)</f>
        <v>0.14</v>
      </c>
      <c r="F7" s="1" t="s">
        <v>130</v>
      </c>
    </row>
    <row r="8" customFormat="false" ht="15" hidden="false" customHeight="true" outlineLevel="0" collapsed="false">
      <c r="B8" s="1" t="s">
        <v>132</v>
      </c>
      <c r="C8" s="21" t="n">
        <v>0.0189</v>
      </c>
      <c r="D8" s="19" t="n">
        <v>0.08</v>
      </c>
      <c r="E8" s="20" t="n">
        <f aca="false">IF(Cover!$C$9="Downside",D8,C8)</f>
        <v>0.0189</v>
      </c>
      <c r="F8" s="1" t="s">
        <v>130</v>
      </c>
    </row>
    <row r="9" customFormat="false" ht="15" hidden="false" customHeight="true" outlineLevel="0" collapsed="false">
      <c r="B9" s="1" t="s">
        <v>133</v>
      </c>
      <c r="C9" s="19" t="n">
        <v>0.45</v>
      </c>
      <c r="D9" s="19" t="n">
        <v>0.25</v>
      </c>
      <c r="E9" s="20" t="n">
        <f aca="false">IF(Cover!$C$9="Downside",D9,C9)</f>
        <v>0.45</v>
      </c>
      <c r="F9" s="1" t="s">
        <v>130</v>
      </c>
    </row>
    <row r="10" customFormat="false" ht="15" hidden="false" customHeight="true" outlineLevel="0" collapsed="false">
      <c r="B10" s="1" t="s">
        <v>134</v>
      </c>
      <c r="C10" s="22" t="n">
        <v>3</v>
      </c>
      <c r="D10" s="22" t="n">
        <v>6</v>
      </c>
      <c r="E10" s="23" t="n">
        <f aca="false">IF(Cover!$C$9="Downside",D10,C10)</f>
        <v>3</v>
      </c>
      <c r="F10" s="1" t="s">
        <v>135</v>
      </c>
    </row>
    <row r="11" customFormat="false" ht="15" hidden="false" customHeight="true" outlineLevel="0" collapsed="false">
      <c r="B11" s="1" t="s">
        <v>136</v>
      </c>
      <c r="C11" s="19" t="n">
        <v>0.01</v>
      </c>
      <c r="D11" s="19" t="n">
        <v>0.012</v>
      </c>
      <c r="E11" s="20" t="n">
        <f aca="false">IF(Cover!$C$9="Downside",D11,C11)</f>
        <v>0.01</v>
      </c>
      <c r="F11" s="1" t="s">
        <v>137</v>
      </c>
    </row>
    <row r="12" customFormat="false" ht="15" hidden="false" customHeight="true" outlineLevel="0" collapsed="false">
      <c r="B12" s="1" t="s">
        <v>138</v>
      </c>
      <c r="C12" s="17" t="n">
        <v>650</v>
      </c>
      <c r="D12" s="17" t="n">
        <v>650</v>
      </c>
      <c r="E12" s="18" t="n">
        <f aca="false">IF(Cover!$C$9="Downside",D12,C12)</f>
        <v>650</v>
      </c>
      <c r="F12" s="1" t="s">
        <v>128</v>
      </c>
    </row>
    <row r="13" customFormat="false" ht="15" hidden="false" customHeight="true" outlineLevel="0" collapsed="false">
      <c r="B13" s="1" t="s">
        <v>139</v>
      </c>
      <c r="C13" s="19" t="n">
        <v>0.05</v>
      </c>
      <c r="D13" s="19" t="n">
        <v>0.06</v>
      </c>
      <c r="E13" s="20" t="n">
        <f aca="false">IF(Cover!$C$9="Downside",D13,C13)</f>
        <v>0.05</v>
      </c>
      <c r="F13" s="1" t="s">
        <v>130</v>
      </c>
    </row>
    <row r="14" customFormat="false" ht="15" hidden="false" customHeight="true" outlineLevel="0" collapsed="false">
      <c r="B14" s="1" t="s">
        <v>140</v>
      </c>
      <c r="C14" s="17" t="n">
        <v>220</v>
      </c>
      <c r="D14" s="17" t="n">
        <v>220</v>
      </c>
      <c r="E14" s="18" t="n">
        <f aca="false">IF(Cover!$C$9="Downside",D14,C14)</f>
        <v>220</v>
      </c>
      <c r="F14" s="1" t="s">
        <v>128</v>
      </c>
    </row>
    <row r="15" customFormat="false" ht="15" hidden="false" customHeight="true" outlineLevel="0" collapsed="false">
      <c r="B15" s="1" t="s">
        <v>141</v>
      </c>
      <c r="C15" s="19" t="n">
        <v>0.08</v>
      </c>
      <c r="D15" s="19" t="n">
        <v>0.1</v>
      </c>
      <c r="E15" s="20" t="n">
        <f aca="false">IF(Cover!$C$9="Downside",D15,C15)</f>
        <v>0.08</v>
      </c>
      <c r="F15" s="1" t="s">
        <v>130</v>
      </c>
    </row>
    <row r="16" customFormat="false" ht="15" hidden="false" customHeight="true" outlineLevel="0" collapsed="false">
      <c r="B16" s="1" t="s">
        <v>142</v>
      </c>
      <c r="C16" s="17" t="n">
        <v>20</v>
      </c>
      <c r="D16" s="17" t="n">
        <v>20</v>
      </c>
      <c r="E16" s="18" t="n">
        <f aca="false">IF(Cover!$C$9="Downside",D16,C16)</f>
        <v>20</v>
      </c>
      <c r="F16" s="1" t="s">
        <v>128</v>
      </c>
    </row>
    <row r="17" customFormat="false" ht="15" hidden="false" customHeight="true" outlineLevel="0" collapsed="false">
      <c r="B17" s="1" t="s">
        <v>143</v>
      </c>
      <c r="C17" s="24" t="n">
        <v>1.08</v>
      </c>
      <c r="D17" s="24" t="n">
        <v>1.08</v>
      </c>
      <c r="E17" s="25" t="n">
        <f aca="false">IF(Cover!$C$9="Downside",D17,C17)</f>
        <v>1.08</v>
      </c>
      <c r="F17" s="1" t="s">
        <v>144</v>
      </c>
    </row>
    <row r="18" customFormat="false" ht="15" hidden="false" customHeight="true" outlineLevel="0" collapsed="false">
      <c r="B18" s="1" t="s">
        <v>145</v>
      </c>
      <c r="C18" s="24" t="n">
        <v>1.5</v>
      </c>
      <c r="D18" s="24" t="n">
        <v>1.5</v>
      </c>
      <c r="E18" s="25" t="n">
        <f aca="false">IF(Cover!$C$9="Downside",D18,C18)</f>
        <v>1.5</v>
      </c>
      <c r="F18" s="1" t="s">
        <v>144</v>
      </c>
    </row>
    <row r="19" customFormat="false" ht="15" hidden="false" customHeight="true" outlineLevel="0" collapsed="false">
      <c r="B19" s="1" t="s">
        <v>146</v>
      </c>
      <c r="C19" s="24" t="n">
        <v>1.15</v>
      </c>
      <c r="D19" s="24" t="n">
        <v>1.15</v>
      </c>
      <c r="E19" s="25" t="n">
        <f aca="false">IF(Cover!$C$9="Downside",D19,C19)</f>
        <v>1.15</v>
      </c>
      <c r="F19" s="1" t="s">
        <v>144</v>
      </c>
    </row>
    <row r="20" customFormat="false" ht="15" hidden="false" customHeight="true" outlineLevel="0" collapsed="false">
      <c r="B20" s="1" t="s">
        <v>147</v>
      </c>
      <c r="C20" s="22" t="n">
        <v>12</v>
      </c>
      <c r="D20" s="22" t="n">
        <v>12</v>
      </c>
      <c r="E20" s="23" t="n">
        <f aca="false">IF(Cover!$C$9="Downside",D20,C20)</f>
        <v>12</v>
      </c>
      <c r="F20" s="1" t="s">
        <v>148</v>
      </c>
    </row>
    <row r="21" customFormat="false" ht="15" hidden="false" customHeight="true" outlineLevel="0" collapsed="false">
      <c r="B21" s="1" t="s">
        <v>149</v>
      </c>
      <c r="C21" s="22" t="n">
        <v>24</v>
      </c>
      <c r="D21" s="22" t="n">
        <v>24</v>
      </c>
      <c r="E21" s="23" t="n">
        <f aca="false">IF(Cover!$C$9="Downside",D21,C21)</f>
        <v>24</v>
      </c>
      <c r="F21" s="1" t="s">
        <v>135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26" min="3" style="1" width="10"/>
  </cols>
  <sheetData>
    <row r="2" customFormat="false" ht="27.75" hidden="false" customHeight="true" outlineLevel="0" collapsed="false">
      <c r="B2" s="2" t="s">
        <v>150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16" t="s">
        <v>128</v>
      </c>
      <c r="C4" s="16" t="s">
        <v>151</v>
      </c>
      <c r="D4" s="16" t="s">
        <v>30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  <c r="N4" s="16" t="s">
        <v>161</v>
      </c>
      <c r="O4" s="16" t="s">
        <v>162</v>
      </c>
      <c r="P4" s="16" t="s">
        <v>163</v>
      </c>
      <c r="Q4" s="16" t="s">
        <v>164</v>
      </c>
      <c r="R4" s="16" t="s">
        <v>165</v>
      </c>
      <c r="S4" s="16" t="s">
        <v>166</v>
      </c>
      <c r="T4" s="16" t="s">
        <v>167</v>
      </c>
      <c r="U4" s="16" t="s">
        <v>168</v>
      </c>
      <c r="V4" s="16" t="s">
        <v>169</v>
      </c>
      <c r="W4" s="16" t="s">
        <v>170</v>
      </c>
      <c r="X4" s="16" t="s">
        <v>171</v>
      </c>
      <c r="Y4" s="16" t="s">
        <v>172</v>
      </c>
      <c r="Z4" s="16" t="s">
        <v>173</v>
      </c>
    </row>
    <row r="5" customFormat="false" ht="15" hidden="false" customHeight="true" outlineLevel="0" collapsed="false">
      <c r="B5" s="1" t="s">
        <v>174</v>
      </c>
      <c r="C5" s="26" t="n">
        <f aca="false">Assumptions!E5</f>
        <v>1000</v>
      </c>
      <c r="D5" s="26" t="n">
        <f aca="false">C14</f>
        <v>944.86023438561</v>
      </c>
      <c r="E5" s="26" t="n">
        <f aca="false">D14</f>
        <v>891.073223841711</v>
      </c>
      <c r="F5" s="26" t="n">
        <f aca="false">E14</f>
        <v>838.61183040997</v>
      </c>
      <c r="G5" s="26" t="n">
        <f aca="false">F14</f>
        <v>787.44941181586</v>
      </c>
      <c r="H5" s="26" t="n">
        <f aca="false">G14</f>
        <v>737.559812895012</v>
      </c>
      <c r="I5" s="26" t="n">
        <f aca="false">H14</f>
        <v>688.917357162672</v>
      </c>
      <c r="J5" s="26" t="n">
        <f aca="false">I14</f>
        <v>641.49683852392</v>
      </c>
      <c r="K5" s="26" t="n">
        <f aca="false">J14</f>
        <v>595.273513122379</v>
      </c>
      <c r="L5" s="26" t="n">
        <f aca="false">K14</f>
        <v>550.223091325131</v>
      </c>
      <c r="M5" s="26" t="n">
        <f aca="false">L14</f>
        <v>506.321729841651</v>
      </c>
      <c r="N5" s="26" t="n">
        <f aca="false">M14</f>
        <v>463.54602397455</v>
      </c>
      <c r="O5" s="26" t="n">
        <f aca="false">N14</f>
        <v>421.873</v>
      </c>
      <c r="P5" s="26" t="n">
        <f aca="false">O14</f>
        <v>381.280107675701</v>
      </c>
      <c r="Q5" s="26" t="n">
        <f aca="false">P14</f>
        <v>341.74521287434</v>
      </c>
      <c r="R5" s="26" t="n">
        <f aca="false">Q14</f>
        <v>303.246590340467</v>
      </c>
      <c r="S5" s="26" t="n">
        <f aca="false">R14</f>
        <v>265.762916568794</v>
      </c>
      <c r="T5" s="26" t="n">
        <f aca="false">S14</f>
        <v>229.273262801916</v>
      </c>
      <c r="U5" s="26" t="n">
        <f aca="false">T14</f>
        <v>193.757088145525</v>
      </c>
      <c r="V5" s="26" t="n">
        <f aca="false">U14</f>
        <v>159.194232799177</v>
      </c>
      <c r="W5" s="26" t="n">
        <f aca="false">V14</f>
        <v>125.564911400739</v>
      </c>
      <c r="X5" s="26" t="n">
        <f aca="false">W14</f>
        <v>92.8497064826427</v>
      </c>
      <c r="Y5" s="26" t="n">
        <f aca="false">X14</f>
        <v>61.029562038139</v>
      </c>
      <c r="Z5" s="26" t="n">
        <f aca="false">Y14</f>
        <v>30.0857771957255</v>
      </c>
    </row>
    <row r="6" customFormat="false" ht="15" hidden="false" customHeight="true" outlineLevel="0" collapsed="false">
      <c r="B6" s="1" t="s">
        <v>175</v>
      </c>
      <c r="C6" s="26" t="n">
        <f aca="false">MIN(C5,C5/24)</f>
        <v>41.6666666666667</v>
      </c>
      <c r="D6" s="26" t="n">
        <f aca="false">MIN(D5,D5/23)</f>
        <v>41.0808797558961</v>
      </c>
      <c r="E6" s="26" t="n">
        <f aca="false">MIN(E5,E5/22)</f>
        <v>40.5033283564414</v>
      </c>
      <c r="F6" s="26" t="n">
        <f aca="false">MIN(F5,F5/21)</f>
        <v>39.9338966861891</v>
      </c>
      <c r="G6" s="26" t="n">
        <f aca="false">MIN(G5,G5/20)</f>
        <v>39.372470590793</v>
      </c>
      <c r="H6" s="26" t="n">
        <f aca="false">MIN(H5,H5/19)</f>
        <v>38.8189375207901</v>
      </c>
      <c r="I6" s="26" t="n">
        <f aca="false">MIN(I5,I5/18)</f>
        <v>38.2731865090373</v>
      </c>
      <c r="J6" s="26" t="n">
        <f aca="false">MIN(J5,J5/17)</f>
        <v>37.7351081484659</v>
      </c>
      <c r="K6" s="26" t="n">
        <f aca="false">MIN(K5,K5/16)</f>
        <v>37.2045945701487</v>
      </c>
      <c r="L6" s="26" t="n">
        <f aca="false">MIN(L5,L5/15)</f>
        <v>36.6815394216754</v>
      </c>
      <c r="M6" s="26" t="n">
        <f aca="false">MIN(M5,M5/14)</f>
        <v>36.1658378458322</v>
      </c>
      <c r="N6" s="26" t="n">
        <f aca="false">MIN(N5,N5/13)</f>
        <v>35.6573864595808</v>
      </c>
      <c r="O6" s="26" t="n">
        <f aca="false">MIN(O5,O5/12)</f>
        <v>35.1560833333333</v>
      </c>
      <c r="P6" s="26" t="n">
        <f aca="false">MIN(P5,P5/11)</f>
        <v>34.6618279705183</v>
      </c>
      <c r="Q6" s="26" t="n">
        <f aca="false">MIN(Q5,Q5/10)</f>
        <v>34.174521287434</v>
      </c>
      <c r="R6" s="26" t="n">
        <f aca="false">MIN(R5,R5/9)</f>
        <v>33.6940655933853</v>
      </c>
      <c r="S6" s="26" t="n">
        <f aca="false">MIN(S5,S5/8)</f>
        <v>33.2203645710992</v>
      </c>
      <c r="T6" s="26" t="n">
        <f aca="false">MIN(T5,T5/7)</f>
        <v>32.7533232574166</v>
      </c>
      <c r="U6" s="26" t="n">
        <f aca="false">MIN(U5,U5/6)</f>
        <v>32.2928480242542</v>
      </c>
      <c r="V6" s="26" t="n">
        <f aca="false">MIN(V5,V5/5)</f>
        <v>31.8388465598355</v>
      </c>
      <c r="W6" s="26" t="n">
        <f aca="false">MIN(W5,W5/4)</f>
        <v>31.3912278501846</v>
      </c>
      <c r="X6" s="26" t="n">
        <f aca="false">MIN(X5,X5/3)</f>
        <v>30.9499021608809</v>
      </c>
      <c r="Y6" s="26" t="n">
        <f aca="false">MIN(Y5,Y5/2)</f>
        <v>30.5147810190695</v>
      </c>
      <c r="Z6" s="26" t="n">
        <f aca="false">MIN(Z5,Z5/1)</f>
        <v>30.0857771957255</v>
      </c>
    </row>
    <row r="7" customFormat="false" ht="15" hidden="false" customHeight="true" outlineLevel="0" collapsed="false">
      <c r="B7" s="1" t="s">
        <v>176</v>
      </c>
      <c r="C7" s="26" t="n">
        <f aca="false">MAX(0,C5-C6)*'Loss Curves'!C6</f>
        <v>1.52261004959618</v>
      </c>
      <c r="D7" s="26" t="n">
        <f aca="false">MAX(0,D5-D6)*'Loss Curves'!D6</f>
        <v>1.43593411614965</v>
      </c>
      <c r="E7" s="26" t="n">
        <f aca="false">MAX(0,E5-E6)*'Loss Curves'!E6</f>
        <v>1.3513943694781</v>
      </c>
      <c r="F7" s="26" t="n">
        <f aca="false">MAX(0,F5-F6)*'Loss Curves'!F6</f>
        <v>1.26894787646456</v>
      </c>
      <c r="G7" s="26" t="n">
        <f aca="false">MAX(0,G5-G6)*'Loss Curves'!G6</f>
        <v>1.18855248895352</v>
      </c>
      <c r="H7" s="26" t="n">
        <f aca="false">MAX(0,H5-H6)*'Loss Curves'!H6</f>
        <v>1.11016683016531</v>
      </c>
      <c r="I7" s="26" t="n">
        <f aca="false">MAX(0,I5-I6)*'Loss Curves'!I6</f>
        <v>1.03375028133745</v>
      </c>
      <c r="J7" s="26" t="n">
        <f aca="false">MAX(0,J5-J6)*'Loss Curves'!J6</f>
        <v>0.959262968589124</v>
      </c>
      <c r="K7" s="26" t="n">
        <f aca="false">MAX(0,K5-K6)*'Loss Curves'!K6</f>
        <v>0.886665750005109</v>
      </c>
      <c r="L7" s="26" t="n">
        <f aca="false">MAX(0,L5-L6)*'Loss Curves'!L6</f>
        <v>0.815920202935741</v>
      </c>
      <c r="M7" s="26" t="n">
        <f aca="false">MAX(0,M5-M6)*'Loss Curves'!M6</f>
        <v>0.74698861150924</v>
      </c>
      <c r="N7" s="26" t="n">
        <f aca="false">MAX(0,N5-N6)*'Loss Curves'!N6</f>
        <v>0.679833954353018</v>
      </c>
      <c r="O7" s="26" t="n">
        <f aca="false">MAX(0,O5-O6)*'Loss Curves'!O6</f>
        <v>0.614419892520536</v>
      </c>
      <c r="P7" s="26" t="n">
        <f aca="false">MAX(0,P5-P6)*'Loss Curves'!P6</f>
        <v>0.550710757620365</v>
      </c>
      <c r="Q7" s="26" t="n">
        <f aca="false">MAX(0,Q5-Q6)*'Loss Curves'!Q6</f>
        <v>0.488671540144142</v>
      </c>
      <c r="R7" s="26" t="n">
        <f aca="false">MAX(0,R5-R6)*'Loss Curves'!R6</f>
        <v>0.428267877990187</v>
      </c>
      <c r="S7" s="26" t="n">
        <f aca="false">MAX(0,S5-S6)*'Loss Curves'!S6</f>
        <v>0.369466045179581</v>
      </c>
      <c r="T7" s="26" t="n">
        <f aca="false">MAX(0,T5-T6)*'Loss Curves'!T6</f>
        <v>0.312232940761553</v>
      </c>
      <c r="U7" s="26" t="n">
        <f aca="false">MAX(0,U5-U6)*'Loss Curves'!U6</f>
        <v>0.256536077905103</v>
      </c>
      <c r="V7" s="26" t="n">
        <f aca="false">MAX(0,V5-V6)*'Loss Curves'!V6</f>
        <v>0.2023435731738</v>
      </c>
      <c r="W7" s="26" t="n">
        <f aca="false">MAX(0,W5-W6)*'Loss Curves'!W6</f>
        <v>0.149624135980762</v>
      </c>
      <c r="X7" s="26" t="n">
        <f aca="false">MAX(0,X5-X6)*'Loss Curves'!X6</f>
        <v>0.0983470582208884</v>
      </c>
      <c r="Y7" s="26" t="n">
        <f aca="false">MAX(0,Y5-Y6)*'Loss Curves'!Y6</f>
        <v>0.0484822040774211</v>
      </c>
      <c r="Z7" s="26" t="n">
        <f aca="false">MAX(0,Z5-Z6)*'Loss Curves'!Z6</f>
        <v>0</v>
      </c>
    </row>
    <row r="8" customFormat="false" ht="15" hidden="false" customHeight="true" outlineLevel="0" collapsed="false">
      <c r="B8" s="1" t="s">
        <v>177</v>
      </c>
      <c r="C8" s="26" t="n">
        <v>0</v>
      </c>
      <c r="D8" s="26" t="n">
        <v>0</v>
      </c>
      <c r="E8" s="26" t="n">
        <v>0</v>
      </c>
      <c r="F8" s="26" t="n">
        <f aca="false">C7*Assumptions!$E$9</f>
        <v>0.68517452231828</v>
      </c>
      <c r="G8" s="26" t="n">
        <f aca="false">D7*Assumptions!$E$9</f>
        <v>0.646170352267343</v>
      </c>
      <c r="H8" s="26" t="n">
        <f aca="false">E7*Assumptions!$E$9</f>
        <v>0.608127466265143</v>
      </c>
      <c r="I8" s="26" t="n">
        <f aca="false">F7*Assumptions!$E$9</f>
        <v>0.571026544409053</v>
      </c>
      <c r="J8" s="26" t="n">
        <f aca="false">G7*Assumptions!$E$9</f>
        <v>0.534848620029084</v>
      </c>
      <c r="K8" s="26" t="n">
        <f aca="false">H7*Assumptions!$E$9</f>
        <v>0.499575073574389</v>
      </c>
      <c r="L8" s="26" t="n">
        <f aca="false">I7*Assumptions!$E$9</f>
        <v>0.465187626601855</v>
      </c>
      <c r="M8" s="26" t="n">
        <f aca="false">J7*Assumptions!$E$9</f>
        <v>0.431668335865106</v>
      </c>
      <c r="N8" s="26" t="n">
        <f aca="false">K7*Assumptions!$E$9</f>
        <v>0.398999587502299</v>
      </c>
      <c r="O8" s="26" t="n">
        <f aca="false">L7*Assumptions!$E$9</f>
        <v>0.367164091321083</v>
      </c>
      <c r="P8" s="26" t="n">
        <f aca="false">M7*Assumptions!$E$9</f>
        <v>0.336144875179158</v>
      </c>
      <c r="Q8" s="26" t="n">
        <f aca="false">N7*Assumptions!$E$9</f>
        <v>0.305925279458858</v>
      </c>
      <c r="R8" s="26" t="n">
        <f aca="false">O7*Assumptions!$E$9</f>
        <v>0.276488951634241</v>
      </c>
      <c r="S8" s="26" t="n">
        <f aca="false">P7*Assumptions!$E$9</f>
        <v>0.247819840929164</v>
      </c>
      <c r="T8" s="26" t="n">
        <f aca="false">Q7*Assumptions!$E$9</f>
        <v>0.219902193064864</v>
      </c>
      <c r="U8" s="26" t="n">
        <f aca="false">R7*Assumptions!$E$9</f>
        <v>0.192720545095584</v>
      </c>
      <c r="V8" s="26" t="n">
        <f aca="false">S7*Assumptions!$E$9</f>
        <v>0.166259720330811</v>
      </c>
      <c r="W8" s="26" t="n">
        <f aca="false">T7*Assumptions!$E$9</f>
        <v>0.140504823342699</v>
      </c>
      <c r="X8" s="26" t="n">
        <f aca="false">U7*Assumptions!$E$9</f>
        <v>0.115441235057297</v>
      </c>
      <c r="Y8" s="26" t="n">
        <f aca="false">V7*Assumptions!$E$9</f>
        <v>0.0910546079282099</v>
      </c>
      <c r="Z8" s="26" t="n">
        <f aca="false">W7*Assumptions!$E$9</f>
        <v>0.0673308611913429</v>
      </c>
    </row>
    <row r="9" customFormat="false" ht="15" hidden="false" customHeight="true" outlineLevel="0" collapsed="false">
      <c r="B9" s="1" t="s">
        <v>178</v>
      </c>
      <c r="C9" s="26" t="n">
        <f aca="false">MAX(0,C5-C6-C7)*'Loss Curves'!C5</f>
        <v>11.9504888981277</v>
      </c>
      <c r="D9" s="26" t="n">
        <f aca="false">MAX(0,D5-D6-D7)*'Loss Curves'!D5</f>
        <v>11.2701966718533</v>
      </c>
      <c r="E9" s="26" t="n">
        <f aca="false">MAX(0,E5-E6-E7)*'Loss Curves'!E5</f>
        <v>10.6066707058209</v>
      </c>
      <c r="F9" s="26" t="n">
        <f aca="false">MAX(0,F5-F6-F7)*'Loss Curves'!F5</f>
        <v>9.95957403145629</v>
      </c>
      <c r="G9" s="26" t="n">
        <f aca="false">MAX(0,G5-G6-G7)*'Loss Curves'!G5</f>
        <v>9.32857584110137</v>
      </c>
      <c r="H9" s="26" t="n">
        <f aca="false">MAX(0,H5-H6-H7)*'Loss Curves'!H5</f>
        <v>8.71335138138539</v>
      </c>
      <c r="I9" s="26" t="n">
        <f aca="false">MAX(0,I5-I6-I7)*'Loss Curves'!I5</f>
        <v>8.11358184837679</v>
      </c>
      <c r="J9" s="26" t="n">
        <f aca="false">MAX(0,J5-J6-J7)*'Loss Curves'!J5</f>
        <v>7.5289542844865</v>
      </c>
      <c r="K9" s="26" t="n">
        <f aca="false">MAX(0,K5-K6-K7)*'Loss Curves'!K5</f>
        <v>6.95916147709414</v>
      </c>
      <c r="L9" s="26" t="n">
        <f aca="false">MAX(0,L5-L6-L7)*'Loss Curves'!L5</f>
        <v>6.40390185886905</v>
      </c>
      <c r="M9" s="26" t="n">
        <f aca="false">MAX(0,M5-M6-M7)*'Loss Curves'!M5</f>
        <v>5.86287940975862</v>
      </c>
      <c r="N9" s="26" t="n">
        <f aca="false">MAX(0,N5-N6-N7)*'Loss Curves'!N5</f>
        <v>5.33580356061665</v>
      </c>
      <c r="O9" s="26" t="n">
        <f aca="false">MAX(0,O5-O6-O7)*'Loss Curves'!O5</f>
        <v>4.82238909844505</v>
      </c>
      <c r="P9" s="26" t="n">
        <f aca="false">MAX(0,P5-P6-P7)*'Loss Curves'!P5</f>
        <v>4.32235607322251</v>
      </c>
      <c r="Q9" s="26" t="n">
        <f aca="false">MAX(0,Q5-Q6-Q7)*'Loss Curves'!Q5</f>
        <v>3.83542970629437</v>
      </c>
      <c r="R9" s="26" t="n">
        <f aca="false">MAX(0,R5-R6-R7)*'Loss Curves'!R5</f>
        <v>3.36134030029805</v>
      </c>
      <c r="S9" s="26" t="n">
        <f aca="false">MAX(0,S5-S6-S7)*'Loss Curves'!S5</f>
        <v>2.89982315059902</v>
      </c>
      <c r="T9" s="26" t="n">
        <f aca="false">MAX(0,T5-T6-T7)*'Loss Curves'!T5</f>
        <v>2.4506184582128</v>
      </c>
      <c r="U9" s="26" t="n">
        <f aca="false">MAX(0,U5-U6-U7)*'Loss Curves'!U5</f>
        <v>2.01347124418839</v>
      </c>
      <c r="V9" s="26" t="n">
        <f aca="false">MAX(0,V5-V6-V7)*'Loss Curves'!V5</f>
        <v>1.58813126542959</v>
      </c>
      <c r="W9" s="26" t="n">
        <f aca="false">MAX(0,W5-W6-W7)*'Loss Curves'!W5</f>
        <v>1.17435293193045</v>
      </c>
      <c r="X9" s="26" t="n">
        <f aca="false">MAX(0,X5-X6-X7)*'Loss Curves'!X5</f>
        <v>0.771895225401903</v>
      </c>
      <c r="Y9" s="26" t="n">
        <f aca="false">MAX(0,Y5-Y6-Y7)*'Loss Curves'!Y5</f>
        <v>0.380521619266631</v>
      </c>
      <c r="Z9" s="26" t="n">
        <f aca="false">MAX(0,Z5-Z6-Z7)*'Loss Curves'!Z5</f>
        <v>0</v>
      </c>
    </row>
    <row r="10" customFormat="false" ht="15" hidden="false" customHeight="true" outlineLevel="0" collapsed="false">
      <c r="B10" s="1" t="s">
        <v>179</v>
      </c>
      <c r="C10" s="26" t="n">
        <f aca="false">C5*Assumptions!$E$6/Assumptions!$E$20</f>
        <v>6.66666666666667</v>
      </c>
      <c r="D10" s="26" t="n">
        <f aca="false">D5*Assumptions!$E$6/Assumptions!$E$20</f>
        <v>6.2990682292374</v>
      </c>
      <c r="E10" s="26" t="n">
        <f aca="false">E5*Assumptions!$E$6/Assumptions!$E$20</f>
        <v>5.94048815894474</v>
      </c>
      <c r="F10" s="26" t="n">
        <f aca="false">F5*Assumptions!$E$6/Assumptions!$E$20</f>
        <v>5.59074553606647</v>
      </c>
      <c r="G10" s="26" t="n">
        <f aca="false">G5*Assumptions!$E$6/Assumptions!$E$20</f>
        <v>5.24966274543907</v>
      </c>
      <c r="H10" s="26" t="n">
        <f aca="false">H5*Assumptions!$E$6/Assumptions!$E$20</f>
        <v>4.91706541930008</v>
      </c>
      <c r="I10" s="26" t="n">
        <f aca="false">I5*Assumptions!$E$6/Assumptions!$E$20</f>
        <v>4.59278238108448</v>
      </c>
      <c r="J10" s="26" t="n">
        <f aca="false">J5*Assumptions!$E$6/Assumptions!$E$20</f>
        <v>4.27664559015947</v>
      </c>
      <c r="K10" s="26" t="n">
        <f aca="false">K5*Assumptions!$E$6/Assumptions!$E$20</f>
        <v>3.96849008748252</v>
      </c>
      <c r="L10" s="26" t="n">
        <f aca="false">L5*Assumptions!$E$6/Assumptions!$E$20</f>
        <v>3.66815394216754</v>
      </c>
      <c r="M10" s="26" t="n">
        <f aca="false">M5*Assumptions!$E$6/Assumptions!$E$20</f>
        <v>3.37547819894434</v>
      </c>
      <c r="N10" s="26" t="n">
        <f aca="false">N5*Assumptions!$E$6/Assumptions!$E$20</f>
        <v>3.090306826497</v>
      </c>
      <c r="O10" s="26" t="n">
        <f aca="false">O5*Assumptions!$E$6/Assumptions!$E$20</f>
        <v>2.81248666666667</v>
      </c>
      <c r="P10" s="26" t="n">
        <f aca="false">P5*Assumptions!$E$6/Assumptions!$E$20</f>
        <v>2.54186738450467</v>
      </c>
      <c r="Q10" s="26" t="n">
        <f aca="false">Q5*Assumptions!$E$6/Assumptions!$E$20</f>
        <v>2.27830141916227</v>
      </c>
      <c r="R10" s="26" t="n">
        <f aca="false">R5*Assumptions!$E$6/Assumptions!$E$20</f>
        <v>2.02164393560312</v>
      </c>
      <c r="S10" s="26" t="n">
        <f aca="false">S5*Assumptions!$E$6/Assumptions!$E$20</f>
        <v>1.77175277712529</v>
      </c>
      <c r="T10" s="26" t="n">
        <f aca="false">T5*Assumptions!$E$6/Assumptions!$E$20</f>
        <v>1.52848841867944</v>
      </c>
      <c r="U10" s="26" t="n">
        <f aca="false">U5*Assumptions!$E$6/Assumptions!$E$20</f>
        <v>1.29171392097017</v>
      </c>
      <c r="V10" s="26" t="n">
        <f aca="false">V5*Assumptions!$E$6/Assumptions!$E$20</f>
        <v>1.06129488532785</v>
      </c>
      <c r="W10" s="26" t="n">
        <f aca="false">W5*Assumptions!$E$6/Assumptions!$E$20</f>
        <v>0.837099409338257</v>
      </c>
      <c r="X10" s="26" t="n">
        <f aca="false">X5*Assumptions!$E$6/Assumptions!$E$20</f>
        <v>0.618998043217618</v>
      </c>
      <c r="Y10" s="26" t="n">
        <f aca="false">Y5*Assumptions!$E$6/Assumptions!$E$20</f>
        <v>0.406863746920927</v>
      </c>
      <c r="Z10" s="26" t="n">
        <f aca="false">Z5*Assumptions!$E$6/Assumptions!$E$20</f>
        <v>0.200571847971503</v>
      </c>
    </row>
    <row r="11" customFormat="false" ht="15" hidden="false" customHeight="true" outlineLevel="0" collapsed="false">
      <c r="B11" s="1" t="s">
        <v>180</v>
      </c>
      <c r="C11" s="26" t="n">
        <f aca="false">C5*Assumptions!$E$11/Assumptions!$E$20</f>
        <v>0.833333333333333</v>
      </c>
      <c r="D11" s="26" t="n">
        <f aca="false">D5*Assumptions!$E$11/Assumptions!$E$20</f>
        <v>0.787383528654675</v>
      </c>
      <c r="E11" s="26" t="n">
        <f aca="false">E5*Assumptions!$E$11/Assumptions!$E$20</f>
        <v>0.742561019868092</v>
      </c>
      <c r="F11" s="26" t="n">
        <f aca="false">F5*Assumptions!$E$11/Assumptions!$E$20</f>
        <v>0.698843192008309</v>
      </c>
      <c r="G11" s="26" t="n">
        <f aca="false">G5*Assumptions!$E$11/Assumptions!$E$20</f>
        <v>0.656207843179884</v>
      </c>
      <c r="H11" s="26" t="n">
        <f aca="false">H5*Assumptions!$E$11/Assumptions!$E$20</f>
        <v>0.61463317741251</v>
      </c>
      <c r="I11" s="26" t="n">
        <f aca="false">I5*Assumptions!$E$11/Assumptions!$E$20</f>
        <v>0.57409779763556</v>
      </c>
      <c r="J11" s="26" t="n">
        <f aca="false">J5*Assumptions!$E$11/Assumptions!$E$20</f>
        <v>0.534580698769933</v>
      </c>
      <c r="K11" s="26" t="n">
        <f aca="false">K5*Assumptions!$E$11/Assumptions!$E$20</f>
        <v>0.496061260935315</v>
      </c>
      <c r="L11" s="26" t="n">
        <f aca="false">L5*Assumptions!$E$11/Assumptions!$E$20</f>
        <v>0.458519242770942</v>
      </c>
      <c r="M11" s="26" t="n">
        <f aca="false">M5*Assumptions!$E$11/Assumptions!$E$20</f>
        <v>0.421934774868042</v>
      </c>
      <c r="N11" s="26" t="n">
        <f aca="false">N5*Assumptions!$E$11/Assumptions!$E$20</f>
        <v>0.386288353312125</v>
      </c>
      <c r="O11" s="26" t="n">
        <f aca="false">O5*Assumptions!$E$11/Assumptions!$E$20</f>
        <v>0.351560833333333</v>
      </c>
      <c r="P11" s="26" t="n">
        <f aca="false">P5*Assumptions!$E$11/Assumptions!$E$20</f>
        <v>0.317733423063084</v>
      </c>
      <c r="Q11" s="26" t="n">
        <f aca="false">Q5*Assumptions!$E$11/Assumptions!$E$20</f>
        <v>0.284787677395283</v>
      </c>
      <c r="R11" s="26" t="n">
        <f aca="false">R5*Assumptions!$E$11/Assumptions!$E$20</f>
        <v>0.25270549195039</v>
      </c>
      <c r="S11" s="26" t="n">
        <f aca="false">S5*Assumptions!$E$11/Assumptions!$E$20</f>
        <v>0.221469097140662</v>
      </c>
      <c r="T11" s="26" t="n">
        <f aca="false">T5*Assumptions!$E$11/Assumptions!$E$20</f>
        <v>0.19106105233493</v>
      </c>
      <c r="U11" s="26" t="n">
        <f aca="false">U5*Assumptions!$E$11/Assumptions!$E$20</f>
        <v>0.161464240121271</v>
      </c>
      <c r="V11" s="26" t="n">
        <f aca="false">V5*Assumptions!$E$11/Assumptions!$E$20</f>
        <v>0.132661860665981</v>
      </c>
      <c r="W11" s="26" t="n">
        <f aca="false">W5*Assumptions!$E$11/Assumptions!$E$20</f>
        <v>0.104637426167282</v>
      </c>
      <c r="X11" s="26" t="n">
        <f aca="false">X5*Assumptions!$E$11/Assumptions!$E$20</f>
        <v>0.0773747554022023</v>
      </c>
      <c r="Y11" s="26" t="n">
        <f aca="false">Y5*Assumptions!$E$11/Assumptions!$E$20</f>
        <v>0.0508579683651158</v>
      </c>
      <c r="Z11" s="26" t="n">
        <f aca="false">Z5*Assumptions!$E$11/Assumptions!$E$20</f>
        <v>0.0250714809964379</v>
      </c>
    </row>
    <row r="12" customFormat="false" ht="15" hidden="false" customHeight="true" outlineLevel="0" collapsed="false">
      <c r="B12" s="27" t="s">
        <v>181</v>
      </c>
      <c r="C12" s="28" t="n">
        <f aca="false">MAX(0,C10-C11)</f>
        <v>5.83333333333333</v>
      </c>
      <c r="D12" s="28" t="n">
        <f aca="false">MAX(0,D10-D11)</f>
        <v>5.51168470058272</v>
      </c>
      <c r="E12" s="28" t="n">
        <f aca="false">MAX(0,E10-E11)</f>
        <v>5.19792713907665</v>
      </c>
      <c r="F12" s="28" t="n">
        <f aca="false">MAX(0,F10-F11)</f>
        <v>4.89190234405816</v>
      </c>
      <c r="G12" s="28" t="n">
        <f aca="false">MAX(0,G10-G11)</f>
        <v>4.59345490225919</v>
      </c>
      <c r="H12" s="28" t="n">
        <f aca="false">MAX(0,H10-H11)</f>
        <v>4.30243224188757</v>
      </c>
      <c r="I12" s="28" t="n">
        <f aca="false">MAX(0,I10-I11)</f>
        <v>4.01868458344892</v>
      </c>
      <c r="J12" s="28" t="n">
        <f aca="false">MAX(0,J10-J11)</f>
        <v>3.74206489138953</v>
      </c>
      <c r="K12" s="28" t="n">
        <f aca="false">MAX(0,K10-K11)</f>
        <v>3.47242882654721</v>
      </c>
      <c r="L12" s="28" t="n">
        <f aca="false">MAX(0,L10-L11)</f>
        <v>3.2096346993966</v>
      </c>
      <c r="M12" s="28" t="n">
        <f aca="false">MAX(0,M10-M11)</f>
        <v>2.95354342407629</v>
      </c>
      <c r="N12" s="28" t="n">
        <f aca="false">MAX(0,N10-N11)</f>
        <v>2.70401847318488</v>
      </c>
      <c r="O12" s="28" t="n">
        <f aca="false">MAX(0,O10-O11)</f>
        <v>2.46092583333333</v>
      </c>
      <c r="P12" s="28" t="n">
        <f aca="false">MAX(0,P10-P11)</f>
        <v>2.22413396144159</v>
      </c>
      <c r="Q12" s="28" t="n">
        <f aca="false">MAX(0,Q10-Q11)</f>
        <v>1.99351374176698</v>
      </c>
      <c r="R12" s="28" t="n">
        <f aca="false">MAX(0,R10-R11)</f>
        <v>1.76893844365273</v>
      </c>
      <c r="S12" s="28" t="n">
        <f aca="false">MAX(0,S10-S11)</f>
        <v>1.55028367998463</v>
      </c>
      <c r="T12" s="28" t="n">
        <f aca="false">MAX(0,T10-T11)</f>
        <v>1.33742736634451</v>
      </c>
      <c r="U12" s="28" t="n">
        <f aca="false">MAX(0,U10-U11)</f>
        <v>1.1302496808489</v>
      </c>
      <c r="V12" s="28" t="n">
        <f aca="false">MAX(0,V10-V11)</f>
        <v>0.928633024661868</v>
      </c>
      <c r="W12" s="28" t="n">
        <f aca="false">MAX(0,W10-W11)</f>
        <v>0.732461983170975</v>
      </c>
      <c r="X12" s="28" t="n">
        <f aca="false">MAX(0,X10-X11)</f>
        <v>0.541623287815416</v>
      </c>
      <c r="Y12" s="28" t="n">
        <f aca="false">MAX(0,Y10-Y11)</f>
        <v>0.356005778555811</v>
      </c>
      <c r="Z12" s="28" t="n">
        <f aca="false">MAX(0,Z10-Z11)</f>
        <v>0.175500366975065</v>
      </c>
    </row>
    <row r="13" customFormat="false" ht="15" hidden="false" customHeight="true" outlineLevel="0" collapsed="false">
      <c r="B13" s="27" t="s">
        <v>182</v>
      </c>
      <c r="C13" s="28" t="n">
        <f aca="false">C6+C8+C9</f>
        <v>53.6171555647944</v>
      </c>
      <c r="D13" s="28" t="n">
        <f aca="false">D6+D8+D9</f>
        <v>52.3510764277494</v>
      </c>
      <c r="E13" s="28" t="n">
        <f aca="false">E6+E8+E9</f>
        <v>51.1099990622623</v>
      </c>
      <c r="F13" s="28" t="n">
        <f aca="false">F6+F8+F9</f>
        <v>50.5786452399636</v>
      </c>
      <c r="G13" s="28" t="n">
        <f aca="false">G6+G8+G9</f>
        <v>49.3472167841617</v>
      </c>
      <c r="H13" s="28" t="n">
        <f aca="false">H6+H8+H9</f>
        <v>48.1404163684407</v>
      </c>
      <c r="I13" s="28" t="n">
        <f aca="false">I6+I8+I9</f>
        <v>46.9577949018232</v>
      </c>
      <c r="J13" s="28" t="n">
        <f aca="false">J6+J8+J9</f>
        <v>45.7989110529815</v>
      </c>
      <c r="K13" s="28" t="n">
        <f aca="false">K6+K8+K9</f>
        <v>44.6633311208172</v>
      </c>
      <c r="L13" s="28" t="n">
        <f aca="false">L6+L8+L9</f>
        <v>43.5506289071463</v>
      </c>
      <c r="M13" s="28" t="n">
        <f aca="false">M6+M8+M9</f>
        <v>42.4603855914559</v>
      </c>
      <c r="N13" s="28" t="n">
        <f aca="false">N6+N8+N9</f>
        <v>41.3921896076998</v>
      </c>
      <c r="O13" s="28" t="n">
        <f aca="false">O6+O8+O9</f>
        <v>40.3456365230995</v>
      </c>
      <c r="P13" s="28" t="n">
        <f aca="false">P6+P8+P9</f>
        <v>39.32032891892</v>
      </c>
      <c r="Q13" s="28" t="n">
        <f aca="false">Q6+Q8+Q9</f>
        <v>38.3158762731872</v>
      </c>
      <c r="R13" s="28" t="n">
        <f aca="false">R6+R8+R9</f>
        <v>37.3318948453176</v>
      </c>
      <c r="S13" s="28" t="n">
        <f aca="false">S6+S8+S9</f>
        <v>36.3680075626274</v>
      </c>
      <c r="T13" s="28" t="n">
        <f aca="false">T6+T8+T9</f>
        <v>35.4238439086942</v>
      </c>
      <c r="U13" s="28" t="n">
        <f aca="false">U6+U8+U9</f>
        <v>34.4990398135382</v>
      </c>
      <c r="V13" s="28" t="n">
        <f aca="false">V6+V8+V9</f>
        <v>33.5932375455959</v>
      </c>
      <c r="W13" s="28" t="n">
        <f aca="false">W6+W8+W9</f>
        <v>32.7060856054578</v>
      </c>
      <c r="X13" s="28" t="n">
        <f aca="false">X6+X8+X9</f>
        <v>31.8372386213401</v>
      </c>
      <c r="Y13" s="28" t="n">
        <f aca="false">Y6+Y8+Y9</f>
        <v>30.9863572462643</v>
      </c>
      <c r="Z13" s="28" t="n">
        <f aca="false">Z6+Z8+Z9</f>
        <v>30.1531080569168</v>
      </c>
    </row>
    <row r="14" customFormat="false" ht="15" hidden="false" customHeight="true" outlineLevel="0" collapsed="false">
      <c r="B14" s="27" t="s">
        <v>183</v>
      </c>
      <c r="C14" s="28" t="n">
        <f aca="false">MAX(0,C5-C6-C7-C9)</f>
        <v>944.86023438561</v>
      </c>
      <c r="D14" s="28" t="n">
        <f aca="false">MAX(0,D5-D6-D7-D9)</f>
        <v>891.073223841711</v>
      </c>
      <c r="E14" s="28" t="n">
        <f aca="false">MAX(0,E5-E6-E7-E9)</f>
        <v>838.61183040997</v>
      </c>
      <c r="F14" s="28" t="n">
        <f aca="false">MAX(0,F5-F6-F7-F9)</f>
        <v>787.44941181586</v>
      </c>
      <c r="G14" s="28" t="n">
        <f aca="false">MAX(0,G5-G6-G7-G9)</f>
        <v>737.559812895012</v>
      </c>
      <c r="H14" s="28" t="n">
        <f aca="false">MAX(0,H5-H6-H7-H9)</f>
        <v>688.917357162672</v>
      </c>
      <c r="I14" s="28" t="n">
        <f aca="false">MAX(0,I5-I6-I7-I9)</f>
        <v>641.49683852392</v>
      </c>
      <c r="J14" s="28" t="n">
        <f aca="false">MAX(0,J5-J6-J7-J9)</f>
        <v>595.273513122379</v>
      </c>
      <c r="K14" s="28" t="n">
        <f aca="false">MAX(0,K5-K6-K7-K9)</f>
        <v>550.223091325131</v>
      </c>
      <c r="L14" s="28" t="n">
        <f aca="false">MAX(0,L5-L6-L7-L9)</f>
        <v>506.321729841651</v>
      </c>
      <c r="M14" s="28" t="n">
        <f aca="false">MAX(0,M5-M6-M7-M9)</f>
        <v>463.54602397455</v>
      </c>
      <c r="N14" s="28" t="n">
        <f aca="false">MAX(0,N5-N6-N7-N9)</f>
        <v>421.873</v>
      </c>
      <c r="O14" s="28" t="n">
        <f aca="false">MAX(0,O5-O6-O7-O9)</f>
        <v>381.280107675701</v>
      </c>
      <c r="P14" s="28" t="n">
        <f aca="false">MAX(0,P5-P6-P7-P9)</f>
        <v>341.74521287434</v>
      </c>
      <c r="Q14" s="28" t="n">
        <f aca="false">MAX(0,Q5-Q6-Q7-Q9)</f>
        <v>303.246590340467</v>
      </c>
      <c r="R14" s="28" t="n">
        <f aca="false">MAX(0,R5-R6-R7-R9)</f>
        <v>265.762916568794</v>
      </c>
      <c r="S14" s="28" t="n">
        <f aca="false">MAX(0,S5-S6-S7-S9)</f>
        <v>229.273262801916</v>
      </c>
      <c r="T14" s="28" t="n">
        <f aca="false">MAX(0,T5-T6-T7-T9)</f>
        <v>193.757088145525</v>
      </c>
      <c r="U14" s="28" t="n">
        <f aca="false">MAX(0,U5-U6-U7-U9)</f>
        <v>159.194232799177</v>
      </c>
      <c r="V14" s="28" t="n">
        <f aca="false">MAX(0,V5-V6-V7-V9)</f>
        <v>125.564911400739</v>
      </c>
      <c r="W14" s="28" t="n">
        <f aca="false">MAX(0,W5-W6-W7-W9)</f>
        <v>92.8497064826427</v>
      </c>
      <c r="X14" s="28" t="n">
        <f aca="false">MAX(0,X5-X6-X7-X9)</f>
        <v>61.029562038139</v>
      </c>
      <c r="Y14" s="28" t="n">
        <f aca="false">MAX(0,Y5-Y6-Y7-Y9)</f>
        <v>30.0857771957255</v>
      </c>
      <c r="Z14" s="28" t="n">
        <f aca="false">MAX(0,Z5-Z6-Z7-Z9)</f>
        <v>0</v>
      </c>
    </row>
  </sheetData>
  <mergeCells count="1">
    <mergeCell ref="B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26" min="3" style="1" width="10"/>
  </cols>
  <sheetData>
    <row r="2" customFormat="false" ht="27.75" hidden="false" customHeight="true" outlineLevel="0" collapsed="false">
      <c r="B2" s="2" t="s">
        <v>184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16" t="s">
        <v>185</v>
      </c>
      <c r="C4" s="16" t="s">
        <v>151</v>
      </c>
      <c r="D4" s="16" t="s">
        <v>30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  <c r="N4" s="16" t="s">
        <v>161</v>
      </c>
      <c r="O4" s="16" t="s">
        <v>162</v>
      </c>
      <c r="P4" s="16" t="s">
        <v>163</v>
      </c>
      <c r="Q4" s="16" t="s">
        <v>164</v>
      </c>
      <c r="R4" s="16" t="s">
        <v>165</v>
      </c>
      <c r="S4" s="16" t="s">
        <v>166</v>
      </c>
      <c r="T4" s="16" t="s">
        <v>167</v>
      </c>
      <c r="U4" s="16" t="s">
        <v>168</v>
      </c>
      <c r="V4" s="16" t="s">
        <v>169</v>
      </c>
      <c r="W4" s="16" t="s">
        <v>170</v>
      </c>
      <c r="X4" s="16" t="s">
        <v>171</v>
      </c>
      <c r="Y4" s="16" t="s">
        <v>172</v>
      </c>
      <c r="Z4" s="16" t="s">
        <v>173</v>
      </c>
    </row>
    <row r="5" customFormat="false" ht="15" hidden="false" customHeight="true" outlineLevel="0" collapsed="false">
      <c r="B5" s="1" t="s">
        <v>186</v>
      </c>
      <c r="C5" s="29" t="n">
        <f aca="false">1-(1-Assumptions!$E$7)^(1/Assumptions!$E$20)</f>
        <v>0.0124899194870163</v>
      </c>
      <c r="D5" s="29" t="n">
        <f aca="false">1-(1-Assumptions!$E$7)^(1/Assumptions!$E$20)</f>
        <v>0.0124899194870163</v>
      </c>
      <c r="E5" s="29" t="n">
        <f aca="false">1-(1-Assumptions!$E$7)^(1/Assumptions!$E$20)</f>
        <v>0.0124899194870163</v>
      </c>
      <c r="F5" s="29" t="n">
        <f aca="false">1-(1-Assumptions!$E$7)^(1/Assumptions!$E$20)</f>
        <v>0.0124899194870163</v>
      </c>
      <c r="G5" s="29" t="n">
        <f aca="false">1-(1-Assumptions!$E$7)^(1/Assumptions!$E$20)</f>
        <v>0.0124899194870163</v>
      </c>
      <c r="H5" s="29" t="n">
        <f aca="false">1-(1-Assumptions!$E$7)^(1/Assumptions!$E$20)</f>
        <v>0.0124899194870163</v>
      </c>
      <c r="I5" s="29" t="n">
        <f aca="false">1-(1-Assumptions!$E$7)^(1/Assumptions!$E$20)</f>
        <v>0.0124899194870163</v>
      </c>
      <c r="J5" s="29" t="n">
        <f aca="false">1-(1-Assumptions!$E$7)^(1/Assumptions!$E$20)</f>
        <v>0.0124899194870163</v>
      </c>
      <c r="K5" s="29" t="n">
        <f aca="false">1-(1-Assumptions!$E$7)^(1/Assumptions!$E$20)</f>
        <v>0.0124899194870163</v>
      </c>
      <c r="L5" s="29" t="n">
        <f aca="false">1-(1-Assumptions!$E$7)^(1/Assumptions!$E$20)</f>
        <v>0.0124899194870163</v>
      </c>
      <c r="M5" s="29" t="n">
        <f aca="false">1-(1-Assumptions!$E$7)^(1/Assumptions!$E$20)</f>
        <v>0.0124899194870163</v>
      </c>
      <c r="N5" s="29" t="n">
        <f aca="false">1-(1-Assumptions!$E$7)^(1/Assumptions!$E$20)</f>
        <v>0.0124899194870163</v>
      </c>
      <c r="O5" s="29" t="n">
        <f aca="false">1-(1-Assumptions!$E$7)^(1/Assumptions!$E$20)</f>
        <v>0.0124899194870163</v>
      </c>
      <c r="P5" s="29" t="n">
        <f aca="false">1-(1-Assumptions!$E$7)^(1/Assumptions!$E$20)</f>
        <v>0.0124899194870163</v>
      </c>
      <c r="Q5" s="29" t="n">
        <f aca="false">1-(1-Assumptions!$E$7)^(1/Assumptions!$E$20)</f>
        <v>0.0124899194870163</v>
      </c>
      <c r="R5" s="29" t="n">
        <f aca="false">1-(1-Assumptions!$E$7)^(1/Assumptions!$E$20)</f>
        <v>0.0124899194870163</v>
      </c>
      <c r="S5" s="29" t="n">
        <f aca="false">1-(1-Assumptions!$E$7)^(1/Assumptions!$E$20)</f>
        <v>0.0124899194870163</v>
      </c>
      <c r="T5" s="29" t="n">
        <f aca="false">1-(1-Assumptions!$E$7)^(1/Assumptions!$E$20)</f>
        <v>0.0124899194870163</v>
      </c>
      <c r="U5" s="29" t="n">
        <f aca="false">1-(1-Assumptions!$E$7)^(1/Assumptions!$E$20)</f>
        <v>0.0124899194870163</v>
      </c>
      <c r="V5" s="29" t="n">
        <f aca="false">1-(1-Assumptions!$E$7)^(1/Assumptions!$E$20)</f>
        <v>0.0124899194870163</v>
      </c>
      <c r="W5" s="29" t="n">
        <f aca="false">1-(1-Assumptions!$E$7)^(1/Assumptions!$E$20)</f>
        <v>0.0124899194870163</v>
      </c>
      <c r="X5" s="29" t="n">
        <f aca="false">1-(1-Assumptions!$E$7)^(1/Assumptions!$E$20)</f>
        <v>0.0124899194870163</v>
      </c>
      <c r="Y5" s="29" t="n">
        <f aca="false">1-(1-Assumptions!$E$7)^(1/Assumptions!$E$20)</f>
        <v>0.0124899194870163</v>
      </c>
      <c r="Z5" s="29" t="n">
        <f aca="false">1-(1-Assumptions!$E$7)^(1/Assumptions!$E$20)</f>
        <v>0.0124899194870163</v>
      </c>
    </row>
    <row r="6" customFormat="false" ht="15" hidden="false" customHeight="true" outlineLevel="0" collapsed="false">
      <c r="B6" s="1" t="s">
        <v>187</v>
      </c>
      <c r="C6" s="29" t="n">
        <f aca="false">1-(1-Assumptions!$E$8)^(1/Assumptions!$E$20)</f>
        <v>0.00158881048653514</v>
      </c>
      <c r="D6" s="29" t="n">
        <f aca="false">1-(1-Assumptions!$E$8)^(1/Assumptions!$E$20)</f>
        <v>0.00158881048653514</v>
      </c>
      <c r="E6" s="29" t="n">
        <f aca="false">1-(1-Assumptions!$E$8)^(1/Assumptions!$E$20)</f>
        <v>0.00158881048653514</v>
      </c>
      <c r="F6" s="29" t="n">
        <f aca="false">1-(1-Assumptions!$E$8)^(1/Assumptions!$E$20)</f>
        <v>0.00158881048653514</v>
      </c>
      <c r="G6" s="29" t="n">
        <f aca="false">1-(1-Assumptions!$E$8)^(1/Assumptions!$E$20)</f>
        <v>0.00158881048653514</v>
      </c>
      <c r="H6" s="29" t="n">
        <f aca="false">1-(1-Assumptions!$E$8)^(1/Assumptions!$E$20)</f>
        <v>0.00158881048653514</v>
      </c>
      <c r="I6" s="29" t="n">
        <f aca="false">1-(1-Assumptions!$E$8)^(1/Assumptions!$E$20)</f>
        <v>0.00158881048653514</v>
      </c>
      <c r="J6" s="29" t="n">
        <f aca="false">1-(1-Assumptions!$E$8)^(1/Assumptions!$E$20)</f>
        <v>0.00158881048653514</v>
      </c>
      <c r="K6" s="29" t="n">
        <f aca="false">1-(1-Assumptions!$E$8)^(1/Assumptions!$E$20)</f>
        <v>0.00158881048653514</v>
      </c>
      <c r="L6" s="29" t="n">
        <f aca="false">1-(1-Assumptions!$E$8)^(1/Assumptions!$E$20)</f>
        <v>0.00158881048653514</v>
      </c>
      <c r="M6" s="29" t="n">
        <f aca="false">1-(1-Assumptions!$E$8)^(1/Assumptions!$E$20)</f>
        <v>0.00158881048653514</v>
      </c>
      <c r="N6" s="29" t="n">
        <f aca="false">1-(1-Assumptions!$E$8)^(1/Assumptions!$E$20)</f>
        <v>0.00158881048653514</v>
      </c>
      <c r="O6" s="29" t="n">
        <f aca="false">1-(1-Assumptions!$E$8)^(1/Assumptions!$E$20)</f>
        <v>0.00158881048653514</v>
      </c>
      <c r="P6" s="29" t="n">
        <f aca="false">1-(1-Assumptions!$E$8)^(1/Assumptions!$E$20)</f>
        <v>0.00158881048653514</v>
      </c>
      <c r="Q6" s="29" t="n">
        <f aca="false">1-(1-Assumptions!$E$8)^(1/Assumptions!$E$20)</f>
        <v>0.00158881048653514</v>
      </c>
      <c r="R6" s="29" t="n">
        <f aca="false">1-(1-Assumptions!$E$8)^(1/Assumptions!$E$20)</f>
        <v>0.00158881048653514</v>
      </c>
      <c r="S6" s="29" t="n">
        <f aca="false">1-(1-Assumptions!$E$8)^(1/Assumptions!$E$20)</f>
        <v>0.00158881048653514</v>
      </c>
      <c r="T6" s="29" t="n">
        <f aca="false">1-(1-Assumptions!$E$8)^(1/Assumptions!$E$20)</f>
        <v>0.00158881048653514</v>
      </c>
      <c r="U6" s="29" t="n">
        <f aca="false">1-(1-Assumptions!$E$8)^(1/Assumptions!$E$20)</f>
        <v>0.00158881048653514</v>
      </c>
      <c r="V6" s="29" t="n">
        <f aca="false">1-(1-Assumptions!$E$8)^(1/Assumptions!$E$20)</f>
        <v>0.00158881048653514</v>
      </c>
      <c r="W6" s="29" t="n">
        <f aca="false">1-(1-Assumptions!$E$8)^(1/Assumptions!$E$20)</f>
        <v>0.00158881048653514</v>
      </c>
      <c r="X6" s="29" t="n">
        <f aca="false">1-(1-Assumptions!$E$8)^(1/Assumptions!$E$20)</f>
        <v>0.00158881048653514</v>
      </c>
      <c r="Y6" s="29" t="n">
        <f aca="false">1-(1-Assumptions!$E$8)^(1/Assumptions!$E$20)</f>
        <v>0.00158881048653514</v>
      </c>
      <c r="Z6" s="29" t="n">
        <f aca="false">1-(1-Assumptions!$E$8)^(1/Assumptions!$E$20)</f>
        <v>0.00158881048653514</v>
      </c>
    </row>
    <row r="7" customFormat="false" ht="15" hidden="false" customHeight="true" outlineLevel="0" collapsed="false">
      <c r="B7" s="1" t="s">
        <v>133</v>
      </c>
      <c r="C7" s="29" t="n">
        <f aca="false">Assumptions!$E$9</f>
        <v>0.45</v>
      </c>
      <c r="D7" s="29" t="n">
        <f aca="false">Assumptions!$E$9</f>
        <v>0.45</v>
      </c>
      <c r="E7" s="29" t="n">
        <f aca="false">Assumptions!$E$9</f>
        <v>0.45</v>
      </c>
      <c r="F7" s="29" t="n">
        <f aca="false">Assumptions!$E$9</f>
        <v>0.45</v>
      </c>
      <c r="G7" s="29" t="n">
        <f aca="false">Assumptions!$E$9</f>
        <v>0.45</v>
      </c>
      <c r="H7" s="29" t="n">
        <f aca="false">Assumptions!$E$9</f>
        <v>0.45</v>
      </c>
      <c r="I7" s="29" t="n">
        <f aca="false">Assumptions!$E$9</f>
        <v>0.45</v>
      </c>
      <c r="J7" s="29" t="n">
        <f aca="false">Assumptions!$E$9</f>
        <v>0.45</v>
      </c>
      <c r="K7" s="29" t="n">
        <f aca="false">Assumptions!$E$9</f>
        <v>0.45</v>
      </c>
      <c r="L7" s="29" t="n">
        <f aca="false">Assumptions!$E$9</f>
        <v>0.45</v>
      </c>
      <c r="M7" s="29" t="n">
        <f aca="false">Assumptions!$E$9</f>
        <v>0.45</v>
      </c>
      <c r="N7" s="29" t="n">
        <f aca="false">Assumptions!$E$9</f>
        <v>0.45</v>
      </c>
      <c r="O7" s="29" t="n">
        <f aca="false">Assumptions!$E$9</f>
        <v>0.45</v>
      </c>
      <c r="P7" s="29" t="n">
        <f aca="false">Assumptions!$E$9</f>
        <v>0.45</v>
      </c>
      <c r="Q7" s="29" t="n">
        <f aca="false">Assumptions!$E$9</f>
        <v>0.45</v>
      </c>
      <c r="R7" s="29" t="n">
        <f aca="false">Assumptions!$E$9</f>
        <v>0.45</v>
      </c>
      <c r="S7" s="29" t="n">
        <f aca="false">Assumptions!$E$9</f>
        <v>0.45</v>
      </c>
      <c r="T7" s="29" t="n">
        <f aca="false">Assumptions!$E$9</f>
        <v>0.45</v>
      </c>
      <c r="U7" s="29" t="n">
        <f aca="false">Assumptions!$E$9</f>
        <v>0.45</v>
      </c>
      <c r="V7" s="29" t="n">
        <f aca="false">Assumptions!$E$9</f>
        <v>0.45</v>
      </c>
      <c r="W7" s="29" t="n">
        <f aca="false">Assumptions!$E$9</f>
        <v>0.45</v>
      </c>
      <c r="X7" s="29" t="n">
        <f aca="false">Assumptions!$E$9</f>
        <v>0.45</v>
      </c>
      <c r="Y7" s="29" t="n">
        <f aca="false">Assumptions!$E$9</f>
        <v>0.45</v>
      </c>
      <c r="Z7" s="29" t="n">
        <f aca="false">Assumptions!$E$9</f>
        <v>0.45</v>
      </c>
    </row>
    <row r="8" customFormat="false" ht="15" hidden="false" customHeight="true" outlineLevel="0" collapsed="false">
      <c r="B8" s="1" t="s">
        <v>188</v>
      </c>
      <c r="C8" s="29" t="n">
        <f aca="false">Collateral!C9/Assumptions!$E$5</f>
        <v>0.0119504888981277</v>
      </c>
      <c r="D8" s="29" t="n">
        <f aca="false">C8+Collateral!D9/Assumptions!$E$5</f>
        <v>0.023220685569981</v>
      </c>
      <c r="E8" s="29" t="n">
        <f aca="false">D8+Collateral!E9/Assumptions!$E$5</f>
        <v>0.0338273562758018</v>
      </c>
      <c r="F8" s="29" t="n">
        <f aca="false">E8+Collateral!F9/Assumptions!$E$5</f>
        <v>0.0437869303072581</v>
      </c>
      <c r="G8" s="29" t="n">
        <f aca="false">F8+Collateral!G9/Assumptions!$E$5</f>
        <v>0.0531155061483595</v>
      </c>
      <c r="H8" s="29" t="n">
        <f aca="false">G8+Collateral!H9/Assumptions!$E$5</f>
        <v>0.0618288575297449</v>
      </c>
      <c r="I8" s="29" t="n">
        <f aca="false">H8+Collateral!I9/Assumptions!$E$5</f>
        <v>0.0699424393781217</v>
      </c>
      <c r="J8" s="29" t="n">
        <f aca="false">I8+Collateral!J9/Assumptions!$E$5</f>
        <v>0.0774713936626082</v>
      </c>
      <c r="K8" s="29" t="n">
        <f aca="false">J8+Collateral!K9/Assumptions!$E$5</f>
        <v>0.0844305551397023</v>
      </c>
      <c r="L8" s="29" t="n">
        <f aca="false">K8+Collateral!L9/Assumptions!$E$5</f>
        <v>0.0908344569985713</v>
      </c>
      <c r="M8" s="29" t="n">
        <f aca="false">L8+Collateral!M9/Assumptions!$E$5</f>
        <v>0.09669733640833</v>
      </c>
      <c r="N8" s="29" t="n">
        <f aca="false">M8+Collateral!N9/Assumptions!$E$5</f>
        <v>0.102033139968947</v>
      </c>
      <c r="O8" s="29" t="n">
        <f aca="false">N8+Collateral!O9/Assumptions!$E$5</f>
        <v>0.106855529067392</v>
      </c>
      <c r="P8" s="29" t="n">
        <f aca="false">O8+Collateral!P9/Assumptions!$E$5</f>
        <v>0.111177885140614</v>
      </c>
      <c r="Q8" s="29" t="n">
        <f aca="false">P8+Collateral!Q9/Assumptions!$E$5</f>
        <v>0.115013314846909</v>
      </c>
      <c r="R8" s="29" t="n">
        <f aca="false">Q8+Collateral!R9/Assumptions!$E$5</f>
        <v>0.118374655147207</v>
      </c>
      <c r="S8" s="29" t="n">
        <f aca="false">R8+Collateral!S9/Assumptions!$E$5</f>
        <v>0.121274478297806</v>
      </c>
      <c r="T8" s="29" t="n">
        <f aca="false">S8+Collateral!T9/Assumptions!$E$5</f>
        <v>0.123725096756018</v>
      </c>
      <c r="U8" s="29" t="n">
        <f aca="false">T8+Collateral!U9/Assumptions!$E$5</f>
        <v>0.125738568000207</v>
      </c>
      <c r="V8" s="29" t="n">
        <f aca="false">U8+Collateral!V9/Assumptions!$E$5</f>
        <v>0.127326699265636</v>
      </c>
      <c r="W8" s="29" t="n">
        <f aca="false">V8+Collateral!W9/Assumptions!$E$5</f>
        <v>0.128501052197567</v>
      </c>
      <c r="X8" s="29" t="n">
        <f aca="false">W8+Collateral!X9/Assumptions!$E$5</f>
        <v>0.129272947422969</v>
      </c>
      <c r="Y8" s="29" t="n">
        <f aca="false">X8+Collateral!Y9/Assumptions!$E$5</f>
        <v>0.129653469042235</v>
      </c>
      <c r="Z8" s="29" t="n">
        <f aca="false">Y8+Collateral!Z9/Assumptions!$E$5</f>
        <v>0.129653469042235</v>
      </c>
    </row>
    <row r="9" customFormat="false" ht="15" hidden="false" customHeight="true" outlineLevel="0" collapsed="false">
      <c r="B9" s="1" t="s">
        <v>189</v>
      </c>
      <c r="C9" s="29" t="n">
        <f aca="false">Collateral!C9*(1-C7)/Assumptions!$E$5</f>
        <v>0.00657276889397023</v>
      </c>
      <c r="D9" s="29" t="n">
        <f aca="false">C9+Collateral!D9*(1-D7)/Assumptions!$E$5</f>
        <v>0.0127713770634895</v>
      </c>
      <c r="E9" s="29" t="n">
        <f aca="false">D9+Collateral!E9*(1-E7)/Assumptions!$E$5</f>
        <v>0.018605045951691</v>
      </c>
      <c r="F9" s="29" t="n">
        <f aca="false">E9+Collateral!F9*(1-F7)/Assumptions!$E$5</f>
        <v>0.024082811668992</v>
      </c>
      <c r="G9" s="29" t="n">
        <f aca="false">F9+Collateral!G9*(1-G7)/Assumptions!$E$5</f>
        <v>0.0292135283815977</v>
      </c>
      <c r="H9" s="29" t="n">
        <f aca="false">G9+Collateral!H9*(1-H7)/Assumptions!$E$5</f>
        <v>0.0340058716413597</v>
      </c>
      <c r="I9" s="29" t="n">
        <f aca="false">H9+Collateral!I9*(1-I7)/Assumptions!$E$5</f>
        <v>0.0384683416579669</v>
      </c>
      <c r="J9" s="29" t="n">
        <f aca="false">I9+Collateral!J9*(1-J7)/Assumptions!$E$5</f>
        <v>0.0426092665144345</v>
      </c>
      <c r="K9" s="29" t="n">
        <f aca="false">J9+Collateral!K9*(1-K7)/Assumptions!$E$5</f>
        <v>0.0464368053268363</v>
      </c>
      <c r="L9" s="29" t="n">
        <f aca="false">K9+Collateral!L9*(1-L7)/Assumptions!$E$5</f>
        <v>0.0499589513492143</v>
      </c>
      <c r="M9" s="29" t="n">
        <f aca="false">L9+Collateral!M9*(1-M7)/Assumptions!$E$5</f>
        <v>0.0531835350245815</v>
      </c>
      <c r="N9" s="29" t="n">
        <f aca="false">M9+Collateral!N9*(1-N7)/Assumptions!$E$5</f>
        <v>0.0561182269829207</v>
      </c>
      <c r="O9" s="29" t="n">
        <f aca="false">N9+Collateral!O9*(1-O7)/Assumptions!$E$5</f>
        <v>0.0587705409870654</v>
      </c>
      <c r="P9" s="29" t="n">
        <f aca="false">O9+Collateral!P9*(1-P7)/Assumptions!$E$5</f>
        <v>0.0611478368273378</v>
      </c>
      <c r="Q9" s="29" t="n">
        <f aca="false">P9+Collateral!Q9*(1-Q7)/Assumptions!$E$5</f>
        <v>0.0632573231657997</v>
      </c>
      <c r="R9" s="29" t="n">
        <f aca="false">Q9+Collateral!R9*(1-R7)/Assumptions!$E$5</f>
        <v>0.0651060603309637</v>
      </c>
      <c r="S9" s="29" t="n">
        <f aca="false">R9+Collateral!S9*(1-S7)/Assumptions!$E$5</f>
        <v>0.0667009630637931</v>
      </c>
      <c r="T9" s="29" t="n">
        <f aca="false">S9+Collateral!T9*(1-T7)/Assumptions!$E$5</f>
        <v>0.0680488032158102</v>
      </c>
      <c r="U9" s="29" t="n">
        <f aca="false">T9+Collateral!U9*(1-U7)/Assumptions!$E$5</f>
        <v>0.0691562124001138</v>
      </c>
      <c r="V9" s="29" t="n">
        <f aca="false">U9+Collateral!V9*(1-V7)/Assumptions!$E$5</f>
        <v>0.0700296845961</v>
      </c>
      <c r="W9" s="29" t="n">
        <f aca="false">V9+Collateral!W9*(1-W7)/Assumptions!$E$5</f>
        <v>0.0706755787086618</v>
      </c>
      <c r="X9" s="29" t="n">
        <f aca="false">W9+Collateral!X9*(1-X7)/Assumptions!$E$5</f>
        <v>0.0711001210826328</v>
      </c>
      <c r="Y9" s="29" t="n">
        <f aca="false">X9+Collateral!Y9*(1-Y7)/Assumptions!$E$5</f>
        <v>0.0713094079732295</v>
      </c>
      <c r="Z9" s="29" t="n">
        <f aca="false">Y9+Collateral!Z9*(1-Z7)/Assumptions!$E$5</f>
        <v>0.0713094079732295</v>
      </c>
    </row>
  </sheetData>
  <mergeCells count="1">
    <mergeCell ref="B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26" min="3" style="1" width="10"/>
  </cols>
  <sheetData>
    <row r="2" customFormat="false" ht="27.75" hidden="false" customHeight="true" outlineLevel="0" collapsed="false">
      <c r="B2" s="2" t="s">
        <v>190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16" t="s">
        <v>128</v>
      </c>
      <c r="C4" s="16" t="s">
        <v>151</v>
      </c>
      <c r="D4" s="16" t="s">
        <v>30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  <c r="N4" s="16" t="s">
        <v>161</v>
      </c>
      <c r="O4" s="16" t="s">
        <v>162</v>
      </c>
      <c r="P4" s="16" t="s">
        <v>163</v>
      </c>
      <c r="Q4" s="16" t="s">
        <v>164</v>
      </c>
      <c r="R4" s="16" t="s">
        <v>165</v>
      </c>
      <c r="S4" s="16" t="s">
        <v>166</v>
      </c>
      <c r="T4" s="16" t="s">
        <v>167</v>
      </c>
      <c r="U4" s="16" t="s">
        <v>168</v>
      </c>
      <c r="V4" s="16" t="s">
        <v>169</v>
      </c>
      <c r="W4" s="16" t="s">
        <v>170</v>
      </c>
      <c r="X4" s="16" t="s">
        <v>171</v>
      </c>
      <c r="Y4" s="16" t="s">
        <v>172</v>
      </c>
      <c r="Z4" s="16" t="s">
        <v>173</v>
      </c>
    </row>
    <row r="5" customFormat="false" ht="15" hidden="false" customHeight="true" outlineLevel="0" collapsed="false">
      <c r="B5" s="1" t="s">
        <v>191</v>
      </c>
      <c r="C5" s="26" t="n">
        <f aca="false">Collateral!C12+Collateral!C8</f>
        <v>5.83333333333333</v>
      </c>
      <c r="D5" s="26" t="n">
        <f aca="false">Collateral!D12+Collateral!D8</f>
        <v>5.51168470058272</v>
      </c>
      <c r="E5" s="26" t="n">
        <f aca="false">Collateral!E12+Collateral!E8</f>
        <v>5.19792713907665</v>
      </c>
      <c r="F5" s="26" t="n">
        <f aca="false">Collateral!F12+Collateral!F8</f>
        <v>5.57707686637644</v>
      </c>
      <c r="G5" s="26" t="n">
        <f aca="false">Collateral!G12+Collateral!G8</f>
        <v>5.23962525452653</v>
      </c>
      <c r="H5" s="26" t="n">
        <f aca="false">Collateral!H12+Collateral!H8</f>
        <v>4.91055970815272</v>
      </c>
      <c r="I5" s="26" t="n">
        <f aca="false">Collateral!I12+Collateral!I8</f>
        <v>4.58971112785797</v>
      </c>
      <c r="J5" s="26" t="n">
        <f aca="false">Collateral!J12+Collateral!J8</f>
        <v>4.27691351141862</v>
      </c>
      <c r="K5" s="26" t="n">
        <f aca="false">Collateral!K12+Collateral!K8</f>
        <v>3.9720039001216</v>
      </c>
      <c r="L5" s="26" t="n">
        <f aca="false">Collateral!L12+Collateral!L8</f>
        <v>3.67482232599845</v>
      </c>
      <c r="M5" s="26" t="n">
        <f aca="false">Collateral!M12+Collateral!M8</f>
        <v>3.3852117599414</v>
      </c>
      <c r="N5" s="26" t="n">
        <f aca="false">Collateral!N12+Collateral!N8</f>
        <v>3.10301806068718</v>
      </c>
      <c r="O5" s="26" t="n">
        <f aca="false">Collateral!O12+Collateral!O8</f>
        <v>2.82808992465442</v>
      </c>
      <c r="P5" s="26" t="n">
        <f aca="false">Collateral!P12+Collateral!P8</f>
        <v>2.56027883662075</v>
      </c>
      <c r="Q5" s="26" t="n">
        <f aca="false">Collateral!Q12+Collateral!Q8</f>
        <v>2.29943902122584</v>
      </c>
      <c r="R5" s="26" t="n">
        <f aca="false">Collateral!R12+Collateral!R8</f>
        <v>2.04542739528697</v>
      </c>
      <c r="S5" s="26" t="n">
        <f aca="false">Collateral!S12+Collateral!S8</f>
        <v>1.7981035209138</v>
      </c>
      <c r="T5" s="26" t="n">
        <f aca="false">Collateral!T12+Collateral!T8</f>
        <v>1.55732955940937</v>
      </c>
      <c r="U5" s="26" t="n">
        <f aca="false">Collateral!U12+Collateral!U8</f>
        <v>1.32297022594448</v>
      </c>
      <c r="V5" s="26" t="n">
        <f aca="false">Collateral!V12+Collateral!V8</f>
        <v>1.09489274499268</v>
      </c>
      <c r="W5" s="26" t="n">
        <f aca="false">Collateral!W12+Collateral!W8</f>
        <v>0.872966806513674</v>
      </c>
      <c r="X5" s="26" t="n">
        <f aca="false">Collateral!X12+Collateral!X8</f>
        <v>0.657064522872712</v>
      </c>
      <c r="Y5" s="26" t="n">
        <f aca="false">Collateral!Y12+Collateral!Y8</f>
        <v>0.447060386484021</v>
      </c>
      <c r="Z5" s="26" t="n">
        <f aca="false">Collateral!Z12+Collateral!Z8</f>
        <v>0.242831228166408</v>
      </c>
    </row>
    <row r="6" customFormat="false" ht="15" hidden="false" customHeight="true" outlineLevel="0" collapsed="false">
      <c r="B6" s="1" t="s">
        <v>192</v>
      </c>
      <c r="C6" s="26" t="n">
        <f aca="false">Collateral!C13</f>
        <v>53.6171555647944</v>
      </c>
      <c r="D6" s="26" t="n">
        <f aca="false">Collateral!D13</f>
        <v>52.3510764277494</v>
      </c>
      <c r="E6" s="26" t="n">
        <f aca="false">Collateral!E13</f>
        <v>51.1099990622623</v>
      </c>
      <c r="F6" s="26" t="n">
        <f aca="false">Collateral!F13</f>
        <v>50.5786452399636</v>
      </c>
      <c r="G6" s="26" t="n">
        <f aca="false">Collateral!G13</f>
        <v>49.3472167841617</v>
      </c>
      <c r="H6" s="26" t="n">
        <f aca="false">Collateral!H13</f>
        <v>48.1404163684407</v>
      </c>
      <c r="I6" s="26" t="n">
        <f aca="false">Collateral!I13</f>
        <v>46.9577949018232</v>
      </c>
      <c r="J6" s="26" t="n">
        <f aca="false">Collateral!J13</f>
        <v>45.7989110529815</v>
      </c>
      <c r="K6" s="26" t="n">
        <f aca="false">Collateral!K13</f>
        <v>44.6633311208172</v>
      </c>
      <c r="L6" s="26" t="n">
        <f aca="false">Collateral!L13</f>
        <v>43.5506289071463</v>
      </c>
      <c r="M6" s="26" t="n">
        <f aca="false">Collateral!M13</f>
        <v>42.4603855914559</v>
      </c>
      <c r="N6" s="26" t="n">
        <f aca="false">Collateral!N13</f>
        <v>41.3921896076998</v>
      </c>
      <c r="O6" s="26" t="n">
        <f aca="false">Collateral!O13</f>
        <v>40.3456365230995</v>
      </c>
      <c r="P6" s="26" t="n">
        <f aca="false">Collateral!P13</f>
        <v>39.32032891892</v>
      </c>
      <c r="Q6" s="26" t="n">
        <f aca="false">Collateral!Q13</f>
        <v>38.3158762731872</v>
      </c>
      <c r="R6" s="26" t="n">
        <f aca="false">Collateral!R13</f>
        <v>37.3318948453176</v>
      </c>
      <c r="S6" s="26" t="n">
        <f aca="false">Collateral!S13</f>
        <v>36.3680075626274</v>
      </c>
      <c r="T6" s="26" t="n">
        <f aca="false">Collateral!T13</f>
        <v>35.4238439086942</v>
      </c>
      <c r="U6" s="26" t="n">
        <f aca="false">Collateral!U13</f>
        <v>34.4990398135382</v>
      </c>
      <c r="V6" s="26" t="n">
        <f aca="false">Collateral!V13</f>
        <v>33.5932375455959</v>
      </c>
      <c r="W6" s="26" t="n">
        <f aca="false">Collateral!W13</f>
        <v>32.7060856054578</v>
      </c>
      <c r="X6" s="26" t="n">
        <f aca="false">Collateral!X13</f>
        <v>31.8372386213401</v>
      </c>
      <c r="Y6" s="26" t="n">
        <f aca="false">Collateral!Y13</f>
        <v>30.9863572462643</v>
      </c>
      <c r="Z6" s="26" t="n">
        <f aca="false">Collateral!Z13</f>
        <v>30.1531080569168</v>
      </c>
    </row>
    <row r="7" customFormat="false" ht="15" hidden="false" customHeight="true" outlineLevel="0" collapsed="false">
      <c r="B7" s="1" t="s">
        <v>193</v>
      </c>
      <c r="C7" s="26" t="n">
        <f aca="false">Assumptions!E12</f>
        <v>650</v>
      </c>
      <c r="D7" s="26" t="n">
        <f aca="false">C12</f>
        <v>596.382844435206</v>
      </c>
      <c r="E7" s="26" t="n">
        <f aca="false">D12</f>
        <v>544.031768007456</v>
      </c>
      <c r="F7" s="26" t="n">
        <f aca="false">E12</f>
        <v>492.921768945194</v>
      </c>
      <c r="G7" s="26" t="n">
        <f aca="false">F12</f>
        <v>442.34312370523</v>
      </c>
      <c r="H7" s="26" t="n">
        <f aca="false">G12</f>
        <v>392.995906921069</v>
      </c>
      <c r="I7" s="26" t="n">
        <f aca="false">H12</f>
        <v>344.855490552628</v>
      </c>
      <c r="J7" s="26" t="n">
        <f aca="false">I12</f>
        <v>297.897695650805</v>
      </c>
      <c r="K7" s="26" t="n">
        <f aca="false">J12</f>
        <v>252.098784597823</v>
      </c>
      <c r="L7" s="26" t="n">
        <f aca="false">K12</f>
        <v>207.435453477006</v>
      </c>
      <c r="M7" s="26" t="n">
        <f aca="false">L12</f>
        <v>163.88482456986</v>
      </c>
      <c r="N7" s="26" t="n">
        <f aca="false">M12</f>
        <v>121.424438978404</v>
      </c>
      <c r="O7" s="26" t="n">
        <f aca="false">N12</f>
        <v>80.0322493707043</v>
      </c>
      <c r="P7" s="26" t="n">
        <f aca="false">O12</f>
        <v>39.6866128476049</v>
      </c>
      <c r="Q7" s="26" t="n">
        <f aca="false">P12</f>
        <v>0.366283928684915</v>
      </c>
      <c r="R7" s="26" t="n">
        <f aca="false">Q12</f>
        <v>0</v>
      </c>
      <c r="S7" s="26" t="n">
        <f aca="false">R12</f>
        <v>0</v>
      </c>
      <c r="T7" s="26" t="n">
        <f aca="false">S12</f>
        <v>0</v>
      </c>
      <c r="U7" s="26" t="n">
        <f aca="false">T12</f>
        <v>0</v>
      </c>
      <c r="V7" s="26" t="n">
        <f aca="false">U12</f>
        <v>0</v>
      </c>
      <c r="W7" s="26" t="n">
        <f aca="false">V12</f>
        <v>0</v>
      </c>
      <c r="X7" s="26" t="n">
        <f aca="false">W12</f>
        <v>0</v>
      </c>
      <c r="Y7" s="26" t="n">
        <f aca="false">X12</f>
        <v>0</v>
      </c>
      <c r="Z7" s="26" t="n">
        <f aca="false">Y12</f>
        <v>0</v>
      </c>
    </row>
    <row r="8" customFormat="false" ht="15" hidden="false" customHeight="true" outlineLevel="0" collapsed="false">
      <c r="B8" s="1" t="s">
        <v>194</v>
      </c>
      <c r="C8" s="26" t="n">
        <f aca="false">C7*Assumptions!$E$13/Assumptions!$E$20+0</f>
        <v>2.70833333333333</v>
      </c>
      <c r="D8" s="26" t="n">
        <f aca="false">D7*Assumptions!$E$13/Assumptions!$E$20+C10</f>
        <v>2.48492851848002</v>
      </c>
      <c r="E8" s="26" t="n">
        <f aca="false">E7*Assumptions!$E$13/Assumptions!$E$20+D10</f>
        <v>2.2667990333644</v>
      </c>
      <c r="F8" s="26" t="n">
        <f aca="false">F7*Assumptions!$E$13/Assumptions!$E$20+E10</f>
        <v>2.05384070393831</v>
      </c>
      <c r="G8" s="26" t="n">
        <f aca="false">G7*Assumptions!$E$13/Assumptions!$E$20+F10</f>
        <v>1.84309634877179</v>
      </c>
      <c r="H8" s="26" t="n">
        <f aca="false">H7*Assumptions!$E$13/Assumptions!$E$20+G10</f>
        <v>1.63748294550445</v>
      </c>
      <c r="I8" s="26" t="n">
        <f aca="false">I7*Assumptions!$E$13/Assumptions!$E$20+H10</f>
        <v>1.43689787730262</v>
      </c>
      <c r="J8" s="26" t="n">
        <f aca="false">J7*Assumptions!$E$13/Assumptions!$E$20+I10</f>
        <v>1.24124039854502</v>
      </c>
      <c r="K8" s="26" t="n">
        <f aca="false">K7*Assumptions!$E$13/Assumptions!$E$20+J10</f>
        <v>1.05041160249093</v>
      </c>
      <c r="L8" s="26" t="n">
        <f aca="false">L7*Assumptions!$E$13/Assumptions!$E$20+K10</f>
        <v>0.864314389487526</v>
      </c>
      <c r="M8" s="26" t="n">
        <f aca="false">M7*Assumptions!$E$13/Assumptions!$E$20+L10</f>
        <v>0.68285343570775</v>
      </c>
      <c r="N8" s="26" t="n">
        <f aca="false">N7*Assumptions!$E$13/Assumptions!$E$20+M10</f>
        <v>0.505935162410017</v>
      </c>
      <c r="O8" s="26" t="n">
        <f aca="false">O7*Assumptions!$E$13/Assumptions!$E$20+N10</f>
        <v>0.333467705711268</v>
      </c>
      <c r="P8" s="26" t="n">
        <f aca="false">P7*Assumptions!$E$13/Assumptions!$E$20+O10</f>
        <v>0.16536088686502</v>
      </c>
      <c r="Q8" s="26" t="n">
        <f aca="false">Q7*Assumptions!$E$13/Assumptions!$E$20+P10</f>
        <v>0.00152618303618715</v>
      </c>
      <c r="R8" s="26" t="n">
        <f aca="false">R7*Assumptions!$E$13/Assumptions!$E$20+Q10</f>
        <v>0</v>
      </c>
      <c r="S8" s="26" t="n">
        <f aca="false">S7*Assumptions!$E$13/Assumptions!$E$20+R10</f>
        <v>0</v>
      </c>
      <c r="T8" s="26" t="n">
        <f aca="false">T7*Assumptions!$E$13/Assumptions!$E$20+S10</f>
        <v>0</v>
      </c>
      <c r="U8" s="26" t="n">
        <f aca="false">U7*Assumptions!$E$13/Assumptions!$E$20+T10</f>
        <v>0</v>
      </c>
      <c r="V8" s="26" t="n">
        <f aca="false">V7*Assumptions!$E$13/Assumptions!$E$20+U10</f>
        <v>0</v>
      </c>
      <c r="W8" s="26" t="n">
        <f aca="false">W7*Assumptions!$E$13/Assumptions!$E$20+V10</f>
        <v>0</v>
      </c>
      <c r="X8" s="26" t="n">
        <f aca="false">X7*Assumptions!$E$13/Assumptions!$E$20+W10</f>
        <v>0</v>
      </c>
      <c r="Y8" s="26" t="n">
        <f aca="false">Y7*Assumptions!$E$13/Assumptions!$E$20+X10</f>
        <v>0</v>
      </c>
      <c r="Z8" s="26" t="n">
        <f aca="false">Z7*Assumptions!$E$13/Assumptions!$E$20+Y10</f>
        <v>0</v>
      </c>
    </row>
    <row r="9" customFormat="false" ht="15" hidden="false" customHeight="true" outlineLevel="0" collapsed="false">
      <c r="B9" s="1" t="s">
        <v>195</v>
      </c>
      <c r="C9" s="26" t="n">
        <f aca="false">MIN(C5,C8)</f>
        <v>2.70833333333333</v>
      </c>
      <c r="D9" s="26" t="n">
        <f aca="false">MIN(D5,D8)</f>
        <v>2.48492851848002</v>
      </c>
      <c r="E9" s="26" t="n">
        <f aca="false">MIN(E5,E8)</f>
        <v>2.2667990333644</v>
      </c>
      <c r="F9" s="26" t="n">
        <f aca="false">MIN(F5,F8)</f>
        <v>2.05384070393831</v>
      </c>
      <c r="G9" s="26" t="n">
        <f aca="false">MIN(G5,G8)</f>
        <v>1.84309634877179</v>
      </c>
      <c r="H9" s="26" t="n">
        <f aca="false">MIN(H5,H8)</f>
        <v>1.63748294550445</v>
      </c>
      <c r="I9" s="26" t="n">
        <f aca="false">MIN(I5,I8)</f>
        <v>1.43689787730262</v>
      </c>
      <c r="J9" s="26" t="n">
        <f aca="false">MIN(J5,J8)</f>
        <v>1.24124039854502</v>
      </c>
      <c r="K9" s="26" t="n">
        <f aca="false">MIN(K5,K8)</f>
        <v>1.05041160249093</v>
      </c>
      <c r="L9" s="26" t="n">
        <f aca="false">MIN(L5,L8)</f>
        <v>0.864314389487526</v>
      </c>
      <c r="M9" s="26" t="n">
        <f aca="false">MIN(M5,M8)</f>
        <v>0.68285343570775</v>
      </c>
      <c r="N9" s="26" t="n">
        <f aca="false">MIN(N5,N8)</f>
        <v>0.505935162410017</v>
      </c>
      <c r="O9" s="26" t="n">
        <f aca="false">MIN(O5,O8)</f>
        <v>0.333467705711268</v>
      </c>
      <c r="P9" s="26" t="n">
        <f aca="false">MIN(P5,P8)</f>
        <v>0.16536088686502</v>
      </c>
      <c r="Q9" s="26" t="n">
        <f aca="false">MIN(Q5,Q8)</f>
        <v>0.00152618303618715</v>
      </c>
      <c r="R9" s="26" t="n">
        <f aca="false">MIN(R5,R8)</f>
        <v>0</v>
      </c>
      <c r="S9" s="26" t="n">
        <f aca="false">MIN(S5,S8)</f>
        <v>0</v>
      </c>
      <c r="T9" s="26" t="n">
        <f aca="false">MIN(T5,T8)</f>
        <v>0</v>
      </c>
      <c r="U9" s="26" t="n">
        <f aca="false">MIN(U5,U8)</f>
        <v>0</v>
      </c>
      <c r="V9" s="26" t="n">
        <f aca="false">MIN(V5,V8)</f>
        <v>0</v>
      </c>
      <c r="W9" s="26" t="n">
        <f aca="false">MIN(W5,W8)</f>
        <v>0</v>
      </c>
      <c r="X9" s="26" t="n">
        <f aca="false">MIN(X5,X8)</f>
        <v>0</v>
      </c>
      <c r="Y9" s="26" t="n">
        <f aca="false">MIN(Y5,Y8)</f>
        <v>0</v>
      </c>
      <c r="Z9" s="26" t="n">
        <f aca="false">MIN(Z5,Z8)</f>
        <v>0</v>
      </c>
    </row>
    <row r="10" customFormat="false" ht="15" hidden="false" customHeight="true" outlineLevel="0" collapsed="false">
      <c r="B10" s="1" t="s">
        <v>196</v>
      </c>
      <c r="C10" s="26" t="n">
        <f aca="false">C8-C9</f>
        <v>0</v>
      </c>
      <c r="D10" s="26" t="n">
        <f aca="false">D8-D9</f>
        <v>0</v>
      </c>
      <c r="E10" s="26" t="n">
        <f aca="false">E8-E9</f>
        <v>0</v>
      </c>
      <c r="F10" s="26" t="n">
        <f aca="false">F8-F9</f>
        <v>0</v>
      </c>
      <c r="G10" s="26" t="n">
        <f aca="false">G8-G9</f>
        <v>0</v>
      </c>
      <c r="H10" s="26" t="n">
        <f aca="false">H8-H9</f>
        <v>0</v>
      </c>
      <c r="I10" s="26" t="n">
        <f aca="false">I8-I9</f>
        <v>0</v>
      </c>
      <c r="J10" s="26" t="n">
        <f aca="false">J8-J9</f>
        <v>0</v>
      </c>
      <c r="K10" s="26" t="n">
        <f aca="false">K8-K9</f>
        <v>0</v>
      </c>
      <c r="L10" s="26" t="n">
        <f aca="false">L8-L9</f>
        <v>0</v>
      </c>
      <c r="M10" s="26" t="n">
        <f aca="false">M8-M9</f>
        <v>0</v>
      </c>
      <c r="N10" s="26" t="n">
        <f aca="false">N8-N9</f>
        <v>0</v>
      </c>
      <c r="O10" s="26" t="n">
        <f aca="false">O8-O9</f>
        <v>0</v>
      </c>
      <c r="P10" s="26" t="n">
        <f aca="false">P8-P9</f>
        <v>0</v>
      </c>
      <c r="Q10" s="26" t="n">
        <f aca="false">Q8-Q9</f>
        <v>0</v>
      </c>
      <c r="R10" s="26" t="n">
        <f aca="false">R8-R9</f>
        <v>0</v>
      </c>
      <c r="S10" s="26" t="n">
        <f aca="false">S8-S9</f>
        <v>0</v>
      </c>
      <c r="T10" s="26" t="n">
        <f aca="false">T8-T9</f>
        <v>0</v>
      </c>
      <c r="U10" s="26" t="n">
        <f aca="false">U8-U9</f>
        <v>0</v>
      </c>
      <c r="V10" s="26" t="n">
        <f aca="false">V8-V9</f>
        <v>0</v>
      </c>
      <c r="W10" s="26" t="n">
        <f aca="false">W8-W9</f>
        <v>0</v>
      </c>
      <c r="X10" s="26" t="n">
        <f aca="false">X8-X9</f>
        <v>0</v>
      </c>
      <c r="Y10" s="26" t="n">
        <f aca="false">Y8-Y9</f>
        <v>0</v>
      </c>
      <c r="Z10" s="26" t="n">
        <f aca="false">Z8-Z9</f>
        <v>0</v>
      </c>
    </row>
    <row r="11" customFormat="false" ht="15" hidden="false" customHeight="true" outlineLevel="0" collapsed="false">
      <c r="B11" s="1" t="s">
        <v>197</v>
      </c>
      <c r="C11" s="26" t="n">
        <f aca="false">MIN(C7,C6)</f>
        <v>53.6171555647944</v>
      </c>
      <c r="D11" s="26" t="n">
        <f aca="false">MIN(D7,D6)</f>
        <v>52.3510764277494</v>
      </c>
      <c r="E11" s="26" t="n">
        <f aca="false">MIN(E7,E6)</f>
        <v>51.1099990622623</v>
      </c>
      <c r="F11" s="26" t="n">
        <f aca="false">MIN(F7,F6)</f>
        <v>50.5786452399636</v>
      </c>
      <c r="G11" s="26" t="n">
        <f aca="false">MIN(G7,G6)</f>
        <v>49.3472167841617</v>
      </c>
      <c r="H11" s="26" t="n">
        <f aca="false">MIN(H7,H6)</f>
        <v>48.1404163684407</v>
      </c>
      <c r="I11" s="26" t="n">
        <f aca="false">MIN(I7,I6)</f>
        <v>46.9577949018232</v>
      </c>
      <c r="J11" s="26" t="n">
        <f aca="false">MIN(J7,J6)</f>
        <v>45.7989110529815</v>
      </c>
      <c r="K11" s="26" t="n">
        <f aca="false">MIN(K7,K6)</f>
        <v>44.6633311208172</v>
      </c>
      <c r="L11" s="26" t="n">
        <f aca="false">MIN(L7,L6)</f>
        <v>43.5506289071463</v>
      </c>
      <c r="M11" s="26" t="n">
        <f aca="false">MIN(M7,M6)</f>
        <v>42.4603855914559</v>
      </c>
      <c r="N11" s="26" t="n">
        <f aca="false">MIN(N7,N6)</f>
        <v>41.3921896076998</v>
      </c>
      <c r="O11" s="26" t="n">
        <f aca="false">MIN(O7,O6)</f>
        <v>40.3456365230995</v>
      </c>
      <c r="P11" s="26" t="n">
        <f aca="false">MIN(P7,P6)</f>
        <v>39.32032891892</v>
      </c>
      <c r="Q11" s="26" t="n">
        <f aca="false">MIN(Q7,Q6)</f>
        <v>0.366283928684915</v>
      </c>
      <c r="R11" s="26" t="n">
        <f aca="false">MIN(R7,R6)</f>
        <v>0</v>
      </c>
      <c r="S11" s="26" t="n">
        <f aca="false">MIN(S7,S6)</f>
        <v>0</v>
      </c>
      <c r="T11" s="26" t="n">
        <f aca="false">MIN(T7,T6)</f>
        <v>0</v>
      </c>
      <c r="U11" s="26" t="n">
        <f aca="false">MIN(U7,U6)</f>
        <v>0</v>
      </c>
      <c r="V11" s="26" t="n">
        <f aca="false">MIN(V7,V6)</f>
        <v>0</v>
      </c>
      <c r="W11" s="26" t="n">
        <f aca="false">MIN(W7,W6)</f>
        <v>0</v>
      </c>
      <c r="X11" s="26" t="n">
        <f aca="false">MIN(X7,X6)</f>
        <v>0</v>
      </c>
      <c r="Y11" s="26" t="n">
        <f aca="false">MIN(Y7,Y6)</f>
        <v>0</v>
      </c>
      <c r="Z11" s="26" t="n">
        <f aca="false">MIN(Z7,Z6)</f>
        <v>0</v>
      </c>
    </row>
    <row r="12" customFormat="false" ht="15" hidden="false" customHeight="true" outlineLevel="0" collapsed="false">
      <c r="B12" s="27" t="s">
        <v>198</v>
      </c>
      <c r="C12" s="28" t="n">
        <f aca="false">MAX(0,C7-C11)</f>
        <v>596.382844435206</v>
      </c>
      <c r="D12" s="28" t="n">
        <f aca="false">MAX(0,D7-D11)</f>
        <v>544.031768007456</v>
      </c>
      <c r="E12" s="28" t="n">
        <f aca="false">MAX(0,E7-E11)</f>
        <v>492.921768945194</v>
      </c>
      <c r="F12" s="28" t="n">
        <f aca="false">MAX(0,F7-F11)</f>
        <v>442.34312370523</v>
      </c>
      <c r="G12" s="28" t="n">
        <f aca="false">MAX(0,G7-G11)</f>
        <v>392.995906921069</v>
      </c>
      <c r="H12" s="28" t="n">
        <f aca="false">MAX(0,H7-H11)</f>
        <v>344.855490552628</v>
      </c>
      <c r="I12" s="28" t="n">
        <f aca="false">MAX(0,I7-I11)</f>
        <v>297.897695650805</v>
      </c>
      <c r="J12" s="28" t="n">
        <f aca="false">MAX(0,J7-J11)</f>
        <v>252.098784597823</v>
      </c>
      <c r="K12" s="28" t="n">
        <f aca="false">MAX(0,K7-K11)</f>
        <v>207.435453477006</v>
      </c>
      <c r="L12" s="28" t="n">
        <f aca="false">MAX(0,L7-L11)</f>
        <v>163.88482456986</v>
      </c>
      <c r="M12" s="28" t="n">
        <f aca="false">MAX(0,M7-M11)</f>
        <v>121.424438978404</v>
      </c>
      <c r="N12" s="28" t="n">
        <f aca="false">MAX(0,N7-N11)</f>
        <v>80.0322493707043</v>
      </c>
      <c r="O12" s="28" t="n">
        <f aca="false">MAX(0,O7-O11)</f>
        <v>39.6866128476049</v>
      </c>
      <c r="P12" s="28" t="n">
        <f aca="false">MAX(0,P7-P11)</f>
        <v>0.366283928684915</v>
      </c>
      <c r="Q12" s="28" t="n">
        <f aca="false">MAX(0,Q7-Q11)</f>
        <v>0</v>
      </c>
      <c r="R12" s="28" t="n">
        <f aca="false">MAX(0,R7-R11)</f>
        <v>0</v>
      </c>
      <c r="S12" s="28" t="n">
        <f aca="false">MAX(0,S7-S11)</f>
        <v>0</v>
      </c>
      <c r="T12" s="28" t="n">
        <f aca="false">MAX(0,T7-T11)</f>
        <v>0</v>
      </c>
      <c r="U12" s="28" t="n">
        <f aca="false">MAX(0,U7-U11)</f>
        <v>0</v>
      </c>
      <c r="V12" s="28" t="n">
        <f aca="false">MAX(0,V7-V11)</f>
        <v>0</v>
      </c>
      <c r="W12" s="28" t="n">
        <f aca="false">MAX(0,W7-W11)</f>
        <v>0</v>
      </c>
      <c r="X12" s="28" t="n">
        <f aca="false">MAX(0,X7-X11)</f>
        <v>0</v>
      </c>
      <c r="Y12" s="28" t="n">
        <f aca="false">MAX(0,Y7-Y11)</f>
        <v>0</v>
      </c>
      <c r="Z12" s="28" t="n">
        <f aca="false">MAX(0,Z7-Z11)</f>
        <v>0</v>
      </c>
    </row>
    <row r="13" customFormat="false" ht="15" hidden="false" customHeight="true" outlineLevel="0" collapsed="false">
      <c r="B13" s="1" t="s">
        <v>199</v>
      </c>
      <c r="C13" s="26" t="n">
        <f aca="false">Assumptions!E14</f>
        <v>220</v>
      </c>
      <c r="D13" s="26" t="n">
        <f aca="false">C18</f>
        <v>220</v>
      </c>
      <c r="E13" s="26" t="n">
        <f aca="false">D18</f>
        <v>220</v>
      </c>
      <c r="F13" s="26" t="n">
        <f aca="false">E18</f>
        <v>220</v>
      </c>
      <c r="G13" s="26" t="n">
        <f aca="false">F18</f>
        <v>220</v>
      </c>
      <c r="H13" s="26" t="n">
        <f aca="false">G18</f>
        <v>220</v>
      </c>
      <c r="I13" s="26" t="n">
        <f aca="false">H18</f>
        <v>220</v>
      </c>
      <c r="J13" s="26" t="n">
        <f aca="false">I18</f>
        <v>220</v>
      </c>
      <c r="K13" s="26" t="n">
        <f aca="false">J18</f>
        <v>220</v>
      </c>
      <c r="L13" s="26" t="n">
        <f aca="false">K18</f>
        <v>220</v>
      </c>
      <c r="M13" s="26" t="n">
        <f aca="false">L18</f>
        <v>220</v>
      </c>
      <c r="N13" s="26" t="n">
        <f aca="false">M18</f>
        <v>220</v>
      </c>
      <c r="O13" s="26" t="n">
        <f aca="false">N18</f>
        <v>220</v>
      </c>
      <c r="P13" s="26" t="n">
        <f aca="false">O18</f>
        <v>220</v>
      </c>
      <c r="Q13" s="26" t="n">
        <f aca="false">P18</f>
        <v>220</v>
      </c>
      <c r="R13" s="26" t="n">
        <f aca="false">Q18</f>
        <v>182.050407655498</v>
      </c>
      <c r="S13" s="26" t="n">
        <f aca="false">R18</f>
        <v>144.71851281018</v>
      </c>
      <c r="T13" s="26" t="n">
        <f aca="false">S18</f>
        <v>108.350505247553</v>
      </c>
      <c r="U13" s="26" t="n">
        <f aca="false">T18</f>
        <v>72.9266613388585</v>
      </c>
      <c r="V13" s="26" t="n">
        <f aca="false">U18</f>
        <v>38.4276215253204</v>
      </c>
      <c r="W13" s="26" t="n">
        <f aca="false">V18</f>
        <v>4.83438397972446</v>
      </c>
      <c r="X13" s="26" t="n">
        <f aca="false">W18</f>
        <v>0</v>
      </c>
      <c r="Y13" s="26" t="n">
        <f aca="false">X18</f>
        <v>0</v>
      </c>
      <c r="Z13" s="26" t="n">
        <f aca="false">Y18</f>
        <v>0</v>
      </c>
    </row>
    <row r="14" customFormat="false" ht="15" hidden="false" customHeight="true" outlineLevel="0" collapsed="false">
      <c r="B14" s="1" t="s">
        <v>200</v>
      </c>
      <c r="C14" s="26" t="n">
        <f aca="false">C13*Assumptions!$E$15/Assumptions!$E$20+0</f>
        <v>1.46666666666667</v>
      </c>
      <c r="D14" s="26" t="n">
        <f aca="false">D13*Assumptions!$E$15/Assumptions!$E$20+C16</f>
        <v>1.46666666666667</v>
      </c>
      <c r="E14" s="26" t="n">
        <f aca="false">E13*Assumptions!$E$15/Assumptions!$E$20+D16</f>
        <v>1.46666666666667</v>
      </c>
      <c r="F14" s="26" t="n">
        <f aca="false">F13*Assumptions!$E$15/Assumptions!$E$20+E16</f>
        <v>1.46666666666667</v>
      </c>
      <c r="G14" s="26" t="n">
        <f aca="false">G13*Assumptions!$E$15/Assumptions!$E$20+F16</f>
        <v>1.46666666666667</v>
      </c>
      <c r="H14" s="26" t="n">
        <f aca="false">H13*Assumptions!$E$15/Assumptions!$E$20+G16</f>
        <v>1.46666666666667</v>
      </c>
      <c r="I14" s="26" t="n">
        <f aca="false">I13*Assumptions!$E$15/Assumptions!$E$20+H16</f>
        <v>1.46666666666667</v>
      </c>
      <c r="J14" s="26" t="n">
        <f aca="false">J13*Assumptions!$E$15/Assumptions!$E$20+I16</f>
        <v>1.46666666666667</v>
      </c>
      <c r="K14" s="26" t="n">
        <f aca="false">K13*Assumptions!$E$15/Assumptions!$E$20+J16</f>
        <v>1.46666666666667</v>
      </c>
      <c r="L14" s="26" t="n">
        <f aca="false">L13*Assumptions!$E$15/Assumptions!$E$20+K16</f>
        <v>1.46666666666667</v>
      </c>
      <c r="M14" s="26" t="n">
        <f aca="false">M13*Assumptions!$E$15/Assumptions!$E$20+L16</f>
        <v>1.46666666666667</v>
      </c>
      <c r="N14" s="26" t="n">
        <f aca="false">N13*Assumptions!$E$15/Assumptions!$E$20+M16</f>
        <v>1.46666666666667</v>
      </c>
      <c r="O14" s="26" t="n">
        <f aca="false">O13*Assumptions!$E$15/Assumptions!$E$20+N16</f>
        <v>1.46666666666667</v>
      </c>
      <c r="P14" s="26" t="n">
        <f aca="false">P13*Assumptions!$E$15/Assumptions!$E$20+O16</f>
        <v>1.46666666666667</v>
      </c>
      <c r="Q14" s="26" t="n">
        <f aca="false">Q13*Assumptions!$E$15/Assumptions!$E$20+P16</f>
        <v>1.46666666666667</v>
      </c>
      <c r="R14" s="26" t="n">
        <f aca="false">R13*Assumptions!$E$15/Assumptions!$E$20+Q16</f>
        <v>1.21366938436998</v>
      </c>
      <c r="S14" s="26" t="n">
        <f aca="false">S13*Assumptions!$E$15/Assumptions!$E$20+R16</f>
        <v>0.964790085401201</v>
      </c>
      <c r="T14" s="26" t="n">
        <f aca="false">T13*Assumptions!$E$15/Assumptions!$E$20+S16</f>
        <v>0.722336701650352</v>
      </c>
      <c r="U14" s="26" t="n">
        <f aca="false">U13*Assumptions!$E$15/Assumptions!$E$20+T16</f>
        <v>0.486177742259057</v>
      </c>
      <c r="V14" s="26" t="n">
        <f aca="false">V13*Assumptions!$E$15/Assumptions!$E$20+U16</f>
        <v>0.256184143502136</v>
      </c>
      <c r="W14" s="26" t="n">
        <f aca="false">W13*Assumptions!$E$15/Assumptions!$E$20+V16</f>
        <v>0.0322292265314964</v>
      </c>
      <c r="X14" s="26" t="n">
        <f aca="false">X13*Assumptions!$E$15/Assumptions!$E$20+W16</f>
        <v>0</v>
      </c>
      <c r="Y14" s="26" t="n">
        <f aca="false">Y13*Assumptions!$E$15/Assumptions!$E$20+X16</f>
        <v>0</v>
      </c>
      <c r="Z14" s="26" t="n">
        <f aca="false">Z13*Assumptions!$E$15/Assumptions!$E$20+Y16</f>
        <v>0</v>
      </c>
    </row>
    <row r="15" customFormat="false" ht="15" hidden="false" customHeight="true" outlineLevel="0" collapsed="false">
      <c r="B15" s="1" t="s">
        <v>201</v>
      </c>
      <c r="C15" s="26" t="n">
        <f aca="false">MIN(MAX(0,C5-C9),C14)</f>
        <v>1.46666666666667</v>
      </c>
      <c r="D15" s="26" t="n">
        <f aca="false">MIN(MAX(0,D5-D9),D14)</f>
        <v>1.46666666666667</v>
      </c>
      <c r="E15" s="26" t="n">
        <f aca="false">MIN(MAX(0,E5-E9),E14)</f>
        <v>1.46666666666667</v>
      </c>
      <c r="F15" s="26" t="n">
        <f aca="false">MIN(MAX(0,F5-F9),F14)</f>
        <v>1.46666666666667</v>
      </c>
      <c r="G15" s="26" t="n">
        <f aca="false">MIN(MAX(0,G5-G9),G14)</f>
        <v>1.46666666666667</v>
      </c>
      <c r="H15" s="26" t="n">
        <f aca="false">MIN(MAX(0,H5-H9),H14)</f>
        <v>1.46666666666667</v>
      </c>
      <c r="I15" s="26" t="n">
        <f aca="false">MIN(MAX(0,I5-I9),I14)</f>
        <v>1.46666666666667</v>
      </c>
      <c r="J15" s="26" t="n">
        <f aca="false">MIN(MAX(0,J5-J9),J14)</f>
        <v>1.46666666666667</v>
      </c>
      <c r="K15" s="26" t="n">
        <f aca="false">MIN(MAX(0,K5-K9),K14)</f>
        <v>1.46666666666667</v>
      </c>
      <c r="L15" s="26" t="n">
        <f aca="false">MIN(MAX(0,L5-L9),L14)</f>
        <v>1.46666666666667</v>
      </c>
      <c r="M15" s="26" t="n">
        <f aca="false">MIN(MAX(0,M5-M9),M14)</f>
        <v>1.46666666666667</v>
      </c>
      <c r="N15" s="26" t="n">
        <f aca="false">MIN(MAX(0,N5-N9),N14)</f>
        <v>1.46666666666667</v>
      </c>
      <c r="O15" s="26" t="n">
        <f aca="false">MIN(MAX(0,O5-O9),O14)</f>
        <v>1.46666666666667</v>
      </c>
      <c r="P15" s="26" t="n">
        <f aca="false">MIN(MAX(0,P5-P9),P14)</f>
        <v>1.46666666666667</v>
      </c>
      <c r="Q15" s="26" t="n">
        <f aca="false">MIN(MAX(0,Q5-Q9),Q14)</f>
        <v>1.46666666666667</v>
      </c>
      <c r="R15" s="26" t="n">
        <f aca="false">MIN(MAX(0,R5-R9),R14)</f>
        <v>1.21366938436998</v>
      </c>
      <c r="S15" s="26" t="n">
        <f aca="false">MIN(MAX(0,S5-S9),S14)</f>
        <v>0.964790085401201</v>
      </c>
      <c r="T15" s="26" t="n">
        <f aca="false">MIN(MAX(0,T5-T9),T14)</f>
        <v>0.722336701650352</v>
      </c>
      <c r="U15" s="26" t="n">
        <f aca="false">MIN(MAX(0,U5-U9),U14)</f>
        <v>0.486177742259057</v>
      </c>
      <c r="V15" s="26" t="n">
        <f aca="false">MIN(MAX(0,V5-V9),V14)</f>
        <v>0.256184143502136</v>
      </c>
      <c r="W15" s="26" t="n">
        <f aca="false">MIN(MAX(0,W5-W9),W14)</f>
        <v>0.0322292265314964</v>
      </c>
      <c r="X15" s="26" t="n">
        <f aca="false">MIN(MAX(0,X5-X9),X14)</f>
        <v>0</v>
      </c>
      <c r="Y15" s="26" t="n">
        <f aca="false">MIN(MAX(0,Y5-Y9),Y14)</f>
        <v>0</v>
      </c>
      <c r="Z15" s="26" t="n">
        <f aca="false">MIN(MAX(0,Z5-Z9),Z14)</f>
        <v>0</v>
      </c>
    </row>
    <row r="16" customFormat="false" ht="15" hidden="false" customHeight="true" outlineLevel="0" collapsed="false">
      <c r="B16" s="1" t="s">
        <v>202</v>
      </c>
      <c r="C16" s="26" t="n">
        <f aca="false">C14-C15</f>
        <v>0</v>
      </c>
      <c r="D16" s="26" t="n">
        <f aca="false">D14-D15</f>
        <v>0</v>
      </c>
      <c r="E16" s="26" t="n">
        <f aca="false">E14-E15</f>
        <v>0</v>
      </c>
      <c r="F16" s="26" t="n">
        <f aca="false">F14-F15</f>
        <v>0</v>
      </c>
      <c r="G16" s="26" t="n">
        <f aca="false">G14-G15</f>
        <v>0</v>
      </c>
      <c r="H16" s="26" t="n">
        <f aca="false">H14-H15</f>
        <v>0</v>
      </c>
      <c r="I16" s="26" t="n">
        <f aca="false">I14-I15</f>
        <v>0</v>
      </c>
      <c r="J16" s="26" t="n">
        <f aca="false">J14-J15</f>
        <v>0</v>
      </c>
      <c r="K16" s="26" t="n">
        <f aca="false">K14-K15</f>
        <v>0</v>
      </c>
      <c r="L16" s="26" t="n">
        <f aca="false">L14-L15</f>
        <v>0</v>
      </c>
      <c r="M16" s="26" t="n">
        <f aca="false">M14-M15</f>
        <v>0</v>
      </c>
      <c r="N16" s="26" t="n">
        <f aca="false">N14-N15</f>
        <v>0</v>
      </c>
      <c r="O16" s="26" t="n">
        <f aca="false">O14-O15</f>
        <v>0</v>
      </c>
      <c r="P16" s="26" t="n">
        <f aca="false">P14-P15</f>
        <v>0</v>
      </c>
      <c r="Q16" s="26" t="n">
        <f aca="false">Q14-Q15</f>
        <v>0</v>
      </c>
      <c r="R16" s="26" t="n">
        <f aca="false">R14-R15</f>
        <v>0</v>
      </c>
      <c r="S16" s="26" t="n">
        <f aca="false">S14-S15</f>
        <v>0</v>
      </c>
      <c r="T16" s="26" t="n">
        <f aca="false">T14-T15</f>
        <v>0</v>
      </c>
      <c r="U16" s="26" t="n">
        <f aca="false">U14-U15</f>
        <v>0</v>
      </c>
      <c r="V16" s="26" t="n">
        <f aca="false">V14-V15</f>
        <v>0</v>
      </c>
      <c r="W16" s="26" t="n">
        <f aca="false">W14-W15</f>
        <v>0</v>
      </c>
      <c r="X16" s="26" t="n">
        <f aca="false">X14-X15</f>
        <v>0</v>
      </c>
      <c r="Y16" s="26" t="n">
        <f aca="false">Y14-Y15</f>
        <v>0</v>
      </c>
      <c r="Z16" s="26" t="n">
        <f aca="false">Z14-Z15</f>
        <v>0</v>
      </c>
    </row>
    <row r="17" customFormat="false" ht="15" hidden="false" customHeight="true" outlineLevel="0" collapsed="false">
      <c r="B17" s="1" t="s">
        <v>203</v>
      </c>
      <c r="C17" s="26" t="n">
        <f aca="false">MIN(C13,MAX(0,C6-C11))</f>
        <v>0</v>
      </c>
      <c r="D17" s="26" t="n">
        <f aca="false">MIN(D13,MAX(0,D6-D11))</f>
        <v>0</v>
      </c>
      <c r="E17" s="26" t="n">
        <f aca="false">MIN(E13,MAX(0,E6-E11))</f>
        <v>0</v>
      </c>
      <c r="F17" s="26" t="n">
        <f aca="false">MIN(F13,MAX(0,F6-F11))</f>
        <v>0</v>
      </c>
      <c r="G17" s="26" t="n">
        <f aca="false">MIN(G13,MAX(0,G6-G11))</f>
        <v>0</v>
      </c>
      <c r="H17" s="26" t="n">
        <f aca="false">MIN(H13,MAX(0,H6-H11))</f>
        <v>0</v>
      </c>
      <c r="I17" s="26" t="n">
        <f aca="false">MIN(I13,MAX(0,I6-I11))</f>
        <v>0</v>
      </c>
      <c r="J17" s="26" t="n">
        <f aca="false">MIN(J13,MAX(0,J6-J11))</f>
        <v>0</v>
      </c>
      <c r="K17" s="26" t="n">
        <f aca="false">MIN(K13,MAX(0,K6-K11))</f>
        <v>0</v>
      </c>
      <c r="L17" s="26" t="n">
        <f aca="false">MIN(L13,MAX(0,L6-L11))</f>
        <v>0</v>
      </c>
      <c r="M17" s="26" t="n">
        <f aca="false">MIN(M13,MAX(0,M6-M11))</f>
        <v>0</v>
      </c>
      <c r="N17" s="26" t="n">
        <f aca="false">MIN(N13,MAX(0,N6-N11))</f>
        <v>0</v>
      </c>
      <c r="O17" s="26" t="n">
        <f aca="false">MIN(O13,MAX(0,O6-O11))</f>
        <v>0</v>
      </c>
      <c r="P17" s="26" t="n">
        <f aca="false">MIN(P13,MAX(0,P6-P11))</f>
        <v>0</v>
      </c>
      <c r="Q17" s="26" t="n">
        <f aca="false">MIN(Q13,MAX(0,Q6-Q11))</f>
        <v>37.9495923445023</v>
      </c>
      <c r="R17" s="26" t="n">
        <f aca="false">MIN(R13,MAX(0,R6-R11))</f>
        <v>37.3318948453176</v>
      </c>
      <c r="S17" s="26" t="n">
        <f aca="false">MIN(S13,MAX(0,S6-S11))</f>
        <v>36.3680075626274</v>
      </c>
      <c r="T17" s="26" t="n">
        <f aca="false">MIN(T13,MAX(0,T6-T11))</f>
        <v>35.4238439086942</v>
      </c>
      <c r="U17" s="26" t="n">
        <f aca="false">MIN(U13,MAX(0,U6-U11))</f>
        <v>34.4990398135382</v>
      </c>
      <c r="V17" s="26" t="n">
        <f aca="false">MIN(V13,MAX(0,V6-V11))</f>
        <v>33.5932375455959</v>
      </c>
      <c r="W17" s="26" t="n">
        <f aca="false">MIN(W13,MAX(0,W6-W11))</f>
        <v>4.83438397972446</v>
      </c>
      <c r="X17" s="26" t="n">
        <f aca="false">MIN(X13,MAX(0,X6-X11))</f>
        <v>0</v>
      </c>
      <c r="Y17" s="26" t="n">
        <f aca="false">MIN(Y13,MAX(0,Y6-Y11))</f>
        <v>0</v>
      </c>
      <c r="Z17" s="26" t="n">
        <f aca="false">MIN(Z13,MAX(0,Z6-Z11))</f>
        <v>0</v>
      </c>
    </row>
    <row r="18" customFormat="false" ht="15" hidden="false" customHeight="true" outlineLevel="0" collapsed="false">
      <c r="B18" s="27" t="s">
        <v>204</v>
      </c>
      <c r="C18" s="28" t="n">
        <f aca="false">MAX(0,C13-C17)</f>
        <v>220</v>
      </c>
      <c r="D18" s="28" t="n">
        <f aca="false">MAX(0,D13-D17)</f>
        <v>220</v>
      </c>
      <c r="E18" s="28" t="n">
        <f aca="false">MAX(0,E13-E17)</f>
        <v>220</v>
      </c>
      <c r="F18" s="28" t="n">
        <f aca="false">MAX(0,F13-F17)</f>
        <v>220</v>
      </c>
      <c r="G18" s="28" t="n">
        <f aca="false">MAX(0,G13-G17)</f>
        <v>220</v>
      </c>
      <c r="H18" s="28" t="n">
        <f aca="false">MAX(0,H13-H17)</f>
        <v>220</v>
      </c>
      <c r="I18" s="28" t="n">
        <f aca="false">MAX(0,I13-I17)</f>
        <v>220</v>
      </c>
      <c r="J18" s="28" t="n">
        <f aca="false">MAX(0,J13-J17)</f>
        <v>220</v>
      </c>
      <c r="K18" s="28" t="n">
        <f aca="false">MAX(0,K13-K17)</f>
        <v>220</v>
      </c>
      <c r="L18" s="28" t="n">
        <f aca="false">MAX(0,L13-L17)</f>
        <v>220</v>
      </c>
      <c r="M18" s="28" t="n">
        <f aca="false">MAX(0,M13-M17)</f>
        <v>220</v>
      </c>
      <c r="N18" s="28" t="n">
        <f aca="false">MAX(0,N13-N17)</f>
        <v>220</v>
      </c>
      <c r="O18" s="28" t="n">
        <f aca="false">MAX(0,O13-O17)</f>
        <v>220</v>
      </c>
      <c r="P18" s="28" t="n">
        <f aca="false">MAX(0,P13-P17)</f>
        <v>220</v>
      </c>
      <c r="Q18" s="28" t="n">
        <f aca="false">MAX(0,Q13-Q17)</f>
        <v>182.050407655498</v>
      </c>
      <c r="R18" s="28" t="n">
        <f aca="false">MAX(0,R13-R17)</f>
        <v>144.71851281018</v>
      </c>
      <c r="S18" s="28" t="n">
        <f aca="false">MAX(0,S13-S17)</f>
        <v>108.350505247553</v>
      </c>
      <c r="T18" s="28" t="n">
        <f aca="false">MAX(0,T13-T17)</f>
        <v>72.9266613388585</v>
      </c>
      <c r="U18" s="28" t="n">
        <f aca="false">MAX(0,U13-U17)</f>
        <v>38.4276215253204</v>
      </c>
      <c r="V18" s="28" t="n">
        <f aca="false">MAX(0,V13-V17)</f>
        <v>4.83438397972446</v>
      </c>
      <c r="W18" s="28" t="n">
        <f aca="false">MAX(0,W13-W17)</f>
        <v>0</v>
      </c>
      <c r="X18" s="28" t="n">
        <f aca="false">MAX(0,X13-X17)</f>
        <v>0</v>
      </c>
      <c r="Y18" s="28" t="n">
        <f aca="false">MAX(0,Y13-Y17)</f>
        <v>0</v>
      </c>
      <c r="Z18" s="28" t="n">
        <f aca="false">MAX(0,Z13-Z17)</f>
        <v>0</v>
      </c>
    </row>
    <row r="19" customFormat="false" ht="15" hidden="false" customHeight="true" outlineLevel="0" collapsed="false">
      <c r="B19" s="27" t="s">
        <v>205</v>
      </c>
      <c r="C19" s="28" t="n">
        <f aca="false">MAX(0,C5-C9-C15)+MAX(0,C6-C11-C17)</f>
        <v>1.65833333333333</v>
      </c>
      <c r="D19" s="28" t="n">
        <f aca="false">MAX(0,D5-D9-D15)+MAX(0,D6-D11-D17)</f>
        <v>1.56008951543603</v>
      </c>
      <c r="E19" s="28" t="n">
        <f aca="false">MAX(0,E5-E9-E15)+MAX(0,E6-E11-E17)</f>
        <v>1.46446143904558</v>
      </c>
      <c r="F19" s="28" t="n">
        <f aca="false">MAX(0,F5-F9-F15)+MAX(0,F6-F11-F17)</f>
        <v>2.05656949577146</v>
      </c>
      <c r="G19" s="28" t="n">
        <f aca="false">MAX(0,G5-G9-G15)+MAX(0,G6-G11-G17)</f>
        <v>1.92986223908807</v>
      </c>
      <c r="H19" s="28" t="n">
        <f aca="false">MAX(0,H5-H9-H15)+MAX(0,H6-H11-H17)</f>
        <v>1.8064100959816</v>
      </c>
      <c r="I19" s="28" t="n">
        <f aca="false">MAX(0,I5-I9-I15)+MAX(0,I6-I11-I17)</f>
        <v>1.68614658388869</v>
      </c>
      <c r="J19" s="28" t="n">
        <f aca="false">MAX(0,J5-J9-J15)+MAX(0,J6-J11-J17)</f>
        <v>1.56900644620693</v>
      </c>
      <c r="K19" s="28" t="n">
        <f aca="false">MAX(0,K5-K9-K15)+MAX(0,K6-K11-K17)</f>
        <v>1.454925630964</v>
      </c>
      <c r="L19" s="28" t="n">
        <f aca="false">MAX(0,L5-L9-L15)+MAX(0,L6-L11-L17)</f>
        <v>1.34384126984426</v>
      </c>
      <c r="M19" s="28" t="n">
        <f aca="false">MAX(0,M5-M9-M15)+MAX(0,M6-M11-M17)</f>
        <v>1.23569165756698</v>
      </c>
      <c r="N19" s="28" t="n">
        <f aca="false">MAX(0,N5-N9-N15)+MAX(0,N6-N11-N17)</f>
        <v>1.13041623161049</v>
      </c>
      <c r="O19" s="28" t="n">
        <f aca="false">MAX(0,O5-O9-O15)+MAX(0,O6-O11-O17)</f>
        <v>1.02795555227648</v>
      </c>
      <c r="P19" s="28" t="n">
        <f aca="false">MAX(0,P5-P9-P15)+MAX(0,P6-P11-P17)</f>
        <v>0.92825128308906</v>
      </c>
      <c r="Q19" s="28" t="n">
        <f aca="false">MAX(0,Q5-Q9-Q15)+MAX(0,Q6-Q11-Q17)</f>
        <v>0.831246171522987</v>
      </c>
      <c r="R19" s="28" t="n">
        <f aca="false">MAX(0,R5-R9-R15)+MAX(0,R6-R11-R17)</f>
        <v>0.831758010916983</v>
      </c>
      <c r="S19" s="28" t="n">
        <f aca="false">MAX(0,S5-S9-S15)+MAX(0,S6-S11-S17)</f>
        <v>0.833313435512594</v>
      </c>
      <c r="T19" s="28" t="n">
        <f aca="false">MAX(0,T5-T9-T15)+MAX(0,T6-T11-T17)</f>
        <v>0.834992857759022</v>
      </c>
      <c r="U19" s="28" t="n">
        <f aca="false">MAX(0,U5-U9-U15)+MAX(0,U6-U11-U17)</f>
        <v>0.836792483685424</v>
      </c>
      <c r="V19" s="28" t="n">
        <f aca="false">MAX(0,V5-V9-V15)+MAX(0,V6-V11-V17)</f>
        <v>0.838708601490544</v>
      </c>
      <c r="W19" s="28" t="n">
        <f aca="false">MAX(0,W5-W9-W15)+MAX(0,W6-W11-W17)</f>
        <v>28.7124392057155</v>
      </c>
      <c r="X19" s="28" t="n">
        <f aca="false">MAX(0,X5-X9-X15)+MAX(0,X6-X11-X17)</f>
        <v>32.4943031442128</v>
      </c>
      <c r="Y19" s="28" t="n">
        <f aca="false">MAX(0,Y5-Y9-Y15)+MAX(0,Y6-Y11-Y17)</f>
        <v>31.4334176327484</v>
      </c>
      <c r="Z19" s="28" t="n">
        <f aca="false">MAX(0,Z5-Z9-Z15)+MAX(0,Z6-Z11-Z17)</f>
        <v>30.3959392850832</v>
      </c>
    </row>
  </sheetData>
  <mergeCells count="1">
    <mergeCell ref="B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26" min="3" style="1" width="10"/>
  </cols>
  <sheetData>
    <row r="2" customFormat="false" ht="27.75" hidden="false" customHeight="true" outlineLevel="0" collapsed="false">
      <c r="B2" s="2" t="s">
        <v>206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16" t="s">
        <v>207</v>
      </c>
      <c r="C4" s="16" t="s">
        <v>151</v>
      </c>
      <c r="D4" s="16" t="s">
        <v>30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  <c r="N4" s="16" t="s">
        <v>161</v>
      </c>
      <c r="O4" s="16" t="s">
        <v>162</v>
      </c>
      <c r="P4" s="16" t="s">
        <v>163</v>
      </c>
      <c r="Q4" s="16" t="s">
        <v>164</v>
      </c>
      <c r="R4" s="16" t="s">
        <v>165</v>
      </c>
      <c r="S4" s="16" t="s">
        <v>166</v>
      </c>
      <c r="T4" s="16" t="s">
        <v>167</v>
      </c>
      <c r="U4" s="16" t="s">
        <v>168</v>
      </c>
      <c r="V4" s="16" t="s">
        <v>169</v>
      </c>
      <c r="W4" s="16" t="s">
        <v>170</v>
      </c>
      <c r="X4" s="16" t="s">
        <v>171</v>
      </c>
      <c r="Y4" s="16" t="s">
        <v>172</v>
      </c>
      <c r="Z4" s="16" t="s">
        <v>173</v>
      </c>
    </row>
    <row r="5" customFormat="false" ht="15" hidden="false" customHeight="true" outlineLevel="0" collapsed="false">
      <c r="B5" s="1" t="s">
        <v>208</v>
      </c>
      <c r="C5" s="30" t="n">
        <f aca="false">IFERROR(Collateral!C14/(Waterfall!C12+Waterfall!C18),0)</f>
        <v>1.15737394633677</v>
      </c>
      <c r="D5" s="30" t="n">
        <f aca="false">IFERROR(Collateral!D14/(Waterfall!D12+Waterfall!D18),0)</f>
        <v>1.16627771403481</v>
      </c>
      <c r="E5" s="30" t="n">
        <f aca="false">IFERROR(Collateral!E14/(Waterfall!E12+Waterfall!E18),0)</f>
        <v>1.17630274027225</v>
      </c>
      <c r="F5" s="30" t="n">
        <f aca="false">IFERROR(Collateral!F14/(Waterfall!F12+Waterfall!F18),0)</f>
        <v>1.18888440693816</v>
      </c>
      <c r="G5" s="30" t="n">
        <f aca="false">IFERROR(Collateral!G14/(Waterfall!G12+Waterfall!G18),0)</f>
        <v>1.20320511861098</v>
      </c>
      <c r="H5" s="30" t="n">
        <f aca="false">IFERROR(Collateral!H14/(Waterfall!H12+Waterfall!H18),0)</f>
        <v>1.21963470070667</v>
      </c>
      <c r="I5" s="30" t="n">
        <f aca="false">IFERROR(Collateral!I14/(Waterfall!I12+Waterfall!I18),0)</f>
        <v>1.23865551808991</v>
      </c>
      <c r="J5" s="30" t="n">
        <f aca="false">IFERROR(Collateral!J14/(Waterfall!J12+Waterfall!J18),0)</f>
        <v>1.26090880244372</v>
      </c>
      <c r="K5" s="30" t="n">
        <f aca="false">IFERROR(Collateral!K14/(Waterfall!K12+Waterfall!K18),0)</f>
        <v>1.28726591781121</v>
      </c>
      <c r="L5" s="30" t="n">
        <f aca="false">IFERROR(Collateral!L14/(Waterfall!L12+Waterfall!L18),0)</f>
        <v>1.31894176960233</v>
      </c>
      <c r="M5" s="30" t="n">
        <f aca="false">IFERROR(Collateral!M14/(Waterfall!M12+Waterfall!M18),0)</f>
        <v>1.35768261159498</v>
      </c>
      <c r="N5" s="30" t="n">
        <f aca="false">IFERROR(Collateral!N14/(Waterfall!N12+Waterfall!N18),0)</f>
        <v>1.40609218137333</v>
      </c>
      <c r="O5" s="30" t="n">
        <f aca="false">IFERROR(Collateral!O14/(Waterfall!O12+Waterfall!O18),0)</f>
        <v>1.46823166390734</v>
      </c>
      <c r="P5" s="30" t="n">
        <f aca="false">IFERROR(Collateral!P14/(Waterfall!P12+Waterfall!P18),0)</f>
        <v>1.55080535362177</v>
      </c>
      <c r="Q5" s="30" t="n">
        <f aca="false">IFERROR(Collateral!Q14/(Waterfall!Q12+Waterfall!Q18),0)</f>
        <v>1.66572870803077</v>
      </c>
      <c r="R5" s="30" t="n">
        <f aca="false">IFERROR(Collateral!R14/(Waterfall!R12+Waterfall!R18),0)</f>
        <v>1.83641271187869</v>
      </c>
      <c r="S5" s="30" t="n">
        <f aca="false">IFERROR(Collateral!S14/(Waterfall!S12+Waterfall!S18),0)</f>
        <v>2.11603316734044</v>
      </c>
      <c r="T5" s="30" t="n">
        <f aca="false">IFERROR(Collateral!T14/(Waterfall!T12+Waterfall!T18),0)</f>
        <v>2.65687588857551</v>
      </c>
      <c r="U5" s="30" t="n">
        <f aca="false">IFERROR(Collateral!U14/(Waterfall!U12+Waterfall!U18),0)</f>
        <v>4.142703255633</v>
      </c>
      <c r="V5" s="30" t="n">
        <f aca="false">IFERROR(Collateral!V14/(Waterfall!V12+Waterfall!V18),0)</f>
        <v>25.9733012370058</v>
      </c>
      <c r="W5" s="30" t="n">
        <f aca="false">IFERROR(Collateral!W14/(Waterfall!W12+Waterfall!W18),0)</f>
        <v>0</v>
      </c>
      <c r="X5" s="30" t="n">
        <f aca="false">IFERROR(Collateral!X14/(Waterfall!X12+Waterfall!X18),0)</f>
        <v>0</v>
      </c>
      <c r="Y5" s="30" t="n">
        <f aca="false">IFERROR(Collateral!Y14/(Waterfall!Y12+Waterfall!Y18),0)</f>
        <v>0</v>
      </c>
      <c r="Z5" s="30" t="n">
        <f aca="false">IFERROR(Collateral!Z14/(Waterfall!Z12+Waterfall!Z18),0)</f>
        <v>0</v>
      </c>
    </row>
    <row r="6" customFormat="false" ht="15" hidden="false" customHeight="true" outlineLevel="0" collapsed="false">
      <c r="B6" s="1" t="s">
        <v>143</v>
      </c>
      <c r="C6" s="30" t="n">
        <f aca="false">Assumptions!$E$17</f>
        <v>1.08</v>
      </c>
      <c r="D6" s="30" t="n">
        <f aca="false">Assumptions!$E$17</f>
        <v>1.08</v>
      </c>
      <c r="E6" s="30" t="n">
        <f aca="false">Assumptions!$E$17</f>
        <v>1.08</v>
      </c>
      <c r="F6" s="30" t="n">
        <f aca="false">Assumptions!$E$17</f>
        <v>1.08</v>
      </c>
      <c r="G6" s="30" t="n">
        <f aca="false">Assumptions!$E$17</f>
        <v>1.08</v>
      </c>
      <c r="H6" s="30" t="n">
        <f aca="false">Assumptions!$E$17</f>
        <v>1.08</v>
      </c>
      <c r="I6" s="30" t="n">
        <f aca="false">Assumptions!$E$17</f>
        <v>1.08</v>
      </c>
      <c r="J6" s="30" t="n">
        <f aca="false">Assumptions!$E$17</f>
        <v>1.08</v>
      </c>
      <c r="K6" s="30" t="n">
        <f aca="false">Assumptions!$E$17</f>
        <v>1.08</v>
      </c>
      <c r="L6" s="30" t="n">
        <f aca="false">Assumptions!$E$17</f>
        <v>1.08</v>
      </c>
      <c r="M6" s="30" t="n">
        <f aca="false">Assumptions!$E$17</f>
        <v>1.08</v>
      </c>
      <c r="N6" s="30" t="n">
        <f aca="false">Assumptions!$E$17</f>
        <v>1.08</v>
      </c>
      <c r="O6" s="30" t="n">
        <f aca="false">Assumptions!$E$17</f>
        <v>1.08</v>
      </c>
      <c r="P6" s="30" t="n">
        <f aca="false">Assumptions!$E$17</f>
        <v>1.08</v>
      </c>
      <c r="Q6" s="30" t="n">
        <f aca="false">Assumptions!$E$17</f>
        <v>1.08</v>
      </c>
      <c r="R6" s="30" t="n">
        <f aca="false">Assumptions!$E$17</f>
        <v>1.08</v>
      </c>
      <c r="S6" s="30" t="n">
        <f aca="false">Assumptions!$E$17</f>
        <v>1.08</v>
      </c>
      <c r="T6" s="30" t="n">
        <f aca="false">Assumptions!$E$17</f>
        <v>1.08</v>
      </c>
      <c r="U6" s="30" t="n">
        <f aca="false">Assumptions!$E$17</f>
        <v>1.08</v>
      </c>
      <c r="V6" s="30" t="n">
        <f aca="false">Assumptions!$E$17</f>
        <v>1.08</v>
      </c>
      <c r="W6" s="30" t="n">
        <f aca="false">Assumptions!$E$17</f>
        <v>1.08</v>
      </c>
      <c r="X6" s="30" t="n">
        <f aca="false">Assumptions!$E$17</f>
        <v>1.08</v>
      </c>
      <c r="Y6" s="30" t="n">
        <f aca="false">Assumptions!$E$17</f>
        <v>1.08</v>
      </c>
      <c r="Z6" s="30" t="n">
        <f aca="false">Assumptions!$E$17</f>
        <v>1.08</v>
      </c>
    </row>
    <row r="7" customFormat="false" ht="15" hidden="false" customHeight="true" outlineLevel="0" collapsed="false">
      <c r="B7" s="1" t="s">
        <v>209</v>
      </c>
      <c r="C7" s="30" t="n">
        <f aca="false">IFERROR(Collateral!C12/Waterfall!C8,0)</f>
        <v>2.15384615384615</v>
      </c>
      <c r="D7" s="30" t="n">
        <f aca="false">IFERROR(Collateral!D12/Waterfall!D8,0)</f>
        <v>2.21804557338096</v>
      </c>
      <c r="E7" s="30" t="n">
        <f aca="false">IFERROR(Collateral!E12/Waterfall!E8,0)</f>
        <v>2.29306924106185</v>
      </c>
      <c r="F7" s="30" t="n">
        <f aca="false">IFERROR(Collateral!F12/Waterfall!F8,0)</f>
        <v>2.38183143156028</v>
      </c>
      <c r="G7" s="30" t="n">
        <f aca="false">IFERROR(Collateral!G12/Waterfall!G8,0)</f>
        <v>2.49224892953653</v>
      </c>
      <c r="H7" s="30" t="n">
        <f aca="false">IFERROR(Collateral!H12/Waterfall!H8,0)</f>
        <v>2.62746690199093</v>
      </c>
      <c r="I7" s="30" t="n">
        <f aca="false">IFERROR(Collateral!I12/Waterfall!I8,0)</f>
        <v>2.7967781475138</v>
      </c>
      <c r="J7" s="30" t="n">
        <f aca="false">IFERROR(Collateral!J12/Waterfall!J8,0)</f>
        <v>3.01477851975812</v>
      </c>
      <c r="K7" s="30" t="n">
        <f aca="false">IFERROR(Collateral!K12/Waterfall!K8,0)</f>
        <v>3.3057791996135</v>
      </c>
      <c r="L7" s="30" t="n">
        <f aca="false">IFERROR(Collateral!L12/Waterfall!L8,0)</f>
        <v>3.71350371859442</v>
      </c>
      <c r="M7" s="30" t="n">
        <f aca="false">IFERROR(Collateral!M12/Waterfall!M8,0)</f>
        <v>4.32529627827832</v>
      </c>
      <c r="N7" s="30" t="n">
        <f aca="false">IFERROR(Collateral!N12/Waterfall!N8,0)</f>
        <v>5.34459486924038</v>
      </c>
      <c r="O7" s="30" t="n">
        <f aca="false">IFERROR(Collateral!O12/Waterfall!O8,0)</f>
        <v>7.37980257513787</v>
      </c>
      <c r="P7" s="30" t="n">
        <f aca="false">IFERROR(Collateral!P12/Waterfall!P8,0)</f>
        <v>13.4501816215892</v>
      </c>
      <c r="Q7" s="30" t="n">
        <f aca="false">IFERROR(Collateral!Q12/Waterfall!Q8,0)</f>
        <v>1306.20881932181</v>
      </c>
      <c r="R7" s="30" t="n">
        <f aca="false">IFERROR(Collateral!R12/Waterfall!R8,0)</f>
        <v>0</v>
      </c>
      <c r="S7" s="30" t="n">
        <f aca="false">IFERROR(Collateral!S12/Waterfall!S8,0)</f>
        <v>0</v>
      </c>
      <c r="T7" s="30" t="n">
        <f aca="false">IFERROR(Collateral!T12/Waterfall!T8,0)</f>
        <v>0</v>
      </c>
      <c r="U7" s="30" t="n">
        <f aca="false">IFERROR(Collateral!U12/Waterfall!U8,0)</f>
        <v>0</v>
      </c>
      <c r="V7" s="30" t="n">
        <f aca="false">IFERROR(Collateral!V12/Waterfall!V8,0)</f>
        <v>0</v>
      </c>
      <c r="W7" s="30" t="n">
        <f aca="false">IFERROR(Collateral!W12/Waterfall!W8,0)</f>
        <v>0</v>
      </c>
      <c r="X7" s="30" t="n">
        <f aca="false">IFERROR(Collateral!X12/Waterfall!X8,0)</f>
        <v>0</v>
      </c>
      <c r="Y7" s="30" t="n">
        <f aca="false">IFERROR(Collateral!Y12/Waterfall!Y8,0)</f>
        <v>0</v>
      </c>
      <c r="Z7" s="30" t="n">
        <f aca="false">IFERROR(Collateral!Z12/Waterfall!Z8,0)</f>
        <v>0</v>
      </c>
    </row>
    <row r="8" customFormat="false" ht="15" hidden="false" customHeight="true" outlineLevel="0" collapsed="false">
      <c r="B8" s="1" t="s">
        <v>210</v>
      </c>
      <c r="C8" s="30" t="n">
        <f aca="false">Assumptions!$E$18</f>
        <v>1.5</v>
      </c>
      <c r="D8" s="30" t="n">
        <f aca="false">Assumptions!$E$18</f>
        <v>1.5</v>
      </c>
      <c r="E8" s="30" t="n">
        <f aca="false">Assumptions!$E$18</f>
        <v>1.5</v>
      </c>
      <c r="F8" s="30" t="n">
        <f aca="false">Assumptions!$E$18</f>
        <v>1.5</v>
      </c>
      <c r="G8" s="30" t="n">
        <f aca="false">Assumptions!$E$18</f>
        <v>1.5</v>
      </c>
      <c r="H8" s="30" t="n">
        <f aca="false">Assumptions!$E$18</f>
        <v>1.5</v>
      </c>
      <c r="I8" s="30" t="n">
        <f aca="false">Assumptions!$E$18</f>
        <v>1.5</v>
      </c>
      <c r="J8" s="30" t="n">
        <f aca="false">Assumptions!$E$18</f>
        <v>1.5</v>
      </c>
      <c r="K8" s="30" t="n">
        <f aca="false">Assumptions!$E$18</f>
        <v>1.5</v>
      </c>
      <c r="L8" s="30" t="n">
        <f aca="false">Assumptions!$E$18</f>
        <v>1.5</v>
      </c>
      <c r="M8" s="30" t="n">
        <f aca="false">Assumptions!$E$18</f>
        <v>1.5</v>
      </c>
      <c r="N8" s="30" t="n">
        <f aca="false">Assumptions!$E$18</f>
        <v>1.5</v>
      </c>
      <c r="O8" s="30" t="n">
        <f aca="false">Assumptions!$E$18</f>
        <v>1.5</v>
      </c>
      <c r="P8" s="30" t="n">
        <f aca="false">Assumptions!$E$18</f>
        <v>1.5</v>
      </c>
      <c r="Q8" s="30" t="n">
        <f aca="false">Assumptions!$E$18</f>
        <v>1.5</v>
      </c>
      <c r="R8" s="30" t="n">
        <f aca="false">Assumptions!$E$18</f>
        <v>1.5</v>
      </c>
      <c r="S8" s="30" t="n">
        <f aca="false">Assumptions!$E$18</f>
        <v>1.5</v>
      </c>
      <c r="T8" s="30" t="n">
        <f aca="false">Assumptions!$E$18</f>
        <v>1.5</v>
      </c>
      <c r="U8" s="30" t="n">
        <f aca="false">Assumptions!$E$18</f>
        <v>1.5</v>
      </c>
      <c r="V8" s="30" t="n">
        <f aca="false">Assumptions!$E$18</f>
        <v>1.5</v>
      </c>
      <c r="W8" s="30" t="n">
        <f aca="false">Assumptions!$E$18</f>
        <v>1.5</v>
      </c>
      <c r="X8" s="30" t="n">
        <f aca="false">Assumptions!$E$18</f>
        <v>1.5</v>
      </c>
      <c r="Y8" s="30" t="n">
        <f aca="false">Assumptions!$E$18</f>
        <v>1.5</v>
      </c>
      <c r="Z8" s="30" t="n">
        <f aca="false">Assumptions!$E$18</f>
        <v>1.5</v>
      </c>
    </row>
    <row r="9" customFormat="false" ht="15" hidden="false" customHeight="true" outlineLevel="0" collapsed="false">
      <c r="B9" s="1" t="s">
        <v>211</v>
      </c>
      <c r="C9" s="30" t="n">
        <f aca="false">IFERROR(MAX(0,Collateral!C12-Waterfall!C8)/Waterfall!C14,0)</f>
        <v>2.13068181818182</v>
      </c>
      <c r="D9" s="30" t="n">
        <f aca="false">IFERROR(MAX(0,Collateral!D12-Waterfall!D8)/Waterfall!D14,0)</f>
        <v>2.0636973968882</v>
      </c>
      <c r="E9" s="30" t="n">
        <f aca="false">IFERROR(MAX(0,Collateral!E12-Waterfall!E8)/Waterfall!E14,0)</f>
        <v>1.99849643571289</v>
      </c>
      <c r="F9" s="30" t="n">
        <f aca="false">IFERROR(MAX(0,Collateral!F12-Waterfall!F8)/Waterfall!F14,0)</f>
        <v>1.93504202735444</v>
      </c>
      <c r="G9" s="30" t="n">
        <f aca="false">IFERROR(MAX(0,Collateral!G12-Waterfall!G8)/Waterfall!G14,0)</f>
        <v>1.87524446828686</v>
      </c>
      <c r="H9" s="30" t="n">
        <f aca="false">IFERROR(MAX(0,Collateral!H12-Waterfall!H8)/Waterfall!H14,0)</f>
        <v>1.81701088389758</v>
      </c>
      <c r="I9" s="30" t="n">
        <f aca="false">IFERROR(MAX(0,Collateral!I12-Waterfall!I8)/Waterfall!I14,0)</f>
        <v>1.76030911782702</v>
      </c>
      <c r="J9" s="30" t="n">
        <f aca="false">IFERROR(MAX(0,Collateral!J12-Waterfall!J8)/Waterfall!J14,0)</f>
        <v>1.70510760875762</v>
      </c>
      <c r="K9" s="30" t="n">
        <f aca="false">IFERROR(MAX(0,Collateral!K12-Waterfall!K8)/Waterfall!K14,0)</f>
        <v>1.65137538003837</v>
      </c>
      <c r="L9" s="30" t="n">
        <f aca="false">IFERROR(MAX(0,Collateral!L12-Waterfall!L8)/Waterfall!L14,0)</f>
        <v>1.59908202948346</v>
      </c>
      <c r="M9" s="30" t="n">
        <f aca="false">IFERROR(MAX(0,Collateral!M12-Waterfall!M8)/Waterfall!M14,0)</f>
        <v>1.54819771934219</v>
      </c>
      <c r="N9" s="30" t="n">
        <f aca="false">IFERROR(MAX(0,Collateral!N12-Waterfall!N8)/Waterfall!N14,0)</f>
        <v>1.4986931664374</v>
      </c>
      <c r="O9" s="30" t="n">
        <f aca="false">IFERROR(MAX(0,Collateral!O12-Waterfall!O8)/Waterfall!O14,0)</f>
        <v>1.45053963246959</v>
      </c>
      <c r="P9" s="30" t="n">
        <f aca="false">IFERROR(MAX(0,Collateral!P12-Waterfall!P8)/Waterfall!P14,0)</f>
        <v>1.40370891448402</v>
      </c>
      <c r="Q9" s="30" t="n">
        <f aca="false">IFERROR(MAX(0,Collateral!Q12-Waterfall!Q8)/Waterfall!Q14,0)</f>
        <v>1.35817333549827</v>
      </c>
      <c r="R9" s="30" t="n">
        <f aca="false">IFERROR(MAX(0,Collateral!R12-Waterfall!R8)/Waterfall!R14,0)</f>
        <v>1.45751261952692</v>
      </c>
      <c r="S9" s="30" t="n">
        <f aca="false">IFERROR(MAX(0,Collateral!S12-Waterfall!S8)/Waterfall!S14,0)</f>
        <v>1.60686112289385</v>
      </c>
      <c r="T9" s="30" t="n">
        <f aca="false">IFERROR(MAX(0,Collateral!T12-Waterfall!T8)/Waterfall!T14,0)</f>
        <v>1.85152902142289</v>
      </c>
      <c r="U9" s="30" t="n">
        <f aca="false">IFERROR(MAX(0,Collateral!U12-Waterfall!U8)/Waterfall!U14,0)</f>
        <v>2.32476640250357</v>
      </c>
      <c r="V9" s="30" t="n">
        <f aca="false">IFERROR(MAX(0,Collateral!V12-Waterfall!V8)/Waterfall!V14,0)</f>
        <v>3.62486534867888</v>
      </c>
      <c r="W9" s="30" t="n">
        <f aca="false">IFERROR(MAX(0,Collateral!W12-Waterfall!W8)/Waterfall!W14,0)</f>
        <v>22.7266385823801</v>
      </c>
      <c r="X9" s="30" t="n">
        <f aca="false">IFERROR(MAX(0,Collateral!X12-Waterfall!X8)/Waterfall!X14,0)</f>
        <v>0</v>
      </c>
      <c r="Y9" s="30" t="n">
        <f aca="false">IFERROR(MAX(0,Collateral!Y12-Waterfall!Y8)/Waterfall!Y14,0)</f>
        <v>0</v>
      </c>
      <c r="Z9" s="30" t="n">
        <f aca="false">IFERROR(MAX(0,Collateral!Z12-Waterfall!Z8)/Waterfall!Z14,0)</f>
        <v>0</v>
      </c>
    </row>
    <row r="10" customFormat="false" ht="15" hidden="false" customHeight="true" outlineLevel="0" collapsed="false">
      <c r="B10" s="1" t="s">
        <v>212</v>
      </c>
      <c r="C10" s="30" t="n">
        <f aca="false">Assumptions!$E$19</f>
        <v>1.15</v>
      </c>
      <c r="D10" s="30" t="n">
        <f aca="false">Assumptions!$E$19</f>
        <v>1.15</v>
      </c>
      <c r="E10" s="30" t="n">
        <f aca="false">Assumptions!$E$19</f>
        <v>1.15</v>
      </c>
      <c r="F10" s="30" t="n">
        <f aca="false">Assumptions!$E$19</f>
        <v>1.15</v>
      </c>
      <c r="G10" s="30" t="n">
        <f aca="false">Assumptions!$E$19</f>
        <v>1.15</v>
      </c>
      <c r="H10" s="30" t="n">
        <f aca="false">Assumptions!$E$19</f>
        <v>1.15</v>
      </c>
      <c r="I10" s="30" t="n">
        <f aca="false">Assumptions!$E$19</f>
        <v>1.15</v>
      </c>
      <c r="J10" s="30" t="n">
        <f aca="false">Assumptions!$E$19</f>
        <v>1.15</v>
      </c>
      <c r="K10" s="30" t="n">
        <f aca="false">Assumptions!$E$19</f>
        <v>1.15</v>
      </c>
      <c r="L10" s="30" t="n">
        <f aca="false">Assumptions!$E$19</f>
        <v>1.15</v>
      </c>
      <c r="M10" s="30" t="n">
        <f aca="false">Assumptions!$E$19</f>
        <v>1.15</v>
      </c>
      <c r="N10" s="30" t="n">
        <f aca="false">Assumptions!$E$19</f>
        <v>1.15</v>
      </c>
      <c r="O10" s="30" t="n">
        <f aca="false">Assumptions!$E$19</f>
        <v>1.15</v>
      </c>
      <c r="P10" s="30" t="n">
        <f aca="false">Assumptions!$E$19</f>
        <v>1.15</v>
      </c>
      <c r="Q10" s="30" t="n">
        <f aca="false">Assumptions!$E$19</f>
        <v>1.15</v>
      </c>
      <c r="R10" s="30" t="n">
        <f aca="false">Assumptions!$E$19</f>
        <v>1.15</v>
      </c>
      <c r="S10" s="30" t="n">
        <f aca="false">Assumptions!$E$19</f>
        <v>1.15</v>
      </c>
      <c r="T10" s="30" t="n">
        <f aca="false">Assumptions!$E$19</f>
        <v>1.15</v>
      </c>
      <c r="U10" s="30" t="n">
        <f aca="false">Assumptions!$E$19</f>
        <v>1.15</v>
      </c>
      <c r="V10" s="30" t="n">
        <f aca="false">Assumptions!$E$19</f>
        <v>1.15</v>
      </c>
      <c r="W10" s="30" t="n">
        <f aca="false">Assumptions!$E$19</f>
        <v>1.15</v>
      </c>
      <c r="X10" s="30" t="n">
        <f aca="false">Assumptions!$E$19</f>
        <v>1.15</v>
      </c>
      <c r="Y10" s="30" t="n">
        <f aca="false">Assumptions!$E$19</f>
        <v>1.15</v>
      </c>
      <c r="Z10" s="30" t="n">
        <f aca="false">Assumptions!$E$19</f>
        <v>1.15</v>
      </c>
    </row>
    <row r="11" customFormat="false" ht="15" hidden="false" customHeight="true" outlineLevel="0" collapsed="false">
      <c r="B11" s="1" t="s">
        <v>213</v>
      </c>
      <c r="C11" s="1" t="str">
        <f aca="false">IF(AND(C5&gt;=C6,C7&gt;=C8,C9&gt;=C10),"PASS","TRIGGER")</f>
        <v>PASS</v>
      </c>
      <c r="D11" s="1" t="str">
        <f aca="false">IF(AND(D5&gt;=D6,D7&gt;=D8,D9&gt;=D10),"PASS","TRIGGER")</f>
        <v>PASS</v>
      </c>
      <c r="E11" s="1" t="str">
        <f aca="false">IF(AND(E5&gt;=E6,E7&gt;=E8,E9&gt;=E10),"PASS","TRIGGER")</f>
        <v>PASS</v>
      </c>
      <c r="F11" s="1" t="str">
        <f aca="false">IF(AND(F5&gt;=F6,F7&gt;=F8,F9&gt;=F10),"PASS","TRIGGER")</f>
        <v>PASS</v>
      </c>
      <c r="G11" s="1" t="str">
        <f aca="false">IF(AND(G5&gt;=G6,G7&gt;=G8,G9&gt;=G10),"PASS","TRIGGER")</f>
        <v>PASS</v>
      </c>
      <c r="H11" s="1" t="str">
        <f aca="false">IF(AND(H5&gt;=H6,H7&gt;=H8,H9&gt;=H10),"PASS","TRIGGER")</f>
        <v>PASS</v>
      </c>
      <c r="I11" s="1" t="str">
        <f aca="false">IF(AND(I5&gt;=I6,I7&gt;=I8,I9&gt;=I10),"PASS","TRIGGER")</f>
        <v>PASS</v>
      </c>
      <c r="J11" s="1" t="str">
        <f aca="false">IF(AND(J5&gt;=J6,J7&gt;=J8,J9&gt;=J10),"PASS","TRIGGER")</f>
        <v>PASS</v>
      </c>
      <c r="K11" s="1" t="str">
        <f aca="false">IF(AND(K5&gt;=K6,K7&gt;=K8,K9&gt;=K10),"PASS","TRIGGER")</f>
        <v>PASS</v>
      </c>
      <c r="L11" s="1" t="str">
        <f aca="false">IF(AND(L5&gt;=L6,L7&gt;=L8,L9&gt;=L10),"PASS","TRIGGER")</f>
        <v>PASS</v>
      </c>
      <c r="M11" s="1" t="str">
        <f aca="false">IF(AND(M5&gt;=M6,M7&gt;=M8,M9&gt;=M10),"PASS","TRIGGER")</f>
        <v>PASS</v>
      </c>
      <c r="N11" s="1" t="str">
        <f aca="false">IF(AND(N5&gt;=N6,N7&gt;=N8,N9&gt;=N10),"PASS","TRIGGER")</f>
        <v>PASS</v>
      </c>
      <c r="O11" s="1" t="str">
        <f aca="false">IF(AND(O5&gt;=O6,O7&gt;=O8,O9&gt;=O10),"PASS","TRIGGER")</f>
        <v>PASS</v>
      </c>
      <c r="P11" s="1" t="str">
        <f aca="false">IF(AND(P5&gt;=P6,P7&gt;=P8,P9&gt;=P10),"PASS","TRIGGER")</f>
        <v>PASS</v>
      </c>
      <c r="Q11" s="1" t="str">
        <f aca="false">IF(AND(Q5&gt;=Q6,Q7&gt;=Q8,Q9&gt;=Q10),"PASS","TRIGGER")</f>
        <v>PASS</v>
      </c>
      <c r="R11" s="1" t="str">
        <f aca="false">IF(AND(R5&gt;=R6,R7&gt;=R8,R9&gt;=R10),"PASS","TRIGGER")</f>
        <v>TRIGGER</v>
      </c>
      <c r="S11" s="1" t="str">
        <f aca="false">IF(AND(S5&gt;=S6,S7&gt;=S8,S9&gt;=S10),"PASS","TRIGGER")</f>
        <v>TRIGGER</v>
      </c>
      <c r="T11" s="1" t="str">
        <f aca="false">IF(AND(T5&gt;=T6,T7&gt;=T8,T9&gt;=T10),"PASS","TRIGGER")</f>
        <v>TRIGGER</v>
      </c>
      <c r="U11" s="1" t="str">
        <f aca="false">IF(AND(U5&gt;=U6,U7&gt;=U8,U9&gt;=U10),"PASS","TRIGGER")</f>
        <v>TRIGGER</v>
      </c>
      <c r="V11" s="1" t="str">
        <f aca="false">IF(AND(V5&gt;=V6,V7&gt;=V8,V9&gt;=V10),"PASS","TRIGGER")</f>
        <v>TRIGGER</v>
      </c>
      <c r="W11" s="1" t="str">
        <f aca="false">IF(AND(W5&gt;=W6,W7&gt;=W8,W9&gt;=W10),"PASS","TRIGGER")</f>
        <v>TRIGGER</v>
      </c>
      <c r="X11" s="1" t="str">
        <f aca="false">IF(AND(X5&gt;=X6,X7&gt;=X8,X9&gt;=X10),"PASS","TRIGGER")</f>
        <v>TRIGGER</v>
      </c>
      <c r="Y11" s="1" t="str">
        <f aca="false">IF(AND(Y5&gt;=Y6,Y7&gt;=Y8,Y9&gt;=Y10),"PASS","TRIGGER")</f>
        <v>TRIGGER</v>
      </c>
      <c r="Z11" s="1" t="str">
        <f aca="false">IF(AND(Z5&gt;=Z6,Z7&gt;=Z8,Z9&gt;=Z10),"PASS","TRIGGER")</f>
        <v>TRIGGER</v>
      </c>
    </row>
  </sheetData>
  <mergeCells count="1">
    <mergeCell ref="B2:Z2"/>
  </mergeCells>
  <conditionalFormatting sqref="C11:Z11">
    <cfRule type="expression" priority="2" aboveAverage="0" equalAverage="0" bottom="0" percent="0" rank="0" text="" dxfId="0">
      <formula>C11="PASS"</formula>
    </cfRule>
    <cfRule type="expression" priority="3" aboveAverage="0" equalAverage="0" bottom="0" percent="0" rank="0" text="" dxfId="1">
      <formula>C11="FAIL"</formula>
    </cfRule>
    <cfRule type="expression" priority="4" aboveAverage="0" equalAverage="0" bottom="0" percent="0" rank="0" text="" dxfId="2">
      <formula>C11="REVIEW"</formula>
    </cfRule>
    <cfRule type="expression" priority="5" aboveAverage="0" equalAverage="0" bottom="0" percent="0" rank="0" text="" dxfId="1">
      <formula>C11="BREACH"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5" min="3" style="1" width="18"/>
    <col collapsed="false" customWidth="true" hidden="false" outlineLevel="0" max="6" min="6" style="1" width="38"/>
  </cols>
  <sheetData>
    <row r="2" customFormat="false" ht="27.75" hidden="false" customHeight="true" outlineLevel="0" collapsed="false">
      <c r="B2" s="2" t="s">
        <v>214</v>
      </c>
      <c r="C2" s="2"/>
      <c r="D2" s="2"/>
      <c r="E2" s="2"/>
      <c r="F2" s="2"/>
    </row>
    <row r="4" customFormat="false" ht="15" hidden="false" customHeight="true" outlineLevel="0" collapsed="false">
      <c r="B4" s="16" t="s">
        <v>207</v>
      </c>
      <c r="C4" s="16" t="s">
        <v>215</v>
      </c>
      <c r="D4" s="16" t="s">
        <v>216</v>
      </c>
      <c r="E4" s="16" t="s">
        <v>217</v>
      </c>
      <c r="F4" s="16" t="s">
        <v>218</v>
      </c>
    </row>
    <row r="5" customFormat="false" ht="15" hidden="false" customHeight="true" outlineLevel="0" collapsed="false">
      <c r="B5" s="1" t="s">
        <v>219</v>
      </c>
      <c r="C5" s="26" t="n">
        <f aca="false">Assumptions!E12</f>
        <v>650</v>
      </c>
      <c r="D5" s="26" t="n">
        <f aca="false">Assumptions!E14</f>
        <v>220</v>
      </c>
      <c r="E5" s="26" t="n">
        <f aca="false">Assumptions!E5-Assumptions!E12-Assumptions!E14</f>
        <v>130</v>
      </c>
      <c r="F5" s="1" t="s">
        <v>220</v>
      </c>
    </row>
    <row r="6" customFormat="false" ht="15" hidden="false" customHeight="true" outlineLevel="0" collapsed="false">
      <c r="B6" s="1" t="s">
        <v>221</v>
      </c>
      <c r="C6" s="26" t="n">
        <f aca="false">Waterfall!Z12</f>
        <v>0</v>
      </c>
      <c r="D6" s="26" t="n">
        <f aca="false">Waterfall!Z18</f>
        <v>0</v>
      </c>
      <c r="E6" s="26" t="n">
        <f aca="false">0</f>
        <v>0</v>
      </c>
      <c r="F6" s="1" t="s">
        <v>222</v>
      </c>
    </row>
    <row r="7" customFormat="false" ht="15" hidden="false" customHeight="true" outlineLevel="0" collapsed="false">
      <c r="B7" s="1" t="s">
        <v>223</v>
      </c>
      <c r="C7" s="26" t="n">
        <f aca="false">SUM(Waterfall!C11:Z11)</f>
        <v>650</v>
      </c>
      <c r="D7" s="26" t="n">
        <f aca="false">SUM(Waterfall!C17:Z17)</f>
        <v>220</v>
      </c>
      <c r="E7" s="26" t="n">
        <f aca="false">0</f>
        <v>0</v>
      </c>
      <c r="F7" s="1" t="s">
        <v>224</v>
      </c>
    </row>
    <row r="8" customFormat="false" ht="15" hidden="false" customHeight="true" outlineLevel="0" collapsed="false">
      <c r="B8" s="1" t="s">
        <v>225</v>
      </c>
      <c r="C8" s="26" t="n">
        <f aca="false">SUM(Waterfall!C9:Z9)</f>
        <v>19.2764885249487</v>
      </c>
      <c r="D8" s="26" t="n">
        <f aca="false">SUM(Waterfall!C15:Z15)</f>
        <v>25.6753872837142</v>
      </c>
      <c r="E8" s="26" t="n">
        <f aca="false">SUM(Waterfall!C19:Z19)</f>
        <v>148.89487160275</v>
      </c>
      <c r="F8" s="1" t="s">
        <v>226</v>
      </c>
    </row>
    <row r="9" customFormat="false" ht="15" hidden="false" customHeight="true" outlineLevel="0" collapsed="false">
      <c r="B9" s="1" t="s">
        <v>227</v>
      </c>
      <c r="C9" s="30" t="n">
        <f aca="false">SUMPRODUCT(COLUMN(Waterfall!C11:Z11)-COLUMN(Waterfall!B11),Waterfall!C11:Z11)/Assumptions!E20/SUM(Waterfall!C11:Z11)</f>
        <v>0.593122723844574</v>
      </c>
      <c r="D9" s="30" t="n">
        <f aca="false">SUMPRODUCT(COLUMN(Waterfall!C17:Z17)-COLUMN(Waterfall!B17),Waterfall!C17:Z17)/Assumptions!E20/SUM(Waterfall!C17:Z17)</f>
        <v>1.45882882293831</v>
      </c>
      <c r="E9" s="30" t="n">
        <f aca="false">0</f>
        <v>0</v>
      </c>
      <c r="F9" s="1" t="s">
        <v>228</v>
      </c>
    </row>
    <row r="10" customFormat="false" ht="15" hidden="false" customHeight="true" outlineLevel="0" collapsed="false">
      <c r="B10" s="1" t="s">
        <v>229</v>
      </c>
      <c r="C10" s="26" t="n">
        <f aca="false">SUM(Waterfall!C10:Z10)</f>
        <v>0</v>
      </c>
      <c r="D10" s="26" t="n">
        <f aca="false">SUM(Waterfall!C16:Z16)</f>
        <v>0</v>
      </c>
      <c r="E10" s="26" t="n">
        <f aca="false">0</f>
        <v>0</v>
      </c>
      <c r="F10" s="1" t="s">
        <v>230</v>
      </c>
    </row>
    <row r="11" customFormat="false" ht="15" hidden="false" customHeight="true" outlineLevel="0" collapsed="false">
      <c r="B11" s="1" t="s">
        <v>231</v>
      </c>
      <c r="C11" s="26" t="n">
        <f aca="false">Waterfall!Z12</f>
        <v>0</v>
      </c>
      <c r="D11" s="26" t="n">
        <f aca="false">Waterfall!Z18</f>
        <v>0</v>
      </c>
      <c r="E11" s="26" t="n">
        <f aca="false">MAX(0,Collateral!Z14-Waterfall!Z12-Waterfall!Z18)</f>
        <v>0</v>
      </c>
      <c r="F11" s="1" t="s">
        <v>232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233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234</v>
      </c>
      <c r="C4" s="31" t="n">
        <v>0</v>
      </c>
      <c r="D4" s="31" t="n">
        <v>0.06</v>
      </c>
      <c r="E4" s="31" t="n">
        <v>0.12</v>
      </c>
      <c r="F4" s="31" t="n">
        <v>0.18</v>
      </c>
      <c r="G4" s="31" t="n">
        <v>0.24</v>
      </c>
    </row>
    <row r="5" customFormat="false" ht="15" hidden="false" customHeight="true" outlineLevel="0" collapsed="false">
      <c r="B5" s="32" t="n">
        <v>0</v>
      </c>
      <c r="C5" s="26" t="n">
        <f aca="false">MAX(0,Assumptions!$E$12-Assumptions!$E$5*(1-(1-$B5)^(2))*(1-Assumptions!$E$9)-Assumptions!$E$5*(1-(1-C$4)^2))</f>
        <v>650</v>
      </c>
      <c r="D5" s="26" t="n">
        <f aca="false">MAX(0,Assumptions!$E$12-Assumptions!$E$5*(1-(1-$B5)^(2))*(1-Assumptions!$E$9)-Assumptions!$E$5*(1-(1-D$4)^2))</f>
        <v>533.6</v>
      </c>
      <c r="E5" s="26" t="n">
        <f aca="false">MAX(0,Assumptions!$E$12-Assumptions!$E$5*(1-(1-$B5)^(2))*(1-Assumptions!$E$9)-Assumptions!$E$5*(1-(1-E$4)^2))</f>
        <v>424.4</v>
      </c>
      <c r="F5" s="26" t="n">
        <f aca="false">MAX(0,Assumptions!$E$12-Assumptions!$E$5*(1-(1-$B5)^(2))*(1-Assumptions!$E$9)-Assumptions!$E$5*(1-(1-F$4)^2))</f>
        <v>322.4</v>
      </c>
      <c r="G5" s="26" t="n">
        <f aca="false">MAX(0,Assumptions!$E$12-Assumptions!$E$5*(1-(1-$B5)^(2))*(1-Assumptions!$E$9)-Assumptions!$E$5*(1-(1-G$4)^2))</f>
        <v>227.6</v>
      </c>
    </row>
    <row r="6" customFormat="false" ht="15" hidden="false" customHeight="true" outlineLevel="0" collapsed="false">
      <c r="B6" s="32" t="n">
        <v>0.03</v>
      </c>
      <c r="C6" s="26" t="n">
        <f aca="false">MAX(0,Assumptions!$E$12-Assumptions!$E$5*(1-(1-$B6)^(2))*(1-Assumptions!$E$9)-Assumptions!$E$5*(1-(1-C$4)^2))</f>
        <v>617.495</v>
      </c>
      <c r="D6" s="26" t="n">
        <f aca="false">MAX(0,Assumptions!$E$12-Assumptions!$E$5*(1-(1-$B6)^(2))*(1-Assumptions!$E$9)-Assumptions!$E$5*(1-(1-D$4)^2))</f>
        <v>501.095</v>
      </c>
      <c r="E6" s="26" t="n">
        <f aca="false">MAX(0,Assumptions!$E$12-Assumptions!$E$5*(1-(1-$B6)^(2))*(1-Assumptions!$E$9)-Assumptions!$E$5*(1-(1-E$4)^2))</f>
        <v>391.895</v>
      </c>
      <c r="F6" s="26" t="n">
        <f aca="false">MAX(0,Assumptions!$E$12-Assumptions!$E$5*(1-(1-$B6)^(2))*(1-Assumptions!$E$9)-Assumptions!$E$5*(1-(1-F$4)^2))</f>
        <v>289.895</v>
      </c>
      <c r="G6" s="26" t="n">
        <f aca="false">MAX(0,Assumptions!$E$12-Assumptions!$E$5*(1-(1-$B6)^(2))*(1-Assumptions!$E$9)-Assumptions!$E$5*(1-(1-G$4)^2))</f>
        <v>195.095</v>
      </c>
    </row>
    <row r="7" customFormat="false" ht="15" hidden="false" customHeight="true" outlineLevel="0" collapsed="false">
      <c r="B7" s="32" t="n">
        <v>0.06</v>
      </c>
      <c r="C7" s="26" t="n">
        <f aca="false">MAX(0,Assumptions!$E$12-Assumptions!$E$5*(1-(1-$B7)^(2))*(1-Assumptions!$E$9)-Assumptions!$E$5*(1-(1-C$4)^2))</f>
        <v>585.98</v>
      </c>
      <c r="D7" s="26" t="n">
        <f aca="false">MAX(0,Assumptions!$E$12-Assumptions!$E$5*(1-(1-$B7)^(2))*(1-Assumptions!$E$9)-Assumptions!$E$5*(1-(1-D$4)^2))</f>
        <v>469.58</v>
      </c>
      <c r="E7" s="26" t="n">
        <f aca="false">MAX(0,Assumptions!$E$12-Assumptions!$E$5*(1-(1-$B7)^(2))*(1-Assumptions!$E$9)-Assumptions!$E$5*(1-(1-E$4)^2))</f>
        <v>360.38</v>
      </c>
      <c r="F7" s="26" t="n">
        <f aca="false">MAX(0,Assumptions!$E$12-Assumptions!$E$5*(1-(1-$B7)^(2))*(1-Assumptions!$E$9)-Assumptions!$E$5*(1-(1-F$4)^2))</f>
        <v>258.38</v>
      </c>
      <c r="G7" s="26" t="n">
        <f aca="false">MAX(0,Assumptions!$E$12-Assumptions!$E$5*(1-(1-$B7)^(2))*(1-Assumptions!$E$9)-Assumptions!$E$5*(1-(1-G$4)^2))</f>
        <v>163.58</v>
      </c>
    </row>
    <row r="8" customFormat="false" ht="15" hidden="false" customHeight="true" outlineLevel="0" collapsed="false">
      <c r="B8" s="32" t="n">
        <v>0.09</v>
      </c>
      <c r="C8" s="26" t="n">
        <f aca="false">MAX(0,Assumptions!$E$12-Assumptions!$E$5*(1-(1-$B8)^(2))*(1-Assumptions!$E$9)-Assumptions!$E$5*(1-(1-C$4)^2))</f>
        <v>555.455</v>
      </c>
      <c r="D8" s="26" t="n">
        <f aca="false">MAX(0,Assumptions!$E$12-Assumptions!$E$5*(1-(1-$B8)^(2))*(1-Assumptions!$E$9)-Assumptions!$E$5*(1-(1-D$4)^2))</f>
        <v>439.055</v>
      </c>
      <c r="E8" s="26" t="n">
        <f aca="false">MAX(0,Assumptions!$E$12-Assumptions!$E$5*(1-(1-$B8)^(2))*(1-Assumptions!$E$9)-Assumptions!$E$5*(1-(1-E$4)^2))</f>
        <v>329.855</v>
      </c>
      <c r="F8" s="26" t="n">
        <f aca="false">MAX(0,Assumptions!$E$12-Assumptions!$E$5*(1-(1-$B8)^(2))*(1-Assumptions!$E$9)-Assumptions!$E$5*(1-(1-F$4)^2))</f>
        <v>227.855</v>
      </c>
      <c r="G8" s="26" t="n">
        <f aca="false">MAX(0,Assumptions!$E$12-Assumptions!$E$5*(1-(1-$B8)^(2))*(1-Assumptions!$E$9)-Assumptions!$E$5*(1-(1-G$4)^2))</f>
        <v>133.055</v>
      </c>
    </row>
    <row r="9" customFormat="false" ht="15" hidden="false" customHeight="true" outlineLevel="0" collapsed="false">
      <c r="B9" s="32" t="n">
        <v>0.12</v>
      </c>
      <c r="C9" s="26" t="n">
        <f aca="false">MAX(0,Assumptions!$E$12-Assumptions!$E$5*(1-(1-$B9)^(2))*(1-Assumptions!$E$9)-Assumptions!$E$5*(1-(1-C$4)^2))</f>
        <v>525.92</v>
      </c>
      <c r="D9" s="26" t="n">
        <f aca="false">MAX(0,Assumptions!$E$12-Assumptions!$E$5*(1-(1-$B9)^(2))*(1-Assumptions!$E$9)-Assumptions!$E$5*(1-(1-D$4)^2))</f>
        <v>409.52</v>
      </c>
      <c r="E9" s="26" t="n">
        <f aca="false">MAX(0,Assumptions!$E$12-Assumptions!$E$5*(1-(1-$B9)^(2))*(1-Assumptions!$E$9)-Assumptions!$E$5*(1-(1-E$4)^2))</f>
        <v>300.32</v>
      </c>
      <c r="F9" s="26" t="n">
        <f aca="false">MAX(0,Assumptions!$E$12-Assumptions!$E$5*(1-(1-$B9)^(2))*(1-Assumptions!$E$9)-Assumptions!$E$5*(1-(1-F$4)^2))</f>
        <v>198.32</v>
      </c>
      <c r="G9" s="26" t="n">
        <f aca="false">MAX(0,Assumptions!$E$12-Assumptions!$E$5*(1-(1-$B9)^(2))*(1-Assumptions!$E$9)-Assumptions!$E$5*(1-(1-G$4)^2))</f>
        <v>103.52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8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235</v>
      </c>
      <c r="C2" s="2"/>
    </row>
    <row r="4" customFormat="false" ht="15" hidden="false" customHeight="true" outlineLevel="0" collapsed="false">
      <c r="B4" s="16" t="s">
        <v>236</v>
      </c>
      <c r="C4" s="16" t="s">
        <v>44</v>
      </c>
    </row>
    <row r="5" customFormat="false" ht="15" hidden="false" customHeight="true" outlineLevel="0" collapsed="false">
      <c r="B5" s="1" t="s">
        <v>237</v>
      </c>
      <c r="C5" s="1" t="str">
        <f aca="false">IF(MIN(Collateral!C14:Z14)&gt;=0,"PASS","FAIL")</f>
        <v>PASS</v>
      </c>
    </row>
    <row r="6" customFormat="false" ht="15" hidden="false" customHeight="true" outlineLevel="0" collapsed="false">
      <c r="B6" s="1" t="s">
        <v>238</v>
      </c>
      <c r="C6" s="1" t="str">
        <f aca="false">IF(MIN(Waterfall!C12:Z12)&gt;=0,"PASS","FAIL")</f>
        <v>PASS</v>
      </c>
    </row>
    <row r="7" customFormat="false" ht="15" hidden="false" customHeight="true" outlineLevel="0" collapsed="false">
      <c r="B7" s="1" t="s">
        <v>239</v>
      </c>
      <c r="C7" s="1" t="str">
        <f aca="false">IF(MIN(Waterfall!C18:Z18)&gt;=0,"PASS","FAIL")</f>
        <v>PASS</v>
      </c>
    </row>
    <row r="8" customFormat="false" ht="15" hidden="false" customHeight="true" outlineLevel="0" collapsed="false">
      <c r="B8" s="1" t="s">
        <v>240</v>
      </c>
      <c r="C8" s="1" t="str">
        <f aca="false">IF(MAX(ABS(Collateral!C5:Z5-Collateral!C6:Z6-Collateral!C7:Z7-Collateral!C9:Z9-Collateral!C14:Z14))&lt;0.000001,"PASS","FAIL")</f>
        <v>PASS</v>
      </c>
    </row>
    <row r="9" customFormat="false" ht="15" hidden="false" customHeight="true" outlineLevel="0" collapsed="false">
      <c r="B9" s="1" t="s">
        <v>241</v>
      </c>
      <c r="C9" s="1" t="str">
        <f aca="false">IF(MAX(ABS(Collateral!C12:Z12+Collateral!C8:Z8-Waterfall!C9:Z9-Waterfall!C15:Z15-(Waterfall!C19:Z19-MAX(0,Waterfall!C6:Z6-Waterfall!C11:Z11-Waterfall!C17:Z17))))&lt;0.000001,"PASS","REVIEW")</f>
        <v>PASS</v>
      </c>
    </row>
    <row r="10" customFormat="false" ht="15" hidden="false" customHeight="true" outlineLevel="0" collapsed="false">
      <c r="B10" s="1" t="s">
        <v>242</v>
      </c>
      <c r="C10" s="1" t="str">
        <f aca="false">IF(COUNTIF(Triggers!C11:Z11,"TRIGGER")=0,"PASS","REVIEW")</f>
        <v>REVIEW</v>
      </c>
    </row>
    <row r="11" customFormat="false" ht="15" hidden="false" customHeight="true" outlineLevel="0" collapsed="false">
      <c r="B11" s="1" t="s">
        <v>243</v>
      </c>
      <c r="C11" s="1" t="str">
        <f aca="false">IF(AND(MIN('Loss Curves'!C7:Z9)&gt;=0,MAX('Loss Curves'!C7:Z9)&lt;=1),"PASS","FAIL")</f>
        <v>PASS</v>
      </c>
    </row>
    <row r="12" customFormat="false" ht="15" hidden="false" customHeight="true" outlineLevel="0" collapsed="false">
      <c r="B12" s="1" t="s">
        <v>244</v>
      </c>
      <c r="C12" s="1" t="str">
        <f aca="false">IF(COUNTIF(C5:C11,"FAIL")=0,"PASS","FAIL")</f>
        <v>PASS</v>
      </c>
    </row>
  </sheetData>
  <mergeCells count="1">
    <mergeCell ref="B2:C2"/>
  </mergeCells>
  <conditionalFormatting sqref="C5:C12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245</v>
      </c>
      <c r="C2" s="2"/>
      <c r="D2" s="2"/>
      <c r="E2" s="2"/>
    </row>
    <row r="4" customFormat="false" ht="15" hidden="false" customHeight="true" outlineLevel="0" collapsed="false">
      <c r="B4" s="16" t="s">
        <v>246</v>
      </c>
      <c r="C4" s="16" t="s">
        <v>247</v>
      </c>
      <c r="D4" s="16" t="s">
        <v>107</v>
      </c>
      <c r="E4" s="16" t="s">
        <v>248</v>
      </c>
    </row>
    <row r="5" customFormat="false" ht="15" hidden="false" customHeight="true" outlineLevel="0" collapsed="false">
      <c r="B5" s="33" t="s">
        <v>249</v>
      </c>
      <c r="C5" s="33" t="s">
        <v>250</v>
      </c>
      <c r="D5" s="33" t="s">
        <v>8</v>
      </c>
      <c r="E5" s="33" t="s">
        <v>251</v>
      </c>
    </row>
    <row r="6" customFormat="false" ht="15" hidden="false" customHeight="true" outlineLevel="0" collapsed="false">
      <c r="B6" s="33" t="s">
        <v>252</v>
      </c>
      <c r="C6" s="33" t="s">
        <v>253</v>
      </c>
      <c r="D6" s="33" t="s">
        <v>254</v>
      </c>
      <c r="E6" s="33" t="s">
        <v>255</v>
      </c>
    </row>
    <row r="7" customFormat="false" ht="15" hidden="false" customHeight="true" outlineLevel="0" collapsed="false">
      <c r="B7" s="33" t="s">
        <v>256</v>
      </c>
      <c r="C7" s="33" t="s">
        <v>257</v>
      </c>
      <c r="D7" s="33" t="s">
        <v>258</v>
      </c>
      <c r="E7" s="33" t="s">
        <v>259</v>
      </c>
    </row>
    <row r="8" customFormat="false" ht="15" hidden="false" customHeight="true" outlineLevel="0" collapsed="false">
      <c r="B8" s="33" t="s">
        <v>260</v>
      </c>
      <c r="C8" s="33" t="s">
        <v>261</v>
      </c>
      <c r="D8" s="33" t="s">
        <v>8</v>
      </c>
      <c r="E8" s="33" t="s">
        <v>262</v>
      </c>
    </row>
    <row r="9" customFormat="false" ht="15" hidden="false" customHeight="true" outlineLevel="0" collapsed="false">
      <c r="B9" s="33" t="s">
        <v>263</v>
      </c>
      <c r="C9" s="33" t="s">
        <v>264</v>
      </c>
      <c r="D9" s="33" t="s">
        <v>8</v>
      </c>
      <c r="E9" s="33" t="s">
        <v>265</v>
      </c>
    </row>
    <row r="10" customFormat="false" ht="15" hidden="false" customHeight="false" outlineLevel="0" collapsed="false">
      <c r="B10" s="34" t="s">
        <v>266</v>
      </c>
      <c r="C10" s="34" t="s">
        <v>267</v>
      </c>
      <c r="D10" s="34" t="s">
        <v>6</v>
      </c>
      <c r="E10" s="34" t="s">
        <v>268</v>
      </c>
    </row>
    <row r="11" customFormat="false" ht="15" hidden="false" customHeight="false" outlineLevel="0" collapsed="false">
      <c r="B11" s="34" t="s">
        <v>269</v>
      </c>
      <c r="C11" s="34" t="s">
        <v>270</v>
      </c>
      <c r="D11" s="34" t="s">
        <v>6</v>
      </c>
      <c r="E11" s="34" t="s">
        <v>271</v>
      </c>
    </row>
    <row r="12" customFormat="false" ht="15" hidden="false" customHeight="false" outlineLevel="0" collapsed="false">
      <c r="B12" s="34" t="s">
        <v>272</v>
      </c>
      <c r="C12" s="34" t="s">
        <v>270</v>
      </c>
      <c r="D12" s="34" t="s">
        <v>6</v>
      </c>
      <c r="E12" s="34" t="s">
        <v>273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274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95</v>
      </c>
      <c r="C4" s="16" t="s">
        <v>275</v>
      </c>
      <c r="D4" s="16" t="s">
        <v>276</v>
      </c>
      <c r="E4" s="16" t="s">
        <v>277</v>
      </c>
      <c r="F4" s="16" t="s">
        <v>278</v>
      </c>
      <c r="G4" s="16" t="s">
        <v>279</v>
      </c>
    </row>
    <row r="5" customFormat="false" ht="15" hidden="false" customHeight="true" outlineLevel="0" collapsed="false">
      <c r="B5" s="35" t="s">
        <v>280</v>
      </c>
      <c r="C5" s="35" t="s">
        <v>281</v>
      </c>
      <c r="D5" s="35" t="s">
        <v>270</v>
      </c>
      <c r="E5" s="35" t="s">
        <v>282</v>
      </c>
      <c r="F5" s="35" t="s">
        <v>283</v>
      </c>
      <c r="G5" s="35" t="s">
        <v>284</v>
      </c>
    </row>
    <row r="6" customFormat="false" ht="15" hidden="false" customHeight="true" outlineLevel="0" collapsed="false">
      <c r="B6" s="35"/>
      <c r="C6" s="35"/>
      <c r="D6" s="35"/>
      <c r="E6" s="35"/>
      <c r="F6" s="35"/>
      <c r="G6" s="35"/>
    </row>
    <row r="7" customFormat="false" ht="15" hidden="false" customHeight="true" outlineLevel="0" collapsed="false">
      <c r="B7" s="35"/>
      <c r="C7" s="35"/>
      <c r="D7" s="35"/>
      <c r="E7" s="35"/>
      <c r="F7" s="35"/>
      <c r="G7" s="35"/>
    </row>
    <row r="8" customFormat="false" ht="15" hidden="false" customHeight="true" outlineLevel="0" collapsed="false">
      <c r="B8" s="35"/>
      <c r="C8" s="35"/>
      <c r="D8" s="35"/>
      <c r="E8" s="35"/>
      <c r="F8" s="35"/>
      <c r="G8" s="35"/>
    </row>
    <row r="9" customFormat="false" ht="15" hidden="false" customHeight="true" outlineLevel="0" collapsed="false">
      <c r="B9" s="35"/>
      <c r="C9" s="35"/>
      <c r="D9" s="35"/>
      <c r="E9" s="35"/>
      <c r="F9" s="35"/>
      <c r="G9" s="35"/>
    </row>
    <row r="10" customFormat="false" ht="15" hidden="false" customHeight="true" outlineLevel="0" collapsed="false">
      <c r="B10" s="35"/>
      <c r="C10" s="35"/>
      <c r="D10" s="35"/>
      <c r="E10" s="35"/>
      <c r="F10" s="35"/>
      <c r="G10" s="35"/>
    </row>
    <row r="11" customFormat="false" ht="15" hidden="false" customHeight="true" outlineLevel="0" collapsed="false">
      <c r="B11" s="35"/>
      <c r="C11" s="35"/>
      <c r="D11" s="35"/>
      <c r="E11" s="35"/>
      <c r="F11" s="35"/>
      <c r="G11" s="35"/>
    </row>
    <row r="12" customFormat="false" ht="15" hidden="false" customHeight="true" outlineLevel="0" collapsed="false">
      <c r="B12" s="35"/>
      <c r="C12" s="35"/>
      <c r="D12" s="35"/>
      <c r="E12" s="35"/>
      <c r="F12" s="35"/>
      <c r="G12" s="35"/>
    </row>
    <row r="13" customFormat="false" ht="15" hidden="false" customHeight="true" outlineLevel="0" collapsed="false">
      <c r="B13" s="35"/>
      <c r="C13" s="35"/>
      <c r="D13" s="35"/>
      <c r="E13" s="35"/>
      <c r="F13" s="35"/>
      <c r="G13" s="35"/>
    </row>
    <row r="14" customFormat="false" ht="15" hidden="false" customHeight="true" outlineLevel="0" collapsed="false">
      <c r="B14" s="35"/>
      <c r="C14" s="35"/>
      <c r="D14" s="35"/>
      <c r="E14" s="35"/>
      <c r="F14" s="35"/>
      <c r="G14" s="35"/>
    </row>
    <row r="15" customFormat="false" ht="15" hidden="false" customHeight="true" outlineLevel="0" collapsed="false">
      <c r="B15" s="35"/>
      <c r="C15" s="35"/>
      <c r="D15" s="35"/>
      <c r="E15" s="35"/>
      <c r="F15" s="35"/>
      <c r="G15" s="35"/>
    </row>
    <row r="16" customFormat="false" ht="15" hidden="false" customHeight="true" outlineLevel="0" collapsed="false">
      <c r="B16" s="35"/>
      <c r="C16" s="35"/>
      <c r="D16" s="35"/>
      <c r="E16" s="35"/>
      <c r="F16" s="35"/>
      <c r="G16" s="35"/>
    </row>
    <row r="17" customFormat="false" ht="15" hidden="false" customHeight="true" outlineLevel="0" collapsed="false">
      <c r="B17" s="35"/>
      <c r="C17" s="35"/>
      <c r="D17" s="35"/>
      <c r="E17" s="35"/>
      <c r="F17" s="35"/>
      <c r="G17" s="35"/>
    </row>
    <row r="18" customFormat="false" ht="15" hidden="false" customHeight="true" outlineLevel="0" collapsed="false">
      <c r="B18" s="35"/>
      <c r="C18" s="35"/>
      <c r="D18" s="35"/>
      <c r="E18" s="35"/>
      <c r="F18" s="35"/>
      <c r="G18" s="35"/>
    </row>
    <row r="19" customFormat="false" ht="15" hidden="false" customHeight="true" outlineLevel="0" collapsed="false">
      <c r="B19" s="35"/>
      <c r="C19" s="35"/>
      <c r="D19" s="35"/>
      <c r="E19" s="35"/>
      <c r="F19" s="35"/>
      <c r="G19" s="35"/>
    </row>
    <row r="20" customFormat="false" ht="15" hidden="false" customHeight="true" outlineLevel="0" collapsed="false">
      <c r="B20" s="35"/>
      <c r="C20" s="35"/>
      <c r="D20" s="35"/>
      <c r="E20" s="35"/>
      <c r="F20" s="35"/>
      <c r="G20" s="35"/>
    </row>
    <row r="21" customFormat="false" ht="15" hidden="false" customHeight="true" outlineLevel="0" collapsed="false">
      <c r="B21" s="35"/>
      <c r="C21" s="35"/>
      <c r="D21" s="35"/>
      <c r="E21" s="35"/>
      <c r="F21" s="35"/>
      <c r="G21" s="35"/>
    </row>
    <row r="22" customFormat="false" ht="15" hidden="false" customHeight="true" outlineLevel="0" collapsed="false">
      <c r="B22" s="35"/>
      <c r="C22" s="35"/>
      <c r="D22" s="35"/>
      <c r="E22" s="35"/>
      <c r="F22" s="35"/>
      <c r="G22" s="35"/>
    </row>
    <row r="23" customFormat="false" ht="15" hidden="false" customHeight="true" outlineLevel="0" collapsed="false">
      <c r="B23" s="35"/>
      <c r="C23" s="35"/>
      <c r="D23" s="35"/>
      <c r="E23" s="35"/>
      <c r="F23" s="35"/>
      <c r="G23" s="35"/>
    </row>
    <row r="24" customFormat="false" ht="15" hidden="false" customHeight="true" outlineLevel="0" collapsed="false">
      <c r="B24" s="35"/>
      <c r="C24" s="35"/>
      <c r="D24" s="35"/>
      <c r="E24" s="35"/>
      <c r="F24" s="35"/>
      <c r="G24" s="35"/>
    </row>
    <row r="25" customFormat="false" ht="15" hidden="false" customHeight="true" outlineLevel="0" collapsed="false">
      <c r="B25" s="35"/>
      <c r="C25" s="35"/>
      <c r="D25" s="35"/>
      <c r="E25" s="35"/>
      <c r="F25" s="35"/>
      <c r="G25" s="35"/>
    </row>
    <row r="26" customFormat="false" ht="15" hidden="false" customHeight="true" outlineLevel="0" collapsed="false">
      <c r="B26" s="35"/>
      <c r="C26" s="35"/>
      <c r="D26" s="35"/>
      <c r="E26" s="35"/>
      <c r="F26" s="35"/>
      <c r="G26" s="35"/>
    </row>
    <row r="27" customFormat="false" ht="15" hidden="false" customHeight="true" outlineLevel="0" collapsed="false">
      <c r="B27" s="35"/>
      <c r="C27" s="35"/>
      <c r="D27" s="35"/>
      <c r="E27" s="35"/>
      <c r="F27" s="35"/>
      <c r="G27" s="35"/>
    </row>
    <row r="28" customFormat="false" ht="15" hidden="false" customHeight="true" outlineLevel="0" collapsed="false">
      <c r="B28" s="35"/>
      <c r="C28" s="35"/>
      <c r="D28" s="35"/>
      <c r="E28" s="35"/>
      <c r="F28" s="35"/>
      <c r="G28" s="35"/>
    </row>
    <row r="29" customFormat="false" ht="15" hidden="false" customHeight="true" outlineLevel="0" collapsed="false">
      <c r="B29" s="35"/>
      <c r="C29" s="35"/>
      <c r="D29" s="35"/>
      <c r="E29" s="35"/>
      <c r="F29" s="35"/>
      <c r="G29" s="35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2026-08-04T18:30:40Z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