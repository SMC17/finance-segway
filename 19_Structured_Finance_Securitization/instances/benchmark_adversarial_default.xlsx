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ollateral" sheetId="6" state="visible" r:id="rId8"/>
    <sheet name="Loss Curves" sheetId="7" state="visible" r:id="rId9"/>
    <sheet name="Waterfall" sheetId="8" state="visible" r:id="rId10"/>
    <sheet name="Triggers" sheetId="9" state="visible" r:id="rId11"/>
    <sheet name="Tranche Analytics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<sst xmlns="http://schemas.openxmlformats.org/spreadsheetml/2006/main" count="450" uniqueCount="279">
  <si>
    <t xml:space="preserve">[TRANSACTION] — Structured Credit Model</t>
  </si>
  <si>
    <t xml:space="preserve">Transaction / collateral:</t>
  </si>
  <si>
    <t xml:space="preserve">Adversarial High-Default Slow-Recovery Pool</t>
  </si>
  <si>
    <t xml:space="preserve">Cut-off / payment date:</t>
  </si>
  <si>
    <t xml:space="preserve">[dates]</t>
  </si>
  <si>
    <t xml:space="preserve">Last refreshed:</t>
  </si>
  <si>
    <t xml:space="preserve">2026-08-03</t>
  </si>
  <si>
    <t xml:space="preserve">Next distribution / trigger date:</t>
  </si>
  <si>
    <t xml:space="preserve">[date]</t>
  </si>
  <si>
    <t xml:space="preserve">Refresh cadence:</t>
  </si>
  <si>
    <t xml:space="preserve">Monthly and on servicer reports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</si>
  <si>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</si>
  <si>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</si>
  <si>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</si>
  <si>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</si>
  <si>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</si>
  <si>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</si>
  <si>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</si>
  <si>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</si>
  <si>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</si>
  <si>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</si>
  <si>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</si>
  <si>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</si>
  <si>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</si>
  <si>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Structured Finance &amp; Securitization — Institutional Decision Surface</t>
  </si>
  <si>
    <t xml:space="preserve">Model ID</t>
  </si>
  <si>
    <t xml:space="preserve">19</t>
  </si>
  <si>
    <t xml:space="preserve">Domain</t>
  </si>
  <si>
    <t xml:space="preserve">Structured Finance &amp; Securitization</t>
  </si>
  <si>
    <t xml:space="preserve">Declared maturity</t>
  </si>
  <si>
    <t xml:space="preserve">M2</t>
  </si>
  <si>
    <t xml:space="preserve">Canonical builder</t>
  </si>
  <si>
    <t xml:space="preserve">tools/builders/build_securitization_institutional.py</t>
  </si>
  <si>
    <t xml:space="preserve">Decision arena</t>
  </si>
  <si>
    <t xml:space="preserve">structuring, collateral, servicing, trustee, rating agency and investor</t>
  </si>
  <si>
    <t xml:space="preserve">Committee artifact</t>
  </si>
  <si>
    <t xml:space="preserve">cash-flow, trigger and tranche-loss pack</t>
  </si>
  <si>
    <t xml:space="preserve">Operating cadence</t>
  </si>
  <si>
    <t xml:space="preserve">monthly surveillance; event-driven trigger review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</si>
  <si>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</si>
  <si>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</si>
  <si>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</si>
  <si>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</si>
  <si>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</si>
  <si>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</si>
  <si>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collateral cash flow and losses</t>
  </si>
  <si>
    <t xml:space="preserve">OPEN</t>
  </si>
  <si>
    <t xml:space="preserve">tranche interest/principal waterfall</t>
  </si>
  <si>
    <t xml:space="preserve">OC/IC and performance triggers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</si>
  <si>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</si>
  <si>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</si>
  <si>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</si>
  <si>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changes when the trigger fails?</t>
  </si>
  <si>
    <t xml:space="preserve">Who advances delinquent interest and for how long?</t>
  </si>
  <si>
    <t xml:space="preserve">Which tape fields are servicer-created?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</si>
  <si>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</si>
  <si>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</si>
  <si>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</si>
  <si>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default and severity</t>
  </si>
  <si>
    <t xml:space="preserve">prepayment</t>
  </si>
  <si>
    <t xml:space="preserve">recovery timing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</si>
  <si>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</si>
  <si>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</si>
  <si>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</si>
  <si>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offering memorandum</t>
  </si>
  <si>
    <t xml:space="preserve">pool tape and data dictionary</t>
  </si>
  <si>
    <t xml:space="preserve">servicing agreement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</si>
  <si>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</si>
  <si>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</si>
  <si>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</si>
  <si>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collateral roll-forward conserves</t>
  </si>
  <si>
    <t xml:space="preserve">waterfall distributes available funds only</t>
  </si>
  <si>
    <t xml:space="preserve">tranche balances nonnegative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</si>
  <si>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</si>
  <si>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</si>
  <si>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</si>
  <si>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pool averages where tails drive loss</t>
  </si>
  <si>
    <t xml:space="preserve">ignoring delinquency roll and modification</t>
  </si>
  <si>
    <t xml:space="preserve">misreading trigger cure mechanics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</si>
  <si>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</si>
  <si>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</si>
  <si>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</si>
  <si>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</si>
  <si>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</si>
  <si>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</si>
  <si>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</si>
  <si>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</si>
  <si>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</si>
  <si>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</si>
  <si>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</si>
  <si>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</si>
  <si>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</si>
  <si>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</si>
  <si>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</si>
  <si>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</si>
  <si>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</si>
  <si>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</si>
  <si>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</si>
  <si>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</si>
  <si>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</si>
  <si>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</si>
  <si>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</si>
  <si>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</si>
  <si>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</si>
  <si>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</si>
  <si>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</si>
  <si>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</si>
  <si>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</si>
  <si>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</si>
  <si>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</si>
  <si>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loan-level tape</t>
  </si>
  <si>
    <t xml:space="preserve">monthly</t>
  </si>
  <si>
    <t xml:space="preserve">field and cut-off reconciliation</t>
  </si>
  <si>
    <t xml:space="preserve">TO MAP</t>
  </si>
  <si>
    <t xml:space="preserve">servicer report</t>
  </si>
  <si>
    <t xml:space="preserve">cash and status tie-out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</si>
  <si>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</si>
  <si>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</si>
  <si>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</si>
  <si>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</si>
  <si>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</si>
  <si>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</si>
  <si>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Collateral and Capital Structure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</si>
  <si>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</si>
  <si>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</si>
  <si>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</si>
  <si>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</si>
  <si>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Opening collateral balance</t>
  </si>
  <si>
    <t xml:space="preserve">$mm</t>
  </si>
  <si>
    <t xml:space="preserve">Collateral gross coupon</t>
  </si>
  <si>
    <t xml:space="preserve">%</t>
  </si>
  <si>
    <t xml:space="preserve">Annual CPR</t>
  </si>
  <si>
    <t xml:space="preserve">Annual CDR</t>
  </si>
  <si>
    <t xml:space="preserve">Recovery rate</t>
  </si>
  <si>
    <t xml:space="preserve">Recovery lag</t>
  </si>
  <si>
    <t xml:space="preserve">months</t>
  </si>
  <si>
    <t xml:space="preserve">Servicing and senior fees</t>
  </si>
  <si>
    <t xml:space="preserve">% annual</t>
  </si>
  <si>
    <t xml:space="preserve">Senior tranche opening balance</t>
  </si>
  <si>
    <t xml:space="preserve">Senior tranche coupon</t>
  </si>
  <si>
    <t xml:space="preserve">Mezz tranche opening balance</t>
  </si>
  <si>
    <t xml:space="preserve">Mezz tranche coupon</t>
  </si>
  <si>
    <t xml:space="preserve">Reserve account</t>
  </si>
  <si>
    <t xml:space="preserve">Minimum OC ratio</t>
  </si>
  <si>
    <t xml:space="preserve">x</t>
  </si>
  <si>
    <t xml:space="preserve">Minimum senior IC ratio</t>
  </si>
  <si>
    <t xml:space="preserve">Minimum mezz IC ratio</t>
  </si>
  <si>
    <t xml:space="preserve">Payment frequency</t>
  </si>
  <si>
    <t xml:space="preserve">per year</t>
  </si>
  <si>
    <t xml:space="preserve">Model horizon</t>
  </si>
  <si>
    <t xml:space="preserve">Monthly Collateral Cash Flows</t>
  </si>
  <si>
    <t xml:space="preserve">M1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</si>
  <si>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</si>
  <si>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</si>
  <si>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</si>
  <si>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</si>
  <si>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</si>
  <si>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</si>
  <si>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</si>
  <si>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</si>
  <si>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</si>
  <si>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</si>
  <si>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</si>
  <si>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</si>
  <si>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</si>
  <si>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</si>
  <si>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</si>
  <si>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</si>
  <si>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</si>
  <si>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</si>
  <si>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</si>
  <si>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</si>
  <si>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</si>
  <si>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</si>
  <si>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Beginning collateral</t>
  </si>
  <si>
    <t xml:space="preserve">Scheduled principal</t>
  </si>
  <si>
    <t xml:space="preserve">Defaults</t>
  </si>
  <si>
    <t xml:space="preserve">Recoveries</t>
  </si>
  <si>
    <t xml:space="preserve">Prepayments</t>
  </si>
  <si>
    <t xml:space="preserve">Interest collections</t>
  </si>
  <si>
    <t xml:space="preserve">Servicing / senior fees</t>
  </si>
  <si>
    <t xml:space="preserve">Net interest collections</t>
  </si>
  <si>
    <t xml:space="preserve">Principal collections</t>
  </si>
  <si>
    <t xml:space="preserve">Ending collateral</t>
  </si>
  <si>
    <t xml:space="preserve">Monthly Prepayment, Default, and Recovery Curves</t>
  </si>
  <si>
    <t xml:space="preserve">Rate</t>
  </si>
  <si>
    <t xml:space="preserve">SMM</t>
  </si>
  <si>
    <t xml:space="preserve">MDR</t>
  </si>
  <si>
    <t xml:space="preserve">Cumulative default rate</t>
  </si>
  <si>
    <t xml:space="preserve">Cumulative loss rate</t>
  </si>
  <si>
    <t xml:space="preserve">Monthly Priority of Payments</t>
  </si>
  <si>
    <t xml:space="preserve">Available interest</t>
  </si>
  <si>
    <t xml:space="preserve">Available principal</t>
  </si>
  <si>
    <t xml:space="preserve">Senior beginning balance</t>
  </si>
  <si>
    <t xml:space="preserve">Senior interest due</t>
  </si>
  <si>
    <t xml:space="preserve">Senior interest paid</t>
  </si>
  <si>
    <t xml:space="preserve">Senior interest shortfall</t>
  </si>
  <si>
    <t xml:space="preserve">Senior principal paid</t>
  </si>
  <si>
    <t xml:space="preserve">Senior ending balance</t>
  </si>
  <si>
    <t xml:space="preserve">Mezz beginning balance</t>
  </si>
  <si>
    <t xml:space="preserve">Mezz interest due</t>
  </si>
  <si>
    <t xml:space="preserve">Mezz interest paid</t>
  </si>
  <si>
    <t xml:space="preserve">Mezz interest shortfall</t>
  </si>
  <si>
    <t xml:space="preserve">Mezz principal paid</t>
  </si>
  <si>
    <t xml:space="preserve">Mezz ending balance</t>
  </si>
  <si>
    <t xml:space="preserve">Residual cash</t>
  </si>
  <si>
    <t xml:space="preserve">OC / IC Triggers and Cash Diversion</t>
  </si>
  <si>
    <t xml:space="preserve">Metric</t>
  </si>
  <si>
    <t xml:space="preserve">OC ratio</t>
  </si>
  <si>
    <t xml:space="preserve">Senior interest coverage</t>
  </si>
  <si>
    <t xml:space="preserve">Minimum senior IC</t>
  </si>
  <si>
    <t xml:space="preserve">Mezz interest coverage</t>
  </si>
  <si>
    <t xml:space="preserve">Minimum mezz IC</t>
  </si>
  <si>
    <t xml:space="preserve">Trigger status</t>
  </si>
  <si>
    <t xml:space="preserve">Tranche Yield, WAL, and Loss Analytics</t>
  </si>
  <si>
    <t xml:space="preserve">Senior</t>
  </si>
  <si>
    <t xml:space="preserve">Mezz</t>
  </si>
  <si>
    <t xml:space="preserve">Residual</t>
  </si>
  <si>
    <t xml:space="preserve">Notes</t>
  </si>
  <si>
    <t xml:space="preserve">Opening balance</t>
  </si>
  <si>
    <t xml:space="preserve">capital structure</t>
  </si>
  <si>
    <t xml:space="preserve">Ending balance</t>
  </si>
  <si>
    <t xml:space="preserve">modeled horizon</t>
  </si>
  <si>
    <t xml:space="preserve">Principal paid</t>
  </si>
  <si>
    <t xml:space="preserve">cash principal</t>
  </si>
  <si>
    <t xml:space="preserve">Interest paid</t>
  </si>
  <si>
    <t xml:space="preserve">cash interest / residual</t>
  </si>
  <si>
    <t xml:space="preserve">WAL</t>
  </si>
  <si>
    <t xml:space="preserve">years</t>
  </si>
  <si>
    <t xml:space="preserve">Interest shortfall</t>
  </si>
  <si>
    <t xml:space="preserve">cumulative</t>
  </si>
  <si>
    <t xml:space="preserve">Principal loss / unpaid balance</t>
  </si>
  <si>
    <t xml:space="preserve">end-horizon exposure</t>
  </si>
  <si>
    <t xml:space="preserve">Senior Ending Balance Sensitivity</t>
  </si>
  <si>
    <t xml:space="preserve">CDR / CPR</t>
  </si>
  <si>
    <t xml:space="preserve">Model Checks</t>
  </si>
  <si>
    <t xml:space="preserve">Check</t>
  </si>
  <si>
    <t xml:space="preserve">Collateral balance nonnegative</t>
  </si>
  <si>
    <t xml:space="preserve">Senior balance nonnegative</t>
  </si>
  <si>
    <t xml:space="preserve">Mezz balance nonnegative</t>
  </si>
  <si>
    <t xml:space="preserve">Collateral roll-forward</t>
  </si>
  <si>
    <t xml:space="preserve">Interest waterfall conserved</t>
  </si>
  <si>
    <t xml:space="preserve">No trigger breach</t>
  </si>
  <si>
    <t xml:space="preserve">Recovery and loss rates bounded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</si>
  <si>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</si>
  <si>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</si>
  <si>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</si>
  <si>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</si>
  <si>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</si>
  <si>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Offering memorandum / indenture</t>
  </si>
  <si>
    <t xml:space="preserve">[public filing / data room URL]</t>
  </si>
  <si>
    <t xml:space="preserve">Capital structure, priority of payments, triggers</t>
  </si>
  <si>
    <t xml:space="preserve">Servicer report</t>
  </si>
  <si>
    <t xml:space="preserve">[trustee / servicer URL]</t>
  </si>
  <si>
    <t xml:space="preserve">[payment date]</t>
  </si>
  <si>
    <t xml:space="preserve">Pool balance, delinquencies, defaults, recoveries</t>
  </si>
  <si>
    <t xml:space="preserve">Collateral data tape</t>
  </si>
  <si>
    <t xml:space="preserve">[restricted source]</t>
  </si>
  <si>
    <t xml:space="preserve">[cut-off date]</t>
  </si>
  <si>
    <t xml:space="preserve">Loan-level fields and transformations</t>
  </si>
  <si>
    <t xml:space="preserve">Rating methodology</t>
  </si>
  <si>
    <t xml:space="preserve">[agency methodology URL]</t>
  </si>
  <si>
    <t xml:space="preserve">Stress assumptions and legal criteria</t>
  </si>
  <si>
    <t xml:space="preserve">Market benchmarks</t>
  </si>
  <si>
    <t xml:space="preserve">[market data URL]</t>
  </si>
  <si>
    <t xml:space="preserve">Spreads, CPR/CDR expectations, relative value</t>
  </si>
  <si>
    <t xml:space="preserve">Finance-Segway benchmark fixture securitization-adversarial-default</t>
  </si>
  <si>
    <t xml:space="preserve">repo://standards/benchmark_cases/securitization-adversarial-default.json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</si>
  <si>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</si>
  <si>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</si>
  <si>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</si>
  <si>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</si>
  <si>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</si>
  <si>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</si>
  <si>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</si>
  <si>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</si>
  <si>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securitization-adversarial-default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</si>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</sst>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0%;[RED]\(0.00%\);\-"/>
    <numFmt numFmtId="167" formatCode="0"/>
    <numFmt numFmtId="168" formatCode="0.0\x;[RED]\(0.0&quot;x)&quot;;\-"/>
    <numFmt numFmtId="169" formatCode="0.0%;[RED]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111</v>
      </c>
      <c r="D6" s="1" t="s">
        <v>115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124</v>
      </c>
      <c r="D4" s="16" t="s">
        <v>12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1000</v>
      </c>
      <c r="D5" s="17" t="n">
        <v>1000</v>
      </c>
      <c r="E5" s="18" t="n">
        <f aca="false">IF(Cover!$C$9="Downside",D5,C5)</f>
        <v>1000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19" t="n">
        <v>0.08</v>
      </c>
      <c r="D6" s="19" t="n">
        <v>0.075</v>
      </c>
      <c r="E6" s="20" t="n">
        <f aca="false">IF(Cover!$C$9="Downside",D6,C6)</f>
        <v>0.075</v>
      </c>
      <c r="F6" s="1" t="s">
        <v>130</v>
      </c>
    </row>
    <row r="7" customFormat="false" ht="15" hidden="false" customHeight="true" outlineLevel="0" collapsed="false">
      <c r="B7" s="1" t="s">
        <v>131</v>
      </c>
      <c r="C7" s="19" t="n">
        <v>0.12</v>
      </c>
      <c r="D7" s="21" t="n">
        <v>0.03</v>
      </c>
      <c r="E7" s="20" t="n">
        <f aca="false">IF(Cover!$C$9="Downside",D7,C7)</f>
        <v>0.03</v>
      </c>
      <c r="F7" s="1" t="s">
        <v>130</v>
      </c>
    </row>
    <row r="8" customFormat="false" ht="15" hidden="false" customHeight="true" outlineLevel="0" collapsed="false">
      <c r="B8" s="1" t="s">
        <v>132</v>
      </c>
      <c r="C8" s="19" t="n">
        <v>0.025</v>
      </c>
      <c r="D8" s="21" t="n">
        <v>0.15</v>
      </c>
      <c r="E8" s="20" t="n">
        <f aca="false">IF(Cover!$C$9="Downside",D8,C8)</f>
        <v>0.15</v>
      </c>
      <c r="F8" s="1" t="s">
        <v>130</v>
      </c>
    </row>
    <row r="9" customFormat="false" ht="15" hidden="false" customHeight="true" outlineLevel="0" collapsed="false">
      <c r="B9" s="1" t="s">
        <v>133</v>
      </c>
      <c r="C9" s="19" t="n">
        <v>0.45</v>
      </c>
      <c r="D9" s="21" t="n">
        <v>0.15</v>
      </c>
      <c r="E9" s="20" t="n">
        <f aca="false">IF(Cover!$C$9="Downside",D9,C9)</f>
        <v>0.15</v>
      </c>
      <c r="F9" s="1" t="s">
        <v>130</v>
      </c>
    </row>
    <row r="10" customFormat="false" ht="15" hidden="false" customHeight="true" outlineLevel="0" collapsed="false">
      <c r="B10" s="1" t="s">
        <v>134</v>
      </c>
      <c r="C10" s="22" t="n">
        <v>3</v>
      </c>
      <c r="D10" s="23" t="n">
        <v>9</v>
      </c>
      <c r="E10" s="24" t="n">
        <f aca="false">IF(Cover!$C$9="Downside",D10,C10)</f>
        <v>9</v>
      </c>
      <c r="F10" s="1" t="s">
        <v>135</v>
      </c>
    </row>
    <row r="11" customFormat="false" ht="15" hidden="false" customHeight="true" outlineLevel="0" collapsed="false">
      <c r="B11" s="1" t="s">
        <v>136</v>
      </c>
      <c r="C11" s="19" t="n">
        <v>0.01</v>
      </c>
      <c r="D11" s="19" t="n">
        <v>0.012</v>
      </c>
      <c r="E11" s="20" t="n">
        <f aca="false">IF(Cover!$C$9="Downside",D11,C11)</f>
        <v>0.012</v>
      </c>
      <c r="F11" s="1" t="s">
        <v>137</v>
      </c>
    </row>
    <row r="12" customFormat="false" ht="15" hidden="false" customHeight="true" outlineLevel="0" collapsed="false">
      <c r="B12" s="1" t="s">
        <v>138</v>
      </c>
      <c r="C12" s="17" t="n">
        <v>650</v>
      </c>
      <c r="D12" s="17" t="n">
        <v>650</v>
      </c>
      <c r="E12" s="18" t="n">
        <f aca="false">IF(Cover!$C$9="Downside",D12,C12)</f>
        <v>650</v>
      </c>
      <c r="F12" s="1" t="s">
        <v>128</v>
      </c>
    </row>
    <row r="13" customFormat="false" ht="15" hidden="false" customHeight="true" outlineLevel="0" collapsed="false">
      <c r="B13" s="1" t="s">
        <v>139</v>
      </c>
      <c r="C13" s="19" t="n">
        <v>0.05</v>
      </c>
      <c r="D13" s="19" t="n">
        <v>0.06</v>
      </c>
      <c r="E13" s="20" t="n">
        <f aca="false">IF(Cover!$C$9="Downside",D13,C13)</f>
        <v>0.06</v>
      </c>
      <c r="F13" s="1" t="s">
        <v>130</v>
      </c>
    </row>
    <row r="14" customFormat="false" ht="15" hidden="false" customHeight="true" outlineLevel="0" collapsed="false">
      <c r="B14" s="1" t="s">
        <v>140</v>
      </c>
      <c r="C14" s="17" t="n">
        <v>220</v>
      </c>
      <c r="D14" s="17" t="n">
        <v>220</v>
      </c>
      <c r="E14" s="18" t="n">
        <f aca="false">IF(Cover!$C$9="Downside",D14,C14)</f>
        <v>220</v>
      </c>
      <c r="F14" s="1" t="s">
        <v>128</v>
      </c>
    </row>
    <row r="15" customFormat="false" ht="15" hidden="false" customHeight="true" outlineLevel="0" collapsed="false">
      <c r="B15" s="1" t="s">
        <v>141</v>
      </c>
      <c r="C15" s="19" t="n">
        <v>0.08</v>
      </c>
      <c r="D15" s="19" t="n">
        <v>0.1</v>
      </c>
      <c r="E15" s="20" t="n">
        <f aca="false">IF(Cover!$C$9="Downside",D15,C15)</f>
        <v>0.1</v>
      </c>
      <c r="F15" s="1" t="s">
        <v>130</v>
      </c>
    </row>
    <row r="16" customFormat="false" ht="15" hidden="false" customHeight="true" outlineLevel="0" collapsed="false">
      <c r="B16" s="1" t="s">
        <v>142</v>
      </c>
      <c r="C16" s="17" t="n">
        <v>20</v>
      </c>
      <c r="D16" s="17" t="n">
        <v>20</v>
      </c>
      <c r="E16" s="18" t="n">
        <f aca="false">IF(Cover!$C$9="Downside",D16,C16)</f>
        <v>20</v>
      </c>
      <c r="F16" s="1" t="s">
        <v>128</v>
      </c>
    </row>
    <row r="17" customFormat="false" ht="15" hidden="false" customHeight="true" outlineLevel="0" collapsed="false">
      <c r="B17" s="1" t="s">
        <v>143</v>
      </c>
      <c r="C17" s="25" t="n">
        <v>1.08</v>
      </c>
      <c r="D17" s="25" t="n">
        <v>1.08</v>
      </c>
      <c r="E17" s="26" t="n">
        <f aca="false">IF(Cover!$C$9="Downside",D17,C17)</f>
        <v>1.08</v>
      </c>
      <c r="F17" s="1" t="s">
        <v>144</v>
      </c>
    </row>
    <row r="18" customFormat="false" ht="15" hidden="false" customHeight="true" outlineLevel="0" collapsed="false">
      <c r="B18" s="1" t="s">
        <v>145</v>
      </c>
      <c r="C18" s="25" t="n">
        <v>1.5</v>
      </c>
      <c r="D18" s="25" t="n">
        <v>1.5</v>
      </c>
      <c r="E18" s="26" t="n">
        <f aca="false">IF(Cover!$C$9="Downside",D18,C18)</f>
        <v>1.5</v>
      </c>
      <c r="F18" s="1" t="s">
        <v>144</v>
      </c>
    </row>
    <row r="19" customFormat="false" ht="15" hidden="false" customHeight="true" outlineLevel="0" collapsed="false">
      <c r="B19" s="1" t="s">
        <v>146</v>
      </c>
      <c r="C19" s="25" t="n">
        <v>1.15</v>
      </c>
      <c r="D19" s="25" t="n">
        <v>1.15</v>
      </c>
      <c r="E19" s="26" t="n">
        <f aca="false">IF(Cover!$C$9="Downside",D19,C19)</f>
        <v>1.15</v>
      </c>
      <c r="F19" s="1" t="s">
        <v>144</v>
      </c>
    </row>
    <row r="20" customFormat="false" ht="15" hidden="false" customHeight="true" outlineLevel="0" collapsed="false">
      <c r="B20" s="1" t="s">
        <v>147</v>
      </c>
      <c r="C20" s="22" t="n">
        <v>12</v>
      </c>
      <c r="D20" s="22" t="n">
        <v>12</v>
      </c>
      <c r="E20" s="24" t="n">
        <f aca="false">IF(Cover!$C$9="Downside",D20,C20)</f>
        <v>12</v>
      </c>
      <c r="F20" s="1" t="s">
        <v>148</v>
      </c>
    </row>
    <row r="21" customFormat="false" ht="15" hidden="false" customHeight="true" outlineLevel="0" collapsed="false">
      <c r="B21" s="1" t="s">
        <v>149</v>
      </c>
      <c r="C21" s="22" t="n">
        <v>24</v>
      </c>
      <c r="D21" s="22" t="n">
        <v>24</v>
      </c>
      <c r="E21" s="24" t="n">
        <f aca="false">IF(Cover!$C$9="Downside",D21,C21)</f>
        <v>24</v>
      </c>
      <c r="F21" s="1" t="s">
        <v>135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128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174</v>
      </c>
      <c r="C5" s="27" t="n">
        <f aca="false">Assumptions!E5</f>
        <v>1000</v>
      </c>
      <c r="D5" s="27" t="n">
        <f aca="false">C14</f>
        <v>943.04514297584</v>
      </c>
      <c r="E5" s="27" t="n">
        <f aca="false">D14</f>
        <v>887.652980741948</v>
      </c>
      <c r="F5" s="27" t="n">
        <f aca="false">E14</f>
        <v>833.788149005746</v>
      </c>
      <c r="G5" s="27" t="n">
        <f aca="false">F14</f>
        <v>781.416014102544</v>
      </c>
      <c r="H5" s="27" t="n">
        <f aca="false">G14</f>
        <v>730.50265868431</v>
      </c>
      <c r="I5" s="27" t="n">
        <f aca="false">H14</f>
        <v>681.014867679113</v>
      </c>
      <c r="J5" s="27" t="n">
        <f aca="false">I14</f>
        <v>632.920114516236</v>
      </c>
      <c r="K5" s="27" t="n">
        <f aca="false">J14</f>
        <v>586.186547612071</v>
      </c>
      <c r="L5" s="27" t="n">
        <f aca="false">K14</f>
        <v>540.782977111963</v>
      </c>
      <c r="M5" s="27" t="n">
        <f aca="false">L14</f>
        <v>496.678861883292</v>
      </c>
      <c r="N5" s="27" t="n">
        <f aca="false">M14</f>
        <v>453.844296755142</v>
      </c>
      <c r="O5" s="27" t="n">
        <f aca="false">N14</f>
        <v>412.25</v>
      </c>
      <c r="P5" s="27" t="n">
        <f aca="false">O14</f>
        <v>371.867301053017</v>
      </c>
      <c r="Q5" s="27" t="n">
        <f aca="false">P14</f>
        <v>332.668128464426</v>
      </c>
      <c r="R5" s="27" t="n">
        <f aca="false">Q14</f>
        <v>294.624998080816</v>
      </c>
      <c r="S5" s="27" t="n">
        <f aca="false">R14</f>
        <v>257.711001451019</v>
      </c>
      <c r="T5" s="27" t="n">
        <f aca="false">S14</f>
        <v>221.899794452447</v>
      </c>
      <c r="U5" s="27" t="n">
        <f aca="false">T14</f>
        <v>187.16558613381</v>
      </c>
      <c r="V5" s="27" t="n">
        <f aca="false">U14</f>
        <v>153.483127770187</v>
      </c>
      <c r="W5" s="27" t="n">
        <f aca="false">V14</f>
        <v>120.827702126538</v>
      </c>
      <c r="X5" s="27" t="n">
        <f aca="false">W14</f>
        <v>89.1751129257626</v>
      </c>
      <c r="Y5" s="27" t="n">
        <f aca="false">X14</f>
        <v>58.5016745175391</v>
      </c>
      <c r="Z5" s="27" t="n">
        <f aca="false">Y14</f>
        <v>28.7842017442011</v>
      </c>
    </row>
    <row r="6" customFormat="false" ht="15" hidden="false" customHeight="true" outlineLevel="0" collapsed="false">
      <c r="B6" s="1" t="s">
        <v>175</v>
      </c>
      <c r="C6" s="27" t="n">
        <f aca="false">MIN(C5,C5/24)</f>
        <v>41.6666666666667</v>
      </c>
      <c r="D6" s="27" t="n">
        <f aca="false">MIN(D5,D5/23)</f>
        <v>41.00196273808</v>
      </c>
      <c r="E6" s="27" t="n">
        <f aca="false">MIN(E5,E5/22)</f>
        <v>40.3478627609976</v>
      </c>
      <c r="F6" s="27" t="n">
        <f aca="false">MIN(F5,F5/21)</f>
        <v>39.7041975717022</v>
      </c>
      <c r="G6" s="27" t="n">
        <f aca="false">MIN(G5,G5/20)</f>
        <v>39.0708007051272</v>
      </c>
      <c r="H6" s="27" t="n">
        <f aca="false">MIN(H5,H5/19)</f>
        <v>38.4475083518058</v>
      </c>
      <c r="I6" s="27" t="n">
        <f aca="false">MIN(I5,I5/18)</f>
        <v>37.8341593155063</v>
      </c>
      <c r="J6" s="27" t="n">
        <f aca="false">MIN(J5,J5/17)</f>
        <v>37.2305949715433</v>
      </c>
      <c r="K6" s="27" t="n">
        <f aca="false">MIN(K5,K5/16)</f>
        <v>36.6366592257544</v>
      </c>
      <c r="L6" s="27" t="n">
        <f aca="false">MIN(L5,L5/15)</f>
        <v>36.0521984741308</v>
      </c>
      <c r="M6" s="27" t="n">
        <f aca="false">MIN(M5,M5/14)</f>
        <v>35.4770615630923</v>
      </c>
      <c r="N6" s="27" t="n">
        <f aca="false">MIN(N5,N5/13)</f>
        <v>34.9110997503955</v>
      </c>
      <c r="O6" s="27" t="n">
        <f aca="false">MIN(O5,O5/12)</f>
        <v>34.3541666666667</v>
      </c>
      <c r="P6" s="27" t="n">
        <f aca="false">MIN(P5,P5/11)</f>
        <v>33.806118277547</v>
      </c>
      <c r="Q6" s="27" t="n">
        <f aca="false">MIN(Q5,Q5/10)</f>
        <v>33.2668128464426</v>
      </c>
      <c r="R6" s="27" t="n">
        <f aca="false">MIN(R5,R5/9)</f>
        <v>32.7361108978685</v>
      </c>
      <c r="S6" s="27" t="n">
        <f aca="false">MIN(S5,S5/8)</f>
        <v>32.2138751813774</v>
      </c>
      <c r="T6" s="27" t="n">
        <f aca="false">MIN(T5,T5/7)</f>
        <v>31.6999706360639</v>
      </c>
      <c r="U6" s="27" t="n">
        <f aca="false">MIN(U5,U5/6)</f>
        <v>31.1942643556349</v>
      </c>
      <c r="V6" s="27" t="n">
        <f aca="false">MIN(V5,V5/5)</f>
        <v>30.6966255540375</v>
      </c>
      <c r="W6" s="27" t="n">
        <f aca="false">MIN(W5,W5/4)</f>
        <v>30.2069255316345</v>
      </c>
      <c r="X6" s="27" t="n">
        <f aca="false">MIN(X5,X5/3)</f>
        <v>29.7250376419209</v>
      </c>
      <c r="Y6" s="27" t="n">
        <f aca="false">MIN(Y5,Y5/2)</f>
        <v>29.2508372587696</v>
      </c>
      <c r="Z6" s="27" t="n">
        <f aca="false">MIN(Z5,Z5/1)</f>
        <v>28.7842017442011</v>
      </c>
    </row>
    <row r="7" customFormat="false" ht="15" hidden="false" customHeight="true" outlineLevel="0" collapsed="false">
      <c r="B7" s="1" t="s">
        <v>176</v>
      </c>
      <c r="C7" s="27" t="n">
        <f aca="false">MAX(0,C5-C6)*'Loss Curves'!C6</f>
        <v>12.8914492197077</v>
      </c>
      <c r="D7" s="27" t="n">
        <f aca="false">MAX(0,D5-D6)*'Loss Curves'!D6</f>
        <v>12.1342370629761</v>
      </c>
      <c r="E7" s="27" t="n">
        <f aca="false">MAX(0,E5-E6)*'Loss Curves'!E6</f>
        <v>11.3979035499651</v>
      </c>
      <c r="F7" s="27" t="n">
        <f aca="false">MAX(0,F5-F6)*'Loss Curves'!F6</f>
        <v>10.6819752376662</v>
      </c>
      <c r="G7" s="27" t="n">
        <f aca="false">MAX(0,G5-G6)*'Loss Curves'!G6</f>
        <v>9.98598847513657</v>
      </c>
      <c r="H7" s="27" t="n">
        <f aca="false">MAX(0,H5-H6)*'Loss Curves'!H6</f>
        <v>9.30948921156383</v>
      </c>
      <c r="I7" s="27" t="n">
        <f aca="false">MAX(0,I5-I6)*'Loss Curves'!I6</f>
        <v>8.65203280796355</v>
      </c>
      <c r="J7" s="27" t="n">
        <f aca="false">MAX(0,J5-J6)*'Loss Curves'!J6</f>
        <v>8.01318385244086</v>
      </c>
      <c r="K7" s="27" t="n">
        <f aca="false">MAX(0,K5-K6)*'Loss Curves'!K6</f>
        <v>7.3925159789512</v>
      </c>
      <c r="L7" s="27" t="n">
        <f aca="false">MAX(0,L5-L6)*'Loss Curves'!L6</f>
        <v>6.78961168949545</v>
      </c>
      <c r="M7" s="27" t="n">
        <f aca="false">MAX(0,M5-M6)*'Loss Curves'!M6</f>
        <v>6.20406217968587</v>
      </c>
      <c r="N7" s="27" t="n">
        <f aca="false">MAX(0,N5-N6)*'Loss Curves'!N6</f>
        <v>5.63546716762069</v>
      </c>
      <c r="O7" s="27" t="n">
        <f aca="false">MAX(0,O5-O6)*'Loss Curves'!O6</f>
        <v>5.08343472600605</v>
      </c>
      <c r="P7" s="27" t="n">
        <f aca="false">MAX(0,P5-P6)*'Loss Curves'!P6</f>
        <v>4.54758111746535</v>
      </c>
      <c r="Q7" s="27" t="n">
        <f aca="false">MAX(0,Q5-Q6)*'Loss Curves'!Q6</f>
        <v>4.02753063297695</v>
      </c>
      <c r="R7" s="27" t="n">
        <f aca="false">MAX(0,R5-R6)*'Loss Curves'!R6</f>
        <v>3.52291543338233</v>
      </c>
      <c r="S7" s="27" t="n">
        <f aca="false">MAX(0,S5-S6)*'Loss Curves'!S6</f>
        <v>3.03337539390793</v>
      </c>
      <c r="T7" s="27" t="n">
        <f aca="false">MAX(0,T5-T6)*'Loss Curves'!T6</f>
        <v>2.55855795164479</v>
      </c>
      <c r="U7" s="27" t="n">
        <f aca="false">MAX(0,U5-U6)*'Loss Curves'!U6</f>
        <v>2.09811795593116</v>
      </c>
      <c r="V7" s="27" t="n">
        <f aca="false">MAX(0,V5-V6)*'Loss Curves'!V6</f>
        <v>1.65171752158437</v>
      </c>
      <c r="W7" s="27" t="n">
        <f aca="false">MAX(0,W5-W6)*'Loss Curves'!W6</f>
        <v>1.21902588492905</v>
      </c>
      <c r="X7" s="27" t="n">
        <f aca="false">MAX(0,X5-X6)*'Loss Curves'!X6</f>
        <v>0.799719262569857</v>
      </c>
      <c r="Y7" s="27" t="n">
        <f aca="false">MAX(0,Y5-Y6)*'Loss Curves'!Y6</f>
        <v>0.393480712857769</v>
      </c>
      <c r="Z7" s="27" t="n">
        <f aca="false">MAX(0,Z5-Z6)*'Loss Curves'!Z6</f>
        <v>0</v>
      </c>
    </row>
    <row r="8" customFormat="false" ht="15" hidden="false" customHeight="true" outlineLevel="0" collapsed="false">
      <c r="B8" s="1" t="s">
        <v>177</v>
      </c>
      <c r="C8" s="27" t="n">
        <v>0</v>
      </c>
      <c r="D8" s="27" t="n">
        <v>0</v>
      </c>
      <c r="E8" s="27" t="n">
        <v>0</v>
      </c>
      <c r="F8" s="27" t="n">
        <f aca="false">C7*Assumptions!$E$9</f>
        <v>1.93371738295616</v>
      </c>
      <c r="G8" s="27" t="n">
        <f aca="false">D7*Assumptions!$E$9</f>
        <v>1.82013555944641</v>
      </c>
      <c r="H8" s="27" t="n">
        <f aca="false">E7*Assumptions!$E$9</f>
        <v>1.70968553249476</v>
      </c>
      <c r="I8" s="27" t="n">
        <f aca="false">F7*Assumptions!$E$9</f>
        <v>1.60229628564994</v>
      </c>
      <c r="J8" s="27" t="n">
        <f aca="false">G7*Assumptions!$E$9</f>
        <v>1.49789827127049</v>
      </c>
      <c r="K8" s="27" t="n">
        <f aca="false">H7*Assumptions!$E$9</f>
        <v>1.39642338173457</v>
      </c>
      <c r="L8" s="27" t="n">
        <f aca="false">I7*Assumptions!$E$9</f>
        <v>1.29780492119453</v>
      </c>
      <c r="M8" s="27" t="n">
        <f aca="false">J7*Assumptions!$E$9</f>
        <v>1.20197757786613</v>
      </c>
      <c r="N8" s="27" t="n">
        <f aca="false">K7*Assumptions!$E$9</f>
        <v>1.10887739684268</v>
      </c>
      <c r="O8" s="27" t="n">
        <f aca="false">L7*Assumptions!$E$9</f>
        <v>1.01844175342432</v>
      </c>
      <c r="P8" s="27" t="n">
        <f aca="false">M7*Assumptions!$E$9</f>
        <v>0.93060932695288</v>
      </c>
      <c r="Q8" s="27" t="n">
        <f aca="false">N7*Assumptions!$E$9</f>
        <v>0.845320075143103</v>
      </c>
      <c r="R8" s="27" t="n">
        <f aca="false">O7*Assumptions!$E$9</f>
        <v>0.762515208900907</v>
      </c>
      <c r="S8" s="27" t="n">
        <f aca="false">P7*Assumptions!$E$9</f>
        <v>0.682137167619803</v>
      </c>
      <c r="T8" s="27" t="n">
        <f aca="false">Q7*Assumptions!$E$9</f>
        <v>0.604129594946542</v>
      </c>
      <c r="U8" s="27" t="n">
        <f aca="false">R7*Assumptions!$E$9</f>
        <v>0.528437315007349</v>
      </c>
      <c r="V8" s="27" t="n">
        <f aca="false">S7*Assumptions!$E$9</f>
        <v>0.45500630908619</v>
      </c>
      <c r="W8" s="27" t="n">
        <f aca="false">T7*Assumptions!$E$9</f>
        <v>0.383783692746719</v>
      </c>
      <c r="X8" s="27" t="n">
        <f aca="false">U7*Assumptions!$E$9</f>
        <v>0.314717693389674</v>
      </c>
      <c r="Y8" s="27" t="n">
        <f aca="false">V7*Assumptions!$E$9</f>
        <v>0.247757628237656</v>
      </c>
      <c r="Z8" s="27" t="n">
        <f aca="false">W7*Assumptions!$E$9</f>
        <v>0.182853882739358</v>
      </c>
    </row>
    <row r="9" customFormat="false" ht="15" hidden="false" customHeight="true" outlineLevel="0" collapsed="false">
      <c r="B9" s="1" t="s">
        <v>178</v>
      </c>
      <c r="C9" s="27" t="n">
        <f aca="false">MAX(0,C5-C6-C7)*'Loss Curves'!C5</f>
        <v>2.39674113778539</v>
      </c>
      <c r="D9" s="27" t="n">
        <f aca="false">MAX(0,D5-D6-D7)*'Loss Curves'!D5</f>
        <v>2.25596243283611</v>
      </c>
      <c r="E9" s="27" t="n">
        <f aca="false">MAX(0,E5-E6-E7)*'Loss Curves'!E5</f>
        <v>2.11906542523936</v>
      </c>
      <c r="F9" s="27" t="n">
        <f aca="false">MAX(0,F5-F6-F7)*'Loss Curves'!F5</f>
        <v>1.98596209383355</v>
      </c>
      <c r="G9" s="27" t="n">
        <f aca="false">MAX(0,G5-G6-G7)*'Loss Curves'!G5</f>
        <v>1.85656623796974</v>
      </c>
      <c r="H9" s="27" t="n">
        <f aca="false">MAX(0,H5-H6-H7)*'Loss Curves'!H5</f>
        <v>1.73079344182765</v>
      </c>
      <c r="I9" s="27" t="n">
        <f aca="false">MAX(0,I5-I6-I7)*'Loss Curves'!I5</f>
        <v>1.60856103940696</v>
      </c>
      <c r="J9" s="27" t="n">
        <f aca="false">MAX(0,J5-J6-J7)*'Loss Curves'!J5</f>
        <v>1.48978808018127</v>
      </c>
      <c r="K9" s="27" t="n">
        <f aca="false">MAX(0,K5-K6-K7)*'Loss Curves'!K5</f>
        <v>1.37439529540263</v>
      </c>
      <c r="L9" s="27" t="n">
        <f aca="false">MAX(0,L5-L6-L7)*'Loss Curves'!L5</f>
        <v>1.2623050650446</v>
      </c>
      <c r="M9" s="27" t="n">
        <f aca="false">MAX(0,M5-M6-M7)*'Loss Curves'!M5</f>
        <v>1.15344138537194</v>
      </c>
      <c r="N9" s="27" t="n">
        <f aca="false">MAX(0,N5-N6-N7)*'Loss Curves'!N5</f>
        <v>1.04772983712545</v>
      </c>
      <c r="O9" s="27" t="n">
        <f aca="false">MAX(0,O5-O6-O7)*'Loss Curves'!O5</f>
        <v>0.945097554310636</v>
      </c>
      <c r="P9" s="27" t="n">
        <f aca="false">MAX(0,P5-P6-P7)*'Loss Curves'!P5</f>
        <v>0.845473193578805</v>
      </c>
      <c r="Q9" s="27" t="n">
        <f aca="false">MAX(0,Q5-Q6-Q7)*'Loss Curves'!Q5</f>
        <v>0.748786904189935</v>
      </c>
      <c r="R9" s="27" t="n">
        <f aca="false">MAX(0,R5-R6-R7)*'Loss Curves'!R5</f>
        <v>0.654970298546304</v>
      </c>
      <c r="S9" s="27" t="n">
        <f aca="false">MAX(0,S5-S6-S7)*'Loss Curves'!S5</f>
        <v>0.563956423286439</v>
      </c>
      <c r="T9" s="27" t="n">
        <f aca="false">MAX(0,T5-T6-T7)*'Loss Curves'!T5</f>
        <v>0.475679730928967</v>
      </c>
      <c r="U9" s="27" t="n">
        <f aca="false">MAX(0,U5-U6-U7)*'Loss Curves'!U5</f>
        <v>0.390076052056189</v>
      </c>
      <c r="V9" s="27" t="n">
        <f aca="false">MAX(0,V5-V6-V7)*'Loss Curves'!V5</f>
        <v>0.307082568027364</v>
      </c>
      <c r="W9" s="27" t="n">
        <f aca="false">MAX(0,W5-W6-W7)*'Loss Curves'!W5</f>
        <v>0.226637784211894</v>
      </c>
      <c r="X9" s="27" t="n">
        <f aca="false">MAX(0,X5-X6-X7)*'Loss Curves'!X5</f>
        <v>0.148681503732754</v>
      </c>
      <c r="Y9" s="27" t="n">
        <f aca="false">MAX(0,Y5-Y6-Y7)*'Loss Curves'!Y5</f>
        <v>0.0731548017107048</v>
      </c>
      <c r="Z9" s="27" t="n">
        <f aca="false">MAX(0,Z5-Z6-Z7)*'Loss Curves'!Z5</f>
        <v>0</v>
      </c>
    </row>
    <row r="10" customFormat="false" ht="15" hidden="false" customHeight="true" outlineLevel="0" collapsed="false">
      <c r="B10" s="1" t="s">
        <v>179</v>
      </c>
      <c r="C10" s="27" t="n">
        <f aca="false">C5*Assumptions!$E$6/Assumptions!$E$20</f>
        <v>6.25</v>
      </c>
      <c r="D10" s="27" t="n">
        <f aca="false">D5*Assumptions!$E$6/Assumptions!$E$20</f>
        <v>5.894032143599</v>
      </c>
      <c r="E10" s="27" t="n">
        <f aca="false">E5*Assumptions!$E$6/Assumptions!$E$20</f>
        <v>5.54783112963717</v>
      </c>
      <c r="F10" s="27" t="n">
        <f aca="false">F5*Assumptions!$E$6/Assumptions!$E$20</f>
        <v>5.21117593128591</v>
      </c>
      <c r="G10" s="27" t="n">
        <f aca="false">G5*Assumptions!$E$6/Assumptions!$E$20</f>
        <v>4.8838500881409</v>
      </c>
      <c r="H10" s="27" t="n">
        <f aca="false">H5*Assumptions!$E$6/Assumptions!$E$20</f>
        <v>4.56564161677694</v>
      </c>
      <c r="I10" s="27" t="n">
        <f aca="false">I5*Assumptions!$E$6/Assumptions!$E$20</f>
        <v>4.25634292299446</v>
      </c>
      <c r="J10" s="27" t="n">
        <f aca="false">J5*Assumptions!$E$6/Assumptions!$E$20</f>
        <v>3.95575071572648</v>
      </c>
      <c r="K10" s="27" t="n">
        <f aca="false">K5*Assumptions!$E$6/Assumptions!$E$20</f>
        <v>3.66366592257544</v>
      </c>
      <c r="L10" s="27" t="n">
        <f aca="false">L5*Assumptions!$E$6/Assumptions!$E$20</f>
        <v>3.37989360694977</v>
      </c>
      <c r="M10" s="27" t="n">
        <f aca="false">M5*Assumptions!$E$6/Assumptions!$E$20</f>
        <v>3.10424288677057</v>
      </c>
      <c r="N10" s="27" t="n">
        <f aca="false">N5*Assumptions!$E$6/Assumptions!$E$20</f>
        <v>2.83652685471963</v>
      </c>
      <c r="O10" s="27" t="n">
        <f aca="false">O5*Assumptions!$E$6/Assumptions!$E$20</f>
        <v>2.5765625</v>
      </c>
      <c r="P10" s="27" t="n">
        <f aca="false">P5*Assumptions!$E$6/Assumptions!$E$20</f>
        <v>2.32417063158135</v>
      </c>
      <c r="Q10" s="27" t="n">
        <f aca="false">Q5*Assumptions!$E$6/Assumptions!$E$20</f>
        <v>2.07917580290266</v>
      </c>
      <c r="R10" s="27" t="n">
        <f aca="false">R5*Assumptions!$E$6/Assumptions!$E$20</f>
        <v>1.8414062380051</v>
      </c>
      <c r="S10" s="27" t="n">
        <f aca="false">S5*Assumptions!$E$6/Assumptions!$E$20</f>
        <v>1.61069375906887</v>
      </c>
      <c r="T10" s="27" t="n">
        <f aca="false">T5*Assumptions!$E$6/Assumptions!$E$20</f>
        <v>1.3868737153278</v>
      </c>
      <c r="U10" s="27" t="n">
        <f aca="false">U5*Assumptions!$E$6/Assumptions!$E$20</f>
        <v>1.16978491333631</v>
      </c>
      <c r="V10" s="27" t="n">
        <f aca="false">V5*Assumptions!$E$6/Assumptions!$E$20</f>
        <v>0.959269548563671</v>
      </c>
      <c r="W10" s="27" t="n">
        <f aca="false">W5*Assumptions!$E$6/Assumptions!$E$20</f>
        <v>0.755173138290863</v>
      </c>
      <c r="X10" s="27" t="n">
        <f aca="false">X5*Assumptions!$E$6/Assumptions!$E$20</f>
        <v>0.557344455786016</v>
      </c>
      <c r="Y10" s="27" t="n">
        <f aca="false">Y5*Assumptions!$E$6/Assumptions!$E$20</f>
        <v>0.36563546573462</v>
      </c>
      <c r="Z10" s="27" t="n">
        <f aca="false">Z5*Assumptions!$E$6/Assumptions!$E$20</f>
        <v>0.179901260901257</v>
      </c>
    </row>
    <row r="11" customFormat="false" ht="15" hidden="false" customHeight="true" outlineLevel="0" collapsed="false">
      <c r="B11" s="1" t="s">
        <v>180</v>
      </c>
      <c r="C11" s="27" t="n">
        <f aca="false">C5*Assumptions!$E$11/Assumptions!$E$20</f>
        <v>1</v>
      </c>
      <c r="D11" s="27" t="n">
        <f aca="false">D5*Assumptions!$E$11/Assumptions!$E$20</f>
        <v>0.94304514297584</v>
      </c>
      <c r="E11" s="27" t="n">
        <f aca="false">E5*Assumptions!$E$11/Assumptions!$E$20</f>
        <v>0.887652980741948</v>
      </c>
      <c r="F11" s="27" t="n">
        <f aca="false">F5*Assumptions!$E$11/Assumptions!$E$20</f>
        <v>0.833788149005746</v>
      </c>
      <c r="G11" s="27" t="n">
        <f aca="false">G5*Assumptions!$E$11/Assumptions!$E$20</f>
        <v>0.781416014102544</v>
      </c>
      <c r="H11" s="27" t="n">
        <f aca="false">H5*Assumptions!$E$11/Assumptions!$E$20</f>
        <v>0.730502658684311</v>
      </c>
      <c r="I11" s="27" t="n">
        <f aca="false">I5*Assumptions!$E$11/Assumptions!$E$20</f>
        <v>0.681014867679113</v>
      </c>
      <c r="J11" s="27" t="n">
        <f aca="false">J5*Assumptions!$E$11/Assumptions!$E$20</f>
        <v>0.632920114516236</v>
      </c>
      <c r="K11" s="27" t="n">
        <f aca="false">K5*Assumptions!$E$11/Assumptions!$E$20</f>
        <v>0.586186547612071</v>
      </c>
      <c r="L11" s="27" t="n">
        <f aca="false">L5*Assumptions!$E$11/Assumptions!$E$20</f>
        <v>0.540782977111963</v>
      </c>
      <c r="M11" s="27" t="n">
        <f aca="false">M5*Assumptions!$E$11/Assumptions!$E$20</f>
        <v>0.496678861883292</v>
      </c>
      <c r="N11" s="27" t="n">
        <f aca="false">N5*Assumptions!$E$11/Assumptions!$E$20</f>
        <v>0.453844296755142</v>
      </c>
      <c r="O11" s="27" t="n">
        <f aca="false">O5*Assumptions!$E$11/Assumptions!$E$20</f>
        <v>0.41225</v>
      </c>
      <c r="P11" s="27" t="n">
        <f aca="false">P5*Assumptions!$E$11/Assumptions!$E$20</f>
        <v>0.371867301053017</v>
      </c>
      <c r="Q11" s="27" t="n">
        <f aca="false">Q5*Assumptions!$E$11/Assumptions!$E$20</f>
        <v>0.332668128464425</v>
      </c>
      <c r="R11" s="27" t="n">
        <f aca="false">R5*Assumptions!$E$11/Assumptions!$E$20</f>
        <v>0.294624998080816</v>
      </c>
      <c r="S11" s="27" t="n">
        <f aca="false">S5*Assumptions!$E$11/Assumptions!$E$20</f>
        <v>0.257711001451019</v>
      </c>
      <c r="T11" s="27" t="n">
        <f aca="false">T5*Assumptions!$E$11/Assumptions!$E$20</f>
        <v>0.221899794452447</v>
      </c>
      <c r="U11" s="27" t="n">
        <f aca="false">U5*Assumptions!$E$11/Assumptions!$E$20</f>
        <v>0.18716558613381</v>
      </c>
      <c r="V11" s="27" t="n">
        <f aca="false">V5*Assumptions!$E$11/Assumptions!$E$20</f>
        <v>0.153483127770187</v>
      </c>
      <c r="W11" s="27" t="n">
        <f aca="false">W5*Assumptions!$E$11/Assumptions!$E$20</f>
        <v>0.120827702126538</v>
      </c>
      <c r="X11" s="27" t="n">
        <f aca="false">X5*Assumptions!$E$11/Assumptions!$E$20</f>
        <v>0.0891751129257626</v>
      </c>
      <c r="Y11" s="27" t="n">
        <f aca="false">Y5*Assumptions!$E$11/Assumptions!$E$20</f>
        <v>0.0585016745175392</v>
      </c>
      <c r="Z11" s="27" t="n">
        <f aca="false">Z5*Assumptions!$E$11/Assumptions!$E$20</f>
        <v>0.0287842017442011</v>
      </c>
    </row>
    <row r="12" customFormat="false" ht="15" hidden="false" customHeight="true" outlineLevel="0" collapsed="false">
      <c r="B12" s="28" t="s">
        <v>181</v>
      </c>
      <c r="C12" s="29" t="n">
        <f aca="false">MAX(0,C10-C11)</f>
        <v>5.25</v>
      </c>
      <c r="D12" s="29" t="n">
        <f aca="false">MAX(0,D10-D11)</f>
        <v>4.95098700062316</v>
      </c>
      <c r="E12" s="29" t="n">
        <f aca="false">MAX(0,E10-E11)</f>
        <v>4.66017814889523</v>
      </c>
      <c r="F12" s="29" t="n">
        <f aca="false">MAX(0,F10-F11)</f>
        <v>4.37738778228017</v>
      </c>
      <c r="G12" s="29" t="n">
        <f aca="false">MAX(0,G10-G11)</f>
        <v>4.10243407403836</v>
      </c>
      <c r="H12" s="29" t="n">
        <f aca="false">MAX(0,H10-H11)</f>
        <v>3.83513895809263</v>
      </c>
      <c r="I12" s="29" t="n">
        <f aca="false">MAX(0,I10-I11)</f>
        <v>3.57532805531534</v>
      </c>
      <c r="J12" s="29" t="n">
        <f aca="false">MAX(0,J10-J11)</f>
        <v>3.32283060121024</v>
      </c>
      <c r="K12" s="29" t="n">
        <f aca="false">MAX(0,K10-K11)</f>
        <v>3.07747937496337</v>
      </c>
      <c r="L12" s="29" t="n">
        <f aca="false">MAX(0,L10-L11)</f>
        <v>2.8391106298378</v>
      </c>
      <c r="M12" s="29" t="n">
        <f aca="false">MAX(0,M10-M11)</f>
        <v>2.60756402488728</v>
      </c>
      <c r="N12" s="29" t="n">
        <f aca="false">MAX(0,N10-N11)</f>
        <v>2.38268255796449</v>
      </c>
      <c r="O12" s="29" t="n">
        <f aca="false">MAX(0,O10-O11)</f>
        <v>2.1643125</v>
      </c>
      <c r="P12" s="29" t="n">
        <f aca="false">MAX(0,P10-P11)</f>
        <v>1.95230333052834</v>
      </c>
      <c r="Q12" s="29" t="n">
        <f aca="false">MAX(0,Q10-Q11)</f>
        <v>1.74650767443823</v>
      </c>
      <c r="R12" s="29" t="n">
        <f aca="false">MAX(0,R10-R11)</f>
        <v>1.54678123992428</v>
      </c>
      <c r="S12" s="29" t="n">
        <f aca="false">MAX(0,S10-S11)</f>
        <v>1.35298275761785</v>
      </c>
      <c r="T12" s="29" t="n">
        <f aca="false">MAX(0,T10-T11)</f>
        <v>1.16497392087535</v>
      </c>
      <c r="U12" s="29" t="n">
        <f aca="false">MAX(0,U10-U11)</f>
        <v>0.9826193272025</v>
      </c>
      <c r="V12" s="29" t="n">
        <f aca="false">MAX(0,V10-V11)</f>
        <v>0.805786420793483</v>
      </c>
      <c r="W12" s="29" t="n">
        <f aca="false">MAX(0,W10-W11)</f>
        <v>0.634345436164325</v>
      </c>
      <c r="X12" s="29" t="n">
        <f aca="false">MAX(0,X10-X11)</f>
        <v>0.468169342860254</v>
      </c>
      <c r="Y12" s="29" t="n">
        <f aca="false">MAX(0,Y10-Y11)</f>
        <v>0.307133791217081</v>
      </c>
      <c r="Z12" s="29" t="n">
        <f aca="false">MAX(0,Z10-Z11)</f>
        <v>0.151117059157056</v>
      </c>
    </row>
    <row r="13" customFormat="false" ht="15" hidden="false" customHeight="true" outlineLevel="0" collapsed="false">
      <c r="B13" s="28" t="s">
        <v>182</v>
      </c>
      <c r="C13" s="29" t="n">
        <f aca="false">C6+C8+C9</f>
        <v>44.0634078044521</v>
      </c>
      <c r="D13" s="29" t="n">
        <f aca="false">D6+D8+D9</f>
        <v>43.2579251709161</v>
      </c>
      <c r="E13" s="29" t="n">
        <f aca="false">E6+E8+E9</f>
        <v>42.466928186237</v>
      </c>
      <c r="F13" s="29" t="n">
        <f aca="false">F6+F8+F9</f>
        <v>43.6238770484919</v>
      </c>
      <c r="G13" s="29" t="n">
        <f aca="false">G6+G8+G9</f>
        <v>42.7475025025434</v>
      </c>
      <c r="H13" s="29" t="n">
        <f aca="false">H6+H8+H9</f>
        <v>41.8879873261282</v>
      </c>
      <c r="I13" s="29" t="n">
        <f aca="false">I6+I8+I9</f>
        <v>41.0450166405632</v>
      </c>
      <c r="J13" s="29" t="n">
        <f aca="false">J6+J8+J9</f>
        <v>40.2182813229951</v>
      </c>
      <c r="K13" s="29" t="n">
        <f aca="false">K6+K8+K9</f>
        <v>39.4074779028916</v>
      </c>
      <c r="L13" s="29" t="n">
        <f aca="false">L6+L8+L9</f>
        <v>38.61230846037</v>
      </c>
      <c r="M13" s="29" t="n">
        <f aca="false">M6+M8+M9</f>
        <v>37.8324805263303</v>
      </c>
      <c r="N13" s="29" t="n">
        <f aca="false">N6+N8+N9</f>
        <v>37.0677069843636</v>
      </c>
      <c r="O13" s="29" t="n">
        <f aca="false">O6+O8+O9</f>
        <v>36.3177059744016</v>
      </c>
      <c r="P13" s="29" t="n">
        <f aca="false">P6+P8+P9</f>
        <v>35.5822007980787</v>
      </c>
      <c r="Q13" s="29" t="n">
        <f aca="false">Q6+Q8+Q9</f>
        <v>34.8609198257756</v>
      </c>
      <c r="R13" s="29" t="n">
        <f aca="false">R6+R8+R9</f>
        <v>34.1535964053157</v>
      </c>
      <c r="S13" s="29" t="n">
        <f aca="false">S6+S8+S9</f>
        <v>33.4599687722836</v>
      </c>
      <c r="T13" s="29" t="n">
        <f aca="false">T6+T8+T9</f>
        <v>32.7797799619394</v>
      </c>
      <c r="U13" s="29" t="n">
        <f aca="false">U6+U8+U9</f>
        <v>32.1127777226985</v>
      </c>
      <c r="V13" s="29" t="n">
        <f aca="false">V6+V8+V9</f>
        <v>31.458714431151</v>
      </c>
      <c r="W13" s="29" t="n">
        <f aca="false">W6+W8+W9</f>
        <v>30.8173470085931</v>
      </c>
      <c r="X13" s="29" t="n">
        <f aca="false">X6+X8+X9</f>
        <v>30.1884368390433</v>
      </c>
      <c r="Y13" s="29" t="n">
        <f aca="false">Y6+Y8+Y9</f>
        <v>29.5717496887179</v>
      </c>
      <c r="Z13" s="29" t="n">
        <f aca="false">Z6+Z8+Z9</f>
        <v>28.9670556269405</v>
      </c>
    </row>
    <row r="14" customFormat="false" ht="15" hidden="false" customHeight="true" outlineLevel="0" collapsed="false">
      <c r="B14" s="28" t="s">
        <v>183</v>
      </c>
      <c r="C14" s="29" t="n">
        <f aca="false">MAX(0,C5-C6-C7-C9)</f>
        <v>943.04514297584</v>
      </c>
      <c r="D14" s="29" t="n">
        <f aca="false">MAX(0,D5-D6-D7-D9)</f>
        <v>887.652980741948</v>
      </c>
      <c r="E14" s="29" t="n">
        <f aca="false">MAX(0,E5-E6-E7-E9)</f>
        <v>833.788149005746</v>
      </c>
      <c r="F14" s="29" t="n">
        <f aca="false">MAX(0,F5-F6-F7-F9)</f>
        <v>781.416014102544</v>
      </c>
      <c r="G14" s="29" t="n">
        <f aca="false">MAX(0,G5-G6-G7-G9)</f>
        <v>730.50265868431</v>
      </c>
      <c r="H14" s="29" t="n">
        <f aca="false">MAX(0,H5-H6-H7-H9)</f>
        <v>681.014867679113</v>
      </c>
      <c r="I14" s="29" t="n">
        <f aca="false">MAX(0,I5-I6-I7-I9)</f>
        <v>632.920114516236</v>
      </c>
      <c r="J14" s="29" t="n">
        <f aca="false">MAX(0,J5-J6-J7-J9)</f>
        <v>586.186547612071</v>
      </c>
      <c r="K14" s="29" t="n">
        <f aca="false">MAX(0,K5-K6-K7-K9)</f>
        <v>540.782977111963</v>
      </c>
      <c r="L14" s="29" t="n">
        <f aca="false">MAX(0,L5-L6-L7-L9)</f>
        <v>496.678861883292</v>
      </c>
      <c r="M14" s="29" t="n">
        <f aca="false">MAX(0,M5-M6-M7-M9)</f>
        <v>453.844296755142</v>
      </c>
      <c r="N14" s="29" t="n">
        <f aca="false">MAX(0,N5-N6-N7-N9)</f>
        <v>412.25</v>
      </c>
      <c r="O14" s="29" t="n">
        <f aca="false">MAX(0,O5-O6-O7-O9)</f>
        <v>371.867301053017</v>
      </c>
      <c r="P14" s="29" t="n">
        <f aca="false">MAX(0,P5-P6-P7-P9)</f>
        <v>332.668128464426</v>
      </c>
      <c r="Q14" s="29" t="n">
        <f aca="false">MAX(0,Q5-Q6-Q7-Q9)</f>
        <v>294.624998080816</v>
      </c>
      <c r="R14" s="29" t="n">
        <f aca="false">MAX(0,R5-R6-R7-R9)</f>
        <v>257.711001451019</v>
      </c>
      <c r="S14" s="29" t="n">
        <f aca="false">MAX(0,S5-S6-S7-S9)</f>
        <v>221.899794452447</v>
      </c>
      <c r="T14" s="29" t="n">
        <f aca="false">MAX(0,T5-T6-T7-T9)</f>
        <v>187.16558613381</v>
      </c>
      <c r="U14" s="29" t="n">
        <f aca="false">MAX(0,U5-U6-U7-U9)</f>
        <v>153.483127770187</v>
      </c>
      <c r="V14" s="29" t="n">
        <f aca="false">MAX(0,V5-V6-V7-V9)</f>
        <v>120.827702126538</v>
      </c>
      <c r="W14" s="29" t="n">
        <f aca="false">MAX(0,W5-W6-W7-W9)</f>
        <v>89.1751129257626</v>
      </c>
      <c r="X14" s="29" t="n">
        <f aca="false">MAX(0,X5-X6-X7-X9)</f>
        <v>58.5016745175391</v>
      </c>
      <c r="Y14" s="29" t="n">
        <f aca="false">MAX(0,Y5-Y6-Y7-Y9)</f>
        <v>28.7842017442011</v>
      </c>
      <c r="Z14" s="29" t="n">
        <f aca="false">MAX(0,Z5-Z6-Z7-Z9)</f>
        <v>0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184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185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186</v>
      </c>
      <c r="C5" s="30" t="n">
        <f aca="false">1-(1-Assumptions!$E$7)^(1/Assumptions!$E$20)</f>
        <v>0.00253504861383669</v>
      </c>
      <c r="D5" s="30" t="n">
        <f aca="false">1-(1-Assumptions!$E$7)^(1/Assumptions!$E$20)</f>
        <v>0.00253504861383669</v>
      </c>
      <c r="E5" s="30" t="n">
        <f aca="false">1-(1-Assumptions!$E$7)^(1/Assumptions!$E$20)</f>
        <v>0.00253504861383669</v>
      </c>
      <c r="F5" s="30" t="n">
        <f aca="false">1-(1-Assumptions!$E$7)^(1/Assumptions!$E$20)</f>
        <v>0.00253504861383669</v>
      </c>
      <c r="G5" s="30" t="n">
        <f aca="false">1-(1-Assumptions!$E$7)^(1/Assumptions!$E$20)</f>
        <v>0.00253504861383669</v>
      </c>
      <c r="H5" s="30" t="n">
        <f aca="false">1-(1-Assumptions!$E$7)^(1/Assumptions!$E$20)</f>
        <v>0.00253504861383669</v>
      </c>
      <c r="I5" s="30" t="n">
        <f aca="false">1-(1-Assumptions!$E$7)^(1/Assumptions!$E$20)</f>
        <v>0.00253504861383669</v>
      </c>
      <c r="J5" s="30" t="n">
        <f aca="false">1-(1-Assumptions!$E$7)^(1/Assumptions!$E$20)</f>
        <v>0.00253504861383669</v>
      </c>
      <c r="K5" s="30" t="n">
        <f aca="false">1-(1-Assumptions!$E$7)^(1/Assumptions!$E$20)</f>
        <v>0.00253504861383669</v>
      </c>
      <c r="L5" s="30" t="n">
        <f aca="false">1-(1-Assumptions!$E$7)^(1/Assumptions!$E$20)</f>
        <v>0.00253504861383669</v>
      </c>
      <c r="M5" s="30" t="n">
        <f aca="false">1-(1-Assumptions!$E$7)^(1/Assumptions!$E$20)</f>
        <v>0.00253504861383669</v>
      </c>
      <c r="N5" s="30" t="n">
        <f aca="false">1-(1-Assumptions!$E$7)^(1/Assumptions!$E$20)</f>
        <v>0.00253504861383669</v>
      </c>
      <c r="O5" s="30" t="n">
        <f aca="false">1-(1-Assumptions!$E$7)^(1/Assumptions!$E$20)</f>
        <v>0.00253504861383669</v>
      </c>
      <c r="P5" s="30" t="n">
        <f aca="false">1-(1-Assumptions!$E$7)^(1/Assumptions!$E$20)</f>
        <v>0.00253504861383669</v>
      </c>
      <c r="Q5" s="30" t="n">
        <f aca="false">1-(1-Assumptions!$E$7)^(1/Assumptions!$E$20)</f>
        <v>0.00253504861383669</v>
      </c>
      <c r="R5" s="30" t="n">
        <f aca="false">1-(1-Assumptions!$E$7)^(1/Assumptions!$E$20)</f>
        <v>0.00253504861383669</v>
      </c>
      <c r="S5" s="30" t="n">
        <f aca="false">1-(1-Assumptions!$E$7)^(1/Assumptions!$E$20)</f>
        <v>0.00253504861383669</v>
      </c>
      <c r="T5" s="30" t="n">
        <f aca="false">1-(1-Assumptions!$E$7)^(1/Assumptions!$E$20)</f>
        <v>0.00253504861383669</v>
      </c>
      <c r="U5" s="30" t="n">
        <f aca="false">1-(1-Assumptions!$E$7)^(1/Assumptions!$E$20)</f>
        <v>0.00253504861383669</v>
      </c>
      <c r="V5" s="30" t="n">
        <f aca="false">1-(1-Assumptions!$E$7)^(1/Assumptions!$E$20)</f>
        <v>0.00253504861383669</v>
      </c>
      <c r="W5" s="30" t="n">
        <f aca="false">1-(1-Assumptions!$E$7)^(1/Assumptions!$E$20)</f>
        <v>0.00253504861383669</v>
      </c>
      <c r="X5" s="30" t="n">
        <f aca="false">1-(1-Assumptions!$E$7)^(1/Assumptions!$E$20)</f>
        <v>0.00253504861383669</v>
      </c>
      <c r="Y5" s="30" t="n">
        <f aca="false">1-(1-Assumptions!$E$7)^(1/Assumptions!$E$20)</f>
        <v>0.00253504861383669</v>
      </c>
      <c r="Z5" s="30" t="n">
        <f aca="false">1-(1-Assumptions!$E$7)^(1/Assumptions!$E$20)</f>
        <v>0.00253504861383669</v>
      </c>
    </row>
    <row r="6" customFormat="false" ht="15" hidden="false" customHeight="true" outlineLevel="0" collapsed="false">
      <c r="B6" s="1" t="s">
        <v>187</v>
      </c>
      <c r="C6" s="30" t="n">
        <f aca="false">1-(1-Assumptions!$E$8)^(1/Assumptions!$E$20)</f>
        <v>0.0134519470118689</v>
      </c>
      <c r="D6" s="30" t="n">
        <f aca="false">1-(1-Assumptions!$E$8)^(1/Assumptions!$E$20)</f>
        <v>0.0134519470118689</v>
      </c>
      <c r="E6" s="30" t="n">
        <f aca="false">1-(1-Assumptions!$E$8)^(1/Assumptions!$E$20)</f>
        <v>0.0134519470118689</v>
      </c>
      <c r="F6" s="30" t="n">
        <f aca="false">1-(1-Assumptions!$E$8)^(1/Assumptions!$E$20)</f>
        <v>0.0134519470118689</v>
      </c>
      <c r="G6" s="30" t="n">
        <f aca="false">1-(1-Assumptions!$E$8)^(1/Assumptions!$E$20)</f>
        <v>0.0134519470118689</v>
      </c>
      <c r="H6" s="30" t="n">
        <f aca="false">1-(1-Assumptions!$E$8)^(1/Assumptions!$E$20)</f>
        <v>0.0134519470118689</v>
      </c>
      <c r="I6" s="30" t="n">
        <f aca="false">1-(1-Assumptions!$E$8)^(1/Assumptions!$E$20)</f>
        <v>0.0134519470118689</v>
      </c>
      <c r="J6" s="30" t="n">
        <f aca="false">1-(1-Assumptions!$E$8)^(1/Assumptions!$E$20)</f>
        <v>0.0134519470118689</v>
      </c>
      <c r="K6" s="30" t="n">
        <f aca="false">1-(1-Assumptions!$E$8)^(1/Assumptions!$E$20)</f>
        <v>0.0134519470118689</v>
      </c>
      <c r="L6" s="30" t="n">
        <f aca="false">1-(1-Assumptions!$E$8)^(1/Assumptions!$E$20)</f>
        <v>0.0134519470118689</v>
      </c>
      <c r="M6" s="30" t="n">
        <f aca="false">1-(1-Assumptions!$E$8)^(1/Assumptions!$E$20)</f>
        <v>0.0134519470118689</v>
      </c>
      <c r="N6" s="30" t="n">
        <f aca="false">1-(1-Assumptions!$E$8)^(1/Assumptions!$E$20)</f>
        <v>0.0134519470118689</v>
      </c>
      <c r="O6" s="30" t="n">
        <f aca="false">1-(1-Assumptions!$E$8)^(1/Assumptions!$E$20)</f>
        <v>0.0134519470118689</v>
      </c>
      <c r="P6" s="30" t="n">
        <f aca="false">1-(1-Assumptions!$E$8)^(1/Assumptions!$E$20)</f>
        <v>0.0134519470118689</v>
      </c>
      <c r="Q6" s="30" t="n">
        <f aca="false">1-(1-Assumptions!$E$8)^(1/Assumptions!$E$20)</f>
        <v>0.0134519470118689</v>
      </c>
      <c r="R6" s="30" t="n">
        <f aca="false">1-(1-Assumptions!$E$8)^(1/Assumptions!$E$20)</f>
        <v>0.0134519470118689</v>
      </c>
      <c r="S6" s="30" t="n">
        <f aca="false">1-(1-Assumptions!$E$8)^(1/Assumptions!$E$20)</f>
        <v>0.0134519470118689</v>
      </c>
      <c r="T6" s="30" t="n">
        <f aca="false">1-(1-Assumptions!$E$8)^(1/Assumptions!$E$20)</f>
        <v>0.0134519470118689</v>
      </c>
      <c r="U6" s="30" t="n">
        <f aca="false">1-(1-Assumptions!$E$8)^(1/Assumptions!$E$20)</f>
        <v>0.0134519470118689</v>
      </c>
      <c r="V6" s="30" t="n">
        <f aca="false">1-(1-Assumptions!$E$8)^(1/Assumptions!$E$20)</f>
        <v>0.0134519470118689</v>
      </c>
      <c r="W6" s="30" t="n">
        <f aca="false">1-(1-Assumptions!$E$8)^(1/Assumptions!$E$20)</f>
        <v>0.0134519470118689</v>
      </c>
      <c r="X6" s="30" t="n">
        <f aca="false">1-(1-Assumptions!$E$8)^(1/Assumptions!$E$20)</f>
        <v>0.0134519470118689</v>
      </c>
      <c r="Y6" s="30" t="n">
        <f aca="false">1-(1-Assumptions!$E$8)^(1/Assumptions!$E$20)</f>
        <v>0.0134519470118689</v>
      </c>
      <c r="Z6" s="30" t="n">
        <f aca="false">1-(1-Assumptions!$E$8)^(1/Assumptions!$E$20)</f>
        <v>0.0134519470118689</v>
      </c>
    </row>
    <row r="7" customFormat="false" ht="15" hidden="false" customHeight="true" outlineLevel="0" collapsed="false">
      <c r="B7" s="1" t="s">
        <v>133</v>
      </c>
      <c r="C7" s="30" t="n">
        <f aca="false">Assumptions!$E$9</f>
        <v>0.15</v>
      </c>
      <c r="D7" s="30" t="n">
        <f aca="false">Assumptions!$E$9</f>
        <v>0.15</v>
      </c>
      <c r="E7" s="30" t="n">
        <f aca="false">Assumptions!$E$9</f>
        <v>0.15</v>
      </c>
      <c r="F7" s="30" t="n">
        <f aca="false">Assumptions!$E$9</f>
        <v>0.15</v>
      </c>
      <c r="G7" s="30" t="n">
        <f aca="false">Assumptions!$E$9</f>
        <v>0.15</v>
      </c>
      <c r="H7" s="30" t="n">
        <f aca="false">Assumptions!$E$9</f>
        <v>0.15</v>
      </c>
      <c r="I7" s="30" t="n">
        <f aca="false">Assumptions!$E$9</f>
        <v>0.15</v>
      </c>
      <c r="J7" s="30" t="n">
        <f aca="false">Assumptions!$E$9</f>
        <v>0.15</v>
      </c>
      <c r="K7" s="30" t="n">
        <f aca="false">Assumptions!$E$9</f>
        <v>0.15</v>
      </c>
      <c r="L7" s="30" t="n">
        <f aca="false">Assumptions!$E$9</f>
        <v>0.15</v>
      </c>
      <c r="M7" s="30" t="n">
        <f aca="false">Assumptions!$E$9</f>
        <v>0.15</v>
      </c>
      <c r="N7" s="30" t="n">
        <f aca="false">Assumptions!$E$9</f>
        <v>0.15</v>
      </c>
      <c r="O7" s="30" t="n">
        <f aca="false">Assumptions!$E$9</f>
        <v>0.15</v>
      </c>
      <c r="P7" s="30" t="n">
        <f aca="false">Assumptions!$E$9</f>
        <v>0.15</v>
      </c>
      <c r="Q7" s="30" t="n">
        <f aca="false">Assumptions!$E$9</f>
        <v>0.15</v>
      </c>
      <c r="R7" s="30" t="n">
        <f aca="false">Assumptions!$E$9</f>
        <v>0.15</v>
      </c>
      <c r="S7" s="30" t="n">
        <f aca="false">Assumptions!$E$9</f>
        <v>0.15</v>
      </c>
      <c r="T7" s="30" t="n">
        <f aca="false">Assumptions!$E$9</f>
        <v>0.15</v>
      </c>
      <c r="U7" s="30" t="n">
        <f aca="false">Assumptions!$E$9</f>
        <v>0.15</v>
      </c>
      <c r="V7" s="30" t="n">
        <f aca="false">Assumptions!$E$9</f>
        <v>0.15</v>
      </c>
      <c r="W7" s="30" t="n">
        <f aca="false">Assumptions!$E$9</f>
        <v>0.15</v>
      </c>
      <c r="X7" s="30" t="n">
        <f aca="false">Assumptions!$E$9</f>
        <v>0.15</v>
      </c>
      <c r="Y7" s="30" t="n">
        <f aca="false">Assumptions!$E$9</f>
        <v>0.15</v>
      </c>
      <c r="Z7" s="30" t="n">
        <f aca="false">Assumptions!$E$9</f>
        <v>0.15</v>
      </c>
    </row>
    <row r="8" customFormat="false" ht="15" hidden="false" customHeight="true" outlineLevel="0" collapsed="false">
      <c r="B8" s="1" t="s">
        <v>188</v>
      </c>
      <c r="C8" s="30" t="n">
        <f aca="false">Collateral!C9/Assumptions!$E$5</f>
        <v>0.00239674113778539</v>
      </c>
      <c r="D8" s="30" t="n">
        <f aca="false">C8+Collateral!D9/Assumptions!$E$5</f>
        <v>0.0046527035706215</v>
      </c>
      <c r="E8" s="30" t="n">
        <f aca="false">D8+Collateral!E9/Assumptions!$E$5</f>
        <v>0.00677176899586086</v>
      </c>
      <c r="F8" s="30" t="n">
        <f aca="false">E8+Collateral!F9/Assumptions!$E$5</f>
        <v>0.00875773108969441</v>
      </c>
      <c r="G8" s="30" t="n">
        <f aca="false">F8+Collateral!G9/Assumptions!$E$5</f>
        <v>0.0106142973276641</v>
      </c>
      <c r="H8" s="30" t="n">
        <f aca="false">G8+Collateral!H9/Assumptions!$E$5</f>
        <v>0.0123450907694918</v>
      </c>
      <c r="I8" s="30" t="n">
        <f aca="false">H8+Collateral!I9/Assumptions!$E$5</f>
        <v>0.0139536518088988</v>
      </c>
      <c r="J8" s="30" t="n">
        <f aca="false">I8+Collateral!J9/Assumptions!$E$5</f>
        <v>0.01544343988908</v>
      </c>
      <c r="K8" s="30" t="n">
        <f aca="false">J8+Collateral!K9/Assumptions!$E$5</f>
        <v>0.0168178351844827</v>
      </c>
      <c r="L8" s="30" t="n">
        <f aca="false">K8+Collateral!L9/Assumptions!$E$5</f>
        <v>0.0180801402495273</v>
      </c>
      <c r="M8" s="30" t="n">
        <f aca="false">L8+Collateral!M9/Assumptions!$E$5</f>
        <v>0.0192335816348992</v>
      </c>
      <c r="N8" s="30" t="n">
        <f aca="false">M8+Collateral!N9/Assumptions!$E$5</f>
        <v>0.0202813114720247</v>
      </c>
      <c r="O8" s="30" t="n">
        <f aca="false">N8+Collateral!O9/Assumptions!$E$5</f>
        <v>0.0212264090263353</v>
      </c>
      <c r="P8" s="30" t="n">
        <f aca="false">O8+Collateral!P9/Assumptions!$E$5</f>
        <v>0.0220718822199141</v>
      </c>
      <c r="Q8" s="30" t="n">
        <f aca="false">P8+Collateral!Q9/Assumptions!$E$5</f>
        <v>0.022820669124104</v>
      </c>
      <c r="R8" s="30" t="n">
        <f aca="false">Q8+Collateral!R9/Assumptions!$E$5</f>
        <v>0.0234756394226503</v>
      </c>
      <c r="S8" s="30" t="n">
        <f aca="false">R8+Collateral!S9/Assumptions!$E$5</f>
        <v>0.0240395958459368</v>
      </c>
      <c r="T8" s="30" t="n">
        <f aca="false">S8+Collateral!T9/Assumptions!$E$5</f>
        <v>0.0245152755768657</v>
      </c>
      <c r="U8" s="30" t="n">
        <f aca="false">T8+Collateral!U9/Assumptions!$E$5</f>
        <v>0.0249053516289219</v>
      </c>
      <c r="V8" s="30" t="n">
        <f aca="false">U8+Collateral!V9/Assumptions!$E$5</f>
        <v>0.0252124341969493</v>
      </c>
      <c r="W8" s="30" t="n">
        <f aca="false">V8+Collateral!W9/Assumptions!$E$5</f>
        <v>0.0254390719811612</v>
      </c>
      <c r="X8" s="30" t="n">
        <f aca="false">W8+Collateral!X9/Assumptions!$E$5</f>
        <v>0.0255877534848939</v>
      </c>
      <c r="Y8" s="30" t="n">
        <f aca="false">X8+Collateral!Y9/Assumptions!$E$5</f>
        <v>0.0256609082866047</v>
      </c>
      <c r="Z8" s="30" t="n">
        <f aca="false">Y8+Collateral!Z9/Assumptions!$E$5</f>
        <v>0.0256609082866047</v>
      </c>
    </row>
    <row r="9" customFormat="false" ht="15" hidden="false" customHeight="true" outlineLevel="0" collapsed="false">
      <c r="B9" s="1" t="s">
        <v>189</v>
      </c>
      <c r="C9" s="30" t="n">
        <f aca="false">Collateral!C9*(1-C7)/Assumptions!$E$5</f>
        <v>0.00203722996711758</v>
      </c>
      <c r="D9" s="30" t="n">
        <f aca="false">C9+Collateral!D9*(1-D7)/Assumptions!$E$5</f>
        <v>0.00395479803502828</v>
      </c>
      <c r="E9" s="30" t="n">
        <f aca="false">D9+Collateral!E9*(1-E7)/Assumptions!$E$5</f>
        <v>0.00575600364648173</v>
      </c>
      <c r="F9" s="30" t="n">
        <f aca="false">E9+Collateral!F9*(1-F7)/Assumptions!$E$5</f>
        <v>0.00744407142624024</v>
      </c>
      <c r="G9" s="30" t="n">
        <f aca="false">F9+Collateral!G9*(1-G7)/Assumptions!$E$5</f>
        <v>0.00902215272851452</v>
      </c>
      <c r="H9" s="30" t="n">
        <f aca="false">G9+Collateral!H9*(1-H7)/Assumptions!$E$5</f>
        <v>0.010493327154068</v>
      </c>
      <c r="I9" s="30" t="n">
        <f aca="false">H9+Collateral!I9*(1-I7)/Assumptions!$E$5</f>
        <v>0.0118606040375639</v>
      </c>
      <c r="J9" s="30" t="n">
        <f aca="false">I9+Collateral!J9*(1-J7)/Assumptions!$E$5</f>
        <v>0.013126923905718</v>
      </c>
      <c r="K9" s="30" t="n">
        <f aca="false">J9+Collateral!K9*(1-K7)/Assumptions!$E$5</f>
        <v>0.0142951599068103</v>
      </c>
      <c r="L9" s="30" t="n">
        <f aca="false">K9+Collateral!L9*(1-L7)/Assumptions!$E$5</f>
        <v>0.0153681192120982</v>
      </c>
      <c r="M9" s="30" t="n">
        <f aca="false">L9+Collateral!M9*(1-M7)/Assumptions!$E$5</f>
        <v>0.0163485443896643</v>
      </c>
      <c r="N9" s="30" t="n">
        <f aca="false">M9+Collateral!N9*(1-N7)/Assumptions!$E$5</f>
        <v>0.017239114751221</v>
      </c>
      <c r="O9" s="30" t="n">
        <f aca="false">N9+Collateral!O9*(1-O7)/Assumptions!$E$5</f>
        <v>0.018042447672385</v>
      </c>
      <c r="P9" s="30" t="n">
        <f aca="false">O9+Collateral!P9*(1-P7)/Assumptions!$E$5</f>
        <v>0.018761099886927</v>
      </c>
      <c r="Q9" s="30" t="n">
        <f aca="false">P9+Collateral!Q9*(1-Q7)/Assumptions!$E$5</f>
        <v>0.0193975687554884</v>
      </c>
      <c r="R9" s="30" t="n">
        <f aca="false">Q9+Collateral!R9*(1-R7)/Assumptions!$E$5</f>
        <v>0.0199542935092528</v>
      </c>
      <c r="S9" s="30" t="n">
        <f aca="false">R9+Collateral!S9*(1-S7)/Assumptions!$E$5</f>
        <v>0.0204336564690463</v>
      </c>
      <c r="T9" s="30" t="n">
        <f aca="false">S9+Collateral!T9*(1-T7)/Assumptions!$E$5</f>
        <v>0.0208379842403359</v>
      </c>
      <c r="U9" s="30" t="n">
        <f aca="false">T9+Collateral!U9*(1-U7)/Assumptions!$E$5</f>
        <v>0.0211695488845836</v>
      </c>
      <c r="V9" s="30" t="n">
        <f aca="false">U9+Collateral!V9*(1-V7)/Assumptions!$E$5</f>
        <v>0.0214305690674069</v>
      </c>
      <c r="W9" s="30" t="n">
        <f aca="false">V9+Collateral!W9*(1-W7)/Assumptions!$E$5</f>
        <v>0.021623211183987</v>
      </c>
      <c r="X9" s="30" t="n">
        <f aca="false">W9+Collateral!X9*(1-X7)/Assumptions!$E$5</f>
        <v>0.0217495904621599</v>
      </c>
      <c r="Y9" s="30" t="n">
        <f aca="false">X9+Collateral!Y9*(1-Y7)/Assumptions!$E$5</f>
        <v>0.021811772043614</v>
      </c>
      <c r="Z9" s="30" t="n">
        <f aca="false">Y9+Collateral!Z9*(1-Z7)/Assumptions!$E$5</f>
        <v>0.021811772043614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128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191</v>
      </c>
      <c r="C5" s="27" t="n">
        <f aca="false">Collateral!C12+Collateral!C8</f>
        <v>5.25</v>
      </c>
      <c r="D5" s="27" t="n">
        <f aca="false">Collateral!D12+Collateral!D8</f>
        <v>4.95098700062316</v>
      </c>
      <c r="E5" s="27" t="n">
        <f aca="false">Collateral!E12+Collateral!E8</f>
        <v>4.66017814889523</v>
      </c>
      <c r="F5" s="27" t="n">
        <f aca="false">Collateral!F12+Collateral!F8</f>
        <v>6.31110516523632</v>
      </c>
      <c r="G5" s="27" t="n">
        <f aca="false">Collateral!G12+Collateral!G8</f>
        <v>5.92256963348477</v>
      </c>
      <c r="H5" s="27" t="n">
        <f aca="false">Collateral!H12+Collateral!H8</f>
        <v>5.54482449058739</v>
      </c>
      <c r="I5" s="27" t="n">
        <f aca="false">Collateral!I12+Collateral!I8</f>
        <v>5.17762434096528</v>
      </c>
      <c r="J5" s="27" t="n">
        <f aca="false">Collateral!J12+Collateral!J8</f>
        <v>4.82072887248073</v>
      </c>
      <c r="K5" s="27" t="n">
        <f aca="false">Collateral!K12+Collateral!K8</f>
        <v>4.47390275669795</v>
      </c>
      <c r="L5" s="27" t="n">
        <f aca="false">Collateral!L12+Collateral!L8</f>
        <v>4.13691555103234</v>
      </c>
      <c r="M5" s="27" t="n">
        <f aca="false">Collateral!M12+Collateral!M8</f>
        <v>3.80954160275341</v>
      </c>
      <c r="N5" s="27" t="n">
        <f aca="false">Collateral!N12+Collateral!N8</f>
        <v>3.49155995480717</v>
      </c>
      <c r="O5" s="27" t="n">
        <f aca="false">Collateral!O12+Collateral!O8</f>
        <v>3.18275425342432</v>
      </c>
      <c r="P5" s="27" t="n">
        <f aca="false">Collateral!P12+Collateral!P8</f>
        <v>2.88291265748122</v>
      </c>
      <c r="Q5" s="27" t="n">
        <f aca="false">Collateral!Q12+Collateral!Q8</f>
        <v>2.59182774958134</v>
      </c>
      <c r="R5" s="27" t="n">
        <f aca="false">Collateral!R12+Collateral!R8</f>
        <v>2.30929644882519</v>
      </c>
      <c r="S5" s="27" t="n">
        <f aca="false">Collateral!S12+Collateral!S8</f>
        <v>2.03511992523765</v>
      </c>
      <c r="T5" s="27" t="n">
        <f aca="false">Collateral!T12+Collateral!T8</f>
        <v>1.76910351582189</v>
      </c>
      <c r="U5" s="27" t="n">
        <f aca="false">Collateral!U12+Collateral!U8</f>
        <v>1.51105664220985</v>
      </c>
      <c r="V5" s="27" t="n">
        <f aca="false">Collateral!V12+Collateral!V8</f>
        <v>1.26079272987967</v>
      </c>
      <c r="W5" s="27" t="n">
        <f aca="false">Collateral!W12+Collateral!W8</f>
        <v>1.01812912891104</v>
      </c>
      <c r="X5" s="27" t="n">
        <f aca="false">Collateral!X12+Collateral!X8</f>
        <v>0.782887036249928</v>
      </c>
      <c r="Y5" s="27" t="n">
        <f aca="false">Collateral!Y12+Collateral!Y8</f>
        <v>0.554891419454736</v>
      </c>
      <c r="Z5" s="27" t="n">
        <f aca="false">Collateral!Z12+Collateral!Z8</f>
        <v>0.333970941896414</v>
      </c>
    </row>
    <row r="6" customFormat="false" ht="15" hidden="false" customHeight="true" outlineLevel="0" collapsed="false">
      <c r="B6" s="1" t="s">
        <v>192</v>
      </c>
      <c r="C6" s="27" t="n">
        <f aca="false">Collateral!C13</f>
        <v>44.0634078044521</v>
      </c>
      <c r="D6" s="27" t="n">
        <f aca="false">Collateral!D13</f>
        <v>43.2579251709161</v>
      </c>
      <c r="E6" s="27" t="n">
        <f aca="false">Collateral!E13</f>
        <v>42.466928186237</v>
      </c>
      <c r="F6" s="27" t="n">
        <f aca="false">Collateral!F13</f>
        <v>43.6238770484919</v>
      </c>
      <c r="G6" s="27" t="n">
        <f aca="false">Collateral!G13</f>
        <v>42.7475025025434</v>
      </c>
      <c r="H6" s="27" t="n">
        <f aca="false">Collateral!H13</f>
        <v>41.8879873261282</v>
      </c>
      <c r="I6" s="27" t="n">
        <f aca="false">Collateral!I13</f>
        <v>41.0450166405632</v>
      </c>
      <c r="J6" s="27" t="n">
        <f aca="false">Collateral!J13</f>
        <v>40.2182813229951</v>
      </c>
      <c r="K6" s="27" t="n">
        <f aca="false">Collateral!K13</f>
        <v>39.4074779028916</v>
      </c>
      <c r="L6" s="27" t="n">
        <f aca="false">Collateral!L13</f>
        <v>38.61230846037</v>
      </c>
      <c r="M6" s="27" t="n">
        <f aca="false">Collateral!M13</f>
        <v>37.8324805263303</v>
      </c>
      <c r="N6" s="27" t="n">
        <f aca="false">Collateral!N13</f>
        <v>37.0677069843636</v>
      </c>
      <c r="O6" s="27" t="n">
        <f aca="false">Collateral!O13</f>
        <v>36.3177059744016</v>
      </c>
      <c r="P6" s="27" t="n">
        <f aca="false">Collateral!P13</f>
        <v>35.5822007980787</v>
      </c>
      <c r="Q6" s="27" t="n">
        <f aca="false">Collateral!Q13</f>
        <v>34.8609198257756</v>
      </c>
      <c r="R6" s="27" t="n">
        <f aca="false">Collateral!R13</f>
        <v>34.1535964053157</v>
      </c>
      <c r="S6" s="27" t="n">
        <f aca="false">Collateral!S13</f>
        <v>33.4599687722836</v>
      </c>
      <c r="T6" s="27" t="n">
        <f aca="false">Collateral!T13</f>
        <v>32.7797799619394</v>
      </c>
      <c r="U6" s="27" t="n">
        <f aca="false">Collateral!U13</f>
        <v>32.1127777226985</v>
      </c>
      <c r="V6" s="27" t="n">
        <f aca="false">Collateral!V13</f>
        <v>31.458714431151</v>
      </c>
      <c r="W6" s="27" t="n">
        <f aca="false">Collateral!W13</f>
        <v>30.8173470085931</v>
      </c>
      <c r="X6" s="27" t="n">
        <f aca="false">Collateral!X13</f>
        <v>30.1884368390433</v>
      </c>
      <c r="Y6" s="27" t="n">
        <f aca="false">Collateral!Y13</f>
        <v>29.5717496887179</v>
      </c>
      <c r="Z6" s="27" t="n">
        <f aca="false">Collateral!Z13</f>
        <v>28.9670556269405</v>
      </c>
    </row>
    <row r="7" customFormat="false" ht="15" hidden="false" customHeight="true" outlineLevel="0" collapsed="false">
      <c r="B7" s="1" t="s">
        <v>193</v>
      </c>
      <c r="C7" s="27" t="n">
        <f aca="false">Assumptions!E12</f>
        <v>650</v>
      </c>
      <c r="D7" s="27" t="n">
        <f aca="false">C12</f>
        <v>605.936592195548</v>
      </c>
      <c r="E7" s="27" t="n">
        <f aca="false">D12</f>
        <v>562.678667024632</v>
      </c>
      <c r="F7" s="27" t="n">
        <f aca="false">E12</f>
        <v>520.211738838395</v>
      </c>
      <c r="G7" s="27" t="n">
        <f aca="false">F12</f>
        <v>476.587861789903</v>
      </c>
      <c r="H7" s="27" t="n">
        <f aca="false">G12</f>
        <v>433.84035928736</v>
      </c>
      <c r="I7" s="27" t="n">
        <f aca="false">H12</f>
        <v>391.952371961232</v>
      </c>
      <c r="J7" s="27" t="n">
        <f aca="false">I12</f>
        <v>350.907355320668</v>
      </c>
      <c r="K7" s="27" t="n">
        <f aca="false">J12</f>
        <v>310.689073997673</v>
      </c>
      <c r="L7" s="27" t="n">
        <f aca="false">K12</f>
        <v>271.281596094782</v>
      </c>
      <c r="M7" s="27" t="n">
        <f aca="false">L12</f>
        <v>232.669287634412</v>
      </c>
      <c r="N7" s="27" t="n">
        <f aca="false">M12</f>
        <v>194.836807108081</v>
      </c>
      <c r="O7" s="27" t="n">
        <f aca="false">N12</f>
        <v>157.769100123718</v>
      </c>
      <c r="P7" s="27" t="n">
        <f aca="false">O12</f>
        <v>121.451394149316</v>
      </c>
      <c r="Q7" s="27" t="n">
        <f aca="false">P12</f>
        <v>85.8691933512375</v>
      </c>
      <c r="R7" s="27" t="n">
        <f aca="false">Q12</f>
        <v>51.0082735254619</v>
      </c>
      <c r="S7" s="27" t="n">
        <f aca="false">R12</f>
        <v>16.8546771201462</v>
      </c>
      <c r="T7" s="27" t="n">
        <f aca="false">S12</f>
        <v>0</v>
      </c>
      <c r="U7" s="27" t="n">
        <f aca="false">T12</f>
        <v>0</v>
      </c>
      <c r="V7" s="27" t="n">
        <f aca="false">U12</f>
        <v>0</v>
      </c>
      <c r="W7" s="27" t="n">
        <f aca="false">V12</f>
        <v>0</v>
      </c>
      <c r="X7" s="27" t="n">
        <f aca="false">W12</f>
        <v>0</v>
      </c>
      <c r="Y7" s="27" t="n">
        <f aca="false">X12</f>
        <v>0</v>
      </c>
      <c r="Z7" s="27" t="n">
        <f aca="false">Y12</f>
        <v>0</v>
      </c>
    </row>
    <row r="8" customFormat="false" ht="15" hidden="false" customHeight="true" outlineLevel="0" collapsed="false">
      <c r="B8" s="1" t="s">
        <v>194</v>
      </c>
      <c r="C8" s="27" t="n">
        <f aca="false">C7*Assumptions!$E$13/Assumptions!$E$20+0</f>
        <v>3.25</v>
      </c>
      <c r="D8" s="27" t="n">
        <f aca="false">D7*Assumptions!$E$13/Assumptions!$E$20+C10</f>
        <v>3.02968296097774</v>
      </c>
      <c r="E8" s="27" t="n">
        <f aca="false">E7*Assumptions!$E$13/Assumptions!$E$20+D10</f>
        <v>2.81339333512316</v>
      </c>
      <c r="F8" s="27" t="n">
        <f aca="false">F7*Assumptions!$E$13/Assumptions!$E$20+E10</f>
        <v>2.60105869419197</v>
      </c>
      <c r="G8" s="27" t="n">
        <f aca="false">G7*Assumptions!$E$13/Assumptions!$E$20+F10</f>
        <v>2.38293930894952</v>
      </c>
      <c r="H8" s="27" t="n">
        <f aca="false">H7*Assumptions!$E$13/Assumptions!$E$20+G10</f>
        <v>2.1692017964368</v>
      </c>
      <c r="I8" s="27" t="n">
        <f aca="false">I7*Assumptions!$E$13/Assumptions!$E$20+H10</f>
        <v>1.95976185980616</v>
      </c>
      <c r="J8" s="27" t="n">
        <f aca="false">J7*Assumptions!$E$13/Assumptions!$E$20+I10</f>
        <v>1.75453677660334</v>
      </c>
      <c r="K8" s="27" t="n">
        <f aca="false">K7*Assumptions!$E$13/Assumptions!$E$20+J10</f>
        <v>1.55344536998837</v>
      </c>
      <c r="L8" s="27" t="n">
        <f aca="false">L7*Assumptions!$E$13/Assumptions!$E$20+K10</f>
        <v>1.35640798047391</v>
      </c>
      <c r="M8" s="27" t="n">
        <f aca="false">M7*Assumptions!$E$13/Assumptions!$E$20+L10</f>
        <v>1.16334643817206</v>
      </c>
      <c r="N8" s="27" t="n">
        <f aca="false">N7*Assumptions!$E$13/Assumptions!$E$20+M10</f>
        <v>0.974184035540407</v>
      </c>
      <c r="O8" s="27" t="n">
        <f aca="false">O7*Assumptions!$E$13/Assumptions!$E$20+N10</f>
        <v>0.788845500618589</v>
      </c>
      <c r="P8" s="27" t="n">
        <f aca="false">P7*Assumptions!$E$13/Assumptions!$E$20+O10</f>
        <v>0.607256970746581</v>
      </c>
      <c r="Q8" s="27" t="n">
        <f aca="false">Q7*Assumptions!$E$13/Assumptions!$E$20+P10</f>
        <v>0.429345966756187</v>
      </c>
      <c r="R8" s="27" t="n">
        <f aca="false">R7*Assumptions!$E$13/Assumptions!$E$20+Q10</f>
        <v>0.255041367627309</v>
      </c>
      <c r="S8" s="27" t="n">
        <f aca="false">S7*Assumptions!$E$13/Assumptions!$E$20+R10</f>
        <v>0.0842733856007311</v>
      </c>
      <c r="T8" s="27" t="n">
        <f aca="false">T7*Assumptions!$E$13/Assumptions!$E$20+S10</f>
        <v>0</v>
      </c>
      <c r="U8" s="27" t="n">
        <f aca="false">U7*Assumptions!$E$13/Assumptions!$E$20+T10</f>
        <v>0</v>
      </c>
      <c r="V8" s="27" t="n">
        <f aca="false">V7*Assumptions!$E$13/Assumptions!$E$20+U10</f>
        <v>0</v>
      </c>
      <c r="W8" s="27" t="n">
        <f aca="false">W7*Assumptions!$E$13/Assumptions!$E$20+V10</f>
        <v>0</v>
      </c>
      <c r="X8" s="27" t="n">
        <f aca="false">X7*Assumptions!$E$13/Assumptions!$E$20+W10</f>
        <v>0</v>
      </c>
      <c r="Y8" s="27" t="n">
        <f aca="false">Y7*Assumptions!$E$13/Assumptions!$E$20+X10</f>
        <v>0</v>
      </c>
      <c r="Z8" s="27" t="n">
        <f aca="false">Z7*Assumptions!$E$13/Assumptions!$E$20+Y10</f>
        <v>0</v>
      </c>
    </row>
    <row r="9" customFormat="false" ht="15" hidden="false" customHeight="true" outlineLevel="0" collapsed="false">
      <c r="B9" s="1" t="s">
        <v>195</v>
      </c>
      <c r="C9" s="27" t="n">
        <f aca="false">MIN(C5,C8)</f>
        <v>3.25</v>
      </c>
      <c r="D9" s="27" t="n">
        <f aca="false">MIN(D5,D8)</f>
        <v>3.02968296097774</v>
      </c>
      <c r="E9" s="27" t="n">
        <f aca="false">MIN(E5,E8)</f>
        <v>2.81339333512316</v>
      </c>
      <c r="F9" s="27" t="n">
        <f aca="false">MIN(F5,F8)</f>
        <v>2.60105869419197</v>
      </c>
      <c r="G9" s="27" t="n">
        <f aca="false">MIN(G5,G8)</f>
        <v>2.38293930894952</v>
      </c>
      <c r="H9" s="27" t="n">
        <f aca="false">MIN(H5,H8)</f>
        <v>2.1692017964368</v>
      </c>
      <c r="I9" s="27" t="n">
        <f aca="false">MIN(I5,I8)</f>
        <v>1.95976185980616</v>
      </c>
      <c r="J9" s="27" t="n">
        <f aca="false">MIN(J5,J8)</f>
        <v>1.75453677660334</v>
      </c>
      <c r="K9" s="27" t="n">
        <f aca="false">MIN(K5,K8)</f>
        <v>1.55344536998837</v>
      </c>
      <c r="L9" s="27" t="n">
        <f aca="false">MIN(L5,L8)</f>
        <v>1.35640798047391</v>
      </c>
      <c r="M9" s="27" t="n">
        <f aca="false">MIN(M5,M8)</f>
        <v>1.16334643817206</v>
      </c>
      <c r="N9" s="27" t="n">
        <f aca="false">MIN(N5,N8)</f>
        <v>0.974184035540407</v>
      </c>
      <c r="O9" s="27" t="n">
        <f aca="false">MIN(O5,O8)</f>
        <v>0.788845500618589</v>
      </c>
      <c r="P9" s="27" t="n">
        <f aca="false">MIN(P5,P8)</f>
        <v>0.607256970746581</v>
      </c>
      <c r="Q9" s="27" t="n">
        <f aca="false">MIN(Q5,Q8)</f>
        <v>0.429345966756187</v>
      </c>
      <c r="R9" s="27" t="n">
        <f aca="false">MIN(R5,R8)</f>
        <v>0.255041367627309</v>
      </c>
      <c r="S9" s="27" t="n">
        <f aca="false">MIN(S5,S8)</f>
        <v>0.0842733856007311</v>
      </c>
      <c r="T9" s="27" t="n">
        <f aca="false">MIN(T5,T8)</f>
        <v>0</v>
      </c>
      <c r="U9" s="27" t="n">
        <f aca="false">MIN(U5,U8)</f>
        <v>0</v>
      </c>
      <c r="V9" s="27" t="n">
        <f aca="false">MIN(V5,V8)</f>
        <v>0</v>
      </c>
      <c r="W9" s="27" t="n">
        <f aca="false">MIN(W5,W8)</f>
        <v>0</v>
      </c>
      <c r="X9" s="27" t="n">
        <f aca="false">MIN(X5,X8)</f>
        <v>0</v>
      </c>
      <c r="Y9" s="27" t="n">
        <f aca="false">MIN(Y5,Y8)</f>
        <v>0</v>
      </c>
      <c r="Z9" s="27" t="n">
        <f aca="false">MIN(Z5,Z8)</f>
        <v>0</v>
      </c>
    </row>
    <row r="10" customFormat="false" ht="15" hidden="false" customHeight="true" outlineLevel="0" collapsed="false">
      <c r="B10" s="1" t="s">
        <v>196</v>
      </c>
      <c r="C10" s="27" t="n">
        <f aca="false">C8-C9</f>
        <v>0</v>
      </c>
      <c r="D10" s="27" t="n">
        <f aca="false">D8-D9</f>
        <v>0</v>
      </c>
      <c r="E10" s="27" t="n">
        <f aca="false">E8-E9</f>
        <v>0</v>
      </c>
      <c r="F10" s="27" t="n">
        <f aca="false">F8-F9</f>
        <v>0</v>
      </c>
      <c r="G10" s="27" t="n">
        <f aca="false">G8-G9</f>
        <v>0</v>
      </c>
      <c r="H10" s="27" t="n">
        <f aca="false">H8-H9</f>
        <v>0</v>
      </c>
      <c r="I10" s="27" t="n">
        <f aca="false">I8-I9</f>
        <v>0</v>
      </c>
      <c r="J10" s="27" t="n">
        <f aca="false">J8-J9</f>
        <v>0</v>
      </c>
      <c r="K10" s="27" t="n">
        <f aca="false">K8-K9</f>
        <v>0</v>
      </c>
      <c r="L10" s="27" t="n">
        <f aca="false">L8-L9</f>
        <v>0</v>
      </c>
      <c r="M10" s="27" t="n">
        <f aca="false">M8-M9</f>
        <v>0</v>
      </c>
      <c r="N10" s="27" t="n">
        <f aca="false">N8-N9</f>
        <v>0</v>
      </c>
      <c r="O10" s="27" t="n">
        <f aca="false">O8-O9</f>
        <v>0</v>
      </c>
      <c r="P10" s="27" t="n">
        <f aca="false">P8-P9</f>
        <v>0</v>
      </c>
      <c r="Q10" s="27" t="n">
        <f aca="false">Q8-Q9</f>
        <v>0</v>
      </c>
      <c r="R10" s="27" t="n">
        <f aca="false">R8-R9</f>
        <v>0</v>
      </c>
      <c r="S10" s="27" t="n">
        <f aca="false">S8-S9</f>
        <v>0</v>
      </c>
      <c r="T10" s="27" t="n">
        <f aca="false">T8-T9</f>
        <v>0</v>
      </c>
      <c r="U10" s="27" t="n">
        <f aca="false">U8-U9</f>
        <v>0</v>
      </c>
      <c r="V10" s="27" t="n">
        <f aca="false">V8-V9</f>
        <v>0</v>
      </c>
      <c r="W10" s="27" t="n">
        <f aca="false">W8-W9</f>
        <v>0</v>
      </c>
      <c r="X10" s="27" t="n">
        <f aca="false">X8-X9</f>
        <v>0</v>
      </c>
      <c r="Y10" s="27" t="n">
        <f aca="false">Y8-Y9</f>
        <v>0</v>
      </c>
      <c r="Z10" s="27" t="n">
        <f aca="false">Z8-Z9</f>
        <v>0</v>
      </c>
    </row>
    <row r="11" customFormat="false" ht="15" hidden="false" customHeight="true" outlineLevel="0" collapsed="false">
      <c r="B11" s="1" t="s">
        <v>197</v>
      </c>
      <c r="C11" s="27" t="n">
        <f aca="false">MIN(C7,C6)</f>
        <v>44.0634078044521</v>
      </c>
      <c r="D11" s="27" t="n">
        <f aca="false">MIN(D7,D6)</f>
        <v>43.2579251709161</v>
      </c>
      <c r="E11" s="27" t="n">
        <f aca="false">MIN(E7,E6)</f>
        <v>42.466928186237</v>
      </c>
      <c r="F11" s="27" t="n">
        <f aca="false">MIN(F7,F6)</f>
        <v>43.6238770484919</v>
      </c>
      <c r="G11" s="27" t="n">
        <f aca="false">MIN(G7,G6)</f>
        <v>42.7475025025434</v>
      </c>
      <c r="H11" s="27" t="n">
        <f aca="false">MIN(H7,H6)</f>
        <v>41.8879873261282</v>
      </c>
      <c r="I11" s="27" t="n">
        <f aca="false">MIN(I7,I6)</f>
        <v>41.0450166405632</v>
      </c>
      <c r="J11" s="27" t="n">
        <f aca="false">MIN(J7,J6)</f>
        <v>40.2182813229951</v>
      </c>
      <c r="K11" s="27" t="n">
        <f aca="false">MIN(K7,K6)</f>
        <v>39.4074779028916</v>
      </c>
      <c r="L11" s="27" t="n">
        <f aca="false">MIN(L7,L6)</f>
        <v>38.61230846037</v>
      </c>
      <c r="M11" s="27" t="n">
        <f aca="false">MIN(M7,M6)</f>
        <v>37.8324805263303</v>
      </c>
      <c r="N11" s="27" t="n">
        <f aca="false">MIN(N7,N6)</f>
        <v>37.0677069843636</v>
      </c>
      <c r="O11" s="27" t="n">
        <f aca="false">MIN(O7,O6)</f>
        <v>36.3177059744016</v>
      </c>
      <c r="P11" s="27" t="n">
        <f aca="false">MIN(P7,P6)</f>
        <v>35.5822007980787</v>
      </c>
      <c r="Q11" s="27" t="n">
        <f aca="false">MIN(Q7,Q6)</f>
        <v>34.8609198257756</v>
      </c>
      <c r="R11" s="27" t="n">
        <f aca="false">MIN(R7,R6)</f>
        <v>34.1535964053157</v>
      </c>
      <c r="S11" s="27" t="n">
        <f aca="false">MIN(S7,S6)</f>
        <v>16.8546771201462</v>
      </c>
      <c r="T11" s="27" t="n">
        <f aca="false">MIN(T7,T6)</f>
        <v>0</v>
      </c>
      <c r="U11" s="27" t="n">
        <f aca="false">MIN(U7,U6)</f>
        <v>0</v>
      </c>
      <c r="V11" s="27" t="n">
        <f aca="false">MIN(V7,V6)</f>
        <v>0</v>
      </c>
      <c r="W11" s="27" t="n">
        <f aca="false">MIN(W7,W6)</f>
        <v>0</v>
      </c>
      <c r="X11" s="27" t="n">
        <f aca="false">MIN(X7,X6)</f>
        <v>0</v>
      </c>
      <c r="Y11" s="27" t="n">
        <f aca="false">MIN(Y7,Y6)</f>
        <v>0</v>
      </c>
      <c r="Z11" s="27" t="n">
        <f aca="false">MIN(Z7,Z6)</f>
        <v>0</v>
      </c>
    </row>
    <row r="12" customFormat="false" ht="15" hidden="false" customHeight="true" outlineLevel="0" collapsed="false">
      <c r="B12" s="28" t="s">
        <v>198</v>
      </c>
      <c r="C12" s="29" t="n">
        <f aca="false">MAX(0,C7-C11)</f>
        <v>605.936592195548</v>
      </c>
      <c r="D12" s="29" t="n">
        <f aca="false">MAX(0,D7-D11)</f>
        <v>562.678667024632</v>
      </c>
      <c r="E12" s="29" t="n">
        <f aca="false">MAX(0,E7-E11)</f>
        <v>520.211738838395</v>
      </c>
      <c r="F12" s="29" t="n">
        <f aca="false">MAX(0,F7-F11)</f>
        <v>476.587861789903</v>
      </c>
      <c r="G12" s="29" t="n">
        <f aca="false">MAX(0,G7-G11)</f>
        <v>433.84035928736</v>
      </c>
      <c r="H12" s="29" t="n">
        <f aca="false">MAX(0,H7-H11)</f>
        <v>391.952371961232</v>
      </c>
      <c r="I12" s="29" t="n">
        <f aca="false">MAX(0,I7-I11)</f>
        <v>350.907355320668</v>
      </c>
      <c r="J12" s="29" t="n">
        <f aca="false">MAX(0,J7-J11)</f>
        <v>310.689073997673</v>
      </c>
      <c r="K12" s="29" t="n">
        <f aca="false">MAX(0,K7-K11)</f>
        <v>271.281596094782</v>
      </c>
      <c r="L12" s="29" t="n">
        <f aca="false">MAX(0,L7-L11)</f>
        <v>232.669287634412</v>
      </c>
      <c r="M12" s="29" t="n">
        <f aca="false">MAX(0,M7-M11)</f>
        <v>194.836807108081</v>
      </c>
      <c r="N12" s="29" t="n">
        <f aca="false">MAX(0,N7-N11)</f>
        <v>157.769100123718</v>
      </c>
      <c r="O12" s="29" t="n">
        <f aca="false">MAX(0,O7-O11)</f>
        <v>121.451394149316</v>
      </c>
      <c r="P12" s="29" t="n">
        <f aca="false">MAX(0,P7-P11)</f>
        <v>85.8691933512375</v>
      </c>
      <c r="Q12" s="29" t="n">
        <f aca="false">MAX(0,Q7-Q11)</f>
        <v>51.0082735254619</v>
      </c>
      <c r="R12" s="29" t="n">
        <f aca="false">MAX(0,R7-R11)</f>
        <v>16.8546771201462</v>
      </c>
      <c r="S12" s="29" t="n">
        <f aca="false">MAX(0,S7-S11)</f>
        <v>0</v>
      </c>
      <c r="T12" s="29" t="n">
        <f aca="false">MAX(0,T7-T11)</f>
        <v>0</v>
      </c>
      <c r="U12" s="29" t="n">
        <f aca="false">MAX(0,U7-U11)</f>
        <v>0</v>
      </c>
      <c r="V12" s="29" t="n">
        <f aca="false">MAX(0,V7-V11)</f>
        <v>0</v>
      </c>
      <c r="W12" s="29" t="n">
        <f aca="false">MAX(0,W7-W11)</f>
        <v>0</v>
      </c>
      <c r="X12" s="29" t="n">
        <f aca="false">MAX(0,X7-X11)</f>
        <v>0</v>
      </c>
      <c r="Y12" s="29" t="n">
        <f aca="false">MAX(0,Y7-Y11)</f>
        <v>0</v>
      </c>
      <c r="Z12" s="29" t="n">
        <f aca="false">MAX(0,Z7-Z11)</f>
        <v>0</v>
      </c>
    </row>
    <row r="13" customFormat="false" ht="15" hidden="false" customHeight="true" outlineLevel="0" collapsed="false">
      <c r="B13" s="1" t="s">
        <v>199</v>
      </c>
      <c r="C13" s="27" t="n">
        <f aca="false">Assumptions!E14</f>
        <v>220</v>
      </c>
      <c r="D13" s="27" t="n">
        <f aca="false">C18</f>
        <v>220</v>
      </c>
      <c r="E13" s="27" t="n">
        <f aca="false">D18</f>
        <v>220</v>
      </c>
      <c r="F13" s="27" t="n">
        <f aca="false">E18</f>
        <v>220</v>
      </c>
      <c r="G13" s="27" t="n">
        <f aca="false">F18</f>
        <v>220</v>
      </c>
      <c r="H13" s="27" t="n">
        <f aca="false">G18</f>
        <v>220</v>
      </c>
      <c r="I13" s="27" t="n">
        <f aca="false">H18</f>
        <v>220</v>
      </c>
      <c r="J13" s="27" t="n">
        <f aca="false">I18</f>
        <v>220</v>
      </c>
      <c r="K13" s="27" t="n">
        <f aca="false">J18</f>
        <v>220</v>
      </c>
      <c r="L13" s="27" t="n">
        <f aca="false">K18</f>
        <v>220</v>
      </c>
      <c r="M13" s="27" t="n">
        <f aca="false">L18</f>
        <v>220</v>
      </c>
      <c r="N13" s="27" t="n">
        <f aca="false">M18</f>
        <v>220</v>
      </c>
      <c r="O13" s="27" t="n">
        <f aca="false">N18</f>
        <v>220</v>
      </c>
      <c r="P13" s="27" t="n">
        <f aca="false">O18</f>
        <v>220</v>
      </c>
      <c r="Q13" s="27" t="n">
        <f aca="false">P18</f>
        <v>220</v>
      </c>
      <c r="R13" s="27" t="n">
        <f aca="false">Q18</f>
        <v>220</v>
      </c>
      <c r="S13" s="27" t="n">
        <f aca="false">R18</f>
        <v>220</v>
      </c>
      <c r="T13" s="27" t="n">
        <f aca="false">S18</f>
        <v>203.394708347863</v>
      </c>
      <c r="U13" s="27" t="n">
        <f aca="false">T18</f>
        <v>170.614928385923</v>
      </c>
      <c r="V13" s="27" t="n">
        <f aca="false">U18</f>
        <v>138.502150663225</v>
      </c>
      <c r="W13" s="27" t="n">
        <f aca="false">V18</f>
        <v>107.043436232074</v>
      </c>
      <c r="X13" s="27" t="n">
        <f aca="false">W18</f>
        <v>76.2260892234806</v>
      </c>
      <c r="Y13" s="27" t="n">
        <f aca="false">X18</f>
        <v>46.0376523844373</v>
      </c>
      <c r="Z13" s="27" t="n">
        <f aca="false">Y18</f>
        <v>16.4659026957193</v>
      </c>
    </row>
    <row r="14" customFormat="false" ht="15" hidden="false" customHeight="true" outlineLevel="0" collapsed="false">
      <c r="B14" s="1" t="s">
        <v>200</v>
      </c>
      <c r="C14" s="27" t="n">
        <f aca="false">C13*Assumptions!$E$15/Assumptions!$E$20+0</f>
        <v>1.83333333333333</v>
      </c>
      <c r="D14" s="27" t="n">
        <f aca="false">D13*Assumptions!$E$15/Assumptions!$E$20+C16</f>
        <v>1.83333333333333</v>
      </c>
      <c r="E14" s="27" t="n">
        <f aca="false">E13*Assumptions!$E$15/Assumptions!$E$20+D16</f>
        <v>1.83333333333333</v>
      </c>
      <c r="F14" s="27" t="n">
        <f aca="false">F13*Assumptions!$E$15/Assumptions!$E$20+E16</f>
        <v>1.83333333333333</v>
      </c>
      <c r="G14" s="27" t="n">
        <f aca="false">G13*Assumptions!$E$15/Assumptions!$E$20+F16</f>
        <v>1.83333333333333</v>
      </c>
      <c r="H14" s="27" t="n">
        <f aca="false">H13*Assumptions!$E$15/Assumptions!$E$20+G16</f>
        <v>1.83333333333333</v>
      </c>
      <c r="I14" s="27" t="n">
        <f aca="false">I13*Assumptions!$E$15/Assumptions!$E$20+H16</f>
        <v>1.83333333333333</v>
      </c>
      <c r="J14" s="27" t="n">
        <f aca="false">J13*Assumptions!$E$15/Assumptions!$E$20+I16</f>
        <v>1.83333333333333</v>
      </c>
      <c r="K14" s="27" t="n">
        <f aca="false">K13*Assumptions!$E$15/Assumptions!$E$20+J16</f>
        <v>1.83333333333333</v>
      </c>
      <c r="L14" s="27" t="n">
        <f aca="false">L13*Assumptions!$E$15/Assumptions!$E$20+K16</f>
        <v>1.83333333333333</v>
      </c>
      <c r="M14" s="27" t="n">
        <f aca="false">M13*Assumptions!$E$15/Assumptions!$E$20+L16</f>
        <v>1.83333333333333</v>
      </c>
      <c r="N14" s="27" t="n">
        <f aca="false">N13*Assumptions!$E$15/Assumptions!$E$20+M16</f>
        <v>1.83333333333333</v>
      </c>
      <c r="O14" s="27" t="n">
        <f aca="false">O13*Assumptions!$E$15/Assumptions!$E$20+N16</f>
        <v>1.83333333333333</v>
      </c>
      <c r="P14" s="27" t="n">
        <f aca="false">P13*Assumptions!$E$15/Assumptions!$E$20+O16</f>
        <v>1.83333333333333</v>
      </c>
      <c r="Q14" s="27" t="n">
        <f aca="false">Q13*Assumptions!$E$15/Assumptions!$E$20+P16</f>
        <v>1.83333333333333</v>
      </c>
      <c r="R14" s="27" t="n">
        <f aca="false">R13*Assumptions!$E$15/Assumptions!$E$20+Q16</f>
        <v>1.83333333333333</v>
      </c>
      <c r="S14" s="27" t="n">
        <f aca="false">S13*Assumptions!$E$15/Assumptions!$E$20+R16</f>
        <v>1.83333333333333</v>
      </c>
      <c r="T14" s="27" t="n">
        <f aca="false">T13*Assumptions!$E$15/Assumptions!$E$20+S16</f>
        <v>1.69495590289886</v>
      </c>
      <c r="U14" s="27" t="n">
        <f aca="false">U13*Assumptions!$E$15/Assumptions!$E$20+T16</f>
        <v>1.42179106988269</v>
      </c>
      <c r="V14" s="27" t="n">
        <f aca="false">V13*Assumptions!$E$15/Assumptions!$E$20+U16</f>
        <v>1.15418458886021</v>
      </c>
      <c r="W14" s="27" t="n">
        <f aca="false">W13*Assumptions!$E$15/Assumptions!$E$20+V16</f>
        <v>0.892028635267281</v>
      </c>
      <c r="X14" s="27" t="n">
        <f aca="false">X13*Assumptions!$E$15/Assumptions!$E$20+W16</f>
        <v>0.635217410195672</v>
      </c>
      <c r="Y14" s="27" t="n">
        <f aca="false">Y13*Assumptions!$E$15/Assumptions!$E$20+X16</f>
        <v>0.383647103203644</v>
      </c>
      <c r="Z14" s="27" t="n">
        <f aca="false">Z13*Assumptions!$E$15/Assumptions!$E$20+Y16</f>
        <v>0.137215855797661</v>
      </c>
    </row>
    <row r="15" customFormat="false" ht="15" hidden="false" customHeight="true" outlineLevel="0" collapsed="false">
      <c r="B15" s="1" t="s">
        <v>201</v>
      </c>
      <c r="C15" s="27" t="n">
        <f aca="false">MIN(MAX(0,C5-C9),C14)</f>
        <v>1.83333333333333</v>
      </c>
      <c r="D15" s="27" t="n">
        <f aca="false">MIN(MAX(0,D5-D9),D14)</f>
        <v>1.83333333333333</v>
      </c>
      <c r="E15" s="27" t="n">
        <f aca="false">MIN(MAX(0,E5-E9),E14)</f>
        <v>1.83333333333333</v>
      </c>
      <c r="F15" s="27" t="n">
        <f aca="false">MIN(MAX(0,F5-F9),F14)</f>
        <v>1.83333333333333</v>
      </c>
      <c r="G15" s="27" t="n">
        <f aca="false">MIN(MAX(0,G5-G9),G14)</f>
        <v>1.83333333333333</v>
      </c>
      <c r="H15" s="27" t="n">
        <f aca="false">MIN(MAX(0,H5-H9),H14)</f>
        <v>1.83333333333333</v>
      </c>
      <c r="I15" s="27" t="n">
        <f aca="false">MIN(MAX(0,I5-I9),I14)</f>
        <v>1.83333333333333</v>
      </c>
      <c r="J15" s="27" t="n">
        <f aca="false">MIN(MAX(0,J5-J9),J14)</f>
        <v>1.83333333333333</v>
      </c>
      <c r="K15" s="27" t="n">
        <f aca="false">MIN(MAX(0,K5-K9),K14)</f>
        <v>1.83333333333333</v>
      </c>
      <c r="L15" s="27" t="n">
        <f aca="false">MIN(MAX(0,L5-L9),L14)</f>
        <v>1.83333333333333</v>
      </c>
      <c r="M15" s="27" t="n">
        <f aca="false">MIN(MAX(0,M5-M9),M14)</f>
        <v>1.83333333333333</v>
      </c>
      <c r="N15" s="27" t="n">
        <f aca="false">MIN(MAX(0,N5-N9),N14)</f>
        <v>1.83333333333333</v>
      </c>
      <c r="O15" s="27" t="n">
        <f aca="false">MIN(MAX(0,O5-O9),O14)</f>
        <v>1.83333333333333</v>
      </c>
      <c r="P15" s="27" t="n">
        <f aca="false">MIN(MAX(0,P5-P9),P14)</f>
        <v>1.83333333333333</v>
      </c>
      <c r="Q15" s="27" t="n">
        <f aca="false">MIN(MAX(0,Q5-Q9),Q14)</f>
        <v>1.83333333333333</v>
      </c>
      <c r="R15" s="27" t="n">
        <f aca="false">MIN(MAX(0,R5-R9),R14)</f>
        <v>1.83333333333333</v>
      </c>
      <c r="S15" s="27" t="n">
        <f aca="false">MIN(MAX(0,S5-S9),S14)</f>
        <v>1.83333333333333</v>
      </c>
      <c r="T15" s="27" t="n">
        <f aca="false">MIN(MAX(0,T5-T9),T14)</f>
        <v>1.69495590289886</v>
      </c>
      <c r="U15" s="27" t="n">
        <f aca="false">MIN(MAX(0,U5-U9),U14)</f>
        <v>1.42179106988269</v>
      </c>
      <c r="V15" s="27" t="n">
        <f aca="false">MIN(MAX(0,V5-V9),V14)</f>
        <v>1.15418458886021</v>
      </c>
      <c r="W15" s="27" t="n">
        <f aca="false">MIN(MAX(0,W5-W9),W14)</f>
        <v>0.892028635267281</v>
      </c>
      <c r="X15" s="27" t="n">
        <f aca="false">MIN(MAX(0,X5-X9),X14)</f>
        <v>0.635217410195672</v>
      </c>
      <c r="Y15" s="27" t="n">
        <f aca="false">MIN(MAX(0,Y5-Y9),Y14)</f>
        <v>0.383647103203644</v>
      </c>
      <c r="Z15" s="27" t="n">
        <f aca="false">MIN(MAX(0,Z5-Z9),Z14)</f>
        <v>0.137215855797661</v>
      </c>
    </row>
    <row r="16" customFormat="false" ht="15" hidden="false" customHeight="true" outlineLevel="0" collapsed="false">
      <c r="B16" s="1" t="s">
        <v>202</v>
      </c>
      <c r="C16" s="27" t="n">
        <f aca="false">C14-C15</f>
        <v>0</v>
      </c>
      <c r="D16" s="27" t="n">
        <f aca="false">D14-D15</f>
        <v>0</v>
      </c>
      <c r="E16" s="27" t="n">
        <f aca="false">E14-E15</f>
        <v>0</v>
      </c>
      <c r="F16" s="27" t="n">
        <f aca="false">F14-F15</f>
        <v>0</v>
      </c>
      <c r="G16" s="27" t="n">
        <f aca="false">G14-G15</f>
        <v>0</v>
      </c>
      <c r="H16" s="27" t="n">
        <f aca="false">H14-H15</f>
        <v>0</v>
      </c>
      <c r="I16" s="27" t="n">
        <f aca="false">I14-I15</f>
        <v>0</v>
      </c>
      <c r="J16" s="27" t="n">
        <f aca="false">J14-J15</f>
        <v>0</v>
      </c>
      <c r="K16" s="27" t="n">
        <f aca="false">K14-K15</f>
        <v>0</v>
      </c>
      <c r="L16" s="27" t="n">
        <f aca="false">L14-L15</f>
        <v>0</v>
      </c>
      <c r="M16" s="27" t="n">
        <f aca="false">M14-M15</f>
        <v>0</v>
      </c>
      <c r="N16" s="27" t="n">
        <f aca="false">N14-N15</f>
        <v>0</v>
      </c>
      <c r="O16" s="27" t="n">
        <f aca="false">O14-O15</f>
        <v>0</v>
      </c>
      <c r="P16" s="27" t="n">
        <f aca="false">P14-P15</f>
        <v>0</v>
      </c>
      <c r="Q16" s="27" t="n">
        <f aca="false">Q14-Q15</f>
        <v>0</v>
      </c>
      <c r="R16" s="27" t="n">
        <f aca="false">R14-R15</f>
        <v>0</v>
      </c>
      <c r="S16" s="27" t="n">
        <f aca="false">S14-S15</f>
        <v>0</v>
      </c>
      <c r="T16" s="27" t="n">
        <f aca="false">T14-T15</f>
        <v>0</v>
      </c>
      <c r="U16" s="27" t="n">
        <f aca="false">U14-U15</f>
        <v>0</v>
      </c>
      <c r="V16" s="27" t="n">
        <f aca="false">V14-V15</f>
        <v>0</v>
      </c>
      <c r="W16" s="27" t="n">
        <f aca="false">W14-W15</f>
        <v>0</v>
      </c>
      <c r="X16" s="27" t="n">
        <f aca="false">X14-X15</f>
        <v>0</v>
      </c>
      <c r="Y16" s="27" t="n">
        <f aca="false">Y14-Y15</f>
        <v>0</v>
      </c>
      <c r="Z16" s="27" t="n">
        <f aca="false">Z14-Z15</f>
        <v>0</v>
      </c>
    </row>
    <row r="17" customFormat="false" ht="15" hidden="false" customHeight="true" outlineLevel="0" collapsed="false">
      <c r="B17" s="1" t="s">
        <v>203</v>
      </c>
      <c r="C17" s="27" t="n">
        <f aca="false">MIN(C13,MAX(0,C6-C11))</f>
        <v>0</v>
      </c>
      <c r="D17" s="27" t="n">
        <f aca="false">MIN(D13,MAX(0,D6-D11))</f>
        <v>0</v>
      </c>
      <c r="E17" s="27" t="n">
        <f aca="false">MIN(E13,MAX(0,E6-E11))</f>
        <v>0</v>
      </c>
      <c r="F17" s="27" t="n">
        <f aca="false">MIN(F13,MAX(0,F6-F11))</f>
        <v>0</v>
      </c>
      <c r="G17" s="27" t="n">
        <f aca="false">MIN(G13,MAX(0,G6-G11))</f>
        <v>0</v>
      </c>
      <c r="H17" s="27" t="n">
        <f aca="false">MIN(H13,MAX(0,H6-H11))</f>
        <v>0</v>
      </c>
      <c r="I17" s="27" t="n">
        <f aca="false">MIN(I13,MAX(0,I6-I11))</f>
        <v>0</v>
      </c>
      <c r="J17" s="27" t="n">
        <f aca="false">MIN(J13,MAX(0,J6-J11))</f>
        <v>0</v>
      </c>
      <c r="K17" s="27" t="n">
        <f aca="false">MIN(K13,MAX(0,K6-K11))</f>
        <v>0</v>
      </c>
      <c r="L17" s="27" t="n">
        <f aca="false">MIN(L13,MAX(0,L6-L11))</f>
        <v>0</v>
      </c>
      <c r="M17" s="27" t="n">
        <f aca="false">MIN(M13,MAX(0,M6-M11))</f>
        <v>0</v>
      </c>
      <c r="N17" s="27" t="n">
        <f aca="false">MIN(N13,MAX(0,N6-N11))</f>
        <v>0</v>
      </c>
      <c r="O17" s="27" t="n">
        <f aca="false">MIN(O13,MAX(0,O6-O11))</f>
        <v>0</v>
      </c>
      <c r="P17" s="27" t="n">
        <f aca="false">MIN(P13,MAX(0,P6-P11))</f>
        <v>0</v>
      </c>
      <c r="Q17" s="27" t="n">
        <f aca="false">MIN(Q13,MAX(0,Q6-Q11))</f>
        <v>0</v>
      </c>
      <c r="R17" s="27" t="n">
        <f aca="false">MIN(R13,MAX(0,R6-R11))</f>
        <v>0</v>
      </c>
      <c r="S17" s="27" t="n">
        <f aca="false">MIN(S13,MAX(0,S6-S11))</f>
        <v>16.6052916521374</v>
      </c>
      <c r="T17" s="27" t="n">
        <f aca="false">MIN(T13,MAX(0,T6-T11))</f>
        <v>32.7797799619394</v>
      </c>
      <c r="U17" s="27" t="n">
        <f aca="false">MIN(U13,MAX(0,U6-U11))</f>
        <v>32.1127777226985</v>
      </c>
      <c r="V17" s="27" t="n">
        <f aca="false">MIN(V13,MAX(0,V6-V11))</f>
        <v>31.458714431151</v>
      </c>
      <c r="W17" s="27" t="n">
        <f aca="false">MIN(W13,MAX(0,W6-W11))</f>
        <v>30.8173470085931</v>
      </c>
      <c r="X17" s="27" t="n">
        <f aca="false">MIN(X13,MAX(0,X6-X11))</f>
        <v>30.1884368390433</v>
      </c>
      <c r="Y17" s="27" t="n">
        <f aca="false">MIN(Y13,MAX(0,Y6-Y11))</f>
        <v>29.5717496887179</v>
      </c>
      <c r="Z17" s="27" t="n">
        <f aca="false">MIN(Z13,MAX(0,Z6-Z11))</f>
        <v>16.4659026957193</v>
      </c>
    </row>
    <row r="18" customFormat="false" ht="15" hidden="false" customHeight="true" outlineLevel="0" collapsed="false">
      <c r="B18" s="28" t="s">
        <v>204</v>
      </c>
      <c r="C18" s="29" t="n">
        <f aca="false">MAX(0,C13-C17)</f>
        <v>220</v>
      </c>
      <c r="D18" s="29" t="n">
        <f aca="false">MAX(0,D13-D17)</f>
        <v>220</v>
      </c>
      <c r="E18" s="29" t="n">
        <f aca="false">MAX(0,E13-E17)</f>
        <v>220</v>
      </c>
      <c r="F18" s="29" t="n">
        <f aca="false">MAX(0,F13-F17)</f>
        <v>220</v>
      </c>
      <c r="G18" s="29" t="n">
        <f aca="false">MAX(0,G13-G17)</f>
        <v>220</v>
      </c>
      <c r="H18" s="29" t="n">
        <f aca="false">MAX(0,H13-H17)</f>
        <v>220</v>
      </c>
      <c r="I18" s="29" t="n">
        <f aca="false">MAX(0,I13-I17)</f>
        <v>220</v>
      </c>
      <c r="J18" s="29" t="n">
        <f aca="false">MAX(0,J13-J17)</f>
        <v>220</v>
      </c>
      <c r="K18" s="29" t="n">
        <f aca="false">MAX(0,K13-K17)</f>
        <v>220</v>
      </c>
      <c r="L18" s="29" t="n">
        <f aca="false">MAX(0,L13-L17)</f>
        <v>220</v>
      </c>
      <c r="M18" s="29" t="n">
        <f aca="false">MAX(0,M13-M17)</f>
        <v>220</v>
      </c>
      <c r="N18" s="29" t="n">
        <f aca="false">MAX(0,N13-N17)</f>
        <v>220</v>
      </c>
      <c r="O18" s="29" t="n">
        <f aca="false">MAX(0,O13-O17)</f>
        <v>220</v>
      </c>
      <c r="P18" s="29" t="n">
        <f aca="false">MAX(0,P13-P17)</f>
        <v>220</v>
      </c>
      <c r="Q18" s="29" t="n">
        <f aca="false">MAX(0,Q13-Q17)</f>
        <v>220</v>
      </c>
      <c r="R18" s="29" t="n">
        <f aca="false">MAX(0,R13-R17)</f>
        <v>220</v>
      </c>
      <c r="S18" s="29" t="n">
        <f aca="false">MAX(0,S13-S17)</f>
        <v>203.394708347863</v>
      </c>
      <c r="T18" s="29" t="n">
        <f aca="false">MAX(0,T13-T17)</f>
        <v>170.614928385923</v>
      </c>
      <c r="U18" s="29" t="n">
        <f aca="false">MAX(0,U13-U17)</f>
        <v>138.502150663225</v>
      </c>
      <c r="V18" s="29" t="n">
        <f aca="false">MAX(0,V13-V17)</f>
        <v>107.043436232074</v>
      </c>
      <c r="W18" s="29" t="n">
        <f aca="false">MAX(0,W13-W17)</f>
        <v>76.2260892234806</v>
      </c>
      <c r="X18" s="29" t="n">
        <f aca="false">MAX(0,X13-X17)</f>
        <v>46.0376523844373</v>
      </c>
      <c r="Y18" s="29" t="n">
        <f aca="false">MAX(0,Y13-Y17)</f>
        <v>16.4659026957193</v>
      </c>
      <c r="Z18" s="29" t="n">
        <f aca="false">MAX(0,Z13-Z17)</f>
        <v>0</v>
      </c>
    </row>
    <row r="19" customFormat="false" ht="15" hidden="false" customHeight="true" outlineLevel="0" collapsed="false">
      <c r="B19" s="28" t="s">
        <v>205</v>
      </c>
      <c r="C19" s="29" t="n">
        <f aca="false">MAX(0,C5-C9-C15)+MAX(0,C6-C11-C17)</f>
        <v>0.166666666666667</v>
      </c>
      <c r="D19" s="29" t="n">
        <f aca="false">MAX(0,D5-D9-D15)+MAX(0,D6-D11-D17)</f>
        <v>0.0879707063120885</v>
      </c>
      <c r="E19" s="29" t="n">
        <f aca="false">MAX(0,E5-E9-E15)+MAX(0,E6-E11-E17)</f>
        <v>0.0134514804387338</v>
      </c>
      <c r="F19" s="29" t="n">
        <f aca="false">MAX(0,F5-F9-F15)+MAX(0,F6-F11-F17)</f>
        <v>1.87671313771102</v>
      </c>
      <c r="G19" s="29" t="n">
        <f aca="false">MAX(0,G5-G9-G15)+MAX(0,G6-G11-G17)</f>
        <v>1.70629699120192</v>
      </c>
      <c r="H19" s="29" t="n">
        <f aca="false">MAX(0,H5-H9-H15)+MAX(0,H6-H11-H17)</f>
        <v>1.54228936081726</v>
      </c>
      <c r="I19" s="29" t="n">
        <f aca="false">MAX(0,I5-I9-I15)+MAX(0,I6-I11-I17)</f>
        <v>1.38452914782579</v>
      </c>
      <c r="J19" s="29" t="n">
        <f aca="false">MAX(0,J5-J9-J15)+MAX(0,J6-J11-J17)</f>
        <v>1.23285876254405</v>
      </c>
      <c r="K19" s="29" t="n">
        <f aca="false">MAX(0,K5-K9-K15)+MAX(0,K6-K11-K17)</f>
        <v>1.08712405337625</v>
      </c>
      <c r="L19" s="29" t="n">
        <f aca="false">MAX(0,L5-L9-L15)+MAX(0,L6-L11-L17)</f>
        <v>0.947174237225095</v>
      </c>
      <c r="M19" s="29" t="n">
        <f aca="false">MAX(0,M5-M9-M15)+MAX(0,M6-M11-M17)</f>
        <v>0.812861831248019</v>
      </c>
      <c r="N19" s="29" t="n">
        <f aca="false">MAX(0,N5-N9-N15)+MAX(0,N6-N11-N17)</f>
        <v>0.684042585933434</v>
      </c>
      <c r="O19" s="29" t="n">
        <f aca="false">MAX(0,O5-O9-O15)+MAX(0,O6-O11-O17)</f>
        <v>0.560575419472395</v>
      </c>
      <c r="P19" s="29" t="n">
        <f aca="false">MAX(0,P5-P9-P15)+MAX(0,P6-P11-P17)</f>
        <v>0.442322353401303</v>
      </c>
      <c r="Q19" s="29" t="n">
        <f aca="false">MAX(0,Q5-Q9-Q15)+MAX(0,Q6-Q11-Q17)</f>
        <v>0.329148449491816</v>
      </c>
      <c r="R19" s="29" t="n">
        <f aca="false">MAX(0,R5-R9-R15)+MAX(0,R6-R11-R17)</f>
        <v>0.220921747864548</v>
      </c>
      <c r="S19" s="29" t="n">
        <f aca="false">MAX(0,S5-S9-S15)+MAX(0,S6-S11-S17)</f>
        <v>0.117513206303588</v>
      </c>
      <c r="T19" s="29" t="n">
        <f aca="false">MAX(0,T5-T9-T15)+MAX(0,T6-T11-T17)</f>
        <v>0.0741476129230352</v>
      </c>
      <c r="U19" s="29" t="n">
        <f aca="false">MAX(0,U5-U9-U15)+MAX(0,U6-U11-U17)</f>
        <v>0.089265572327156</v>
      </c>
      <c r="V19" s="29" t="n">
        <f aca="false">MAX(0,V5-V9-V15)+MAX(0,V6-V11-V17)</f>
        <v>0.106608141019467</v>
      </c>
      <c r="W19" s="29" t="n">
        <f aca="false">MAX(0,W5-W9-W15)+MAX(0,W6-W11-W17)</f>
        <v>0.126100493643763</v>
      </c>
      <c r="X19" s="29" t="n">
        <f aca="false">MAX(0,X5-X9-X15)+MAX(0,X6-X11-X17)</f>
        <v>0.147669626054257</v>
      </c>
      <c r="Y19" s="29" t="n">
        <f aca="false">MAX(0,Y5-Y9-Y15)+MAX(0,Y6-Y11-Y17)</f>
        <v>0.171244316251092</v>
      </c>
      <c r="Z19" s="29" t="n">
        <f aca="false">MAX(0,Z5-Z9-Z15)+MAX(0,Z6-Z11-Z17)</f>
        <v>12.6979080173199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207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208</v>
      </c>
      <c r="C5" s="31" t="n">
        <f aca="false">IFERROR(Collateral!C14/(Waterfall!C12+Waterfall!C18),0)</f>
        <v>1.14178879091552</v>
      </c>
      <c r="D5" s="31" t="n">
        <f aca="false">IFERROR(Collateral!D14/(Waterfall!D12+Waterfall!D18),0)</f>
        <v>1.13412185375689</v>
      </c>
      <c r="E5" s="31" t="n">
        <f aca="false">IFERROR(Collateral!E14/(Waterfall!E12+Waterfall!E18),0)</f>
        <v>1.1264184357765</v>
      </c>
      <c r="F5" s="31" t="n">
        <f aca="false">IFERROR(Collateral!F14/(Waterfall!F12+Waterfall!F18),0)</f>
        <v>1.12177667307419</v>
      </c>
      <c r="G5" s="31" t="n">
        <f aca="false">IFERROR(Collateral!G14/(Waterfall!G12+Waterfall!G18),0)</f>
        <v>1.11724926170129</v>
      </c>
      <c r="H5" s="31" t="n">
        <f aca="false">IFERROR(Collateral!H14/(Waterfall!H12+Waterfall!H18),0)</f>
        <v>1.11285599808453</v>
      </c>
      <c r="I5" s="31" t="n">
        <f aca="false">IFERROR(Collateral!I14/(Waterfall!I12+Waterfall!I18),0)</f>
        <v>1.10862140523787</v>
      </c>
      <c r="J5" s="31" t="n">
        <f aca="false">IFERROR(Collateral!J14/(Waterfall!J12+Waterfall!J18),0)</f>
        <v>1.1045762506402</v>
      </c>
      <c r="K5" s="31" t="n">
        <f aca="false">IFERROR(Collateral!K14/(Waterfall!K12+Waterfall!K18),0)</f>
        <v>1.100759689373</v>
      </c>
      <c r="L5" s="31" t="n">
        <f aca="false">IFERROR(Collateral!L14/(Waterfall!L12+Waterfall!L18),0)</f>
        <v>1.09722235515219</v>
      </c>
      <c r="M5" s="31" t="n">
        <f aca="false">IFERROR(Collateral!M14/(Waterfall!M12+Waterfall!M18),0)</f>
        <v>1.0940309272916</v>
      </c>
      <c r="N5" s="31" t="n">
        <f aca="false">IFERROR(Collateral!N14/(Waterfall!N12+Waterfall!N18),0)</f>
        <v>1.09127506687283</v>
      </c>
      <c r="O5" s="31" t="n">
        <f aca="false">IFERROR(Collateral!O14/(Waterfall!O12+Waterfall!O18),0)</f>
        <v>1.08907829174187</v>
      </c>
      <c r="P5" s="31" t="n">
        <f aca="false">IFERROR(Collateral!P14/(Waterfall!P12+Waterfall!P18),0)</f>
        <v>1.08761567263302</v>
      </c>
      <c r="Q5" s="31" t="n">
        <f aca="false">IFERROR(Collateral!Q14/(Waterfall!Q12+Waterfall!Q18),0)</f>
        <v>1.08714392460471</v>
      </c>
      <c r="R5" s="31" t="n">
        <f aca="false">IFERROR(Collateral!R14/(Waterfall!R12+Waterfall!R18),0)</f>
        <v>1.0880553619817</v>
      </c>
      <c r="S5" s="31" t="n">
        <f aca="false">IFERROR(Collateral!S14/(Waterfall!S12+Waterfall!S18),0)</f>
        <v>1.09098115803945</v>
      </c>
      <c r="T5" s="31" t="n">
        <f aca="false">IFERROR(Collateral!T14/(Waterfall!T12+Waterfall!T18),0)</f>
        <v>1.09700591797249</v>
      </c>
      <c r="U5" s="31" t="n">
        <f aca="false">IFERROR(Collateral!U14/(Waterfall!U12+Waterfall!U18),0)</f>
        <v>1.10816422008774</v>
      </c>
      <c r="V5" s="31" t="n">
        <f aca="false">IFERROR(Collateral!V14/(Waterfall!V12+Waterfall!V18),0)</f>
        <v>1.12877264015123</v>
      </c>
      <c r="W5" s="31" t="n">
        <f aca="false">IFERROR(Collateral!W14/(Waterfall!W12+Waterfall!W18),0)</f>
        <v>1.169876532224</v>
      </c>
      <c r="X5" s="31" t="n">
        <f aca="false">IFERROR(Collateral!X14/(Waterfall!X12+Waterfall!X18),0)</f>
        <v>1.27073539782222</v>
      </c>
      <c r="Y5" s="31" t="n">
        <f aca="false">IFERROR(Collateral!Y14/(Waterfall!Y12+Waterfall!Y18),0)</f>
        <v>1.74810954954107</v>
      </c>
      <c r="Z5" s="31" t="n">
        <f aca="false">IFERROR(Collateral!Z14/(Waterfall!Z12+Waterfall!Z18),0)</f>
        <v>0</v>
      </c>
    </row>
    <row r="6" customFormat="false" ht="15" hidden="false" customHeight="true" outlineLevel="0" collapsed="false">
      <c r="B6" s="1" t="s">
        <v>143</v>
      </c>
      <c r="C6" s="31" t="n">
        <f aca="false">Assumptions!$E$17</f>
        <v>1.08</v>
      </c>
      <c r="D6" s="31" t="n">
        <f aca="false">Assumptions!$E$17</f>
        <v>1.08</v>
      </c>
      <c r="E6" s="31" t="n">
        <f aca="false">Assumptions!$E$17</f>
        <v>1.08</v>
      </c>
      <c r="F6" s="31" t="n">
        <f aca="false">Assumptions!$E$17</f>
        <v>1.08</v>
      </c>
      <c r="G6" s="31" t="n">
        <f aca="false">Assumptions!$E$17</f>
        <v>1.08</v>
      </c>
      <c r="H6" s="31" t="n">
        <f aca="false">Assumptions!$E$17</f>
        <v>1.08</v>
      </c>
      <c r="I6" s="31" t="n">
        <f aca="false">Assumptions!$E$17</f>
        <v>1.08</v>
      </c>
      <c r="J6" s="31" t="n">
        <f aca="false">Assumptions!$E$17</f>
        <v>1.08</v>
      </c>
      <c r="K6" s="31" t="n">
        <f aca="false">Assumptions!$E$17</f>
        <v>1.08</v>
      </c>
      <c r="L6" s="31" t="n">
        <f aca="false">Assumptions!$E$17</f>
        <v>1.08</v>
      </c>
      <c r="M6" s="31" t="n">
        <f aca="false">Assumptions!$E$17</f>
        <v>1.08</v>
      </c>
      <c r="N6" s="31" t="n">
        <f aca="false">Assumptions!$E$17</f>
        <v>1.08</v>
      </c>
      <c r="O6" s="31" t="n">
        <f aca="false">Assumptions!$E$17</f>
        <v>1.08</v>
      </c>
      <c r="P6" s="31" t="n">
        <f aca="false">Assumptions!$E$17</f>
        <v>1.08</v>
      </c>
      <c r="Q6" s="31" t="n">
        <f aca="false">Assumptions!$E$17</f>
        <v>1.08</v>
      </c>
      <c r="R6" s="31" t="n">
        <f aca="false">Assumptions!$E$17</f>
        <v>1.08</v>
      </c>
      <c r="S6" s="31" t="n">
        <f aca="false">Assumptions!$E$17</f>
        <v>1.08</v>
      </c>
      <c r="T6" s="31" t="n">
        <f aca="false">Assumptions!$E$17</f>
        <v>1.08</v>
      </c>
      <c r="U6" s="31" t="n">
        <f aca="false">Assumptions!$E$17</f>
        <v>1.08</v>
      </c>
      <c r="V6" s="31" t="n">
        <f aca="false">Assumptions!$E$17</f>
        <v>1.08</v>
      </c>
      <c r="W6" s="31" t="n">
        <f aca="false">Assumptions!$E$17</f>
        <v>1.08</v>
      </c>
      <c r="X6" s="31" t="n">
        <f aca="false">Assumptions!$E$17</f>
        <v>1.08</v>
      </c>
      <c r="Y6" s="31" t="n">
        <f aca="false">Assumptions!$E$17</f>
        <v>1.08</v>
      </c>
      <c r="Z6" s="31" t="n">
        <f aca="false">Assumptions!$E$17</f>
        <v>1.08</v>
      </c>
    </row>
    <row r="7" customFormat="false" ht="15" hidden="false" customHeight="true" outlineLevel="0" collapsed="false">
      <c r="B7" s="1" t="s">
        <v>209</v>
      </c>
      <c r="C7" s="31" t="n">
        <f aca="false">IFERROR(Collateral!C12/Waterfall!C8,0)</f>
        <v>1.61538461538462</v>
      </c>
      <c r="D7" s="31" t="n">
        <f aca="false">IFERROR(Collateral!D12/Waterfall!D8,0)</f>
        <v>1.63416009674668</v>
      </c>
      <c r="E7" s="31" t="n">
        <f aca="false">IFERROR(Collateral!E12/Waterfall!E8,0)</f>
        <v>1.65642609965564</v>
      </c>
      <c r="F7" s="31" t="n">
        <f aca="false">IFERROR(Collateral!F12/Waterfall!F8,0)</f>
        <v>1.68292541496839</v>
      </c>
      <c r="G7" s="31" t="n">
        <f aca="false">IFERROR(Collateral!G12/Waterfall!G8,0)</f>
        <v>1.72158563108636</v>
      </c>
      <c r="H7" s="31" t="n">
        <f aca="false">IFERROR(Collateral!H12/Waterfall!H8,0)</f>
        <v>1.76799547390766</v>
      </c>
      <c r="I7" s="31" t="n">
        <f aca="false">IFERROR(Collateral!I12/Waterfall!I8,0)</f>
        <v>1.82436862796635</v>
      </c>
      <c r="J7" s="31" t="n">
        <f aca="false">IFERROR(Collateral!J12/Waterfall!J8,0)</f>
        <v>1.89385064224359</v>
      </c>
      <c r="K7" s="31" t="n">
        <f aca="false">IFERROR(Collateral!K12/Waterfall!K8,0)</f>
        <v>1.98106701041339</v>
      </c>
      <c r="L7" s="31" t="n">
        <f aca="false">IFERROR(Collateral!L12/Waterfall!L8,0)</f>
        <v>2.09310964747189</v>
      </c>
      <c r="M7" s="31" t="n">
        <f aca="false">IFERROR(Collateral!M12/Waterfall!M8,0)</f>
        <v>2.24143379764371</v>
      </c>
      <c r="N7" s="31" t="n">
        <f aca="false">IFERROR(Collateral!N12/Waterfall!N8,0)</f>
        <v>2.44582385980361</v>
      </c>
      <c r="O7" s="31" t="n">
        <f aca="false">IFERROR(Collateral!O12/Waterfall!O8,0)</f>
        <v>2.74364561666741</v>
      </c>
      <c r="P7" s="31" t="n">
        <f aca="false">IFERROR(Collateral!P12/Waterfall!P8,0)</f>
        <v>3.2149541702718</v>
      </c>
      <c r="Q7" s="31" t="n">
        <f aca="false">IFERROR(Collateral!Q12/Waterfall!Q8,0)</f>
        <v>4.06783295912507</v>
      </c>
      <c r="R7" s="31" t="n">
        <f aca="false">IFERROR(Collateral!R12/Waterfall!R8,0)</f>
        <v>6.06482491179465</v>
      </c>
      <c r="S7" s="31" t="n">
        <f aca="false">IFERROR(Collateral!S12/Waterfall!S8,0)</f>
        <v>16.0546861618683</v>
      </c>
      <c r="T7" s="31" t="n">
        <f aca="false">IFERROR(Collateral!T12/Waterfall!T8,0)</f>
        <v>0</v>
      </c>
      <c r="U7" s="31" t="n">
        <f aca="false">IFERROR(Collateral!U12/Waterfall!U8,0)</f>
        <v>0</v>
      </c>
      <c r="V7" s="31" t="n">
        <f aca="false">IFERROR(Collateral!V12/Waterfall!V8,0)</f>
        <v>0</v>
      </c>
      <c r="W7" s="31" t="n">
        <f aca="false">IFERROR(Collateral!W12/Waterfall!W8,0)</f>
        <v>0</v>
      </c>
      <c r="X7" s="31" t="n">
        <f aca="false">IFERROR(Collateral!X12/Waterfall!X8,0)</f>
        <v>0</v>
      </c>
      <c r="Y7" s="31" t="n">
        <f aca="false">IFERROR(Collateral!Y12/Waterfall!Y8,0)</f>
        <v>0</v>
      </c>
      <c r="Z7" s="31" t="n">
        <f aca="false">IFERROR(Collateral!Z12/Waterfall!Z8,0)</f>
        <v>0</v>
      </c>
    </row>
    <row r="8" customFormat="false" ht="15" hidden="false" customHeight="true" outlineLevel="0" collapsed="false">
      <c r="B8" s="1" t="s">
        <v>210</v>
      </c>
      <c r="C8" s="31" t="n">
        <f aca="false">Assumptions!$E$18</f>
        <v>1.5</v>
      </c>
      <c r="D8" s="31" t="n">
        <f aca="false">Assumptions!$E$18</f>
        <v>1.5</v>
      </c>
      <c r="E8" s="31" t="n">
        <f aca="false">Assumptions!$E$18</f>
        <v>1.5</v>
      </c>
      <c r="F8" s="31" t="n">
        <f aca="false">Assumptions!$E$18</f>
        <v>1.5</v>
      </c>
      <c r="G8" s="31" t="n">
        <f aca="false">Assumptions!$E$18</f>
        <v>1.5</v>
      </c>
      <c r="H8" s="31" t="n">
        <f aca="false">Assumptions!$E$18</f>
        <v>1.5</v>
      </c>
      <c r="I8" s="31" t="n">
        <f aca="false">Assumptions!$E$18</f>
        <v>1.5</v>
      </c>
      <c r="J8" s="31" t="n">
        <f aca="false">Assumptions!$E$18</f>
        <v>1.5</v>
      </c>
      <c r="K8" s="31" t="n">
        <f aca="false">Assumptions!$E$18</f>
        <v>1.5</v>
      </c>
      <c r="L8" s="31" t="n">
        <f aca="false">Assumptions!$E$18</f>
        <v>1.5</v>
      </c>
      <c r="M8" s="31" t="n">
        <f aca="false">Assumptions!$E$18</f>
        <v>1.5</v>
      </c>
      <c r="N8" s="31" t="n">
        <f aca="false">Assumptions!$E$18</f>
        <v>1.5</v>
      </c>
      <c r="O8" s="31" t="n">
        <f aca="false">Assumptions!$E$18</f>
        <v>1.5</v>
      </c>
      <c r="P8" s="31" t="n">
        <f aca="false">Assumptions!$E$18</f>
        <v>1.5</v>
      </c>
      <c r="Q8" s="31" t="n">
        <f aca="false">Assumptions!$E$18</f>
        <v>1.5</v>
      </c>
      <c r="R8" s="31" t="n">
        <f aca="false">Assumptions!$E$18</f>
        <v>1.5</v>
      </c>
      <c r="S8" s="31" t="n">
        <f aca="false">Assumptions!$E$18</f>
        <v>1.5</v>
      </c>
      <c r="T8" s="31" t="n">
        <f aca="false">Assumptions!$E$18</f>
        <v>1.5</v>
      </c>
      <c r="U8" s="31" t="n">
        <f aca="false">Assumptions!$E$18</f>
        <v>1.5</v>
      </c>
      <c r="V8" s="31" t="n">
        <f aca="false">Assumptions!$E$18</f>
        <v>1.5</v>
      </c>
      <c r="W8" s="31" t="n">
        <f aca="false">Assumptions!$E$18</f>
        <v>1.5</v>
      </c>
      <c r="X8" s="31" t="n">
        <f aca="false">Assumptions!$E$18</f>
        <v>1.5</v>
      </c>
      <c r="Y8" s="31" t="n">
        <f aca="false">Assumptions!$E$18</f>
        <v>1.5</v>
      </c>
      <c r="Z8" s="31" t="n">
        <f aca="false">Assumptions!$E$18</f>
        <v>1.5</v>
      </c>
    </row>
    <row r="9" customFormat="false" ht="15" hidden="false" customHeight="true" outlineLevel="0" collapsed="false">
      <c r="B9" s="1" t="s">
        <v>211</v>
      </c>
      <c r="C9" s="31" t="n">
        <f aca="false">IFERROR(MAX(0,Collateral!C12-Waterfall!C8)/Waterfall!C14,0)</f>
        <v>1.09090909090909</v>
      </c>
      <c r="D9" s="31" t="n">
        <f aca="false">IFERROR(MAX(0,Collateral!D12-Waterfall!D8)/Waterfall!D14,0)</f>
        <v>1.04798402162478</v>
      </c>
      <c r="E9" s="31" t="n">
        <f aca="false">IFERROR(MAX(0,Collateral!E12-Waterfall!E8)/Waterfall!E14,0)</f>
        <v>1.0073371711484</v>
      </c>
      <c r="F9" s="31" t="n">
        <f aca="false">IFERROR(MAX(0,Collateral!F12-Waterfall!F8)/Waterfall!F14,0)</f>
        <v>0.968906775320832</v>
      </c>
      <c r="G9" s="31" t="n">
        <f aca="false">IFERROR(MAX(0,Collateral!G12-Waterfall!G8)/Waterfall!G14,0)</f>
        <v>0.937906235503004</v>
      </c>
      <c r="H9" s="31" t="n">
        <f aca="false">IFERROR(MAX(0,Collateral!H12-Waterfall!H8)/Waterfall!H14,0)</f>
        <v>0.908692997266817</v>
      </c>
      <c r="I9" s="31" t="n">
        <f aca="false">IFERROR(MAX(0,Collateral!I12-Waterfall!I8)/Waterfall!I14,0)</f>
        <v>0.881217924823193</v>
      </c>
      <c r="J9" s="31" t="n">
        <f aca="false">IFERROR(MAX(0,Collateral!J12-Waterfall!J8)/Waterfall!J14,0)</f>
        <v>0.855432995240127</v>
      </c>
      <c r="K9" s="31" t="n">
        <f aca="false">IFERROR(MAX(0,Collateral!K12-Waterfall!K8)/Waterfall!K14,0)</f>
        <v>0.831291275440912</v>
      </c>
      <c r="L9" s="31" t="n">
        <f aca="false">IFERROR(MAX(0,Collateral!L12-Waterfall!L8)/Waterfall!L14,0)</f>
        <v>0.808746899653034</v>
      </c>
      <c r="M9" s="31" t="n">
        <f aca="false">IFERROR(MAX(0,Collateral!M12-Waterfall!M8)/Waterfall!M14,0)</f>
        <v>0.787755047299212</v>
      </c>
      <c r="N9" s="31" t="n">
        <f aca="false">IFERROR(MAX(0,Collateral!N12-Waterfall!N8)/Waterfall!N14,0)</f>
        <v>0.768271921322229</v>
      </c>
      <c r="O9" s="31" t="n">
        <f aca="false">IFERROR(MAX(0,Collateral!O12-Waterfall!O8)/Waterfall!O14,0)</f>
        <v>0.750254726935315</v>
      </c>
      <c r="P9" s="31" t="n">
        <f aca="false">IFERROR(MAX(0,Collateral!P12-Waterfall!P8)/Waterfall!P14,0)</f>
        <v>0.733661650790049</v>
      </c>
      <c r="Q9" s="31" t="n">
        <f aca="false">IFERROR(MAX(0,Collateral!Q12-Waterfall!Q8)/Waterfall!Q14,0)</f>
        <v>0.718451840553844</v>
      </c>
      <c r="R9" s="31" t="n">
        <f aca="false">IFERROR(MAX(0,Collateral!R12-Waterfall!R8)/Waterfall!R14,0)</f>
        <v>0.704585384889259</v>
      </c>
      <c r="S9" s="31" t="n">
        <f aca="false">IFERROR(MAX(0,Collateral!S12-Waterfall!S8)/Waterfall!S14,0)</f>
        <v>0.692023293827519</v>
      </c>
      <c r="T9" s="31" t="n">
        <f aca="false">IFERROR(MAX(0,Collateral!T12-Waterfall!T8)/Waterfall!T14,0)</f>
        <v>0.687318129564853</v>
      </c>
      <c r="U9" s="31" t="n">
        <f aca="false">IFERROR(MAX(0,Collateral!U12-Waterfall!U8)/Waterfall!U14,0)</f>
        <v>0.691113728322666</v>
      </c>
      <c r="V9" s="31" t="n">
        <f aca="false">IFERROR(MAX(0,Collateral!V12-Waterfall!V8)/Waterfall!V14,0)</f>
        <v>0.698143458655277</v>
      </c>
      <c r="W9" s="31" t="n">
        <f aca="false">IFERROR(MAX(0,Collateral!W12-Waterfall!W8)/Waterfall!W14,0)</f>
        <v>0.711126763295277</v>
      </c>
      <c r="X9" s="31" t="n">
        <f aca="false">IFERROR(MAX(0,Collateral!X12-Waterfall!X8)/Waterfall!X14,0)</f>
        <v>0.73702221530112</v>
      </c>
      <c r="Y9" s="31" t="n">
        <f aca="false">IFERROR(MAX(0,Collateral!Y12-Waterfall!Y8)/Waterfall!Y14,0)</f>
        <v>0.800563300628001</v>
      </c>
      <c r="Z9" s="31" t="n">
        <f aca="false">IFERROR(MAX(0,Collateral!Z12-Waterfall!Z8)/Waterfall!Z14,0)</f>
        <v>1.10130901621088</v>
      </c>
    </row>
    <row r="10" customFormat="false" ht="15" hidden="false" customHeight="true" outlineLevel="0" collapsed="false">
      <c r="B10" s="1" t="s">
        <v>212</v>
      </c>
      <c r="C10" s="31" t="n">
        <f aca="false">Assumptions!$E$19</f>
        <v>1.15</v>
      </c>
      <c r="D10" s="31" t="n">
        <f aca="false">Assumptions!$E$19</f>
        <v>1.15</v>
      </c>
      <c r="E10" s="31" t="n">
        <f aca="false">Assumptions!$E$19</f>
        <v>1.15</v>
      </c>
      <c r="F10" s="31" t="n">
        <f aca="false">Assumptions!$E$19</f>
        <v>1.15</v>
      </c>
      <c r="G10" s="31" t="n">
        <f aca="false">Assumptions!$E$19</f>
        <v>1.15</v>
      </c>
      <c r="H10" s="31" t="n">
        <f aca="false">Assumptions!$E$19</f>
        <v>1.15</v>
      </c>
      <c r="I10" s="31" t="n">
        <f aca="false">Assumptions!$E$19</f>
        <v>1.15</v>
      </c>
      <c r="J10" s="31" t="n">
        <f aca="false">Assumptions!$E$19</f>
        <v>1.15</v>
      </c>
      <c r="K10" s="31" t="n">
        <f aca="false">Assumptions!$E$19</f>
        <v>1.15</v>
      </c>
      <c r="L10" s="31" t="n">
        <f aca="false">Assumptions!$E$19</f>
        <v>1.15</v>
      </c>
      <c r="M10" s="31" t="n">
        <f aca="false">Assumptions!$E$19</f>
        <v>1.15</v>
      </c>
      <c r="N10" s="31" t="n">
        <f aca="false">Assumptions!$E$19</f>
        <v>1.15</v>
      </c>
      <c r="O10" s="31" t="n">
        <f aca="false">Assumptions!$E$19</f>
        <v>1.15</v>
      </c>
      <c r="P10" s="31" t="n">
        <f aca="false">Assumptions!$E$19</f>
        <v>1.15</v>
      </c>
      <c r="Q10" s="31" t="n">
        <f aca="false">Assumptions!$E$19</f>
        <v>1.15</v>
      </c>
      <c r="R10" s="31" t="n">
        <f aca="false">Assumptions!$E$19</f>
        <v>1.15</v>
      </c>
      <c r="S10" s="31" t="n">
        <f aca="false">Assumptions!$E$19</f>
        <v>1.15</v>
      </c>
      <c r="T10" s="31" t="n">
        <f aca="false">Assumptions!$E$19</f>
        <v>1.15</v>
      </c>
      <c r="U10" s="31" t="n">
        <f aca="false">Assumptions!$E$19</f>
        <v>1.15</v>
      </c>
      <c r="V10" s="31" t="n">
        <f aca="false">Assumptions!$E$19</f>
        <v>1.15</v>
      </c>
      <c r="W10" s="31" t="n">
        <f aca="false">Assumptions!$E$19</f>
        <v>1.15</v>
      </c>
      <c r="X10" s="31" t="n">
        <f aca="false">Assumptions!$E$19</f>
        <v>1.15</v>
      </c>
      <c r="Y10" s="31" t="n">
        <f aca="false">Assumptions!$E$19</f>
        <v>1.15</v>
      </c>
      <c r="Z10" s="31" t="n">
        <f aca="false">Assumptions!$E$19</f>
        <v>1.15</v>
      </c>
    </row>
    <row r="11" customFormat="false" ht="15" hidden="false" customHeight="true" outlineLevel="0" collapsed="false">
      <c r="B11" s="1" t="s">
        <v>213</v>
      </c>
      <c r="C11" s="1" t="str">
        <f aca="false">IF(AND(C5&gt;=C6,C7&gt;=C8,C9&gt;=C10),"PASS","TRIGGER")</f>
        <v>TRIGGER</v>
      </c>
      <c r="D11" s="1" t="str">
        <f aca="false">IF(AND(D5&gt;=D6,D7&gt;=D8,D9&gt;=D10),"PASS","TRIGGER")</f>
        <v>TRIGGER</v>
      </c>
      <c r="E11" s="1" t="str">
        <f aca="false">IF(AND(E5&gt;=E6,E7&gt;=E8,E9&gt;=E10),"PASS","TRIGGER")</f>
        <v>TRIGGER</v>
      </c>
      <c r="F11" s="1" t="str">
        <f aca="false">IF(AND(F5&gt;=F6,F7&gt;=F8,F9&gt;=F10),"PASS","TRIGGER")</f>
        <v>TRIGGER</v>
      </c>
      <c r="G11" s="1" t="str">
        <f aca="false">IF(AND(G5&gt;=G6,G7&gt;=G8,G9&gt;=G10),"PASS","TRIGGER")</f>
        <v>TRIGGER</v>
      </c>
      <c r="H11" s="1" t="str">
        <f aca="false">IF(AND(H5&gt;=H6,H7&gt;=H8,H9&gt;=H10),"PASS","TRIGGER")</f>
        <v>TRIGGER</v>
      </c>
      <c r="I11" s="1" t="str">
        <f aca="false">IF(AND(I5&gt;=I6,I7&gt;=I8,I9&gt;=I10),"PASS","TRIGGER")</f>
        <v>TRIGGER</v>
      </c>
      <c r="J11" s="1" t="str">
        <f aca="false">IF(AND(J5&gt;=J6,J7&gt;=J8,J9&gt;=J10),"PASS","TRIGGER")</f>
        <v>TRIGGER</v>
      </c>
      <c r="K11" s="1" t="str">
        <f aca="false">IF(AND(K5&gt;=K6,K7&gt;=K8,K9&gt;=K10),"PASS","TRIGGER")</f>
        <v>TRIGGER</v>
      </c>
      <c r="L11" s="1" t="str">
        <f aca="false">IF(AND(L5&gt;=L6,L7&gt;=L8,L9&gt;=L10),"PASS","TRIGGER")</f>
        <v>TRIGGER</v>
      </c>
      <c r="M11" s="1" t="str">
        <f aca="false">IF(AND(M5&gt;=M6,M7&gt;=M8,M9&gt;=M10),"PASS","TRIGGER")</f>
        <v>TRIGGER</v>
      </c>
      <c r="N11" s="1" t="str">
        <f aca="false">IF(AND(N5&gt;=N6,N7&gt;=N8,N9&gt;=N10),"PASS","TRIGGER")</f>
        <v>TRIGGER</v>
      </c>
      <c r="O11" s="1" t="str">
        <f aca="false">IF(AND(O5&gt;=O6,O7&gt;=O8,O9&gt;=O10),"PASS","TRIGGER")</f>
        <v>TRIGGER</v>
      </c>
      <c r="P11" s="1" t="str">
        <f aca="false">IF(AND(P5&gt;=P6,P7&gt;=P8,P9&gt;=P10),"PASS","TRIGGER")</f>
        <v>TRIGGER</v>
      </c>
      <c r="Q11" s="1" t="str">
        <f aca="false">IF(AND(Q5&gt;=Q6,Q7&gt;=Q8,Q9&gt;=Q10),"PASS","TRIGGER")</f>
        <v>TRIGGER</v>
      </c>
      <c r="R11" s="1" t="str">
        <f aca="false">IF(AND(R5&gt;=R6,R7&gt;=R8,R9&gt;=R10),"PASS","TRIGGER")</f>
        <v>TRIGGER</v>
      </c>
      <c r="S11" s="1" t="str">
        <f aca="false">IF(AND(S5&gt;=S6,S7&gt;=S8,S9&gt;=S10),"PASS","TRIGGER")</f>
        <v>TRIGGER</v>
      </c>
      <c r="T11" s="1" t="str">
        <f aca="false">IF(AND(T5&gt;=T6,T7&gt;=T8,T9&gt;=T10),"PASS","TRIGGER")</f>
        <v>TRIGGER</v>
      </c>
      <c r="U11" s="1" t="str">
        <f aca="false">IF(AND(U5&gt;=U6,U7&gt;=U8,U9&gt;=U10),"PASS","TRIGGER")</f>
        <v>TRIGGER</v>
      </c>
      <c r="V11" s="1" t="str">
        <f aca="false">IF(AND(V5&gt;=V6,V7&gt;=V8,V9&gt;=V10),"PASS","TRIGGER")</f>
        <v>TRIGGER</v>
      </c>
      <c r="W11" s="1" t="str">
        <f aca="false">IF(AND(W5&gt;=W6,W7&gt;=W8,W9&gt;=W10),"PASS","TRIGGER")</f>
        <v>TRIGGER</v>
      </c>
      <c r="X11" s="1" t="str">
        <f aca="false">IF(AND(X5&gt;=X6,X7&gt;=X8,X9&gt;=X10),"PASS","TRIGGER")</f>
        <v>TRIGGER</v>
      </c>
      <c r="Y11" s="1" t="str">
        <f aca="false">IF(AND(Y5&gt;=Y6,Y7&gt;=Y8,Y9&gt;=Y10),"PASS","TRIGGER")</f>
        <v>TRIGGER</v>
      </c>
      <c r="Z11" s="1" t="str">
        <f aca="false">IF(AND(Z5&gt;=Z6,Z7&gt;=Z8,Z9&gt;=Z10),"PASS","TRIGGER")</f>
        <v>TRIGGER</v>
      </c>
    </row>
  </sheetData>
  <mergeCells count="1">
    <mergeCell ref="B2:Z2"/>
  </mergeCells>
  <conditionalFormatting sqref="C11:Z11">
    <cfRule type="expression" priority="2" aboveAverage="0" equalAverage="0" bottom="0" percent="0" rank="0" text="" dxfId="0">
      <formula>C11="PASS"</formula>
    </cfRule>
    <cfRule type="expression" priority="3" aboveAverage="0" equalAverage="0" bottom="0" percent="0" rank="0" text="" dxfId="1">
      <formula>C11="FAIL"</formula>
    </cfRule>
    <cfRule type="expression" priority="4" aboveAverage="0" equalAverage="0" bottom="0" percent="0" rank="0" text="" dxfId="2">
      <formula>C11="REVIEW"</formula>
    </cfRule>
    <cfRule type="expression" priority="5" aboveAverage="0" equalAverage="0" bottom="0" percent="0" rank="0" text="" dxfId="1">
      <formula>C11="BREACH"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18"/>
    <col collapsed="false" customWidth="true" hidden="false" outlineLevel="0" max="6" min="6" style="1" width="38"/>
  </cols>
  <sheetData>
    <row r="2" customFormat="false" ht="27.75" hidden="false" customHeight="true" outlineLevel="0" collapsed="false">
      <c r="B2" s="2" t="s">
        <v>214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207</v>
      </c>
      <c r="C4" s="16" t="s">
        <v>215</v>
      </c>
      <c r="D4" s="16" t="s">
        <v>216</v>
      </c>
      <c r="E4" s="16" t="s">
        <v>217</v>
      </c>
      <c r="F4" s="16" t="s">
        <v>218</v>
      </c>
    </row>
    <row r="5" customFormat="false" ht="15" hidden="false" customHeight="true" outlineLevel="0" collapsed="false">
      <c r="B5" s="1" t="s">
        <v>219</v>
      </c>
      <c r="C5" s="27" t="n">
        <f aca="false">Assumptions!E12</f>
        <v>650</v>
      </c>
      <c r="D5" s="27" t="n">
        <f aca="false">Assumptions!E14</f>
        <v>220</v>
      </c>
      <c r="E5" s="27" t="n">
        <f aca="false">Assumptions!E5-Assumptions!E12-Assumptions!E14</f>
        <v>130</v>
      </c>
      <c r="F5" s="1" t="s">
        <v>220</v>
      </c>
    </row>
    <row r="6" customFormat="false" ht="15" hidden="false" customHeight="true" outlineLevel="0" collapsed="false">
      <c r="B6" s="1" t="s">
        <v>221</v>
      </c>
      <c r="C6" s="27" t="n">
        <f aca="false">Waterfall!Z12</f>
        <v>0</v>
      </c>
      <c r="D6" s="27" t="n">
        <f aca="false">Waterfall!Z18</f>
        <v>0</v>
      </c>
      <c r="E6" s="27" t="n">
        <f aca="false">0</f>
        <v>0</v>
      </c>
      <c r="F6" s="1" t="s">
        <v>222</v>
      </c>
    </row>
    <row r="7" customFormat="false" ht="15" hidden="false" customHeight="true" outlineLevel="0" collapsed="false">
      <c r="B7" s="1" t="s">
        <v>223</v>
      </c>
      <c r="C7" s="27" t="n">
        <f aca="false">SUM(Waterfall!C11:Z11)</f>
        <v>650</v>
      </c>
      <c r="D7" s="27" t="n">
        <f aca="false">SUM(Waterfall!C17:Z17)</f>
        <v>220</v>
      </c>
      <c r="E7" s="27" t="n">
        <f aca="false">0</f>
        <v>0</v>
      </c>
      <c r="F7" s="1" t="s">
        <v>224</v>
      </c>
    </row>
    <row r="8" customFormat="false" ht="15" hidden="false" customHeight="true" outlineLevel="0" collapsed="false">
      <c r="B8" s="1" t="s">
        <v>225</v>
      </c>
      <c r="C8" s="27" t="n">
        <f aca="false">SUM(Waterfall!C9:Z9)</f>
        <v>27.1727217476128</v>
      </c>
      <c r="D8" s="27" t="n">
        <f aca="false">SUM(Waterfall!C15:Z15)</f>
        <v>37.4857072327727</v>
      </c>
      <c r="E8" s="27" t="n">
        <f aca="false">SUM(Waterfall!C19:Z19)</f>
        <v>26.6254039173726</v>
      </c>
      <c r="F8" s="1" t="s">
        <v>226</v>
      </c>
    </row>
    <row r="9" customFormat="false" ht="15" hidden="false" customHeight="true" outlineLevel="0" collapsed="false">
      <c r="B9" s="1" t="s">
        <v>227</v>
      </c>
      <c r="C9" s="31" t="n">
        <f aca="false">SUMPRODUCT(COLUMN(Waterfall!C11:Z11)-COLUMN(Waterfall!B11),Waterfall!C11:Z11)/Assumptions!E20/SUM(Waterfall!C11:Z11)</f>
        <v>0.696736455066995</v>
      </c>
      <c r="D9" s="31" t="n">
        <f aca="false">SUMPRODUCT(COLUMN(Waterfall!C17:Z17)-COLUMN(Waterfall!B17),Waterfall!C17:Z17)/Assumptions!E20/SUM(Waterfall!C17:Z17)</f>
        <v>1.70389578330785</v>
      </c>
      <c r="E9" s="31" t="n">
        <f aca="false">0</f>
        <v>0</v>
      </c>
      <c r="F9" s="1" t="s">
        <v>228</v>
      </c>
    </row>
    <row r="10" customFormat="false" ht="15" hidden="false" customHeight="true" outlineLevel="0" collapsed="false">
      <c r="B10" s="1" t="s">
        <v>229</v>
      </c>
      <c r="C10" s="27" t="n">
        <f aca="false">SUM(Waterfall!C10:Z10)</f>
        <v>0</v>
      </c>
      <c r="D10" s="27" t="n">
        <f aca="false">SUM(Waterfall!C16:Z16)</f>
        <v>0</v>
      </c>
      <c r="E10" s="27" t="n">
        <f aca="false">0</f>
        <v>0</v>
      </c>
      <c r="F10" s="1" t="s">
        <v>230</v>
      </c>
    </row>
    <row r="11" customFormat="false" ht="15" hidden="false" customHeight="true" outlineLevel="0" collapsed="false">
      <c r="B11" s="1" t="s">
        <v>231</v>
      </c>
      <c r="C11" s="27" t="n">
        <f aca="false">Waterfall!Z12</f>
        <v>0</v>
      </c>
      <c r="D11" s="27" t="n">
        <f aca="false">Waterfall!Z18</f>
        <v>0</v>
      </c>
      <c r="E11" s="27" t="n">
        <f aca="false">MAX(0,Collateral!Z14-Waterfall!Z12-Waterfall!Z18)</f>
        <v>0</v>
      </c>
      <c r="F11" s="1" t="s">
        <v>232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234</v>
      </c>
      <c r="C4" s="32" t="n">
        <v>0</v>
      </c>
      <c r="D4" s="32" t="n">
        <v>0.06</v>
      </c>
      <c r="E4" s="32" t="n">
        <v>0.12</v>
      </c>
      <c r="F4" s="32" t="n">
        <v>0.18</v>
      </c>
      <c r="G4" s="32" t="n">
        <v>0.24</v>
      </c>
    </row>
    <row r="5" customFormat="false" ht="15" hidden="false" customHeight="true" outlineLevel="0" collapsed="false">
      <c r="B5" s="33" t="n">
        <v>0</v>
      </c>
      <c r="C5" s="27" t="n">
        <f aca="false">MAX(0,Assumptions!$E$12-Assumptions!$E$5*(1-(1-$B5)^(2))*(1-Assumptions!$E$9)-Assumptions!$E$5*(1-(1-C$4)^2))</f>
        <v>650</v>
      </c>
      <c r="D5" s="27" t="n">
        <f aca="false">MAX(0,Assumptions!$E$12-Assumptions!$E$5*(1-(1-$B5)^(2))*(1-Assumptions!$E$9)-Assumptions!$E$5*(1-(1-D$4)^2))</f>
        <v>533.6</v>
      </c>
      <c r="E5" s="27" t="n">
        <f aca="false">MAX(0,Assumptions!$E$12-Assumptions!$E$5*(1-(1-$B5)^(2))*(1-Assumptions!$E$9)-Assumptions!$E$5*(1-(1-E$4)^2))</f>
        <v>424.4</v>
      </c>
      <c r="F5" s="27" t="n">
        <f aca="false">MAX(0,Assumptions!$E$12-Assumptions!$E$5*(1-(1-$B5)^(2))*(1-Assumptions!$E$9)-Assumptions!$E$5*(1-(1-F$4)^2))</f>
        <v>322.4</v>
      </c>
      <c r="G5" s="27" t="n">
        <f aca="false">MAX(0,Assumptions!$E$12-Assumptions!$E$5*(1-(1-$B5)^(2))*(1-Assumptions!$E$9)-Assumptions!$E$5*(1-(1-G$4)^2))</f>
        <v>227.6</v>
      </c>
    </row>
    <row r="6" customFormat="false" ht="15" hidden="false" customHeight="true" outlineLevel="0" collapsed="false">
      <c r="B6" s="33" t="n">
        <v>0.03</v>
      </c>
      <c r="C6" s="27" t="n">
        <f aca="false">MAX(0,Assumptions!$E$12-Assumptions!$E$5*(1-(1-$B6)^(2))*(1-Assumptions!$E$9)-Assumptions!$E$5*(1-(1-C$4)^2))</f>
        <v>599.765</v>
      </c>
      <c r="D6" s="27" t="n">
        <f aca="false">MAX(0,Assumptions!$E$12-Assumptions!$E$5*(1-(1-$B6)^(2))*(1-Assumptions!$E$9)-Assumptions!$E$5*(1-(1-D$4)^2))</f>
        <v>483.365</v>
      </c>
      <c r="E6" s="27" t="n">
        <f aca="false">MAX(0,Assumptions!$E$12-Assumptions!$E$5*(1-(1-$B6)^(2))*(1-Assumptions!$E$9)-Assumptions!$E$5*(1-(1-E$4)^2))</f>
        <v>374.165</v>
      </c>
      <c r="F6" s="27" t="n">
        <f aca="false">MAX(0,Assumptions!$E$12-Assumptions!$E$5*(1-(1-$B6)^(2))*(1-Assumptions!$E$9)-Assumptions!$E$5*(1-(1-F$4)^2))</f>
        <v>272.165</v>
      </c>
      <c r="G6" s="27" t="n">
        <f aca="false">MAX(0,Assumptions!$E$12-Assumptions!$E$5*(1-(1-$B6)^(2))*(1-Assumptions!$E$9)-Assumptions!$E$5*(1-(1-G$4)^2))</f>
        <v>177.365</v>
      </c>
    </row>
    <row r="7" customFormat="false" ht="15" hidden="false" customHeight="true" outlineLevel="0" collapsed="false">
      <c r="B7" s="33" t="n">
        <v>0.06</v>
      </c>
      <c r="C7" s="27" t="n">
        <f aca="false">MAX(0,Assumptions!$E$12-Assumptions!$E$5*(1-(1-$B7)^(2))*(1-Assumptions!$E$9)-Assumptions!$E$5*(1-(1-C$4)^2))</f>
        <v>551.06</v>
      </c>
      <c r="D7" s="27" t="n">
        <f aca="false">MAX(0,Assumptions!$E$12-Assumptions!$E$5*(1-(1-$B7)^(2))*(1-Assumptions!$E$9)-Assumptions!$E$5*(1-(1-D$4)^2))</f>
        <v>434.66</v>
      </c>
      <c r="E7" s="27" t="n">
        <f aca="false">MAX(0,Assumptions!$E$12-Assumptions!$E$5*(1-(1-$B7)^(2))*(1-Assumptions!$E$9)-Assumptions!$E$5*(1-(1-E$4)^2))</f>
        <v>325.46</v>
      </c>
      <c r="F7" s="27" t="n">
        <f aca="false">MAX(0,Assumptions!$E$12-Assumptions!$E$5*(1-(1-$B7)^(2))*(1-Assumptions!$E$9)-Assumptions!$E$5*(1-(1-F$4)^2))</f>
        <v>223.46</v>
      </c>
      <c r="G7" s="27" t="n">
        <f aca="false">MAX(0,Assumptions!$E$12-Assumptions!$E$5*(1-(1-$B7)^(2))*(1-Assumptions!$E$9)-Assumptions!$E$5*(1-(1-G$4)^2))</f>
        <v>128.66</v>
      </c>
    </row>
    <row r="8" customFormat="false" ht="15" hidden="false" customHeight="true" outlineLevel="0" collapsed="false">
      <c r="B8" s="33" t="n">
        <v>0.09</v>
      </c>
      <c r="C8" s="27" t="n">
        <f aca="false">MAX(0,Assumptions!$E$12-Assumptions!$E$5*(1-(1-$B8)^(2))*(1-Assumptions!$E$9)-Assumptions!$E$5*(1-(1-C$4)^2))</f>
        <v>503.885</v>
      </c>
      <c r="D8" s="27" t="n">
        <f aca="false">MAX(0,Assumptions!$E$12-Assumptions!$E$5*(1-(1-$B8)^(2))*(1-Assumptions!$E$9)-Assumptions!$E$5*(1-(1-D$4)^2))</f>
        <v>387.485</v>
      </c>
      <c r="E8" s="27" t="n">
        <f aca="false">MAX(0,Assumptions!$E$12-Assumptions!$E$5*(1-(1-$B8)^(2))*(1-Assumptions!$E$9)-Assumptions!$E$5*(1-(1-E$4)^2))</f>
        <v>278.285</v>
      </c>
      <c r="F8" s="27" t="n">
        <f aca="false">MAX(0,Assumptions!$E$12-Assumptions!$E$5*(1-(1-$B8)^(2))*(1-Assumptions!$E$9)-Assumptions!$E$5*(1-(1-F$4)^2))</f>
        <v>176.285</v>
      </c>
      <c r="G8" s="27" t="n">
        <f aca="false">MAX(0,Assumptions!$E$12-Assumptions!$E$5*(1-(1-$B8)^(2))*(1-Assumptions!$E$9)-Assumptions!$E$5*(1-(1-G$4)^2))</f>
        <v>81.4850000000001</v>
      </c>
    </row>
    <row r="9" customFormat="false" ht="15" hidden="false" customHeight="true" outlineLevel="0" collapsed="false">
      <c r="B9" s="33" t="n">
        <v>0.12</v>
      </c>
      <c r="C9" s="27" t="n">
        <f aca="false">MAX(0,Assumptions!$E$12-Assumptions!$E$5*(1-(1-$B9)^(2))*(1-Assumptions!$E$9)-Assumptions!$E$5*(1-(1-C$4)^2))</f>
        <v>458.24</v>
      </c>
      <c r="D9" s="27" t="n">
        <f aca="false">MAX(0,Assumptions!$E$12-Assumptions!$E$5*(1-(1-$B9)^(2))*(1-Assumptions!$E$9)-Assumptions!$E$5*(1-(1-D$4)^2))</f>
        <v>341.84</v>
      </c>
      <c r="E9" s="27" t="n">
        <f aca="false">MAX(0,Assumptions!$E$12-Assumptions!$E$5*(1-(1-$B9)^(2))*(1-Assumptions!$E$9)-Assumptions!$E$5*(1-(1-E$4)^2))</f>
        <v>232.64</v>
      </c>
      <c r="F9" s="27" t="n">
        <f aca="false">MAX(0,Assumptions!$E$12-Assumptions!$E$5*(1-(1-$B9)^(2))*(1-Assumptions!$E$9)-Assumptions!$E$5*(1-(1-F$4)^2))</f>
        <v>130.64</v>
      </c>
      <c r="G9" s="27" t="n">
        <f aca="false">MAX(0,Assumptions!$E$12-Assumptions!$E$5*(1-(1-$B9)^(2))*(1-Assumptions!$E$9)-Assumptions!$E$5*(1-(1-G$4)^2))</f>
        <v>35.84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8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235</v>
      </c>
      <c r="C2" s="2"/>
    </row>
    <row r="4" customFormat="false" ht="15" hidden="false" customHeight="true" outlineLevel="0" collapsed="false">
      <c r="B4" s="16" t="s">
        <v>236</v>
      </c>
      <c r="C4" s="16" t="s">
        <v>44</v>
      </c>
    </row>
    <row r="5" customFormat="false" ht="15" hidden="false" customHeight="true" outlineLevel="0" collapsed="false">
      <c r="B5" s="1" t="s">
        <v>237</v>
      </c>
      <c r="C5" s="1" t="str">
        <f aca="false">IF(MIN(Collateral!C14:Z14)&gt;=0,"PASS","FAIL")</f>
        <v>PASS</v>
      </c>
    </row>
    <row r="6" customFormat="false" ht="15" hidden="false" customHeight="true" outlineLevel="0" collapsed="false">
      <c r="B6" s="1" t="s">
        <v>238</v>
      </c>
      <c r="C6" s="1" t="str">
        <f aca="false">IF(MIN(Waterfall!C12:Z12)&gt;=0,"PASS","FAIL")</f>
        <v>PASS</v>
      </c>
    </row>
    <row r="7" customFormat="false" ht="15" hidden="false" customHeight="true" outlineLevel="0" collapsed="false">
      <c r="B7" s="1" t="s">
        <v>239</v>
      </c>
      <c r="C7" s="1" t="str">
        <f aca="false">IF(MIN(Waterfall!C18:Z18)&gt;=0,"PASS","FAIL")</f>
        <v>PASS</v>
      </c>
    </row>
    <row r="8" customFormat="false" ht="15" hidden="false" customHeight="true" outlineLevel="0" collapsed="false">
      <c r="B8" s="1" t="s">
        <v>240</v>
      </c>
      <c r="C8" s="1" t="str">
        <f aca="false">IF(MAX(ABS(Collateral!C5:Z5-Collateral!C6:Z6-Collateral!C7:Z7-Collateral!C9:Z9-Collateral!C14:Z14))&lt;0.000001,"PASS","FAIL")</f>
        <v>PASS</v>
      </c>
    </row>
    <row r="9" customFormat="false" ht="15" hidden="false" customHeight="true" outlineLevel="0" collapsed="false">
      <c r="B9" s="1" t="s">
        <v>241</v>
      </c>
      <c r="C9" s="1" t="str">
        <f aca="false">IF(MAX(ABS(Collateral!C12:Z12+Collateral!C8:Z8-Waterfall!C9:Z9-Waterfall!C15:Z15-(Waterfall!C19:Z19-MAX(0,Waterfall!C6:Z6-Waterfall!C11:Z11-Waterfall!C17:Z17))))&lt;0.000001,"PASS","REVIEW")</f>
        <v>PASS</v>
      </c>
    </row>
    <row r="10" customFormat="false" ht="15" hidden="false" customHeight="true" outlineLevel="0" collapsed="false">
      <c r="B10" s="1" t="s">
        <v>242</v>
      </c>
      <c r="C10" s="1" t="str">
        <f aca="false">IF(COUNTIF(Triggers!C11:Z11,"TRIGGER")=0,"PASS","REVIEW")</f>
        <v>REVIEW</v>
      </c>
    </row>
    <row r="11" customFormat="false" ht="15" hidden="false" customHeight="true" outlineLevel="0" collapsed="false">
      <c r="B11" s="1" t="s">
        <v>243</v>
      </c>
      <c r="C11" s="1" t="str">
        <f aca="false">IF(AND(MIN('Loss Curves'!C7:Z9)&gt;=0,MAX('Loss Curves'!C7:Z9)&lt;=1),"PASS","FAIL")</f>
        <v>PASS</v>
      </c>
    </row>
    <row r="12" customFormat="false" ht="15" hidden="false" customHeight="true" outlineLevel="0" collapsed="false">
      <c r="B12" s="1" t="s">
        <v>244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245</v>
      </c>
      <c r="C2" s="2"/>
      <c r="D2" s="2"/>
      <c r="E2" s="2"/>
    </row>
    <row r="4" customFormat="false" ht="15" hidden="false" customHeight="true" outlineLevel="0" collapsed="false">
      <c r="B4" s="16" t="s">
        <v>246</v>
      </c>
      <c r="C4" s="16" t="s">
        <v>247</v>
      </c>
      <c r="D4" s="16" t="s">
        <v>107</v>
      </c>
      <c r="E4" s="16" t="s">
        <v>248</v>
      </c>
    </row>
    <row r="5" customFormat="false" ht="15" hidden="false" customHeight="true" outlineLevel="0" collapsed="false">
      <c r="B5" s="34" t="s">
        <v>249</v>
      </c>
      <c r="C5" s="34" t="s">
        <v>250</v>
      </c>
      <c r="D5" s="34" t="s">
        <v>8</v>
      </c>
      <c r="E5" s="34" t="s">
        <v>251</v>
      </c>
    </row>
    <row r="6" customFormat="false" ht="15" hidden="false" customHeight="true" outlineLevel="0" collapsed="false">
      <c r="B6" s="34" t="s">
        <v>252</v>
      </c>
      <c r="C6" s="34" t="s">
        <v>253</v>
      </c>
      <c r="D6" s="34" t="s">
        <v>254</v>
      </c>
      <c r="E6" s="34" t="s">
        <v>255</v>
      </c>
    </row>
    <row r="7" customFormat="false" ht="15" hidden="false" customHeight="true" outlineLevel="0" collapsed="false">
      <c r="B7" s="34" t="s">
        <v>256</v>
      </c>
      <c r="C7" s="34" t="s">
        <v>257</v>
      </c>
      <c r="D7" s="34" t="s">
        <v>258</v>
      </c>
      <c r="E7" s="34" t="s">
        <v>259</v>
      </c>
    </row>
    <row r="8" customFormat="false" ht="15" hidden="false" customHeight="true" outlineLevel="0" collapsed="false">
      <c r="B8" s="34" t="s">
        <v>260</v>
      </c>
      <c r="C8" s="34" t="s">
        <v>261</v>
      </c>
      <c r="D8" s="34" t="s">
        <v>8</v>
      </c>
      <c r="E8" s="34" t="s">
        <v>262</v>
      </c>
    </row>
    <row r="9" customFormat="false" ht="15" hidden="false" customHeight="true" outlineLevel="0" collapsed="false">
      <c r="B9" s="34" t="s">
        <v>263</v>
      </c>
      <c r="C9" s="34" t="s">
        <v>264</v>
      </c>
      <c r="D9" s="34" t="s">
        <v>8</v>
      </c>
      <c r="E9" s="34" t="s">
        <v>265</v>
      </c>
    </row>
    <row r="10" customFormat="false" ht="15" hidden="false" customHeight="false" outlineLevel="0" collapsed="false">
      <c r="B10" s="35" t="s">
        <v>266</v>
      </c>
      <c r="C10" s="35" t="s">
        <v>267</v>
      </c>
      <c r="D10" s="35" t="s">
        <v>6</v>
      </c>
      <c r="E10" s="35" t="s">
        <v>268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269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270</v>
      </c>
      <c r="D4" s="16" t="s">
        <v>271</v>
      </c>
      <c r="E4" s="16" t="s">
        <v>272</v>
      </c>
      <c r="F4" s="16" t="s">
        <v>273</v>
      </c>
      <c r="G4" s="16" t="s">
        <v>274</v>
      </c>
    </row>
    <row r="5" customFormat="false" ht="15" hidden="false" customHeight="true" outlineLevel="0" collapsed="false">
      <c r="B5" s="36" t="s">
        <v>6</v>
      </c>
      <c r="C5" s="36" t="s">
        <v>275</v>
      </c>
      <c r="D5" s="36" t="s">
        <v>267</v>
      </c>
      <c r="E5" s="36" t="s">
        <v>276</v>
      </c>
      <c r="F5" s="36" t="s">
        <v>277</v>
      </c>
      <c r="G5" s="36" t="s">
        <v>278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2026-08-04T03:48:49Z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