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ollateral" sheetId="6" state="visible" r:id="rId8"/>
    <sheet name="Loss Curves" sheetId="7" state="visible" r:id="rId9"/>
    <sheet name="Waterfall" sheetId="8" state="visible" r:id="rId10"/>
    <sheet name="Triggers" sheetId="9" state="visible" r:id="rId11"/>
    <sheet name="Tranche Analytics" sheetId="10" state="visible" r:id="rId12"/>
    <sheet name="Sensitivity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<sst xmlns="http://schemas.openxmlformats.org/spreadsheetml/2006/main" count="450" uniqueCount="279">
  <si>
    <t xml:space="preserve">[TRANSACTION] — Structured Credit Model</t>
  </si>
  <si>
    <t xml:space="preserve">Transaction / collateral:</t>
  </si>
  <si>
    <t xml:space="preserve">Reference Amortizing Consumer Pool</t>
  </si>
  <si>
    <t xml:space="preserve">Cut-off / payment date:</t>
  </si>
  <si>
    <t xml:space="preserve">[dates]</t>
  </si>
  <si>
    <t xml:space="preserve">Last refreshed:</t>
  </si>
  <si>
    <t xml:space="preserve">2026-08-03</t>
  </si>
  <si>
    <t xml:space="preserve">Next distribution / trigger date:</t>
  </si>
  <si>
    <t xml:space="preserve">[date]</t>
  </si>
  <si>
    <t xml:space="preserve">Refresh cadence:</t>
  </si>
  <si>
    <t xml:space="preserve">Monthly and on servicer reports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</si>
  <si>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</si>
  <si>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</si>
  <si>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</si>
  <si>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</si>
  <si>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</si>
  <si>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</si>
  <si>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</si>
  <si>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</si>
  <si>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</si>
  <si>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</si>
  <si>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</si>
  <si>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</si>
  <si>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</si>
  <si>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Structured Finance &amp; Securitization — Institutional Decision Surface</t>
  </si>
  <si>
    <t xml:space="preserve">Model ID</t>
  </si>
  <si>
    <t xml:space="preserve">19</t>
  </si>
  <si>
    <t xml:space="preserve">Domain</t>
  </si>
  <si>
    <t xml:space="preserve">Structured Finance &amp; Securitization</t>
  </si>
  <si>
    <t xml:space="preserve">Declared maturity</t>
  </si>
  <si>
    <t xml:space="preserve">M2</t>
  </si>
  <si>
    <t xml:space="preserve">Canonical builder</t>
  </si>
  <si>
    <t xml:space="preserve">tools/builders/build_securitization_institutional.py</t>
  </si>
  <si>
    <t xml:space="preserve">Decision arena</t>
  </si>
  <si>
    <t xml:space="preserve">structuring, collateral, servicing, trustee, rating agency and investor</t>
  </si>
  <si>
    <t xml:space="preserve">Committee artifact</t>
  </si>
  <si>
    <t xml:space="preserve">cash-flow, trigger and tranche-loss pack</t>
  </si>
  <si>
    <t xml:space="preserve">Operating cadence</t>
  </si>
  <si>
    <t xml:space="preserve">monthly surveillance; event-driven trigger review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</si>
  <si>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</si>
  <si>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</si>
  <si>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</si>
  <si>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</si>
  <si>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</si>
  <si>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</si>
  <si>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collateral cash flow and losses</t>
  </si>
  <si>
    <t xml:space="preserve">OPEN</t>
  </si>
  <si>
    <t xml:space="preserve">tranche interest/principal waterfall</t>
  </si>
  <si>
    <t xml:space="preserve">OC/IC and performance triggers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</si>
  <si>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</si>
  <si>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</si>
  <si>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</si>
  <si>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changes when the trigger fails?</t>
  </si>
  <si>
    <t xml:space="preserve">Who advances delinquent interest and for how long?</t>
  </si>
  <si>
    <t xml:space="preserve">Which tape fields are servicer-created?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</si>
  <si>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</si>
  <si>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</si>
  <si>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</si>
  <si>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default and severity</t>
  </si>
  <si>
    <t xml:space="preserve">prepayment</t>
  </si>
  <si>
    <t xml:space="preserve">recovery timing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</si>
  <si>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</si>
  <si>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</si>
  <si>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</si>
  <si>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offering memorandum</t>
  </si>
  <si>
    <t xml:space="preserve">pool tape and data dictionary</t>
  </si>
  <si>
    <t xml:space="preserve">servicing agreement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</si>
  <si>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</si>
  <si>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</si>
  <si>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</si>
  <si>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collateral roll-forward conserves</t>
  </si>
  <si>
    <t xml:space="preserve">waterfall distributes available funds only</t>
  </si>
  <si>
    <t xml:space="preserve">tranche balances nonnegative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</si>
  <si>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</si>
  <si>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</si>
  <si>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</si>
  <si>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pool averages where tails drive loss</t>
  </si>
  <si>
    <t xml:space="preserve">ignoring delinquency roll and modification</t>
  </si>
  <si>
    <t xml:space="preserve">misreading trigger cure mechanics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</si>
  <si>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</si>
  <si>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</si>
  <si>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</si>
  <si>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</si>
  <si>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</si>
  <si>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</si>
  <si>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</si>
  <si>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</si>
  <si>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</si>
  <si>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</si>
  <si>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</si>
  <si>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</si>
  <si>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</si>
  <si>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</si>
  <si>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</si>
  <si>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</si>
  <si>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</si>
  <si>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</si>
  <si>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</si>
  <si>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</si>
  <si>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</si>
  <si>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</si>
  <si>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</si>
  <si>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</si>
  <si>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</si>
  <si>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</si>
  <si>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</si>
  <si>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</si>
  <si>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</si>
  <si>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</si>
  <si>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</si>
  <si>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tape</t>
  </si>
  <si>
    <t xml:space="preserve">monthly</t>
  </si>
  <si>
    <t xml:space="preserve">field and cut-off reconciliation</t>
  </si>
  <si>
    <t xml:space="preserve">TO MAP</t>
  </si>
  <si>
    <t xml:space="preserve">servicer report</t>
  </si>
  <si>
    <t xml:space="preserve">cash and status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</si>
  <si>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</si>
  <si>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</si>
  <si>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</si>
  <si>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</si>
  <si>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</si>
  <si>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</si>
  <si>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Collateral and Capital Structure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</si>
  <si>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</si>
  <si>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</si>
  <si>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</si>
  <si>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</si>
  <si>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Opening collateral balance</t>
  </si>
  <si>
    <t xml:space="preserve">$mm</t>
  </si>
  <si>
    <t xml:space="preserve">Collateral gross coupon</t>
  </si>
  <si>
    <t xml:space="preserve">%</t>
  </si>
  <si>
    <t xml:space="preserve">Annual CPR</t>
  </si>
  <si>
    <t xml:space="preserve">Annual CDR</t>
  </si>
  <si>
    <t xml:space="preserve">Recovery rate</t>
  </si>
  <si>
    <t xml:space="preserve">Recovery lag</t>
  </si>
  <si>
    <t xml:space="preserve">months</t>
  </si>
  <si>
    <t xml:space="preserve">Servicing and senior fees</t>
  </si>
  <si>
    <t xml:space="preserve">% annual</t>
  </si>
  <si>
    <t xml:space="preserve">Senior tranche opening balance</t>
  </si>
  <si>
    <t xml:space="preserve">Senior tranche coupon</t>
  </si>
  <si>
    <t xml:space="preserve">Mezz tranche opening balance</t>
  </si>
  <si>
    <t xml:space="preserve">Mezz tranche coupon</t>
  </si>
  <si>
    <t xml:space="preserve">Reserve account</t>
  </si>
  <si>
    <t xml:space="preserve">Minimum OC ratio</t>
  </si>
  <si>
    <t xml:space="preserve">x</t>
  </si>
  <si>
    <t xml:space="preserve">Minimum senior IC ratio</t>
  </si>
  <si>
    <t xml:space="preserve">Minimum mezz IC ratio</t>
  </si>
  <si>
    <t xml:space="preserve">Payment frequency</t>
  </si>
  <si>
    <t xml:space="preserve">per year</t>
  </si>
  <si>
    <t xml:space="preserve">Model horizon</t>
  </si>
  <si>
    <t xml:space="preserve">Monthly Collateral Cash Flows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</si>
  <si>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</si>
  <si>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</si>
  <si>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</si>
  <si>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</si>
  <si>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</si>
  <si>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</si>
  <si>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</si>
  <si>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</si>
  <si>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</si>
  <si>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</si>
  <si>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</si>
  <si>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</si>
  <si>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</si>
  <si>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</si>
  <si>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</si>
  <si>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</si>
  <si>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</si>
  <si>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</si>
  <si>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</si>
  <si>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</si>
  <si>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</si>
  <si>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</si>
  <si>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</si>
  <si>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Beginning collateral</t>
  </si>
  <si>
    <t xml:space="preserve">Scheduled principal</t>
  </si>
  <si>
    <t xml:space="preserve">Defaults</t>
  </si>
  <si>
    <t xml:space="preserve">Recoveries</t>
  </si>
  <si>
    <t xml:space="preserve">Prepayments</t>
  </si>
  <si>
    <t xml:space="preserve">Interest collections</t>
  </si>
  <si>
    <t xml:space="preserve">Servicing / senior fees</t>
  </si>
  <si>
    <t xml:space="preserve">Net interest collections</t>
  </si>
  <si>
    <t xml:space="preserve">Principal collections</t>
  </si>
  <si>
    <t xml:space="preserve">Ending collateral</t>
  </si>
  <si>
    <t xml:space="preserve">Monthly Prepayment, Default, and Recovery Curves</t>
  </si>
  <si>
    <t xml:space="preserve">Rate</t>
  </si>
  <si>
    <t xml:space="preserve">SMM</t>
  </si>
  <si>
    <t xml:space="preserve">MDR</t>
  </si>
  <si>
    <t xml:space="preserve">Cumulative default rate</t>
  </si>
  <si>
    <t xml:space="preserve">Cumulative loss rate</t>
  </si>
  <si>
    <t xml:space="preserve">Monthly Priority of Payments</t>
  </si>
  <si>
    <t xml:space="preserve">Available interest</t>
  </si>
  <si>
    <t xml:space="preserve">Available principal</t>
  </si>
  <si>
    <t xml:space="preserve">Senior beginning balance</t>
  </si>
  <si>
    <t xml:space="preserve">Senior interest due</t>
  </si>
  <si>
    <t xml:space="preserve">Senior interest paid</t>
  </si>
  <si>
    <t xml:space="preserve">Senior interest shortfall</t>
  </si>
  <si>
    <t xml:space="preserve">Senior principal paid</t>
  </si>
  <si>
    <t xml:space="preserve">Senior ending balance</t>
  </si>
  <si>
    <t xml:space="preserve">Mezz beginning balance</t>
  </si>
  <si>
    <t xml:space="preserve">Mezz interest due</t>
  </si>
  <si>
    <t xml:space="preserve">Mezz interest paid</t>
  </si>
  <si>
    <t xml:space="preserve">Mezz interest shortfall</t>
  </si>
  <si>
    <t xml:space="preserve">Mezz principal paid</t>
  </si>
  <si>
    <t xml:space="preserve">Mezz ending balance</t>
  </si>
  <si>
    <t xml:space="preserve">Residual cash</t>
  </si>
  <si>
    <t xml:space="preserve">OC / IC Triggers and Cash Diversion</t>
  </si>
  <si>
    <t xml:space="preserve">Metric</t>
  </si>
  <si>
    <t xml:space="preserve">OC ratio</t>
  </si>
  <si>
    <t xml:space="preserve">Senior interest coverage</t>
  </si>
  <si>
    <t xml:space="preserve">Minimum senior IC</t>
  </si>
  <si>
    <t xml:space="preserve">Mezz interest coverage</t>
  </si>
  <si>
    <t xml:space="preserve">Minimum mezz IC</t>
  </si>
  <si>
    <t xml:space="preserve">Trigger status</t>
  </si>
  <si>
    <t xml:space="preserve">Tranche Yield, WAL, and Loss Analytics</t>
  </si>
  <si>
    <t xml:space="preserve">Senior</t>
  </si>
  <si>
    <t xml:space="preserve">Mezz</t>
  </si>
  <si>
    <t xml:space="preserve">Residual</t>
  </si>
  <si>
    <t xml:space="preserve">Notes</t>
  </si>
  <si>
    <t xml:space="preserve">Opening balance</t>
  </si>
  <si>
    <t xml:space="preserve">capital structure</t>
  </si>
  <si>
    <t xml:space="preserve">Ending balance</t>
  </si>
  <si>
    <t xml:space="preserve">modeled horizon</t>
  </si>
  <si>
    <t xml:space="preserve">Principal paid</t>
  </si>
  <si>
    <t xml:space="preserve">cash principal</t>
  </si>
  <si>
    <t xml:space="preserve">Interest paid</t>
  </si>
  <si>
    <t xml:space="preserve">cash interest / residual</t>
  </si>
  <si>
    <t xml:space="preserve">WAL</t>
  </si>
  <si>
    <t xml:space="preserve">years</t>
  </si>
  <si>
    <t xml:space="preserve">Interest shortfall</t>
  </si>
  <si>
    <t xml:space="preserve">cumulative</t>
  </si>
  <si>
    <t xml:space="preserve">Principal loss / unpaid balance</t>
  </si>
  <si>
    <t xml:space="preserve">end-horizon exposure</t>
  </si>
  <si>
    <t xml:space="preserve">Senior Ending Balance Sensitivity</t>
  </si>
  <si>
    <t xml:space="preserve">CDR / CPR</t>
  </si>
  <si>
    <t xml:space="preserve">Model Checks</t>
  </si>
  <si>
    <t xml:space="preserve">Check</t>
  </si>
  <si>
    <t xml:space="preserve">Collateral balance nonnegative</t>
  </si>
  <si>
    <t xml:space="preserve">Senior balance nonnegative</t>
  </si>
  <si>
    <t xml:space="preserve">Mezz balance nonnegative</t>
  </si>
  <si>
    <t xml:space="preserve">Collateral roll-forward</t>
  </si>
  <si>
    <t xml:space="preserve">Interest waterfall conserved</t>
  </si>
  <si>
    <t xml:space="preserve">No trigger breach</t>
  </si>
  <si>
    <t xml:space="preserve">Recovery and loss rates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</si>
  <si>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</si>
  <si>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</si>
  <si>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</si>
  <si>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</si>
  <si>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</si>
  <si>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Offering memorandum / indenture</t>
  </si>
  <si>
    <t xml:space="preserve">[public filing / data room URL]</t>
  </si>
  <si>
    <t xml:space="preserve">Capital structure, priority of payments, triggers</t>
  </si>
  <si>
    <t xml:space="preserve">Servicer report</t>
  </si>
  <si>
    <t xml:space="preserve">[trustee / servicer URL]</t>
  </si>
  <si>
    <t xml:space="preserve">[payment date]</t>
  </si>
  <si>
    <t xml:space="preserve">Pool balance, delinquencies, defaults, recoveries</t>
  </si>
  <si>
    <t xml:space="preserve">Collateral data tape</t>
  </si>
  <si>
    <t xml:space="preserve">[restricted source]</t>
  </si>
  <si>
    <t xml:space="preserve">[cut-off date]</t>
  </si>
  <si>
    <t xml:space="preserve">Loan-level fields and transformations</t>
  </si>
  <si>
    <t xml:space="preserve">Rating methodology</t>
  </si>
  <si>
    <t xml:space="preserve">[agency methodology URL]</t>
  </si>
  <si>
    <t xml:space="preserve">Stress assumptions and legal criteria</t>
  </si>
  <si>
    <t xml:space="preserve">Market benchmarks</t>
  </si>
  <si>
    <t xml:space="preserve">[market data URL]</t>
  </si>
  <si>
    <t xml:space="preserve">Spreads, CPR/CDR expectations, relative value</t>
  </si>
  <si>
    <t xml:space="preserve">Finance-Segway benchmark fixture securitization-reference-pool</t>
  </si>
  <si>
    <t xml:space="preserve">repo://standards/benchmark_cases/securitization-reference-pool.json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</si>
  <si>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</si>
  <si>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</si>
  <si>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</si>
  <si>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</si>
  <si>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</si>
  <si>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</si>
  <si>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</si>
  <si>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</si>
  <si>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securitization-reference-pool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</si>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</sst>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0%;[RED]\(0.00%\);\-"/>
    <numFmt numFmtId="167" formatCode="0"/>
    <numFmt numFmtId="168" formatCode="0.0\x;[RED]\(0.0&quot;x)&quot;;\-"/>
    <numFmt numFmtId="169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111</v>
      </c>
      <c r="D6" s="1" t="s">
        <v>115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116</v>
      </c>
      <c r="C7" s="1" t="s">
        <v>117</v>
      </c>
      <c r="D7" s="1" t="s">
        <v>118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119</v>
      </c>
      <c r="C8" s="1" t="s">
        <v>120</v>
      </c>
      <c r="D8" s="1" t="s">
        <v>121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122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123</v>
      </c>
      <c r="C4" s="16" t="s">
        <v>12</v>
      </c>
      <c r="D4" s="16" t="s">
        <v>124</v>
      </c>
      <c r="E4" s="16" t="s">
        <v>125</v>
      </c>
      <c r="F4" s="16" t="s">
        <v>126</v>
      </c>
    </row>
    <row r="5" customFormat="false" ht="15" hidden="false" customHeight="true" outlineLevel="0" collapsed="false">
      <c r="B5" s="1" t="s">
        <v>127</v>
      </c>
      <c r="C5" s="17" t="n">
        <v>1200</v>
      </c>
      <c r="D5" s="18" t="n">
        <v>1000</v>
      </c>
      <c r="E5" s="19" t="n">
        <f aca="false">IF(Cover!$C$9="Downside",D5,C5)</f>
        <v>1200</v>
      </c>
      <c r="F5" s="1" t="s">
        <v>128</v>
      </c>
    </row>
    <row r="6" customFormat="false" ht="15" hidden="false" customHeight="true" outlineLevel="0" collapsed="false">
      <c r="B6" s="1" t="s">
        <v>129</v>
      </c>
      <c r="C6" s="20" t="n">
        <v>0.08</v>
      </c>
      <c r="D6" s="20" t="n">
        <v>0.075</v>
      </c>
      <c r="E6" s="21" t="n">
        <f aca="false">IF(Cover!$C$9="Downside",D6,C6)</f>
        <v>0.08</v>
      </c>
      <c r="F6" s="1" t="s">
        <v>130</v>
      </c>
    </row>
    <row r="7" customFormat="false" ht="15" hidden="false" customHeight="true" outlineLevel="0" collapsed="false">
      <c r="B7" s="1" t="s">
        <v>131</v>
      </c>
      <c r="C7" s="22" t="n">
        <v>0.14</v>
      </c>
      <c r="D7" s="20" t="n">
        <v>0.06</v>
      </c>
      <c r="E7" s="21" t="n">
        <f aca="false">IF(Cover!$C$9="Downside",D7,C7)</f>
        <v>0.14</v>
      </c>
      <c r="F7" s="1" t="s">
        <v>130</v>
      </c>
    </row>
    <row r="8" customFormat="false" ht="15" hidden="false" customHeight="true" outlineLevel="0" collapsed="false">
      <c r="B8" s="1" t="s">
        <v>132</v>
      </c>
      <c r="C8" s="22" t="n">
        <v>0.025</v>
      </c>
      <c r="D8" s="20" t="n">
        <v>0.08</v>
      </c>
      <c r="E8" s="21" t="n">
        <f aca="false">IF(Cover!$C$9="Downside",D8,C8)</f>
        <v>0.025</v>
      </c>
      <c r="F8" s="1" t="s">
        <v>130</v>
      </c>
    </row>
    <row r="9" customFormat="false" ht="15" hidden="false" customHeight="true" outlineLevel="0" collapsed="false">
      <c r="B9" s="1" t="s">
        <v>133</v>
      </c>
      <c r="C9" s="22" t="n">
        <v>0.5</v>
      </c>
      <c r="D9" s="20" t="n">
        <v>0.25</v>
      </c>
      <c r="E9" s="21" t="n">
        <f aca="false">IF(Cover!$C$9="Downside",D9,C9)</f>
        <v>0.5</v>
      </c>
      <c r="F9" s="1" t="s">
        <v>130</v>
      </c>
    </row>
    <row r="10" customFormat="false" ht="15" hidden="false" customHeight="true" outlineLevel="0" collapsed="false">
      <c r="B10" s="1" t="s">
        <v>134</v>
      </c>
      <c r="C10" s="23" t="n">
        <v>3</v>
      </c>
      <c r="D10" s="23" t="n">
        <v>6</v>
      </c>
      <c r="E10" s="24" t="n">
        <f aca="false">IF(Cover!$C$9="Downside",D10,C10)</f>
        <v>3</v>
      </c>
      <c r="F10" s="1" t="s">
        <v>135</v>
      </c>
    </row>
    <row r="11" customFormat="false" ht="15" hidden="false" customHeight="true" outlineLevel="0" collapsed="false">
      <c r="B11" s="1" t="s">
        <v>136</v>
      </c>
      <c r="C11" s="20" t="n">
        <v>0.01</v>
      </c>
      <c r="D11" s="20" t="n">
        <v>0.012</v>
      </c>
      <c r="E11" s="21" t="n">
        <f aca="false">IF(Cover!$C$9="Downside",D11,C11)</f>
        <v>0.01</v>
      </c>
      <c r="F11" s="1" t="s">
        <v>137</v>
      </c>
    </row>
    <row r="12" customFormat="false" ht="15" hidden="false" customHeight="true" outlineLevel="0" collapsed="false">
      <c r="B12" s="1" t="s">
        <v>138</v>
      </c>
      <c r="C12" s="18" t="n">
        <v>650</v>
      </c>
      <c r="D12" s="18" t="n">
        <v>650</v>
      </c>
      <c r="E12" s="19" t="n">
        <f aca="false">IF(Cover!$C$9="Downside",D12,C12)</f>
        <v>650</v>
      </c>
      <c r="F12" s="1" t="s">
        <v>128</v>
      </c>
    </row>
    <row r="13" customFormat="false" ht="15" hidden="false" customHeight="true" outlineLevel="0" collapsed="false">
      <c r="B13" s="1" t="s">
        <v>139</v>
      </c>
      <c r="C13" s="20" t="n">
        <v>0.05</v>
      </c>
      <c r="D13" s="20" t="n">
        <v>0.06</v>
      </c>
      <c r="E13" s="21" t="n">
        <f aca="false">IF(Cover!$C$9="Downside",D13,C13)</f>
        <v>0.05</v>
      </c>
      <c r="F13" s="1" t="s">
        <v>130</v>
      </c>
    </row>
    <row r="14" customFormat="false" ht="15" hidden="false" customHeight="true" outlineLevel="0" collapsed="false">
      <c r="B14" s="1" t="s">
        <v>140</v>
      </c>
      <c r="C14" s="18" t="n">
        <v>220</v>
      </c>
      <c r="D14" s="18" t="n">
        <v>220</v>
      </c>
      <c r="E14" s="19" t="n">
        <f aca="false">IF(Cover!$C$9="Downside",D14,C14)</f>
        <v>220</v>
      </c>
      <c r="F14" s="1" t="s">
        <v>128</v>
      </c>
    </row>
    <row r="15" customFormat="false" ht="15" hidden="false" customHeight="true" outlineLevel="0" collapsed="false">
      <c r="B15" s="1" t="s">
        <v>141</v>
      </c>
      <c r="C15" s="20" t="n">
        <v>0.08</v>
      </c>
      <c r="D15" s="20" t="n">
        <v>0.1</v>
      </c>
      <c r="E15" s="21" t="n">
        <f aca="false">IF(Cover!$C$9="Downside",D15,C15)</f>
        <v>0.08</v>
      </c>
      <c r="F15" s="1" t="s">
        <v>130</v>
      </c>
    </row>
    <row r="16" customFormat="false" ht="15" hidden="false" customHeight="true" outlineLevel="0" collapsed="false">
      <c r="B16" s="1" t="s">
        <v>142</v>
      </c>
      <c r="C16" s="18" t="n">
        <v>20</v>
      </c>
      <c r="D16" s="18" t="n">
        <v>20</v>
      </c>
      <c r="E16" s="19" t="n">
        <f aca="false">IF(Cover!$C$9="Downside",D16,C16)</f>
        <v>20</v>
      </c>
      <c r="F16" s="1" t="s">
        <v>128</v>
      </c>
    </row>
    <row r="17" customFormat="false" ht="15" hidden="false" customHeight="true" outlineLevel="0" collapsed="false">
      <c r="B17" s="1" t="s">
        <v>143</v>
      </c>
      <c r="C17" s="25" t="n">
        <v>1.08</v>
      </c>
      <c r="D17" s="25" t="n">
        <v>1.08</v>
      </c>
      <c r="E17" s="26" t="n">
        <f aca="false">IF(Cover!$C$9="Downside",D17,C17)</f>
        <v>1.08</v>
      </c>
      <c r="F17" s="1" t="s">
        <v>144</v>
      </c>
    </row>
    <row r="18" customFormat="false" ht="15" hidden="false" customHeight="true" outlineLevel="0" collapsed="false">
      <c r="B18" s="1" t="s">
        <v>145</v>
      </c>
      <c r="C18" s="25" t="n">
        <v>1.5</v>
      </c>
      <c r="D18" s="25" t="n">
        <v>1.5</v>
      </c>
      <c r="E18" s="26" t="n">
        <f aca="false">IF(Cover!$C$9="Downside",D18,C18)</f>
        <v>1.5</v>
      </c>
      <c r="F18" s="1" t="s">
        <v>144</v>
      </c>
    </row>
    <row r="19" customFormat="false" ht="15" hidden="false" customHeight="true" outlineLevel="0" collapsed="false">
      <c r="B19" s="1" t="s">
        <v>146</v>
      </c>
      <c r="C19" s="25" t="n">
        <v>1.15</v>
      </c>
      <c r="D19" s="25" t="n">
        <v>1.15</v>
      </c>
      <c r="E19" s="26" t="n">
        <f aca="false">IF(Cover!$C$9="Downside",D19,C19)</f>
        <v>1.15</v>
      </c>
      <c r="F19" s="1" t="s">
        <v>144</v>
      </c>
    </row>
    <row r="20" customFormat="false" ht="15" hidden="false" customHeight="true" outlineLevel="0" collapsed="false">
      <c r="B20" s="1" t="s">
        <v>147</v>
      </c>
      <c r="C20" s="23" t="n">
        <v>12</v>
      </c>
      <c r="D20" s="23" t="n">
        <v>12</v>
      </c>
      <c r="E20" s="24" t="n">
        <f aca="false">IF(Cover!$C$9="Downside",D20,C20)</f>
        <v>12</v>
      </c>
      <c r="F20" s="1" t="s">
        <v>148</v>
      </c>
    </row>
    <row r="21" customFormat="false" ht="15" hidden="false" customHeight="true" outlineLevel="0" collapsed="false">
      <c r="B21" s="1" t="s">
        <v>149</v>
      </c>
      <c r="C21" s="23" t="n">
        <v>24</v>
      </c>
      <c r="D21" s="23" t="n">
        <v>24</v>
      </c>
      <c r="E21" s="24" t="n">
        <f aca="false">IF(Cover!$C$9="Downside",D21,C21)</f>
        <v>24</v>
      </c>
      <c r="F21" s="1" t="s">
        <v>135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174</v>
      </c>
      <c r="C5" s="27" t="n">
        <f aca="false">Assumptions!E5</f>
        <v>1200</v>
      </c>
      <c r="D5" s="27" t="n">
        <f aca="false">C14</f>
        <v>1133.24313259354</v>
      </c>
      <c r="E5" s="27" t="n">
        <f aca="false">D14</f>
        <v>1068.17693559732</v>
      </c>
      <c r="F5" s="27" t="n">
        <f aca="false">E14</f>
        <v>1004.76631264308</v>
      </c>
      <c r="G5" s="27" t="n">
        <f aca="false">F14</f>
        <v>942.976831191797</v>
      </c>
      <c r="H5" s="27" t="n">
        <f aca="false">G14</f>
        <v>882.774710639802</v>
      </c>
      <c r="I5" s="27" t="n">
        <f aca="false">H14</f>
        <v>824.1268106305</v>
      </c>
      <c r="J5" s="27" t="n">
        <f aca="false">I14</f>
        <v>767.000619568351</v>
      </c>
      <c r="K5" s="27" t="n">
        <f aca="false">J14</f>
        <v>711.364243331618</v>
      </c>
      <c r="L5" s="27" t="n">
        <f aca="false">K14</f>
        <v>657.18639418056</v>
      </c>
      <c r="M5" s="27" t="n">
        <f aca="false">L14</f>
        <v>604.436379857762</v>
      </c>
      <c r="N5" s="27" t="n">
        <f aca="false">M14</f>
        <v>553.084092877365</v>
      </c>
      <c r="O5" s="27" t="n">
        <f aca="false">N14</f>
        <v>503.1</v>
      </c>
      <c r="P5" s="27" t="n">
        <f aca="false">O14</f>
        <v>454.455131890281</v>
      </c>
      <c r="Q5" s="27" t="n">
        <f aca="false">P14</f>
        <v>407.121072953795</v>
      </c>
      <c r="R5" s="27" t="n">
        <f aca="false">Q14</f>
        <v>361.069951350522</v>
      </c>
      <c r="S5" s="27" t="n">
        <f aca="false">R14</f>
        <v>316.274429181728</v>
      </c>
      <c r="T5" s="27" t="n">
        <f aca="false">S14</f>
        <v>272.707692847385</v>
      </c>
      <c r="U5" s="27" t="n">
        <f aca="false">T14</f>
        <v>230.343443571224</v>
      </c>
      <c r="V5" s="27" t="n">
        <f aca="false">U14</f>
        <v>189.155888090606</v>
      </c>
      <c r="W5" s="27" t="n">
        <f aca="false">V14</f>
        <v>149.11972950839</v>
      </c>
      <c r="X5" s="27" t="n">
        <f aca="false">W14</f>
        <v>110.21015830408</v>
      </c>
      <c r="Y5" s="27" t="n">
        <f aca="false">X14</f>
        <v>72.4028435015332</v>
      </c>
      <c r="Z5" s="27" t="n">
        <f aca="false">Y14</f>
        <v>35.67392399059</v>
      </c>
    </row>
    <row r="6" customFormat="false" ht="15" hidden="false" customHeight="true" outlineLevel="0" collapsed="false">
      <c r="B6" s="1" t="s">
        <v>175</v>
      </c>
      <c r="C6" s="27" t="n">
        <f aca="false">MIN(C5,C5/24)</f>
        <v>50</v>
      </c>
      <c r="D6" s="27" t="n">
        <f aca="false">MIN(D5,D5/23)</f>
        <v>49.271440547545</v>
      </c>
      <c r="E6" s="27" t="n">
        <f aca="false">MIN(E5,E5/22)</f>
        <v>48.5534970726053</v>
      </c>
      <c r="F6" s="27" t="n">
        <f aca="false">MIN(F5,F5/21)</f>
        <v>47.8460148877655</v>
      </c>
      <c r="G6" s="27" t="n">
        <f aca="false">MIN(G5,G5/20)</f>
        <v>47.1488415595898</v>
      </c>
      <c r="H6" s="27" t="n">
        <f aca="false">MIN(H5,H5/19)</f>
        <v>46.461826875779</v>
      </c>
      <c r="I6" s="27" t="n">
        <f aca="false">MIN(I5,I5/18)</f>
        <v>45.7848228128055</v>
      </c>
      <c r="J6" s="27" t="n">
        <f aca="false">MIN(J5,J5/17)</f>
        <v>45.1176835040206</v>
      </c>
      <c r="K6" s="27" t="n">
        <f aca="false">MIN(K5,K5/16)</f>
        <v>44.4602652082261</v>
      </c>
      <c r="L6" s="27" t="n">
        <f aca="false">MIN(L5,L5/15)</f>
        <v>43.812426278704</v>
      </c>
      <c r="M6" s="27" t="n">
        <f aca="false">MIN(M5,M5/14)</f>
        <v>43.1740271326973</v>
      </c>
      <c r="N6" s="27" t="n">
        <f aca="false">MIN(N5,N5/13)</f>
        <v>42.5449302213358</v>
      </c>
      <c r="O6" s="27" t="n">
        <f aca="false">MIN(O5,O5/12)</f>
        <v>41.925</v>
      </c>
      <c r="P6" s="27" t="n">
        <f aca="false">MIN(P5,P5/11)</f>
        <v>41.3141028991165</v>
      </c>
      <c r="Q6" s="27" t="n">
        <f aca="false">MIN(Q5,Q5/10)</f>
        <v>40.7121072953795</v>
      </c>
      <c r="R6" s="27" t="n">
        <f aca="false">MIN(R5,R5/9)</f>
        <v>40.1188834833913</v>
      </c>
      <c r="S6" s="27" t="n">
        <f aca="false">MIN(S5,S5/8)</f>
        <v>39.5343036477161</v>
      </c>
      <c r="T6" s="27" t="n">
        <f aca="false">MIN(T5,T5/7)</f>
        <v>38.9582418353407</v>
      </c>
      <c r="U6" s="27" t="n">
        <f aca="false">MIN(U5,U5/6)</f>
        <v>38.3905739285374</v>
      </c>
      <c r="V6" s="27" t="n">
        <f aca="false">MIN(V5,V5/5)</f>
        <v>37.8311776181213</v>
      </c>
      <c r="W6" s="27" t="n">
        <f aca="false">MIN(W5,W5/4)</f>
        <v>37.2799323770976</v>
      </c>
      <c r="X6" s="27" t="n">
        <f aca="false">MIN(X5,X5/3)</f>
        <v>36.7367194346933</v>
      </c>
      <c r="Y6" s="27" t="n">
        <f aca="false">MIN(Y5,Y5/2)</f>
        <v>36.2014217507666</v>
      </c>
      <c r="Z6" s="27" t="n">
        <f aca="false">MIN(Z5,Z5/1)</f>
        <v>35.67392399059</v>
      </c>
    </row>
    <row r="7" customFormat="false" ht="15" hidden="false" customHeight="true" outlineLevel="0" collapsed="false">
      <c r="B7" s="1" t="s">
        <v>176</v>
      </c>
      <c r="C7" s="27" t="n">
        <f aca="false">MAX(0,C5-C6)*'Loss Curves'!C6</f>
        <v>2.42373221663931</v>
      </c>
      <c r="D7" s="27" t="n">
        <f aca="false">MAX(0,D5-D6)*'Loss Curves'!D6</f>
        <v>2.28457140168426</v>
      </c>
      <c r="E7" s="27" t="n">
        <f aca="false">MAX(0,E5-E6)*'Loss Curves'!E6</f>
        <v>2.14895145808078</v>
      </c>
      <c r="F7" s="27" t="n">
        <f aca="false">MAX(0,F5-F6)*'Loss Curves'!F6</f>
        <v>2.01679874297881</v>
      </c>
      <c r="G7" s="27" t="n">
        <f aca="false">MAX(0,G5-G6)*'Loss Curves'!G6</f>
        <v>1.88804100785983</v>
      </c>
      <c r="H7" s="27" t="n">
        <f aca="false">MAX(0,H5-H6)*'Loss Curves'!H6</f>
        <v>1.7626073735386</v>
      </c>
      <c r="I7" s="27" t="n">
        <f aca="false">MAX(0,I5-I6)*'Loss Curves'!I6</f>
        <v>1.64042830559724</v>
      </c>
      <c r="J7" s="27" t="n">
        <f aca="false">MAX(0,J5-J6)*'Loss Curves'!J6</f>
        <v>1.5214355902446</v>
      </c>
      <c r="K7" s="27" t="n">
        <f aca="false">MAX(0,K5-K6)*'Loss Curves'!K6</f>
        <v>1.40556231059355</v>
      </c>
      <c r="L7" s="27" t="n">
        <f aca="false">MAX(0,L5-L6)*'Loss Curves'!L6</f>
        <v>1.29274282334923</v>
      </c>
      <c r="M7" s="27" t="n">
        <f aca="false">MAX(0,M5-M6)*'Loss Curves'!M6</f>
        <v>1.18291273590132</v>
      </c>
      <c r="N7" s="27" t="n">
        <f aca="false">MAX(0,N5-N6)*'Loss Curves'!N6</f>
        <v>1.07600888381346</v>
      </c>
      <c r="O7" s="27" t="n">
        <f aca="false">MAX(0,O5-O6)*'Loss Curves'!O6</f>
        <v>0.97196930870316</v>
      </c>
      <c r="P7" s="27" t="n">
        <f aca="false">MAX(0,P5-P6)*'Loss Curves'!P6</f>
        <v>0.870733236505567</v>
      </c>
      <c r="Q7" s="27" t="n">
        <f aca="false">MAX(0,Q5-Q6)*'Loss Curves'!Q6</f>
        <v>0.7722410561146</v>
      </c>
      <c r="R7" s="27" t="n">
        <f aca="false">MAX(0,R5-R6)*'Loss Curves'!R6</f>
        <v>0.676434298395091</v>
      </c>
      <c r="S7" s="27" t="n">
        <f aca="false">MAX(0,S5-S6)*'Loss Curves'!S6</f>
        <v>0.583255615559646</v>
      </c>
      <c r="T7" s="27" t="n">
        <f aca="false">MAX(0,T5-T6)*'Loss Curves'!T6</f>
        <v>0.492648760904038</v>
      </c>
      <c r="U7" s="27" t="n">
        <f aca="false">MAX(0,U5-U6)*'Loss Curves'!U6</f>
        <v>0.404558568895084</v>
      </c>
      <c r="V7" s="27" t="n">
        <f aca="false">MAX(0,V5-V6)*'Loss Curves'!V6</f>
        <v>0.318930935605025</v>
      </c>
      <c r="W7" s="27" t="n">
        <f aca="false">MAX(0,W5-W6)*'Loss Curves'!W6</f>
        <v>0.235712799486538</v>
      </c>
      <c r="X7" s="27" t="n">
        <f aca="false">MAX(0,X5-X6)*'Loss Curves'!X6</f>
        <v>0.154852122482618</v>
      </c>
      <c r="Y7" s="27" t="n">
        <f aca="false">MAX(0,Y5-Y6)*'Loss Curves'!Y6</f>
        <v>0.076297871465635</v>
      </c>
      <c r="Z7" s="27" t="n">
        <f aca="false">MAX(0,Z5-Z6)*'Loss Curves'!Z6</f>
        <v>0</v>
      </c>
    </row>
    <row r="8" customFormat="false" ht="15" hidden="false" customHeight="true" outlineLevel="0" collapsed="false">
      <c r="B8" s="1" t="s">
        <v>177</v>
      </c>
      <c r="C8" s="27" t="n">
        <v>0</v>
      </c>
      <c r="D8" s="27" t="n">
        <v>0</v>
      </c>
      <c r="E8" s="27" t="n">
        <v>0</v>
      </c>
      <c r="F8" s="27" t="n">
        <f aca="false">C7*Assumptions!$E$9</f>
        <v>1.21186610831966</v>
      </c>
      <c r="G8" s="27" t="n">
        <f aca="false">D7*Assumptions!$E$9</f>
        <v>1.14228570084213</v>
      </c>
      <c r="H8" s="27" t="n">
        <f aca="false">E7*Assumptions!$E$9</f>
        <v>1.07447572904039</v>
      </c>
      <c r="I8" s="27" t="n">
        <f aca="false">F7*Assumptions!$E$9</f>
        <v>1.0083993714894</v>
      </c>
      <c r="J8" s="27" t="n">
        <f aca="false">G7*Assumptions!$E$9</f>
        <v>0.944020503929917</v>
      </c>
      <c r="K8" s="27" t="n">
        <f aca="false">H7*Assumptions!$E$9</f>
        <v>0.8813036867693</v>
      </c>
      <c r="L8" s="27" t="n">
        <f aca="false">I7*Assumptions!$E$9</f>
        <v>0.820214152798621</v>
      </c>
      <c r="M8" s="27" t="n">
        <f aca="false">J7*Assumptions!$E$9</f>
        <v>0.760717795122302</v>
      </c>
      <c r="N8" s="27" t="n">
        <f aca="false">K7*Assumptions!$E$9</f>
        <v>0.702781155296776</v>
      </c>
      <c r="O8" s="27" t="n">
        <f aca="false">L7*Assumptions!$E$9</f>
        <v>0.646371411674615</v>
      </c>
      <c r="P8" s="27" t="n">
        <f aca="false">M7*Assumptions!$E$9</f>
        <v>0.591456367950659</v>
      </c>
      <c r="Q8" s="27" t="n">
        <f aca="false">N7*Assumptions!$E$9</f>
        <v>0.538004441906729</v>
      </c>
      <c r="R8" s="27" t="n">
        <f aca="false">O7*Assumptions!$E$9</f>
        <v>0.48598465435158</v>
      </c>
      <c r="S8" s="27" t="n">
        <f aca="false">P7*Assumptions!$E$9</f>
        <v>0.435366618252784</v>
      </c>
      <c r="T8" s="27" t="n">
        <f aca="false">Q7*Assumptions!$E$9</f>
        <v>0.3861205280573</v>
      </c>
      <c r="U8" s="27" t="n">
        <f aca="false">R7*Assumptions!$E$9</f>
        <v>0.338217149197546</v>
      </c>
      <c r="V8" s="27" t="n">
        <f aca="false">S7*Assumptions!$E$9</f>
        <v>0.291627807779823</v>
      </c>
      <c r="W8" s="27" t="n">
        <f aca="false">T7*Assumptions!$E$9</f>
        <v>0.246324380452019</v>
      </c>
      <c r="X8" s="27" t="n">
        <f aca="false">U7*Assumptions!$E$9</f>
        <v>0.202279284447542</v>
      </c>
      <c r="Y8" s="27" t="n">
        <f aca="false">V7*Assumptions!$E$9</f>
        <v>0.159465467802512</v>
      </c>
      <c r="Z8" s="27" t="n">
        <f aca="false">W7*Assumptions!$E$9</f>
        <v>0.117856399743269</v>
      </c>
    </row>
    <row r="9" customFormat="false" ht="15" hidden="false" customHeight="true" outlineLevel="0" collapsed="false">
      <c r="B9" s="1" t="s">
        <v>178</v>
      </c>
      <c r="C9" s="27" t="n">
        <f aca="false">MAX(0,C5-C6-C7)*'Loss Curves'!C5</f>
        <v>14.3331351898248</v>
      </c>
      <c r="D9" s="27" t="n">
        <f aca="false">MAX(0,D5-D6-D7)*'Loss Curves'!D5</f>
        <v>13.5101850469899</v>
      </c>
      <c r="E9" s="27" t="n">
        <f aca="false">MAX(0,E5-E6-E7)*'Loss Curves'!E5</f>
        <v>12.7081744235554</v>
      </c>
      <c r="F9" s="27" t="n">
        <f aca="false">MAX(0,F5-F6-F7)*'Loss Curves'!F5</f>
        <v>11.9266678205341</v>
      </c>
      <c r="G9" s="27" t="n">
        <f aca="false">MAX(0,G5-G6-G7)*'Loss Curves'!G5</f>
        <v>11.1652379845456</v>
      </c>
      <c r="H9" s="27" t="n">
        <f aca="false">MAX(0,H5-H6-H7)*'Loss Curves'!H5</f>
        <v>10.4234657599843</v>
      </c>
      <c r="I9" s="27" t="n">
        <f aca="false">MAX(0,I5-I6-I7)*'Loss Curves'!I5</f>
        <v>9.70093994374607</v>
      </c>
      <c r="J9" s="27" t="n">
        <f aca="false">MAX(0,J5-J6-J7)*'Loss Curves'!J5</f>
        <v>8.99725714246757</v>
      </c>
      <c r="K9" s="27" t="n">
        <f aca="false">MAX(0,K5-K6-K7)*'Loss Curves'!K5</f>
        <v>8.31202163223873</v>
      </c>
      <c r="L9" s="27" t="n">
        <f aca="false">MAX(0,L5-L6-L7)*'Loss Curves'!L5</f>
        <v>7.64484522074483</v>
      </c>
      <c r="M9" s="27" t="n">
        <f aca="false">MAX(0,M5-M6-M7)*'Loss Curves'!M5</f>
        <v>6.99534711179781</v>
      </c>
      <c r="N9" s="27" t="n">
        <f aca="false">MAX(0,N5-N6-N7)*'Loss Curves'!N5</f>
        <v>6.36315377221637</v>
      </c>
      <c r="O9" s="27" t="n">
        <f aca="false">MAX(0,O5-O6-O7)*'Loss Curves'!O5</f>
        <v>5.74789880101517</v>
      </c>
      <c r="P9" s="27" t="n">
        <f aca="false">MAX(0,P5-P6-P7)*'Loss Curves'!P5</f>
        <v>5.14922280086408</v>
      </c>
      <c r="Q9" s="27" t="n">
        <f aca="false">MAX(0,Q5-Q6-Q7)*'Loss Curves'!Q5</f>
        <v>4.56677325177908</v>
      </c>
      <c r="R9" s="27" t="n">
        <f aca="false">MAX(0,R5-R6-R7)*'Loss Curves'!R5</f>
        <v>4.00020438700715</v>
      </c>
      <c r="S9" s="27" t="n">
        <f aca="false">MAX(0,S5-S6-S7)*'Loss Curves'!S5</f>
        <v>3.4491770710679</v>
      </c>
      <c r="T9" s="27" t="n">
        <f aca="false">MAX(0,T5-T6-T7)*'Loss Curves'!T5</f>
        <v>2.91335867991562</v>
      </c>
      <c r="U9" s="27" t="n">
        <f aca="false">MAX(0,U5-U6-U7)*'Loss Curves'!U5</f>
        <v>2.39242298318561</v>
      </c>
      <c r="V9" s="27" t="n">
        <f aca="false">MAX(0,V5-V6-V7)*'Loss Curves'!V5</f>
        <v>1.88605002848976</v>
      </c>
      <c r="W9" s="27" t="n">
        <f aca="false">MAX(0,W5-W6-W7)*'Loss Curves'!W5</f>
        <v>1.39392602772643</v>
      </c>
      <c r="X9" s="27" t="n">
        <f aca="false">MAX(0,X5-X6-X7)*'Loss Curves'!X5</f>
        <v>0.915743245370648</v>
      </c>
      <c r="Y9" s="27" t="n">
        <f aca="false">MAX(0,Y5-Y6-Y7)*'Loss Curves'!Y5</f>
        <v>0.451199888710958</v>
      </c>
      <c r="Z9" s="27" t="n">
        <f aca="false">MAX(0,Z5-Z6-Z7)*'Loss Curves'!Z5</f>
        <v>0</v>
      </c>
    </row>
    <row r="10" customFormat="false" ht="15" hidden="false" customHeight="true" outlineLevel="0" collapsed="false">
      <c r="B10" s="1" t="s">
        <v>179</v>
      </c>
      <c r="C10" s="27" t="n">
        <f aca="false">C5*Assumptions!$E$6/Assumptions!$E$20</f>
        <v>8</v>
      </c>
      <c r="D10" s="27" t="n">
        <f aca="false">D5*Assumptions!$E$6/Assumptions!$E$20</f>
        <v>7.55495421729024</v>
      </c>
      <c r="E10" s="27" t="n">
        <f aca="false">E5*Assumptions!$E$6/Assumptions!$E$20</f>
        <v>7.12117957064878</v>
      </c>
      <c r="F10" s="27" t="n">
        <f aca="false">F5*Assumptions!$E$6/Assumptions!$E$20</f>
        <v>6.69844208428717</v>
      </c>
      <c r="G10" s="27" t="n">
        <f aca="false">G5*Assumptions!$E$6/Assumptions!$E$20</f>
        <v>6.28651220794531</v>
      </c>
      <c r="H10" s="27" t="n">
        <f aca="false">H5*Assumptions!$E$6/Assumptions!$E$20</f>
        <v>5.88516473759868</v>
      </c>
      <c r="I10" s="27" t="n">
        <f aca="false">I5*Assumptions!$E$6/Assumptions!$E$20</f>
        <v>5.49417873753666</v>
      </c>
      <c r="J10" s="27" t="n">
        <f aca="false">J5*Assumptions!$E$6/Assumptions!$E$20</f>
        <v>5.11333746378901</v>
      </c>
      <c r="K10" s="27" t="n">
        <f aca="false">K5*Assumptions!$E$6/Assumptions!$E$20</f>
        <v>4.74242828887746</v>
      </c>
      <c r="L10" s="27" t="n">
        <f aca="false">L5*Assumptions!$E$6/Assumptions!$E$20</f>
        <v>4.3812426278704</v>
      </c>
      <c r="M10" s="27" t="n">
        <f aca="false">M5*Assumptions!$E$6/Assumptions!$E$20</f>
        <v>4.02957586571841</v>
      </c>
      <c r="N10" s="27" t="n">
        <f aca="false">N5*Assumptions!$E$6/Assumptions!$E$20</f>
        <v>3.6872272858491</v>
      </c>
      <c r="O10" s="27" t="n">
        <f aca="false">O5*Assumptions!$E$6/Assumptions!$E$20</f>
        <v>3.354</v>
      </c>
      <c r="P10" s="27" t="n">
        <f aca="false">P5*Assumptions!$E$6/Assumptions!$E$20</f>
        <v>3.02970087926854</v>
      </c>
      <c r="Q10" s="27" t="n">
        <f aca="false">Q5*Assumptions!$E$6/Assumptions!$E$20</f>
        <v>2.71414048635863</v>
      </c>
      <c r="R10" s="27" t="n">
        <f aca="false">R5*Assumptions!$E$6/Assumptions!$E$20</f>
        <v>2.40713300900348</v>
      </c>
      <c r="S10" s="27" t="n">
        <f aca="false">S5*Assumptions!$E$6/Assumptions!$E$20</f>
        <v>2.10849619454486</v>
      </c>
      <c r="T10" s="27" t="n">
        <f aca="false">T5*Assumptions!$E$6/Assumptions!$E$20</f>
        <v>1.81805128564923</v>
      </c>
      <c r="U10" s="27" t="n">
        <f aca="false">U5*Assumptions!$E$6/Assumptions!$E$20</f>
        <v>1.5356229571415</v>
      </c>
      <c r="V10" s="27" t="n">
        <f aca="false">V5*Assumptions!$E$6/Assumptions!$E$20</f>
        <v>1.26103925393738</v>
      </c>
      <c r="W10" s="27" t="n">
        <f aca="false">W5*Assumptions!$E$6/Assumptions!$E$20</f>
        <v>0.994131530055935</v>
      </c>
      <c r="X10" s="27" t="n">
        <f aca="false">X5*Assumptions!$E$6/Assumptions!$E$20</f>
        <v>0.734734388693865</v>
      </c>
      <c r="Y10" s="27" t="n">
        <f aca="false">Y5*Assumptions!$E$6/Assumptions!$E$20</f>
        <v>0.482685623343555</v>
      </c>
      <c r="Z10" s="27" t="n">
        <f aca="false">Z5*Assumptions!$E$6/Assumptions!$E$20</f>
        <v>0.237826159937267</v>
      </c>
    </row>
    <row r="11" customFormat="false" ht="15" hidden="false" customHeight="true" outlineLevel="0" collapsed="false">
      <c r="B11" s="1" t="s">
        <v>180</v>
      </c>
      <c r="C11" s="27" t="n">
        <f aca="false">C5*Assumptions!$E$11/Assumptions!$E$20</f>
        <v>1</v>
      </c>
      <c r="D11" s="27" t="n">
        <f aca="false">D5*Assumptions!$E$11/Assumptions!$E$20</f>
        <v>0.94436927716128</v>
      </c>
      <c r="E11" s="27" t="n">
        <f aca="false">E5*Assumptions!$E$11/Assumptions!$E$20</f>
        <v>0.890147446331097</v>
      </c>
      <c r="F11" s="27" t="n">
        <f aca="false">F5*Assumptions!$E$11/Assumptions!$E$20</f>
        <v>0.837305260535896</v>
      </c>
      <c r="G11" s="27" t="n">
        <f aca="false">G5*Assumptions!$E$11/Assumptions!$E$20</f>
        <v>0.785814025993164</v>
      </c>
      <c r="H11" s="27" t="n">
        <f aca="false">H5*Assumptions!$E$11/Assumptions!$E$20</f>
        <v>0.735645592199835</v>
      </c>
      <c r="I11" s="27" t="n">
        <f aca="false">I5*Assumptions!$E$11/Assumptions!$E$20</f>
        <v>0.686772342192083</v>
      </c>
      <c r="J11" s="27" t="n">
        <f aca="false">J5*Assumptions!$E$11/Assumptions!$E$20</f>
        <v>0.639167182973626</v>
      </c>
      <c r="K11" s="27" t="n">
        <f aca="false">K5*Assumptions!$E$11/Assumptions!$E$20</f>
        <v>0.592803536109682</v>
      </c>
      <c r="L11" s="27" t="n">
        <f aca="false">L5*Assumptions!$E$11/Assumptions!$E$20</f>
        <v>0.5476553284838</v>
      </c>
      <c r="M11" s="27" t="n">
        <f aca="false">M5*Assumptions!$E$11/Assumptions!$E$20</f>
        <v>0.503696983214801</v>
      </c>
      <c r="N11" s="27" t="n">
        <f aca="false">N5*Assumptions!$E$11/Assumptions!$E$20</f>
        <v>0.460903410731138</v>
      </c>
      <c r="O11" s="27" t="n">
        <f aca="false">O5*Assumptions!$E$11/Assumptions!$E$20</f>
        <v>0.41925</v>
      </c>
      <c r="P11" s="27" t="n">
        <f aca="false">P5*Assumptions!$E$11/Assumptions!$E$20</f>
        <v>0.378712609908568</v>
      </c>
      <c r="Q11" s="27" t="n">
        <f aca="false">Q5*Assumptions!$E$11/Assumptions!$E$20</f>
        <v>0.339267560794829</v>
      </c>
      <c r="R11" s="27" t="n">
        <f aca="false">R5*Assumptions!$E$11/Assumptions!$E$20</f>
        <v>0.300891626125435</v>
      </c>
      <c r="S11" s="27" t="n">
        <f aca="false">S5*Assumptions!$E$11/Assumptions!$E$20</f>
        <v>0.263562024318107</v>
      </c>
      <c r="T11" s="27" t="n">
        <f aca="false">T5*Assumptions!$E$11/Assumptions!$E$20</f>
        <v>0.227256410706154</v>
      </c>
      <c r="U11" s="27" t="n">
        <f aca="false">U5*Assumptions!$E$11/Assumptions!$E$20</f>
        <v>0.191952869642687</v>
      </c>
      <c r="V11" s="27" t="n">
        <f aca="false">V5*Assumptions!$E$11/Assumptions!$E$20</f>
        <v>0.157629906742172</v>
      </c>
      <c r="W11" s="27" t="n">
        <f aca="false">W5*Assumptions!$E$11/Assumptions!$E$20</f>
        <v>0.124266441256992</v>
      </c>
      <c r="X11" s="27" t="n">
        <f aca="false">X5*Assumptions!$E$11/Assumptions!$E$20</f>
        <v>0.0918417985867331</v>
      </c>
      <c r="Y11" s="27" t="n">
        <f aca="false">Y5*Assumptions!$E$11/Assumptions!$E$20</f>
        <v>0.0603357029179444</v>
      </c>
      <c r="Z11" s="27" t="n">
        <f aca="false">Z5*Assumptions!$E$11/Assumptions!$E$20</f>
        <v>0.0297282699921584</v>
      </c>
    </row>
    <row r="12" customFormat="false" ht="15" hidden="false" customHeight="true" outlineLevel="0" collapsed="false">
      <c r="B12" s="28" t="s">
        <v>181</v>
      </c>
      <c r="C12" s="29" t="n">
        <f aca="false">MAX(0,C10-C11)</f>
        <v>7</v>
      </c>
      <c r="D12" s="29" t="n">
        <f aca="false">MAX(0,D10-D11)</f>
        <v>6.61058494012896</v>
      </c>
      <c r="E12" s="29" t="n">
        <f aca="false">MAX(0,E10-E11)</f>
        <v>6.23103212431768</v>
      </c>
      <c r="F12" s="29" t="n">
        <f aca="false">MAX(0,F10-F11)</f>
        <v>5.86113682375127</v>
      </c>
      <c r="G12" s="29" t="n">
        <f aca="false">MAX(0,G10-G11)</f>
        <v>5.50069818195215</v>
      </c>
      <c r="H12" s="29" t="n">
        <f aca="false">MAX(0,H10-H11)</f>
        <v>5.14951914539884</v>
      </c>
      <c r="I12" s="29" t="n">
        <f aca="false">MAX(0,I10-I11)</f>
        <v>4.80740639534458</v>
      </c>
      <c r="J12" s="29" t="n">
        <f aca="false">MAX(0,J10-J11)</f>
        <v>4.47417028081538</v>
      </c>
      <c r="K12" s="29" t="n">
        <f aca="false">MAX(0,K10-K11)</f>
        <v>4.14962475276777</v>
      </c>
      <c r="L12" s="29" t="n">
        <f aca="false">MAX(0,L10-L11)</f>
        <v>3.8335872993866</v>
      </c>
      <c r="M12" s="29" t="n">
        <f aca="false">MAX(0,M10-M11)</f>
        <v>3.52587888250361</v>
      </c>
      <c r="N12" s="29" t="n">
        <f aca="false">MAX(0,N10-N11)</f>
        <v>3.22632387511796</v>
      </c>
      <c r="O12" s="29" t="n">
        <f aca="false">MAX(0,O10-O11)</f>
        <v>2.93475</v>
      </c>
      <c r="P12" s="29" t="n">
        <f aca="false">MAX(0,P10-P11)</f>
        <v>2.65098826935997</v>
      </c>
      <c r="Q12" s="29" t="n">
        <f aca="false">MAX(0,Q10-Q11)</f>
        <v>2.3748729255638</v>
      </c>
      <c r="R12" s="29" t="n">
        <f aca="false">MAX(0,R10-R11)</f>
        <v>2.10624138287804</v>
      </c>
      <c r="S12" s="29" t="n">
        <f aca="false">MAX(0,S10-S11)</f>
        <v>1.84493417022675</v>
      </c>
      <c r="T12" s="29" t="n">
        <f aca="false">MAX(0,T10-T11)</f>
        <v>1.59079487494308</v>
      </c>
      <c r="U12" s="29" t="n">
        <f aca="false">MAX(0,U10-U11)</f>
        <v>1.34367008749881</v>
      </c>
      <c r="V12" s="29" t="n">
        <f aca="false">MAX(0,V10-V11)</f>
        <v>1.1034093471952</v>
      </c>
      <c r="W12" s="29" t="n">
        <f aca="false">MAX(0,W10-W11)</f>
        <v>0.869865088798943</v>
      </c>
      <c r="X12" s="29" t="n">
        <f aca="false">MAX(0,X10-X11)</f>
        <v>0.642892590107132</v>
      </c>
      <c r="Y12" s="29" t="n">
        <f aca="false">MAX(0,Y10-Y11)</f>
        <v>0.422349920425611</v>
      </c>
      <c r="Z12" s="29" t="n">
        <f aca="false">MAX(0,Z10-Z11)</f>
        <v>0.208097889945109</v>
      </c>
    </row>
    <row r="13" customFormat="false" ht="15" hidden="false" customHeight="true" outlineLevel="0" collapsed="false">
      <c r="B13" s="28" t="s">
        <v>182</v>
      </c>
      <c r="C13" s="29" t="n">
        <f aca="false">C6+C8+C9</f>
        <v>64.3331351898248</v>
      </c>
      <c r="D13" s="29" t="n">
        <f aca="false">D6+D8+D9</f>
        <v>62.7816255945349</v>
      </c>
      <c r="E13" s="29" t="n">
        <f aca="false">E6+E8+E9</f>
        <v>61.2616714961607</v>
      </c>
      <c r="F13" s="29" t="n">
        <f aca="false">F6+F8+F9</f>
        <v>60.9845488166193</v>
      </c>
      <c r="G13" s="29" t="n">
        <f aca="false">G6+G8+G9</f>
        <v>59.4563652449775</v>
      </c>
      <c r="H13" s="29" t="n">
        <f aca="false">H6+H8+H9</f>
        <v>57.9597683648037</v>
      </c>
      <c r="I13" s="29" t="n">
        <f aca="false">I6+I8+I9</f>
        <v>56.494162128041</v>
      </c>
      <c r="J13" s="29" t="n">
        <f aca="false">J6+J8+J9</f>
        <v>55.0589611504181</v>
      </c>
      <c r="K13" s="29" t="n">
        <f aca="false">K6+K8+K9</f>
        <v>53.6535905272342</v>
      </c>
      <c r="L13" s="29" t="n">
        <f aca="false">L6+L8+L9</f>
        <v>52.2774856522474</v>
      </c>
      <c r="M13" s="29" t="n">
        <f aca="false">M6+M8+M9</f>
        <v>50.9300920396174</v>
      </c>
      <c r="N13" s="29" t="n">
        <f aca="false">N6+N8+N9</f>
        <v>49.6108651488489</v>
      </c>
      <c r="O13" s="29" t="n">
        <f aca="false">O6+O8+O9</f>
        <v>48.3192702126898</v>
      </c>
      <c r="P13" s="29" t="n">
        <f aca="false">P6+P8+P9</f>
        <v>47.0547820679312</v>
      </c>
      <c r="Q13" s="29" t="n">
        <f aca="false">Q6+Q8+Q9</f>
        <v>45.8168849890653</v>
      </c>
      <c r="R13" s="29" t="n">
        <f aca="false">R6+R8+R9</f>
        <v>44.6050725247501</v>
      </c>
      <c r="S13" s="29" t="n">
        <f aca="false">S6+S8+S9</f>
        <v>43.4188473370367</v>
      </c>
      <c r="T13" s="29" t="n">
        <f aca="false">T6+T8+T9</f>
        <v>42.2577210433136</v>
      </c>
      <c r="U13" s="29" t="n">
        <f aca="false">U6+U8+U9</f>
        <v>41.1212140609206</v>
      </c>
      <c r="V13" s="29" t="n">
        <f aca="false">V6+V8+V9</f>
        <v>40.0088554543909</v>
      </c>
      <c r="W13" s="29" t="n">
        <f aca="false">W6+W8+W9</f>
        <v>38.920182785276</v>
      </c>
      <c r="X13" s="29" t="n">
        <f aca="false">X6+X8+X9</f>
        <v>37.8547419645114</v>
      </c>
      <c r="Y13" s="29" t="n">
        <f aca="false">Y6+Y8+Y9</f>
        <v>36.8120871072801</v>
      </c>
      <c r="Z13" s="29" t="n">
        <f aca="false">Z6+Z8+Z9</f>
        <v>35.7917803903333</v>
      </c>
    </row>
    <row r="14" customFormat="false" ht="15" hidden="false" customHeight="true" outlineLevel="0" collapsed="false">
      <c r="B14" s="28" t="s">
        <v>183</v>
      </c>
      <c r="C14" s="29" t="n">
        <f aca="false">MAX(0,C5-C6-C7-C9)</f>
        <v>1133.24313259354</v>
      </c>
      <c r="D14" s="29" t="n">
        <f aca="false">MAX(0,D5-D6-D7-D9)</f>
        <v>1068.17693559732</v>
      </c>
      <c r="E14" s="29" t="n">
        <f aca="false">MAX(0,E5-E6-E7-E9)</f>
        <v>1004.76631264308</v>
      </c>
      <c r="F14" s="29" t="n">
        <f aca="false">MAX(0,F5-F6-F7-F9)</f>
        <v>942.976831191797</v>
      </c>
      <c r="G14" s="29" t="n">
        <f aca="false">MAX(0,G5-G6-G7-G9)</f>
        <v>882.774710639802</v>
      </c>
      <c r="H14" s="29" t="n">
        <f aca="false">MAX(0,H5-H6-H7-H9)</f>
        <v>824.1268106305</v>
      </c>
      <c r="I14" s="29" t="n">
        <f aca="false">MAX(0,I5-I6-I7-I9)</f>
        <v>767.000619568351</v>
      </c>
      <c r="J14" s="29" t="n">
        <f aca="false">MAX(0,J5-J6-J7-J9)</f>
        <v>711.364243331618</v>
      </c>
      <c r="K14" s="29" t="n">
        <f aca="false">MAX(0,K5-K6-K7-K9)</f>
        <v>657.18639418056</v>
      </c>
      <c r="L14" s="29" t="n">
        <f aca="false">MAX(0,L5-L6-L7-L9)</f>
        <v>604.436379857762</v>
      </c>
      <c r="M14" s="29" t="n">
        <f aca="false">MAX(0,M5-M6-M7-M9)</f>
        <v>553.084092877365</v>
      </c>
      <c r="N14" s="29" t="n">
        <f aca="false">MAX(0,N5-N6-N7-N9)</f>
        <v>503.1</v>
      </c>
      <c r="O14" s="29" t="n">
        <f aca="false">MAX(0,O5-O6-O7-O9)</f>
        <v>454.455131890281</v>
      </c>
      <c r="P14" s="29" t="n">
        <f aca="false">MAX(0,P5-P6-P7-P9)</f>
        <v>407.121072953795</v>
      </c>
      <c r="Q14" s="29" t="n">
        <f aca="false">MAX(0,Q5-Q6-Q7-Q9)</f>
        <v>361.069951350522</v>
      </c>
      <c r="R14" s="29" t="n">
        <f aca="false">MAX(0,R5-R6-R7-R9)</f>
        <v>316.274429181728</v>
      </c>
      <c r="S14" s="29" t="n">
        <f aca="false">MAX(0,S5-S6-S7-S9)</f>
        <v>272.707692847385</v>
      </c>
      <c r="T14" s="29" t="n">
        <f aca="false">MAX(0,T5-T6-T7-T9)</f>
        <v>230.343443571224</v>
      </c>
      <c r="U14" s="29" t="n">
        <f aca="false">MAX(0,U5-U6-U7-U9)</f>
        <v>189.155888090606</v>
      </c>
      <c r="V14" s="29" t="n">
        <f aca="false">MAX(0,V5-V6-V7-V9)</f>
        <v>149.11972950839</v>
      </c>
      <c r="W14" s="29" t="n">
        <f aca="false">MAX(0,W5-W6-W7-W9)</f>
        <v>110.21015830408</v>
      </c>
      <c r="X14" s="29" t="n">
        <f aca="false">MAX(0,X5-X6-X7-X9)</f>
        <v>72.4028435015332</v>
      </c>
      <c r="Y14" s="29" t="n">
        <f aca="false">MAX(0,Y5-Y6-Y7-Y9)</f>
        <v>35.67392399059</v>
      </c>
      <c r="Z14" s="29" t="n">
        <f aca="false">MAX(0,Z5-Z6-Z7-Z9)</f>
        <v>0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185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186</v>
      </c>
      <c r="C5" s="30" t="n">
        <f aca="false">1-(1-Assumptions!$E$7)^(1/Assumptions!$E$20)</f>
        <v>0.0124899194870163</v>
      </c>
      <c r="D5" s="30" t="n">
        <f aca="false">1-(1-Assumptions!$E$7)^(1/Assumptions!$E$20)</f>
        <v>0.0124899194870163</v>
      </c>
      <c r="E5" s="30" t="n">
        <f aca="false">1-(1-Assumptions!$E$7)^(1/Assumptions!$E$20)</f>
        <v>0.0124899194870163</v>
      </c>
      <c r="F5" s="30" t="n">
        <f aca="false">1-(1-Assumptions!$E$7)^(1/Assumptions!$E$20)</f>
        <v>0.0124899194870163</v>
      </c>
      <c r="G5" s="30" t="n">
        <f aca="false">1-(1-Assumptions!$E$7)^(1/Assumptions!$E$20)</f>
        <v>0.0124899194870163</v>
      </c>
      <c r="H5" s="30" t="n">
        <f aca="false">1-(1-Assumptions!$E$7)^(1/Assumptions!$E$20)</f>
        <v>0.0124899194870163</v>
      </c>
      <c r="I5" s="30" t="n">
        <f aca="false">1-(1-Assumptions!$E$7)^(1/Assumptions!$E$20)</f>
        <v>0.0124899194870163</v>
      </c>
      <c r="J5" s="30" t="n">
        <f aca="false">1-(1-Assumptions!$E$7)^(1/Assumptions!$E$20)</f>
        <v>0.0124899194870163</v>
      </c>
      <c r="K5" s="30" t="n">
        <f aca="false">1-(1-Assumptions!$E$7)^(1/Assumptions!$E$20)</f>
        <v>0.0124899194870163</v>
      </c>
      <c r="L5" s="30" t="n">
        <f aca="false">1-(1-Assumptions!$E$7)^(1/Assumptions!$E$20)</f>
        <v>0.0124899194870163</v>
      </c>
      <c r="M5" s="30" t="n">
        <f aca="false">1-(1-Assumptions!$E$7)^(1/Assumptions!$E$20)</f>
        <v>0.0124899194870163</v>
      </c>
      <c r="N5" s="30" t="n">
        <f aca="false">1-(1-Assumptions!$E$7)^(1/Assumptions!$E$20)</f>
        <v>0.0124899194870163</v>
      </c>
      <c r="O5" s="30" t="n">
        <f aca="false">1-(1-Assumptions!$E$7)^(1/Assumptions!$E$20)</f>
        <v>0.0124899194870163</v>
      </c>
      <c r="P5" s="30" t="n">
        <f aca="false">1-(1-Assumptions!$E$7)^(1/Assumptions!$E$20)</f>
        <v>0.0124899194870163</v>
      </c>
      <c r="Q5" s="30" t="n">
        <f aca="false">1-(1-Assumptions!$E$7)^(1/Assumptions!$E$20)</f>
        <v>0.0124899194870163</v>
      </c>
      <c r="R5" s="30" t="n">
        <f aca="false">1-(1-Assumptions!$E$7)^(1/Assumptions!$E$20)</f>
        <v>0.0124899194870163</v>
      </c>
      <c r="S5" s="30" t="n">
        <f aca="false">1-(1-Assumptions!$E$7)^(1/Assumptions!$E$20)</f>
        <v>0.0124899194870163</v>
      </c>
      <c r="T5" s="30" t="n">
        <f aca="false">1-(1-Assumptions!$E$7)^(1/Assumptions!$E$20)</f>
        <v>0.0124899194870163</v>
      </c>
      <c r="U5" s="30" t="n">
        <f aca="false">1-(1-Assumptions!$E$7)^(1/Assumptions!$E$20)</f>
        <v>0.0124899194870163</v>
      </c>
      <c r="V5" s="30" t="n">
        <f aca="false">1-(1-Assumptions!$E$7)^(1/Assumptions!$E$20)</f>
        <v>0.0124899194870163</v>
      </c>
      <c r="W5" s="30" t="n">
        <f aca="false">1-(1-Assumptions!$E$7)^(1/Assumptions!$E$20)</f>
        <v>0.0124899194870163</v>
      </c>
      <c r="X5" s="30" t="n">
        <f aca="false">1-(1-Assumptions!$E$7)^(1/Assumptions!$E$20)</f>
        <v>0.0124899194870163</v>
      </c>
      <c r="Y5" s="30" t="n">
        <f aca="false">1-(1-Assumptions!$E$7)^(1/Assumptions!$E$20)</f>
        <v>0.0124899194870163</v>
      </c>
      <c r="Z5" s="30" t="n">
        <f aca="false">1-(1-Assumptions!$E$7)^(1/Assumptions!$E$20)</f>
        <v>0.0124899194870163</v>
      </c>
    </row>
    <row r="6" customFormat="false" ht="15" hidden="false" customHeight="true" outlineLevel="0" collapsed="false">
      <c r="B6" s="1" t="s">
        <v>187</v>
      </c>
      <c r="C6" s="30" t="n">
        <f aca="false">1-(1-Assumptions!$E$8)^(1/Assumptions!$E$20)</f>
        <v>0.00210759323186027</v>
      </c>
      <c r="D6" s="30" t="n">
        <f aca="false">1-(1-Assumptions!$E$8)^(1/Assumptions!$E$20)</f>
        <v>0.00210759323186027</v>
      </c>
      <c r="E6" s="30" t="n">
        <f aca="false">1-(1-Assumptions!$E$8)^(1/Assumptions!$E$20)</f>
        <v>0.00210759323186027</v>
      </c>
      <c r="F6" s="30" t="n">
        <f aca="false">1-(1-Assumptions!$E$8)^(1/Assumptions!$E$20)</f>
        <v>0.00210759323186027</v>
      </c>
      <c r="G6" s="30" t="n">
        <f aca="false">1-(1-Assumptions!$E$8)^(1/Assumptions!$E$20)</f>
        <v>0.00210759323186027</v>
      </c>
      <c r="H6" s="30" t="n">
        <f aca="false">1-(1-Assumptions!$E$8)^(1/Assumptions!$E$20)</f>
        <v>0.00210759323186027</v>
      </c>
      <c r="I6" s="30" t="n">
        <f aca="false">1-(1-Assumptions!$E$8)^(1/Assumptions!$E$20)</f>
        <v>0.00210759323186027</v>
      </c>
      <c r="J6" s="30" t="n">
        <f aca="false">1-(1-Assumptions!$E$8)^(1/Assumptions!$E$20)</f>
        <v>0.00210759323186027</v>
      </c>
      <c r="K6" s="30" t="n">
        <f aca="false">1-(1-Assumptions!$E$8)^(1/Assumptions!$E$20)</f>
        <v>0.00210759323186027</v>
      </c>
      <c r="L6" s="30" t="n">
        <f aca="false">1-(1-Assumptions!$E$8)^(1/Assumptions!$E$20)</f>
        <v>0.00210759323186027</v>
      </c>
      <c r="M6" s="30" t="n">
        <f aca="false">1-(1-Assumptions!$E$8)^(1/Assumptions!$E$20)</f>
        <v>0.00210759323186027</v>
      </c>
      <c r="N6" s="30" t="n">
        <f aca="false">1-(1-Assumptions!$E$8)^(1/Assumptions!$E$20)</f>
        <v>0.00210759323186027</v>
      </c>
      <c r="O6" s="30" t="n">
        <f aca="false">1-(1-Assumptions!$E$8)^(1/Assumptions!$E$20)</f>
        <v>0.00210759323186027</v>
      </c>
      <c r="P6" s="30" t="n">
        <f aca="false">1-(1-Assumptions!$E$8)^(1/Assumptions!$E$20)</f>
        <v>0.00210759323186027</v>
      </c>
      <c r="Q6" s="30" t="n">
        <f aca="false">1-(1-Assumptions!$E$8)^(1/Assumptions!$E$20)</f>
        <v>0.00210759323186027</v>
      </c>
      <c r="R6" s="30" t="n">
        <f aca="false">1-(1-Assumptions!$E$8)^(1/Assumptions!$E$20)</f>
        <v>0.00210759323186027</v>
      </c>
      <c r="S6" s="30" t="n">
        <f aca="false">1-(1-Assumptions!$E$8)^(1/Assumptions!$E$20)</f>
        <v>0.00210759323186027</v>
      </c>
      <c r="T6" s="30" t="n">
        <f aca="false">1-(1-Assumptions!$E$8)^(1/Assumptions!$E$20)</f>
        <v>0.00210759323186027</v>
      </c>
      <c r="U6" s="30" t="n">
        <f aca="false">1-(1-Assumptions!$E$8)^(1/Assumptions!$E$20)</f>
        <v>0.00210759323186027</v>
      </c>
      <c r="V6" s="30" t="n">
        <f aca="false">1-(1-Assumptions!$E$8)^(1/Assumptions!$E$20)</f>
        <v>0.00210759323186027</v>
      </c>
      <c r="W6" s="30" t="n">
        <f aca="false">1-(1-Assumptions!$E$8)^(1/Assumptions!$E$20)</f>
        <v>0.00210759323186027</v>
      </c>
      <c r="X6" s="30" t="n">
        <f aca="false">1-(1-Assumptions!$E$8)^(1/Assumptions!$E$20)</f>
        <v>0.00210759323186027</v>
      </c>
      <c r="Y6" s="30" t="n">
        <f aca="false">1-(1-Assumptions!$E$8)^(1/Assumptions!$E$20)</f>
        <v>0.00210759323186027</v>
      </c>
      <c r="Z6" s="30" t="n">
        <f aca="false">1-(1-Assumptions!$E$8)^(1/Assumptions!$E$20)</f>
        <v>0.00210759323186027</v>
      </c>
    </row>
    <row r="7" customFormat="false" ht="15" hidden="false" customHeight="true" outlineLevel="0" collapsed="false">
      <c r="B7" s="1" t="s">
        <v>133</v>
      </c>
      <c r="C7" s="30" t="n">
        <f aca="false">Assumptions!$E$9</f>
        <v>0.5</v>
      </c>
      <c r="D7" s="30" t="n">
        <f aca="false">Assumptions!$E$9</f>
        <v>0.5</v>
      </c>
      <c r="E7" s="30" t="n">
        <f aca="false">Assumptions!$E$9</f>
        <v>0.5</v>
      </c>
      <c r="F7" s="30" t="n">
        <f aca="false">Assumptions!$E$9</f>
        <v>0.5</v>
      </c>
      <c r="G7" s="30" t="n">
        <f aca="false">Assumptions!$E$9</f>
        <v>0.5</v>
      </c>
      <c r="H7" s="30" t="n">
        <f aca="false">Assumptions!$E$9</f>
        <v>0.5</v>
      </c>
      <c r="I7" s="30" t="n">
        <f aca="false">Assumptions!$E$9</f>
        <v>0.5</v>
      </c>
      <c r="J7" s="30" t="n">
        <f aca="false">Assumptions!$E$9</f>
        <v>0.5</v>
      </c>
      <c r="K7" s="30" t="n">
        <f aca="false">Assumptions!$E$9</f>
        <v>0.5</v>
      </c>
      <c r="L7" s="30" t="n">
        <f aca="false">Assumptions!$E$9</f>
        <v>0.5</v>
      </c>
      <c r="M7" s="30" t="n">
        <f aca="false">Assumptions!$E$9</f>
        <v>0.5</v>
      </c>
      <c r="N7" s="30" t="n">
        <f aca="false">Assumptions!$E$9</f>
        <v>0.5</v>
      </c>
      <c r="O7" s="30" t="n">
        <f aca="false">Assumptions!$E$9</f>
        <v>0.5</v>
      </c>
      <c r="P7" s="30" t="n">
        <f aca="false">Assumptions!$E$9</f>
        <v>0.5</v>
      </c>
      <c r="Q7" s="30" t="n">
        <f aca="false">Assumptions!$E$9</f>
        <v>0.5</v>
      </c>
      <c r="R7" s="30" t="n">
        <f aca="false">Assumptions!$E$9</f>
        <v>0.5</v>
      </c>
      <c r="S7" s="30" t="n">
        <f aca="false">Assumptions!$E$9</f>
        <v>0.5</v>
      </c>
      <c r="T7" s="30" t="n">
        <f aca="false">Assumptions!$E$9</f>
        <v>0.5</v>
      </c>
      <c r="U7" s="30" t="n">
        <f aca="false">Assumptions!$E$9</f>
        <v>0.5</v>
      </c>
      <c r="V7" s="30" t="n">
        <f aca="false">Assumptions!$E$9</f>
        <v>0.5</v>
      </c>
      <c r="W7" s="30" t="n">
        <f aca="false">Assumptions!$E$9</f>
        <v>0.5</v>
      </c>
      <c r="X7" s="30" t="n">
        <f aca="false">Assumptions!$E$9</f>
        <v>0.5</v>
      </c>
      <c r="Y7" s="30" t="n">
        <f aca="false">Assumptions!$E$9</f>
        <v>0.5</v>
      </c>
      <c r="Z7" s="30" t="n">
        <f aca="false">Assumptions!$E$9</f>
        <v>0.5</v>
      </c>
    </row>
    <row r="8" customFormat="false" ht="15" hidden="false" customHeight="true" outlineLevel="0" collapsed="false">
      <c r="B8" s="1" t="s">
        <v>188</v>
      </c>
      <c r="C8" s="30" t="n">
        <f aca="false">Collateral!C9/Assumptions!$E$5</f>
        <v>0.011944279324854</v>
      </c>
      <c r="D8" s="30" t="n">
        <f aca="false">C8+Collateral!D9/Assumptions!$E$5</f>
        <v>0.0232027668640122</v>
      </c>
      <c r="E8" s="30" t="n">
        <f aca="false">D8+Collateral!E9/Assumptions!$E$5</f>
        <v>0.0337929122169751</v>
      </c>
      <c r="F8" s="30" t="n">
        <f aca="false">E8+Collateral!F9/Assumptions!$E$5</f>
        <v>0.0437318020674202</v>
      </c>
      <c r="G8" s="30" t="n">
        <f aca="false">F8+Collateral!G9/Assumptions!$E$5</f>
        <v>0.0530361670545415</v>
      </c>
      <c r="H8" s="30" t="n">
        <f aca="false">G8+Collateral!H9/Assumptions!$E$5</f>
        <v>0.0617223885211951</v>
      </c>
      <c r="I8" s="30" t="n">
        <f aca="false">H8+Collateral!I9/Assumptions!$E$5</f>
        <v>0.0698065051409835</v>
      </c>
      <c r="J8" s="30" t="n">
        <f aca="false">I8+Collateral!J9/Assumptions!$E$5</f>
        <v>0.0773042194263731</v>
      </c>
      <c r="K8" s="30" t="n">
        <f aca="false">J8+Collateral!K9/Assumptions!$E$5</f>
        <v>0.0842309041199054</v>
      </c>
      <c r="L8" s="30" t="n">
        <f aca="false">K8+Collateral!L9/Assumptions!$E$5</f>
        <v>0.0906016084705261</v>
      </c>
      <c r="M8" s="30" t="n">
        <f aca="false">L8+Collateral!M9/Assumptions!$E$5</f>
        <v>0.0964310643970243</v>
      </c>
      <c r="N8" s="30" t="n">
        <f aca="false">M8+Collateral!N9/Assumptions!$E$5</f>
        <v>0.101733692540538</v>
      </c>
      <c r="O8" s="30" t="n">
        <f aca="false">N8+Collateral!O9/Assumptions!$E$5</f>
        <v>0.106523608208051</v>
      </c>
      <c r="P8" s="30" t="n">
        <f aca="false">O8+Collateral!P9/Assumptions!$E$5</f>
        <v>0.110814627208771</v>
      </c>
      <c r="Q8" s="30" t="n">
        <f aca="false">P8+Collateral!Q9/Assumptions!$E$5</f>
        <v>0.114620271585253</v>
      </c>
      <c r="R8" s="30" t="n">
        <f aca="false">Q8+Collateral!R9/Assumptions!$E$5</f>
        <v>0.117953775241092</v>
      </c>
      <c r="S8" s="30" t="n">
        <f aca="false">R8+Collateral!S9/Assumptions!$E$5</f>
        <v>0.120828089466982</v>
      </c>
      <c r="T8" s="30" t="n">
        <f aca="false">S8+Collateral!T9/Assumptions!$E$5</f>
        <v>0.123255888366912</v>
      </c>
      <c r="U8" s="30" t="n">
        <f aca="false">T8+Collateral!U9/Assumptions!$E$5</f>
        <v>0.125249574186233</v>
      </c>
      <c r="V8" s="30" t="n">
        <f aca="false">U8+Collateral!V9/Assumptions!$E$5</f>
        <v>0.126821282543308</v>
      </c>
      <c r="W8" s="30" t="n">
        <f aca="false">V8+Collateral!W9/Assumptions!$E$5</f>
        <v>0.127982887566414</v>
      </c>
      <c r="X8" s="30" t="n">
        <f aca="false">W8+Collateral!X9/Assumptions!$E$5</f>
        <v>0.128746006937556</v>
      </c>
      <c r="Y8" s="30" t="n">
        <f aca="false">X8+Collateral!Y9/Assumptions!$E$5</f>
        <v>0.129122006844815</v>
      </c>
      <c r="Z8" s="30" t="n">
        <f aca="false">Y8+Collateral!Z9/Assumptions!$E$5</f>
        <v>0.129122006844815</v>
      </c>
    </row>
    <row r="9" customFormat="false" ht="15" hidden="false" customHeight="true" outlineLevel="0" collapsed="false">
      <c r="B9" s="1" t="s">
        <v>189</v>
      </c>
      <c r="C9" s="30" t="n">
        <f aca="false">Collateral!C9*(1-C7)/Assumptions!$E$5</f>
        <v>0.005972139662427</v>
      </c>
      <c r="D9" s="30" t="n">
        <f aca="false">C9+Collateral!D9*(1-D7)/Assumptions!$E$5</f>
        <v>0.0116013834320061</v>
      </c>
      <c r="E9" s="30" t="n">
        <f aca="false">D9+Collateral!E9*(1-E7)/Assumptions!$E$5</f>
        <v>0.0168964561084875</v>
      </c>
      <c r="F9" s="30" t="n">
        <f aca="false">E9+Collateral!F9*(1-F7)/Assumptions!$E$5</f>
        <v>0.0218659010337101</v>
      </c>
      <c r="G9" s="30" t="n">
        <f aca="false">F9+Collateral!G9*(1-G7)/Assumptions!$E$5</f>
        <v>0.0265180835272707</v>
      </c>
      <c r="H9" s="30" t="n">
        <f aca="false">G9+Collateral!H9*(1-H7)/Assumptions!$E$5</f>
        <v>0.0308611942605975</v>
      </c>
      <c r="I9" s="30" t="n">
        <f aca="false">H9+Collateral!I9*(1-I7)/Assumptions!$E$5</f>
        <v>0.0349032525704917</v>
      </c>
      <c r="J9" s="30" t="n">
        <f aca="false">I9+Collateral!J9*(1-J7)/Assumptions!$E$5</f>
        <v>0.0386521097131866</v>
      </c>
      <c r="K9" s="30" t="n">
        <f aca="false">J9+Collateral!K9*(1-K7)/Assumptions!$E$5</f>
        <v>0.0421154520599527</v>
      </c>
      <c r="L9" s="30" t="n">
        <f aca="false">K9+Collateral!L9*(1-L7)/Assumptions!$E$5</f>
        <v>0.045300804235263</v>
      </c>
      <c r="M9" s="30" t="n">
        <f aca="false">L9+Collateral!M9*(1-M7)/Assumptions!$E$5</f>
        <v>0.0482155321985121</v>
      </c>
      <c r="N9" s="30" t="n">
        <f aca="false">M9+Collateral!N9*(1-N7)/Assumptions!$E$5</f>
        <v>0.0508668462702689</v>
      </c>
      <c r="O9" s="30" t="n">
        <f aca="false">N9+Collateral!O9*(1-O7)/Assumptions!$E$5</f>
        <v>0.0532618041040253</v>
      </c>
      <c r="P9" s="30" t="n">
        <f aca="false">O9+Collateral!P9*(1-P7)/Assumptions!$E$5</f>
        <v>0.0554073136043853</v>
      </c>
      <c r="Q9" s="30" t="n">
        <f aca="false">P9+Collateral!Q9*(1-Q7)/Assumptions!$E$5</f>
        <v>0.0573101357926266</v>
      </c>
      <c r="R9" s="30" t="n">
        <f aca="false">Q9+Collateral!R9*(1-R7)/Assumptions!$E$5</f>
        <v>0.0589768876205462</v>
      </c>
      <c r="S9" s="30" t="n">
        <f aca="false">R9+Collateral!S9*(1-S7)/Assumptions!$E$5</f>
        <v>0.0604140447334912</v>
      </c>
      <c r="T9" s="30" t="n">
        <f aca="false">S9+Collateral!T9*(1-T7)/Assumptions!$E$5</f>
        <v>0.061627944183456</v>
      </c>
      <c r="U9" s="30" t="n">
        <f aca="false">T9+Collateral!U9*(1-U7)/Assumptions!$E$5</f>
        <v>0.0626247870931167</v>
      </c>
      <c r="V9" s="30" t="n">
        <f aca="false">U9+Collateral!V9*(1-V7)/Assumptions!$E$5</f>
        <v>0.0634106412716541</v>
      </c>
      <c r="W9" s="30" t="n">
        <f aca="false">V9+Collateral!W9*(1-W7)/Assumptions!$E$5</f>
        <v>0.0639914437832068</v>
      </c>
      <c r="X9" s="30" t="n">
        <f aca="false">W9+Collateral!X9*(1-X7)/Assumptions!$E$5</f>
        <v>0.0643730034687779</v>
      </c>
      <c r="Y9" s="30" t="n">
        <f aca="false">X9+Collateral!Y9*(1-Y7)/Assumptions!$E$5</f>
        <v>0.0645610034224075</v>
      </c>
      <c r="Z9" s="30" t="n">
        <f aca="false">Y9+Collateral!Z9*(1-Z7)/Assumptions!$E$5</f>
        <v>0.0645610034224075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190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128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191</v>
      </c>
      <c r="C5" s="27" t="n">
        <f aca="false">Collateral!C12+Collateral!C8</f>
        <v>7</v>
      </c>
      <c r="D5" s="27" t="n">
        <f aca="false">Collateral!D12+Collateral!D8</f>
        <v>6.61058494012896</v>
      </c>
      <c r="E5" s="27" t="n">
        <f aca="false">Collateral!E12+Collateral!E8</f>
        <v>6.23103212431768</v>
      </c>
      <c r="F5" s="27" t="n">
        <f aca="false">Collateral!F12+Collateral!F8</f>
        <v>7.07300293207093</v>
      </c>
      <c r="G5" s="27" t="n">
        <f aca="false">Collateral!G12+Collateral!G8</f>
        <v>6.64298388279428</v>
      </c>
      <c r="H5" s="27" t="n">
        <f aca="false">Collateral!H12+Collateral!H8</f>
        <v>6.22399487443923</v>
      </c>
      <c r="I5" s="27" t="n">
        <f aca="false">Collateral!I12+Collateral!I8</f>
        <v>5.81580576683399</v>
      </c>
      <c r="J5" s="27" t="n">
        <f aca="false">Collateral!J12+Collateral!J8</f>
        <v>5.4181907847453</v>
      </c>
      <c r="K5" s="27" t="n">
        <f aca="false">Collateral!K12+Collateral!K8</f>
        <v>5.03092843953707</v>
      </c>
      <c r="L5" s="27" t="n">
        <f aca="false">Collateral!L12+Collateral!L8</f>
        <v>4.65380145218522</v>
      </c>
      <c r="M5" s="27" t="n">
        <f aca="false">Collateral!M12+Collateral!M8</f>
        <v>4.28659667762591</v>
      </c>
      <c r="N5" s="27" t="n">
        <f aca="false">Collateral!N12+Collateral!N8</f>
        <v>3.92910503041474</v>
      </c>
      <c r="O5" s="27" t="n">
        <f aca="false">Collateral!O12+Collateral!O8</f>
        <v>3.58112141167461</v>
      </c>
      <c r="P5" s="27" t="n">
        <f aca="false">Collateral!P12+Collateral!P8</f>
        <v>3.24244463731063</v>
      </c>
      <c r="Q5" s="27" t="n">
        <f aca="false">Collateral!Q12+Collateral!Q8</f>
        <v>2.91287736747053</v>
      </c>
      <c r="R5" s="27" t="n">
        <f aca="false">Collateral!R12+Collateral!R8</f>
        <v>2.59222603722963</v>
      </c>
      <c r="S5" s="27" t="n">
        <f aca="false">Collateral!S12+Collateral!S8</f>
        <v>2.28030078847953</v>
      </c>
      <c r="T5" s="27" t="n">
        <f aca="false">Collateral!T12+Collateral!T8</f>
        <v>1.97691540300038</v>
      </c>
      <c r="U5" s="27" t="n">
        <f aca="false">Collateral!U12+Collateral!U8</f>
        <v>1.68188723669636</v>
      </c>
      <c r="V5" s="27" t="n">
        <f aca="false">Collateral!V12+Collateral!V8</f>
        <v>1.39503715497503</v>
      </c>
      <c r="W5" s="27" t="n">
        <f aca="false">Collateral!W12+Collateral!W8</f>
        <v>1.11618946925096</v>
      </c>
      <c r="X5" s="27" t="n">
        <f aca="false">Collateral!X12+Collateral!X8</f>
        <v>0.845171874554674</v>
      </c>
      <c r="Y5" s="27" t="n">
        <f aca="false">Collateral!Y12+Collateral!Y8</f>
        <v>0.581815388228123</v>
      </c>
      <c r="Z5" s="27" t="n">
        <f aca="false">Collateral!Z12+Collateral!Z8</f>
        <v>0.325954289688378</v>
      </c>
    </row>
    <row r="6" customFormat="false" ht="15" hidden="false" customHeight="true" outlineLevel="0" collapsed="false">
      <c r="B6" s="1" t="s">
        <v>192</v>
      </c>
      <c r="C6" s="27" t="n">
        <f aca="false">Collateral!C13</f>
        <v>64.3331351898248</v>
      </c>
      <c r="D6" s="27" t="n">
        <f aca="false">Collateral!D13</f>
        <v>62.7816255945349</v>
      </c>
      <c r="E6" s="27" t="n">
        <f aca="false">Collateral!E13</f>
        <v>61.2616714961607</v>
      </c>
      <c r="F6" s="27" t="n">
        <f aca="false">Collateral!F13</f>
        <v>60.9845488166193</v>
      </c>
      <c r="G6" s="27" t="n">
        <f aca="false">Collateral!G13</f>
        <v>59.4563652449775</v>
      </c>
      <c r="H6" s="27" t="n">
        <f aca="false">Collateral!H13</f>
        <v>57.9597683648037</v>
      </c>
      <c r="I6" s="27" t="n">
        <f aca="false">Collateral!I13</f>
        <v>56.494162128041</v>
      </c>
      <c r="J6" s="27" t="n">
        <f aca="false">Collateral!J13</f>
        <v>55.0589611504181</v>
      </c>
      <c r="K6" s="27" t="n">
        <f aca="false">Collateral!K13</f>
        <v>53.6535905272342</v>
      </c>
      <c r="L6" s="27" t="n">
        <f aca="false">Collateral!L13</f>
        <v>52.2774856522474</v>
      </c>
      <c r="M6" s="27" t="n">
        <f aca="false">Collateral!M13</f>
        <v>50.9300920396174</v>
      </c>
      <c r="N6" s="27" t="n">
        <f aca="false">Collateral!N13</f>
        <v>49.6108651488489</v>
      </c>
      <c r="O6" s="27" t="n">
        <f aca="false">Collateral!O13</f>
        <v>48.3192702126898</v>
      </c>
      <c r="P6" s="27" t="n">
        <f aca="false">Collateral!P13</f>
        <v>47.0547820679312</v>
      </c>
      <c r="Q6" s="27" t="n">
        <f aca="false">Collateral!Q13</f>
        <v>45.8168849890653</v>
      </c>
      <c r="R6" s="27" t="n">
        <f aca="false">Collateral!R13</f>
        <v>44.6050725247501</v>
      </c>
      <c r="S6" s="27" t="n">
        <f aca="false">Collateral!S13</f>
        <v>43.4188473370367</v>
      </c>
      <c r="T6" s="27" t="n">
        <f aca="false">Collateral!T13</f>
        <v>42.2577210433136</v>
      </c>
      <c r="U6" s="27" t="n">
        <f aca="false">Collateral!U13</f>
        <v>41.1212140609206</v>
      </c>
      <c r="V6" s="27" t="n">
        <f aca="false">Collateral!V13</f>
        <v>40.0088554543909</v>
      </c>
      <c r="W6" s="27" t="n">
        <f aca="false">Collateral!W13</f>
        <v>38.920182785276</v>
      </c>
      <c r="X6" s="27" t="n">
        <f aca="false">Collateral!X13</f>
        <v>37.8547419645114</v>
      </c>
      <c r="Y6" s="27" t="n">
        <f aca="false">Collateral!Y13</f>
        <v>36.8120871072801</v>
      </c>
      <c r="Z6" s="27" t="n">
        <f aca="false">Collateral!Z13</f>
        <v>35.7917803903333</v>
      </c>
    </row>
    <row r="7" customFormat="false" ht="15" hidden="false" customHeight="true" outlineLevel="0" collapsed="false">
      <c r="B7" s="1" t="s">
        <v>193</v>
      </c>
      <c r="C7" s="27" t="n">
        <f aca="false">Assumptions!E12</f>
        <v>650</v>
      </c>
      <c r="D7" s="27" t="n">
        <f aca="false">C12</f>
        <v>585.666864810175</v>
      </c>
      <c r="E7" s="27" t="n">
        <f aca="false">D12</f>
        <v>522.88523921564</v>
      </c>
      <c r="F7" s="27" t="n">
        <f aca="false">E12</f>
        <v>461.62356771948</v>
      </c>
      <c r="G7" s="27" t="n">
        <f aca="false">F12</f>
        <v>400.63901890286</v>
      </c>
      <c r="H7" s="27" t="n">
        <f aca="false">G12</f>
        <v>341.182653657883</v>
      </c>
      <c r="I7" s="27" t="n">
        <f aca="false">H12</f>
        <v>283.222885293079</v>
      </c>
      <c r="J7" s="27" t="n">
        <f aca="false">I12</f>
        <v>226.728723165038</v>
      </c>
      <c r="K7" s="27" t="n">
        <f aca="false">J12</f>
        <v>171.66976201462</v>
      </c>
      <c r="L7" s="27" t="n">
        <f aca="false">K12</f>
        <v>118.016171487386</v>
      </c>
      <c r="M7" s="27" t="n">
        <f aca="false">L12</f>
        <v>65.7386858351383</v>
      </c>
      <c r="N7" s="27" t="n">
        <f aca="false">M12</f>
        <v>14.8085937955209</v>
      </c>
      <c r="O7" s="27" t="n">
        <f aca="false">N12</f>
        <v>0</v>
      </c>
      <c r="P7" s="27" t="n">
        <f aca="false">O12</f>
        <v>0</v>
      </c>
      <c r="Q7" s="27" t="n">
        <f aca="false">P12</f>
        <v>0</v>
      </c>
      <c r="R7" s="27" t="n">
        <f aca="false">Q12</f>
        <v>0</v>
      </c>
      <c r="S7" s="27" t="n">
        <f aca="false">R12</f>
        <v>0</v>
      </c>
      <c r="T7" s="27" t="n">
        <f aca="false">S12</f>
        <v>0</v>
      </c>
      <c r="U7" s="27" t="n">
        <f aca="false">T12</f>
        <v>0</v>
      </c>
      <c r="V7" s="27" t="n">
        <f aca="false">U12</f>
        <v>0</v>
      </c>
      <c r="W7" s="27" t="n">
        <f aca="false">V12</f>
        <v>0</v>
      </c>
      <c r="X7" s="27" t="n">
        <f aca="false">W12</f>
        <v>0</v>
      </c>
      <c r="Y7" s="27" t="n">
        <f aca="false">X12</f>
        <v>0</v>
      </c>
      <c r="Z7" s="27" t="n">
        <f aca="false">Y12</f>
        <v>0</v>
      </c>
    </row>
    <row r="8" customFormat="false" ht="15" hidden="false" customHeight="true" outlineLevel="0" collapsed="false">
      <c r="B8" s="1" t="s">
        <v>194</v>
      </c>
      <c r="C8" s="27" t="n">
        <f aca="false">C7*Assumptions!$E$13/Assumptions!$E$20+0</f>
        <v>2.70833333333333</v>
      </c>
      <c r="D8" s="27" t="n">
        <f aca="false">D7*Assumptions!$E$13/Assumptions!$E$20+C10</f>
        <v>2.44027860337573</v>
      </c>
      <c r="E8" s="27" t="n">
        <f aca="false">E7*Assumptions!$E$13/Assumptions!$E$20+D10</f>
        <v>2.17868849673183</v>
      </c>
      <c r="F8" s="27" t="n">
        <f aca="false">F7*Assumptions!$E$13/Assumptions!$E$20+E10</f>
        <v>1.9234315321645</v>
      </c>
      <c r="G8" s="27" t="n">
        <f aca="false">G7*Assumptions!$E$13/Assumptions!$E$20+F10</f>
        <v>1.66932924542858</v>
      </c>
      <c r="H8" s="27" t="n">
        <f aca="false">H7*Assumptions!$E$13/Assumptions!$E$20+G10</f>
        <v>1.42159439024118</v>
      </c>
      <c r="I8" s="27" t="n">
        <f aca="false">I7*Assumptions!$E$13/Assumptions!$E$20+H10</f>
        <v>1.18009535538783</v>
      </c>
      <c r="J8" s="27" t="n">
        <f aca="false">J7*Assumptions!$E$13/Assumptions!$E$20+I10</f>
        <v>0.944703013187658</v>
      </c>
      <c r="K8" s="27" t="n">
        <f aca="false">K7*Assumptions!$E$13/Assumptions!$E$20+J10</f>
        <v>0.715290675060916</v>
      </c>
      <c r="L8" s="27" t="n">
        <f aca="false">L7*Assumptions!$E$13/Assumptions!$E$20+K10</f>
        <v>0.491734047864107</v>
      </c>
      <c r="M8" s="27" t="n">
        <f aca="false">M7*Assumptions!$E$13/Assumptions!$E$20+L10</f>
        <v>0.273911190979743</v>
      </c>
      <c r="N8" s="27" t="n">
        <f aca="false">N7*Assumptions!$E$13/Assumptions!$E$20+M10</f>
        <v>0.0617024741480037</v>
      </c>
      <c r="O8" s="27" t="n">
        <f aca="false">O7*Assumptions!$E$13/Assumptions!$E$20+N10</f>
        <v>0</v>
      </c>
      <c r="P8" s="27" t="n">
        <f aca="false">P7*Assumptions!$E$13/Assumptions!$E$20+O10</f>
        <v>0</v>
      </c>
      <c r="Q8" s="27" t="n">
        <f aca="false">Q7*Assumptions!$E$13/Assumptions!$E$20+P10</f>
        <v>0</v>
      </c>
      <c r="R8" s="27" t="n">
        <f aca="false">R7*Assumptions!$E$13/Assumptions!$E$20+Q10</f>
        <v>0</v>
      </c>
      <c r="S8" s="27" t="n">
        <f aca="false">S7*Assumptions!$E$13/Assumptions!$E$20+R10</f>
        <v>0</v>
      </c>
      <c r="T8" s="27" t="n">
        <f aca="false">T7*Assumptions!$E$13/Assumptions!$E$20+S10</f>
        <v>0</v>
      </c>
      <c r="U8" s="27" t="n">
        <f aca="false">U7*Assumptions!$E$13/Assumptions!$E$20+T10</f>
        <v>0</v>
      </c>
      <c r="V8" s="27" t="n">
        <f aca="false">V7*Assumptions!$E$13/Assumptions!$E$20+U10</f>
        <v>0</v>
      </c>
      <c r="W8" s="27" t="n">
        <f aca="false">W7*Assumptions!$E$13/Assumptions!$E$20+V10</f>
        <v>0</v>
      </c>
      <c r="X8" s="27" t="n">
        <f aca="false">X7*Assumptions!$E$13/Assumptions!$E$20+W10</f>
        <v>0</v>
      </c>
      <c r="Y8" s="27" t="n">
        <f aca="false">Y7*Assumptions!$E$13/Assumptions!$E$20+X10</f>
        <v>0</v>
      </c>
      <c r="Z8" s="27" t="n">
        <f aca="false">Z7*Assumptions!$E$13/Assumptions!$E$20+Y10</f>
        <v>0</v>
      </c>
    </row>
    <row r="9" customFormat="false" ht="15" hidden="false" customHeight="true" outlineLevel="0" collapsed="false">
      <c r="B9" s="1" t="s">
        <v>195</v>
      </c>
      <c r="C9" s="27" t="n">
        <f aca="false">MIN(C5,C8)</f>
        <v>2.70833333333333</v>
      </c>
      <c r="D9" s="27" t="n">
        <f aca="false">MIN(D5,D8)</f>
        <v>2.44027860337573</v>
      </c>
      <c r="E9" s="27" t="n">
        <f aca="false">MIN(E5,E8)</f>
        <v>2.17868849673183</v>
      </c>
      <c r="F9" s="27" t="n">
        <f aca="false">MIN(F5,F8)</f>
        <v>1.9234315321645</v>
      </c>
      <c r="G9" s="27" t="n">
        <f aca="false">MIN(G5,G8)</f>
        <v>1.66932924542858</v>
      </c>
      <c r="H9" s="27" t="n">
        <f aca="false">MIN(H5,H8)</f>
        <v>1.42159439024118</v>
      </c>
      <c r="I9" s="27" t="n">
        <f aca="false">MIN(I5,I8)</f>
        <v>1.18009535538783</v>
      </c>
      <c r="J9" s="27" t="n">
        <f aca="false">MIN(J5,J8)</f>
        <v>0.944703013187658</v>
      </c>
      <c r="K9" s="27" t="n">
        <f aca="false">MIN(K5,K8)</f>
        <v>0.715290675060916</v>
      </c>
      <c r="L9" s="27" t="n">
        <f aca="false">MIN(L5,L8)</f>
        <v>0.491734047864107</v>
      </c>
      <c r="M9" s="27" t="n">
        <f aca="false">MIN(M5,M8)</f>
        <v>0.273911190979743</v>
      </c>
      <c r="N9" s="27" t="n">
        <f aca="false">MIN(N5,N8)</f>
        <v>0.0617024741480037</v>
      </c>
      <c r="O9" s="27" t="n">
        <f aca="false">MIN(O5,O8)</f>
        <v>0</v>
      </c>
      <c r="P9" s="27" t="n">
        <f aca="false">MIN(P5,P8)</f>
        <v>0</v>
      </c>
      <c r="Q9" s="27" t="n">
        <f aca="false">MIN(Q5,Q8)</f>
        <v>0</v>
      </c>
      <c r="R9" s="27" t="n">
        <f aca="false">MIN(R5,R8)</f>
        <v>0</v>
      </c>
      <c r="S9" s="27" t="n">
        <f aca="false">MIN(S5,S8)</f>
        <v>0</v>
      </c>
      <c r="T9" s="27" t="n">
        <f aca="false">MIN(T5,T8)</f>
        <v>0</v>
      </c>
      <c r="U9" s="27" t="n">
        <f aca="false">MIN(U5,U8)</f>
        <v>0</v>
      </c>
      <c r="V9" s="27" t="n">
        <f aca="false">MIN(V5,V8)</f>
        <v>0</v>
      </c>
      <c r="W9" s="27" t="n">
        <f aca="false">MIN(W5,W8)</f>
        <v>0</v>
      </c>
      <c r="X9" s="27" t="n">
        <f aca="false">MIN(X5,X8)</f>
        <v>0</v>
      </c>
      <c r="Y9" s="27" t="n">
        <f aca="false">MIN(Y5,Y8)</f>
        <v>0</v>
      </c>
      <c r="Z9" s="27" t="n">
        <f aca="false">MIN(Z5,Z8)</f>
        <v>0</v>
      </c>
    </row>
    <row r="10" customFormat="false" ht="15" hidden="false" customHeight="true" outlineLevel="0" collapsed="false">
      <c r="B10" s="1" t="s">
        <v>196</v>
      </c>
      <c r="C10" s="27" t="n">
        <f aca="false">C8-C9</f>
        <v>0</v>
      </c>
      <c r="D10" s="27" t="n">
        <f aca="false">D8-D9</f>
        <v>0</v>
      </c>
      <c r="E10" s="27" t="n">
        <f aca="false">E8-E9</f>
        <v>0</v>
      </c>
      <c r="F10" s="27" t="n">
        <f aca="false">F8-F9</f>
        <v>0</v>
      </c>
      <c r="G10" s="27" t="n">
        <f aca="false">G8-G9</f>
        <v>0</v>
      </c>
      <c r="H10" s="27" t="n">
        <f aca="false">H8-H9</f>
        <v>0</v>
      </c>
      <c r="I10" s="27" t="n">
        <f aca="false">I8-I9</f>
        <v>0</v>
      </c>
      <c r="J10" s="27" t="n">
        <f aca="false">J8-J9</f>
        <v>0</v>
      </c>
      <c r="K10" s="27" t="n">
        <f aca="false">K8-K9</f>
        <v>0</v>
      </c>
      <c r="L10" s="27" t="n">
        <f aca="false">L8-L9</f>
        <v>0</v>
      </c>
      <c r="M10" s="27" t="n">
        <f aca="false">M8-M9</f>
        <v>0</v>
      </c>
      <c r="N10" s="27" t="n">
        <f aca="false">N8-N9</f>
        <v>0</v>
      </c>
      <c r="O10" s="27" t="n">
        <f aca="false">O8-O9</f>
        <v>0</v>
      </c>
      <c r="P10" s="27" t="n">
        <f aca="false">P8-P9</f>
        <v>0</v>
      </c>
      <c r="Q10" s="27" t="n">
        <f aca="false">Q8-Q9</f>
        <v>0</v>
      </c>
      <c r="R10" s="27" t="n">
        <f aca="false">R8-R9</f>
        <v>0</v>
      </c>
      <c r="S10" s="27" t="n">
        <f aca="false">S8-S9</f>
        <v>0</v>
      </c>
      <c r="T10" s="27" t="n">
        <f aca="false">T8-T9</f>
        <v>0</v>
      </c>
      <c r="U10" s="27" t="n">
        <f aca="false">U8-U9</f>
        <v>0</v>
      </c>
      <c r="V10" s="27" t="n">
        <f aca="false">V8-V9</f>
        <v>0</v>
      </c>
      <c r="W10" s="27" t="n">
        <f aca="false">W8-W9</f>
        <v>0</v>
      </c>
      <c r="X10" s="27" t="n">
        <f aca="false">X8-X9</f>
        <v>0</v>
      </c>
      <c r="Y10" s="27" t="n">
        <f aca="false">Y8-Y9</f>
        <v>0</v>
      </c>
      <c r="Z10" s="27" t="n">
        <f aca="false">Z8-Z9</f>
        <v>0</v>
      </c>
    </row>
    <row r="11" customFormat="false" ht="15" hidden="false" customHeight="true" outlineLevel="0" collapsed="false">
      <c r="B11" s="1" t="s">
        <v>197</v>
      </c>
      <c r="C11" s="27" t="n">
        <f aca="false">MIN(C7,C6)</f>
        <v>64.3331351898248</v>
      </c>
      <c r="D11" s="27" t="n">
        <f aca="false">MIN(D7,D6)</f>
        <v>62.7816255945349</v>
      </c>
      <c r="E11" s="27" t="n">
        <f aca="false">MIN(E7,E6)</f>
        <v>61.2616714961607</v>
      </c>
      <c r="F11" s="27" t="n">
        <f aca="false">MIN(F7,F6)</f>
        <v>60.9845488166193</v>
      </c>
      <c r="G11" s="27" t="n">
        <f aca="false">MIN(G7,G6)</f>
        <v>59.4563652449775</v>
      </c>
      <c r="H11" s="27" t="n">
        <f aca="false">MIN(H7,H6)</f>
        <v>57.9597683648037</v>
      </c>
      <c r="I11" s="27" t="n">
        <f aca="false">MIN(I7,I6)</f>
        <v>56.494162128041</v>
      </c>
      <c r="J11" s="27" t="n">
        <f aca="false">MIN(J7,J6)</f>
        <v>55.0589611504181</v>
      </c>
      <c r="K11" s="27" t="n">
        <f aca="false">MIN(K7,K6)</f>
        <v>53.6535905272342</v>
      </c>
      <c r="L11" s="27" t="n">
        <f aca="false">MIN(L7,L6)</f>
        <v>52.2774856522474</v>
      </c>
      <c r="M11" s="27" t="n">
        <f aca="false">MIN(M7,M6)</f>
        <v>50.9300920396174</v>
      </c>
      <c r="N11" s="27" t="n">
        <f aca="false">MIN(N7,N6)</f>
        <v>14.8085937955209</v>
      </c>
      <c r="O11" s="27" t="n">
        <f aca="false">MIN(O7,O6)</f>
        <v>0</v>
      </c>
      <c r="P11" s="27" t="n">
        <f aca="false">MIN(P7,P6)</f>
        <v>0</v>
      </c>
      <c r="Q11" s="27" t="n">
        <f aca="false">MIN(Q7,Q6)</f>
        <v>0</v>
      </c>
      <c r="R11" s="27" t="n">
        <f aca="false">MIN(R7,R6)</f>
        <v>0</v>
      </c>
      <c r="S11" s="27" t="n">
        <f aca="false">MIN(S7,S6)</f>
        <v>0</v>
      </c>
      <c r="T11" s="27" t="n">
        <f aca="false">MIN(T7,T6)</f>
        <v>0</v>
      </c>
      <c r="U11" s="27" t="n">
        <f aca="false">MIN(U7,U6)</f>
        <v>0</v>
      </c>
      <c r="V11" s="27" t="n">
        <f aca="false">MIN(V7,V6)</f>
        <v>0</v>
      </c>
      <c r="W11" s="27" t="n">
        <f aca="false">MIN(W7,W6)</f>
        <v>0</v>
      </c>
      <c r="X11" s="27" t="n">
        <f aca="false">MIN(X7,X6)</f>
        <v>0</v>
      </c>
      <c r="Y11" s="27" t="n">
        <f aca="false">MIN(Y7,Y6)</f>
        <v>0</v>
      </c>
      <c r="Z11" s="27" t="n">
        <f aca="false">MIN(Z7,Z6)</f>
        <v>0</v>
      </c>
    </row>
    <row r="12" customFormat="false" ht="15" hidden="false" customHeight="true" outlineLevel="0" collapsed="false">
      <c r="B12" s="28" t="s">
        <v>198</v>
      </c>
      <c r="C12" s="29" t="n">
        <f aca="false">MAX(0,C7-C11)</f>
        <v>585.666864810175</v>
      </c>
      <c r="D12" s="29" t="n">
        <f aca="false">MAX(0,D7-D11)</f>
        <v>522.88523921564</v>
      </c>
      <c r="E12" s="29" t="n">
        <f aca="false">MAX(0,E7-E11)</f>
        <v>461.62356771948</v>
      </c>
      <c r="F12" s="29" t="n">
        <f aca="false">MAX(0,F7-F11)</f>
        <v>400.63901890286</v>
      </c>
      <c r="G12" s="29" t="n">
        <f aca="false">MAX(0,G7-G11)</f>
        <v>341.182653657883</v>
      </c>
      <c r="H12" s="29" t="n">
        <f aca="false">MAX(0,H7-H11)</f>
        <v>283.222885293079</v>
      </c>
      <c r="I12" s="29" t="n">
        <f aca="false">MAX(0,I7-I11)</f>
        <v>226.728723165038</v>
      </c>
      <c r="J12" s="29" t="n">
        <f aca="false">MAX(0,J7-J11)</f>
        <v>171.66976201462</v>
      </c>
      <c r="K12" s="29" t="n">
        <f aca="false">MAX(0,K7-K11)</f>
        <v>118.016171487386</v>
      </c>
      <c r="L12" s="29" t="n">
        <f aca="false">MAX(0,L7-L11)</f>
        <v>65.7386858351383</v>
      </c>
      <c r="M12" s="29" t="n">
        <f aca="false">MAX(0,M7-M11)</f>
        <v>14.8085937955209</v>
      </c>
      <c r="N12" s="29" t="n">
        <f aca="false">MAX(0,N7-N11)</f>
        <v>0</v>
      </c>
      <c r="O12" s="29" t="n">
        <f aca="false">MAX(0,O7-O11)</f>
        <v>0</v>
      </c>
      <c r="P12" s="29" t="n">
        <f aca="false">MAX(0,P7-P11)</f>
        <v>0</v>
      </c>
      <c r="Q12" s="29" t="n">
        <f aca="false">MAX(0,Q7-Q11)</f>
        <v>0</v>
      </c>
      <c r="R12" s="29" t="n">
        <f aca="false">MAX(0,R7-R11)</f>
        <v>0</v>
      </c>
      <c r="S12" s="29" t="n">
        <f aca="false">MAX(0,S7-S11)</f>
        <v>0</v>
      </c>
      <c r="T12" s="29" t="n">
        <f aca="false">MAX(0,T7-T11)</f>
        <v>0</v>
      </c>
      <c r="U12" s="29" t="n">
        <f aca="false">MAX(0,U7-U11)</f>
        <v>0</v>
      </c>
      <c r="V12" s="29" t="n">
        <f aca="false">MAX(0,V7-V11)</f>
        <v>0</v>
      </c>
      <c r="W12" s="29" t="n">
        <f aca="false">MAX(0,W7-W11)</f>
        <v>0</v>
      </c>
      <c r="X12" s="29" t="n">
        <f aca="false">MAX(0,X7-X11)</f>
        <v>0</v>
      </c>
      <c r="Y12" s="29" t="n">
        <f aca="false">MAX(0,Y7-Y11)</f>
        <v>0</v>
      </c>
      <c r="Z12" s="29" t="n">
        <f aca="false">MAX(0,Z7-Z11)</f>
        <v>0</v>
      </c>
    </row>
    <row r="13" customFormat="false" ht="15" hidden="false" customHeight="true" outlineLevel="0" collapsed="false">
      <c r="B13" s="1" t="s">
        <v>199</v>
      </c>
      <c r="C13" s="27" t="n">
        <f aca="false">Assumptions!E14</f>
        <v>220</v>
      </c>
      <c r="D13" s="27" t="n">
        <f aca="false">C18</f>
        <v>220</v>
      </c>
      <c r="E13" s="27" t="n">
        <f aca="false">D18</f>
        <v>220</v>
      </c>
      <c r="F13" s="27" t="n">
        <f aca="false">E18</f>
        <v>220</v>
      </c>
      <c r="G13" s="27" t="n">
        <f aca="false">F18</f>
        <v>220</v>
      </c>
      <c r="H13" s="27" t="n">
        <f aca="false">G18</f>
        <v>220</v>
      </c>
      <c r="I13" s="27" t="n">
        <f aca="false">H18</f>
        <v>220</v>
      </c>
      <c r="J13" s="27" t="n">
        <f aca="false">I18</f>
        <v>220</v>
      </c>
      <c r="K13" s="27" t="n">
        <f aca="false">J18</f>
        <v>220</v>
      </c>
      <c r="L13" s="27" t="n">
        <f aca="false">K18</f>
        <v>220</v>
      </c>
      <c r="M13" s="27" t="n">
        <f aca="false">L18</f>
        <v>220</v>
      </c>
      <c r="N13" s="27" t="n">
        <f aca="false">M18</f>
        <v>220</v>
      </c>
      <c r="O13" s="27" t="n">
        <f aca="false">N18</f>
        <v>185.197728646672</v>
      </c>
      <c r="P13" s="27" t="n">
        <f aca="false">O18</f>
        <v>136.878458433982</v>
      </c>
      <c r="Q13" s="27" t="n">
        <f aca="false">P18</f>
        <v>89.823676366051</v>
      </c>
      <c r="R13" s="27" t="n">
        <f aca="false">Q18</f>
        <v>44.0067913769857</v>
      </c>
      <c r="S13" s="27" t="n">
        <f aca="false">R18</f>
        <v>0</v>
      </c>
      <c r="T13" s="27" t="n">
        <f aca="false">S18</f>
        <v>0</v>
      </c>
      <c r="U13" s="27" t="n">
        <f aca="false">T18</f>
        <v>0</v>
      </c>
      <c r="V13" s="27" t="n">
        <f aca="false">U18</f>
        <v>0</v>
      </c>
      <c r="W13" s="27" t="n">
        <f aca="false">V18</f>
        <v>0</v>
      </c>
      <c r="X13" s="27" t="n">
        <f aca="false">W18</f>
        <v>0</v>
      </c>
      <c r="Y13" s="27" t="n">
        <f aca="false">X18</f>
        <v>0</v>
      </c>
      <c r="Z13" s="27" t="n">
        <f aca="false">Y18</f>
        <v>0</v>
      </c>
    </row>
    <row r="14" customFormat="false" ht="15" hidden="false" customHeight="true" outlineLevel="0" collapsed="false">
      <c r="B14" s="1" t="s">
        <v>200</v>
      </c>
      <c r="C14" s="27" t="n">
        <f aca="false">C13*Assumptions!$E$15/Assumptions!$E$20+0</f>
        <v>1.46666666666667</v>
      </c>
      <c r="D14" s="27" t="n">
        <f aca="false">D13*Assumptions!$E$15/Assumptions!$E$20+C16</f>
        <v>1.46666666666667</v>
      </c>
      <c r="E14" s="27" t="n">
        <f aca="false">E13*Assumptions!$E$15/Assumptions!$E$20+D16</f>
        <v>1.46666666666667</v>
      </c>
      <c r="F14" s="27" t="n">
        <f aca="false">F13*Assumptions!$E$15/Assumptions!$E$20+E16</f>
        <v>1.46666666666667</v>
      </c>
      <c r="G14" s="27" t="n">
        <f aca="false">G13*Assumptions!$E$15/Assumptions!$E$20+F16</f>
        <v>1.46666666666667</v>
      </c>
      <c r="H14" s="27" t="n">
        <f aca="false">H13*Assumptions!$E$15/Assumptions!$E$20+G16</f>
        <v>1.46666666666667</v>
      </c>
      <c r="I14" s="27" t="n">
        <f aca="false">I13*Assumptions!$E$15/Assumptions!$E$20+H16</f>
        <v>1.46666666666667</v>
      </c>
      <c r="J14" s="27" t="n">
        <f aca="false">J13*Assumptions!$E$15/Assumptions!$E$20+I16</f>
        <v>1.46666666666667</v>
      </c>
      <c r="K14" s="27" t="n">
        <f aca="false">K13*Assumptions!$E$15/Assumptions!$E$20+J16</f>
        <v>1.46666666666667</v>
      </c>
      <c r="L14" s="27" t="n">
        <f aca="false">L13*Assumptions!$E$15/Assumptions!$E$20+K16</f>
        <v>1.46666666666667</v>
      </c>
      <c r="M14" s="27" t="n">
        <f aca="false">M13*Assumptions!$E$15/Assumptions!$E$20+L16</f>
        <v>1.46666666666667</v>
      </c>
      <c r="N14" s="27" t="n">
        <f aca="false">N13*Assumptions!$E$15/Assumptions!$E$20+M16</f>
        <v>1.46666666666667</v>
      </c>
      <c r="O14" s="27" t="n">
        <f aca="false">O13*Assumptions!$E$15/Assumptions!$E$20+N16</f>
        <v>1.23465152431115</v>
      </c>
      <c r="P14" s="27" t="n">
        <f aca="false">P13*Assumptions!$E$15/Assumptions!$E$20+O16</f>
        <v>0.912523056226548</v>
      </c>
      <c r="Q14" s="27" t="n">
        <f aca="false">Q13*Assumptions!$E$15/Assumptions!$E$20+P16</f>
        <v>0.598824509107007</v>
      </c>
      <c r="R14" s="27" t="n">
        <f aca="false">R13*Assumptions!$E$15/Assumptions!$E$20+Q16</f>
        <v>0.293378609179904</v>
      </c>
      <c r="S14" s="27" t="n">
        <f aca="false">S13*Assumptions!$E$15/Assumptions!$E$20+R16</f>
        <v>0</v>
      </c>
      <c r="T14" s="27" t="n">
        <f aca="false">T13*Assumptions!$E$15/Assumptions!$E$20+S16</f>
        <v>0</v>
      </c>
      <c r="U14" s="27" t="n">
        <f aca="false">U13*Assumptions!$E$15/Assumptions!$E$20+T16</f>
        <v>0</v>
      </c>
      <c r="V14" s="27" t="n">
        <f aca="false">V13*Assumptions!$E$15/Assumptions!$E$20+U16</f>
        <v>0</v>
      </c>
      <c r="W14" s="27" t="n">
        <f aca="false">W13*Assumptions!$E$15/Assumptions!$E$20+V16</f>
        <v>0</v>
      </c>
      <c r="X14" s="27" t="n">
        <f aca="false">X13*Assumptions!$E$15/Assumptions!$E$20+W16</f>
        <v>0</v>
      </c>
      <c r="Y14" s="27" t="n">
        <f aca="false">Y13*Assumptions!$E$15/Assumptions!$E$20+X16</f>
        <v>0</v>
      </c>
      <c r="Z14" s="27" t="n">
        <f aca="false">Z13*Assumptions!$E$15/Assumptions!$E$20+Y16</f>
        <v>0</v>
      </c>
    </row>
    <row r="15" customFormat="false" ht="15" hidden="false" customHeight="true" outlineLevel="0" collapsed="false">
      <c r="B15" s="1" t="s">
        <v>201</v>
      </c>
      <c r="C15" s="27" t="n">
        <f aca="false">MIN(MAX(0,C5-C9),C14)</f>
        <v>1.46666666666667</v>
      </c>
      <c r="D15" s="27" t="n">
        <f aca="false">MIN(MAX(0,D5-D9),D14)</f>
        <v>1.46666666666667</v>
      </c>
      <c r="E15" s="27" t="n">
        <f aca="false">MIN(MAX(0,E5-E9),E14)</f>
        <v>1.46666666666667</v>
      </c>
      <c r="F15" s="27" t="n">
        <f aca="false">MIN(MAX(0,F5-F9),F14)</f>
        <v>1.46666666666667</v>
      </c>
      <c r="G15" s="27" t="n">
        <f aca="false">MIN(MAX(0,G5-G9),G14)</f>
        <v>1.46666666666667</v>
      </c>
      <c r="H15" s="27" t="n">
        <f aca="false">MIN(MAX(0,H5-H9),H14)</f>
        <v>1.46666666666667</v>
      </c>
      <c r="I15" s="27" t="n">
        <f aca="false">MIN(MAX(0,I5-I9),I14)</f>
        <v>1.46666666666667</v>
      </c>
      <c r="J15" s="27" t="n">
        <f aca="false">MIN(MAX(0,J5-J9),J14)</f>
        <v>1.46666666666667</v>
      </c>
      <c r="K15" s="27" t="n">
        <f aca="false">MIN(MAX(0,K5-K9),K14)</f>
        <v>1.46666666666667</v>
      </c>
      <c r="L15" s="27" t="n">
        <f aca="false">MIN(MAX(0,L5-L9),L14)</f>
        <v>1.46666666666667</v>
      </c>
      <c r="M15" s="27" t="n">
        <f aca="false">MIN(MAX(0,M5-M9),M14)</f>
        <v>1.46666666666667</v>
      </c>
      <c r="N15" s="27" t="n">
        <f aca="false">MIN(MAX(0,N5-N9),N14)</f>
        <v>1.46666666666667</v>
      </c>
      <c r="O15" s="27" t="n">
        <f aca="false">MIN(MAX(0,O5-O9),O14)</f>
        <v>1.23465152431115</v>
      </c>
      <c r="P15" s="27" t="n">
        <f aca="false">MIN(MAX(0,P5-P9),P14)</f>
        <v>0.912523056226548</v>
      </c>
      <c r="Q15" s="27" t="n">
        <f aca="false">MIN(MAX(0,Q5-Q9),Q14)</f>
        <v>0.598824509107007</v>
      </c>
      <c r="R15" s="27" t="n">
        <f aca="false">MIN(MAX(0,R5-R9),R14)</f>
        <v>0.293378609179904</v>
      </c>
      <c r="S15" s="27" t="n">
        <f aca="false">MIN(MAX(0,S5-S9),S14)</f>
        <v>0</v>
      </c>
      <c r="T15" s="27" t="n">
        <f aca="false">MIN(MAX(0,T5-T9),T14)</f>
        <v>0</v>
      </c>
      <c r="U15" s="27" t="n">
        <f aca="false">MIN(MAX(0,U5-U9),U14)</f>
        <v>0</v>
      </c>
      <c r="V15" s="27" t="n">
        <f aca="false">MIN(MAX(0,V5-V9),V14)</f>
        <v>0</v>
      </c>
      <c r="W15" s="27" t="n">
        <f aca="false">MIN(MAX(0,W5-W9),W14)</f>
        <v>0</v>
      </c>
      <c r="X15" s="27" t="n">
        <f aca="false">MIN(MAX(0,X5-X9),X14)</f>
        <v>0</v>
      </c>
      <c r="Y15" s="27" t="n">
        <f aca="false">MIN(MAX(0,Y5-Y9),Y14)</f>
        <v>0</v>
      </c>
      <c r="Z15" s="27" t="n">
        <f aca="false">MIN(MAX(0,Z5-Z9),Z14)</f>
        <v>0</v>
      </c>
    </row>
    <row r="16" customFormat="false" ht="15" hidden="false" customHeight="true" outlineLevel="0" collapsed="false">
      <c r="B16" s="1" t="s">
        <v>202</v>
      </c>
      <c r="C16" s="27" t="n">
        <f aca="false">C14-C15</f>
        <v>0</v>
      </c>
      <c r="D16" s="27" t="n">
        <f aca="false">D14-D15</f>
        <v>0</v>
      </c>
      <c r="E16" s="27" t="n">
        <f aca="false">E14-E15</f>
        <v>0</v>
      </c>
      <c r="F16" s="27" t="n">
        <f aca="false">F14-F15</f>
        <v>0</v>
      </c>
      <c r="G16" s="27" t="n">
        <f aca="false">G14-G15</f>
        <v>0</v>
      </c>
      <c r="H16" s="27" t="n">
        <f aca="false">H14-H15</f>
        <v>0</v>
      </c>
      <c r="I16" s="27" t="n">
        <f aca="false">I14-I15</f>
        <v>0</v>
      </c>
      <c r="J16" s="27" t="n">
        <f aca="false">J14-J15</f>
        <v>0</v>
      </c>
      <c r="K16" s="27" t="n">
        <f aca="false">K14-K15</f>
        <v>0</v>
      </c>
      <c r="L16" s="27" t="n">
        <f aca="false">L14-L15</f>
        <v>0</v>
      </c>
      <c r="M16" s="27" t="n">
        <f aca="false">M14-M15</f>
        <v>0</v>
      </c>
      <c r="N16" s="27" t="n">
        <f aca="false">N14-N15</f>
        <v>0</v>
      </c>
      <c r="O16" s="27" t="n">
        <f aca="false">O14-O15</f>
        <v>0</v>
      </c>
      <c r="P16" s="27" t="n">
        <f aca="false">P14-P15</f>
        <v>0</v>
      </c>
      <c r="Q16" s="27" t="n">
        <f aca="false">Q14-Q15</f>
        <v>0</v>
      </c>
      <c r="R16" s="27" t="n">
        <f aca="false">R14-R15</f>
        <v>0</v>
      </c>
      <c r="S16" s="27" t="n">
        <f aca="false">S14-S15</f>
        <v>0</v>
      </c>
      <c r="T16" s="27" t="n">
        <f aca="false">T14-T15</f>
        <v>0</v>
      </c>
      <c r="U16" s="27" t="n">
        <f aca="false">U14-U15</f>
        <v>0</v>
      </c>
      <c r="V16" s="27" t="n">
        <f aca="false">V14-V15</f>
        <v>0</v>
      </c>
      <c r="W16" s="27" t="n">
        <f aca="false">W14-W15</f>
        <v>0</v>
      </c>
      <c r="X16" s="27" t="n">
        <f aca="false">X14-X15</f>
        <v>0</v>
      </c>
      <c r="Y16" s="27" t="n">
        <f aca="false">Y14-Y15</f>
        <v>0</v>
      </c>
      <c r="Z16" s="27" t="n">
        <f aca="false">Z14-Z15</f>
        <v>0</v>
      </c>
    </row>
    <row r="17" customFormat="false" ht="15" hidden="false" customHeight="true" outlineLevel="0" collapsed="false">
      <c r="B17" s="1" t="s">
        <v>203</v>
      </c>
      <c r="C17" s="27" t="n">
        <f aca="false">MIN(C13,MAX(0,C6-C11))</f>
        <v>0</v>
      </c>
      <c r="D17" s="27" t="n">
        <f aca="false">MIN(D13,MAX(0,D6-D11))</f>
        <v>0</v>
      </c>
      <c r="E17" s="27" t="n">
        <f aca="false">MIN(E13,MAX(0,E6-E11))</f>
        <v>0</v>
      </c>
      <c r="F17" s="27" t="n">
        <f aca="false">MIN(F13,MAX(0,F6-F11))</f>
        <v>0</v>
      </c>
      <c r="G17" s="27" t="n">
        <f aca="false">MIN(G13,MAX(0,G6-G11))</f>
        <v>0</v>
      </c>
      <c r="H17" s="27" t="n">
        <f aca="false">MIN(H13,MAX(0,H6-H11))</f>
        <v>0</v>
      </c>
      <c r="I17" s="27" t="n">
        <f aca="false">MIN(I13,MAX(0,I6-I11))</f>
        <v>0</v>
      </c>
      <c r="J17" s="27" t="n">
        <f aca="false">MIN(J13,MAX(0,J6-J11))</f>
        <v>0</v>
      </c>
      <c r="K17" s="27" t="n">
        <f aca="false">MIN(K13,MAX(0,K6-K11))</f>
        <v>0</v>
      </c>
      <c r="L17" s="27" t="n">
        <f aca="false">MIN(L13,MAX(0,L6-L11))</f>
        <v>0</v>
      </c>
      <c r="M17" s="27" t="n">
        <f aca="false">MIN(M13,MAX(0,M6-M11))</f>
        <v>0</v>
      </c>
      <c r="N17" s="27" t="n">
        <f aca="false">MIN(N13,MAX(0,N6-N11))</f>
        <v>34.802271353328</v>
      </c>
      <c r="O17" s="27" t="n">
        <f aca="false">MIN(O13,MAX(0,O6-O11))</f>
        <v>48.3192702126898</v>
      </c>
      <c r="P17" s="27" t="n">
        <f aca="false">MIN(P13,MAX(0,P6-P11))</f>
        <v>47.0547820679312</v>
      </c>
      <c r="Q17" s="27" t="n">
        <f aca="false">MIN(Q13,MAX(0,Q6-Q11))</f>
        <v>45.8168849890653</v>
      </c>
      <c r="R17" s="27" t="n">
        <f aca="false">MIN(R13,MAX(0,R6-R11))</f>
        <v>44.0067913769857</v>
      </c>
      <c r="S17" s="27" t="n">
        <f aca="false">MIN(S13,MAX(0,S6-S11))</f>
        <v>0</v>
      </c>
      <c r="T17" s="27" t="n">
        <f aca="false">MIN(T13,MAX(0,T6-T11))</f>
        <v>0</v>
      </c>
      <c r="U17" s="27" t="n">
        <f aca="false">MIN(U13,MAX(0,U6-U11))</f>
        <v>0</v>
      </c>
      <c r="V17" s="27" t="n">
        <f aca="false">MIN(V13,MAX(0,V6-V11))</f>
        <v>0</v>
      </c>
      <c r="W17" s="27" t="n">
        <f aca="false">MIN(W13,MAX(0,W6-W11))</f>
        <v>0</v>
      </c>
      <c r="X17" s="27" t="n">
        <f aca="false">MIN(X13,MAX(0,X6-X11))</f>
        <v>0</v>
      </c>
      <c r="Y17" s="27" t="n">
        <f aca="false">MIN(Y13,MAX(0,Y6-Y11))</f>
        <v>0</v>
      </c>
      <c r="Z17" s="27" t="n">
        <f aca="false">MIN(Z13,MAX(0,Z6-Z11))</f>
        <v>0</v>
      </c>
    </row>
    <row r="18" customFormat="false" ht="15" hidden="false" customHeight="true" outlineLevel="0" collapsed="false">
      <c r="B18" s="28" t="s">
        <v>204</v>
      </c>
      <c r="C18" s="29" t="n">
        <f aca="false">MAX(0,C13-C17)</f>
        <v>220</v>
      </c>
      <c r="D18" s="29" t="n">
        <f aca="false">MAX(0,D13-D17)</f>
        <v>220</v>
      </c>
      <c r="E18" s="29" t="n">
        <f aca="false">MAX(0,E13-E17)</f>
        <v>220</v>
      </c>
      <c r="F18" s="29" t="n">
        <f aca="false">MAX(0,F13-F17)</f>
        <v>220</v>
      </c>
      <c r="G18" s="29" t="n">
        <f aca="false">MAX(0,G13-G17)</f>
        <v>220</v>
      </c>
      <c r="H18" s="29" t="n">
        <f aca="false">MAX(0,H13-H17)</f>
        <v>220</v>
      </c>
      <c r="I18" s="29" t="n">
        <f aca="false">MAX(0,I13-I17)</f>
        <v>220</v>
      </c>
      <c r="J18" s="29" t="n">
        <f aca="false">MAX(0,J13-J17)</f>
        <v>220</v>
      </c>
      <c r="K18" s="29" t="n">
        <f aca="false">MAX(0,K13-K17)</f>
        <v>220</v>
      </c>
      <c r="L18" s="29" t="n">
        <f aca="false">MAX(0,L13-L17)</f>
        <v>220</v>
      </c>
      <c r="M18" s="29" t="n">
        <f aca="false">MAX(0,M13-M17)</f>
        <v>220</v>
      </c>
      <c r="N18" s="29" t="n">
        <f aca="false">MAX(0,N13-N17)</f>
        <v>185.197728646672</v>
      </c>
      <c r="O18" s="29" t="n">
        <f aca="false">MAX(0,O13-O17)</f>
        <v>136.878458433982</v>
      </c>
      <c r="P18" s="29" t="n">
        <f aca="false">MAX(0,P13-P17)</f>
        <v>89.823676366051</v>
      </c>
      <c r="Q18" s="29" t="n">
        <f aca="false">MAX(0,Q13-Q17)</f>
        <v>44.0067913769857</v>
      </c>
      <c r="R18" s="29" t="n">
        <f aca="false">MAX(0,R13-R17)</f>
        <v>0</v>
      </c>
      <c r="S18" s="29" t="n">
        <f aca="false">MAX(0,S13-S17)</f>
        <v>0</v>
      </c>
      <c r="T18" s="29" t="n">
        <f aca="false">MAX(0,T13-T17)</f>
        <v>0</v>
      </c>
      <c r="U18" s="29" t="n">
        <f aca="false">MAX(0,U13-U17)</f>
        <v>0</v>
      </c>
      <c r="V18" s="29" t="n">
        <f aca="false">MAX(0,V13-V17)</f>
        <v>0</v>
      </c>
      <c r="W18" s="29" t="n">
        <f aca="false">MAX(0,W13-W17)</f>
        <v>0</v>
      </c>
      <c r="X18" s="29" t="n">
        <f aca="false">MAX(0,X13-X17)</f>
        <v>0</v>
      </c>
      <c r="Y18" s="29" t="n">
        <f aca="false">MAX(0,Y13-Y17)</f>
        <v>0</v>
      </c>
      <c r="Z18" s="29" t="n">
        <f aca="false">MAX(0,Z13-Z17)</f>
        <v>0</v>
      </c>
    </row>
    <row r="19" customFormat="false" ht="15" hidden="false" customHeight="true" outlineLevel="0" collapsed="false">
      <c r="B19" s="28" t="s">
        <v>205</v>
      </c>
      <c r="C19" s="29" t="n">
        <f aca="false">MAX(0,C5-C9-C15)+MAX(0,C6-C11-C17)</f>
        <v>2.825</v>
      </c>
      <c r="D19" s="29" t="n">
        <f aca="false">MAX(0,D5-D9-D15)+MAX(0,D6-D11-D17)</f>
        <v>2.70363967008656</v>
      </c>
      <c r="E19" s="29" t="n">
        <f aca="false">MAX(0,E5-E9-E15)+MAX(0,E6-E11-E17)</f>
        <v>2.58567696091918</v>
      </c>
      <c r="F19" s="29" t="n">
        <f aca="false">MAX(0,F5-F9-F15)+MAX(0,F6-F11-F17)</f>
        <v>3.68290473323976</v>
      </c>
      <c r="G19" s="29" t="n">
        <f aca="false">MAX(0,G5-G9-G15)+MAX(0,G6-G11-G17)</f>
        <v>3.50698797069903</v>
      </c>
      <c r="H19" s="29" t="n">
        <f aca="false">MAX(0,H5-H9-H15)+MAX(0,H6-H11-H17)</f>
        <v>3.33573381753139</v>
      </c>
      <c r="I19" s="29" t="n">
        <f aca="false">MAX(0,I5-I9-I15)+MAX(0,I6-I11-I17)</f>
        <v>3.16904374477949</v>
      </c>
      <c r="J19" s="29" t="n">
        <f aca="false">MAX(0,J5-J9-J15)+MAX(0,J6-J11-J17)</f>
        <v>3.00682110489097</v>
      </c>
      <c r="K19" s="29" t="n">
        <f aca="false">MAX(0,K5-K9-K15)+MAX(0,K6-K11-K17)</f>
        <v>2.84897109780949</v>
      </c>
      <c r="L19" s="29" t="n">
        <f aca="false">MAX(0,L5-L9-L15)+MAX(0,L6-L11-L17)</f>
        <v>2.69540073765445</v>
      </c>
      <c r="M19" s="29" t="n">
        <f aca="false">MAX(0,M5-M9-M15)+MAX(0,M6-M11-M17)</f>
        <v>2.5460188199795</v>
      </c>
      <c r="N19" s="29" t="n">
        <f aca="false">MAX(0,N5-N9-N15)+MAX(0,N6-N11-N17)</f>
        <v>2.40073588960007</v>
      </c>
      <c r="O19" s="29" t="n">
        <f aca="false">MAX(0,O5-O9-O15)+MAX(0,O6-O11-O17)</f>
        <v>2.34646988736347</v>
      </c>
      <c r="P19" s="29" t="n">
        <f aca="false">MAX(0,P5-P9-P15)+MAX(0,P6-P11-P17)</f>
        <v>2.32992158108408</v>
      </c>
      <c r="Q19" s="29" t="n">
        <f aca="false">MAX(0,Q5-Q9-Q15)+MAX(0,Q6-Q11-Q17)</f>
        <v>2.31405285836353</v>
      </c>
      <c r="R19" s="29" t="n">
        <f aca="false">MAX(0,R5-R9-R15)+MAX(0,R6-R11-R17)</f>
        <v>2.89712857581412</v>
      </c>
      <c r="S19" s="29" t="n">
        <f aca="false">MAX(0,S5-S9-S15)+MAX(0,S6-S11-S17)</f>
        <v>45.6991481255163</v>
      </c>
      <c r="T19" s="29" t="n">
        <f aca="false">MAX(0,T5-T9-T15)+MAX(0,T6-T11-T17)</f>
        <v>44.234636446314</v>
      </c>
      <c r="U19" s="29" t="n">
        <f aca="false">MAX(0,U5-U9-U15)+MAX(0,U6-U11-U17)</f>
        <v>42.8031012976169</v>
      </c>
      <c r="V19" s="29" t="n">
        <f aca="false">MAX(0,V5-V9-V15)+MAX(0,V6-V11-V17)</f>
        <v>41.4038926093659</v>
      </c>
      <c r="W19" s="29" t="n">
        <f aca="false">MAX(0,W5-W9-W15)+MAX(0,W6-W11-W17)</f>
        <v>40.036372254527</v>
      </c>
      <c r="X19" s="29" t="n">
        <f aca="false">MAX(0,X5-X9-X15)+MAX(0,X6-X11-X17)</f>
        <v>38.6999138390661</v>
      </c>
      <c r="Y19" s="29" t="n">
        <f aca="false">MAX(0,Y5-Y9-Y15)+MAX(0,Y6-Y11-Y17)</f>
        <v>37.3939024955082</v>
      </c>
      <c r="Z19" s="29" t="n">
        <f aca="false">MAX(0,Z5-Z9-Z15)+MAX(0,Z6-Z11-Z17)</f>
        <v>36.1177346800217</v>
      </c>
    </row>
  </sheetData>
  <mergeCells count="1">
    <mergeCell ref="B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26" min="3" style="1" width="10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15" hidden="false" customHeight="true" outlineLevel="0" collapsed="false">
      <c r="B4" s="16" t="s">
        <v>207</v>
      </c>
      <c r="C4" s="16" t="s">
        <v>151</v>
      </c>
      <c r="D4" s="16" t="s">
        <v>30</v>
      </c>
      <c r="E4" s="16" t="s">
        <v>152</v>
      </c>
      <c r="F4" s="16" t="s">
        <v>153</v>
      </c>
      <c r="G4" s="16" t="s">
        <v>154</v>
      </c>
      <c r="H4" s="16" t="s">
        <v>155</v>
      </c>
      <c r="I4" s="16" t="s">
        <v>156</v>
      </c>
      <c r="J4" s="16" t="s">
        <v>157</v>
      </c>
      <c r="K4" s="16" t="s">
        <v>158</v>
      </c>
      <c r="L4" s="16" t="s">
        <v>159</v>
      </c>
      <c r="M4" s="16" t="s">
        <v>160</v>
      </c>
      <c r="N4" s="16" t="s">
        <v>161</v>
      </c>
      <c r="O4" s="16" t="s">
        <v>162</v>
      </c>
      <c r="P4" s="16" t="s">
        <v>163</v>
      </c>
      <c r="Q4" s="16" t="s">
        <v>164</v>
      </c>
      <c r="R4" s="16" t="s">
        <v>165</v>
      </c>
      <c r="S4" s="16" t="s">
        <v>166</v>
      </c>
      <c r="T4" s="16" t="s">
        <v>167</v>
      </c>
      <c r="U4" s="16" t="s">
        <v>168</v>
      </c>
      <c r="V4" s="16" t="s">
        <v>169</v>
      </c>
      <c r="W4" s="16" t="s">
        <v>170</v>
      </c>
      <c r="X4" s="16" t="s">
        <v>171</v>
      </c>
      <c r="Y4" s="16" t="s">
        <v>172</v>
      </c>
      <c r="Z4" s="16" t="s">
        <v>173</v>
      </c>
    </row>
    <row r="5" customFormat="false" ht="15" hidden="false" customHeight="true" outlineLevel="0" collapsed="false">
      <c r="B5" s="1" t="s">
        <v>208</v>
      </c>
      <c r="C5" s="31" t="n">
        <f aca="false">IFERROR(Collateral!C14/(Waterfall!C12+Waterfall!C18),0)</f>
        <v>1.40659021996708</v>
      </c>
      <c r="D5" s="31" t="n">
        <f aca="false">IFERROR(Collateral!D14/(Waterfall!D12+Waterfall!D18),0)</f>
        <v>1.43787610684677</v>
      </c>
      <c r="E5" s="31" t="n">
        <f aca="false">IFERROR(Collateral!E14/(Waterfall!E12+Waterfall!E18),0)</f>
        <v>1.47407801054289</v>
      </c>
      <c r="F5" s="31" t="n">
        <f aca="false">IFERROR(Collateral!F14/(Waterfall!F12+Waterfall!F18),0)</f>
        <v>1.51936440099875</v>
      </c>
      <c r="G5" s="31" t="n">
        <f aca="false">IFERROR(Collateral!G14/(Waterfall!G12+Waterfall!G18),0)</f>
        <v>1.573061292764</v>
      </c>
      <c r="H5" s="31" t="n">
        <f aca="false">IFERROR(Collateral!H14/(Waterfall!H12+Waterfall!H18),0)</f>
        <v>1.63769739953406</v>
      </c>
      <c r="I5" s="31" t="n">
        <f aca="false">IFERROR(Collateral!I14/(Waterfall!I12+Waterfall!I18),0)</f>
        <v>1.71692702930363</v>
      </c>
      <c r="J5" s="31" t="n">
        <f aca="false">IFERROR(Collateral!J14/(Waterfall!J12+Waterfall!J18),0)</f>
        <v>1.81623477817791</v>
      </c>
      <c r="K5" s="31" t="n">
        <f aca="false">IFERROR(Collateral!K14/(Waterfall!K12+Waterfall!K18),0)</f>
        <v>1.94424542260424</v>
      </c>
      <c r="L5" s="31" t="n">
        <f aca="false">IFERROR(Collateral!L14/(Waterfall!L12+Waterfall!L18),0)</f>
        <v>2.11534667800111</v>
      </c>
      <c r="M5" s="31" t="n">
        <f aca="false">IFERROR(Collateral!M14/(Waterfall!M12+Waterfall!M18),0)</f>
        <v>2.35546784696905</v>
      </c>
      <c r="N5" s="31" t="n">
        <f aca="false">IFERROR(Collateral!N14/(Waterfall!N12+Waterfall!N18),0)</f>
        <v>2.7165559949163</v>
      </c>
      <c r="O5" s="31" t="n">
        <f aca="false">IFERROR(Collateral!O14/(Waterfall!O12+Waterfall!O18),0)</f>
        <v>3.32013625145749</v>
      </c>
      <c r="P5" s="31" t="n">
        <f aca="false">IFERROR(Collateral!P14/(Waterfall!P12+Waterfall!P18),0)</f>
        <v>4.53244722799686</v>
      </c>
      <c r="Q5" s="31" t="n">
        <f aca="false">IFERROR(Collateral!Q14/(Waterfall!Q12+Waterfall!Q18),0)</f>
        <v>8.20486884075242</v>
      </c>
      <c r="R5" s="31" t="n">
        <f aca="false">IFERROR(Collateral!R14/(Waterfall!R12+Waterfall!R18),0)</f>
        <v>0</v>
      </c>
      <c r="S5" s="31" t="n">
        <f aca="false">IFERROR(Collateral!S14/(Waterfall!S12+Waterfall!S18),0)</f>
        <v>0</v>
      </c>
      <c r="T5" s="31" t="n">
        <f aca="false">IFERROR(Collateral!T14/(Waterfall!T12+Waterfall!T18),0)</f>
        <v>0</v>
      </c>
      <c r="U5" s="31" t="n">
        <f aca="false">IFERROR(Collateral!U14/(Waterfall!U12+Waterfall!U18),0)</f>
        <v>0</v>
      </c>
      <c r="V5" s="31" t="n">
        <f aca="false">IFERROR(Collateral!V14/(Waterfall!V12+Waterfall!V18),0)</f>
        <v>0</v>
      </c>
      <c r="W5" s="31" t="n">
        <f aca="false">IFERROR(Collateral!W14/(Waterfall!W12+Waterfall!W18),0)</f>
        <v>0</v>
      </c>
      <c r="X5" s="31" t="n">
        <f aca="false">IFERROR(Collateral!X14/(Waterfall!X12+Waterfall!X18),0)</f>
        <v>0</v>
      </c>
      <c r="Y5" s="31" t="n">
        <f aca="false">IFERROR(Collateral!Y14/(Waterfall!Y12+Waterfall!Y18),0)</f>
        <v>0</v>
      </c>
      <c r="Z5" s="31" t="n">
        <f aca="false">IFERROR(Collateral!Z14/(Waterfall!Z12+Waterfall!Z18),0)</f>
        <v>0</v>
      </c>
    </row>
    <row r="6" customFormat="false" ht="15" hidden="false" customHeight="true" outlineLevel="0" collapsed="false">
      <c r="B6" s="1" t="s">
        <v>143</v>
      </c>
      <c r="C6" s="31" t="n">
        <f aca="false">Assumptions!$E$17</f>
        <v>1.08</v>
      </c>
      <c r="D6" s="31" t="n">
        <f aca="false">Assumptions!$E$17</f>
        <v>1.08</v>
      </c>
      <c r="E6" s="31" t="n">
        <f aca="false">Assumptions!$E$17</f>
        <v>1.08</v>
      </c>
      <c r="F6" s="31" t="n">
        <f aca="false">Assumptions!$E$17</f>
        <v>1.08</v>
      </c>
      <c r="G6" s="31" t="n">
        <f aca="false">Assumptions!$E$17</f>
        <v>1.08</v>
      </c>
      <c r="H6" s="31" t="n">
        <f aca="false">Assumptions!$E$17</f>
        <v>1.08</v>
      </c>
      <c r="I6" s="31" t="n">
        <f aca="false">Assumptions!$E$17</f>
        <v>1.08</v>
      </c>
      <c r="J6" s="31" t="n">
        <f aca="false">Assumptions!$E$17</f>
        <v>1.08</v>
      </c>
      <c r="K6" s="31" t="n">
        <f aca="false">Assumptions!$E$17</f>
        <v>1.08</v>
      </c>
      <c r="L6" s="31" t="n">
        <f aca="false">Assumptions!$E$17</f>
        <v>1.08</v>
      </c>
      <c r="M6" s="31" t="n">
        <f aca="false">Assumptions!$E$17</f>
        <v>1.08</v>
      </c>
      <c r="N6" s="31" t="n">
        <f aca="false">Assumptions!$E$17</f>
        <v>1.08</v>
      </c>
      <c r="O6" s="31" t="n">
        <f aca="false">Assumptions!$E$17</f>
        <v>1.08</v>
      </c>
      <c r="P6" s="31" t="n">
        <f aca="false">Assumptions!$E$17</f>
        <v>1.08</v>
      </c>
      <c r="Q6" s="31" t="n">
        <f aca="false">Assumptions!$E$17</f>
        <v>1.08</v>
      </c>
      <c r="R6" s="31" t="n">
        <f aca="false">Assumptions!$E$17</f>
        <v>1.08</v>
      </c>
      <c r="S6" s="31" t="n">
        <f aca="false">Assumptions!$E$17</f>
        <v>1.08</v>
      </c>
      <c r="T6" s="31" t="n">
        <f aca="false">Assumptions!$E$17</f>
        <v>1.08</v>
      </c>
      <c r="U6" s="31" t="n">
        <f aca="false">Assumptions!$E$17</f>
        <v>1.08</v>
      </c>
      <c r="V6" s="31" t="n">
        <f aca="false">Assumptions!$E$17</f>
        <v>1.08</v>
      </c>
      <c r="W6" s="31" t="n">
        <f aca="false">Assumptions!$E$17</f>
        <v>1.08</v>
      </c>
      <c r="X6" s="31" t="n">
        <f aca="false">Assumptions!$E$17</f>
        <v>1.08</v>
      </c>
      <c r="Y6" s="31" t="n">
        <f aca="false">Assumptions!$E$17</f>
        <v>1.08</v>
      </c>
      <c r="Z6" s="31" t="n">
        <f aca="false">Assumptions!$E$17</f>
        <v>1.08</v>
      </c>
    </row>
    <row r="7" customFormat="false" ht="15" hidden="false" customHeight="true" outlineLevel="0" collapsed="false">
      <c r="B7" s="1" t="s">
        <v>209</v>
      </c>
      <c r="C7" s="31" t="n">
        <f aca="false">IFERROR(Collateral!C12/Waterfall!C8,0)</f>
        <v>2.58461538461538</v>
      </c>
      <c r="D7" s="31" t="n">
        <f aca="false">IFERROR(Collateral!D12/Waterfall!D8,0)</f>
        <v>2.70894681082082</v>
      </c>
      <c r="E7" s="31" t="n">
        <f aca="false">IFERROR(Collateral!E12/Waterfall!E8,0)</f>
        <v>2.85999220800248</v>
      </c>
      <c r="F7" s="31" t="n">
        <f aca="false">IFERROR(Collateral!F12/Waterfall!F8,0)</f>
        <v>3.04722924925513</v>
      </c>
      <c r="G7" s="31" t="n">
        <f aca="false">IFERROR(Collateral!G12/Waterfall!G8,0)</f>
        <v>3.29515474374853</v>
      </c>
      <c r="H7" s="31" t="n">
        <f aca="false">IFERROR(Collateral!H12/Waterfall!H8,0)</f>
        <v>3.62235471717443</v>
      </c>
      <c r="I7" s="31" t="n">
        <f aca="false">IFERROR(Collateral!I12/Waterfall!I8,0)</f>
        <v>4.07374401856252</v>
      </c>
      <c r="J7" s="31" t="n">
        <f aca="false">IFERROR(Collateral!J12/Waterfall!J8,0)</f>
        <v>4.73606013568057</v>
      </c>
      <c r="K7" s="31" t="n">
        <f aca="false">IFERROR(Collateral!K12/Waterfall!K8,0)</f>
        <v>5.80131252572862</v>
      </c>
      <c r="L7" s="31" t="n">
        <f aca="false">IFERROR(Collateral!L12/Waterfall!L8,0)</f>
        <v>7.79605828808915</v>
      </c>
      <c r="M7" s="31" t="n">
        <f aca="false">IFERROR(Collateral!M12/Waterfall!M8,0)</f>
        <v>12.8723432945256</v>
      </c>
      <c r="N7" s="31" t="n">
        <f aca="false">IFERROR(Collateral!N12/Waterfall!N8,0)</f>
        <v>52.2884036607525</v>
      </c>
      <c r="O7" s="31" t="n">
        <f aca="false">IFERROR(Collateral!O12/Waterfall!O8,0)</f>
        <v>0</v>
      </c>
      <c r="P7" s="31" t="n">
        <f aca="false">IFERROR(Collateral!P12/Waterfall!P8,0)</f>
        <v>0</v>
      </c>
      <c r="Q7" s="31" t="n">
        <f aca="false">IFERROR(Collateral!Q12/Waterfall!Q8,0)</f>
        <v>0</v>
      </c>
      <c r="R7" s="31" t="n">
        <f aca="false">IFERROR(Collateral!R12/Waterfall!R8,0)</f>
        <v>0</v>
      </c>
      <c r="S7" s="31" t="n">
        <f aca="false">IFERROR(Collateral!S12/Waterfall!S8,0)</f>
        <v>0</v>
      </c>
      <c r="T7" s="31" t="n">
        <f aca="false">IFERROR(Collateral!T12/Waterfall!T8,0)</f>
        <v>0</v>
      </c>
      <c r="U7" s="31" t="n">
        <f aca="false">IFERROR(Collateral!U12/Waterfall!U8,0)</f>
        <v>0</v>
      </c>
      <c r="V7" s="31" t="n">
        <f aca="false">IFERROR(Collateral!V12/Waterfall!V8,0)</f>
        <v>0</v>
      </c>
      <c r="W7" s="31" t="n">
        <f aca="false">IFERROR(Collateral!W12/Waterfall!W8,0)</f>
        <v>0</v>
      </c>
      <c r="X7" s="31" t="n">
        <f aca="false">IFERROR(Collateral!X12/Waterfall!X8,0)</f>
        <v>0</v>
      </c>
      <c r="Y7" s="31" t="n">
        <f aca="false">IFERROR(Collateral!Y12/Waterfall!Y8,0)</f>
        <v>0</v>
      </c>
      <c r="Z7" s="31" t="n">
        <f aca="false">IFERROR(Collateral!Z12/Waterfall!Z8,0)</f>
        <v>0</v>
      </c>
    </row>
    <row r="8" customFormat="false" ht="15" hidden="false" customHeight="true" outlineLevel="0" collapsed="false">
      <c r="B8" s="1" t="s">
        <v>210</v>
      </c>
      <c r="C8" s="31" t="n">
        <f aca="false">Assumptions!$E$18</f>
        <v>1.5</v>
      </c>
      <c r="D8" s="31" t="n">
        <f aca="false">Assumptions!$E$18</f>
        <v>1.5</v>
      </c>
      <c r="E8" s="31" t="n">
        <f aca="false">Assumptions!$E$18</f>
        <v>1.5</v>
      </c>
      <c r="F8" s="31" t="n">
        <f aca="false">Assumptions!$E$18</f>
        <v>1.5</v>
      </c>
      <c r="G8" s="31" t="n">
        <f aca="false">Assumptions!$E$18</f>
        <v>1.5</v>
      </c>
      <c r="H8" s="31" t="n">
        <f aca="false">Assumptions!$E$18</f>
        <v>1.5</v>
      </c>
      <c r="I8" s="31" t="n">
        <f aca="false">Assumptions!$E$18</f>
        <v>1.5</v>
      </c>
      <c r="J8" s="31" t="n">
        <f aca="false">Assumptions!$E$18</f>
        <v>1.5</v>
      </c>
      <c r="K8" s="31" t="n">
        <f aca="false">Assumptions!$E$18</f>
        <v>1.5</v>
      </c>
      <c r="L8" s="31" t="n">
        <f aca="false">Assumptions!$E$18</f>
        <v>1.5</v>
      </c>
      <c r="M8" s="31" t="n">
        <f aca="false">Assumptions!$E$18</f>
        <v>1.5</v>
      </c>
      <c r="N8" s="31" t="n">
        <f aca="false">Assumptions!$E$18</f>
        <v>1.5</v>
      </c>
      <c r="O8" s="31" t="n">
        <f aca="false">Assumptions!$E$18</f>
        <v>1.5</v>
      </c>
      <c r="P8" s="31" t="n">
        <f aca="false">Assumptions!$E$18</f>
        <v>1.5</v>
      </c>
      <c r="Q8" s="31" t="n">
        <f aca="false">Assumptions!$E$18</f>
        <v>1.5</v>
      </c>
      <c r="R8" s="31" t="n">
        <f aca="false">Assumptions!$E$18</f>
        <v>1.5</v>
      </c>
      <c r="S8" s="31" t="n">
        <f aca="false">Assumptions!$E$18</f>
        <v>1.5</v>
      </c>
      <c r="T8" s="31" t="n">
        <f aca="false">Assumptions!$E$18</f>
        <v>1.5</v>
      </c>
      <c r="U8" s="31" t="n">
        <f aca="false">Assumptions!$E$18</f>
        <v>1.5</v>
      </c>
      <c r="V8" s="31" t="n">
        <f aca="false">Assumptions!$E$18</f>
        <v>1.5</v>
      </c>
      <c r="W8" s="31" t="n">
        <f aca="false">Assumptions!$E$18</f>
        <v>1.5</v>
      </c>
      <c r="X8" s="31" t="n">
        <f aca="false">Assumptions!$E$18</f>
        <v>1.5</v>
      </c>
      <c r="Y8" s="31" t="n">
        <f aca="false">Assumptions!$E$18</f>
        <v>1.5</v>
      </c>
      <c r="Z8" s="31" t="n">
        <f aca="false">Assumptions!$E$18</f>
        <v>1.5</v>
      </c>
    </row>
    <row r="9" customFormat="false" ht="15" hidden="false" customHeight="true" outlineLevel="0" collapsed="false">
      <c r="B9" s="1" t="s">
        <v>211</v>
      </c>
      <c r="C9" s="31" t="n">
        <f aca="false">IFERROR(MAX(0,Collateral!C12-Waterfall!C8)/Waterfall!C14,0)</f>
        <v>2.92613636363636</v>
      </c>
      <c r="D9" s="31" t="n">
        <f aca="false">IFERROR(MAX(0,Collateral!D12-Waterfall!D8)/Waterfall!D14,0)</f>
        <v>2.84339068414993</v>
      </c>
      <c r="E9" s="31" t="n">
        <f aca="false">IFERROR(MAX(0,Collateral!E12-Waterfall!E8)/Waterfall!E14,0)</f>
        <v>2.76296156426308</v>
      </c>
      <c r="F9" s="31" t="n">
        <f aca="false">IFERROR(MAX(0,Collateral!F12-Waterfall!F8)/Waterfall!F14,0)</f>
        <v>2.68479906244553</v>
      </c>
      <c r="G9" s="31" t="n">
        <f aca="false">IFERROR(MAX(0,Collateral!G12-Waterfall!G8)/Waterfall!G14,0)</f>
        <v>2.61229700217516</v>
      </c>
      <c r="H9" s="31" t="n">
        <f aca="false">IFERROR(MAX(0,Collateral!H12-Waterfall!H8)/Waterfall!H14,0)</f>
        <v>2.54176687851659</v>
      </c>
      <c r="I9" s="31" t="n">
        <f aca="false">IFERROR(MAX(0,Collateral!I12-Waterfall!I8)/Waterfall!I14,0)</f>
        <v>2.47316661815233</v>
      </c>
      <c r="J9" s="31" t="n">
        <f aca="false">IFERROR(MAX(0,Collateral!J12-Waterfall!J8)/Waterfall!J14,0)</f>
        <v>2.40645495520072</v>
      </c>
      <c r="K9" s="31" t="n">
        <f aca="false">IFERROR(MAX(0,Collateral!K12-Waterfall!K8)/Waterfall!K14,0)</f>
        <v>2.34159141661831</v>
      </c>
      <c r="L9" s="31" t="n">
        <f aca="false">IFERROR(MAX(0,Collateral!L12-Waterfall!L8)/Waterfall!L14,0)</f>
        <v>2.27853630785624</v>
      </c>
      <c r="M9" s="31" t="n">
        <f aca="false">IFERROR(MAX(0,Collateral!M12-Waterfall!M8)/Waterfall!M14,0)</f>
        <v>2.21725069876627</v>
      </c>
      <c r="N9" s="31" t="n">
        <f aca="false">IFERROR(MAX(0,Collateral!N12-Waterfall!N8)/Waterfall!N14,0)</f>
        <v>2.15769640975224</v>
      </c>
      <c r="O9" s="31" t="n">
        <f aca="false">IFERROR(MAX(0,Collateral!O12-Waterfall!O8)/Waterfall!O14,0)</f>
        <v>2.37698649555177</v>
      </c>
      <c r="P9" s="31" t="n">
        <f aca="false">IFERROR(MAX(0,Collateral!P12-Waterfall!P8)/Waterfall!P14,0)</f>
        <v>2.9051192200253</v>
      </c>
      <c r="Q9" s="31" t="n">
        <f aca="false">IFERROR(MAX(0,Collateral!Q12-Waterfall!Q8)/Waterfall!Q14,0)</f>
        <v>3.96589132449726</v>
      </c>
      <c r="R9" s="31" t="n">
        <f aca="false">IFERROR(MAX(0,Collateral!R12-Waterfall!R8)/Waterfall!R14,0)</f>
        <v>7.17926023565837</v>
      </c>
      <c r="S9" s="31" t="n">
        <f aca="false">IFERROR(MAX(0,Collateral!S12-Waterfall!S8)/Waterfall!S14,0)</f>
        <v>0</v>
      </c>
      <c r="T9" s="31" t="n">
        <f aca="false">IFERROR(MAX(0,Collateral!T12-Waterfall!T8)/Waterfall!T14,0)</f>
        <v>0</v>
      </c>
      <c r="U9" s="31" t="n">
        <f aca="false">IFERROR(MAX(0,Collateral!U12-Waterfall!U8)/Waterfall!U14,0)</f>
        <v>0</v>
      </c>
      <c r="V9" s="31" t="n">
        <f aca="false">IFERROR(MAX(0,Collateral!V12-Waterfall!V8)/Waterfall!V14,0)</f>
        <v>0</v>
      </c>
      <c r="W9" s="31" t="n">
        <f aca="false">IFERROR(MAX(0,Collateral!W12-Waterfall!W8)/Waterfall!W14,0)</f>
        <v>0</v>
      </c>
      <c r="X9" s="31" t="n">
        <f aca="false">IFERROR(MAX(0,Collateral!X12-Waterfall!X8)/Waterfall!X14,0)</f>
        <v>0</v>
      </c>
      <c r="Y9" s="31" t="n">
        <f aca="false">IFERROR(MAX(0,Collateral!Y12-Waterfall!Y8)/Waterfall!Y14,0)</f>
        <v>0</v>
      </c>
      <c r="Z9" s="31" t="n">
        <f aca="false">IFERROR(MAX(0,Collateral!Z12-Waterfall!Z8)/Waterfall!Z14,0)</f>
        <v>0</v>
      </c>
    </row>
    <row r="10" customFormat="false" ht="15" hidden="false" customHeight="true" outlineLevel="0" collapsed="false">
      <c r="B10" s="1" t="s">
        <v>212</v>
      </c>
      <c r="C10" s="31" t="n">
        <f aca="false">Assumptions!$E$19</f>
        <v>1.15</v>
      </c>
      <c r="D10" s="31" t="n">
        <f aca="false">Assumptions!$E$19</f>
        <v>1.15</v>
      </c>
      <c r="E10" s="31" t="n">
        <f aca="false">Assumptions!$E$19</f>
        <v>1.15</v>
      </c>
      <c r="F10" s="31" t="n">
        <f aca="false">Assumptions!$E$19</f>
        <v>1.15</v>
      </c>
      <c r="G10" s="31" t="n">
        <f aca="false">Assumptions!$E$19</f>
        <v>1.15</v>
      </c>
      <c r="H10" s="31" t="n">
        <f aca="false">Assumptions!$E$19</f>
        <v>1.15</v>
      </c>
      <c r="I10" s="31" t="n">
        <f aca="false">Assumptions!$E$19</f>
        <v>1.15</v>
      </c>
      <c r="J10" s="31" t="n">
        <f aca="false">Assumptions!$E$19</f>
        <v>1.15</v>
      </c>
      <c r="K10" s="31" t="n">
        <f aca="false">Assumptions!$E$19</f>
        <v>1.15</v>
      </c>
      <c r="L10" s="31" t="n">
        <f aca="false">Assumptions!$E$19</f>
        <v>1.15</v>
      </c>
      <c r="M10" s="31" t="n">
        <f aca="false">Assumptions!$E$19</f>
        <v>1.15</v>
      </c>
      <c r="N10" s="31" t="n">
        <f aca="false">Assumptions!$E$19</f>
        <v>1.15</v>
      </c>
      <c r="O10" s="31" t="n">
        <f aca="false">Assumptions!$E$19</f>
        <v>1.15</v>
      </c>
      <c r="P10" s="31" t="n">
        <f aca="false">Assumptions!$E$19</f>
        <v>1.15</v>
      </c>
      <c r="Q10" s="31" t="n">
        <f aca="false">Assumptions!$E$19</f>
        <v>1.15</v>
      </c>
      <c r="R10" s="31" t="n">
        <f aca="false">Assumptions!$E$19</f>
        <v>1.15</v>
      </c>
      <c r="S10" s="31" t="n">
        <f aca="false">Assumptions!$E$19</f>
        <v>1.15</v>
      </c>
      <c r="T10" s="31" t="n">
        <f aca="false">Assumptions!$E$19</f>
        <v>1.15</v>
      </c>
      <c r="U10" s="31" t="n">
        <f aca="false">Assumptions!$E$19</f>
        <v>1.15</v>
      </c>
      <c r="V10" s="31" t="n">
        <f aca="false">Assumptions!$E$19</f>
        <v>1.15</v>
      </c>
      <c r="W10" s="31" t="n">
        <f aca="false">Assumptions!$E$19</f>
        <v>1.15</v>
      </c>
      <c r="X10" s="31" t="n">
        <f aca="false">Assumptions!$E$19</f>
        <v>1.15</v>
      </c>
      <c r="Y10" s="31" t="n">
        <f aca="false">Assumptions!$E$19</f>
        <v>1.15</v>
      </c>
      <c r="Z10" s="31" t="n">
        <f aca="false">Assumptions!$E$19</f>
        <v>1.15</v>
      </c>
    </row>
    <row r="11" customFormat="false" ht="15" hidden="false" customHeight="true" outlineLevel="0" collapsed="false">
      <c r="B11" s="1" t="s">
        <v>213</v>
      </c>
      <c r="C11" s="1" t="str">
        <f aca="false">IF(AND(C5&gt;=C6,C7&gt;=C8,C9&gt;=C10),"PASS","TRIGGER")</f>
        <v>PASS</v>
      </c>
      <c r="D11" s="1" t="str">
        <f aca="false">IF(AND(D5&gt;=D6,D7&gt;=D8,D9&gt;=D10),"PASS","TRIGGER")</f>
        <v>PASS</v>
      </c>
      <c r="E11" s="1" t="str">
        <f aca="false">IF(AND(E5&gt;=E6,E7&gt;=E8,E9&gt;=E10),"PASS","TRIGGER")</f>
        <v>PASS</v>
      </c>
      <c r="F11" s="1" t="str">
        <f aca="false">IF(AND(F5&gt;=F6,F7&gt;=F8,F9&gt;=F10),"PASS","TRIGGER")</f>
        <v>PASS</v>
      </c>
      <c r="G11" s="1" t="str">
        <f aca="false">IF(AND(G5&gt;=G6,G7&gt;=G8,G9&gt;=G10),"PASS","TRIGGER")</f>
        <v>PASS</v>
      </c>
      <c r="H11" s="1" t="str">
        <f aca="false">IF(AND(H5&gt;=H6,H7&gt;=H8,H9&gt;=H10),"PASS","TRIGGER")</f>
        <v>PASS</v>
      </c>
      <c r="I11" s="1" t="str">
        <f aca="false">IF(AND(I5&gt;=I6,I7&gt;=I8,I9&gt;=I10),"PASS","TRIGGER")</f>
        <v>PASS</v>
      </c>
      <c r="J11" s="1" t="str">
        <f aca="false">IF(AND(J5&gt;=J6,J7&gt;=J8,J9&gt;=J10),"PASS","TRIGGER")</f>
        <v>PASS</v>
      </c>
      <c r="K11" s="1" t="str">
        <f aca="false">IF(AND(K5&gt;=K6,K7&gt;=K8,K9&gt;=K10),"PASS","TRIGGER")</f>
        <v>PASS</v>
      </c>
      <c r="L11" s="1" t="str">
        <f aca="false">IF(AND(L5&gt;=L6,L7&gt;=L8,L9&gt;=L10),"PASS","TRIGGER")</f>
        <v>PASS</v>
      </c>
      <c r="M11" s="1" t="str">
        <f aca="false">IF(AND(M5&gt;=M6,M7&gt;=M8,M9&gt;=M10),"PASS","TRIGGER")</f>
        <v>PASS</v>
      </c>
      <c r="N11" s="1" t="str">
        <f aca="false">IF(AND(N5&gt;=N6,N7&gt;=N8,N9&gt;=N10),"PASS","TRIGGER")</f>
        <v>PASS</v>
      </c>
      <c r="O11" s="1" t="str">
        <f aca="false">IF(AND(O5&gt;=O6,O7&gt;=O8,O9&gt;=O10),"PASS","TRIGGER")</f>
        <v>TRIGGER</v>
      </c>
      <c r="P11" s="1" t="str">
        <f aca="false">IF(AND(P5&gt;=P6,P7&gt;=P8,P9&gt;=P10),"PASS","TRIGGER")</f>
        <v>TRIGGER</v>
      </c>
      <c r="Q11" s="1" t="str">
        <f aca="false">IF(AND(Q5&gt;=Q6,Q7&gt;=Q8,Q9&gt;=Q10),"PASS","TRIGGER")</f>
        <v>TRIGGER</v>
      </c>
      <c r="R11" s="1" t="str">
        <f aca="false">IF(AND(R5&gt;=R6,R7&gt;=R8,R9&gt;=R10),"PASS","TRIGGER")</f>
        <v>TRIGGER</v>
      </c>
      <c r="S11" s="1" t="str">
        <f aca="false">IF(AND(S5&gt;=S6,S7&gt;=S8,S9&gt;=S10),"PASS","TRIGGER")</f>
        <v>TRIGGER</v>
      </c>
      <c r="T11" s="1" t="str">
        <f aca="false">IF(AND(T5&gt;=T6,T7&gt;=T8,T9&gt;=T10),"PASS","TRIGGER")</f>
        <v>TRIGGER</v>
      </c>
      <c r="U11" s="1" t="str">
        <f aca="false">IF(AND(U5&gt;=U6,U7&gt;=U8,U9&gt;=U10),"PASS","TRIGGER")</f>
        <v>TRIGGER</v>
      </c>
      <c r="V11" s="1" t="str">
        <f aca="false">IF(AND(V5&gt;=V6,V7&gt;=V8,V9&gt;=V10),"PASS","TRIGGER")</f>
        <v>TRIGGER</v>
      </c>
      <c r="W11" s="1" t="str">
        <f aca="false">IF(AND(W5&gt;=W6,W7&gt;=W8,W9&gt;=W10),"PASS","TRIGGER")</f>
        <v>TRIGGER</v>
      </c>
      <c r="X11" s="1" t="str">
        <f aca="false">IF(AND(X5&gt;=X6,X7&gt;=X8,X9&gt;=X10),"PASS","TRIGGER")</f>
        <v>TRIGGER</v>
      </c>
      <c r="Y11" s="1" t="str">
        <f aca="false">IF(AND(Y5&gt;=Y6,Y7&gt;=Y8,Y9&gt;=Y10),"PASS","TRIGGER")</f>
        <v>TRIGGER</v>
      </c>
      <c r="Z11" s="1" t="str">
        <f aca="false">IF(AND(Z5&gt;=Z6,Z7&gt;=Z8,Z9&gt;=Z10),"PASS","TRIGGER")</f>
        <v>TRIGGER</v>
      </c>
    </row>
  </sheetData>
  <mergeCells count="1">
    <mergeCell ref="B2:Z2"/>
  </mergeCells>
  <conditionalFormatting sqref="C11:Z11">
    <cfRule type="expression" priority="2" aboveAverage="0" equalAverage="0" bottom="0" percent="0" rank="0" text="" dxfId="0">
      <formula>C11="PASS"</formula>
    </cfRule>
    <cfRule type="expression" priority="3" aboveAverage="0" equalAverage="0" bottom="0" percent="0" rank="0" text="" dxfId="1">
      <formula>C11="FAIL"</formula>
    </cfRule>
    <cfRule type="expression" priority="4" aboveAverage="0" equalAverage="0" bottom="0" percent="0" rank="0" text="" dxfId="2">
      <formula>C11="REVIEW"</formula>
    </cfRule>
    <cfRule type="expression" priority="5" aboveAverage="0" equalAverage="0" bottom="0" percent="0" rank="0" text="" dxfId="1">
      <formula>C11="BREACH"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6" min="6" style="1" width="38"/>
  </cols>
  <sheetData>
    <row r="2" customFormat="false" ht="27.75" hidden="false" customHeight="true" outlineLevel="0" collapsed="false">
      <c r="B2" s="2" t="s">
        <v>214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207</v>
      </c>
      <c r="C4" s="16" t="s">
        <v>215</v>
      </c>
      <c r="D4" s="16" t="s">
        <v>216</v>
      </c>
      <c r="E4" s="16" t="s">
        <v>217</v>
      </c>
      <c r="F4" s="16" t="s">
        <v>218</v>
      </c>
    </row>
    <row r="5" customFormat="false" ht="15" hidden="false" customHeight="true" outlineLevel="0" collapsed="false">
      <c r="B5" s="1" t="s">
        <v>219</v>
      </c>
      <c r="C5" s="27" t="n">
        <f aca="false">Assumptions!E12</f>
        <v>650</v>
      </c>
      <c r="D5" s="27" t="n">
        <f aca="false">Assumptions!E14</f>
        <v>220</v>
      </c>
      <c r="E5" s="27" t="n">
        <f aca="false">Assumptions!E5-Assumptions!E12-Assumptions!E14</f>
        <v>330</v>
      </c>
      <c r="F5" s="1" t="s">
        <v>220</v>
      </c>
    </row>
    <row r="6" customFormat="false" ht="15" hidden="false" customHeight="true" outlineLevel="0" collapsed="false">
      <c r="B6" s="1" t="s">
        <v>221</v>
      </c>
      <c r="C6" s="27" t="n">
        <f aca="false">Waterfall!Z12</f>
        <v>0</v>
      </c>
      <c r="D6" s="27" t="n">
        <f aca="false">Waterfall!Z18</f>
        <v>0</v>
      </c>
      <c r="E6" s="27" t="n">
        <f aca="false">0</f>
        <v>0</v>
      </c>
      <c r="F6" s="1" t="s">
        <v>222</v>
      </c>
    </row>
    <row r="7" customFormat="false" ht="15" hidden="false" customHeight="true" outlineLevel="0" collapsed="false">
      <c r="B7" s="1" t="s">
        <v>223</v>
      </c>
      <c r="C7" s="27" t="n">
        <f aca="false">SUM(Waterfall!C11:Z11)</f>
        <v>650</v>
      </c>
      <c r="D7" s="27" t="n">
        <f aca="false">SUM(Waterfall!C17:Z17)</f>
        <v>220</v>
      </c>
      <c r="E7" s="27" t="n">
        <f aca="false">0</f>
        <v>0</v>
      </c>
      <c r="F7" s="1" t="s">
        <v>224</v>
      </c>
    </row>
    <row r="8" customFormat="false" ht="15" hidden="false" customHeight="true" outlineLevel="0" collapsed="false">
      <c r="B8" s="1" t="s">
        <v>225</v>
      </c>
      <c r="C8" s="27" t="n">
        <f aca="false">SUM(Waterfall!C9:Z9)</f>
        <v>16.0090923579034</v>
      </c>
      <c r="D8" s="27" t="n">
        <f aca="false">SUM(Waterfall!C15:Z15)</f>
        <v>20.6393776988246</v>
      </c>
      <c r="E8" s="27" t="n">
        <f aca="false">SUM(Waterfall!C19:Z19)</f>
        <v>371.583209197751</v>
      </c>
      <c r="F8" s="1" t="s">
        <v>226</v>
      </c>
    </row>
    <row r="9" customFormat="false" ht="15" hidden="false" customHeight="true" outlineLevel="0" collapsed="false">
      <c r="B9" s="1" t="s">
        <v>227</v>
      </c>
      <c r="C9" s="31" t="n">
        <f aca="false">SUMPRODUCT(COLUMN(Waterfall!C11:Z11)-COLUMN(Waterfall!B11),Waterfall!C11:Z11)/Assumptions!E20/SUM(Waterfall!C11:Z11)</f>
        <v>0.492587457166259</v>
      </c>
      <c r="D9" s="31" t="n">
        <f aca="false">SUMPRODUCT(COLUMN(Waterfall!C17:Z17)-COLUMN(Waterfall!B17),Waterfall!C17:Z17)/Assumptions!E20/SUM(Waterfall!C17:Z17)</f>
        <v>1.17269191470594</v>
      </c>
      <c r="E9" s="31" t="n">
        <f aca="false">0</f>
        <v>0</v>
      </c>
      <c r="F9" s="1" t="s">
        <v>228</v>
      </c>
    </row>
    <row r="10" customFormat="false" ht="15" hidden="false" customHeight="true" outlineLevel="0" collapsed="false">
      <c r="B10" s="1" t="s">
        <v>229</v>
      </c>
      <c r="C10" s="27" t="n">
        <f aca="false">SUM(Waterfall!C10:Z10)</f>
        <v>0</v>
      </c>
      <c r="D10" s="27" t="n">
        <f aca="false">SUM(Waterfall!C16:Z16)</f>
        <v>0</v>
      </c>
      <c r="E10" s="27" t="n">
        <f aca="false">0</f>
        <v>0</v>
      </c>
      <c r="F10" s="1" t="s">
        <v>230</v>
      </c>
    </row>
    <row r="11" customFormat="false" ht="15" hidden="false" customHeight="true" outlineLevel="0" collapsed="false">
      <c r="B11" s="1" t="s">
        <v>231</v>
      </c>
      <c r="C11" s="27" t="n">
        <f aca="false">Waterfall!Z12</f>
        <v>0</v>
      </c>
      <c r="D11" s="27" t="n">
        <f aca="false">Waterfall!Z18</f>
        <v>0</v>
      </c>
      <c r="E11" s="27" t="n">
        <f aca="false">MAX(0,Collateral!Z14-Waterfall!Z12-Waterfall!Z18)</f>
        <v>0</v>
      </c>
      <c r="F11" s="1" t="s">
        <v>232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234</v>
      </c>
      <c r="C4" s="32" t="n">
        <v>0</v>
      </c>
      <c r="D4" s="32" t="n">
        <v>0.06</v>
      </c>
      <c r="E4" s="32" t="n">
        <v>0.12</v>
      </c>
      <c r="F4" s="32" t="n">
        <v>0.18</v>
      </c>
      <c r="G4" s="32" t="n">
        <v>0.24</v>
      </c>
    </row>
    <row r="5" customFormat="false" ht="15" hidden="false" customHeight="true" outlineLevel="0" collapsed="false">
      <c r="B5" s="33" t="n">
        <v>0</v>
      </c>
      <c r="C5" s="27" t="n">
        <f aca="false">MAX(0,Assumptions!$E$12-Assumptions!$E$5*(1-(1-$B5)^(2))*(1-Assumptions!$E$9)-Assumptions!$E$5*(1-(1-C$4)^2))</f>
        <v>650</v>
      </c>
      <c r="D5" s="27" t="n">
        <f aca="false">MAX(0,Assumptions!$E$12-Assumptions!$E$5*(1-(1-$B5)^(2))*(1-Assumptions!$E$9)-Assumptions!$E$5*(1-(1-D$4)^2))</f>
        <v>510.32</v>
      </c>
      <c r="E5" s="27" t="n">
        <f aca="false">MAX(0,Assumptions!$E$12-Assumptions!$E$5*(1-(1-$B5)^(2))*(1-Assumptions!$E$9)-Assumptions!$E$5*(1-(1-E$4)^2))</f>
        <v>379.28</v>
      </c>
      <c r="F5" s="27" t="n">
        <f aca="false">MAX(0,Assumptions!$E$12-Assumptions!$E$5*(1-(1-$B5)^(2))*(1-Assumptions!$E$9)-Assumptions!$E$5*(1-(1-F$4)^2))</f>
        <v>256.88</v>
      </c>
      <c r="G5" s="27" t="n">
        <f aca="false">MAX(0,Assumptions!$E$12-Assumptions!$E$5*(1-(1-$B5)^(2))*(1-Assumptions!$E$9)-Assumptions!$E$5*(1-(1-G$4)^2))</f>
        <v>143.12</v>
      </c>
    </row>
    <row r="6" customFormat="false" ht="15" hidden="false" customHeight="true" outlineLevel="0" collapsed="false">
      <c r="B6" s="33" t="n">
        <v>0.03</v>
      </c>
      <c r="C6" s="27" t="n">
        <f aca="false">MAX(0,Assumptions!$E$12-Assumptions!$E$5*(1-(1-$B6)^(2))*(1-Assumptions!$E$9)-Assumptions!$E$5*(1-(1-C$4)^2))</f>
        <v>614.54</v>
      </c>
      <c r="D6" s="27" t="n">
        <f aca="false">MAX(0,Assumptions!$E$12-Assumptions!$E$5*(1-(1-$B6)^(2))*(1-Assumptions!$E$9)-Assumptions!$E$5*(1-(1-D$4)^2))</f>
        <v>474.86</v>
      </c>
      <c r="E6" s="27" t="n">
        <f aca="false">MAX(0,Assumptions!$E$12-Assumptions!$E$5*(1-(1-$B6)^(2))*(1-Assumptions!$E$9)-Assumptions!$E$5*(1-(1-E$4)^2))</f>
        <v>343.82</v>
      </c>
      <c r="F6" s="27" t="n">
        <f aca="false">MAX(0,Assumptions!$E$12-Assumptions!$E$5*(1-(1-$B6)^(2))*(1-Assumptions!$E$9)-Assumptions!$E$5*(1-(1-F$4)^2))</f>
        <v>221.42</v>
      </c>
      <c r="G6" s="27" t="n">
        <f aca="false">MAX(0,Assumptions!$E$12-Assumptions!$E$5*(1-(1-$B6)^(2))*(1-Assumptions!$E$9)-Assumptions!$E$5*(1-(1-G$4)^2))</f>
        <v>107.66</v>
      </c>
    </row>
    <row r="7" customFormat="false" ht="15" hidden="false" customHeight="true" outlineLevel="0" collapsed="false">
      <c r="B7" s="33" t="n">
        <v>0.06</v>
      </c>
      <c r="C7" s="27" t="n">
        <f aca="false">MAX(0,Assumptions!$E$12-Assumptions!$E$5*(1-(1-$B7)^(2))*(1-Assumptions!$E$9)-Assumptions!$E$5*(1-(1-C$4)^2))</f>
        <v>580.16</v>
      </c>
      <c r="D7" s="27" t="n">
        <f aca="false">MAX(0,Assumptions!$E$12-Assumptions!$E$5*(1-(1-$B7)^(2))*(1-Assumptions!$E$9)-Assumptions!$E$5*(1-(1-D$4)^2))</f>
        <v>440.48</v>
      </c>
      <c r="E7" s="27" t="n">
        <f aca="false">MAX(0,Assumptions!$E$12-Assumptions!$E$5*(1-(1-$B7)^(2))*(1-Assumptions!$E$9)-Assumptions!$E$5*(1-(1-E$4)^2))</f>
        <v>309.44</v>
      </c>
      <c r="F7" s="27" t="n">
        <f aca="false">MAX(0,Assumptions!$E$12-Assumptions!$E$5*(1-(1-$B7)^(2))*(1-Assumptions!$E$9)-Assumptions!$E$5*(1-(1-F$4)^2))</f>
        <v>187.04</v>
      </c>
      <c r="G7" s="27" t="n">
        <f aca="false">MAX(0,Assumptions!$E$12-Assumptions!$E$5*(1-(1-$B7)^(2))*(1-Assumptions!$E$9)-Assumptions!$E$5*(1-(1-G$4)^2))</f>
        <v>73.28</v>
      </c>
    </row>
    <row r="8" customFormat="false" ht="15" hidden="false" customHeight="true" outlineLevel="0" collapsed="false">
      <c r="B8" s="33" t="n">
        <v>0.09</v>
      </c>
      <c r="C8" s="27" t="n">
        <f aca="false">MAX(0,Assumptions!$E$12-Assumptions!$E$5*(1-(1-$B8)^(2))*(1-Assumptions!$E$9)-Assumptions!$E$5*(1-(1-C$4)^2))</f>
        <v>546.86</v>
      </c>
      <c r="D8" s="27" t="n">
        <f aca="false">MAX(0,Assumptions!$E$12-Assumptions!$E$5*(1-(1-$B8)^(2))*(1-Assumptions!$E$9)-Assumptions!$E$5*(1-(1-D$4)^2))</f>
        <v>407.18</v>
      </c>
      <c r="E8" s="27" t="n">
        <f aca="false">MAX(0,Assumptions!$E$12-Assumptions!$E$5*(1-(1-$B8)^(2))*(1-Assumptions!$E$9)-Assumptions!$E$5*(1-(1-E$4)^2))</f>
        <v>276.14</v>
      </c>
      <c r="F8" s="27" t="n">
        <f aca="false">MAX(0,Assumptions!$E$12-Assumptions!$E$5*(1-(1-$B8)^(2))*(1-Assumptions!$E$9)-Assumptions!$E$5*(1-(1-F$4)^2))</f>
        <v>153.74</v>
      </c>
      <c r="G8" s="27" t="n">
        <f aca="false">MAX(0,Assumptions!$E$12-Assumptions!$E$5*(1-(1-$B8)^(2))*(1-Assumptions!$E$9)-Assumptions!$E$5*(1-(1-G$4)^2))</f>
        <v>39.98</v>
      </c>
    </row>
    <row r="9" customFormat="false" ht="15" hidden="false" customHeight="true" outlineLevel="0" collapsed="false">
      <c r="B9" s="33" t="n">
        <v>0.12</v>
      </c>
      <c r="C9" s="27" t="n">
        <f aca="false">MAX(0,Assumptions!$E$12-Assumptions!$E$5*(1-(1-$B9)^(2))*(1-Assumptions!$E$9)-Assumptions!$E$5*(1-(1-C$4)^2))</f>
        <v>514.64</v>
      </c>
      <c r="D9" s="27" t="n">
        <f aca="false">MAX(0,Assumptions!$E$12-Assumptions!$E$5*(1-(1-$B9)^(2))*(1-Assumptions!$E$9)-Assumptions!$E$5*(1-(1-D$4)^2))</f>
        <v>374.96</v>
      </c>
      <c r="E9" s="27" t="n">
        <f aca="false">MAX(0,Assumptions!$E$12-Assumptions!$E$5*(1-(1-$B9)^(2))*(1-Assumptions!$E$9)-Assumptions!$E$5*(1-(1-E$4)^2))</f>
        <v>243.92</v>
      </c>
      <c r="F9" s="27" t="n">
        <f aca="false">MAX(0,Assumptions!$E$12-Assumptions!$E$5*(1-(1-$B9)^(2))*(1-Assumptions!$E$9)-Assumptions!$E$5*(1-(1-F$4)^2))</f>
        <v>121.52</v>
      </c>
      <c r="G9" s="27" t="n">
        <f aca="false">MAX(0,Assumptions!$E$12-Assumptions!$E$5*(1-(1-$B9)^(2))*(1-Assumptions!$E$9)-Assumptions!$E$5*(1-(1-G$4)^2))</f>
        <v>7.75999999999999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8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235</v>
      </c>
      <c r="C2" s="2"/>
    </row>
    <row r="4" customFormat="false" ht="15" hidden="false" customHeight="true" outlineLevel="0" collapsed="false">
      <c r="B4" s="16" t="s">
        <v>236</v>
      </c>
      <c r="C4" s="16" t="s">
        <v>44</v>
      </c>
    </row>
    <row r="5" customFormat="false" ht="15" hidden="false" customHeight="true" outlineLevel="0" collapsed="false">
      <c r="B5" s="1" t="s">
        <v>237</v>
      </c>
      <c r="C5" s="1" t="str">
        <f aca="false">IF(MIN(Collateral!C14:Z14)&gt;=0,"PASS","FAIL")</f>
        <v>PASS</v>
      </c>
    </row>
    <row r="6" customFormat="false" ht="15" hidden="false" customHeight="true" outlineLevel="0" collapsed="false">
      <c r="B6" s="1" t="s">
        <v>238</v>
      </c>
      <c r="C6" s="1" t="str">
        <f aca="false">IF(MIN(Waterfall!C12:Z12)&gt;=0,"PASS","FAIL")</f>
        <v>PASS</v>
      </c>
    </row>
    <row r="7" customFormat="false" ht="15" hidden="false" customHeight="true" outlineLevel="0" collapsed="false">
      <c r="B7" s="1" t="s">
        <v>239</v>
      </c>
      <c r="C7" s="1" t="str">
        <f aca="false">IF(MIN(Waterfall!C18:Z18)&gt;=0,"PASS","FAIL")</f>
        <v>PASS</v>
      </c>
    </row>
    <row r="8" customFormat="false" ht="15" hidden="false" customHeight="true" outlineLevel="0" collapsed="false">
      <c r="B8" s="1" t="s">
        <v>240</v>
      </c>
      <c r="C8" s="1" t="str">
        <f aca="false">IF(MAX(ABS(Collateral!C5:Z5-Collateral!C6:Z6-Collateral!C7:Z7-Collateral!C9:Z9-Collateral!C14:Z14))&lt;0.000001,"PASS","FAIL")</f>
        <v>PASS</v>
      </c>
    </row>
    <row r="9" customFormat="false" ht="15" hidden="false" customHeight="true" outlineLevel="0" collapsed="false">
      <c r="B9" s="1" t="s">
        <v>241</v>
      </c>
      <c r="C9" s="1" t="str">
        <f aca="false">IF(MAX(ABS(Collateral!C12:Z12+Collateral!C8:Z8-Waterfall!C9:Z9-Waterfall!C15:Z15-(Waterfall!C19:Z19-MAX(0,Waterfall!C6:Z6-Waterfall!C11:Z11-Waterfall!C17:Z17))))&lt;0.000001,"PASS","REVIEW")</f>
        <v>PASS</v>
      </c>
    </row>
    <row r="10" customFormat="false" ht="15" hidden="false" customHeight="true" outlineLevel="0" collapsed="false">
      <c r="B10" s="1" t="s">
        <v>242</v>
      </c>
      <c r="C10" s="1" t="str">
        <f aca="false">IF(COUNTIF(Triggers!C11:Z11,"TRIGGER")=0,"PASS","REVIEW")</f>
        <v>REVIEW</v>
      </c>
    </row>
    <row r="11" customFormat="false" ht="15" hidden="false" customHeight="true" outlineLevel="0" collapsed="false">
      <c r="B11" s="1" t="s">
        <v>243</v>
      </c>
      <c r="C11" s="1" t="str">
        <f aca="false">IF(AND(MIN('Loss Curves'!C7:Z9)&gt;=0,MAX('Loss Curves'!C7:Z9)&lt;=1),"PASS","FAIL")</f>
        <v>PASS</v>
      </c>
    </row>
    <row r="12" customFormat="false" ht="15" hidden="false" customHeight="true" outlineLevel="0" collapsed="false">
      <c r="B12" s="1" t="s">
        <v>244</v>
      </c>
      <c r="C12" s="1" t="str">
        <f aca="false">IF(COUNTIF(C5:C11,"FAIL")=0,"PASS","FAIL")</f>
        <v>PASS</v>
      </c>
    </row>
  </sheetData>
  <mergeCells count="1">
    <mergeCell ref="B2:C2"/>
  </mergeCells>
  <conditionalFormatting sqref="C5:C12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4" t="s">
        <v>249</v>
      </c>
      <c r="C5" s="34" t="s">
        <v>250</v>
      </c>
      <c r="D5" s="34" t="s">
        <v>8</v>
      </c>
      <c r="E5" s="34" t="s">
        <v>251</v>
      </c>
    </row>
    <row r="6" customFormat="false" ht="15" hidden="false" customHeight="true" outlineLevel="0" collapsed="false">
      <c r="B6" s="34" t="s">
        <v>252</v>
      </c>
      <c r="C6" s="34" t="s">
        <v>253</v>
      </c>
      <c r="D6" s="34" t="s">
        <v>254</v>
      </c>
      <c r="E6" s="34" t="s">
        <v>255</v>
      </c>
    </row>
    <row r="7" customFormat="false" ht="15" hidden="false" customHeight="true" outlineLevel="0" collapsed="false">
      <c r="B7" s="34" t="s">
        <v>256</v>
      </c>
      <c r="C7" s="34" t="s">
        <v>257</v>
      </c>
      <c r="D7" s="34" t="s">
        <v>258</v>
      </c>
      <c r="E7" s="34" t="s">
        <v>259</v>
      </c>
    </row>
    <row r="8" customFormat="false" ht="15" hidden="false" customHeight="true" outlineLevel="0" collapsed="false">
      <c r="B8" s="34" t="s">
        <v>260</v>
      </c>
      <c r="C8" s="34" t="s">
        <v>261</v>
      </c>
      <c r="D8" s="34" t="s">
        <v>8</v>
      </c>
      <c r="E8" s="34" t="s">
        <v>262</v>
      </c>
    </row>
    <row r="9" customFormat="false" ht="15" hidden="false" customHeight="true" outlineLevel="0" collapsed="false">
      <c r="B9" s="34" t="s">
        <v>263</v>
      </c>
      <c r="C9" s="34" t="s">
        <v>264</v>
      </c>
      <c r="D9" s="34" t="s">
        <v>8</v>
      </c>
      <c r="E9" s="34" t="s">
        <v>265</v>
      </c>
    </row>
    <row r="10" customFormat="false" ht="15" hidden="false" customHeight="false" outlineLevel="0" collapsed="false">
      <c r="B10" s="35" t="s">
        <v>266</v>
      </c>
      <c r="C10" s="35" t="s">
        <v>267</v>
      </c>
      <c r="D10" s="35" t="s">
        <v>6</v>
      </c>
      <c r="E10" s="35" t="s">
        <v>268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269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270</v>
      </c>
      <c r="D4" s="16" t="s">
        <v>271</v>
      </c>
      <c r="E4" s="16" t="s">
        <v>272</v>
      </c>
      <c r="F4" s="16" t="s">
        <v>273</v>
      </c>
      <c r="G4" s="16" t="s">
        <v>274</v>
      </c>
    </row>
    <row r="5" customFormat="false" ht="15" hidden="false" customHeight="true" outlineLevel="0" collapsed="false">
      <c r="B5" s="36" t="s">
        <v>6</v>
      </c>
      <c r="C5" s="36" t="s">
        <v>275</v>
      </c>
      <c r="D5" s="36" t="s">
        <v>267</v>
      </c>
      <c r="E5" s="36" t="s">
        <v>276</v>
      </c>
      <c r="F5" s="36" t="s">
        <v>277</v>
      </c>
      <c r="G5" s="36" t="s">
        <v>278</v>
      </c>
    </row>
    <row r="6" customFormat="false" ht="15" hidden="false" customHeight="true" outlineLevel="0" collapsed="false">
      <c r="B6" s="36"/>
      <c r="C6" s="36"/>
      <c r="D6" s="36"/>
      <c r="E6" s="36"/>
      <c r="F6" s="36"/>
      <c r="G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</row>
    <row r="8" customFormat="false" ht="15" hidden="false" customHeight="true" outlineLevel="0" collapsed="false">
      <c r="B8" s="36"/>
      <c r="C8" s="36"/>
      <c r="D8" s="36"/>
      <c r="E8" s="36"/>
      <c r="F8" s="36"/>
      <c r="G8" s="36"/>
    </row>
    <row r="9" customFormat="false" ht="15" hidden="false" customHeight="true" outlineLevel="0" collapsed="false">
      <c r="B9" s="36"/>
      <c r="C9" s="36"/>
      <c r="D9" s="36"/>
      <c r="E9" s="36"/>
      <c r="F9" s="36"/>
      <c r="G9" s="36"/>
    </row>
    <row r="10" customFormat="false" ht="15" hidden="false" customHeight="tru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tru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tru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tru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tru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tru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tru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tru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tru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tru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tru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tru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tru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tru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tru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tru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tru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tru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tru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