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Collateral" sheetId="3" state="visible" r:id="rId5"/>
    <sheet name="Loss Curves" sheetId="4" state="visible" r:id="rId6"/>
    <sheet name="Waterfall" sheetId="5" state="visible" r:id="rId7"/>
    <sheet name="Triggers" sheetId="6" state="visible" r:id="rId8"/>
    <sheet name="Tranche Analytics" sheetId="7" state="visible" r:id="rId9"/>
    <sheet name="Sensitivity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<sst xmlns="http://schemas.openxmlformats.org/spreadsheetml/2006/main" count="270" uniqueCount="177">
  <si>
    <t xml:space="preserve">[TRANSACTION] — Structured Credit Model</t>
  </si>
  <si>
    <t xml:space="preserve">Transaction / collateral:</t>
  </si>
  <si>
    <t xml:space="preserve">ABS / RMBS / CMBS / CLO / specialty</t>
  </si>
  <si>
    <t xml:space="preserve">Cut-off / payment date:</t>
  </si>
  <si>
    <t xml:space="preserve">[dates]</t>
  </si>
  <si>
    <t xml:space="preserve">Last refreshed:</t>
  </si>
  <si>
    <t xml:space="preserve">[date]</t>
  </si>
  <si>
    <t xml:space="preserve">Next distribution / trigger date:</t>
  </si>
  <si>
    <t xml:space="preserve">Refresh cadence:</t>
  </si>
  <si>
    <t xml:space="preserve">Monthly and on servicer reports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</si>
  <si>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</si>
  <si>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</si>
  <si>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</si>
  <si>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</si>
  <si>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</si>
  <si>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</si>
  <si>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</si>
  <si>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</si>
  <si>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</si>
  <si>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</si>
  <si>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</si>
  <si>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</si>
  <si>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</si>
  <si>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Collateral and Capital Structure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</si>
  <si>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</si>
  <si>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</si>
  <si>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</si>
  <si>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</si>
  <si>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</si>
  <si>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</si>
  <si>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</si>
  <si>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</si>
  <si>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</si>
  <si>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</si>
  <si>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</si>
  <si>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</si>
  <si>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</si>
  <si>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</si>
  <si>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</si>
  <si>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</si>
  <si>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</si>
  <si>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</si>
  <si>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</si>
  <si>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</si>
  <si>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</si>
  <si>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</si>
  <si>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</si>
  <si>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</si>
  <si>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</si>
  <si>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</si>
  <si>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</si>
  <si>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</si>
  <si>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</si>
  <si>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</si>
  <si>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</si>
  <si>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</si>
  <si>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</si>
  <si>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</si>
  <si>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</si>
  <si>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</si>
  <si>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</si>
  <si>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</si>
  <si>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</si>
  <si>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</si>
  <si>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</si>
  <si>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</si>
  <si>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</si>
  <si>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</si>
  <si>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</si>
  <si>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</si>
  <si>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</si>
  <si>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</si>
  <si>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</si>
  <si>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</si>
  <si>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</si>
  <si>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</si>
  <si>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</si>
  <si>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</si>
  <si>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</si>
  <si>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</si>
  <si>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</si>
  <si>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</si>
  <si>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</si>
  <si>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</si>
  <si>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</si>
  <si>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</si>
  <si>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</si>
  <si>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</si>
  <si>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</si>
  <si>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</si>
  <si>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</si>
  <si>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</si>
  <si>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</si>
  <si>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</si>
  <si>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</si>
  <si>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</si>
  <si>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</si>
  <si>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</si>
  <si>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</si>
  <si>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</si>
  <si>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</si>
  <si>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</si>
  <si>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</si>
  <si>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</si>
  <si>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</si>
  <si>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</si>
  <si>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</si>
  <si>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</si>
  <si>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</si>
  <si>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</si>
  <si>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</si>
  <si>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</si>
  <si>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</si>
  <si>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</si>
  <si>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</si>
  <si>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</si>
  <si>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</si>
  <si>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</si>
  <si>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</si>
  <si>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</si>
  <si>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</si>
  <si>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</si>
  <si>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</si>
  <si>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</si>
  <si>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</si>
  <si>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</si>
  <si>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</si>
  <si>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</si>
  <si>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</si>
  <si>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</si>
  <si>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</si>
  <si>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</si>
  <si>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</si>
  <si>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</si>
  <si>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</si>
  <si>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</si>
  <si>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</si>
  <si>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</si>
  <si>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</si>
  <si>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Status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</si>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</sst>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23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24</v>
      </c>
      <c r="C4" s="8" t="s">
        <v>11</v>
      </c>
      <c r="D4" s="8" t="s">
        <v>25</v>
      </c>
      <c r="E4" s="8" t="s">
        <v>26</v>
      </c>
      <c r="F4" s="8" t="s">
        <v>27</v>
      </c>
    </row>
    <row r="5" customFormat="false" ht="15" hidden="false" customHeight="false" outlineLevel="0" collapsed="false">
      <c r="B5" s="0" t="s">
        <v>28</v>
      </c>
      <c r="C5" s="9" t="n">
        <v>1000</v>
      </c>
      <c r="D5" s="9" t="n">
        <v>1000</v>
      </c>
      <c r="E5" s="10" t="n">
        <f aca="false">IF(Cover!$C$9="Downside",D5,C5)</f>
        <v>1000</v>
      </c>
      <c r="F5" s="11" t="s">
        <v>29</v>
      </c>
    </row>
    <row r="6" customFormat="false" ht="15" hidden="false" customHeight="false" outlineLevel="0" collapsed="false">
      <c r="B6" s="0" t="s">
        <v>30</v>
      </c>
      <c r="C6" s="12" t="n">
        <v>0.08</v>
      </c>
      <c r="D6" s="12" t="n">
        <v>0.075</v>
      </c>
      <c r="E6" s="13" t="n">
        <f aca="false">IF(Cover!$C$9="Downside",D6,C6)</f>
        <v>0.08</v>
      </c>
      <c r="F6" s="11" t="s">
        <v>31</v>
      </c>
    </row>
    <row r="7" customFormat="false" ht="15" hidden="false" customHeight="false" outlineLevel="0" collapsed="false">
      <c r="B7" s="0" t="s">
        <v>32</v>
      </c>
      <c r="C7" s="12" t="n">
        <v>0.12</v>
      </c>
      <c r="D7" s="12" t="n">
        <v>0.06</v>
      </c>
      <c r="E7" s="13" t="n">
        <f aca="false">IF(Cover!$C$9="Downside",D7,C7)</f>
        <v>0.12</v>
      </c>
      <c r="F7" s="11" t="s">
        <v>31</v>
      </c>
    </row>
    <row r="8" customFormat="false" ht="15" hidden="false" customHeight="false" outlineLevel="0" collapsed="false">
      <c r="B8" s="0" t="s">
        <v>33</v>
      </c>
      <c r="C8" s="12" t="n">
        <v>0.025</v>
      </c>
      <c r="D8" s="12" t="n">
        <v>0.08</v>
      </c>
      <c r="E8" s="13" t="n">
        <f aca="false">IF(Cover!$C$9="Downside",D8,C8)</f>
        <v>0.025</v>
      </c>
      <c r="F8" s="11" t="s">
        <v>31</v>
      </c>
    </row>
    <row r="9" customFormat="false" ht="15" hidden="false" customHeight="false" outlineLevel="0" collapsed="false">
      <c r="B9" s="0" t="s">
        <v>34</v>
      </c>
      <c r="C9" s="12" t="n">
        <v>0.45</v>
      </c>
      <c r="D9" s="12" t="n">
        <v>0.25</v>
      </c>
      <c r="E9" s="13" t="n">
        <f aca="false">IF(Cover!$C$9="Downside",D9,C9)</f>
        <v>0.45</v>
      </c>
      <c r="F9" s="11" t="s">
        <v>31</v>
      </c>
    </row>
    <row r="10" customFormat="false" ht="15" hidden="false" customHeight="false" outlineLevel="0" collapsed="false">
      <c r="B10" s="0" t="s">
        <v>35</v>
      </c>
      <c r="C10" s="14" t="n">
        <v>3</v>
      </c>
      <c r="D10" s="14" t="n">
        <v>6</v>
      </c>
      <c r="E10" s="15" t="n">
        <f aca="false">IF(Cover!$C$9="Downside",D10,C10)</f>
        <v>3</v>
      </c>
      <c r="F10" s="11" t="s">
        <v>36</v>
      </c>
    </row>
    <row r="11" customFormat="false" ht="15" hidden="false" customHeight="false" outlineLevel="0" collapsed="false">
      <c r="B11" s="0" t="s">
        <v>37</v>
      </c>
      <c r="C11" s="12" t="n">
        <v>0.01</v>
      </c>
      <c r="D11" s="12" t="n">
        <v>0.012</v>
      </c>
      <c r="E11" s="13" t="n">
        <f aca="false">IF(Cover!$C$9="Downside",D11,C11)</f>
        <v>0.01</v>
      </c>
      <c r="F11" s="11" t="s">
        <v>38</v>
      </c>
    </row>
    <row r="12" customFormat="false" ht="15" hidden="false" customHeight="false" outlineLevel="0" collapsed="false">
      <c r="B12" s="0" t="s">
        <v>39</v>
      </c>
      <c r="C12" s="9" t="n">
        <v>650</v>
      </c>
      <c r="D12" s="9" t="n">
        <v>650</v>
      </c>
      <c r="E12" s="10" t="n">
        <f aca="false">IF(Cover!$C$9="Downside",D12,C12)</f>
        <v>650</v>
      </c>
      <c r="F12" s="11" t="s">
        <v>29</v>
      </c>
    </row>
    <row r="13" customFormat="false" ht="15" hidden="false" customHeight="false" outlineLevel="0" collapsed="false">
      <c r="B13" s="0" t="s">
        <v>40</v>
      </c>
      <c r="C13" s="12" t="n">
        <v>0.05</v>
      </c>
      <c r="D13" s="12" t="n">
        <v>0.06</v>
      </c>
      <c r="E13" s="13" t="n">
        <f aca="false">IF(Cover!$C$9="Downside",D13,C13)</f>
        <v>0.05</v>
      </c>
      <c r="F13" s="11" t="s">
        <v>31</v>
      </c>
    </row>
    <row r="14" customFormat="false" ht="15" hidden="false" customHeight="false" outlineLevel="0" collapsed="false">
      <c r="B14" s="0" t="s">
        <v>41</v>
      </c>
      <c r="C14" s="9" t="n">
        <v>220</v>
      </c>
      <c r="D14" s="9" t="n">
        <v>220</v>
      </c>
      <c r="E14" s="10" t="n">
        <f aca="false">IF(Cover!$C$9="Downside",D14,C14)</f>
        <v>220</v>
      </c>
      <c r="F14" s="11" t="s">
        <v>29</v>
      </c>
    </row>
    <row r="15" customFormat="false" ht="15" hidden="false" customHeight="false" outlineLevel="0" collapsed="false">
      <c r="B15" s="0" t="s">
        <v>42</v>
      </c>
      <c r="C15" s="12" t="n">
        <v>0.08</v>
      </c>
      <c r="D15" s="12" t="n">
        <v>0.1</v>
      </c>
      <c r="E15" s="13" t="n">
        <f aca="false">IF(Cover!$C$9="Downside",D15,C15)</f>
        <v>0.08</v>
      </c>
      <c r="F15" s="11" t="s">
        <v>31</v>
      </c>
    </row>
    <row r="16" customFormat="false" ht="15" hidden="false" customHeight="false" outlineLevel="0" collapsed="false">
      <c r="B16" s="0" t="s">
        <v>43</v>
      </c>
      <c r="C16" s="9" t="n">
        <v>20</v>
      </c>
      <c r="D16" s="9" t="n">
        <v>20</v>
      </c>
      <c r="E16" s="10" t="n">
        <f aca="false">IF(Cover!$C$9="Downside",D16,C16)</f>
        <v>20</v>
      </c>
      <c r="F16" s="11" t="s">
        <v>29</v>
      </c>
    </row>
    <row r="17" customFormat="false" ht="15" hidden="false" customHeight="false" outlineLevel="0" collapsed="false">
      <c r="B17" s="0" t="s">
        <v>44</v>
      </c>
      <c r="C17" s="16" t="n">
        <v>1.08</v>
      </c>
      <c r="D17" s="16" t="n">
        <v>1.08</v>
      </c>
      <c r="E17" s="17" t="n">
        <f aca="false">IF(Cover!$C$9="Downside",D17,C17)</f>
        <v>1.08</v>
      </c>
      <c r="F17" s="11" t="s">
        <v>45</v>
      </c>
    </row>
    <row r="18" customFormat="false" ht="15" hidden="false" customHeight="false" outlineLevel="0" collapsed="false">
      <c r="B18" s="0" t="s">
        <v>46</v>
      </c>
      <c r="C18" s="16" t="n">
        <v>1.5</v>
      </c>
      <c r="D18" s="16" t="n">
        <v>1.5</v>
      </c>
      <c r="E18" s="17" t="n">
        <f aca="false">IF(Cover!$C$9="Downside",D18,C18)</f>
        <v>1.5</v>
      </c>
      <c r="F18" s="11" t="s">
        <v>45</v>
      </c>
    </row>
    <row r="19" customFormat="false" ht="15" hidden="false" customHeight="false" outlineLevel="0" collapsed="false">
      <c r="B19" s="0" t="s">
        <v>47</v>
      </c>
      <c r="C19" s="16" t="n">
        <v>1.15</v>
      </c>
      <c r="D19" s="16" t="n">
        <v>1.15</v>
      </c>
      <c r="E19" s="17" t="n">
        <f aca="false">IF(Cover!$C$9="Downside",D19,C19)</f>
        <v>1.15</v>
      </c>
      <c r="F19" s="11" t="s">
        <v>45</v>
      </c>
    </row>
    <row r="20" customFormat="false" ht="15" hidden="false" customHeight="false" outlineLevel="0" collapsed="false">
      <c r="B20" s="0" t="s">
        <v>48</v>
      </c>
      <c r="C20" s="14" t="n">
        <v>12</v>
      </c>
      <c r="D20" s="14" t="n">
        <v>12</v>
      </c>
      <c r="E20" s="15" t="n">
        <f aca="false">IF(Cover!$C$9="Downside",D20,C20)</f>
        <v>12</v>
      </c>
      <c r="F20" s="11" t="s">
        <v>49</v>
      </c>
    </row>
    <row r="21" customFormat="false" ht="15" hidden="false" customHeight="false" outlineLevel="0" collapsed="false">
      <c r="B21" s="0" t="s">
        <v>50</v>
      </c>
      <c r="C21" s="14" t="n">
        <v>24</v>
      </c>
      <c r="D21" s="14" t="n">
        <v>24</v>
      </c>
      <c r="E21" s="15" t="n">
        <f aca="false">IF(Cover!$C$9="Downside",D21,C21)</f>
        <v>24</v>
      </c>
      <c r="F21" s="11" t="s">
        <v>36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29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76</v>
      </c>
      <c r="C5" s="18" t="n">
        <f aca="false">Assumptions!E5</f>
        <v>1000</v>
      </c>
      <c r="D5" s="18" t="n">
        <f aca="false">C14</f>
        <v>946.180227536264</v>
      </c>
      <c r="E5" s="18" t="n">
        <f aca="false">D14</f>
        <v>893.564665659251</v>
      </c>
      <c r="F5" s="18" t="n">
        <f aca="false">E14</f>
        <v>842.131427293686</v>
      </c>
      <c r="G5" s="18" t="n">
        <f aca="false">F14</f>
        <v>791.858986824525</v>
      </c>
      <c r="H5" s="18" t="n">
        <f aca="false">G14</f>
        <v>742.726174449132</v>
      </c>
      <c r="I5" s="18" t="n">
        <f aca="false">H14</f>
        <v>694.712170614565</v>
      </c>
      <c r="J5" s="18" t="n">
        <f aca="false">I14</f>
        <v>647.796500538731</v>
      </c>
      <c r="K5" s="18" t="n">
        <f aca="false">J14</f>
        <v>601.959028814173</v>
      </c>
      <c r="L5" s="18" t="n">
        <f aca="false">K14</f>
        <v>557.179954093274</v>
      </c>
      <c r="M5" s="18" t="n">
        <f aca="false">L14</f>
        <v>513.439803853682</v>
      </c>
      <c r="N5" s="18" t="n">
        <f aca="false">M14</f>
        <v>470.719429242772</v>
      </c>
      <c r="O5" s="18" t="n">
        <f aca="false">N14</f>
        <v>429</v>
      </c>
      <c r="P5" s="18" t="n">
        <f aca="false">O14</f>
        <v>388.262999455968</v>
      </c>
      <c r="Q5" s="18" t="n">
        <f aca="false">P14</f>
        <v>348.490219607108</v>
      </c>
      <c r="R5" s="18" t="n">
        <f aca="false">Q14</f>
        <v>309.66375626485</v>
      </c>
      <c r="S5" s="18" t="n">
        <f aca="false">R14</f>
        <v>271.766004278177</v>
      </c>
      <c r="T5" s="18" t="n">
        <f aca="false">S14</f>
        <v>234.779652828499</v>
      </c>
      <c r="U5" s="18" t="n">
        <f aca="false">T14</f>
        <v>198.687680795765</v>
      </c>
      <c r="V5" s="18" t="n">
        <f aca="false">U14</f>
        <v>163.473352194774</v>
      </c>
      <c r="W5" s="18" t="n">
        <f aca="false">V14</f>
        <v>129.12021168064</v>
      </c>
      <c r="X5" s="18" t="n">
        <f aca="false">W14</f>
        <v>95.6120801224059</v>
      </c>
      <c r="Y5" s="18" t="n">
        <f aca="false">X14</f>
        <v>62.9330502437798</v>
      </c>
      <c r="Z5" s="18" t="n">
        <f aca="false">Y14</f>
        <v>31.067482330023</v>
      </c>
    </row>
    <row r="6" customFormat="false" ht="15" hidden="false" customHeight="false" outlineLevel="0" collapsed="false">
      <c r="B6" s="0" t="s">
        <v>77</v>
      </c>
      <c r="C6" s="18" t="n">
        <f aca="false">MIN(C5,C5/24)</f>
        <v>41.6666666666667</v>
      </c>
      <c r="D6" s="18" t="n">
        <f aca="false">MIN(D5,D5/23)</f>
        <v>41.1382707624463</v>
      </c>
      <c r="E6" s="18" t="n">
        <f aca="false">MIN(E5,E5/22)</f>
        <v>40.6165757117842</v>
      </c>
      <c r="F6" s="18" t="n">
        <f aca="false">MIN(F5,F5/21)</f>
        <v>40.1014965377946</v>
      </c>
      <c r="G6" s="18" t="n">
        <f aca="false">MIN(G5,G5/20)</f>
        <v>39.5929493412263</v>
      </c>
      <c r="H6" s="18" t="n">
        <f aca="false">MIN(H5,H5/19)</f>
        <v>39.0908512867964</v>
      </c>
      <c r="I6" s="18" t="n">
        <f aca="false">MIN(I5,I5/18)</f>
        <v>38.595120589698</v>
      </c>
      <c r="J6" s="18" t="n">
        <f aca="false">MIN(J5,J5/17)</f>
        <v>38.1056765022783</v>
      </c>
      <c r="K6" s="18" t="n">
        <f aca="false">MIN(K5,K5/16)</f>
        <v>37.6224393008858</v>
      </c>
      <c r="L6" s="18" t="n">
        <f aca="false">MIN(L5,L5/15)</f>
        <v>37.145330272885</v>
      </c>
      <c r="M6" s="18" t="n">
        <f aca="false">MIN(M5,M5/14)</f>
        <v>36.6742717038344</v>
      </c>
      <c r="N6" s="18" t="n">
        <f aca="false">MIN(N5,N5/13)</f>
        <v>36.2091868648286</v>
      </c>
      <c r="O6" s="18" t="n">
        <f aca="false">MIN(O5,O5/12)</f>
        <v>35.75</v>
      </c>
      <c r="P6" s="18" t="n">
        <f aca="false">MIN(P5,P5/11)</f>
        <v>35.2966363141789</v>
      </c>
      <c r="Q6" s="18" t="n">
        <f aca="false">MIN(Q5,Q5/10)</f>
        <v>34.8490219607108</v>
      </c>
      <c r="R6" s="18" t="n">
        <f aca="false">MIN(R5,R5/9)</f>
        <v>34.4070840294278</v>
      </c>
      <c r="S6" s="18" t="n">
        <f aca="false">MIN(S5,S5/8)</f>
        <v>33.9707505347721</v>
      </c>
      <c r="T6" s="18" t="n">
        <f aca="false">MIN(T5,T5/7)</f>
        <v>33.5399504040713</v>
      </c>
      <c r="U6" s="18" t="n">
        <f aca="false">MIN(U5,U5/6)</f>
        <v>33.1146134659609</v>
      </c>
      <c r="V6" s="18" t="n">
        <f aca="false">MIN(V5,V5/5)</f>
        <v>32.6946704389548</v>
      </c>
      <c r="W6" s="18" t="n">
        <f aca="false">MIN(W5,W5/4)</f>
        <v>32.28005292016</v>
      </c>
      <c r="X6" s="18" t="n">
        <f aca="false">MIN(X5,X5/3)</f>
        <v>31.8706933741353</v>
      </c>
      <c r="Y6" s="18" t="n">
        <f aca="false">MIN(Y5,Y5/2)</f>
        <v>31.4665251218899</v>
      </c>
      <c r="Z6" s="18" t="n">
        <f aca="false">MIN(Z5,Z5/1)</f>
        <v>31.067482330023</v>
      </c>
    </row>
    <row r="7" customFormat="false" ht="15" hidden="false" customHeight="false" outlineLevel="0" collapsed="false">
      <c r="B7" s="0" t="s">
        <v>78</v>
      </c>
      <c r="C7" s="18" t="n">
        <f aca="false">MAX(0,C5-C6)*'Loss Curves'!C6</f>
        <v>2.01977684719943</v>
      </c>
      <c r="D7" s="18" t="n">
        <f aca="false">MAX(0,D5-D6)*'Loss Curves'!D6</f>
        <v>1.90746030264607</v>
      </c>
      <c r="E7" s="18" t="n">
        <f aca="false">MAX(0,E5-E6)*'Loss Curves'!E6</f>
        <v>1.79766762150143</v>
      </c>
      <c r="F7" s="18" t="n">
        <f aca="false">MAX(0,F5-F6)*'Loss Curves'!F6</f>
        <v>1.69035285381048</v>
      </c>
      <c r="G7" s="18" t="n">
        <f aca="false">MAX(0,G5-G6)*'Loss Curves'!G6</f>
        <v>1.58547080915815</v>
      </c>
      <c r="H7" s="18" t="n">
        <f aca="false">MAX(0,H5-H6)*'Loss Curves'!H6</f>
        <v>1.48297704479475</v>
      </c>
      <c r="I7" s="18" t="n">
        <f aca="false">MAX(0,I5-I6)*'Loss Curves'!I6</f>
        <v>1.38282785394054</v>
      </c>
      <c r="J7" s="18" t="n">
        <f aca="false">MAX(0,J5-J6)*'Loss Curves'!J6</f>
        <v>1.28498025426654</v>
      </c>
      <c r="K7" s="18" t="n">
        <f aca="false">MAX(0,K5-K6)*'Loss Curves'!K6</f>
        <v>1.18939197654931</v>
      </c>
      <c r="L7" s="18" t="n">
        <f aca="false">MAX(0,L5-L6)*'Loss Curves'!L6</f>
        <v>1.09602145349686</v>
      </c>
      <c r="M7" s="18" t="n">
        <f aca="false">MAX(0,M5-M6)*'Loss Curves'!M6</f>
        <v>1.00482780874328</v>
      </c>
      <c r="N7" s="18" t="n">
        <f aca="false">MAX(0,N5-N6)*'Loss Curves'!N6</f>
        <v>0.91577084600972</v>
      </c>
      <c r="O7" s="18" t="n">
        <f aca="false">MAX(0,O5-O6)*'Loss Curves'!O6</f>
        <v>0.828811038429052</v>
      </c>
      <c r="P7" s="18" t="n">
        <f aca="false">MAX(0,P5-P6)*'Loss Curves'!P6</f>
        <v>0.743909518031969</v>
      </c>
      <c r="Q7" s="18" t="n">
        <f aca="false">MAX(0,Q5-Q6)*'Loss Curves'!Q6</f>
        <v>0.661028065392097</v>
      </c>
      <c r="R7" s="18" t="n">
        <f aca="false">MAX(0,R5-R6)*'Loss Curves'!R6</f>
        <v>0.580129099427757</v>
      </c>
      <c r="S7" s="18" t="n">
        <f aca="false">MAX(0,S5-S6)*'Loss Curves'!S6</f>
        <v>0.501175667358096</v>
      </c>
      <c r="T7" s="18" t="n">
        <f aca="false">MAX(0,T5-T6)*'Loss Curves'!T6</f>
        <v>0.424131434811299</v>
      </c>
      <c r="U7" s="18" t="n">
        <f aca="false">MAX(0,U5-U6)*'Loss Curves'!U6</f>
        <v>0.348960676082641</v>
      </c>
      <c r="V7" s="18" t="n">
        <f aca="false">MAX(0,V5-V6)*'Loss Curves'!V6</f>
        <v>0.275628264540173</v>
      </c>
      <c r="W7" s="18" t="n">
        <f aca="false">MAX(0,W5-W6)*'Loss Curves'!W6</f>
        <v>0.204099663175862</v>
      </c>
      <c r="X7" s="18" t="n">
        <f aca="false">MAX(0,X5-X6)*'Loss Curves'!X6</f>
        <v>0.134340915300043</v>
      </c>
      <c r="Y7" s="18" t="n">
        <f aca="false">MAX(0,Y5-Y6)*'Loss Curves'!Y6</f>
        <v>0.0663186353770564</v>
      </c>
      <c r="Z7" s="18" t="n">
        <f aca="false">MAX(0,Z5-Z6)*'Loss Curves'!Z6</f>
        <v>0</v>
      </c>
    </row>
    <row r="8" customFormat="false" ht="15" hidden="false" customHeight="false" outlineLevel="0" collapsed="false">
      <c r="B8" s="0" t="s">
        <v>79</v>
      </c>
      <c r="C8" s="18" t="n">
        <v>0</v>
      </c>
      <c r="D8" s="18" t="n">
        <v>0</v>
      </c>
      <c r="E8" s="18" t="n">
        <v>0</v>
      </c>
      <c r="F8" s="18" t="n">
        <f aca="false">C7*Assumptions!$E$9</f>
        <v>0.908899581239742</v>
      </c>
      <c r="G8" s="18" t="n">
        <f aca="false">D7*Assumptions!$E$9</f>
        <v>0.858357136190734</v>
      </c>
      <c r="H8" s="18" t="n">
        <f aca="false">E7*Assumptions!$E$9</f>
        <v>0.808950429675643</v>
      </c>
      <c r="I8" s="18" t="n">
        <f aca="false">F7*Assumptions!$E$9</f>
        <v>0.760658784214716</v>
      </c>
      <c r="J8" s="18" t="n">
        <f aca="false">G7*Assumptions!$E$9</f>
        <v>0.713461864121166</v>
      </c>
      <c r="K8" s="18" t="n">
        <f aca="false">H7*Assumptions!$E$9</f>
        <v>0.667339670157639</v>
      </c>
      <c r="L8" s="18" t="n">
        <f aca="false">I7*Assumptions!$E$9</f>
        <v>0.622272534273241</v>
      </c>
      <c r="M8" s="18" t="n">
        <f aca="false">J7*Assumptions!$E$9</f>
        <v>0.578241114419943</v>
      </c>
      <c r="N8" s="18" t="n">
        <f aca="false">K7*Assumptions!$E$9</f>
        <v>0.535226389447191</v>
      </c>
      <c r="O8" s="18" t="n">
        <f aca="false">L7*Assumptions!$E$9</f>
        <v>0.493209654073585</v>
      </c>
      <c r="P8" s="18" t="n">
        <f aca="false">M7*Assumptions!$E$9</f>
        <v>0.452172513934475</v>
      </c>
      <c r="Q8" s="18" t="n">
        <f aca="false">N7*Assumptions!$E$9</f>
        <v>0.412096880704374</v>
      </c>
      <c r="R8" s="18" t="n">
        <f aca="false">O7*Assumptions!$E$9</f>
        <v>0.372964967293073</v>
      </c>
      <c r="S8" s="18" t="n">
        <f aca="false">P7*Assumptions!$E$9</f>
        <v>0.334759283114386</v>
      </c>
      <c r="T8" s="18" t="n">
        <f aca="false">Q7*Assumptions!$E$9</f>
        <v>0.297462629426443</v>
      </c>
      <c r="U8" s="18" t="n">
        <f aca="false">R7*Assumptions!$E$9</f>
        <v>0.261058094742491</v>
      </c>
      <c r="V8" s="18" t="n">
        <f aca="false">S7*Assumptions!$E$9</f>
        <v>0.225529050311143</v>
      </c>
      <c r="W8" s="18" t="n">
        <f aca="false">T7*Assumptions!$E$9</f>
        <v>0.190859145665085</v>
      </c>
      <c r="X8" s="18" t="n">
        <f aca="false">U7*Assumptions!$E$9</f>
        <v>0.157032304237189</v>
      </c>
      <c r="Y8" s="18" t="n">
        <f aca="false">V7*Assumptions!$E$9</f>
        <v>0.124032719043078</v>
      </c>
      <c r="Z8" s="18" t="n">
        <f aca="false">W7*Assumptions!$E$9</f>
        <v>0.0918448484291379</v>
      </c>
    </row>
    <row r="9" customFormat="false" ht="15" hidden="false" customHeight="false" outlineLevel="0" collapsed="false">
      <c r="B9" s="0" t="s">
        <v>80</v>
      </c>
      <c r="C9" s="18" t="n">
        <f aca="false">MAX(0,C5-C6-C7)*'Loss Curves'!C5</f>
        <v>10.1333289498702</v>
      </c>
      <c r="D9" s="18" t="n">
        <f aca="false">MAX(0,D5-D6-D7)*'Loss Curves'!D5</f>
        <v>9.56983081191997</v>
      </c>
      <c r="E9" s="18" t="n">
        <f aca="false">MAX(0,E5-E6-E7)*'Loss Curves'!E5</f>
        <v>9.01899503227948</v>
      </c>
      <c r="F9" s="18" t="n">
        <f aca="false">MAX(0,F5-F6-F7)*'Loss Curves'!F5</f>
        <v>8.4805910775559</v>
      </c>
      <c r="G9" s="18" t="n">
        <f aca="false">MAX(0,G5-G6-G7)*'Loss Curves'!G5</f>
        <v>7.95439222500904</v>
      </c>
      <c r="H9" s="18" t="n">
        <f aca="false">MAX(0,H5-H6-H7)*'Loss Curves'!H5</f>
        <v>7.44017550297618</v>
      </c>
      <c r="I9" s="18" t="n">
        <f aca="false">MAX(0,I5-I6-I7)*'Loss Curves'!I5</f>
        <v>6.93772163219522</v>
      </c>
      <c r="J9" s="18" t="n">
        <f aca="false">MAX(0,J5-J6-J7)*'Loss Curves'!J5</f>
        <v>6.44681496801266</v>
      </c>
      <c r="K9" s="18" t="n">
        <f aca="false">MAX(0,K5-K6-K7)*'Loss Curves'!K5</f>
        <v>5.96724344346367</v>
      </c>
      <c r="L9" s="18" t="n">
        <f aca="false">MAX(0,L5-L6-L7)*'Loss Curves'!L5</f>
        <v>5.49879851321114</v>
      </c>
      <c r="M9" s="18" t="n">
        <f aca="false">MAX(0,M5-M6-M7)*'Loss Curves'!M5</f>
        <v>5.04127509833146</v>
      </c>
      <c r="N9" s="18" t="n">
        <f aca="false">MAX(0,N5-N6-N7)*'Loss Curves'!N5</f>
        <v>4.59447153193412</v>
      </c>
      <c r="O9" s="18" t="n">
        <f aca="false">MAX(0,O5-O6-O7)*'Loss Curves'!O5</f>
        <v>4.15818950560326</v>
      </c>
      <c r="P9" s="18" t="n">
        <f aca="false">MAX(0,P5-P6-P7)*'Loss Curves'!P5</f>
        <v>3.73223401664879</v>
      </c>
      <c r="Q9" s="18" t="n">
        <f aca="false">MAX(0,Q5-Q6-Q7)*'Loss Curves'!Q5</f>
        <v>3.31641331615534</v>
      </c>
      <c r="R9" s="18" t="n">
        <f aca="false">MAX(0,R5-R6-R7)*'Loss Curves'!R5</f>
        <v>2.91053885781718</v>
      </c>
      <c r="S9" s="18" t="n">
        <f aca="false">MAX(0,S5-S6-S7)*'Loss Curves'!S5</f>
        <v>2.51442524754759</v>
      </c>
      <c r="T9" s="18" t="n">
        <f aca="false">MAX(0,T5-T6-T7)*'Loss Curves'!T5</f>
        <v>2.12789019385119</v>
      </c>
      <c r="U9" s="18" t="n">
        <f aca="false">MAX(0,U5-U6-U7)*'Loss Curves'!U5</f>
        <v>1.75075445894809</v>
      </c>
      <c r="V9" s="18" t="n">
        <f aca="false">MAX(0,V5-V6-V7)*'Loss Curves'!V5</f>
        <v>1.38284181063872</v>
      </c>
      <c r="W9" s="18" t="n">
        <f aca="false">MAX(0,W5-W6-W7)*'Loss Curves'!W5</f>
        <v>1.02397897489836</v>
      </c>
      <c r="X9" s="18" t="n">
        <f aca="false">MAX(0,X5-X6-X7)*'Loss Curves'!X5</f>
        <v>0.673995589190737</v>
      </c>
      <c r="Y9" s="18" t="n">
        <f aca="false">MAX(0,Y5-Y6-Y7)*'Loss Curves'!Y5</f>
        <v>0.332724156489877</v>
      </c>
      <c r="Z9" s="18" t="n">
        <f aca="false">MAX(0,Z5-Z6-Z7)*'Loss Curves'!Z5</f>
        <v>0</v>
      </c>
    </row>
    <row r="10" customFormat="false" ht="15" hidden="false" customHeight="false" outlineLevel="0" collapsed="false">
      <c r="B10" s="0" t="s">
        <v>81</v>
      </c>
      <c r="C10" s="18" t="n">
        <f aca="false">C5*Assumptions!$E$6/Assumptions!$E$20</f>
        <v>6.66666666666667</v>
      </c>
      <c r="D10" s="18" t="n">
        <f aca="false">D5*Assumptions!$E$6/Assumptions!$E$20</f>
        <v>6.30786818357509</v>
      </c>
      <c r="E10" s="18" t="n">
        <f aca="false">E5*Assumptions!$E$6/Assumptions!$E$20</f>
        <v>5.95709777106168</v>
      </c>
      <c r="F10" s="18" t="n">
        <f aca="false">F5*Assumptions!$E$6/Assumptions!$E$20</f>
        <v>5.61420951529124</v>
      </c>
      <c r="G10" s="18" t="n">
        <f aca="false">G5*Assumptions!$E$6/Assumptions!$E$20</f>
        <v>5.2790599121635</v>
      </c>
      <c r="H10" s="18" t="n">
        <f aca="false">H5*Assumptions!$E$6/Assumptions!$E$20</f>
        <v>4.95150782966088</v>
      </c>
      <c r="I10" s="18" t="n">
        <f aca="false">I5*Assumptions!$E$6/Assumptions!$E$20</f>
        <v>4.63141447076376</v>
      </c>
      <c r="J10" s="18" t="n">
        <f aca="false">J5*Assumptions!$E$6/Assumptions!$E$20</f>
        <v>4.31864333692487</v>
      </c>
      <c r="K10" s="18" t="n">
        <f aca="false">K5*Assumptions!$E$6/Assumptions!$E$20</f>
        <v>4.01306019209449</v>
      </c>
      <c r="L10" s="18" t="n">
        <f aca="false">L5*Assumptions!$E$6/Assumptions!$E$20</f>
        <v>3.7145330272885</v>
      </c>
      <c r="M10" s="18" t="n">
        <f aca="false">M5*Assumptions!$E$6/Assumptions!$E$20</f>
        <v>3.42293202569121</v>
      </c>
      <c r="N10" s="18" t="n">
        <f aca="false">N5*Assumptions!$E$6/Assumptions!$E$20</f>
        <v>3.13812952828515</v>
      </c>
      <c r="O10" s="18" t="n">
        <f aca="false">O5*Assumptions!$E$6/Assumptions!$E$20</f>
        <v>2.86</v>
      </c>
      <c r="P10" s="18" t="n">
        <f aca="false">P5*Assumptions!$E$6/Assumptions!$E$20</f>
        <v>2.58841999637312</v>
      </c>
      <c r="Q10" s="18" t="n">
        <f aca="false">Q5*Assumptions!$E$6/Assumptions!$E$20</f>
        <v>2.32326813071405</v>
      </c>
      <c r="R10" s="18" t="n">
        <f aca="false">R5*Assumptions!$E$6/Assumptions!$E$20</f>
        <v>2.06442504176567</v>
      </c>
      <c r="S10" s="18" t="n">
        <f aca="false">S5*Assumptions!$E$6/Assumptions!$E$20</f>
        <v>1.81177336185451</v>
      </c>
      <c r="T10" s="18" t="n">
        <f aca="false">T5*Assumptions!$E$6/Assumptions!$E$20</f>
        <v>1.56519768552333</v>
      </c>
      <c r="U10" s="18" t="n">
        <f aca="false">U5*Assumptions!$E$6/Assumptions!$E$20</f>
        <v>1.32458453863844</v>
      </c>
      <c r="V10" s="18" t="n">
        <f aca="false">V5*Assumptions!$E$6/Assumptions!$E$20</f>
        <v>1.08982234796516</v>
      </c>
      <c r="W10" s="18" t="n">
        <f aca="false">W5*Assumptions!$E$6/Assumptions!$E$20</f>
        <v>0.860801411204268</v>
      </c>
      <c r="X10" s="18" t="n">
        <f aca="false">X5*Assumptions!$E$6/Assumptions!$E$20</f>
        <v>0.637413867482706</v>
      </c>
      <c r="Y10" s="18" t="n">
        <f aca="false">Y5*Assumptions!$E$6/Assumptions!$E$20</f>
        <v>0.419553668291865</v>
      </c>
      <c r="Z10" s="18" t="n">
        <f aca="false">Z5*Assumptions!$E$6/Assumptions!$E$20</f>
        <v>0.20711654886682</v>
      </c>
    </row>
    <row r="11" customFormat="false" ht="15" hidden="false" customHeight="false" outlineLevel="0" collapsed="false">
      <c r="B11" s="0" t="s">
        <v>82</v>
      </c>
      <c r="C11" s="18" t="n">
        <f aca="false">C5*Assumptions!$E$11/Assumptions!$E$20</f>
        <v>0.833333333333333</v>
      </c>
      <c r="D11" s="18" t="n">
        <f aca="false">D5*Assumptions!$E$11/Assumptions!$E$20</f>
        <v>0.788483522946887</v>
      </c>
      <c r="E11" s="18" t="n">
        <f aca="false">E5*Assumptions!$E$11/Assumptions!$E$20</f>
        <v>0.74463722138271</v>
      </c>
      <c r="F11" s="18" t="n">
        <f aca="false">F5*Assumptions!$E$11/Assumptions!$E$20</f>
        <v>0.701776189411405</v>
      </c>
      <c r="G11" s="18" t="n">
        <f aca="false">G5*Assumptions!$E$11/Assumptions!$E$20</f>
        <v>0.659882489020438</v>
      </c>
      <c r="H11" s="18" t="n">
        <f aca="false">H5*Assumptions!$E$11/Assumptions!$E$20</f>
        <v>0.61893847870761</v>
      </c>
      <c r="I11" s="18" t="n">
        <f aca="false">I5*Assumptions!$E$11/Assumptions!$E$20</f>
        <v>0.57892680884547</v>
      </c>
      <c r="J11" s="18" t="n">
        <f aca="false">J5*Assumptions!$E$11/Assumptions!$E$20</f>
        <v>0.539830417115609</v>
      </c>
      <c r="K11" s="18" t="n">
        <f aca="false">K5*Assumptions!$E$11/Assumptions!$E$20</f>
        <v>0.501632524011811</v>
      </c>
      <c r="L11" s="18" t="n">
        <f aca="false">L5*Assumptions!$E$11/Assumptions!$E$20</f>
        <v>0.464316628411062</v>
      </c>
      <c r="M11" s="18" t="n">
        <f aca="false">M5*Assumptions!$E$11/Assumptions!$E$20</f>
        <v>0.427866503211401</v>
      </c>
      <c r="N11" s="18" t="n">
        <f aca="false">N5*Assumptions!$E$11/Assumptions!$E$20</f>
        <v>0.392266191035644</v>
      </c>
      <c r="O11" s="18" t="n">
        <f aca="false">O5*Assumptions!$E$11/Assumptions!$E$20</f>
        <v>0.3575</v>
      </c>
      <c r="P11" s="18" t="n">
        <f aca="false">P5*Assumptions!$E$11/Assumptions!$E$20</f>
        <v>0.32355249954664</v>
      </c>
      <c r="Q11" s="18" t="n">
        <f aca="false">Q5*Assumptions!$E$11/Assumptions!$E$20</f>
        <v>0.290408516339257</v>
      </c>
      <c r="R11" s="18" t="n">
        <f aca="false">R5*Assumptions!$E$11/Assumptions!$E$20</f>
        <v>0.258053130220708</v>
      </c>
      <c r="S11" s="18" t="n">
        <f aca="false">S5*Assumptions!$E$11/Assumptions!$E$20</f>
        <v>0.226471670231814</v>
      </c>
      <c r="T11" s="18" t="n">
        <f aca="false">T5*Assumptions!$E$11/Assumptions!$E$20</f>
        <v>0.195649710690416</v>
      </c>
      <c r="U11" s="18" t="n">
        <f aca="false">U5*Assumptions!$E$11/Assumptions!$E$20</f>
        <v>0.165573067329805</v>
      </c>
      <c r="V11" s="18" t="n">
        <f aca="false">V5*Assumptions!$E$11/Assumptions!$E$20</f>
        <v>0.136227793495645</v>
      </c>
      <c r="W11" s="18" t="n">
        <f aca="false">W5*Assumptions!$E$11/Assumptions!$E$20</f>
        <v>0.107600176400533</v>
      </c>
      <c r="X11" s="18" t="n">
        <f aca="false">X5*Assumptions!$E$11/Assumptions!$E$20</f>
        <v>0.0796767334353382</v>
      </c>
      <c r="Y11" s="18" t="n">
        <f aca="false">Y5*Assumptions!$E$11/Assumptions!$E$20</f>
        <v>0.0524442085364832</v>
      </c>
      <c r="Z11" s="18" t="n">
        <f aca="false">Z5*Assumptions!$E$11/Assumptions!$E$20</f>
        <v>0.0258895686083525</v>
      </c>
    </row>
    <row r="12" customFormat="false" ht="15" hidden="false" customHeight="false" outlineLevel="0" collapsed="false">
      <c r="B12" s="19" t="s">
        <v>83</v>
      </c>
      <c r="C12" s="20" t="n">
        <f aca="false">MAX(0,C10-C11)</f>
        <v>5.83333333333333</v>
      </c>
      <c r="D12" s="20" t="n">
        <f aca="false">MAX(0,D10-D11)</f>
        <v>5.51938466062821</v>
      </c>
      <c r="E12" s="20" t="n">
        <f aca="false">MAX(0,E10-E11)</f>
        <v>5.21246054967897</v>
      </c>
      <c r="F12" s="20" t="n">
        <f aca="false">MAX(0,F10-F11)</f>
        <v>4.91243332587984</v>
      </c>
      <c r="G12" s="20" t="n">
        <f aca="false">MAX(0,G10-G11)</f>
        <v>4.61917742314306</v>
      </c>
      <c r="H12" s="20" t="n">
        <f aca="false">MAX(0,H10-H11)</f>
        <v>4.33256935095327</v>
      </c>
      <c r="I12" s="20" t="n">
        <f aca="false">MAX(0,I10-I11)</f>
        <v>4.05248766191829</v>
      </c>
      <c r="J12" s="20" t="n">
        <f aca="false">MAX(0,J10-J11)</f>
        <v>3.77881291980926</v>
      </c>
      <c r="K12" s="20" t="n">
        <f aca="false">MAX(0,K10-K11)</f>
        <v>3.51142766808268</v>
      </c>
      <c r="L12" s="20" t="n">
        <f aca="false">MAX(0,L10-L11)</f>
        <v>3.25021639887743</v>
      </c>
      <c r="M12" s="20" t="n">
        <f aca="false">MAX(0,M10-M11)</f>
        <v>2.99506552247981</v>
      </c>
      <c r="N12" s="20" t="n">
        <f aca="false">MAX(0,N10-N11)</f>
        <v>2.74586333724951</v>
      </c>
      <c r="O12" s="20" t="n">
        <f aca="false">MAX(0,O10-O11)</f>
        <v>2.5025</v>
      </c>
      <c r="P12" s="20" t="n">
        <f aca="false">MAX(0,P10-P11)</f>
        <v>2.26486749682648</v>
      </c>
      <c r="Q12" s="20" t="n">
        <f aca="false">MAX(0,Q10-Q11)</f>
        <v>2.0328596143748</v>
      </c>
      <c r="R12" s="20" t="n">
        <f aca="false">MAX(0,R10-R11)</f>
        <v>1.80637191154496</v>
      </c>
      <c r="S12" s="20" t="n">
        <f aca="false">MAX(0,S10-S11)</f>
        <v>1.5853016916227</v>
      </c>
      <c r="T12" s="20" t="n">
        <f aca="false">MAX(0,T10-T11)</f>
        <v>1.36954797483291</v>
      </c>
      <c r="U12" s="20" t="n">
        <f aca="false">MAX(0,U10-U11)</f>
        <v>1.15901147130863</v>
      </c>
      <c r="V12" s="20" t="n">
        <f aca="false">MAX(0,V10-V11)</f>
        <v>0.953594554469514</v>
      </c>
      <c r="W12" s="20" t="n">
        <f aca="false">MAX(0,W10-W11)</f>
        <v>0.753201234803734</v>
      </c>
      <c r="X12" s="20" t="n">
        <f aca="false">MAX(0,X10-X11)</f>
        <v>0.557737134047368</v>
      </c>
      <c r="Y12" s="20" t="n">
        <f aca="false">MAX(0,Y10-Y11)</f>
        <v>0.367109459755382</v>
      </c>
      <c r="Z12" s="20" t="n">
        <f aca="false">MAX(0,Z10-Z11)</f>
        <v>0.181226980258467</v>
      </c>
    </row>
    <row r="13" customFormat="false" ht="15" hidden="false" customHeight="false" outlineLevel="0" collapsed="false">
      <c r="B13" s="19" t="s">
        <v>84</v>
      </c>
      <c r="C13" s="20" t="n">
        <f aca="false">C6+C8+C9</f>
        <v>51.7999956165369</v>
      </c>
      <c r="D13" s="20" t="n">
        <f aca="false">D6+D8+D9</f>
        <v>50.7081015743662</v>
      </c>
      <c r="E13" s="20" t="n">
        <f aca="false">E6+E8+E9</f>
        <v>49.6355707440636</v>
      </c>
      <c r="F13" s="20" t="n">
        <f aca="false">F6+F8+F9</f>
        <v>49.4909871965902</v>
      </c>
      <c r="G13" s="20" t="n">
        <f aca="false">G6+G8+G9</f>
        <v>48.405698702426</v>
      </c>
      <c r="H13" s="20" t="n">
        <f aca="false">H6+H8+H9</f>
        <v>47.3399772194482</v>
      </c>
      <c r="I13" s="20" t="n">
        <f aca="false">I6+I8+I9</f>
        <v>46.293501006108</v>
      </c>
      <c r="J13" s="20" t="n">
        <f aca="false">J6+J8+J9</f>
        <v>45.2659533344121</v>
      </c>
      <c r="K13" s="20" t="n">
        <f aca="false">K6+K8+K9</f>
        <v>44.2570224145071</v>
      </c>
      <c r="L13" s="20" t="n">
        <f aca="false">L6+L8+L9</f>
        <v>43.2664013203694</v>
      </c>
      <c r="M13" s="20" t="n">
        <f aca="false">M6+M8+M9</f>
        <v>42.2937879165858</v>
      </c>
      <c r="N13" s="20" t="n">
        <f aca="false">N6+N8+N9</f>
        <v>41.33888478621</v>
      </c>
      <c r="O13" s="20" t="n">
        <f aca="false">O6+O8+O9</f>
        <v>40.4013991596768</v>
      </c>
      <c r="P13" s="20" t="n">
        <f aca="false">P6+P8+P9</f>
        <v>39.4810428447621</v>
      </c>
      <c r="Q13" s="20" t="n">
        <f aca="false">Q6+Q8+Q9</f>
        <v>38.5775321575705</v>
      </c>
      <c r="R13" s="20" t="n">
        <f aca="false">R6+R8+R9</f>
        <v>37.690587854538</v>
      </c>
      <c r="S13" s="20" t="n">
        <f aca="false">S6+S8+S9</f>
        <v>36.8199350654341</v>
      </c>
      <c r="T13" s="20" t="n">
        <f aca="false">T6+T8+T9</f>
        <v>35.965303227349</v>
      </c>
      <c r="U13" s="20" t="n">
        <f aca="false">U6+U8+U9</f>
        <v>35.1264260196515</v>
      </c>
      <c r="V13" s="20" t="n">
        <f aca="false">V6+V8+V9</f>
        <v>34.3030412999046</v>
      </c>
      <c r="W13" s="20" t="n">
        <f aca="false">W6+W8+W9</f>
        <v>33.4948910407235</v>
      </c>
      <c r="X13" s="20" t="n">
        <f aca="false">X6+X8+X9</f>
        <v>32.7017212675632</v>
      </c>
      <c r="Y13" s="20" t="n">
        <f aca="false">Y6+Y8+Y9</f>
        <v>31.9232819974229</v>
      </c>
      <c r="Z13" s="20" t="n">
        <f aca="false">Z6+Z8+Z9</f>
        <v>31.1593271784521</v>
      </c>
    </row>
    <row r="14" customFormat="false" ht="15" hidden="false" customHeight="false" outlineLevel="0" collapsed="false">
      <c r="B14" s="19" t="s">
        <v>85</v>
      </c>
      <c r="C14" s="20" t="n">
        <f aca="false">MAX(0,C5-C6-C7-C9)</f>
        <v>946.180227536264</v>
      </c>
      <c r="D14" s="20" t="n">
        <f aca="false">MAX(0,D5-D6-D7-D9)</f>
        <v>893.564665659251</v>
      </c>
      <c r="E14" s="20" t="n">
        <f aca="false">MAX(0,E5-E6-E7-E9)</f>
        <v>842.131427293686</v>
      </c>
      <c r="F14" s="20" t="n">
        <f aca="false">MAX(0,F5-F6-F7-F9)</f>
        <v>791.858986824525</v>
      </c>
      <c r="G14" s="20" t="n">
        <f aca="false">MAX(0,G5-G6-G7-G9)</f>
        <v>742.726174449132</v>
      </c>
      <c r="H14" s="20" t="n">
        <f aca="false">MAX(0,H5-H6-H7-H9)</f>
        <v>694.712170614565</v>
      </c>
      <c r="I14" s="20" t="n">
        <f aca="false">MAX(0,I5-I6-I7-I9)</f>
        <v>647.796500538731</v>
      </c>
      <c r="J14" s="20" t="n">
        <f aca="false">MAX(0,J5-J6-J7-J9)</f>
        <v>601.959028814173</v>
      </c>
      <c r="K14" s="20" t="n">
        <f aca="false">MAX(0,K5-K6-K7-K9)</f>
        <v>557.179954093274</v>
      </c>
      <c r="L14" s="20" t="n">
        <f aca="false">MAX(0,L5-L6-L7-L9)</f>
        <v>513.439803853682</v>
      </c>
      <c r="M14" s="20" t="n">
        <f aca="false">MAX(0,M5-M6-M7-M9)</f>
        <v>470.719429242772</v>
      </c>
      <c r="N14" s="20" t="n">
        <f aca="false">MAX(0,N5-N6-N7-N9)</f>
        <v>429</v>
      </c>
      <c r="O14" s="20" t="n">
        <f aca="false">MAX(0,O5-O6-O7-O9)</f>
        <v>388.262999455968</v>
      </c>
      <c r="P14" s="20" t="n">
        <f aca="false">MAX(0,P5-P6-P7-P9)</f>
        <v>348.490219607108</v>
      </c>
      <c r="Q14" s="20" t="n">
        <f aca="false">MAX(0,Q5-Q6-Q7-Q9)</f>
        <v>309.66375626485</v>
      </c>
      <c r="R14" s="20" t="n">
        <f aca="false">MAX(0,R5-R6-R7-R9)</f>
        <v>271.766004278177</v>
      </c>
      <c r="S14" s="20" t="n">
        <f aca="false">MAX(0,S5-S6-S7-S9)</f>
        <v>234.779652828499</v>
      </c>
      <c r="T14" s="20" t="n">
        <f aca="false">MAX(0,T5-T6-T7-T9)</f>
        <v>198.687680795765</v>
      </c>
      <c r="U14" s="20" t="n">
        <f aca="false">MAX(0,U5-U6-U7-U9)</f>
        <v>163.473352194774</v>
      </c>
      <c r="V14" s="20" t="n">
        <f aca="false">MAX(0,V5-V6-V7-V9)</f>
        <v>129.12021168064</v>
      </c>
      <c r="W14" s="20" t="n">
        <f aca="false">MAX(0,W5-W6-W7-W9)</f>
        <v>95.6120801224059</v>
      </c>
      <c r="X14" s="20" t="n">
        <f aca="false">MAX(0,X5-X6-X7-X9)</f>
        <v>62.9330502437798</v>
      </c>
      <c r="Y14" s="20" t="n">
        <f aca="false">MAX(0,Y5-Y6-Y7-Y9)</f>
        <v>31.067482330023</v>
      </c>
      <c r="Z14" s="20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86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87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88</v>
      </c>
      <c r="C5" s="21" t="n">
        <f aca="false">1-(1-Assumptions!$E$7)^(1/Assumptions!$E$20)</f>
        <v>0.010596241035319</v>
      </c>
      <c r="D5" s="21" t="n">
        <f aca="false">1-(1-Assumptions!$E$7)^(1/Assumptions!$E$20)</f>
        <v>0.010596241035319</v>
      </c>
      <c r="E5" s="21" t="n">
        <f aca="false">1-(1-Assumptions!$E$7)^(1/Assumptions!$E$20)</f>
        <v>0.010596241035319</v>
      </c>
      <c r="F5" s="21" t="n">
        <f aca="false">1-(1-Assumptions!$E$7)^(1/Assumptions!$E$20)</f>
        <v>0.010596241035319</v>
      </c>
      <c r="G5" s="21" t="n">
        <f aca="false">1-(1-Assumptions!$E$7)^(1/Assumptions!$E$20)</f>
        <v>0.010596241035319</v>
      </c>
      <c r="H5" s="21" t="n">
        <f aca="false">1-(1-Assumptions!$E$7)^(1/Assumptions!$E$20)</f>
        <v>0.010596241035319</v>
      </c>
      <c r="I5" s="21" t="n">
        <f aca="false">1-(1-Assumptions!$E$7)^(1/Assumptions!$E$20)</f>
        <v>0.010596241035319</v>
      </c>
      <c r="J5" s="21" t="n">
        <f aca="false">1-(1-Assumptions!$E$7)^(1/Assumptions!$E$20)</f>
        <v>0.010596241035319</v>
      </c>
      <c r="K5" s="21" t="n">
        <f aca="false">1-(1-Assumptions!$E$7)^(1/Assumptions!$E$20)</f>
        <v>0.010596241035319</v>
      </c>
      <c r="L5" s="21" t="n">
        <f aca="false">1-(1-Assumptions!$E$7)^(1/Assumptions!$E$20)</f>
        <v>0.010596241035319</v>
      </c>
      <c r="M5" s="21" t="n">
        <f aca="false">1-(1-Assumptions!$E$7)^(1/Assumptions!$E$20)</f>
        <v>0.010596241035319</v>
      </c>
      <c r="N5" s="21" t="n">
        <f aca="false">1-(1-Assumptions!$E$7)^(1/Assumptions!$E$20)</f>
        <v>0.010596241035319</v>
      </c>
      <c r="O5" s="21" t="n">
        <f aca="false">1-(1-Assumptions!$E$7)^(1/Assumptions!$E$20)</f>
        <v>0.010596241035319</v>
      </c>
      <c r="P5" s="21" t="n">
        <f aca="false">1-(1-Assumptions!$E$7)^(1/Assumptions!$E$20)</f>
        <v>0.010596241035319</v>
      </c>
      <c r="Q5" s="21" t="n">
        <f aca="false">1-(1-Assumptions!$E$7)^(1/Assumptions!$E$20)</f>
        <v>0.010596241035319</v>
      </c>
      <c r="R5" s="21" t="n">
        <f aca="false">1-(1-Assumptions!$E$7)^(1/Assumptions!$E$20)</f>
        <v>0.010596241035319</v>
      </c>
      <c r="S5" s="21" t="n">
        <f aca="false">1-(1-Assumptions!$E$7)^(1/Assumptions!$E$20)</f>
        <v>0.010596241035319</v>
      </c>
      <c r="T5" s="21" t="n">
        <f aca="false">1-(1-Assumptions!$E$7)^(1/Assumptions!$E$20)</f>
        <v>0.010596241035319</v>
      </c>
      <c r="U5" s="21" t="n">
        <f aca="false">1-(1-Assumptions!$E$7)^(1/Assumptions!$E$20)</f>
        <v>0.010596241035319</v>
      </c>
      <c r="V5" s="21" t="n">
        <f aca="false">1-(1-Assumptions!$E$7)^(1/Assumptions!$E$20)</f>
        <v>0.010596241035319</v>
      </c>
      <c r="W5" s="21" t="n">
        <f aca="false">1-(1-Assumptions!$E$7)^(1/Assumptions!$E$20)</f>
        <v>0.010596241035319</v>
      </c>
      <c r="X5" s="21" t="n">
        <f aca="false">1-(1-Assumptions!$E$7)^(1/Assumptions!$E$20)</f>
        <v>0.010596241035319</v>
      </c>
      <c r="Y5" s="21" t="n">
        <f aca="false">1-(1-Assumptions!$E$7)^(1/Assumptions!$E$20)</f>
        <v>0.010596241035319</v>
      </c>
      <c r="Z5" s="21" t="n">
        <f aca="false">1-(1-Assumptions!$E$7)^(1/Assumptions!$E$20)</f>
        <v>0.010596241035319</v>
      </c>
    </row>
    <row r="6" customFormat="false" ht="15" hidden="false" customHeight="false" outlineLevel="0" collapsed="false">
      <c r="B6" s="0" t="s">
        <v>89</v>
      </c>
      <c r="C6" s="21" t="n">
        <f aca="false">1-(1-Assumptions!$E$8)^(1/Assumptions!$E$20)</f>
        <v>0.00210759323186027</v>
      </c>
      <c r="D6" s="21" t="n">
        <f aca="false">1-(1-Assumptions!$E$8)^(1/Assumptions!$E$20)</f>
        <v>0.00210759323186027</v>
      </c>
      <c r="E6" s="21" t="n">
        <f aca="false">1-(1-Assumptions!$E$8)^(1/Assumptions!$E$20)</f>
        <v>0.00210759323186027</v>
      </c>
      <c r="F6" s="21" t="n">
        <f aca="false">1-(1-Assumptions!$E$8)^(1/Assumptions!$E$20)</f>
        <v>0.00210759323186027</v>
      </c>
      <c r="G6" s="21" t="n">
        <f aca="false">1-(1-Assumptions!$E$8)^(1/Assumptions!$E$20)</f>
        <v>0.00210759323186027</v>
      </c>
      <c r="H6" s="21" t="n">
        <f aca="false">1-(1-Assumptions!$E$8)^(1/Assumptions!$E$20)</f>
        <v>0.00210759323186027</v>
      </c>
      <c r="I6" s="21" t="n">
        <f aca="false">1-(1-Assumptions!$E$8)^(1/Assumptions!$E$20)</f>
        <v>0.00210759323186027</v>
      </c>
      <c r="J6" s="21" t="n">
        <f aca="false">1-(1-Assumptions!$E$8)^(1/Assumptions!$E$20)</f>
        <v>0.00210759323186027</v>
      </c>
      <c r="K6" s="21" t="n">
        <f aca="false">1-(1-Assumptions!$E$8)^(1/Assumptions!$E$20)</f>
        <v>0.00210759323186027</v>
      </c>
      <c r="L6" s="21" t="n">
        <f aca="false">1-(1-Assumptions!$E$8)^(1/Assumptions!$E$20)</f>
        <v>0.00210759323186027</v>
      </c>
      <c r="M6" s="21" t="n">
        <f aca="false">1-(1-Assumptions!$E$8)^(1/Assumptions!$E$20)</f>
        <v>0.00210759323186027</v>
      </c>
      <c r="N6" s="21" t="n">
        <f aca="false">1-(1-Assumptions!$E$8)^(1/Assumptions!$E$20)</f>
        <v>0.00210759323186027</v>
      </c>
      <c r="O6" s="21" t="n">
        <f aca="false">1-(1-Assumptions!$E$8)^(1/Assumptions!$E$20)</f>
        <v>0.00210759323186027</v>
      </c>
      <c r="P6" s="21" t="n">
        <f aca="false">1-(1-Assumptions!$E$8)^(1/Assumptions!$E$20)</f>
        <v>0.00210759323186027</v>
      </c>
      <c r="Q6" s="21" t="n">
        <f aca="false">1-(1-Assumptions!$E$8)^(1/Assumptions!$E$20)</f>
        <v>0.00210759323186027</v>
      </c>
      <c r="R6" s="21" t="n">
        <f aca="false">1-(1-Assumptions!$E$8)^(1/Assumptions!$E$20)</f>
        <v>0.00210759323186027</v>
      </c>
      <c r="S6" s="21" t="n">
        <f aca="false">1-(1-Assumptions!$E$8)^(1/Assumptions!$E$20)</f>
        <v>0.00210759323186027</v>
      </c>
      <c r="T6" s="21" t="n">
        <f aca="false">1-(1-Assumptions!$E$8)^(1/Assumptions!$E$20)</f>
        <v>0.00210759323186027</v>
      </c>
      <c r="U6" s="21" t="n">
        <f aca="false">1-(1-Assumptions!$E$8)^(1/Assumptions!$E$20)</f>
        <v>0.00210759323186027</v>
      </c>
      <c r="V6" s="21" t="n">
        <f aca="false">1-(1-Assumptions!$E$8)^(1/Assumptions!$E$20)</f>
        <v>0.00210759323186027</v>
      </c>
      <c r="W6" s="21" t="n">
        <f aca="false">1-(1-Assumptions!$E$8)^(1/Assumptions!$E$20)</f>
        <v>0.00210759323186027</v>
      </c>
      <c r="X6" s="21" t="n">
        <f aca="false">1-(1-Assumptions!$E$8)^(1/Assumptions!$E$20)</f>
        <v>0.00210759323186027</v>
      </c>
      <c r="Y6" s="21" t="n">
        <f aca="false">1-(1-Assumptions!$E$8)^(1/Assumptions!$E$20)</f>
        <v>0.00210759323186027</v>
      </c>
      <c r="Z6" s="21" t="n">
        <f aca="false">1-(1-Assumptions!$E$8)^(1/Assumptions!$E$20)</f>
        <v>0.00210759323186027</v>
      </c>
    </row>
    <row r="7" customFormat="false" ht="15" hidden="false" customHeight="false" outlineLevel="0" collapsed="false">
      <c r="B7" s="0" t="s">
        <v>34</v>
      </c>
      <c r="C7" s="21" t="n">
        <f aca="false">Assumptions!$E$9</f>
        <v>0.45</v>
      </c>
      <c r="D7" s="21" t="n">
        <f aca="false">Assumptions!$E$9</f>
        <v>0.45</v>
      </c>
      <c r="E7" s="21" t="n">
        <f aca="false">Assumptions!$E$9</f>
        <v>0.45</v>
      </c>
      <c r="F7" s="21" t="n">
        <f aca="false">Assumptions!$E$9</f>
        <v>0.45</v>
      </c>
      <c r="G7" s="21" t="n">
        <f aca="false">Assumptions!$E$9</f>
        <v>0.45</v>
      </c>
      <c r="H7" s="21" t="n">
        <f aca="false">Assumptions!$E$9</f>
        <v>0.45</v>
      </c>
      <c r="I7" s="21" t="n">
        <f aca="false">Assumptions!$E$9</f>
        <v>0.45</v>
      </c>
      <c r="J7" s="21" t="n">
        <f aca="false">Assumptions!$E$9</f>
        <v>0.45</v>
      </c>
      <c r="K7" s="21" t="n">
        <f aca="false">Assumptions!$E$9</f>
        <v>0.45</v>
      </c>
      <c r="L7" s="21" t="n">
        <f aca="false">Assumptions!$E$9</f>
        <v>0.45</v>
      </c>
      <c r="M7" s="21" t="n">
        <f aca="false">Assumptions!$E$9</f>
        <v>0.45</v>
      </c>
      <c r="N7" s="21" t="n">
        <f aca="false">Assumptions!$E$9</f>
        <v>0.45</v>
      </c>
      <c r="O7" s="21" t="n">
        <f aca="false">Assumptions!$E$9</f>
        <v>0.45</v>
      </c>
      <c r="P7" s="21" t="n">
        <f aca="false">Assumptions!$E$9</f>
        <v>0.45</v>
      </c>
      <c r="Q7" s="21" t="n">
        <f aca="false">Assumptions!$E$9</f>
        <v>0.45</v>
      </c>
      <c r="R7" s="21" t="n">
        <f aca="false">Assumptions!$E$9</f>
        <v>0.45</v>
      </c>
      <c r="S7" s="21" t="n">
        <f aca="false">Assumptions!$E$9</f>
        <v>0.45</v>
      </c>
      <c r="T7" s="21" t="n">
        <f aca="false">Assumptions!$E$9</f>
        <v>0.45</v>
      </c>
      <c r="U7" s="21" t="n">
        <f aca="false">Assumptions!$E$9</f>
        <v>0.45</v>
      </c>
      <c r="V7" s="21" t="n">
        <f aca="false">Assumptions!$E$9</f>
        <v>0.45</v>
      </c>
      <c r="W7" s="21" t="n">
        <f aca="false">Assumptions!$E$9</f>
        <v>0.45</v>
      </c>
      <c r="X7" s="21" t="n">
        <f aca="false">Assumptions!$E$9</f>
        <v>0.45</v>
      </c>
      <c r="Y7" s="21" t="n">
        <f aca="false">Assumptions!$E$9</f>
        <v>0.45</v>
      </c>
      <c r="Z7" s="21" t="n">
        <f aca="false">Assumptions!$E$9</f>
        <v>0.45</v>
      </c>
    </row>
    <row r="8" customFormat="false" ht="15" hidden="false" customHeight="false" outlineLevel="0" collapsed="false">
      <c r="B8" s="0" t="s">
        <v>90</v>
      </c>
      <c r="C8" s="21" t="n">
        <f aca="false">Collateral!C9/Assumptions!$E$5</f>
        <v>0.0101333289498702</v>
      </c>
      <c r="D8" s="21" t="n">
        <f aca="false">C8+Collateral!D9/Assumptions!$E$5</f>
        <v>0.0197031597617902</v>
      </c>
      <c r="E8" s="21" t="n">
        <f aca="false">D8+Collateral!E9/Assumptions!$E$5</f>
        <v>0.0287221547940696</v>
      </c>
      <c r="F8" s="21" t="n">
        <f aca="false">E8+Collateral!F9/Assumptions!$E$5</f>
        <v>0.0372027458716255</v>
      </c>
      <c r="G8" s="21" t="n">
        <f aca="false">F8+Collateral!G9/Assumptions!$E$5</f>
        <v>0.0451571380966346</v>
      </c>
      <c r="H8" s="21" t="n">
        <f aca="false">G8+Collateral!H9/Assumptions!$E$5</f>
        <v>0.0525973135996108</v>
      </c>
      <c r="I8" s="21" t="n">
        <f aca="false">H8+Collateral!I9/Assumptions!$E$5</f>
        <v>0.059535035231806</v>
      </c>
      <c r="J8" s="21" t="n">
        <f aca="false">I8+Collateral!J9/Assumptions!$E$5</f>
        <v>0.0659818501998186</v>
      </c>
      <c r="K8" s="21" t="n">
        <f aca="false">J8+Collateral!K9/Assumptions!$E$5</f>
        <v>0.0719490936432823</v>
      </c>
      <c r="L8" s="21" t="n">
        <f aca="false">K8+Collateral!L9/Assumptions!$E$5</f>
        <v>0.0774478921564935</v>
      </c>
      <c r="M8" s="21" t="n">
        <f aca="false">L8+Collateral!M9/Assumptions!$E$5</f>
        <v>0.0824891672548249</v>
      </c>
      <c r="N8" s="21" t="n">
        <f aca="false">M8+Collateral!N9/Assumptions!$E$5</f>
        <v>0.087083638786759</v>
      </c>
      <c r="O8" s="21" t="n">
        <f aca="false">N8+Collateral!O9/Assumptions!$E$5</f>
        <v>0.0912418282923623</v>
      </c>
      <c r="P8" s="21" t="n">
        <f aca="false">O8+Collateral!P9/Assumptions!$E$5</f>
        <v>0.0949740623090111</v>
      </c>
      <c r="Q8" s="21" t="n">
        <f aca="false">P8+Collateral!Q9/Assumptions!$E$5</f>
        <v>0.0982904756251664</v>
      </c>
      <c r="R8" s="21" t="n">
        <f aca="false">Q8+Collateral!R9/Assumptions!$E$5</f>
        <v>0.101201014482984</v>
      </c>
      <c r="S8" s="21" t="n">
        <f aca="false">R8+Collateral!S9/Assumptions!$E$5</f>
        <v>0.103715439730531</v>
      </c>
      <c r="T8" s="21" t="n">
        <f aca="false">S8+Collateral!T9/Assumptions!$E$5</f>
        <v>0.105843329924382</v>
      </c>
      <c r="U8" s="21" t="n">
        <f aca="false">T8+Collateral!U9/Assumptions!$E$5</f>
        <v>0.10759408438333</v>
      </c>
      <c r="V8" s="21" t="n">
        <f aca="false">U8+Collateral!V9/Assumptions!$E$5</f>
        <v>0.108976926193969</v>
      </c>
      <c r="W8" s="21" t="n">
        <f aca="false">V8+Collateral!W9/Assumptions!$E$5</f>
        <v>0.110000905168868</v>
      </c>
      <c r="X8" s="21" t="n">
        <f aca="false">W8+Collateral!X9/Assumptions!$E$5</f>
        <v>0.110674900758058</v>
      </c>
      <c r="Y8" s="21" t="n">
        <f aca="false">X8+Collateral!Y9/Assumptions!$E$5</f>
        <v>0.111007624914548</v>
      </c>
      <c r="Z8" s="21" t="n">
        <f aca="false">Y8+Collateral!Z9/Assumptions!$E$5</f>
        <v>0.111007624914548</v>
      </c>
    </row>
    <row r="9" customFormat="false" ht="15" hidden="false" customHeight="false" outlineLevel="0" collapsed="false">
      <c r="B9" s="0" t="s">
        <v>91</v>
      </c>
      <c r="C9" s="21" t="n">
        <f aca="false">Collateral!C9*(1-C7)/Assumptions!$E$5</f>
        <v>0.00557333092242861</v>
      </c>
      <c r="D9" s="21" t="n">
        <f aca="false">C9+Collateral!D9*(1-D7)/Assumptions!$E$5</f>
        <v>0.0108367378689846</v>
      </c>
      <c r="E9" s="21" t="n">
        <f aca="false">D9+Collateral!E9*(1-E7)/Assumptions!$E$5</f>
        <v>0.0157971851367383</v>
      </c>
      <c r="F9" s="21" t="n">
        <f aca="false">E9+Collateral!F9*(1-F7)/Assumptions!$E$5</f>
        <v>0.0204615102293941</v>
      </c>
      <c r="G9" s="21" t="n">
        <f aca="false">F9+Collateral!G9*(1-G7)/Assumptions!$E$5</f>
        <v>0.024836425953149</v>
      </c>
      <c r="H9" s="21" t="n">
        <f aca="false">G9+Collateral!H9*(1-H7)/Assumptions!$E$5</f>
        <v>0.0289285224797859</v>
      </c>
      <c r="I9" s="21" t="n">
        <f aca="false">H9+Collateral!I9*(1-I7)/Assumptions!$E$5</f>
        <v>0.0327442693774933</v>
      </c>
      <c r="J9" s="21" t="n">
        <f aca="false">I9+Collateral!J9*(1-J7)/Assumptions!$E$5</f>
        <v>0.0362900176099003</v>
      </c>
      <c r="K9" s="21" t="n">
        <f aca="false">J9+Collateral!K9*(1-K7)/Assumptions!$E$5</f>
        <v>0.0395720015038053</v>
      </c>
      <c r="L9" s="21" t="n">
        <f aca="false">K9+Collateral!L9*(1-L7)/Assumptions!$E$5</f>
        <v>0.0425963406860714</v>
      </c>
      <c r="M9" s="21" t="n">
        <f aca="false">L9+Collateral!M9*(1-M7)/Assumptions!$E$5</f>
        <v>0.0453690419901537</v>
      </c>
      <c r="N9" s="21" t="n">
        <f aca="false">M9+Collateral!N9*(1-N7)/Assumptions!$E$5</f>
        <v>0.0478960013327175</v>
      </c>
      <c r="O9" s="21" t="n">
        <f aca="false">N9+Collateral!O9*(1-O7)/Assumptions!$E$5</f>
        <v>0.0501830055607993</v>
      </c>
      <c r="P9" s="21" t="n">
        <f aca="false">O9+Collateral!P9*(1-P7)/Assumptions!$E$5</f>
        <v>0.0522357342699561</v>
      </c>
      <c r="Q9" s="21" t="n">
        <f aca="false">P9+Collateral!Q9*(1-Q7)/Assumptions!$E$5</f>
        <v>0.0540597615938415</v>
      </c>
      <c r="R9" s="21" t="n">
        <f aca="false">Q9+Collateral!R9*(1-R7)/Assumptions!$E$5</f>
        <v>0.055660557965641</v>
      </c>
      <c r="S9" s="21" t="n">
        <f aca="false">R9+Collateral!S9*(1-S7)/Assumptions!$E$5</f>
        <v>0.0570434918517922</v>
      </c>
      <c r="T9" s="21" t="n">
        <f aca="false">S9+Collateral!T9*(1-T7)/Assumptions!$E$5</f>
        <v>0.0582138314584103</v>
      </c>
      <c r="U9" s="21" t="n">
        <f aca="false">T9+Collateral!U9*(1-U7)/Assumptions!$E$5</f>
        <v>0.0591767464108318</v>
      </c>
      <c r="V9" s="21" t="n">
        <f aca="false">U9+Collateral!V9*(1-V7)/Assumptions!$E$5</f>
        <v>0.0599373094066831</v>
      </c>
      <c r="W9" s="21" t="n">
        <f aca="false">V9+Collateral!W9*(1-W7)/Assumptions!$E$5</f>
        <v>0.0605004978428772</v>
      </c>
      <c r="X9" s="21" t="n">
        <f aca="false">W9+Collateral!X9*(1-X7)/Assumptions!$E$5</f>
        <v>0.0608711954169321</v>
      </c>
      <c r="Y9" s="21" t="n">
        <f aca="false">X9+Collateral!Y9*(1-Y7)/Assumptions!$E$5</f>
        <v>0.0610541937030015</v>
      </c>
      <c r="Z9" s="21" t="n">
        <f aca="false">Y9+Collateral!Z9*(1-Z7)/Assumptions!$E$5</f>
        <v>0.0610541937030015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92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29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93</v>
      </c>
      <c r="C5" s="18" t="n">
        <f aca="false">Collateral!C12+Collateral!C8</f>
        <v>5.83333333333333</v>
      </c>
      <c r="D5" s="18" t="n">
        <f aca="false">Collateral!D12+Collateral!D8</f>
        <v>5.51938466062821</v>
      </c>
      <c r="E5" s="18" t="n">
        <f aca="false">Collateral!E12+Collateral!E8</f>
        <v>5.21246054967897</v>
      </c>
      <c r="F5" s="18" t="n">
        <f aca="false">Collateral!F12+Collateral!F8</f>
        <v>5.82133290711958</v>
      </c>
      <c r="G5" s="18" t="n">
        <f aca="false">Collateral!G12+Collateral!G8</f>
        <v>5.4775345593338</v>
      </c>
      <c r="H5" s="18" t="n">
        <f aca="false">Collateral!H12+Collateral!H8</f>
        <v>5.14151978062891</v>
      </c>
      <c r="I5" s="18" t="n">
        <f aca="false">Collateral!I12+Collateral!I8</f>
        <v>4.81314644613301</v>
      </c>
      <c r="J5" s="18" t="n">
        <f aca="false">Collateral!J12+Collateral!J8</f>
        <v>4.49227478393043</v>
      </c>
      <c r="K5" s="18" t="n">
        <f aca="false">Collateral!K12+Collateral!K8</f>
        <v>4.17876733824032</v>
      </c>
      <c r="L5" s="18" t="n">
        <f aca="false">Collateral!L12+Collateral!L8</f>
        <v>3.87248893315068</v>
      </c>
      <c r="M5" s="18" t="n">
        <f aca="false">Collateral!M12+Collateral!M8</f>
        <v>3.57330663689975</v>
      </c>
      <c r="N5" s="18" t="n">
        <f aca="false">Collateral!N12+Collateral!N8</f>
        <v>3.2810897266967</v>
      </c>
      <c r="O5" s="18" t="n">
        <f aca="false">Collateral!O12+Collateral!O8</f>
        <v>2.99570965407358</v>
      </c>
      <c r="P5" s="18" t="n">
        <f aca="false">Collateral!P12+Collateral!P8</f>
        <v>2.71704001076095</v>
      </c>
      <c r="Q5" s="18" t="n">
        <f aca="false">Collateral!Q12+Collateral!Q8</f>
        <v>2.44495649507917</v>
      </c>
      <c r="R5" s="18" t="n">
        <f aca="false">Collateral!R12+Collateral!R8</f>
        <v>2.17933687883803</v>
      </c>
      <c r="S5" s="18" t="n">
        <f aca="false">Collateral!S12+Collateral!S8</f>
        <v>1.92006097473709</v>
      </c>
      <c r="T5" s="18" t="n">
        <f aca="false">Collateral!T12+Collateral!T8</f>
        <v>1.66701060425936</v>
      </c>
      <c r="U5" s="18" t="n">
        <f aca="false">Collateral!U12+Collateral!U8</f>
        <v>1.42006956605112</v>
      </c>
      <c r="V5" s="18" t="n">
        <f aca="false">Collateral!V12+Collateral!V8</f>
        <v>1.17912360478066</v>
      </c>
      <c r="W5" s="18" t="n">
        <f aca="false">Collateral!W12+Collateral!W8</f>
        <v>0.944060380468819</v>
      </c>
      <c r="X5" s="18" t="n">
        <f aca="false">Collateral!X12+Collateral!X8</f>
        <v>0.714769438284556</v>
      </c>
      <c r="Y5" s="18" t="n">
        <f aca="false">Collateral!Y12+Collateral!Y8</f>
        <v>0.49114217879846</v>
      </c>
      <c r="Z5" s="18" t="n">
        <f aca="false">Collateral!Z12+Collateral!Z8</f>
        <v>0.273071828687605</v>
      </c>
    </row>
    <row r="6" customFormat="false" ht="15" hidden="false" customHeight="false" outlineLevel="0" collapsed="false">
      <c r="B6" s="0" t="s">
        <v>94</v>
      </c>
      <c r="C6" s="18" t="n">
        <f aca="false">Collateral!C13</f>
        <v>51.7999956165369</v>
      </c>
      <c r="D6" s="18" t="n">
        <f aca="false">Collateral!D13</f>
        <v>50.7081015743662</v>
      </c>
      <c r="E6" s="18" t="n">
        <f aca="false">Collateral!E13</f>
        <v>49.6355707440636</v>
      </c>
      <c r="F6" s="18" t="n">
        <f aca="false">Collateral!F13</f>
        <v>49.4909871965902</v>
      </c>
      <c r="G6" s="18" t="n">
        <f aca="false">Collateral!G13</f>
        <v>48.405698702426</v>
      </c>
      <c r="H6" s="18" t="n">
        <f aca="false">Collateral!H13</f>
        <v>47.3399772194482</v>
      </c>
      <c r="I6" s="18" t="n">
        <f aca="false">Collateral!I13</f>
        <v>46.293501006108</v>
      </c>
      <c r="J6" s="18" t="n">
        <f aca="false">Collateral!J13</f>
        <v>45.2659533344121</v>
      </c>
      <c r="K6" s="18" t="n">
        <f aca="false">Collateral!K13</f>
        <v>44.2570224145071</v>
      </c>
      <c r="L6" s="18" t="n">
        <f aca="false">Collateral!L13</f>
        <v>43.2664013203694</v>
      </c>
      <c r="M6" s="18" t="n">
        <f aca="false">Collateral!M13</f>
        <v>42.2937879165858</v>
      </c>
      <c r="N6" s="18" t="n">
        <f aca="false">Collateral!N13</f>
        <v>41.33888478621</v>
      </c>
      <c r="O6" s="18" t="n">
        <f aca="false">Collateral!O13</f>
        <v>40.4013991596768</v>
      </c>
      <c r="P6" s="18" t="n">
        <f aca="false">Collateral!P13</f>
        <v>39.4810428447621</v>
      </c>
      <c r="Q6" s="18" t="n">
        <f aca="false">Collateral!Q13</f>
        <v>38.5775321575705</v>
      </c>
      <c r="R6" s="18" t="n">
        <f aca="false">Collateral!R13</f>
        <v>37.690587854538</v>
      </c>
      <c r="S6" s="18" t="n">
        <f aca="false">Collateral!S13</f>
        <v>36.8199350654341</v>
      </c>
      <c r="T6" s="18" t="n">
        <f aca="false">Collateral!T13</f>
        <v>35.965303227349</v>
      </c>
      <c r="U6" s="18" t="n">
        <f aca="false">Collateral!U13</f>
        <v>35.1264260196515</v>
      </c>
      <c r="V6" s="18" t="n">
        <f aca="false">Collateral!V13</f>
        <v>34.3030412999046</v>
      </c>
      <c r="W6" s="18" t="n">
        <f aca="false">Collateral!W13</f>
        <v>33.4948910407235</v>
      </c>
      <c r="X6" s="18" t="n">
        <f aca="false">Collateral!X13</f>
        <v>32.7017212675632</v>
      </c>
      <c r="Y6" s="18" t="n">
        <f aca="false">Collateral!Y13</f>
        <v>31.9232819974229</v>
      </c>
      <c r="Z6" s="18" t="n">
        <f aca="false">Collateral!Z13</f>
        <v>31.1593271784521</v>
      </c>
    </row>
    <row r="7" customFormat="false" ht="15" hidden="false" customHeight="false" outlineLevel="0" collapsed="false">
      <c r="B7" s="0" t="s">
        <v>95</v>
      </c>
      <c r="C7" s="18" t="n">
        <f aca="false">Assumptions!E12</f>
        <v>650</v>
      </c>
      <c r="D7" s="18" t="n">
        <f aca="false">C12</f>
        <v>598.200004383463</v>
      </c>
      <c r="E7" s="18" t="n">
        <f aca="false">D12</f>
        <v>547.491902809097</v>
      </c>
      <c r="F7" s="18" t="n">
        <f aca="false">E12</f>
        <v>497.856332065033</v>
      </c>
      <c r="G7" s="18" t="n">
        <f aca="false">F12</f>
        <v>448.365344868443</v>
      </c>
      <c r="H7" s="18" t="n">
        <f aca="false">G12</f>
        <v>399.959646166017</v>
      </c>
      <c r="I7" s="18" t="n">
        <f aca="false">H12</f>
        <v>352.619668946569</v>
      </c>
      <c r="J7" s="18" t="n">
        <f aca="false">I12</f>
        <v>306.326167940461</v>
      </c>
      <c r="K7" s="18" t="n">
        <f aca="false">J12</f>
        <v>261.060214606049</v>
      </c>
      <c r="L7" s="18" t="n">
        <f aca="false">K12</f>
        <v>216.803192191542</v>
      </c>
      <c r="M7" s="18" t="n">
        <f aca="false">L12</f>
        <v>173.536790871172</v>
      </c>
      <c r="N7" s="18" t="n">
        <f aca="false">M12</f>
        <v>131.243002954586</v>
      </c>
      <c r="O7" s="18" t="n">
        <f aca="false">N12</f>
        <v>89.9041181683765</v>
      </c>
      <c r="P7" s="18" t="n">
        <f aca="false">O12</f>
        <v>49.5027190086997</v>
      </c>
      <c r="Q7" s="18" t="n">
        <f aca="false">P12</f>
        <v>10.0216761639376</v>
      </c>
      <c r="R7" s="18" t="n">
        <f aca="false">Q12</f>
        <v>0</v>
      </c>
      <c r="S7" s="18" t="n">
        <f aca="false">R12</f>
        <v>0</v>
      </c>
      <c r="T7" s="18" t="n">
        <f aca="false">S12</f>
        <v>0</v>
      </c>
      <c r="U7" s="18" t="n">
        <f aca="false">T12</f>
        <v>0</v>
      </c>
      <c r="V7" s="18" t="n">
        <f aca="false">U12</f>
        <v>0</v>
      </c>
      <c r="W7" s="18" t="n">
        <f aca="false">V12</f>
        <v>0</v>
      </c>
      <c r="X7" s="18" t="n">
        <f aca="false">W12</f>
        <v>0</v>
      </c>
      <c r="Y7" s="18" t="n">
        <f aca="false">X12</f>
        <v>0</v>
      </c>
      <c r="Z7" s="18" t="n">
        <f aca="false">Y12</f>
        <v>0</v>
      </c>
    </row>
    <row r="8" customFormat="false" ht="15" hidden="false" customHeight="false" outlineLevel="0" collapsed="false">
      <c r="B8" s="0" t="s">
        <v>96</v>
      </c>
      <c r="C8" s="18" t="n">
        <f aca="false">C7*Assumptions!$E$13/Assumptions!$E$20+0</f>
        <v>2.70833333333333</v>
      </c>
      <c r="D8" s="18" t="n">
        <f aca="false">D7*Assumptions!$E$13/Assumptions!$E$20+C10</f>
        <v>2.49250001826443</v>
      </c>
      <c r="E8" s="18" t="n">
        <f aca="false">E7*Assumptions!$E$13/Assumptions!$E$20+D10</f>
        <v>2.28121626170457</v>
      </c>
      <c r="F8" s="18" t="n">
        <f aca="false">F7*Assumptions!$E$13/Assumptions!$E$20+E10</f>
        <v>2.07440138360431</v>
      </c>
      <c r="G8" s="18" t="n">
        <f aca="false">G7*Assumptions!$E$13/Assumptions!$E$20+F10</f>
        <v>1.86818893695185</v>
      </c>
      <c r="H8" s="18" t="n">
        <f aca="false">H7*Assumptions!$E$13/Assumptions!$E$20+G10</f>
        <v>1.66649852569174</v>
      </c>
      <c r="I8" s="18" t="n">
        <f aca="false">I7*Assumptions!$E$13/Assumptions!$E$20+H10</f>
        <v>1.4692486206107</v>
      </c>
      <c r="J8" s="18" t="n">
        <f aca="false">J7*Assumptions!$E$13/Assumptions!$E$20+I10</f>
        <v>1.27635903308525</v>
      </c>
      <c r="K8" s="18" t="n">
        <f aca="false">K7*Assumptions!$E$13/Assumptions!$E$20+J10</f>
        <v>1.08775089419187</v>
      </c>
      <c r="L8" s="18" t="n">
        <f aca="false">L7*Assumptions!$E$13/Assumptions!$E$20+K10</f>
        <v>0.903346634131424</v>
      </c>
      <c r="M8" s="18" t="n">
        <f aca="false">M7*Assumptions!$E$13/Assumptions!$E$20+L10</f>
        <v>0.723069961963218</v>
      </c>
      <c r="N8" s="18" t="n">
        <f aca="false">N7*Assumptions!$E$13/Assumptions!$E$20+M10</f>
        <v>0.54684584564411</v>
      </c>
      <c r="O8" s="18" t="n">
        <f aca="false">O7*Assumptions!$E$13/Assumptions!$E$20+N10</f>
        <v>0.374600492368236</v>
      </c>
      <c r="P8" s="18" t="n">
        <f aca="false">P7*Assumptions!$E$13/Assumptions!$E$20+O10</f>
        <v>0.206261329202915</v>
      </c>
      <c r="Q8" s="18" t="n">
        <f aca="false">Q7*Assumptions!$E$13/Assumptions!$E$20+P10</f>
        <v>0.0417569840164065</v>
      </c>
      <c r="R8" s="18" t="n">
        <f aca="false">R7*Assumptions!$E$13/Assumptions!$E$20+Q10</f>
        <v>0</v>
      </c>
      <c r="S8" s="18" t="n">
        <f aca="false">S7*Assumptions!$E$13/Assumptions!$E$20+R10</f>
        <v>0</v>
      </c>
      <c r="T8" s="18" t="n">
        <f aca="false">T7*Assumptions!$E$13/Assumptions!$E$20+S10</f>
        <v>0</v>
      </c>
      <c r="U8" s="18" t="n">
        <f aca="false">U7*Assumptions!$E$13/Assumptions!$E$20+T10</f>
        <v>0</v>
      </c>
      <c r="V8" s="18" t="n">
        <f aca="false">V7*Assumptions!$E$13/Assumptions!$E$20+U10</f>
        <v>0</v>
      </c>
      <c r="W8" s="18" t="n">
        <f aca="false">W7*Assumptions!$E$13/Assumptions!$E$20+V10</f>
        <v>0</v>
      </c>
      <c r="X8" s="18" t="n">
        <f aca="false">X7*Assumptions!$E$13/Assumptions!$E$20+W10</f>
        <v>0</v>
      </c>
      <c r="Y8" s="18" t="n">
        <f aca="false">Y7*Assumptions!$E$13/Assumptions!$E$20+X10</f>
        <v>0</v>
      </c>
      <c r="Z8" s="18" t="n">
        <f aca="false">Z7*Assumptions!$E$13/Assumptions!$E$20+Y10</f>
        <v>0</v>
      </c>
    </row>
    <row r="9" customFormat="false" ht="15" hidden="false" customHeight="false" outlineLevel="0" collapsed="false">
      <c r="B9" s="0" t="s">
        <v>97</v>
      </c>
      <c r="C9" s="18" t="n">
        <f aca="false">MIN(C5,C8)</f>
        <v>2.70833333333333</v>
      </c>
      <c r="D9" s="18" t="n">
        <f aca="false">MIN(D5,D8)</f>
        <v>2.49250001826443</v>
      </c>
      <c r="E9" s="18" t="n">
        <f aca="false">MIN(E5,E8)</f>
        <v>2.28121626170457</v>
      </c>
      <c r="F9" s="18" t="n">
        <f aca="false">MIN(F5,F8)</f>
        <v>2.07440138360431</v>
      </c>
      <c r="G9" s="18" t="n">
        <f aca="false">MIN(G5,G8)</f>
        <v>1.86818893695185</v>
      </c>
      <c r="H9" s="18" t="n">
        <f aca="false">MIN(H5,H8)</f>
        <v>1.66649852569174</v>
      </c>
      <c r="I9" s="18" t="n">
        <f aca="false">MIN(I5,I8)</f>
        <v>1.4692486206107</v>
      </c>
      <c r="J9" s="18" t="n">
        <f aca="false">MIN(J5,J8)</f>
        <v>1.27635903308525</v>
      </c>
      <c r="K9" s="18" t="n">
        <f aca="false">MIN(K5,K8)</f>
        <v>1.08775089419187</v>
      </c>
      <c r="L9" s="18" t="n">
        <f aca="false">MIN(L5,L8)</f>
        <v>0.903346634131424</v>
      </c>
      <c r="M9" s="18" t="n">
        <f aca="false">MIN(M5,M8)</f>
        <v>0.723069961963218</v>
      </c>
      <c r="N9" s="18" t="n">
        <f aca="false">MIN(N5,N8)</f>
        <v>0.54684584564411</v>
      </c>
      <c r="O9" s="18" t="n">
        <f aca="false">MIN(O5,O8)</f>
        <v>0.374600492368236</v>
      </c>
      <c r="P9" s="18" t="n">
        <f aca="false">MIN(P5,P8)</f>
        <v>0.206261329202915</v>
      </c>
      <c r="Q9" s="18" t="n">
        <f aca="false">MIN(Q5,Q8)</f>
        <v>0.0417569840164065</v>
      </c>
      <c r="R9" s="18" t="n">
        <f aca="false">MIN(R5,R8)</f>
        <v>0</v>
      </c>
      <c r="S9" s="18" t="n">
        <f aca="false">MIN(S5,S8)</f>
        <v>0</v>
      </c>
      <c r="T9" s="18" t="n">
        <f aca="false">MIN(T5,T8)</f>
        <v>0</v>
      </c>
      <c r="U9" s="18" t="n">
        <f aca="false">MIN(U5,U8)</f>
        <v>0</v>
      </c>
      <c r="V9" s="18" t="n">
        <f aca="false">MIN(V5,V8)</f>
        <v>0</v>
      </c>
      <c r="W9" s="18" t="n">
        <f aca="false">MIN(W5,W8)</f>
        <v>0</v>
      </c>
      <c r="X9" s="18" t="n">
        <f aca="false">MIN(X5,X8)</f>
        <v>0</v>
      </c>
      <c r="Y9" s="18" t="n">
        <f aca="false">MIN(Y5,Y8)</f>
        <v>0</v>
      </c>
      <c r="Z9" s="18" t="n">
        <f aca="false">MIN(Z5,Z8)</f>
        <v>0</v>
      </c>
    </row>
    <row r="10" customFormat="false" ht="15" hidden="false" customHeight="false" outlineLevel="0" collapsed="false">
      <c r="B10" s="0" t="s">
        <v>98</v>
      </c>
      <c r="C10" s="18" t="n">
        <f aca="false">C8-C9</f>
        <v>0</v>
      </c>
      <c r="D10" s="18" t="n">
        <f aca="false">D8-D9</f>
        <v>0</v>
      </c>
      <c r="E10" s="18" t="n">
        <f aca="false">E8-E9</f>
        <v>0</v>
      </c>
      <c r="F10" s="18" t="n">
        <f aca="false">F8-F9</f>
        <v>0</v>
      </c>
      <c r="G10" s="18" t="n">
        <f aca="false">G8-G9</f>
        <v>0</v>
      </c>
      <c r="H10" s="18" t="n">
        <f aca="false">H8-H9</f>
        <v>0</v>
      </c>
      <c r="I10" s="18" t="n">
        <f aca="false">I8-I9</f>
        <v>0</v>
      </c>
      <c r="J10" s="18" t="n">
        <f aca="false">J8-J9</f>
        <v>0</v>
      </c>
      <c r="K10" s="18" t="n">
        <f aca="false">K8-K9</f>
        <v>0</v>
      </c>
      <c r="L10" s="18" t="n">
        <f aca="false">L8-L9</f>
        <v>0</v>
      </c>
      <c r="M10" s="18" t="n">
        <f aca="false">M8-M9</f>
        <v>0</v>
      </c>
      <c r="N10" s="18" t="n">
        <f aca="false">N8-N9</f>
        <v>0</v>
      </c>
      <c r="O10" s="18" t="n">
        <f aca="false">O8-O9</f>
        <v>0</v>
      </c>
      <c r="P10" s="18" t="n">
        <f aca="false">P8-P9</f>
        <v>0</v>
      </c>
      <c r="Q10" s="18" t="n">
        <f aca="false">Q8-Q9</f>
        <v>0</v>
      </c>
      <c r="R10" s="18" t="n">
        <f aca="false">R8-R9</f>
        <v>0</v>
      </c>
      <c r="S10" s="18" t="n">
        <f aca="false">S8-S9</f>
        <v>0</v>
      </c>
      <c r="T10" s="18" t="n">
        <f aca="false">T8-T9</f>
        <v>0</v>
      </c>
      <c r="U10" s="18" t="n">
        <f aca="false">U8-U9</f>
        <v>0</v>
      </c>
      <c r="V10" s="18" t="n">
        <f aca="false">V8-V9</f>
        <v>0</v>
      </c>
      <c r="W10" s="18" t="n">
        <f aca="false">W8-W9</f>
        <v>0</v>
      </c>
      <c r="X10" s="18" t="n">
        <f aca="false">X8-X9</f>
        <v>0</v>
      </c>
      <c r="Y10" s="18" t="n">
        <f aca="false">Y8-Y9</f>
        <v>0</v>
      </c>
      <c r="Z10" s="18" t="n">
        <f aca="false">Z8-Z9</f>
        <v>0</v>
      </c>
    </row>
    <row r="11" customFormat="false" ht="15" hidden="false" customHeight="false" outlineLevel="0" collapsed="false">
      <c r="B11" s="0" t="s">
        <v>99</v>
      </c>
      <c r="C11" s="18" t="n">
        <f aca="false">MIN(C7,C6)</f>
        <v>51.7999956165369</v>
      </c>
      <c r="D11" s="18" t="n">
        <f aca="false">MIN(D7,D6)</f>
        <v>50.7081015743662</v>
      </c>
      <c r="E11" s="18" t="n">
        <f aca="false">MIN(E7,E6)</f>
        <v>49.6355707440636</v>
      </c>
      <c r="F11" s="18" t="n">
        <f aca="false">MIN(F7,F6)</f>
        <v>49.4909871965902</v>
      </c>
      <c r="G11" s="18" t="n">
        <f aca="false">MIN(G7,G6)</f>
        <v>48.405698702426</v>
      </c>
      <c r="H11" s="18" t="n">
        <f aca="false">MIN(H7,H6)</f>
        <v>47.3399772194482</v>
      </c>
      <c r="I11" s="18" t="n">
        <f aca="false">MIN(I7,I6)</f>
        <v>46.293501006108</v>
      </c>
      <c r="J11" s="18" t="n">
        <f aca="false">MIN(J7,J6)</f>
        <v>45.2659533344121</v>
      </c>
      <c r="K11" s="18" t="n">
        <f aca="false">MIN(K7,K6)</f>
        <v>44.2570224145071</v>
      </c>
      <c r="L11" s="18" t="n">
        <f aca="false">MIN(L7,L6)</f>
        <v>43.2664013203694</v>
      </c>
      <c r="M11" s="18" t="n">
        <f aca="false">MIN(M7,M6)</f>
        <v>42.2937879165858</v>
      </c>
      <c r="N11" s="18" t="n">
        <f aca="false">MIN(N7,N6)</f>
        <v>41.33888478621</v>
      </c>
      <c r="O11" s="18" t="n">
        <f aca="false">MIN(O7,O6)</f>
        <v>40.4013991596768</v>
      </c>
      <c r="P11" s="18" t="n">
        <f aca="false">MIN(P7,P6)</f>
        <v>39.4810428447621</v>
      </c>
      <c r="Q11" s="18" t="n">
        <f aca="false">MIN(Q7,Q6)</f>
        <v>10.0216761639376</v>
      </c>
      <c r="R11" s="18" t="n">
        <f aca="false">MIN(R7,R6)</f>
        <v>0</v>
      </c>
      <c r="S11" s="18" t="n">
        <f aca="false">MIN(S7,S6)</f>
        <v>0</v>
      </c>
      <c r="T11" s="18" t="n">
        <f aca="false">MIN(T7,T6)</f>
        <v>0</v>
      </c>
      <c r="U11" s="18" t="n">
        <f aca="false">MIN(U7,U6)</f>
        <v>0</v>
      </c>
      <c r="V11" s="18" t="n">
        <f aca="false">MIN(V7,V6)</f>
        <v>0</v>
      </c>
      <c r="W11" s="18" t="n">
        <f aca="false">MIN(W7,W6)</f>
        <v>0</v>
      </c>
      <c r="X11" s="18" t="n">
        <f aca="false">MIN(X7,X6)</f>
        <v>0</v>
      </c>
      <c r="Y11" s="18" t="n">
        <f aca="false">MIN(Y7,Y6)</f>
        <v>0</v>
      </c>
      <c r="Z11" s="18" t="n">
        <f aca="false">MIN(Z7,Z6)</f>
        <v>0</v>
      </c>
    </row>
    <row r="12" customFormat="false" ht="15" hidden="false" customHeight="false" outlineLevel="0" collapsed="false">
      <c r="B12" s="19" t="s">
        <v>100</v>
      </c>
      <c r="C12" s="20" t="n">
        <f aca="false">MAX(0,C7-C11)</f>
        <v>598.200004383463</v>
      </c>
      <c r="D12" s="20" t="n">
        <f aca="false">MAX(0,D7-D11)</f>
        <v>547.491902809097</v>
      </c>
      <c r="E12" s="20" t="n">
        <f aca="false">MAX(0,E7-E11)</f>
        <v>497.856332065033</v>
      </c>
      <c r="F12" s="20" t="n">
        <f aca="false">MAX(0,F7-F11)</f>
        <v>448.365344868443</v>
      </c>
      <c r="G12" s="20" t="n">
        <f aca="false">MAX(0,G7-G11)</f>
        <v>399.959646166017</v>
      </c>
      <c r="H12" s="20" t="n">
        <f aca="false">MAX(0,H7-H11)</f>
        <v>352.619668946569</v>
      </c>
      <c r="I12" s="20" t="n">
        <f aca="false">MAX(0,I7-I11)</f>
        <v>306.326167940461</v>
      </c>
      <c r="J12" s="20" t="n">
        <f aca="false">MAX(0,J7-J11)</f>
        <v>261.060214606049</v>
      </c>
      <c r="K12" s="20" t="n">
        <f aca="false">MAX(0,K7-K11)</f>
        <v>216.803192191542</v>
      </c>
      <c r="L12" s="20" t="n">
        <f aca="false">MAX(0,L7-L11)</f>
        <v>173.536790871172</v>
      </c>
      <c r="M12" s="20" t="n">
        <f aca="false">MAX(0,M7-M11)</f>
        <v>131.243002954586</v>
      </c>
      <c r="N12" s="20" t="n">
        <f aca="false">MAX(0,N7-N11)</f>
        <v>89.9041181683765</v>
      </c>
      <c r="O12" s="20" t="n">
        <f aca="false">MAX(0,O7-O11)</f>
        <v>49.5027190086997</v>
      </c>
      <c r="P12" s="20" t="n">
        <f aca="false">MAX(0,P7-P11)</f>
        <v>10.0216761639376</v>
      </c>
      <c r="Q12" s="20" t="n">
        <f aca="false">MAX(0,Q7-Q11)</f>
        <v>0</v>
      </c>
      <c r="R12" s="20" t="n">
        <f aca="false">MAX(0,R7-R11)</f>
        <v>0</v>
      </c>
      <c r="S12" s="20" t="n">
        <f aca="false">MAX(0,S7-S11)</f>
        <v>0</v>
      </c>
      <c r="T12" s="20" t="n">
        <f aca="false">MAX(0,T7-T11)</f>
        <v>0</v>
      </c>
      <c r="U12" s="20" t="n">
        <f aca="false">MAX(0,U7-U11)</f>
        <v>0</v>
      </c>
      <c r="V12" s="20" t="n">
        <f aca="false">MAX(0,V7-V11)</f>
        <v>0</v>
      </c>
      <c r="W12" s="20" t="n">
        <f aca="false">MAX(0,W7-W11)</f>
        <v>0</v>
      </c>
      <c r="X12" s="20" t="n">
        <f aca="false">MAX(0,X7-X11)</f>
        <v>0</v>
      </c>
      <c r="Y12" s="20" t="n">
        <f aca="false">MAX(0,Y7-Y11)</f>
        <v>0</v>
      </c>
      <c r="Z12" s="20" t="n">
        <f aca="false">MAX(0,Z7-Z11)</f>
        <v>0</v>
      </c>
    </row>
    <row r="13" customFormat="false" ht="15" hidden="false" customHeight="false" outlineLevel="0" collapsed="false">
      <c r="B13" s="0" t="s">
        <v>101</v>
      </c>
      <c r="C13" s="18" t="n">
        <f aca="false">Assumptions!E14</f>
        <v>220</v>
      </c>
      <c r="D13" s="18" t="n">
        <f aca="false">C18</f>
        <v>220</v>
      </c>
      <c r="E13" s="18" t="n">
        <f aca="false">D18</f>
        <v>220</v>
      </c>
      <c r="F13" s="18" t="n">
        <f aca="false">E18</f>
        <v>220</v>
      </c>
      <c r="G13" s="18" t="n">
        <f aca="false">F18</f>
        <v>220</v>
      </c>
      <c r="H13" s="18" t="n">
        <f aca="false">G18</f>
        <v>220</v>
      </c>
      <c r="I13" s="18" t="n">
        <f aca="false">H18</f>
        <v>220</v>
      </c>
      <c r="J13" s="18" t="n">
        <f aca="false">I18</f>
        <v>220</v>
      </c>
      <c r="K13" s="18" t="n">
        <f aca="false">J18</f>
        <v>220</v>
      </c>
      <c r="L13" s="18" t="n">
        <f aca="false">K18</f>
        <v>220</v>
      </c>
      <c r="M13" s="18" t="n">
        <f aca="false">L18</f>
        <v>220</v>
      </c>
      <c r="N13" s="18" t="n">
        <f aca="false">M18</f>
        <v>220</v>
      </c>
      <c r="O13" s="18" t="n">
        <f aca="false">N18</f>
        <v>220</v>
      </c>
      <c r="P13" s="18" t="n">
        <f aca="false">O18</f>
        <v>220</v>
      </c>
      <c r="Q13" s="18" t="n">
        <f aca="false">P18</f>
        <v>220</v>
      </c>
      <c r="R13" s="18" t="n">
        <f aca="false">Q18</f>
        <v>191.444144006367</v>
      </c>
      <c r="S13" s="18" t="n">
        <f aca="false">R18</f>
        <v>153.753556151829</v>
      </c>
      <c r="T13" s="18" t="n">
        <f aca="false">S18</f>
        <v>116.933621086395</v>
      </c>
      <c r="U13" s="18" t="n">
        <f aca="false">T18</f>
        <v>80.968317859046</v>
      </c>
      <c r="V13" s="18" t="n">
        <f aca="false">U18</f>
        <v>45.8418918393945</v>
      </c>
      <c r="W13" s="18" t="n">
        <f aca="false">V18</f>
        <v>11.5388505394899</v>
      </c>
      <c r="X13" s="18" t="n">
        <f aca="false">W18</f>
        <v>0</v>
      </c>
      <c r="Y13" s="18" t="n">
        <f aca="false">X18</f>
        <v>0</v>
      </c>
      <c r="Z13" s="18" t="n">
        <f aca="false">Y18</f>
        <v>0</v>
      </c>
    </row>
    <row r="14" customFormat="false" ht="15" hidden="false" customHeight="false" outlineLevel="0" collapsed="false">
      <c r="B14" s="0" t="s">
        <v>102</v>
      </c>
      <c r="C14" s="18" t="n">
        <f aca="false">C13*Assumptions!$E$15/Assumptions!$E$20+0</f>
        <v>1.46666666666667</v>
      </c>
      <c r="D14" s="18" t="n">
        <f aca="false">D13*Assumptions!$E$15/Assumptions!$E$20+C16</f>
        <v>1.46666666666667</v>
      </c>
      <c r="E14" s="18" t="n">
        <f aca="false">E13*Assumptions!$E$15/Assumptions!$E$20+D16</f>
        <v>1.46666666666667</v>
      </c>
      <c r="F14" s="18" t="n">
        <f aca="false">F13*Assumptions!$E$15/Assumptions!$E$20+E16</f>
        <v>1.46666666666667</v>
      </c>
      <c r="G14" s="18" t="n">
        <f aca="false">G13*Assumptions!$E$15/Assumptions!$E$20+F16</f>
        <v>1.46666666666667</v>
      </c>
      <c r="H14" s="18" t="n">
        <f aca="false">H13*Assumptions!$E$15/Assumptions!$E$20+G16</f>
        <v>1.46666666666667</v>
      </c>
      <c r="I14" s="18" t="n">
        <f aca="false">I13*Assumptions!$E$15/Assumptions!$E$20+H16</f>
        <v>1.46666666666667</v>
      </c>
      <c r="J14" s="18" t="n">
        <f aca="false">J13*Assumptions!$E$15/Assumptions!$E$20+I16</f>
        <v>1.46666666666667</v>
      </c>
      <c r="K14" s="18" t="n">
        <f aca="false">K13*Assumptions!$E$15/Assumptions!$E$20+J16</f>
        <v>1.46666666666667</v>
      </c>
      <c r="L14" s="18" t="n">
        <f aca="false">L13*Assumptions!$E$15/Assumptions!$E$20+K16</f>
        <v>1.46666666666667</v>
      </c>
      <c r="M14" s="18" t="n">
        <f aca="false">M13*Assumptions!$E$15/Assumptions!$E$20+L16</f>
        <v>1.46666666666667</v>
      </c>
      <c r="N14" s="18" t="n">
        <f aca="false">N13*Assumptions!$E$15/Assumptions!$E$20+M16</f>
        <v>1.46666666666667</v>
      </c>
      <c r="O14" s="18" t="n">
        <f aca="false">O13*Assumptions!$E$15/Assumptions!$E$20+N16</f>
        <v>1.46666666666667</v>
      </c>
      <c r="P14" s="18" t="n">
        <f aca="false">P13*Assumptions!$E$15/Assumptions!$E$20+O16</f>
        <v>1.46666666666667</v>
      </c>
      <c r="Q14" s="18" t="n">
        <f aca="false">Q13*Assumptions!$E$15/Assumptions!$E$20+P16</f>
        <v>1.46666666666667</v>
      </c>
      <c r="R14" s="18" t="n">
        <f aca="false">R13*Assumptions!$E$15/Assumptions!$E$20+Q16</f>
        <v>1.27629429337578</v>
      </c>
      <c r="S14" s="18" t="n">
        <f aca="false">S13*Assumptions!$E$15/Assumptions!$E$20+R16</f>
        <v>1.02502370767886</v>
      </c>
      <c r="T14" s="18" t="n">
        <f aca="false">T13*Assumptions!$E$15/Assumptions!$E$20+S16</f>
        <v>0.7795574739093</v>
      </c>
      <c r="U14" s="18" t="n">
        <f aca="false">U13*Assumptions!$E$15/Assumptions!$E$20+T16</f>
        <v>0.539788785726973</v>
      </c>
      <c r="V14" s="18" t="n">
        <f aca="false">V13*Assumptions!$E$15/Assumptions!$E$20+U16</f>
        <v>0.30561261226263</v>
      </c>
      <c r="W14" s="18" t="n">
        <f aca="false">W13*Assumptions!$E$15/Assumptions!$E$20+V16</f>
        <v>0.0769256702632661</v>
      </c>
      <c r="X14" s="18" t="n">
        <f aca="false">X13*Assumptions!$E$15/Assumptions!$E$20+W16</f>
        <v>0</v>
      </c>
      <c r="Y14" s="18" t="n">
        <f aca="false">Y13*Assumptions!$E$15/Assumptions!$E$20+X16</f>
        <v>0</v>
      </c>
      <c r="Z14" s="18" t="n">
        <f aca="false">Z13*Assumptions!$E$15/Assumptions!$E$20+Y16</f>
        <v>0</v>
      </c>
    </row>
    <row r="15" customFormat="false" ht="15" hidden="false" customHeight="false" outlineLevel="0" collapsed="false">
      <c r="B15" s="0" t="s">
        <v>103</v>
      </c>
      <c r="C15" s="18" t="n">
        <f aca="false">MIN(MAX(0,C5-C9),C14)</f>
        <v>1.46666666666667</v>
      </c>
      <c r="D15" s="18" t="n">
        <f aca="false">MIN(MAX(0,D5-D9),D14)</f>
        <v>1.46666666666667</v>
      </c>
      <c r="E15" s="18" t="n">
        <f aca="false">MIN(MAX(0,E5-E9),E14)</f>
        <v>1.46666666666667</v>
      </c>
      <c r="F15" s="18" t="n">
        <f aca="false">MIN(MAX(0,F5-F9),F14)</f>
        <v>1.46666666666667</v>
      </c>
      <c r="G15" s="18" t="n">
        <f aca="false">MIN(MAX(0,G5-G9),G14)</f>
        <v>1.46666666666667</v>
      </c>
      <c r="H15" s="18" t="n">
        <f aca="false">MIN(MAX(0,H5-H9),H14)</f>
        <v>1.46666666666667</v>
      </c>
      <c r="I15" s="18" t="n">
        <f aca="false">MIN(MAX(0,I5-I9),I14)</f>
        <v>1.46666666666667</v>
      </c>
      <c r="J15" s="18" t="n">
        <f aca="false">MIN(MAX(0,J5-J9),J14)</f>
        <v>1.46666666666667</v>
      </c>
      <c r="K15" s="18" t="n">
        <f aca="false">MIN(MAX(0,K5-K9),K14)</f>
        <v>1.46666666666667</v>
      </c>
      <c r="L15" s="18" t="n">
        <f aca="false">MIN(MAX(0,L5-L9),L14)</f>
        <v>1.46666666666667</v>
      </c>
      <c r="M15" s="18" t="n">
        <f aca="false">MIN(MAX(0,M5-M9),M14)</f>
        <v>1.46666666666667</v>
      </c>
      <c r="N15" s="18" t="n">
        <f aca="false">MIN(MAX(0,N5-N9),N14)</f>
        <v>1.46666666666667</v>
      </c>
      <c r="O15" s="18" t="n">
        <f aca="false">MIN(MAX(0,O5-O9),O14)</f>
        <v>1.46666666666667</v>
      </c>
      <c r="P15" s="18" t="n">
        <f aca="false">MIN(MAX(0,P5-P9),P14)</f>
        <v>1.46666666666667</v>
      </c>
      <c r="Q15" s="18" t="n">
        <f aca="false">MIN(MAX(0,Q5-Q9),Q14)</f>
        <v>1.46666666666667</v>
      </c>
      <c r="R15" s="18" t="n">
        <f aca="false">MIN(MAX(0,R5-R9),R14)</f>
        <v>1.27629429337578</v>
      </c>
      <c r="S15" s="18" t="n">
        <f aca="false">MIN(MAX(0,S5-S9),S14)</f>
        <v>1.02502370767886</v>
      </c>
      <c r="T15" s="18" t="n">
        <f aca="false">MIN(MAX(0,T5-T9),T14)</f>
        <v>0.7795574739093</v>
      </c>
      <c r="U15" s="18" t="n">
        <f aca="false">MIN(MAX(0,U5-U9),U14)</f>
        <v>0.539788785726973</v>
      </c>
      <c r="V15" s="18" t="n">
        <f aca="false">MIN(MAX(0,V5-V9),V14)</f>
        <v>0.30561261226263</v>
      </c>
      <c r="W15" s="18" t="n">
        <f aca="false">MIN(MAX(0,W5-W9),W14)</f>
        <v>0.0769256702632661</v>
      </c>
      <c r="X15" s="18" t="n">
        <f aca="false">MIN(MAX(0,X5-X9),X14)</f>
        <v>0</v>
      </c>
      <c r="Y15" s="18" t="n">
        <f aca="false">MIN(MAX(0,Y5-Y9),Y14)</f>
        <v>0</v>
      </c>
      <c r="Z15" s="18" t="n">
        <f aca="false">MIN(MAX(0,Z5-Z9),Z14)</f>
        <v>0</v>
      </c>
    </row>
    <row r="16" customFormat="false" ht="15" hidden="false" customHeight="false" outlineLevel="0" collapsed="false">
      <c r="B16" s="0" t="s">
        <v>104</v>
      </c>
      <c r="C16" s="18" t="n">
        <f aca="false">C14-C15</f>
        <v>0</v>
      </c>
      <c r="D16" s="18" t="n">
        <f aca="false">D14-D15</f>
        <v>0</v>
      </c>
      <c r="E16" s="18" t="n">
        <f aca="false">E14-E15</f>
        <v>0</v>
      </c>
      <c r="F16" s="18" t="n">
        <f aca="false">F14-F15</f>
        <v>0</v>
      </c>
      <c r="G16" s="18" t="n">
        <f aca="false">G14-G15</f>
        <v>0</v>
      </c>
      <c r="H16" s="18" t="n">
        <f aca="false">H14-H15</f>
        <v>0</v>
      </c>
      <c r="I16" s="18" t="n">
        <f aca="false">I14-I15</f>
        <v>0</v>
      </c>
      <c r="J16" s="18" t="n">
        <f aca="false">J14-J15</f>
        <v>0</v>
      </c>
      <c r="K16" s="18" t="n">
        <f aca="false">K14-K15</f>
        <v>0</v>
      </c>
      <c r="L16" s="18" t="n">
        <f aca="false">L14-L15</f>
        <v>0</v>
      </c>
      <c r="M16" s="18" t="n">
        <f aca="false">M14-M15</f>
        <v>0</v>
      </c>
      <c r="N16" s="18" t="n">
        <f aca="false">N14-N15</f>
        <v>0</v>
      </c>
      <c r="O16" s="18" t="n">
        <f aca="false">O14-O15</f>
        <v>0</v>
      </c>
      <c r="P16" s="18" t="n">
        <f aca="false">P14-P15</f>
        <v>0</v>
      </c>
      <c r="Q16" s="18" t="n">
        <f aca="false">Q14-Q15</f>
        <v>0</v>
      </c>
      <c r="R16" s="18" t="n">
        <f aca="false">R14-R15</f>
        <v>0</v>
      </c>
      <c r="S16" s="18" t="n">
        <f aca="false">S14-S15</f>
        <v>0</v>
      </c>
      <c r="T16" s="18" t="n">
        <f aca="false">T14-T15</f>
        <v>0</v>
      </c>
      <c r="U16" s="18" t="n">
        <f aca="false">U14-U15</f>
        <v>0</v>
      </c>
      <c r="V16" s="18" t="n">
        <f aca="false">V14-V15</f>
        <v>0</v>
      </c>
      <c r="W16" s="18" t="n">
        <f aca="false">W14-W15</f>
        <v>0</v>
      </c>
      <c r="X16" s="18" t="n">
        <f aca="false">X14-X15</f>
        <v>0</v>
      </c>
      <c r="Y16" s="18" t="n">
        <f aca="false">Y14-Y15</f>
        <v>0</v>
      </c>
      <c r="Z16" s="18" t="n">
        <f aca="false">Z14-Z15</f>
        <v>0</v>
      </c>
    </row>
    <row r="17" customFormat="false" ht="15" hidden="false" customHeight="false" outlineLevel="0" collapsed="false">
      <c r="B17" s="0" t="s">
        <v>105</v>
      </c>
      <c r="C17" s="18" t="n">
        <f aca="false">MIN(C13,MAX(0,C6-C11))</f>
        <v>0</v>
      </c>
      <c r="D17" s="18" t="n">
        <f aca="false">MIN(D13,MAX(0,D6-D11))</f>
        <v>0</v>
      </c>
      <c r="E17" s="18" t="n">
        <f aca="false">MIN(E13,MAX(0,E6-E11))</f>
        <v>0</v>
      </c>
      <c r="F17" s="18" t="n">
        <f aca="false">MIN(F13,MAX(0,F6-F11))</f>
        <v>0</v>
      </c>
      <c r="G17" s="18" t="n">
        <f aca="false">MIN(G13,MAX(0,G6-G11))</f>
        <v>0</v>
      </c>
      <c r="H17" s="18" t="n">
        <f aca="false">MIN(H13,MAX(0,H6-H11))</f>
        <v>0</v>
      </c>
      <c r="I17" s="18" t="n">
        <f aca="false">MIN(I13,MAX(0,I6-I11))</f>
        <v>0</v>
      </c>
      <c r="J17" s="18" t="n">
        <f aca="false">MIN(J13,MAX(0,J6-J11))</f>
        <v>0</v>
      </c>
      <c r="K17" s="18" t="n">
        <f aca="false">MIN(K13,MAX(0,K6-K11))</f>
        <v>0</v>
      </c>
      <c r="L17" s="18" t="n">
        <f aca="false">MIN(L13,MAX(0,L6-L11))</f>
        <v>0</v>
      </c>
      <c r="M17" s="18" t="n">
        <f aca="false">MIN(M13,MAX(0,M6-M11))</f>
        <v>0</v>
      </c>
      <c r="N17" s="18" t="n">
        <f aca="false">MIN(N13,MAX(0,N6-N11))</f>
        <v>0</v>
      </c>
      <c r="O17" s="18" t="n">
        <f aca="false">MIN(O13,MAX(0,O6-O11))</f>
        <v>0</v>
      </c>
      <c r="P17" s="18" t="n">
        <f aca="false">MIN(P13,MAX(0,P6-P11))</f>
        <v>0</v>
      </c>
      <c r="Q17" s="18" t="n">
        <f aca="false">MIN(Q13,MAX(0,Q6-Q11))</f>
        <v>28.5558559936329</v>
      </c>
      <c r="R17" s="18" t="n">
        <f aca="false">MIN(R13,MAX(0,R6-R11))</f>
        <v>37.690587854538</v>
      </c>
      <c r="S17" s="18" t="n">
        <f aca="false">MIN(S13,MAX(0,S6-S11))</f>
        <v>36.8199350654341</v>
      </c>
      <c r="T17" s="18" t="n">
        <f aca="false">MIN(T13,MAX(0,T6-T11))</f>
        <v>35.965303227349</v>
      </c>
      <c r="U17" s="18" t="n">
        <f aca="false">MIN(U13,MAX(0,U6-U11))</f>
        <v>35.1264260196515</v>
      </c>
      <c r="V17" s="18" t="n">
        <f aca="false">MIN(V13,MAX(0,V6-V11))</f>
        <v>34.3030412999046</v>
      </c>
      <c r="W17" s="18" t="n">
        <f aca="false">MIN(W13,MAX(0,W6-W11))</f>
        <v>11.5388505394899</v>
      </c>
      <c r="X17" s="18" t="n">
        <f aca="false">MIN(X13,MAX(0,X6-X11))</f>
        <v>0</v>
      </c>
      <c r="Y17" s="18" t="n">
        <f aca="false">MIN(Y13,MAX(0,Y6-Y11))</f>
        <v>0</v>
      </c>
      <c r="Z17" s="18" t="n">
        <f aca="false">MIN(Z13,MAX(0,Z6-Z11))</f>
        <v>0</v>
      </c>
    </row>
    <row r="18" customFormat="false" ht="15" hidden="false" customHeight="false" outlineLevel="0" collapsed="false">
      <c r="B18" s="19" t="s">
        <v>106</v>
      </c>
      <c r="C18" s="20" t="n">
        <f aca="false">MAX(0,C13-C17)</f>
        <v>220</v>
      </c>
      <c r="D18" s="20" t="n">
        <f aca="false">MAX(0,D13-D17)</f>
        <v>220</v>
      </c>
      <c r="E18" s="20" t="n">
        <f aca="false">MAX(0,E13-E17)</f>
        <v>220</v>
      </c>
      <c r="F18" s="20" t="n">
        <f aca="false">MAX(0,F13-F17)</f>
        <v>220</v>
      </c>
      <c r="G18" s="20" t="n">
        <f aca="false">MAX(0,G13-G17)</f>
        <v>220</v>
      </c>
      <c r="H18" s="20" t="n">
        <f aca="false">MAX(0,H13-H17)</f>
        <v>220</v>
      </c>
      <c r="I18" s="20" t="n">
        <f aca="false">MAX(0,I13-I17)</f>
        <v>220</v>
      </c>
      <c r="J18" s="20" t="n">
        <f aca="false">MAX(0,J13-J17)</f>
        <v>220</v>
      </c>
      <c r="K18" s="20" t="n">
        <f aca="false">MAX(0,K13-K17)</f>
        <v>220</v>
      </c>
      <c r="L18" s="20" t="n">
        <f aca="false">MAX(0,L13-L17)</f>
        <v>220</v>
      </c>
      <c r="M18" s="20" t="n">
        <f aca="false">MAX(0,M13-M17)</f>
        <v>220</v>
      </c>
      <c r="N18" s="20" t="n">
        <f aca="false">MAX(0,N13-N17)</f>
        <v>220</v>
      </c>
      <c r="O18" s="20" t="n">
        <f aca="false">MAX(0,O13-O17)</f>
        <v>220</v>
      </c>
      <c r="P18" s="20" t="n">
        <f aca="false">MAX(0,P13-P17)</f>
        <v>220</v>
      </c>
      <c r="Q18" s="20" t="n">
        <f aca="false">MAX(0,Q13-Q17)</f>
        <v>191.444144006367</v>
      </c>
      <c r="R18" s="20" t="n">
        <f aca="false">MAX(0,R13-R17)</f>
        <v>153.753556151829</v>
      </c>
      <c r="S18" s="20" t="n">
        <f aca="false">MAX(0,S13-S17)</f>
        <v>116.933621086395</v>
      </c>
      <c r="T18" s="20" t="n">
        <f aca="false">MAX(0,T13-T17)</f>
        <v>80.968317859046</v>
      </c>
      <c r="U18" s="20" t="n">
        <f aca="false">MAX(0,U13-U17)</f>
        <v>45.8418918393945</v>
      </c>
      <c r="V18" s="20" t="n">
        <f aca="false">MAX(0,V13-V17)</f>
        <v>11.5388505394899</v>
      </c>
      <c r="W18" s="20" t="n">
        <f aca="false">MAX(0,W13-W17)</f>
        <v>0</v>
      </c>
      <c r="X18" s="20" t="n">
        <f aca="false">MAX(0,X13-X17)</f>
        <v>0</v>
      </c>
      <c r="Y18" s="20" t="n">
        <f aca="false">MAX(0,Y13-Y17)</f>
        <v>0</v>
      </c>
      <c r="Z18" s="20" t="n">
        <f aca="false">MAX(0,Z13-Z17)</f>
        <v>0</v>
      </c>
    </row>
    <row r="19" customFormat="false" ht="15" hidden="false" customHeight="false" outlineLevel="0" collapsed="false">
      <c r="B19" s="19" t="s">
        <v>107</v>
      </c>
      <c r="C19" s="20" t="n">
        <f aca="false">MAX(0,C5-C9-C15)+MAX(0,C6-C11-C17)</f>
        <v>1.65833333333333</v>
      </c>
      <c r="D19" s="20" t="n">
        <f aca="false">MAX(0,D5-D9-D15)+MAX(0,D6-D11-D17)</f>
        <v>1.56021797569711</v>
      </c>
      <c r="E19" s="20" t="n">
        <f aca="false">MAX(0,E5-E9-E15)+MAX(0,E6-E11-E17)</f>
        <v>1.46457762130773</v>
      </c>
      <c r="F19" s="20" t="n">
        <f aca="false">MAX(0,F5-F9-F15)+MAX(0,F6-F11-F17)</f>
        <v>2.28026485684861</v>
      </c>
      <c r="G19" s="20" t="n">
        <f aca="false">MAX(0,G5-G9-G15)+MAX(0,G6-G11-G17)</f>
        <v>2.14267895571528</v>
      </c>
      <c r="H19" s="20" t="n">
        <f aca="false">MAX(0,H5-H9-H15)+MAX(0,H6-H11-H17)</f>
        <v>2.00835458827051</v>
      </c>
      <c r="I19" s="20" t="n">
        <f aca="false">MAX(0,I5-I9-I15)+MAX(0,I6-I11-I17)</f>
        <v>1.87723115885564</v>
      </c>
      <c r="J19" s="20" t="n">
        <f aca="false">MAX(0,J5-J9-J15)+MAX(0,J6-J11-J17)</f>
        <v>1.74924908417851</v>
      </c>
      <c r="K19" s="20" t="n">
        <f aca="false">MAX(0,K5-K9-K15)+MAX(0,K6-K11-K17)</f>
        <v>1.62434977738178</v>
      </c>
      <c r="L19" s="20" t="n">
        <f aca="false">MAX(0,L5-L9-L15)+MAX(0,L6-L11-L17)</f>
        <v>1.50247563235259</v>
      </c>
      <c r="M19" s="20" t="n">
        <f aca="false">MAX(0,M5-M9-M15)+MAX(0,M6-M11-M17)</f>
        <v>1.38357000826987</v>
      </c>
      <c r="N19" s="20" t="n">
        <f aca="false">MAX(0,N5-N9-N15)+MAX(0,N6-N11-N17)</f>
        <v>1.26757721438592</v>
      </c>
      <c r="O19" s="20" t="n">
        <f aca="false">MAX(0,O5-O9-O15)+MAX(0,O6-O11-O17)</f>
        <v>1.15444249503868</v>
      </c>
      <c r="P19" s="20" t="n">
        <f aca="false">MAX(0,P5-P9-P15)+MAX(0,P6-P11-P17)</f>
        <v>1.04411201489137</v>
      </c>
      <c r="Q19" s="20" t="n">
        <f aca="false">MAX(0,Q5-Q9-Q15)+MAX(0,Q6-Q11-Q17)</f>
        <v>0.936532844396098</v>
      </c>
      <c r="R19" s="20" t="n">
        <f aca="false">MAX(0,R5-R9-R15)+MAX(0,R6-R11-R17)</f>
        <v>0.90304258546225</v>
      </c>
      <c r="S19" s="20" t="n">
        <f aca="false">MAX(0,S5-S9-S15)+MAX(0,S6-S11-S17)</f>
        <v>0.895037267058225</v>
      </c>
      <c r="T19" s="20" t="n">
        <f aca="false">MAX(0,T5-T9-T15)+MAX(0,T6-T11-T17)</f>
        <v>0.887453130350056</v>
      </c>
      <c r="U19" s="20" t="n">
        <f aca="false">MAX(0,U5-U9-U15)+MAX(0,U6-U11-U17)</f>
        <v>0.880280780324149</v>
      </c>
      <c r="V19" s="20" t="n">
        <f aca="false">MAX(0,V5-V9-V15)+MAX(0,V6-V11-V17)</f>
        <v>0.873510992518027</v>
      </c>
      <c r="W19" s="20" t="n">
        <f aca="false">MAX(0,W5-W9-W15)+MAX(0,W6-W11-W17)</f>
        <v>22.8231752114391</v>
      </c>
      <c r="X19" s="20" t="n">
        <f aca="false">MAX(0,X5-X9-X15)+MAX(0,X6-X11-X17)</f>
        <v>33.4164907058478</v>
      </c>
      <c r="Y19" s="20" t="n">
        <f aca="false">MAX(0,Y5-Y9-Y15)+MAX(0,Y6-Y11-Y17)</f>
        <v>32.4144241762213</v>
      </c>
      <c r="Z19" s="20" t="n">
        <f aca="false">MAX(0,Z5-Z9-Z15)+MAX(0,Z6-Z11-Z17)</f>
        <v>31.4323990071397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26" min="3" style="0" width="10"/>
  </cols>
  <sheetData>
    <row r="2" customFormat="false" ht="27.75" hidden="false" customHeight="true" outlineLevel="0" collapsed="false">
      <c r="B2" s="1" t="s">
        <v>108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4" customFormat="false" ht="15" hidden="false" customHeight="false" outlineLevel="0" collapsed="false">
      <c r="B4" s="8" t="s">
        <v>109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  <c r="Q4" s="8" t="s">
        <v>66</v>
      </c>
      <c r="R4" s="8" t="s">
        <v>67</v>
      </c>
      <c r="S4" s="8" t="s">
        <v>68</v>
      </c>
      <c r="T4" s="8" t="s">
        <v>69</v>
      </c>
      <c r="U4" s="8" t="s">
        <v>70</v>
      </c>
      <c r="V4" s="8" t="s">
        <v>71</v>
      </c>
      <c r="W4" s="8" t="s">
        <v>72</v>
      </c>
      <c r="X4" s="8" t="s">
        <v>73</v>
      </c>
      <c r="Y4" s="8" t="s">
        <v>74</v>
      </c>
      <c r="Z4" s="8" t="s">
        <v>75</v>
      </c>
    </row>
    <row r="5" customFormat="false" ht="15" hidden="false" customHeight="false" outlineLevel="0" collapsed="false">
      <c r="B5" s="0" t="s">
        <v>110</v>
      </c>
      <c r="C5" s="22" t="n">
        <f aca="false">IFERROR(Collateral!C14/(Waterfall!C12+Waterfall!C18),0)</f>
        <v>1.1564167959755</v>
      </c>
      <c r="D5" s="22" t="n">
        <f aca="false">IFERROR(Collateral!D14/(Waterfall!D12+Waterfall!D18),0)</f>
        <v>1.16426591914353</v>
      </c>
      <c r="E5" s="22" t="n">
        <f aca="false">IFERROR(Collateral!E14/(Waterfall!E12+Waterfall!E18),0)</f>
        <v>1.173119731174</v>
      </c>
      <c r="F5" s="22" t="n">
        <f aca="false">IFERROR(Collateral!F14/(Waterfall!F12+Waterfall!F18),0)</f>
        <v>1.18476966662655</v>
      </c>
      <c r="G5" s="22" t="n">
        <f aca="false">IFERROR(Collateral!G14/(Waterfall!G12+Waterfall!G18),0)</f>
        <v>1.19802341820525</v>
      </c>
      <c r="H5" s="22" t="n">
        <f aca="false">IFERROR(Collateral!H14/(Waterfall!H12+Waterfall!H18),0)</f>
        <v>1.21321744307632</v>
      </c>
      <c r="I5" s="22" t="n">
        <f aca="false">IFERROR(Collateral!I14/(Waterfall!I12+Waterfall!I18),0)</f>
        <v>1.23078908098677</v>
      </c>
      <c r="J5" s="22" t="n">
        <f aca="false">IFERROR(Collateral!J14/(Waterfall!J12+Waterfall!J18),0)</f>
        <v>1.25131742459129</v>
      </c>
      <c r="K5" s="22" t="n">
        <f aca="false">IFERROR(Collateral!K14/(Waterfall!K12+Waterfall!K18),0)</f>
        <v>1.27558581084945</v>
      </c>
      <c r="L5" s="22" t="n">
        <f aca="false">IFERROR(Collateral!L14/(Waterfall!L12+Waterfall!L18),0)</f>
        <v>1.30468056802791</v>
      </c>
      <c r="M5" s="22" t="n">
        <f aca="false">IFERROR(Collateral!M14/(Waterfall!M12+Waterfall!M18),0)</f>
        <v>1.34015318535366</v>
      </c>
      <c r="N5" s="22" t="n">
        <f aca="false">IFERROR(Collateral!N14/(Waterfall!N12+Waterfall!N18),0)</f>
        <v>1.38429912624432</v>
      </c>
      <c r="O5" s="22" t="n">
        <f aca="false">IFERROR(Collateral!O14/(Waterfall!O12+Waterfall!O18),0)</f>
        <v>1.44066449824365</v>
      </c>
      <c r="P5" s="22" t="n">
        <f aca="false">IFERROR(Collateral!P14/(Waterfall!P12+Waterfall!P18),0)</f>
        <v>1.51503208488376</v>
      </c>
      <c r="Q5" s="22" t="n">
        <f aca="false">IFERROR(Collateral!Q14/(Waterfall!Q12+Waterfall!Q18),0)</f>
        <v>1.61751490426655</v>
      </c>
      <c r="R5" s="22" t="n">
        <f aca="false">IFERROR(Collateral!R14/(Waterfall!R12+Waterfall!R18),0)</f>
        <v>1.76754288538089</v>
      </c>
      <c r="S5" s="22" t="n">
        <f aca="false">IFERROR(Collateral!S14/(Waterfall!S12+Waterfall!S18),0)</f>
        <v>2.00780280852703</v>
      </c>
      <c r="T5" s="22" t="n">
        <f aca="false">IFERROR(Collateral!T14/(Waterfall!T12+Waterfall!T18),0)</f>
        <v>2.45389414093611</v>
      </c>
      <c r="U5" s="22" t="n">
        <f aca="false">IFERROR(Collateral!U14/(Waterfall!U12+Waterfall!U18),0)</f>
        <v>3.56602543297072</v>
      </c>
      <c r="V5" s="22" t="n">
        <f aca="false">IFERROR(Collateral!V14/(Waterfall!V12+Waterfall!V18),0)</f>
        <v>11.1900410910728</v>
      </c>
      <c r="W5" s="22" t="n">
        <f aca="false">IFERROR(Collateral!W14/(Waterfall!W12+Waterfall!W18),0)</f>
        <v>0</v>
      </c>
      <c r="X5" s="22" t="n">
        <f aca="false">IFERROR(Collateral!X14/(Waterfall!X12+Waterfall!X18),0)</f>
        <v>0</v>
      </c>
      <c r="Y5" s="22" t="n">
        <f aca="false">IFERROR(Collateral!Y14/(Waterfall!Y12+Waterfall!Y18),0)</f>
        <v>0</v>
      </c>
      <c r="Z5" s="22" t="n">
        <f aca="false">IFERROR(Collateral!Z14/(Waterfall!Z12+Waterfall!Z18),0)</f>
        <v>0</v>
      </c>
    </row>
    <row r="6" customFormat="false" ht="15" hidden="false" customHeight="false" outlineLevel="0" collapsed="false">
      <c r="B6" s="0" t="s">
        <v>44</v>
      </c>
      <c r="C6" s="22" t="n">
        <f aca="false">Assumptions!$E$17</f>
        <v>1.08</v>
      </c>
      <c r="D6" s="22" t="n">
        <f aca="false">Assumptions!$E$17</f>
        <v>1.08</v>
      </c>
      <c r="E6" s="22" t="n">
        <f aca="false">Assumptions!$E$17</f>
        <v>1.08</v>
      </c>
      <c r="F6" s="22" t="n">
        <f aca="false">Assumptions!$E$17</f>
        <v>1.08</v>
      </c>
      <c r="G6" s="22" t="n">
        <f aca="false">Assumptions!$E$17</f>
        <v>1.08</v>
      </c>
      <c r="H6" s="22" t="n">
        <f aca="false">Assumptions!$E$17</f>
        <v>1.08</v>
      </c>
      <c r="I6" s="22" t="n">
        <f aca="false">Assumptions!$E$17</f>
        <v>1.08</v>
      </c>
      <c r="J6" s="22" t="n">
        <f aca="false">Assumptions!$E$17</f>
        <v>1.08</v>
      </c>
      <c r="K6" s="22" t="n">
        <f aca="false">Assumptions!$E$17</f>
        <v>1.08</v>
      </c>
      <c r="L6" s="22" t="n">
        <f aca="false">Assumptions!$E$17</f>
        <v>1.08</v>
      </c>
      <c r="M6" s="22" t="n">
        <f aca="false">Assumptions!$E$17</f>
        <v>1.08</v>
      </c>
      <c r="N6" s="22" t="n">
        <f aca="false">Assumptions!$E$17</f>
        <v>1.08</v>
      </c>
      <c r="O6" s="22" t="n">
        <f aca="false">Assumptions!$E$17</f>
        <v>1.08</v>
      </c>
      <c r="P6" s="22" t="n">
        <f aca="false">Assumptions!$E$17</f>
        <v>1.08</v>
      </c>
      <c r="Q6" s="22" t="n">
        <f aca="false">Assumptions!$E$17</f>
        <v>1.08</v>
      </c>
      <c r="R6" s="22" t="n">
        <f aca="false">Assumptions!$E$17</f>
        <v>1.08</v>
      </c>
      <c r="S6" s="22" t="n">
        <f aca="false">Assumptions!$E$17</f>
        <v>1.08</v>
      </c>
      <c r="T6" s="22" t="n">
        <f aca="false">Assumptions!$E$17</f>
        <v>1.08</v>
      </c>
      <c r="U6" s="22" t="n">
        <f aca="false">Assumptions!$E$17</f>
        <v>1.08</v>
      </c>
      <c r="V6" s="22" t="n">
        <f aca="false">Assumptions!$E$17</f>
        <v>1.08</v>
      </c>
      <c r="W6" s="22" t="n">
        <f aca="false">Assumptions!$E$17</f>
        <v>1.08</v>
      </c>
      <c r="X6" s="22" t="n">
        <f aca="false">Assumptions!$E$17</f>
        <v>1.08</v>
      </c>
      <c r="Y6" s="22" t="n">
        <f aca="false">Assumptions!$E$17</f>
        <v>1.08</v>
      </c>
      <c r="Z6" s="22" t="n">
        <f aca="false">Assumptions!$E$17</f>
        <v>1.08</v>
      </c>
    </row>
    <row r="7" customFormat="false" ht="15" hidden="false" customHeight="false" outlineLevel="0" collapsed="false">
      <c r="B7" s="0" t="s">
        <v>111</v>
      </c>
      <c r="C7" s="22" t="n">
        <f aca="false">IFERROR(Collateral!C12/Waterfall!C8,0)</f>
        <v>2.15384615384615</v>
      </c>
      <c r="D7" s="22" t="n">
        <f aca="false">IFERROR(Collateral!D12/Waterfall!D8,0)</f>
        <v>2.21439703919098</v>
      </c>
      <c r="E7" s="22" t="n">
        <f aca="false">IFERROR(Collateral!E12/Waterfall!E8,0)</f>
        <v>2.28494800654459</v>
      </c>
      <c r="F7" s="22" t="n">
        <f aca="false">IFERROR(Collateral!F12/Waterfall!F8,0)</f>
        <v>2.36812092621362</v>
      </c>
      <c r="G7" s="22" t="n">
        <f aca="false">IFERROR(Collateral!G12/Waterfall!G8,0)</f>
        <v>2.47254297024141</v>
      </c>
      <c r="H7" s="22" t="n">
        <f aca="false">IFERROR(Collateral!H12/Waterfall!H8,0)</f>
        <v>2.59980389070845</v>
      </c>
      <c r="I7" s="22" t="n">
        <f aca="false">IFERROR(Collateral!I12/Waterfall!I8,0)</f>
        <v>2.75820416304617</v>
      </c>
      <c r="J7" s="22" t="n">
        <f aca="false">IFERROR(Collateral!J12/Waterfall!J8,0)</f>
        <v>2.96061909059789</v>
      </c>
      <c r="K7" s="22" t="n">
        <f aca="false">IFERROR(Collateral!K12/Waterfall!K8,0)</f>
        <v>3.22815424637407</v>
      </c>
      <c r="L7" s="22" t="n">
        <f aca="false">IFERROR(Collateral!L12/Waterfall!L8,0)</f>
        <v>3.59797255679438</v>
      </c>
      <c r="M7" s="22" t="n">
        <f aca="false">IFERROR(Collateral!M12/Waterfall!M8,0)</f>
        <v>4.14215176958515</v>
      </c>
      <c r="N7" s="22" t="n">
        <f aca="false">IFERROR(Collateral!N12/Waterfall!N8,0)</f>
        <v>5.02127493355143</v>
      </c>
      <c r="O7" s="22" t="n">
        <f aca="false">IFERROR(Collateral!O12/Waterfall!O8,0)</f>
        <v>6.68045037575663</v>
      </c>
      <c r="P7" s="22" t="n">
        <f aca="false">IFERROR(Collateral!P12/Waterfall!P8,0)</f>
        <v>10.9805725851711</v>
      </c>
      <c r="Q7" s="22" t="n">
        <f aca="false">IFERROR(Collateral!Q12/Waterfall!Q8,0)</f>
        <v>48.683104449691</v>
      </c>
      <c r="R7" s="22" t="n">
        <f aca="false">IFERROR(Collateral!R12/Waterfall!R8,0)</f>
        <v>0</v>
      </c>
      <c r="S7" s="22" t="n">
        <f aca="false">IFERROR(Collateral!S12/Waterfall!S8,0)</f>
        <v>0</v>
      </c>
      <c r="T7" s="22" t="n">
        <f aca="false">IFERROR(Collateral!T12/Waterfall!T8,0)</f>
        <v>0</v>
      </c>
      <c r="U7" s="22" t="n">
        <f aca="false">IFERROR(Collateral!U12/Waterfall!U8,0)</f>
        <v>0</v>
      </c>
      <c r="V7" s="22" t="n">
        <f aca="false">IFERROR(Collateral!V12/Waterfall!V8,0)</f>
        <v>0</v>
      </c>
      <c r="W7" s="22" t="n">
        <f aca="false">IFERROR(Collateral!W12/Waterfall!W8,0)</f>
        <v>0</v>
      </c>
      <c r="X7" s="22" t="n">
        <f aca="false">IFERROR(Collateral!X12/Waterfall!X8,0)</f>
        <v>0</v>
      </c>
      <c r="Y7" s="22" t="n">
        <f aca="false">IFERROR(Collateral!Y12/Waterfall!Y8,0)</f>
        <v>0</v>
      </c>
      <c r="Z7" s="22" t="n">
        <f aca="false">IFERROR(Collateral!Z12/Waterfall!Z8,0)</f>
        <v>0</v>
      </c>
    </row>
    <row r="8" customFormat="false" ht="15" hidden="false" customHeight="false" outlineLevel="0" collapsed="false">
      <c r="B8" s="0" t="s">
        <v>112</v>
      </c>
      <c r="C8" s="22" t="n">
        <f aca="false">Assumptions!$E$18</f>
        <v>1.5</v>
      </c>
      <c r="D8" s="22" t="n">
        <f aca="false">Assumptions!$E$18</f>
        <v>1.5</v>
      </c>
      <c r="E8" s="22" t="n">
        <f aca="false">Assumptions!$E$18</f>
        <v>1.5</v>
      </c>
      <c r="F8" s="22" t="n">
        <f aca="false">Assumptions!$E$18</f>
        <v>1.5</v>
      </c>
      <c r="G8" s="22" t="n">
        <f aca="false">Assumptions!$E$18</f>
        <v>1.5</v>
      </c>
      <c r="H8" s="22" t="n">
        <f aca="false">Assumptions!$E$18</f>
        <v>1.5</v>
      </c>
      <c r="I8" s="22" t="n">
        <f aca="false">Assumptions!$E$18</f>
        <v>1.5</v>
      </c>
      <c r="J8" s="22" t="n">
        <f aca="false">Assumptions!$E$18</f>
        <v>1.5</v>
      </c>
      <c r="K8" s="22" t="n">
        <f aca="false">Assumptions!$E$18</f>
        <v>1.5</v>
      </c>
      <c r="L8" s="22" t="n">
        <f aca="false">Assumptions!$E$18</f>
        <v>1.5</v>
      </c>
      <c r="M8" s="22" t="n">
        <f aca="false">Assumptions!$E$18</f>
        <v>1.5</v>
      </c>
      <c r="N8" s="22" t="n">
        <f aca="false">Assumptions!$E$18</f>
        <v>1.5</v>
      </c>
      <c r="O8" s="22" t="n">
        <f aca="false">Assumptions!$E$18</f>
        <v>1.5</v>
      </c>
      <c r="P8" s="22" t="n">
        <f aca="false">Assumptions!$E$18</f>
        <v>1.5</v>
      </c>
      <c r="Q8" s="22" t="n">
        <f aca="false">Assumptions!$E$18</f>
        <v>1.5</v>
      </c>
      <c r="R8" s="22" t="n">
        <f aca="false">Assumptions!$E$18</f>
        <v>1.5</v>
      </c>
      <c r="S8" s="22" t="n">
        <f aca="false">Assumptions!$E$18</f>
        <v>1.5</v>
      </c>
      <c r="T8" s="22" t="n">
        <f aca="false">Assumptions!$E$18</f>
        <v>1.5</v>
      </c>
      <c r="U8" s="22" t="n">
        <f aca="false">Assumptions!$E$18</f>
        <v>1.5</v>
      </c>
      <c r="V8" s="22" t="n">
        <f aca="false">Assumptions!$E$18</f>
        <v>1.5</v>
      </c>
      <c r="W8" s="22" t="n">
        <f aca="false">Assumptions!$E$18</f>
        <v>1.5</v>
      </c>
      <c r="X8" s="22" t="n">
        <f aca="false">Assumptions!$E$18</f>
        <v>1.5</v>
      </c>
      <c r="Y8" s="22" t="n">
        <f aca="false">Assumptions!$E$18</f>
        <v>1.5</v>
      </c>
      <c r="Z8" s="22" t="n">
        <f aca="false">Assumptions!$E$18</f>
        <v>1.5</v>
      </c>
    </row>
    <row r="9" customFormat="false" ht="15" hidden="false" customHeight="false" outlineLevel="0" collapsed="false">
      <c r="B9" s="0" t="s">
        <v>113</v>
      </c>
      <c r="C9" s="22" t="n">
        <f aca="false">IFERROR(MAX(0,Collateral!C12-Waterfall!C8)/Waterfall!C14,0)</f>
        <v>2.13068181818182</v>
      </c>
      <c r="D9" s="22" t="n">
        <f aca="false">IFERROR(MAX(0,Collateral!D12-Waterfall!D8)/Waterfall!D14,0)</f>
        <v>2.06378498342985</v>
      </c>
      <c r="E9" s="22" t="n">
        <f aca="false">IFERROR(MAX(0,Collateral!E12-Waterfall!E8)/Waterfall!E14,0)</f>
        <v>1.99857565089163</v>
      </c>
      <c r="F9" s="22" t="n">
        <f aca="false">IFERROR(MAX(0,Collateral!F12-Waterfall!F8)/Waterfall!F14,0)</f>
        <v>1.93502177882423</v>
      </c>
      <c r="G9" s="22" t="n">
        <f aca="false">IFERROR(MAX(0,Collateral!G12-Waterfall!G8)/Waterfall!G14,0)</f>
        <v>1.87567396785765</v>
      </c>
      <c r="H9" s="22" t="n">
        <f aca="false">IFERROR(MAX(0,Collateral!H12-Waterfall!H8)/Waterfall!H14,0)</f>
        <v>1.81777556267832</v>
      </c>
      <c r="I9" s="22" t="n">
        <f aca="false">IFERROR(MAX(0,Collateral!I12-Waterfall!I8)/Waterfall!I14,0)</f>
        <v>1.76129934634608</v>
      </c>
      <c r="J9" s="22" t="n">
        <f aca="false">IFERROR(MAX(0,Collateral!J12-Waterfall!J8)/Waterfall!J14,0)</f>
        <v>1.70621855913001</v>
      </c>
      <c r="K9" s="22" t="n">
        <f aca="false">IFERROR(MAX(0,Collateral!K12-Waterfall!K8)/Waterfall!K14,0)</f>
        <v>1.65250689128919</v>
      </c>
      <c r="L9" s="22" t="n">
        <f aca="false">IFERROR(MAX(0,Collateral!L12-Waterfall!L8)/Waterfall!L14,0)</f>
        <v>1.60013847596319</v>
      </c>
      <c r="M9" s="22" t="n">
        <f aca="false">IFERROR(MAX(0,Collateral!M12-Waterfall!M8)/Waterfall!M14,0)</f>
        <v>1.5490878821704</v>
      </c>
      <c r="N9" s="22" t="n">
        <f aca="false">IFERROR(MAX(0,Collateral!N12-Waterfall!N8)/Waterfall!N14,0)</f>
        <v>1.49933010791277</v>
      </c>
      <c r="O9" s="22" t="n">
        <f aca="false">IFERROR(MAX(0,Collateral!O12-Waterfall!O8)/Waterfall!O14,0)</f>
        <v>1.45084057338529</v>
      </c>
      <c r="P9" s="22" t="n">
        <f aca="false">IFERROR(MAX(0,Collateral!P12-Waterfall!P8)/Waterfall!P14,0)</f>
        <v>1.40359511428879</v>
      </c>
      <c r="Q9" s="22" t="n">
        <f aca="false">IFERROR(MAX(0,Collateral!Q12-Waterfall!Q8)/Waterfall!Q14,0)</f>
        <v>1.35756997524436</v>
      </c>
      <c r="R9" s="22" t="n">
        <f aca="false">IFERROR(MAX(0,Collateral!R12-Waterfall!R8)/Waterfall!R14,0)</f>
        <v>1.41532554123323</v>
      </c>
      <c r="S9" s="22" t="n">
        <f aca="false">IFERROR(MAX(0,Collateral!S12-Waterfall!S8)/Waterfall!S14,0)</f>
        <v>1.54660002470828</v>
      </c>
      <c r="T9" s="22" t="n">
        <f aca="false">IFERROR(MAX(0,Collateral!T12-Waterfall!T8)/Waterfall!T14,0)</f>
        <v>1.75682745746115</v>
      </c>
      <c r="U9" s="22" t="n">
        <f aca="false">IFERROR(MAX(0,Collateral!U12-Waterfall!U8)/Waterfall!U14,0)</f>
        <v>2.14715737331909</v>
      </c>
      <c r="V9" s="22" t="n">
        <f aca="false">IFERROR(MAX(0,Collateral!V12-Waterfall!V8)/Waterfall!V14,0)</f>
        <v>3.12027225384938</v>
      </c>
      <c r="W9" s="22" t="n">
        <f aca="false">IFERROR(MAX(0,Collateral!W12-Waterfall!W8)/Waterfall!W14,0)</f>
        <v>9.79128595468874</v>
      </c>
      <c r="X9" s="22" t="n">
        <f aca="false">IFERROR(MAX(0,Collateral!X12-Waterfall!X8)/Waterfall!X14,0)</f>
        <v>0</v>
      </c>
      <c r="Y9" s="22" t="n">
        <f aca="false">IFERROR(MAX(0,Collateral!Y12-Waterfall!Y8)/Waterfall!Y14,0)</f>
        <v>0</v>
      </c>
      <c r="Z9" s="22" t="n">
        <f aca="false">IFERROR(MAX(0,Collateral!Z12-Waterfall!Z8)/Waterfall!Z14,0)</f>
        <v>0</v>
      </c>
    </row>
    <row r="10" customFormat="false" ht="15" hidden="false" customHeight="false" outlineLevel="0" collapsed="false">
      <c r="B10" s="0" t="s">
        <v>114</v>
      </c>
      <c r="C10" s="22" t="n">
        <f aca="false">Assumptions!$E$19</f>
        <v>1.15</v>
      </c>
      <c r="D10" s="22" t="n">
        <f aca="false">Assumptions!$E$19</f>
        <v>1.15</v>
      </c>
      <c r="E10" s="22" t="n">
        <f aca="false">Assumptions!$E$19</f>
        <v>1.15</v>
      </c>
      <c r="F10" s="22" t="n">
        <f aca="false">Assumptions!$E$19</f>
        <v>1.15</v>
      </c>
      <c r="G10" s="22" t="n">
        <f aca="false">Assumptions!$E$19</f>
        <v>1.15</v>
      </c>
      <c r="H10" s="22" t="n">
        <f aca="false">Assumptions!$E$19</f>
        <v>1.15</v>
      </c>
      <c r="I10" s="22" t="n">
        <f aca="false">Assumptions!$E$19</f>
        <v>1.15</v>
      </c>
      <c r="J10" s="22" t="n">
        <f aca="false">Assumptions!$E$19</f>
        <v>1.15</v>
      </c>
      <c r="K10" s="22" t="n">
        <f aca="false">Assumptions!$E$19</f>
        <v>1.15</v>
      </c>
      <c r="L10" s="22" t="n">
        <f aca="false">Assumptions!$E$19</f>
        <v>1.15</v>
      </c>
      <c r="M10" s="22" t="n">
        <f aca="false">Assumptions!$E$19</f>
        <v>1.15</v>
      </c>
      <c r="N10" s="22" t="n">
        <f aca="false">Assumptions!$E$19</f>
        <v>1.15</v>
      </c>
      <c r="O10" s="22" t="n">
        <f aca="false">Assumptions!$E$19</f>
        <v>1.15</v>
      </c>
      <c r="P10" s="22" t="n">
        <f aca="false">Assumptions!$E$19</f>
        <v>1.15</v>
      </c>
      <c r="Q10" s="22" t="n">
        <f aca="false">Assumptions!$E$19</f>
        <v>1.15</v>
      </c>
      <c r="R10" s="22" t="n">
        <f aca="false">Assumptions!$E$19</f>
        <v>1.15</v>
      </c>
      <c r="S10" s="22" t="n">
        <f aca="false">Assumptions!$E$19</f>
        <v>1.15</v>
      </c>
      <c r="T10" s="22" t="n">
        <f aca="false">Assumptions!$E$19</f>
        <v>1.15</v>
      </c>
      <c r="U10" s="22" t="n">
        <f aca="false">Assumptions!$E$19</f>
        <v>1.15</v>
      </c>
      <c r="V10" s="22" t="n">
        <f aca="false">Assumptions!$E$19</f>
        <v>1.15</v>
      </c>
      <c r="W10" s="22" t="n">
        <f aca="false">Assumptions!$E$19</f>
        <v>1.15</v>
      </c>
      <c r="X10" s="22" t="n">
        <f aca="false">Assumptions!$E$19</f>
        <v>1.15</v>
      </c>
      <c r="Y10" s="22" t="n">
        <f aca="false">Assumptions!$E$19</f>
        <v>1.15</v>
      </c>
      <c r="Z10" s="22" t="n">
        <f aca="false">Assumptions!$E$19</f>
        <v>1.15</v>
      </c>
    </row>
    <row r="11" customFormat="false" ht="15" hidden="false" customHeight="false" outlineLevel="0" collapsed="false">
      <c r="B11" s="0" t="s">
        <v>115</v>
      </c>
      <c r="C11" s="0" t="str">
        <f aca="false">IF(AND(C5&gt;=C6,C7&gt;=C8,C9&gt;=C10),"PASS","TRIGGER")</f>
        <v>PASS</v>
      </c>
      <c r="D11" s="0" t="str">
        <f aca="false">IF(AND(D5&gt;=D6,D7&gt;=D8,D9&gt;=D10),"PASS","TRIGGER")</f>
        <v>PASS</v>
      </c>
      <c r="E11" s="0" t="str">
        <f aca="false">IF(AND(E5&gt;=E6,E7&gt;=E8,E9&gt;=E10),"PASS","TRIGGER")</f>
        <v>PASS</v>
      </c>
      <c r="F11" s="0" t="str">
        <f aca="false">IF(AND(F5&gt;=F6,F7&gt;=F8,F9&gt;=F10),"PASS","TRIGGER")</f>
        <v>PASS</v>
      </c>
      <c r="G11" s="0" t="str">
        <f aca="false">IF(AND(G5&gt;=G6,G7&gt;=G8,G9&gt;=G10),"PASS","TRIGGER")</f>
        <v>PASS</v>
      </c>
      <c r="H11" s="0" t="str">
        <f aca="false">IF(AND(H5&gt;=H6,H7&gt;=H8,H9&gt;=H10),"PASS","TRIGGER")</f>
        <v>PASS</v>
      </c>
      <c r="I11" s="0" t="str">
        <f aca="false">IF(AND(I5&gt;=I6,I7&gt;=I8,I9&gt;=I10),"PASS","TRIGGER")</f>
        <v>PASS</v>
      </c>
      <c r="J11" s="0" t="str">
        <f aca="false">IF(AND(J5&gt;=J6,J7&gt;=J8,J9&gt;=J10),"PASS","TRIGGER")</f>
        <v>PASS</v>
      </c>
      <c r="K11" s="0" t="str">
        <f aca="false">IF(AND(K5&gt;=K6,K7&gt;=K8,K9&gt;=K10),"PASS","TRIGGER")</f>
        <v>PASS</v>
      </c>
      <c r="L11" s="0" t="str">
        <f aca="false">IF(AND(L5&gt;=L6,L7&gt;=L8,L9&gt;=L10),"PASS","TRIGGER")</f>
        <v>PASS</v>
      </c>
      <c r="M11" s="0" t="str">
        <f aca="false">IF(AND(M5&gt;=M6,M7&gt;=M8,M9&gt;=M10),"PASS","TRIGGER")</f>
        <v>PASS</v>
      </c>
      <c r="N11" s="0" t="str">
        <f aca="false">IF(AND(N5&gt;=N6,N7&gt;=N8,N9&gt;=N10),"PASS","TRIGGER")</f>
        <v>PASS</v>
      </c>
      <c r="O11" s="0" t="str">
        <f aca="false">IF(AND(O5&gt;=O6,O7&gt;=O8,O9&gt;=O10),"PASS","TRIGGER")</f>
        <v>PASS</v>
      </c>
      <c r="P11" s="0" t="str">
        <f aca="false">IF(AND(P5&gt;=P6,P7&gt;=P8,P9&gt;=P10),"PASS","TRIGGER")</f>
        <v>PASS</v>
      </c>
      <c r="Q11" s="0" t="str">
        <f aca="false">IF(AND(Q5&gt;=Q6,Q7&gt;=Q8,Q9&gt;=Q10),"PASS","TRIGGER")</f>
        <v>PASS</v>
      </c>
      <c r="R11" s="0" t="str">
        <f aca="false">IF(AND(R5&gt;=R6,R7&gt;=R8,R9&gt;=R10),"PASS","TRIGGER")</f>
        <v>TRIGGER</v>
      </c>
      <c r="S11" s="0" t="str">
        <f aca="false">IF(AND(S5&gt;=S6,S7&gt;=S8,S9&gt;=S10),"PASS","TRIGGER")</f>
        <v>TRIGGER</v>
      </c>
      <c r="T11" s="0" t="str">
        <f aca="false">IF(AND(T5&gt;=T6,T7&gt;=T8,T9&gt;=T10),"PASS","TRIGGER")</f>
        <v>TRIGGER</v>
      </c>
      <c r="U11" s="0" t="str">
        <f aca="false">IF(AND(U5&gt;=U6,U7&gt;=U8,U9&gt;=U10),"PASS","TRIGGER")</f>
        <v>TRIGGER</v>
      </c>
      <c r="V11" s="0" t="str">
        <f aca="false">IF(AND(V5&gt;=V6,V7&gt;=V8,V9&gt;=V10),"PASS","TRIGGER")</f>
        <v>TRIGGER</v>
      </c>
      <c r="W11" s="0" t="str">
        <f aca="false">IF(AND(W5&gt;=W6,W7&gt;=W8,W9&gt;=W10),"PASS","TRIGGER")</f>
        <v>TRIGGER</v>
      </c>
      <c r="X11" s="0" t="str">
        <f aca="false">IF(AND(X5&gt;=X6,X7&gt;=X8,X9&gt;=X10),"PASS","TRIGGER")</f>
        <v>TRIGGER</v>
      </c>
      <c r="Y11" s="0" t="str">
        <f aca="false">IF(AND(Y5&gt;=Y6,Y7&gt;=Y8,Y9&gt;=Y10),"PASS","TRIGGER")</f>
        <v>TRIGGER</v>
      </c>
      <c r="Z11" s="0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5" min="3" style="0" width="18"/>
    <col collapsed="false" customWidth="true" hidden="false" outlineLevel="0" max="6" min="6" style="0" width="38"/>
  </cols>
  <sheetData>
    <row r="2" customFormat="false" ht="27.75" hidden="false" customHeight="true" outlineLevel="0" collapsed="false">
      <c r="B2" s="1" t="s">
        <v>116</v>
      </c>
      <c r="C2" s="1"/>
      <c r="D2" s="1"/>
      <c r="E2" s="1"/>
      <c r="F2" s="1"/>
    </row>
    <row r="4" customFormat="false" ht="15" hidden="false" customHeight="false" outlineLevel="0" collapsed="false">
      <c r="B4" s="8" t="s">
        <v>109</v>
      </c>
      <c r="C4" s="8" t="s">
        <v>117</v>
      </c>
      <c r="D4" s="8" t="s">
        <v>118</v>
      </c>
      <c r="E4" s="8" t="s">
        <v>119</v>
      </c>
      <c r="F4" s="8" t="s">
        <v>120</v>
      </c>
    </row>
    <row r="5" customFormat="false" ht="15" hidden="false" customHeight="false" outlineLevel="0" collapsed="false">
      <c r="B5" s="0" t="s">
        <v>121</v>
      </c>
      <c r="C5" s="18" t="n">
        <f aca="false">Assumptions!E12</f>
        <v>650</v>
      </c>
      <c r="D5" s="18" t="n">
        <f aca="false">Assumptions!E14</f>
        <v>220</v>
      </c>
      <c r="E5" s="18" t="n">
        <f aca="false">Assumptions!E5-Assumptions!E12-Assumptions!E14</f>
        <v>130</v>
      </c>
      <c r="F5" s="11" t="s">
        <v>122</v>
      </c>
    </row>
    <row r="6" customFormat="false" ht="15" hidden="false" customHeight="false" outlineLevel="0" collapsed="false">
      <c r="B6" s="0" t="s">
        <v>123</v>
      </c>
      <c r="C6" s="18" t="n">
        <f aca="false">Waterfall!Z12</f>
        <v>0</v>
      </c>
      <c r="D6" s="18" t="n">
        <f aca="false">Waterfall!Z18</f>
        <v>0</v>
      </c>
      <c r="E6" s="18" t="n">
        <f aca="false">0</f>
        <v>0</v>
      </c>
      <c r="F6" s="11" t="s">
        <v>124</v>
      </c>
    </row>
    <row r="7" customFormat="false" ht="15" hidden="false" customHeight="false" outlineLevel="0" collapsed="false">
      <c r="B7" s="0" t="s">
        <v>125</v>
      </c>
      <c r="C7" s="18" t="n">
        <f aca="false">SUM(Waterfall!C11:Z11)</f>
        <v>650</v>
      </c>
      <c r="D7" s="18" t="n">
        <f aca="false">SUM(Waterfall!C17:Z17)</f>
        <v>220</v>
      </c>
      <c r="E7" s="18" t="n">
        <f aca="false">0</f>
        <v>0</v>
      </c>
      <c r="F7" s="11" t="s">
        <v>126</v>
      </c>
    </row>
    <row r="8" customFormat="false" ht="15" hidden="false" customHeight="false" outlineLevel="0" collapsed="false">
      <c r="B8" s="0" t="s">
        <v>127</v>
      </c>
      <c r="C8" s="18" t="n">
        <f aca="false">SUM(Waterfall!C9:Z9)</f>
        <v>19.7203782547644</v>
      </c>
      <c r="D8" s="18" t="n">
        <f aca="false">SUM(Waterfall!C15:Z15)</f>
        <v>26.0032025432168</v>
      </c>
      <c r="E8" s="18" t="n">
        <f aca="false">SUM(Waterfall!C19:Z19)</f>
        <v>148.179781417284</v>
      </c>
      <c r="F8" s="11" t="s">
        <v>128</v>
      </c>
    </row>
    <row r="9" customFormat="false" ht="15" hidden="false" customHeight="false" outlineLevel="0" collapsed="false">
      <c r="B9" s="0" t="s">
        <v>129</v>
      </c>
      <c r="C9" s="22" t="n">
        <f aca="false">SUMPRODUCT(COLUMN(Waterfall!C11:Z11)-COLUMN(Waterfall!B11),Waterfall!C11:Z11)/Assumptions!E20/SUM(Waterfall!C11:Z11)</f>
        <v>0.606780869377365</v>
      </c>
      <c r="D9" s="22" t="n">
        <f aca="false">SUMPRODUCT(COLUMN(Waterfall!C17:Z17)-COLUMN(Waterfall!B17),Waterfall!C17:Z17)/Assumptions!E20/SUM(Waterfall!C17:Z17)</f>
        <v>1.4774546899555</v>
      </c>
      <c r="E9" s="22" t="n">
        <f aca="false">0</f>
        <v>0</v>
      </c>
      <c r="F9" s="11" t="s">
        <v>130</v>
      </c>
    </row>
    <row r="10" customFormat="false" ht="15" hidden="false" customHeight="false" outlineLevel="0" collapsed="false">
      <c r="B10" s="0" t="s">
        <v>131</v>
      </c>
      <c r="C10" s="18" t="n">
        <f aca="false">SUM(Waterfall!C10:Z10)</f>
        <v>0</v>
      </c>
      <c r="D10" s="18" t="n">
        <f aca="false">SUM(Waterfall!C16:Z16)</f>
        <v>0</v>
      </c>
      <c r="E10" s="18" t="n">
        <f aca="false">0</f>
        <v>0</v>
      </c>
      <c r="F10" s="11" t="s">
        <v>132</v>
      </c>
    </row>
    <row r="11" customFormat="false" ht="15" hidden="false" customHeight="false" outlineLevel="0" collapsed="false">
      <c r="B11" s="0" t="s">
        <v>133</v>
      </c>
      <c r="C11" s="18" t="n">
        <f aca="false">Waterfall!Z12</f>
        <v>0</v>
      </c>
      <c r="D11" s="18" t="n">
        <f aca="false">Waterfall!Z18</f>
        <v>0</v>
      </c>
      <c r="E11" s="18" t="n">
        <f aca="false">MAX(0,Collateral!Z14-Waterfall!Z12-Waterfall!Z18)</f>
        <v>0</v>
      </c>
      <c r="F11" s="11" t="s">
        <v>134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135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136</v>
      </c>
      <c r="C4" s="23" t="n">
        <v>0</v>
      </c>
      <c r="D4" s="23" t="n">
        <v>0.06</v>
      </c>
      <c r="E4" s="23" t="n">
        <v>0.12</v>
      </c>
      <c r="F4" s="23" t="n">
        <v>0.18</v>
      </c>
      <c r="G4" s="23" t="n">
        <v>0.24</v>
      </c>
    </row>
    <row r="5" customFormat="false" ht="15" hidden="false" customHeight="false" outlineLevel="0" collapsed="false">
      <c r="B5" s="24" t="n">
        <v>0</v>
      </c>
      <c r="C5" s="18" t="n">
        <f aca="false">MAX(0,Assumptions!$E$12-Assumptions!$E$5*(1-(1-$B5)^(2))*(1-Assumptions!$E$9)-Assumptions!$E$5*(1-(1-C$4)^2))</f>
        <v>650</v>
      </c>
      <c r="D5" s="18" t="n">
        <f aca="false">MAX(0,Assumptions!$E$12-Assumptions!$E$5*(1-(1-$B5)^(2))*(1-Assumptions!$E$9)-Assumptions!$E$5*(1-(1-D$4)^2))</f>
        <v>533.6</v>
      </c>
      <c r="E5" s="18" t="n">
        <f aca="false">MAX(0,Assumptions!$E$12-Assumptions!$E$5*(1-(1-$B5)^(2))*(1-Assumptions!$E$9)-Assumptions!$E$5*(1-(1-E$4)^2))</f>
        <v>424.4</v>
      </c>
      <c r="F5" s="18" t="n">
        <f aca="false">MAX(0,Assumptions!$E$12-Assumptions!$E$5*(1-(1-$B5)^(2))*(1-Assumptions!$E$9)-Assumptions!$E$5*(1-(1-F$4)^2))</f>
        <v>322.4</v>
      </c>
      <c r="G5" s="18" t="n">
        <f aca="false">MAX(0,Assumptions!$E$12-Assumptions!$E$5*(1-(1-$B5)^(2))*(1-Assumptions!$E$9)-Assumptions!$E$5*(1-(1-G$4)^2))</f>
        <v>227.6</v>
      </c>
    </row>
    <row r="6" customFormat="false" ht="15" hidden="false" customHeight="false" outlineLevel="0" collapsed="false">
      <c r="B6" s="24" t="n">
        <v>0.03</v>
      </c>
      <c r="C6" s="18" t="n">
        <f aca="false">MAX(0,Assumptions!$E$12-Assumptions!$E$5*(1-(1-$B6)^(2))*(1-Assumptions!$E$9)-Assumptions!$E$5*(1-(1-C$4)^2))</f>
        <v>617.495</v>
      </c>
      <c r="D6" s="18" t="n">
        <f aca="false">MAX(0,Assumptions!$E$12-Assumptions!$E$5*(1-(1-$B6)^(2))*(1-Assumptions!$E$9)-Assumptions!$E$5*(1-(1-D$4)^2))</f>
        <v>501.095</v>
      </c>
      <c r="E6" s="18" t="n">
        <f aca="false">MAX(0,Assumptions!$E$12-Assumptions!$E$5*(1-(1-$B6)^(2))*(1-Assumptions!$E$9)-Assumptions!$E$5*(1-(1-E$4)^2))</f>
        <v>391.895</v>
      </c>
      <c r="F6" s="18" t="n">
        <f aca="false">MAX(0,Assumptions!$E$12-Assumptions!$E$5*(1-(1-$B6)^(2))*(1-Assumptions!$E$9)-Assumptions!$E$5*(1-(1-F$4)^2))</f>
        <v>289.895</v>
      </c>
      <c r="G6" s="18" t="n">
        <f aca="false">MAX(0,Assumptions!$E$12-Assumptions!$E$5*(1-(1-$B6)^(2))*(1-Assumptions!$E$9)-Assumptions!$E$5*(1-(1-G$4)^2))</f>
        <v>195.095</v>
      </c>
    </row>
    <row r="7" customFormat="false" ht="15" hidden="false" customHeight="false" outlineLevel="0" collapsed="false">
      <c r="B7" s="24" t="n">
        <v>0.06</v>
      </c>
      <c r="C7" s="18" t="n">
        <f aca="false">MAX(0,Assumptions!$E$12-Assumptions!$E$5*(1-(1-$B7)^(2))*(1-Assumptions!$E$9)-Assumptions!$E$5*(1-(1-C$4)^2))</f>
        <v>585.98</v>
      </c>
      <c r="D7" s="18" t="n">
        <f aca="false">MAX(0,Assumptions!$E$12-Assumptions!$E$5*(1-(1-$B7)^(2))*(1-Assumptions!$E$9)-Assumptions!$E$5*(1-(1-D$4)^2))</f>
        <v>469.58</v>
      </c>
      <c r="E7" s="18" t="n">
        <f aca="false">MAX(0,Assumptions!$E$12-Assumptions!$E$5*(1-(1-$B7)^(2))*(1-Assumptions!$E$9)-Assumptions!$E$5*(1-(1-E$4)^2))</f>
        <v>360.38</v>
      </c>
      <c r="F7" s="18" t="n">
        <f aca="false">MAX(0,Assumptions!$E$12-Assumptions!$E$5*(1-(1-$B7)^(2))*(1-Assumptions!$E$9)-Assumptions!$E$5*(1-(1-F$4)^2))</f>
        <v>258.38</v>
      </c>
      <c r="G7" s="18" t="n">
        <f aca="false">MAX(0,Assumptions!$E$12-Assumptions!$E$5*(1-(1-$B7)^(2))*(1-Assumptions!$E$9)-Assumptions!$E$5*(1-(1-G$4)^2))</f>
        <v>163.58</v>
      </c>
    </row>
    <row r="8" customFormat="false" ht="15" hidden="false" customHeight="false" outlineLevel="0" collapsed="false">
      <c r="B8" s="24" t="n">
        <v>0.09</v>
      </c>
      <c r="C8" s="18" t="n">
        <f aca="false">MAX(0,Assumptions!$E$12-Assumptions!$E$5*(1-(1-$B8)^(2))*(1-Assumptions!$E$9)-Assumptions!$E$5*(1-(1-C$4)^2))</f>
        <v>555.455</v>
      </c>
      <c r="D8" s="18" t="n">
        <f aca="false">MAX(0,Assumptions!$E$12-Assumptions!$E$5*(1-(1-$B8)^(2))*(1-Assumptions!$E$9)-Assumptions!$E$5*(1-(1-D$4)^2))</f>
        <v>439.055</v>
      </c>
      <c r="E8" s="18" t="n">
        <f aca="false">MAX(0,Assumptions!$E$12-Assumptions!$E$5*(1-(1-$B8)^(2))*(1-Assumptions!$E$9)-Assumptions!$E$5*(1-(1-E$4)^2))</f>
        <v>329.855</v>
      </c>
      <c r="F8" s="18" t="n">
        <f aca="false">MAX(0,Assumptions!$E$12-Assumptions!$E$5*(1-(1-$B8)^(2))*(1-Assumptions!$E$9)-Assumptions!$E$5*(1-(1-F$4)^2))</f>
        <v>227.855</v>
      </c>
      <c r="G8" s="18" t="n">
        <f aca="false">MAX(0,Assumptions!$E$12-Assumptions!$E$5*(1-(1-$B8)^(2))*(1-Assumptions!$E$9)-Assumptions!$E$5*(1-(1-G$4)^2))</f>
        <v>133.055</v>
      </c>
    </row>
    <row r="9" customFormat="false" ht="15" hidden="false" customHeight="false" outlineLevel="0" collapsed="false">
      <c r="B9" s="24" t="n">
        <v>0.12</v>
      </c>
      <c r="C9" s="18" t="n">
        <f aca="false">MAX(0,Assumptions!$E$12-Assumptions!$E$5*(1-(1-$B9)^(2))*(1-Assumptions!$E$9)-Assumptions!$E$5*(1-(1-C$4)^2))</f>
        <v>525.92</v>
      </c>
      <c r="D9" s="18" t="n">
        <f aca="false">MAX(0,Assumptions!$E$12-Assumptions!$E$5*(1-(1-$B9)^(2))*(1-Assumptions!$E$9)-Assumptions!$E$5*(1-(1-D$4)^2))</f>
        <v>409.52</v>
      </c>
      <c r="E9" s="18" t="n">
        <f aca="false">MAX(0,Assumptions!$E$12-Assumptions!$E$5*(1-(1-$B9)^(2))*(1-Assumptions!$E$9)-Assumptions!$E$5*(1-(1-E$4)^2))</f>
        <v>300.32</v>
      </c>
      <c r="F9" s="18" t="n">
        <f aca="false">MAX(0,Assumptions!$E$12-Assumptions!$E$5*(1-(1-$B9)^(2))*(1-Assumptions!$E$9)-Assumptions!$E$5*(1-(1-F$4)^2))</f>
        <v>198.32</v>
      </c>
      <c r="G9" s="18" t="n">
        <f aca="false">MAX(0,Assumptions!$E$12-Assumptions!$E$5*(1-(1-$B9)^(2))*(1-Assumptions!$E$9)-Assumptions!$E$5*(1-(1-G$4)^2))</f>
        <v>103.52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137</v>
      </c>
      <c r="C2" s="1"/>
    </row>
    <row r="4" customFormat="false" ht="15" hidden="false" customHeight="false" outlineLevel="0" collapsed="false">
      <c r="B4" s="8" t="s">
        <v>138</v>
      </c>
      <c r="C4" s="8" t="s">
        <v>139</v>
      </c>
    </row>
    <row r="5" customFormat="false" ht="15" hidden="false" customHeight="false" outlineLevel="0" collapsed="false">
      <c r="B5" s="0" t="s">
        <v>140</v>
      </c>
      <c r="C5" s="0" t="str">
        <f aca="false">IF(MIN(Collateral!C14:Z14)&gt;=0,"PASS","FAIL")</f>
        <v>PASS</v>
      </c>
    </row>
    <row r="6" customFormat="false" ht="15" hidden="false" customHeight="false" outlineLevel="0" collapsed="false">
      <c r="B6" s="0" t="s">
        <v>141</v>
      </c>
      <c r="C6" s="0" t="str">
        <f aca="false">IF(MIN(Waterfall!C12:Z12)&gt;=0,"PASS","FAIL")</f>
        <v>PASS</v>
      </c>
    </row>
    <row r="7" customFormat="false" ht="15" hidden="false" customHeight="false" outlineLevel="0" collapsed="false">
      <c r="B7" s="0" t="s">
        <v>142</v>
      </c>
      <c r="C7" s="0" t="str">
        <f aca="false">IF(MIN(Waterfall!C18:Z18)&gt;=0,"PASS","FAIL")</f>
        <v>PASS</v>
      </c>
    </row>
    <row r="8" customFormat="false" ht="15" hidden="false" customHeight="false" outlineLevel="0" collapsed="false">
      <c r="B8" s="0" t="s">
        <v>143</v>
      </c>
      <c r="C8" s="0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false" outlineLevel="0" collapsed="false">
      <c r="B9" s="0" t="s">
        <v>144</v>
      </c>
      <c r="C9" s="0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false" outlineLevel="0" collapsed="false">
      <c r="B10" s="0" t="s">
        <v>145</v>
      </c>
      <c r="C10" s="0" t="str">
        <f aca="false">IF(COUNTIF(Triggers!C11:Z11,"TRIGGER")=0,"PASS","REVIEW")</f>
        <v>REVIEW</v>
      </c>
    </row>
    <row r="11" customFormat="false" ht="15" hidden="false" customHeight="false" outlineLevel="0" collapsed="false">
      <c r="B11" s="0" t="s">
        <v>146</v>
      </c>
      <c r="C11" s="0" t="str">
        <f aca="false">IF(AND(MIN('Loss Curves'!C7:Z9)&gt;=0,MAX('Loss Curves'!C7:Z9)&lt;=1),"PASS","FAIL")</f>
        <v>PASS</v>
      </c>
    </row>
    <row r="12" customFormat="false" ht="15" hidden="false" customHeight="false" outlineLevel="0" collapsed="false">
      <c r="B12" s="0" t="s">
        <v>147</v>
      </c>
      <c r="C12" s="0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148</v>
      </c>
      <c r="C2" s="1"/>
      <c r="D2" s="1"/>
      <c r="E2" s="1"/>
    </row>
    <row r="4" customFormat="false" ht="15" hidden="false" customHeight="false" outlineLevel="0" collapsed="false">
      <c r="B4" s="8" t="s">
        <v>149</v>
      </c>
      <c r="C4" s="8" t="s">
        <v>150</v>
      </c>
      <c r="D4" s="8" t="s">
        <v>151</v>
      </c>
      <c r="E4" s="8" t="s">
        <v>152</v>
      </c>
    </row>
    <row r="5" customFormat="false" ht="15" hidden="false" customHeight="false" outlineLevel="0" collapsed="false">
      <c r="B5" s="25" t="s">
        <v>153</v>
      </c>
      <c r="C5" s="25" t="s">
        <v>154</v>
      </c>
      <c r="D5" s="25" t="s">
        <v>6</v>
      </c>
      <c r="E5" s="25" t="s">
        <v>155</v>
      </c>
    </row>
    <row r="6" customFormat="false" ht="15" hidden="false" customHeight="false" outlineLevel="0" collapsed="false">
      <c r="B6" s="25" t="s">
        <v>156</v>
      </c>
      <c r="C6" s="25" t="s">
        <v>157</v>
      </c>
      <c r="D6" s="25" t="s">
        <v>158</v>
      </c>
      <c r="E6" s="25" t="s">
        <v>159</v>
      </c>
    </row>
    <row r="7" customFormat="false" ht="15" hidden="false" customHeight="false" outlineLevel="0" collapsed="false">
      <c r="B7" s="25" t="s">
        <v>160</v>
      </c>
      <c r="C7" s="25" t="s">
        <v>161</v>
      </c>
      <c r="D7" s="25" t="s">
        <v>162</v>
      </c>
      <c r="E7" s="25" t="s">
        <v>163</v>
      </c>
    </row>
    <row r="8" customFormat="false" ht="15" hidden="false" customHeight="false" outlineLevel="0" collapsed="false">
      <c r="B8" s="25" t="s">
        <v>164</v>
      </c>
      <c r="C8" s="25" t="s">
        <v>165</v>
      </c>
      <c r="D8" s="25" t="s">
        <v>6</v>
      </c>
      <c r="E8" s="25" t="s">
        <v>166</v>
      </c>
    </row>
    <row r="9" customFormat="false" ht="15" hidden="false" customHeight="false" outlineLevel="0" collapsed="false">
      <c r="B9" s="25" t="s">
        <v>167</v>
      </c>
      <c r="C9" s="25" t="s">
        <v>168</v>
      </c>
      <c r="D9" s="25" t="s">
        <v>6</v>
      </c>
      <c r="E9" s="25" t="s">
        <v>169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170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171</v>
      </c>
      <c r="C4" s="8" t="s">
        <v>172</v>
      </c>
      <c r="D4" s="8" t="s">
        <v>173</v>
      </c>
      <c r="E4" s="8" t="s">
        <v>174</v>
      </c>
      <c r="F4" s="8" t="s">
        <v>175</v>
      </c>
      <c r="G4" s="8" t="s">
        <v>176</v>
      </c>
    </row>
    <row r="5" customFormat="false" ht="15" hidden="false" customHeight="false" outlineLevel="0" collapsed="false">
      <c r="B5" s="26"/>
      <c r="C5" s="26"/>
      <c r="D5" s="26"/>
      <c r="E5" s="26"/>
      <c r="F5" s="26"/>
      <c r="G5" s="26"/>
    </row>
    <row r="6" customFormat="false" ht="15" hidden="false" customHeight="false" outlineLevel="0" collapsed="false">
      <c r="B6" s="26"/>
      <c r="C6" s="26"/>
      <c r="D6" s="26"/>
      <c r="E6" s="26"/>
      <c r="F6" s="26"/>
      <c r="G6" s="26"/>
    </row>
    <row r="7" customFormat="false" ht="15" hidden="false" customHeight="false" outlineLevel="0" collapsed="false">
      <c r="B7" s="26"/>
      <c r="C7" s="26"/>
      <c r="D7" s="26"/>
      <c r="E7" s="26"/>
      <c r="F7" s="26"/>
      <c r="G7" s="26"/>
    </row>
    <row r="8" customFormat="false" ht="15" hidden="false" customHeight="false" outlineLevel="0" collapsed="false">
      <c r="B8" s="26"/>
      <c r="C8" s="26"/>
      <c r="D8" s="26"/>
      <c r="E8" s="26"/>
      <c r="F8" s="26"/>
      <c r="G8" s="26"/>
    </row>
    <row r="9" customFormat="false" ht="15" hidden="false" customHeight="false" outlineLevel="0" collapsed="false">
      <c r="B9" s="26"/>
      <c r="C9" s="26"/>
      <c r="D9" s="26"/>
      <c r="E9" s="26"/>
      <c r="F9" s="26"/>
      <c r="G9" s="26"/>
    </row>
    <row r="10" customFormat="false" ht="15" hidden="false" customHeight="false" outlineLevel="0" collapsed="false">
      <c r="B10" s="26"/>
      <c r="C10" s="26"/>
      <c r="D10" s="26"/>
      <c r="E10" s="26"/>
      <c r="F10" s="26"/>
      <c r="G10" s="26"/>
    </row>
    <row r="11" customFormat="false" ht="15" hidden="false" customHeight="false" outlineLevel="0" collapsed="false">
      <c r="B11" s="26"/>
      <c r="C11" s="26"/>
      <c r="D11" s="26"/>
      <c r="E11" s="26"/>
      <c r="F11" s="26"/>
      <c r="G11" s="26"/>
    </row>
    <row r="12" customFormat="false" ht="15" hidden="false" customHeight="false" outlineLevel="0" collapsed="false">
      <c r="B12" s="26"/>
      <c r="C12" s="26"/>
      <c r="D12" s="26"/>
      <c r="E12" s="26"/>
      <c r="F12" s="26"/>
      <c r="G12" s="26"/>
    </row>
    <row r="13" customFormat="false" ht="15" hidden="false" customHeight="false" outlineLevel="0" collapsed="false">
      <c r="B13" s="26"/>
      <c r="C13" s="26"/>
      <c r="D13" s="26"/>
      <c r="E13" s="26"/>
      <c r="F13" s="26"/>
      <c r="G13" s="26"/>
    </row>
    <row r="14" customFormat="false" ht="15" hidden="false" customHeight="false" outlineLevel="0" collapsed="false">
      <c r="B14" s="26"/>
      <c r="C14" s="26"/>
      <c r="D14" s="26"/>
      <c r="E14" s="26"/>
      <c r="F14" s="26"/>
      <c r="G14" s="26"/>
    </row>
    <row r="15" customFormat="false" ht="15" hidden="false" customHeight="false" outlineLevel="0" collapsed="false">
      <c r="B15" s="26"/>
      <c r="C15" s="26"/>
      <c r="D15" s="26"/>
      <c r="E15" s="26"/>
      <c r="F15" s="26"/>
      <c r="G15" s="26"/>
    </row>
    <row r="16" customFormat="false" ht="15" hidden="false" customHeight="false" outlineLevel="0" collapsed="false">
      <c r="B16" s="26"/>
      <c r="C16" s="26"/>
      <c r="D16" s="26"/>
      <c r="E16" s="26"/>
      <c r="F16" s="26"/>
      <c r="G16" s="26"/>
    </row>
    <row r="17" customFormat="false" ht="15" hidden="false" customHeight="false" outlineLevel="0" collapsed="false">
      <c r="B17" s="26"/>
      <c r="C17" s="26"/>
      <c r="D17" s="26"/>
      <c r="E17" s="26"/>
      <c r="F17" s="26"/>
      <c r="G17" s="26"/>
    </row>
    <row r="18" customFormat="false" ht="15" hidden="false" customHeight="false" outlineLevel="0" collapsed="false">
      <c r="B18" s="26"/>
      <c r="C18" s="26"/>
      <c r="D18" s="26"/>
      <c r="E18" s="26"/>
      <c r="F18" s="26"/>
      <c r="G18" s="26"/>
    </row>
    <row r="19" customFormat="false" ht="15" hidden="false" customHeight="false" outlineLevel="0" collapsed="false">
      <c r="B19" s="26"/>
      <c r="C19" s="26"/>
      <c r="D19" s="26"/>
      <c r="E19" s="26"/>
      <c r="F19" s="26"/>
      <c r="G19" s="26"/>
    </row>
    <row r="20" customFormat="false" ht="15" hidden="false" customHeight="false" outlineLevel="0" collapsed="false">
      <c r="B20" s="26"/>
      <c r="C20" s="26"/>
      <c r="D20" s="26"/>
      <c r="E20" s="26"/>
      <c r="F20" s="26"/>
      <c r="G20" s="26"/>
    </row>
    <row r="21" customFormat="false" ht="15" hidden="false" customHeight="false" outlineLevel="0" collapsed="false">
      <c r="B21" s="26"/>
      <c r="C21" s="26"/>
      <c r="D21" s="26"/>
      <c r="E21" s="26"/>
      <c r="F21" s="26"/>
      <c r="G21" s="26"/>
    </row>
    <row r="22" customFormat="false" ht="15" hidden="false" customHeight="false" outlineLevel="0" collapsed="false">
      <c r="B22" s="26"/>
      <c r="C22" s="26"/>
      <c r="D22" s="26"/>
      <c r="E22" s="26"/>
      <c r="F22" s="26"/>
      <c r="G22" s="26"/>
    </row>
    <row r="23" customFormat="false" ht="15" hidden="false" customHeight="false" outlineLevel="0" collapsed="false">
      <c r="B23" s="26"/>
      <c r="C23" s="26"/>
      <c r="D23" s="26"/>
      <c r="E23" s="26"/>
      <c r="F23" s="26"/>
      <c r="G23" s="26"/>
    </row>
    <row r="24" customFormat="false" ht="15" hidden="false" customHeight="false" outlineLevel="0" collapsed="false">
      <c r="B24" s="26"/>
      <c r="C24" s="26"/>
      <c r="D24" s="26"/>
      <c r="E24" s="26"/>
      <c r="F24" s="26"/>
      <c r="G24" s="26"/>
    </row>
    <row r="25" customFormat="false" ht="15" hidden="false" customHeight="false" outlineLevel="0" collapsed="false">
      <c r="B25" s="26"/>
      <c r="C25" s="26"/>
      <c r="D25" s="26"/>
      <c r="E25" s="26"/>
      <c r="F25" s="26"/>
      <c r="G25" s="26"/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6"/>
      <c r="C27" s="26"/>
      <c r="D27" s="26"/>
      <c r="E27" s="26"/>
      <c r="F27" s="26"/>
      <c r="G27" s="26"/>
    </row>
    <row r="28" customFormat="false" ht="15" hidden="false" customHeight="false" outlineLevel="0" collapsed="false">
      <c r="B28" s="26"/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/>
      <c r="C29" s="26"/>
      <c r="D29" s="26"/>
      <c r="E29" s="26"/>
      <c r="F29" s="26"/>
      <c r="G29" s="2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2026-08-04T02:31:13Z</dcterms:created>
  <dc:creator>openpyxl</dc:creator>
  <dc:description/>
  <dc:language>en-US</dc:language>
  <cp:lastModifiedBy/>
  <dcterms:modified xsi:type="dcterms:W3CDTF">2026-08-04T02:31:13Z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