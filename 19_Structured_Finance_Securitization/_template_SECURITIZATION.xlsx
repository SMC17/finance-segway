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llateral Pool" sheetId="2" state="visible" r:id="rId4"/>
    <sheet name="Waterfall" sheetId="3" state="visible" r:id="rId5"/>
    <sheet name="WAL &amp; CPR" sheetId="4" state="visible" r:id="rId6"/>
    <sheet name="Refresh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<sst xmlns="http://schemas.openxmlformats.org/spreadsheetml/2006/main" count="48" uniqueCount="47">
  <si>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[DEAL] — Structured Finance / Securitization Model</t>
  </si>
  <si>
    <t xml:space="preserve">Asset class:</t>
  </si>
  <si>
    <t xml:space="preserve">RMBS / ABS / CLO</t>
  </si>
  <si>
    <t xml:space="preserve">Closing date:</t>
  </si>
  <si>
    <t xml:space="preserve">[date]</t>
  </si>
  <si>
    <t xml:space="preserve">Last refreshed:</t>
  </si>
  <si>
    <t xml:space="preserve">Refresh cadence:</t>
  </si>
  <si>
    <t xml:space="preserve">Weekly (monthly at distribution date)</t>
  </si>
  <si>
    <t xml:space="preserve">Collateral Pool Summary</t>
  </si>
  <si>
    <t xml:space="preserve">Aggregate pool balance ($)</t>
  </si>
  <si>
    <t xml:space="preserve">Weighted avg coupon (WAC, %)</t>
  </si>
  <si>
    <t xml:space="preserve">Weighted avg maturity (WAM, months)</t>
  </si>
  <si>
    <t xml:space="preserve">Conditional prepayment rate assumption (CPR, %)</t>
  </si>
  <si>
    <t xml:space="preserve">Cumulative default rate assumption (%)</t>
  </si>
  <si>
    <t xml:space="preserve">Recovery rate on defaults (%)</t>
  </si>
  <si>
    <t xml:space="preserve">Single Monthly Mortality (SMM) from CPR</t>
  </si>
  <si>
    <t xml:space="preserve">SMM = 1-(1-CPR)^(1/12) — standard CPR-to-SMM conversion</t>
  </si>
  <si>
    <t xml:space="preserve">Tranche Structure &amp; Credit Enhancement</t>
  </si>
  <si>
    <t xml:space="preserve">Tranche</t>
  </si>
  <si>
    <t xml:space="preserve">Face ($)</t>
  </si>
  <si>
    <t xml:space="preserve">% of pool</t>
  </si>
  <si>
    <t xml:space="preserve">Coupon</t>
  </si>
  <si>
    <t xml:space="preserve">Credit enhancement %</t>
  </si>
  <si>
    <t xml:space="preserve">Notes</t>
  </si>
  <si>
    <t xml:space="preserve">Class A (senior)</t>
  </si>
  <si>
    <t xml:space="preserve">Class B (mezz)</t>
  </si>
  <si>
    <t xml:space="preserve">Class C (mezz)</t>
  </si>
  <si>
    <t xml:space="preserve">Class D (subordinate)</t>
  </si>
  <si>
    <t xml:space="preserve">Equity / residual</t>
  </si>
  <si>
    <t xml:space="preserve">Total</t>
  </si>
  <si>
    <t xml:space="preserve">CE% for a tranche = subordinate tranche cushion that absorbs losses before it does</t>
  </si>
  <si>
    <t xml:space="preserve">Weighted Average Life</t>
  </si>
  <si>
    <t xml:space="preserve">Principal paydown schedule (months 1-6 sample, extend as needed)</t>
  </si>
  <si>
    <t xml:space="preserve">Month</t>
  </si>
  <si>
    <t xml:space="preserve">Beg. balance</t>
  </si>
  <si>
    <t xml:space="preserve">Scheduled prin.</t>
  </si>
  <si>
    <t xml:space="preserve">Prepayment (SMM x bal)</t>
  </si>
  <si>
    <t xml:space="preserve">End balance</t>
  </si>
  <si>
    <t xml:space="preserve">Total principal paid (sample months)</t>
  </si>
  <si>
    <t xml:space="preserve">WAL (years) = sum(month x principal paid that month) / total principal / 12</t>
  </si>
  <si>
    <t xml:space="preserve">Computed on this 6-month sample schedule only — extend rows 6-11 to the deal's actual WAM for a real WAL, not just a demo of the mechanics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</si>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</sst>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0.00%;\(0.00%\);\-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3" t="s">
        <v>4</v>
      </c>
    </row>
    <row r="7" customFormat="false" ht="15" hidden="false" customHeight="false" outlineLevel="0" collapsed="false">
      <c r="B7" s="2" t="s">
        <v>6</v>
      </c>
      <c r="C7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8</v>
      </c>
    </row>
    <row r="5" customFormat="false" ht="15" hidden="false" customHeight="false" outlineLevel="0" collapsed="false">
      <c r="B5" s="4" t="s">
        <v>9</v>
      </c>
      <c r="C5" s="5" t="n">
        <v>0</v>
      </c>
    </row>
    <row r="6" customFormat="false" ht="15" hidden="false" customHeight="false" outlineLevel="0" collapsed="false">
      <c r="B6" s="4" t="s">
        <v>10</v>
      </c>
      <c r="C6" s="6" t="n">
        <v>0.06</v>
      </c>
    </row>
    <row r="7" customFormat="false" ht="15" hidden="false" customHeight="false" outlineLevel="0" collapsed="false">
      <c r="B7" s="4" t="s">
        <v>11</v>
      </c>
      <c r="C7" s="7" t="n">
        <v>360</v>
      </c>
    </row>
    <row r="8" customFormat="false" ht="15" hidden="false" customHeight="false" outlineLevel="0" collapsed="false">
      <c r="B8" s="4" t="s">
        <v>12</v>
      </c>
      <c r="C8" s="6" t="n">
        <v>0.08</v>
      </c>
    </row>
    <row r="9" customFormat="false" ht="15" hidden="false" customHeight="false" outlineLevel="0" collapsed="false">
      <c r="B9" s="4" t="s">
        <v>13</v>
      </c>
      <c r="C9" s="6" t="n">
        <v>0.03</v>
      </c>
    </row>
    <row r="10" customFormat="false" ht="15" hidden="false" customHeight="false" outlineLevel="0" collapsed="false">
      <c r="B10" s="4" t="s">
        <v>14</v>
      </c>
      <c r="C10" s="6" t="n">
        <v>0.5</v>
      </c>
    </row>
    <row r="12" customFormat="false" ht="15" hidden="false" customHeight="false" outlineLevel="0" collapsed="false">
      <c r="B12" s="0" t="s">
        <v>15</v>
      </c>
      <c r="C12" s="8" t="n">
        <f aca="false">1-(1-C8)^(1/12)</f>
        <v>0.00692438262829942</v>
      </c>
      <c r="D12" s="9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40"/>
  </cols>
  <sheetData>
    <row r="2" customFormat="false" ht="19.7" hidden="false" customHeight="false" outlineLevel="0" collapsed="false">
      <c r="B2" s="1" t="s">
        <v>17</v>
      </c>
    </row>
    <row r="4" customFormat="false" ht="15" hidden="false" customHeight="false" outlineLevel="0" collapsed="false">
      <c r="A4" s="10"/>
      <c r="B4" s="10" t="s">
        <v>18</v>
      </c>
      <c r="C4" s="10" t="s">
        <v>19</v>
      </c>
      <c r="D4" s="10" t="s">
        <v>20</v>
      </c>
      <c r="E4" s="10" t="s">
        <v>21</v>
      </c>
      <c r="F4" s="10" t="s">
        <v>22</v>
      </c>
      <c r="G4" s="11" t="s">
        <v>23</v>
      </c>
    </row>
    <row r="5" customFormat="false" ht="15" hidden="false" customHeight="false" outlineLevel="0" collapsed="false">
      <c r="B5" s="4" t="s">
        <v>24</v>
      </c>
      <c r="C5" s="12" t="n">
        <v>0</v>
      </c>
      <c r="D5" s="13" t="str">
        <f aca="false">IFERROR(C5/$C$10,"-")</f>
        <v>-</v>
      </c>
      <c r="E5" s="14" t="n">
        <v>0</v>
      </c>
      <c r="F5" s="13" t="str">
        <f aca="false">IFERROR(SUM(C6:C9)/$C$10,"-")</f>
        <v>-</v>
      </c>
    </row>
    <row r="6" customFormat="false" ht="15" hidden="false" customHeight="false" outlineLevel="0" collapsed="false">
      <c r="B6" s="4" t="s">
        <v>25</v>
      </c>
      <c r="C6" s="12" t="n">
        <v>0</v>
      </c>
      <c r="D6" s="13" t="str">
        <f aca="false">IFERROR(C6/$C$10,"-")</f>
        <v>-</v>
      </c>
      <c r="E6" s="14" t="n">
        <v>0</v>
      </c>
      <c r="F6" s="13" t="str">
        <f aca="false">IFERROR(SUM(C7:C9)/$C$10,"-")</f>
        <v>-</v>
      </c>
    </row>
    <row r="7" customFormat="false" ht="15" hidden="false" customHeight="false" outlineLevel="0" collapsed="false">
      <c r="B7" s="4" t="s">
        <v>26</v>
      </c>
      <c r="C7" s="12" t="n">
        <v>0</v>
      </c>
      <c r="D7" s="13" t="str">
        <f aca="false">IFERROR(C7/$C$10,"-")</f>
        <v>-</v>
      </c>
      <c r="E7" s="14" t="n">
        <v>0</v>
      </c>
      <c r="F7" s="13" t="str">
        <f aca="false">IFERROR(SUM(C8:C9)/$C$10,"-")</f>
        <v>-</v>
      </c>
    </row>
    <row r="8" customFormat="false" ht="15" hidden="false" customHeight="false" outlineLevel="0" collapsed="false">
      <c r="B8" s="4" t="s">
        <v>27</v>
      </c>
      <c r="C8" s="12" t="n">
        <v>0</v>
      </c>
      <c r="D8" s="13" t="str">
        <f aca="false">IFERROR(C8/$C$10,"-")</f>
        <v>-</v>
      </c>
      <c r="E8" s="14" t="n">
        <v>0</v>
      </c>
      <c r="F8" s="13" t="str">
        <f aca="false">IFERROR(SUM(C9:C9)/$C$10,"-")</f>
        <v>-</v>
      </c>
    </row>
    <row r="9" customFormat="false" ht="15" hidden="false" customHeight="false" outlineLevel="0" collapsed="false">
      <c r="B9" s="4" t="s">
        <v>28</v>
      </c>
      <c r="C9" s="12" t="n">
        <v>0</v>
      </c>
      <c r="D9" s="13" t="str">
        <f aca="false">IFERROR(C9/$C$10,"-")</f>
        <v>-</v>
      </c>
      <c r="E9" s="14" t="n">
        <v>0</v>
      </c>
      <c r="F9" s="13" t="str">
        <f aca="false">IFERROR(SUM(C10:C9)/$C$10,"-")</f>
        <v>-</v>
      </c>
    </row>
    <row r="10" customFormat="false" ht="15" hidden="false" customHeight="false" outlineLevel="0" collapsed="false">
      <c r="B10" s="2" t="s">
        <v>29</v>
      </c>
      <c r="C10" s="15" t="n">
        <f aca="false">SUM(C5:C9)</f>
        <v>0</v>
      </c>
    </row>
    <row r="12" customFormat="false" ht="15" hidden="false" customHeight="false" outlineLevel="0" collapsed="false">
      <c r="B12" s="9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31</v>
      </c>
    </row>
    <row r="4" customFormat="false" ht="15" hidden="false" customHeight="false" outlineLevel="0" collapsed="false">
      <c r="B4" s="9" t="s">
        <v>32</v>
      </c>
    </row>
    <row r="5" customFormat="false" ht="15" hidden="false" customHeight="false" outlineLevel="0" collapsed="false">
      <c r="B5" s="10" t="s">
        <v>33</v>
      </c>
      <c r="C5" s="10" t="s">
        <v>34</v>
      </c>
      <c r="D5" s="10" t="s">
        <v>35</v>
      </c>
      <c r="E5" s="10" t="s">
        <v>36</v>
      </c>
      <c r="F5" s="10" t="s">
        <v>37</v>
      </c>
    </row>
    <row r="6" customFormat="false" ht="15" hidden="false" customHeight="false" outlineLevel="0" collapsed="false">
      <c r="B6" s="0" t="n">
        <v>1</v>
      </c>
      <c r="C6" s="16" t="n">
        <f aca="false">'Collateral Pool'!C5</f>
        <v>0</v>
      </c>
      <c r="D6" s="12" t="n">
        <v>0</v>
      </c>
      <c r="E6" s="16" t="n">
        <f aca="false">C6*'Collateral Pool'!$C$12</f>
        <v>0</v>
      </c>
      <c r="F6" s="16" t="n">
        <f aca="false">C6-D6-E6</f>
        <v>0</v>
      </c>
    </row>
    <row r="7" customFormat="false" ht="15" hidden="false" customHeight="false" outlineLevel="0" collapsed="false">
      <c r="B7" s="0" t="n">
        <v>2</v>
      </c>
      <c r="C7" s="16" t="n">
        <f aca="false">F6</f>
        <v>0</v>
      </c>
      <c r="D7" s="12" t="n">
        <v>0</v>
      </c>
      <c r="E7" s="16" t="n">
        <f aca="false">C7*'Collateral Pool'!$C$12</f>
        <v>0</v>
      </c>
      <c r="F7" s="16" t="n">
        <f aca="false">C7-D7-E7</f>
        <v>0</v>
      </c>
    </row>
    <row r="8" customFormat="false" ht="15" hidden="false" customHeight="false" outlineLevel="0" collapsed="false">
      <c r="B8" s="0" t="n">
        <v>3</v>
      </c>
      <c r="C8" s="16" t="n">
        <f aca="false">F7</f>
        <v>0</v>
      </c>
      <c r="D8" s="12" t="n">
        <v>0</v>
      </c>
      <c r="E8" s="16" t="n">
        <f aca="false">C8*'Collateral Pool'!$C$12</f>
        <v>0</v>
      </c>
      <c r="F8" s="16" t="n">
        <f aca="false">C8-D8-E8</f>
        <v>0</v>
      </c>
    </row>
    <row r="9" customFormat="false" ht="15" hidden="false" customHeight="false" outlineLevel="0" collapsed="false">
      <c r="B9" s="0" t="n">
        <v>4</v>
      </c>
      <c r="C9" s="16" t="n">
        <f aca="false">F8</f>
        <v>0</v>
      </c>
      <c r="D9" s="12" t="n">
        <v>0</v>
      </c>
      <c r="E9" s="16" t="n">
        <f aca="false">C9*'Collateral Pool'!$C$12</f>
        <v>0</v>
      </c>
      <c r="F9" s="16" t="n">
        <f aca="false">C9-D9-E9</f>
        <v>0</v>
      </c>
    </row>
    <row r="10" customFormat="false" ht="15" hidden="false" customHeight="false" outlineLevel="0" collapsed="false">
      <c r="B10" s="0" t="n">
        <v>5</v>
      </c>
      <c r="C10" s="16" t="n">
        <f aca="false">F9</f>
        <v>0</v>
      </c>
      <c r="D10" s="12" t="n">
        <v>0</v>
      </c>
      <c r="E10" s="16" t="n">
        <f aca="false">C10*'Collateral Pool'!$C$12</f>
        <v>0</v>
      </c>
      <c r="F10" s="16" t="n">
        <f aca="false">C10-D10-E10</f>
        <v>0</v>
      </c>
    </row>
    <row r="11" customFormat="false" ht="15" hidden="false" customHeight="false" outlineLevel="0" collapsed="false">
      <c r="B11" s="0" t="n">
        <v>6</v>
      </c>
      <c r="C11" s="16" t="n">
        <f aca="false">F10</f>
        <v>0</v>
      </c>
      <c r="D11" s="12" t="n">
        <v>0</v>
      </c>
      <c r="E11" s="16" t="n">
        <f aca="false">C11*'Collateral Pool'!$C$12</f>
        <v>0</v>
      </c>
      <c r="F11" s="16" t="n">
        <f aca="false">C11-D11-E11</f>
        <v>0</v>
      </c>
    </row>
    <row r="13" customFormat="false" ht="15" hidden="false" customHeight="false" outlineLevel="0" collapsed="false">
      <c r="B13" s="0" t="s">
        <v>38</v>
      </c>
      <c r="C13" s="16" t="n">
        <f aca="false">SUM(D6:E11)</f>
        <v>0</v>
      </c>
    </row>
    <row r="14" customFormat="false" ht="15" hidden="false" customHeight="false" outlineLevel="0" collapsed="false">
      <c r="B14" s="0" t="s">
        <v>39</v>
      </c>
      <c r="C14" s="17" t="str">
        <f aca="false">IFERROR(SUMPRODUCT(B6:B11,D6:D11+E6:E11)/C13/12,"-")</f>
        <v>-</v>
      </c>
      <c r="D14" s="9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41</v>
      </c>
    </row>
    <row r="4" customFormat="false" ht="15" hidden="false" customHeight="false" outlineLevel="0" collapsed="false">
      <c r="B4" s="10" t="s">
        <v>42</v>
      </c>
      <c r="C4" s="10" t="s">
        <v>43</v>
      </c>
      <c r="D4" s="10" t="s">
        <v>44</v>
      </c>
      <c r="E4" s="10" t="s">
        <v>45</v>
      </c>
      <c r="F4" s="10" t="s">
        <v>46</v>
      </c>
    </row>
    <row r="5" customFormat="false" ht="15" hidden="false" customHeight="false" outlineLevel="0" collapsed="false">
      <c r="B5" s="18"/>
      <c r="C5" s="18"/>
      <c r="D5" s="18"/>
      <c r="E5" s="18"/>
      <c r="F5" s="18"/>
    </row>
    <row r="6" customFormat="false" ht="15" hidden="false" customHeight="false" outlineLevel="0" collapsed="false">
      <c r="B6" s="18"/>
      <c r="C6" s="18"/>
      <c r="D6" s="18"/>
      <c r="E6" s="18"/>
      <c r="F6" s="18"/>
    </row>
    <row r="7" customFormat="false" ht="15" hidden="false" customHeight="false" outlineLevel="0" collapsed="false">
      <c r="B7" s="18"/>
      <c r="C7" s="18"/>
      <c r="D7" s="18"/>
      <c r="E7" s="18"/>
      <c r="F7" s="18"/>
    </row>
    <row r="8" customFormat="false" ht="15" hidden="false" customHeight="false" outlineLevel="0" collapsed="false">
      <c r="B8" s="18"/>
      <c r="C8" s="18"/>
      <c r="D8" s="18"/>
      <c r="E8" s="18"/>
      <c r="F8" s="18"/>
    </row>
    <row r="9" customFormat="false" ht="15" hidden="false" customHeight="false" outlineLevel="0" collapsed="false">
      <c r="B9" s="18"/>
      <c r="C9" s="18"/>
      <c r="D9" s="18"/>
      <c r="E9" s="18"/>
      <c r="F9" s="18"/>
    </row>
    <row r="10" customFormat="false" ht="15" hidden="false" customHeight="false" outlineLevel="0" collapsed="false">
      <c r="B10" s="18"/>
      <c r="C10" s="18"/>
      <c r="D10" s="18"/>
      <c r="E10" s="18"/>
      <c r="F10" s="18"/>
    </row>
    <row r="11" customFormat="false" ht="15" hidden="false" customHeight="false" outlineLevel="0" collapsed="false">
      <c r="B11" s="18"/>
      <c r="C11" s="18"/>
      <c r="D11" s="18"/>
      <c r="E11" s="18"/>
      <c r="F11" s="18"/>
    </row>
    <row r="12" customFormat="false" ht="15" hidden="false" customHeight="false" outlineLevel="0" collapsed="false">
      <c r="B12" s="18"/>
      <c r="C12" s="18"/>
      <c r="D12" s="18"/>
      <c r="E12" s="18"/>
      <c r="F12" s="18"/>
    </row>
    <row r="13" customFormat="false" ht="15" hidden="false" customHeight="false" outlineLevel="0" collapsed="false">
      <c r="B13" s="18"/>
      <c r="C13" s="18"/>
      <c r="D13" s="18"/>
      <c r="E13" s="18"/>
      <c r="F13" s="18"/>
    </row>
    <row r="14" customFormat="false" ht="15" hidden="false" customHeight="false" outlineLevel="0" collapsed="false">
      <c r="B14" s="18"/>
      <c r="C14" s="18"/>
      <c r="D14" s="18"/>
      <c r="E14" s="18"/>
      <c r="F1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2026-08-03T23:09:06Z</dcterms:created>
  <dc:creator>openpyxl</dc:creator>
  <dc:description/>
  <dc:language>en-US</dc:language>
  <cp:lastModifiedBy/>
  <dcterms:modified xsi:type="dcterms:W3CDTF">2026-08-03T23:09:06Z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