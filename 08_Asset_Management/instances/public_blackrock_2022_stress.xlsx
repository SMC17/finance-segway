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Fund NAV" sheetId="5" state="visible" r:id="rId5"/>
    <sheet xmlns:r="http://schemas.openxmlformats.org/officeDocument/2006/relationships" name="Fee Waterfall" sheetId="6" state="visible" r:id="rId6"/>
    <sheet xmlns:r="http://schemas.openxmlformats.org/officeDocument/2006/relationships" name="Performance Attribution" sheetId="7" state="visible" r:id="rId7"/>
    <sheet xmlns:r="http://schemas.openxmlformats.org/officeDocument/2006/relationships" name="Fund Performance" sheetId="8" state="visible" r:id="rId8"/>
    <sheet xmlns:r="http://schemas.openxmlformats.org/officeDocument/2006/relationships" name="Return Measurement" sheetId="9" state="visible" r:id="rId9"/>
    <sheet xmlns:r="http://schemas.openxmlformats.org/officeDocument/2006/relationships" name="Exposure &amp; Liquidity" sheetId="10" state="visible" r:id="rId10"/>
    <sheet xmlns:r="http://schemas.openxmlformats.org/officeDocument/2006/relationships" name="Decision &amp; Checks" sheetId="11" state="visible" r:id="rId11"/>
    <sheet xmlns:r="http://schemas.openxmlformats.org/officeDocument/2006/relationships" name="RefreshLog" sheetId="12" state="visible" r:id="rId12"/>
  </sheets>
  <definedNames>
    <definedName name="FS_DOMAIN" hidden="0" function="0" vbProcedure="0">'Institutional Surface'!$C$5</definedName>
    <definedName name="FS_MATURITY" hidden="0" function="0" vbProcedure="0">'Institutional Surface'!$C$6</definedName>
    <definedName name="FS_MODEL_ID" hidden="0" function="0" vbProcedure="0">'Institutional Surface'!$C$4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;&quot;($&quot;#,##0\);\-"/>
    <numFmt numFmtId="165" formatCode="0.0%;\(0.0%\);\-"/>
    <numFmt numFmtId="166" formatCode="0.0\x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Cambria"/>
      <charset val="1"/>
      <family val="0"/>
      <b val="1"/>
      <color rgb="FFFFFFFF"/>
      <sz val="15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808080"/>
      <sz val="8"/>
    </font>
    <font>
      <name val="Arial"/>
      <charset val="1"/>
      <family val="0"/>
      <color rgb="FF008000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  <fill>
      <patternFill patternType="solid">
        <fgColor rgb="FFFFFF00"/>
        <bgColor rgb="FFFFFF00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9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center" vertical="bottom"/>
    </xf>
    <xf numFmtId="164" fontId="6" fillId="0" borderId="2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5" fillId="0" borderId="2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164" fontId="6" fillId="6" borderId="2" applyAlignment="1" pivotButton="0" quotePrefix="0" xfId="0">
      <alignment horizontal="general" vertical="bottom"/>
    </xf>
    <xf numFmtId="165" fontId="6" fillId="6" borderId="2" applyAlignment="1" pivotButton="0" quotePrefix="0" xfId="0">
      <alignment horizontal="general" vertical="bottom"/>
    </xf>
    <xf numFmtId="164" fontId="0" fillId="0" borderId="2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6" fillId="0" borderId="2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4" fontId="13" fillId="0" borderId="2" applyAlignment="1" pivotButton="0" quotePrefix="0" xfId="0">
      <alignment horizontal="general" vertical="bottom"/>
    </xf>
    <xf numFmtId="166" fontId="5" fillId="0" borderId="2" applyAlignment="1" pivotButton="0" quotePrefix="0" xfId="0">
      <alignment horizontal="general" vertical="bottom"/>
    </xf>
    <xf numFmtId="165" fontId="5" fillId="6" borderId="2" applyAlignment="1" pivotButton="0" quotePrefix="0" xfId="0">
      <alignment horizontal="general" vertical="bottom"/>
    </xf>
    <xf numFmtId="165" fontId="0" fillId="0" borderId="2" applyAlignment="1" pivotButton="0" quotePrefix="0" xfId="0">
      <alignment horizontal="general" vertical="bottom"/>
    </xf>
    <xf numFmtId="166" fontId="6" fillId="6" borderId="2" applyAlignment="1" pivotButton="0" quotePrefix="0" xfId="0">
      <alignment horizontal="general" vertical="bottom"/>
    </xf>
    <xf numFmtId="166" fontId="0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4" fillId="7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9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 wrapText="1"/>
    </xf>
    <xf numFmtId="0" fontId="10" fillId="4" borderId="0" applyAlignment="1" pivotButton="0" quotePrefix="0" xfId="0">
      <alignment horizontal="center" vertical="bottom"/>
    </xf>
    <xf numFmtId="164" fontId="14" fillId="7" borderId="2" applyAlignment="1" pivotButton="0" quotePrefix="0" xfId="0">
      <alignment horizontal="general" vertical="bottom"/>
    </xf>
    <xf numFmtId="164" fontId="6" fillId="0" borderId="2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5" fillId="0" borderId="2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164" fontId="6" fillId="6" borderId="2" applyAlignment="1" pivotButton="0" quotePrefix="0" xfId="0">
      <alignment horizontal="general" vertical="bottom"/>
    </xf>
    <xf numFmtId="165" fontId="6" fillId="6" borderId="2" applyAlignment="1" pivotButton="0" quotePrefix="0" xfId="0">
      <alignment horizontal="general" vertical="bottom"/>
    </xf>
    <xf numFmtId="164" fontId="0" fillId="0" borderId="2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6" fillId="0" borderId="2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4" fontId="13" fillId="0" borderId="2" applyAlignment="1" pivotButton="0" quotePrefix="0" xfId="0">
      <alignment horizontal="general" vertical="bottom"/>
    </xf>
    <xf numFmtId="166" fontId="5" fillId="0" borderId="2" applyAlignment="1" pivotButton="0" quotePrefix="0" xfId="0">
      <alignment horizontal="general" vertical="bottom"/>
    </xf>
    <xf numFmtId="165" fontId="5" fillId="6" borderId="2" applyAlignment="1" pivotButton="0" quotePrefix="0" xfId="0">
      <alignment horizontal="general" vertical="bottom"/>
    </xf>
    <xf numFmtId="165" fontId="0" fillId="0" borderId="2" applyAlignment="1" pivotButton="0" quotePrefix="0" xfId="0">
      <alignment horizontal="general" vertical="bottom"/>
    </xf>
    <xf numFmtId="166" fontId="6" fillId="6" borderId="2" applyAlignment="1" pivotButton="0" quotePrefix="0" xfId="0">
      <alignment horizontal="general" vertical="bottom"/>
    </xf>
    <xf numFmtId="166" fontId="0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29" min="1" max="1"/>
    <col width="30" customWidth="1" style="29" min="2" max="2"/>
    <col width="40" customWidth="1" style="29" min="3" max="3"/>
    <col width="4" customWidth="1" style="29" min="4" max="4"/>
  </cols>
  <sheetData>
    <row r="2" ht="19.7" customHeight="1" s="30">
      <c r="B2" s="31" t="inlineStr">
        <is>
          <t>[FUND] — Asset Management Model</t>
        </is>
      </c>
    </row>
    <row r="4" ht="15" customHeight="1" s="30">
      <c r="B4" s="32" t="inlineStr">
        <is>
          <t>Fund structure:</t>
        </is>
      </c>
      <c r="C4" s="33" t="inlineStr">
        <is>
          <t>Hedge fund / PE fund / mutual fund</t>
        </is>
      </c>
    </row>
    <row r="5" ht="15" customHeight="1" s="30">
      <c r="B5" s="32" t="inlineStr">
        <is>
          <t>Vintage / inception:</t>
        </is>
      </c>
      <c r="C5" s="33" t="inlineStr">
        <is>
          <t>[date]</t>
        </is>
      </c>
    </row>
    <row r="6" ht="15" customHeight="1" s="30">
      <c r="B6" s="32" t="inlineStr">
        <is>
          <t>Last refreshed:</t>
        </is>
      </c>
      <c r="C6" s="34" t="inlineStr">
        <is>
          <t>2022-12-31</t>
        </is>
      </c>
    </row>
    <row r="7" ht="15" customHeight="1" s="30">
      <c r="B7" s="32" t="inlineStr">
        <is>
          <t>Next capital call/distribution:</t>
        </is>
      </c>
      <c r="C7" s="33" t="inlineStr">
        <is>
          <t>[date]</t>
        </is>
      </c>
    </row>
    <row r="8" ht="15" customHeight="1" s="30">
      <c r="B8" s="32" t="inlineStr">
        <is>
          <t>Refresh cadence:</t>
        </is>
      </c>
      <c r="C8" s="33" t="inlineStr">
        <is>
          <t>Weekly (monthly NAV strike)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F6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5390625" defaultRowHeight="15" zeroHeight="0" outlineLevelRow="0"/>
  <cols>
    <col width="26" customWidth="1" style="29" min="2" max="2"/>
    <col width="48" customWidth="1" style="29" min="3" max="3"/>
    <col width="24" customWidth="1" style="29" min="4" max="4"/>
    <col width="34" customWidth="1" style="29" min="5" max="5"/>
    <col width="20" customWidth="1" style="29" min="6" max="6"/>
  </cols>
  <sheetData>
    <row r="2" ht="18.55" customHeight="1" s="30">
      <c r="B2" s="35" t="inlineStr">
        <is>
          <t>Asset Management — Institutional Decision Surface</t>
        </is>
      </c>
    </row>
    <row r="4" ht="15" customHeight="1" s="30">
      <c r="B4" s="36" t="inlineStr">
        <is>
          <t>Model ID</t>
        </is>
      </c>
      <c r="C4" s="37" t="inlineStr">
        <is>
          <t>08</t>
        </is>
      </c>
    </row>
    <row r="5" ht="15" customHeight="1" s="30">
      <c r="B5" s="36" t="inlineStr">
        <is>
          <t>Domain</t>
        </is>
      </c>
      <c r="C5" s="37" t="inlineStr">
        <is>
          <t>Asset Management</t>
        </is>
      </c>
    </row>
    <row r="6" ht="15" customHeight="1" s="30">
      <c r="B6" s="36" t="inlineStr">
        <is>
          <t>Declared maturity</t>
        </is>
      </c>
      <c r="C6" s="37" t="inlineStr">
        <is>
          <t>M2</t>
        </is>
      </c>
    </row>
    <row r="7" ht="15" customHeight="1" s="30">
      <c r="B7" s="36" t="inlineStr">
        <is>
          <t>Canonical builder</t>
        </is>
      </c>
      <c r="C7" s="37" t="inlineStr">
        <is>
          <t>tools/builders/build_asset_management_release.py</t>
        </is>
      </c>
    </row>
    <row r="8" ht="15" customHeight="1" s="30">
      <c r="B8" s="36" t="inlineStr">
        <is>
          <t>Decision arena</t>
        </is>
      </c>
      <c r="C8" s="37" t="inlineStr">
        <is>
          <t>portfolio manager, risk, valuation committee, operations and fund board</t>
        </is>
      </c>
    </row>
    <row r="9" ht="15" customHeight="1" s="30">
      <c r="B9" s="36" t="inlineStr">
        <is>
          <t>Committee artifact</t>
        </is>
      </c>
      <c r="C9" s="37" t="inlineStr">
        <is>
          <t>portfolio, liquidity and valuation committee pack</t>
        </is>
      </c>
    </row>
    <row r="10" ht="15" customHeight="1" s="30">
      <c r="B10" s="36" t="inlineStr">
        <is>
          <t>Operating cadence</t>
        </is>
      </c>
      <c r="C10" s="37" t="inlineStr">
        <is>
          <t>daily portfolio; weekly liquidity; monthly valuation</t>
        </is>
      </c>
    </row>
    <row r="12" ht="15" customHeight="1" s="30">
      <c r="B12" s="38" t="inlineStr">
        <is>
          <t>Key decision outputs</t>
        </is>
      </c>
    </row>
    <row r="13" ht="15" customHeight="1" s="30">
      <c r="B13" s="39" t="inlineStr">
        <is>
          <t>#</t>
        </is>
      </c>
      <c r="C13" s="39" t="inlineStr">
        <is>
          <t>Requirement</t>
        </is>
      </c>
      <c r="D13" s="39" t="inlineStr">
        <is>
          <t>Owner</t>
        </is>
      </c>
      <c r="E13" s="39" t="inlineStr">
        <is>
          <t>Evidence / location</t>
        </is>
      </c>
      <c r="F13" s="39" t="inlineStr">
        <is>
          <t>Status</t>
        </is>
      </c>
    </row>
    <row r="14" ht="15" customHeight="1" s="30">
      <c r="B14" s="29" t="n">
        <v>1</v>
      </c>
      <c r="C14" s="29" t="inlineStr">
        <is>
          <t>NAV and performance attribution</t>
        </is>
      </c>
      <c r="F14" s="29" t="inlineStr">
        <is>
          <t>OPEN</t>
        </is>
      </c>
    </row>
    <row r="15" ht="15" customHeight="1" s="30">
      <c r="B15" s="29" t="n">
        <v>2</v>
      </c>
      <c r="C15" s="29" t="inlineStr">
        <is>
          <t>gross-to-net return bridge</t>
        </is>
      </c>
      <c r="F15" s="29" t="inlineStr">
        <is>
          <t>OPEN</t>
        </is>
      </c>
    </row>
    <row r="16" ht="15" customHeight="1" s="30">
      <c r="B16" s="29" t="n">
        <v>3</v>
      </c>
      <c r="C16" s="29" t="inlineStr">
        <is>
          <t>liquidity buckets and redemption coverage</t>
        </is>
      </c>
      <c r="F16" s="29" t="inlineStr">
        <is>
          <t>OPEN</t>
        </is>
      </c>
    </row>
    <row r="17" ht="15" customHeight="1" s="30">
      <c r="B17" s="29" t="n">
        <v>4</v>
      </c>
      <c r="C17" s="29" t="inlineStr">
        <is>
          <t>base, downside and break-even outputs</t>
        </is>
      </c>
      <c r="F17" s="29" t="inlineStr">
        <is>
          <t>OPEN</t>
        </is>
      </c>
    </row>
    <row r="18" ht="15" customHeight="1" s="30">
      <c r="B18" s="29" t="n">
        <v>5</v>
      </c>
      <c r="C18" s="29" t="inlineStr">
        <is>
          <t>liquidity / funding requirement and binding constraint</t>
        </is>
      </c>
      <c r="F18" s="29" t="inlineStr">
        <is>
          <t>OPEN</t>
        </is>
      </c>
    </row>
    <row r="20" ht="15" customHeight="1" s="30">
      <c r="B20" s="38" t="inlineStr">
        <is>
          <t>Insider questions</t>
        </is>
      </c>
    </row>
    <row r="21" ht="15" customHeight="1" s="30">
      <c r="B21" s="39" t="inlineStr">
        <is>
          <t>#</t>
        </is>
      </c>
      <c r="C21" s="39" t="inlineStr">
        <is>
          <t>Requirement</t>
        </is>
      </c>
      <c r="D21" s="39" t="inlineStr">
        <is>
          <t>Owner</t>
        </is>
      </c>
      <c r="E21" s="39" t="inlineStr">
        <is>
          <t>Evidence / location</t>
        </is>
      </c>
      <c r="F21" s="39" t="inlineStr">
        <is>
          <t>Status</t>
        </is>
      </c>
    </row>
    <row r="22" ht="15" customHeight="1" s="30">
      <c r="B22" s="29" t="n">
        <v>1</v>
      </c>
      <c r="C22" s="29" t="inlineStr">
        <is>
          <t>How much can be liquidated without moving the market?</t>
        </is>
      </c>
      <c r="F22" s="29" t="inlineStr">
        <is>
          <t>OPEN</t>
        </is>
      </c>
    </row>
    <row r="23" ht="15" customHeight="1" s="30">
      <c r="B23" s="29" t="n">
        <v>2</v>
      </c>
      <c r="C23" s="29" t="inlineStr">
        <is>
          <t>Which investors have better liquidity terms?</t>
        </is>
      </c>
      <c r="F23" s="29" t="inlineStr">
        <is>
          <t>OPEN</t>
        </is>
      </c>
    </row>
    <row r="24" ht="15" customHeight="1" s="30">
      <c r="B24" s="29" t="n">
        <v>3</v>
      </c>
      <c r="C24" s="29" t="inlineStr">
        <is>
          <t>What prices are model-based or challenged?</t>
        </is>
      </c>
      <c r="F24" s="29" t="inlineStr">
        <is>
          <t>OPEN</t>
        </is>
      </c>
    </row>
    <row r="25" ht="15" customHeight="1" s="30">
      <c r="B25" s="29" t="n">
        <v>4</v>
      </c>
      <c r="C25" s="29" t="inlineStr">
        <is>
          <t>Which assumption is owner-approved versus modeler judgement?</t>
        </is>
      </c>
      <c r="F25" s="29" t="inlineStr">
        <is>
          <t>OPEN</t>
        </is>
      </c>
    </row>
    <row r="26" ht="15" customHeight="1" s="30">
      <c r="B26" s="29" t="n">
        <v>5</v>
      </c>
      <c r="C26" s="29" t="inlineStr">
        <is>
          <t>What fails first and who must act?</t>
        </is>
      </c>
      <c r="F26" s="29" t="inlineStr">
        <is>
          <t>OPEN</t>
        </is>
      </c>
    </row>
    <row r="28" ht="15" customHeight="1" s="30">
      <c r="B28" s="38" t="inlineStr">
        <is>
          <t>Scenario families</t>
        </is>
      </c>
    </row>
    <row r="29" ht="15" customHeight="1" s="30">
      <c r="B29" s="39" t="inlineStr">
        <is>
          <t>#</t>
        </is>
      </c>
      <c r="C29" s="39" t="inlineStr">
        <is>
          <t>Requirement</t>
        </is>
      </c>
      <c r="D29" s="39" t="inlineStr">
        <is>
          <t>Owner</t>
        </is>
      </c>
      <c r="E29" s="39" t="inlineStr">
        <is>
          <t>Evidence / location</t>
        </is>
      </c>
      <c r="F29" s="39" t="inlineStr">
        <is>
          <t>Status</t>
        </is>
      </c>
    </row>
    <row r="30" ht="15" customHeight="1" s="30">
      <c r="B30" s="29" t="n">
        <v>1</v>
      </c>
      <c r="C30" s="29" t="inlineStr">
        <is>
          <t>redemption wave</t>
        </is>
      </c>
      <c r="F30" s="29" t="inlineStr">
        <is>
          <t>OPEN</t>
        </is>
      </c>
    </row>
    <row r="31" ht="15" customHeight="1" s="30">
      <c r="B31" s="29" t="n">
        <v>2</v>
      </c>
      <c r="C31" s="29" t="inlineStr">
        <is>
          <t>market gap and liquidity haircut</t>
        </is>
      </c>
      <c r="F31" s="29" t="inlineStr">
        <is>
          <t>OPEN</t>
        </is>
      </c>
    </row>
    <row r="32" ht="15" customHeight="1" s="30">
      <c r="B32" s="29" t="n">
        <v>3</v>
      </c>
      <c r="C32" s="29" t="inlineStr">
        <is>
          <t>stale or challenged valuation</t>
        </is>
      </c>
      <c r="F32" s="29" t="inlineStr">
        <is>
          <t>OPEN</t>
        </is>
      </c>
    </row>
    <row r="33" ht="15" customHeight="1" s="30">
      <c r="B33" s="29" t="n">
        <v>4</v>
      </c>
      <c r="C33" s="29" t="inlineStr">
        <is>
          <t>data freshness / source failure</t>
        </is>
      </c>
      <c r="F33" s="29" t="inlineStr">
        <is>
          <t>OPEN</t>
        </is>
      </c>
    </row>
    <row r="34" ht="15" customHeight="1" s="30">
      <c r="B34" s="29" t="n">
        <v>5</v>
      </c>
      <c r="C34" s="29" t="inlineStr">
        <is>
          <t>combined severe-but-plausible downside</t>
        </is>
      </c>
      <c r="F34" s="29" t="inlineStr">
        <is>
          <t>OPEN</t>
        </is>
      </c>
    </row>
    <row r="36" ht="15" customHeight="1" s="30">
      <c r="B36" s="38" t="inlineStr">
        <is>
          <t>Primary diligence documents</t>
        </is>
      </c>
    </row>
    <row r="37" ht="15" customHeight="1" s="30">
      <c r="B37" s="39" t="inlineStr">
        <is>
          <t>#</t>
        </is>
      </c>
      <c r="C37" s="39" t="inlineStr">
        <is>
          <t>Requirement</t>
        </is>
      </c>
      <c r="D37" s="39" t="inlineStr">
        <is>
          <t>Owner</t>
        </is>
      </c>
      <c r="E37" s="39" t="inlineStr">
        <is>
          <t>Evidence / location</t>
        </is>
      </c>
      <c r="F37" s="39" t="inlineStr">
        <is>
          <t>Status</t>
        </is>
      </c>
    </row>
    <row r="38" ht="15" customHeight="1" s="30">
      <c r="B38" s="29" t="n">
        <v>1</v>
      </c>
      <c r="C38" s="29" t="inlineStr">
        <is>
          <t>investment management agreement</t>
        </is>
      </c>
      <c r="F38" s="29" t="inlineStr">
        <is>
          <t>OPEN</t>
        </is>
      </c>
    </row>
    <row r="39" ht="15" customHeight="1" s="30">
      <c r="B39" s="29" t="n">
        <v>2</v>
      </c>
      <c r="C39" s="29" t="inlineStr">
        <is>
          <t>valuation policy</t>
        </is>
      </c>
      <c r="F39" s="29" t="inlineStr">
        <is>
          <t>OPEN</t>
        </is>
      </c>
    </row>
    <row r="40" ht="15" customHeight="1" s="30">
      <c r="B40" s="29" t="n">
        <v>3</v>
      </c>
      <c r="C40" s="29" t="inlineStr">
        <is>
          <t>administrator NAV package</t>
        </is>
      </c>
      <c r="F40" s="29" t="inlineStr">
        <is>
          <t>OPEN</t>
        </is>
      </c>
    </row>
    <row r="41" ht="15" customHeight="1" s="30">
      <c r="B41" s="29" t="n">
        <v>4</v>
      </c>
      <c r="C41" s="29" t="inlineStr">
        <is>
          <t>approved model card and assumption register</t>
        </is>
      </c>
      <c r="F41" s="29" t="inlineStr">
        <is>
          <t>OPEN</t>
        </is>
      </c>
    </row>
    <row r="42" ht="15" customHeight="1" s="30">
      <c r="B42" s="29" t="n">
        <v>5</v>
      </c>
      <c r="C42" s="29" t="inlineStr">
        <is>
          <t>independent validation and challenge record</t>
        </is>
      </c>
      <c r="F42" s="29" t="inlineStr">
        <is>
          <t>OPEN</t>
        </is>
      </c>
    </row>
    <row r="44" ht="15" customHeight="1" s="30">
      <c r="B44" s="38" t="inlineStr">
        <is>
          <t>Challenge tests</t>
        </is>
      </c>
    </row>
    <row r="45" ht="15" customHeight="1" s="30">
      <c r="B45" s="39" t="inlineStr">
        <is>
          <t>#</t>
        </is>
      </c>
      <c r="C45" s="39" t="inlineStr">
        <is>
          <t>Requirement</t>
        </is>
      </c>
      <c r="D45" s="39" t="inlineStr">
        <is>
          <t>Owner</t>
        </is>
      </c>
      <c r="E45" s="39" t="inlineStr">
        <is>
          <t>Evidence / location</t>
        </is>
      </c>
      <c r="F45" s="39" t="inlineStr">
        <is>
          <t>Status</t>
        </is>
      </c>
    </row>
    <row r="46" ht="15" customHeight="1" s="30">
      <c r="B46" s="29" t="n">
        <v>1</v>
      </c>
      <c r="C46" s="29" t="inlineStr">
        <is>
          <t>NAV roll-forward reconciles</t>
        </is>
      </c>
      <c r="F46" s="29" t="inlineStr">
        <is>
          <t>OPEN</t>
        </is>
      </c>
    </row>
    <row r="47" ht="15" customHeight="1" s="30">
      <c r="B47" s="29" t="n">
        <v>2</v>
      </c>
      <c r="C47" s="29" t="inlineStr">
        <is>
          <t>fees follow governing documents</t>
        </is>
      </c>
      <c r="F47" s="29" t="inlineStr">
        <is>
          <t>OPEN</t>
        </is>
      </c>
    </row>
    <row r="48" ht="15" customHeight="1" s="30">
      <c r="B48" s="29" t="n">
        <v>3</v>
      </c>
      <c r="C48" s="29" t="inlineStr">
        <is>
          <t>liquidity buckets reflect time-to-cash</t>
        </is>
      </c>
      <c r="F48" s="29" t="inlineStr">
        <is>
          <t>OPEN</t>
        </is>
      </c>
    </row>
    <row r="49" ht="15" customHeight="1" s="30">
      <c r="B49" s="29" t="n">
        <v>4</v>
      </c>
      <c r="C49" s="29" t="inlineStr">
        <is>
          <t>source-to-model lineage is reproducible</t>
        </is>
      </c>
      <c r="F49" s="29" t="inlineStr">
        <is>
          <t>OPEN</t>
        </is>
      </c>
    </row>
    <row r="50" ht="15" customHeight="1" s="30">
      <c r="B50" s="29" t="n">
        <v>5</v>
      </c>
      <c r="C50" s="29" t="inlineStr">
        <is>
          <t>units, signs, dates and legal definitions reconcile</t>
        </is>
      </c>
      <c r="F50" s="29" t="inlineStr">
        <is>
          <t>OPEN</t>
        </is>
      </c>
    </row>
    <row r="52" ht="15" customHeight="1" s="30">
      <c r="B52" s="38" t="inlineStr">
        <is>
          <t>Known failure modes</t>
        </is>
      </c>
    </row>
    <row r="53" ht="15" customHeight="1" s="30">
      <c r="B53" s="39" t="inlineStr">
        <is>
          <t>#</t>
        </is>
      </c>
      <c r="C53" s="39" t="inlineStr">
        <is>
          <t>Requirement</t>
        </is>
      </c>
      <c r="D53" s="39" t="inlineStr">
        <is>
          <t>Owner</t>
        </is>
      </c>
      <c r="E53" s="39" t="inlineStr">
        <is>
          <t>Evidence / location</t>
        </is>
      </c>
      <c r="F53" s="39" t="inlineStr">
        <is>
          <t>Status</t>
        </is>
      </c>
    </row>
    <row r="54" ht="15" customHeight="1" s="30">
      <c r="B54" s="29" t="n">
        <v>1</v>
      </c>
      <c r="C54" s="29" t="inlineStr">
        <is>
          <t>classifying quoted but non-executable prices as liquid</t>
        </is>
      </c>
      <c r="F54" s="29" t="inlineStr">
        <is>
          <t>OPEN</t>
        </is>
      </c>
    </row>
    <row r="55" ht="15" customHeight="1" s="30">
      <c r="B55" s="29" t="n">
        <v>2</v>
      </c>
      <c r="C55" s="29" t="inlineStr">
        <is>
          <t>netting investor flows against portfolio liquidity</t>
        </is>
      </c>
      <c r="F55" s="29" t="inlineStr">
        <is>
          <t>OPEN</t>
        </is>
      </c>
    </row>
    <row r="56" ht="15" customHeight="1" s="30">
      <c r="B56" s="29" t="n">
        <v>3</v>
      </c>
      <c r="C56" s="29" t="inlineStr">
        <is>
          <t>missing side-letter economics</t>
        </is>
      </c>
      <c r="F56" s="29" t="inlineStr">
        <is>
          <t>OPEN</t>
        </is>
      </c>
    </row>
    <row r="57" ht="15" customHeight="1" s="30">
      <c r="B57" s="29" t="n">
        <v>4</v>
      </c>
      <c r="C57" s="29" t="inlineStr">
        <is>
          <t>stale vintage presented as current</t>
        </is>
      </c>
      <c r="F57" s="29" t="inlineStr">
        <is>
          <t>OPEN</t>
        </is>
      </c>
    </row>
    <row r="58" ht="15" customHeight="1" s="30">
      <c r="B58" s="29" t="n">
        <v>5</v>
      </c>
      <c r="C58" s="29" t="inlineStr">
        <is>
          <t>decision output disconnected from a binding constraint</t>
        </is>
      </c>
      <c r="F58" s="29" t="inlineStr">
        <is>
          <t>OPEN</t>
        </is>
      </c>
    </row>
    <row r="60" ht="15" customHeight="1" s="30">
      <c r="B60" s="38" t="inlineStr">
        <is>
          <t>Regulatory / methodological anchors</t>
        </is>
      </c>
    </row>
    <row r="61" ht="15" customHeight="1" s="30">
      <c r="B61" s="39" t="inlineStr">
        <is>
          <t>Standard</t>
        </is>
      </c>
      <c r="C61" s="39" t="inlineStr">
        <is>
          <t>Scope</t>
        </is>
      </c>
      <c r="D61" s="39" t="inlineStr">
        <is>
          <t>Source URL</t>
        </is>
      </c>
      <c r="E61" s="39" t="inlineStr">
        <is>
          <t>Applicability</t>
        </is>
      </c>
      <c r="F61" s="39" t="inlineStr">
        <is>
          <t>Review note</t>
        </is>
      </c>
    </row>
    <row r="62" ht="15" customHeight="1" s="30">
      <c r="B62" s="29" t="inlineStr">
        <is>
          <t>Federal Reserve SR 26-2 Model Risk Management</t>
        </is>
      </c>
      <c r="C62" s="29" t="inlineStr">
        <is>
          <t>governance, validation, change control, monitoring</t>
        </is>
      </c>
      <c r="D62" s="29" t="inlineStr">
        <is>
          <t>https://www.federalreserve.gov/supervisionreg/srletters/SR2602.htm</t>
        </is>
      </c>
      <c r="E62" s="29" t="inlineStr">
        <is>
          <t>Map explicitly</t>
        </is>
      </c>
    </row>
    <row r="63" ht="15" customHeight="1" s="30">
      <c r="B63" s="29" t="inlineStr">
        <is>
          <t>SEC Rule 2a-5</t>
        </is>
      </c>
      <c r="C63" s="29" t="inlineStr">
        <is>
          <t>fair-value governance and testing</t>
        </is>
      </c>
      <c r="D63" s="29" t="inlineStr">
        <is>
          <t>https://www.sec.gov/files/rules/final/2020/ic-34128.pdf</t>
        </is>
      </c>
      <c r="E63" s="29" t="inlineStr">
        <is>
          <t>Map explicitly</t>
        </is>
      </c>
    </row>
    <row r="64" ht="15" customHeight="1" s="30">
      <c r="B64" s="29" t="inlineStr">
        <is>
          <t>IOSCO Liquidity Risk Recommendations</t>
        </is>
      </c>
      <c r="C64" s="29" t="inlineStr">
        <is>
          <t>fund liquidity and stress testing</t>
        </is>
      </c>
      <c r="D64" s="29" t="inlineStr">
        <is>
          <t>https://www.iosco.org/library/pubdocs/pdf/IOSCOPD590.pdf</t>
        </is>
      </c>
      <c r="E64" s="29" t="inlineStr">
        <is>
          <t>Map explicitly</t>
        </is>
      </c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 errorStyle="stop" operator="between">
      <formula1>"OPEN,IN REVIEW,CLOSED,NOT APPLICABLE"</formula1>
      <formula2>0</formula2>
    </dataValidation>
    <dataValidation sqref="F22:F26" showDropDown="0" showInputMessage="0" showErrorMessage="0" allowBlank="0" type="list" errorStyle="stop" operator="between">
      <formula1>"OPEN,IN REVIEW,CLOSED,NOT APPLICABLE"</formula1>
      <formula2>0</formula2>
    </dataValidation>
    <dataValidation sqref="F30:F34" showDropDown="0" showInputMessage="0" showErrorMessage="0" allowBlank="0" type="list" errorStyle="stop" operator="between">
      <formula1>"OPEN,IN REVIEW,CLOSED,NOT APPLICABLE"</formula1>
      <formula2>0</formula2>
    </dataValidation>
    <dataValidation sqref="F38:F42" showDropDown="0" showInputMessage="0" showErrorMessage="0" allowBlank="0" type="list" errorStyle="stop" operator="between">
      <formula1>"OPEN,IN REVIEW,CLOSED,NOT APPLICABLE"</formula1>
      <formula2>0</formula2>
    </dataValidation>
    <dataValidation sqref="F46:F50" showDropDown="0" showInputMessage="0" showErrorMessage="0" allowBlank="0" type="list" errorStyle="stop" operator="between">
      <formula1>"OPEN,IN REVIEW,CLOSED,NOT APPLICABLE"</formula1>
      <formula2>0</formula2>
    </dataValidation>
    <dataValidation sqref="F54:F58" showDropDown="0" showInputMessage="0" showErrorMessage="0" allowBlank="0" type="list" errorStyle="stop" operator="between">
      <formula1>"OPEN,IN REVIEW,CLOSED,NOT APPLICABLE"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I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5390625" defaultRowHeight="15" zeroHeight="0" outlineLevelRow="0"/>
  <cols>
    <col width="13" customWidth="1" style="29" min="2" max="2"/>
    <col width="22" customWidth="1" style="29" min="3" max="3"/>
    <col width="52" customWidth="1" style="29" min="4" max="4"/>
    <col width="46" customWidth="1" style="29" min="5" max="5"/>
    <col width="36" customWidth="1" style="29" min="6" max="6"/>
    <col width="14" customWidth="1" style="29" min="7" max="7"/>
    <col width="18" customWidth="1" style="29" min="8" max="8"/>
    <col width="14" customWidth="1" style="29" min="9" max="9"/>
  </cols>
  <sheetData>
    <row r="2" ht="18.55" customHeight="1" s="30">
      <c r="B2" s="35" t="inlineStr">
        <is>
          <t>Independent Challenge, Override and Closure Log</t>
        </is>
      </c>
    </row>
    <row r="4" ht="15" customHeight="1" s="30">
      <c r="B4" s="39" t="inlineStr">
        <is>
          <t>Date</t>
        </is>
      </c>
      <c r="C4" s="39" t="inlineStr">
        <is>
          <t>Reviewer</t>
        </is>
      </c>
      <c r="D4" s="39" t="inlineStr">
        <is>
          <t>Challenge</t>
        </is>
      </c>
      <c r="E4" s="39" t="inlineStr">
        <is>
          <t>Owner response</t>
        </is>
      </c>
      <c r="F4" s="39" t="inlineStr">
        <is>
          <t>Evidence</t>
        </is>
      </c>
      <c r="G4" s="39" t="inlineStr">
        <is>
          <t>Impact</t>
        </is>
      </c>
      <c r="H4" s="39" t="inlineStr">
        <is>
          <t>Status</t>
        </is>
      </c>
      <c r="I4" s="39" t="inlineStr">
        <is>
          <t>Closure</t>
        </is>
      </c>
    </row>
    <row r="5" ht="15" customHeight="1" s="30">
      <c r="D5" s="29" t="inlineStr">
        <is>
          <t>NAV roll-forward reconciles</t>
        </is>
      </c>
      <c r="H5" s="29" t="inlineStr">
        <is>
          <t>OPEN</t>
        </is>
      </c>
    </row>
    <row r="6" ht="15" customHeight="1" s="30">
      <c r="D6" s="29" t="inlineStr">
        <is>
          <t>fees follow governing documents</t>
        </is>
      </c>
      <c r="H6" s="29" t="inlineStr">
        <is>
          <t>OPEN</t>
        </is>
      </c>
    </row>
    <row r="7" ht="15" customHeight="1" s="30">
      <c r="D7" s="29" t="inlineStr">
        <is>
          <t>liquidity buckets reflect time-to-cash</t>
        </is>
      </c>
      <c r="H7" s="29" t="inlineStr">
        <is>
          <t>OPEN</t>
        </is>
      </c>
    </row>
    <row r="8" ht="15" customHeight="1" s="30">
      <c r="D8" s="29" t="inlineStr">
        <is>
          <t>source-to-model lineage is reproducible</t>
        </is>
      </c>
      <c r="H8" s="29" t="inlineStr">
        <is>
          <t>OPEN</t>
        </is>
      </c>
    </row>
    <row r="9" ht="15" customHeight="1" s="30">
      <c r="D9" s="29" t="inlineStr">
        <is>
          <t>units, signs, dates and legal definitions reconcile</t>
        </is>
      </c>
      <c r="H9" s="29" t="inlineStr">
        <is>
          <t>OPEN</t>
        </is>
      </c>
    </row>
    <row r="10" ht="15" customHeight="1" s="30">
      <c r="H10" s="29" t="n"/>
    </row>
    <row r="11" ht="15" customHeight="1" s="30">
      <c r="H11" s="29" t="n"/>
    </row>
    <row r="12" ht="15" customHeight="1" s="30">
      <c r="H12" s="29" t="n"/>
    </row>
    <row r="13" ht="15" customHeight="1" s="30">
      <c r="H13" s="29" t="n"/>
    </row>
    <row r="14" ht="15" customHeight="1" s="30">
      <c r="H14" s="29" t="n"/>
    </row>
    <row r="15" ht="15" customHeight="1" s="30">
      <c r="H15" s="29" t="n"/>
    </row>
    <row r="16" ht="15" customHeight="1" s="30">
      <c r="H16" s="29" t="n"/>
    </row>
    <row r="17" ht="15" customHeight="1" s="30">
      <c r="H17" s="29" t="n"/>
    </row>
    <row r="18" ht="15" customHeight="1" s="30">
      <c r="H18" s="29" t="n"/>
    </row>
    <row r="19" ht="15" customHeight="1" s="30">
      <c r="H19" s="29" t="n"/>
    </row>
    <row r="20" ht="15" customHeight="1" s="30">
      <c r="H20" s="29" t="n"/>
    </row>
    <row r="21" ht="15" customHeight="1" s="30">
      <c r="H21" s="29" t="n"/>
    </row>
    <row r="22" ht="15" customHeight="1" s="30">
      <c r="H22" s="29" t="n"/>
    </row>
    <row r="23" ht="15" customHeight="1" s="30">
      <c r="H23" s="29" t="n"/>
    </row>
    <row r="24" ht="15" customHeight="1" s="30">
      <c r="H24" s="29" t="n"/>
    </row>
    <row r="25" ht="15" customHeight="1" s="30">
      <c r="H25" s="29" t="n"/>
    </row>
    <row r="26" ht="15" customHeight="1" s="30">
      <c r="H26" s="29" t="n"/>
    </row>
    <row r="27" ht="15" customHeight="1" s="30">
      <c r="H27" s="29" t="n"/>
    </row>
    <row r="28" ht="15" customHeight="1" s="30">
      <c r="H28" s="29" t="n"/>
    </row>
    <row r="29" ht="15" customHeight="1" s="30">
      <c r="H29" s="29" t="n"/>
    </row>
    <row r="30" ht="15" customHeight="1" s="30">
      <c r="H30" s="29" t="n"/>
    </row>
    <row r="31" ht="15" customHeight="1" s="30">
      <c r="H31" s="29" t="n"/>
    </row>
    <row r="32" ht="15" customHeight="1" s="30">
      <c r="H32" s="29" t="n"/>
    </row>
    <row r="33" ht="15" customHeight="1" s="30">
      <c r="H33" s="29" t="n"/>
    </row>
    <row r="34" ht="15" customHeight="1" s="30">
      <c r="H34" s="29" t="n"/>
    </row>
    <row r="35" ht="15" customHeight="1" s="30">
      <c r="H35" s="29" t="n"/>
    </row>
    <row r="36" ht="15" customHeight="1" s="30">
      <c r="H36" s="29" t="n"/>
    </row>
    <row r="37" ht="15" customHeight="1" s="30">
      <c r="H37" s="29" t="n"/>
    </row>
    <row r="38" ht="15" customHeight="1" s="30">
      <c r="H38" s="29" t="n"/>
    </row>
    <row r="39" ht="15" customHeight="1" s="30">
      <c r="H39" s="29" t="n"/>
    </row>
    <row r="40" ht="15" customHeight="1" s="30">
      <c r="H40" s="29" t="n"/>
    </row>
    <row r="41" ht="15" customHeight="1" s="30">
      <c r="H41" s="29" t="n"/>
    </row>
    <row r="42" ht="15" customHeight="1" s="30">
      <c r="H42" s="29" t="n"/>
    </row>
    <row r="43" ht="15" customHeight="1" s="30">
      <c r="H43" s="29" t="n"/>
    </row>
    <row r="44" ht="15" customHeight="1" s="30">
      <c r="H44" s="29" t="n"/>
    </row>
    <row r="45" ht="15" customHeight="1" s="30">
      <c r="H45" s="29" t="n"/>
    </row>
    <row r="46" ht="15" customHeight="1" s="30">
      <c r="H46" s="29" t="n"/>
    </row>
    <row r="47" ht="15" customHeight="1" s="30">
      <c r="H47" s="29" t="n"/>
    </row>
    <row r="48" ht="15" customHeight="1" s="30">
      <c r="H48" s="29" t="n"/>
    </row>
    <row r="49" ht="15" customHeight="1" s="30">
      <c r="H49" s="29" t="n"/>
    </row>
    <row r="50" ht="15" customHeight="1" s="30">
      <c r="H50" s="29" t="n"/>
    </row>
    <row r="51" ht="15" customHeight="1" s="30">
      <c r="H51" s="29" t="n"/>
    </row>
    <row r="52" ht="15" customHeight="1" s="30">
      <c r="H52" s="29" t="n"/>
    </row>
    <row r="53" ht="15" customHeight="1" s="30">
      <c r="H53" s="29" t="n"/>
    </row>
    <row r="54" ht="15" customHeight="1" s="30">
      <c r="H54" s="29" t="n"/>
    </row>
  </sheetData>
  <mergeCells count="1">
    <mergeCell ref="B2:I2"/>
  </mergeCells>
  <dataValidations count="2">
    <dataValidation sqref="H5:H54" showDropDown="0" showInputMessage="0" showErrorMessage="0" allowBlank="0" type="list" errorStyle="stop" operator="between">
      <formula1>"OPEN,IN REVIEW,REMEDIATED,ACCEPTED RISK,CLOSED"</formula1>
      <formula2>0</formula2>
    </dataValidation>
    <dataValidation sqref="G5:G54" showDropDown="0" showInputMessage="0" showErrorMessage="0" allowBlank="0" type="list" errorStyle="stop" operator="between">
      <formula1>"LOW,MEDIUM,HIGH,CRITICAL"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J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5390625" defaultRowHeight="15" zeroHeight="0" outlineLevelRow="0"/>
  <cols>
    <col width="24" customWidth="1" style="29" min="2" max="2"/>
    <col width="18" customWidth="1" style="29" min="3" max="3"/>
    <col width="42" customWidth="1" style="29" min="4" max="4"/>
    <col width="24" customWidth="1" style="29" min="5" max="5"/>
    <col width="18" customWidth="1" style="29" min="6" max="6"/>
    <col width="22" customWidth="1" style="29" min="7" max="7"/>
    <col width="42" customWidth="1" style="29" min="8" max="8"/>
    <col width="30" customWidth="1" style="29" min="9" max="9"/>
    <col width="15" customWidth="1" style="29" min="10" max="10"/>
  </cols>
  <sheetData>
    <row r="2" ht="18.55" customHeight="1" s="30">
      <c r="B2" s="35" t="inlineStr">
        <is>
          <t>Source, Transformation, Ownership and Refresh Map</t>
        </is>
      </c>
    </row>
    <row r="4" ht="15" customHeight="1" s="30">
      <c r="B4" s="39" t="inlineStr">
        <is>
          <t>Source class</t>
        </is>
      </c>
      <c r="C4" s="39" t="inlineStr">
        <is>
          <t>Cadence</t>
        </is>
      </c>
      <c r="D4" s="39" t="inlineStr">
        <is>
          <t>Control</t>
        </is>
      </c>
      <c r="E4" s="39" t="inlineStr">
        <is>
          <t>System / provider</t>
        </is>
      </c>
      <c r="F4" s="39" t="inlineStr">
        <is>
          <t>As-of</t>
        </is>
      </c>
      <c r="G4" s="39" t="inlineStr">
        <is>
          <t>Owner</t>
        </is>
      </c>
      <c r="H4" s="39" t="inlineStr">
        <is>
          <t>Transform</t>
        </is>
      </c>
      <c r="I4" s="39" t="inlineStr">
        <is>
          <t>Downstream</t>
        </is>
      </c>
      <c r="J4" s="39" t="inlineStr">
        <is>
          <t>Status</t>
        </is>
      </c>
    </row>
    <row r="5" ht="15" customHeight="1" s="30">
      <c r="B5" s="29" t="inlineStr">
        <is>
          <t>positions and cash</t>
        </is>
      </c>
      <c r="C5" s="29" t="inlineStr">
        <is>
          <t>daily</t>
        </is>
      </c>
      <c r="D5" s="29" t="inlineStr">
        <is>
          <t>custodian and administrator reconciliation</t>
        </is>
      </c>
      <c r="J5" s="29" t="inlineStr">
        <is>
          <t>TO MAP</t>
        </is>
      </c>
    </row>
    <row r="6" ht="15" customHeight="1" s="30">
      <c r="B6" s="29" t="inlineStr">
        <is>
          <t>prices</t>
        </is>
      </c>
      <c r="C6" s="29" t="inlineStr">
        <is>
          <t>daily</t>
        </is>
      </c>
      <c r="D6" s="29" t="inlineStr">
        <is>
          <t>source hierarchy and stale-price controls</t>
        </is>
      </c>
      <c r="J6" s="29" t="inlineStr">
        <is>
          <t>TO MAP</t>
        </is>
      </c>
    </row>
    <row r="7" ht="15" customHeight="1" s="30">
      <c r="B7" s="29" t="inlineStr">
        <is>
          <t>model governance evidence</t>
        </is>
      </c>
      <c r="C7" s="29" t="inlineStr">
        <is>
          <t>per release</t>
        </is>
      </c>
      <c r="D7" s="29" t="inlineStr">
        <is>
          <t>version, reviewer, sign-off and change log</t>
        </is>
      </c>
      <c r="J7" s="29" t="inlineStr">
        <is>
          <t>TO MAP</t>
        </is>
      </c>
    </row>
    <row r="8" ht="15" customHeight="1" s="30">
      <c r="B8" s="29" t="inlineStr">
        <is>
          <t>decision-use snapshot</t>
        </is>
      </c>
      <c r="C8" s="29" t="inlineStr">
        <is>
          <t>per decision</t>
        </is>
      </c>
      <c r="D8" s="29" t="inlineStr">
        <is>
          <t>immutable as-of date and source receipt</t>
        </is>
      </c>
      <c r="J8" s="29" t="inlineStr">
        <is>
          <t>TO MAP</t>
        </is>
      </c>
    </row>
    <row r="9" ht="15" customHeight="1" s="30">
      <c r="J9" s="29" t="n"/>
    </row>
    <row r="10" ht="15" customHeight="1" s="30">
      <c r="J10" s="29" t="n"/>
    </row>
    <row r="11" ht="15" customHeight="1" s="30">
      <c r="J11" s="29" t="n"/>
    </row>
    <row r="12" ht="15" customHeight="1" s="30">
      <c r="J12" s="29" t="n"/>
    </row>
    <row r="13" ht="15" customHeight="1" s="30">
      <c r="J13" s="29" t="n"/>
    </row>
    <row r="14" ht="15" customHeight="1" s="30">
      <c r="J14" s="29" t="n"/>
    </row>
    <row r="15" ht="15" customHeight="1" s="30">
      <c r="J15" s="29" t="n"/>
    </row>
    <row r="16" ht="15" customHeight="1" s="30">
      <c r="J16" s="29" t="n"/>
    </row>
    <row r="17" ht="15" customHeight="1" s="30">
      <c r="J17" s="29" t="n"/>
    </row>
    <row r="18" ht="15" customHeight="1" s="30">
      <c r="J18" s="29" t="n"/>
    </row>
    <row r="19" ht="15" customHeight="1" s="30">
      <c r="J19" s="29" t="n"/>
    </row>
    <row r="20" ht="15" customHeight="1" s="30">
      <c r="J20" s="29" t="n"/>
    </row>
    <row r="21" ht="15" customHeight="1" s="30">
      <c r="J21" s="29" t="n"/>
    </row>
    <row r="22" ht="15" customHeight="1" s="30">
      <c r="J22" s="29" t="n"/>
    </row>
    <row r="23" ht="15" customHeight="1" s="30">
      <c r="J23" s="29" t="n"/>
    </row>
    <row r="24" ht="15" customHeight="1" s="30">
      <c r="J24" s="29" t="n"/>
    </row>
    <row r="25" ht="15" customHeight="1" s="30">
      <c r="J25" s="29" t="n"/>
    </row>
    <row r="26" ht="15" customHeight="1" s="30">
      <c r="J26" s="29" t="n"/>
    </row>
    <row r="27" ht="15" customHeight="1" s="30">
      <c r="J27" s="29" t="n"/>
    </row>
    <row r="28" ht="15" customHeight="1" s="30">
      <c r="J28" s="29" t="n"/>
    </row>
    <row r="29" ht="15" customHeight="1" s="30">
      <c r="J29" s="29" t="n"/>
    </row>
    <row r="30" ht="15" customHeight="1" s="30">
      <c r="J30" s="29" t="n"/>
    </row>
    <row r="31" ht="15" customHeight="1" s="30">
      <c r="J31" s="29" t="n"/>
    </row>
    <row r="32" ht="15" customHeight="1" s="30">
      <c r="J32" s="29" t="n"/>
    </row>
    <row r="33" ht="15" customHeight="1" s="30">
      <c r="J33" s="29" t="n"/>
    </row>
    <row r="34" ht="15" customHeight="1" s="30">
      <c r="J34" s="29" t="n"/>
    </row>
    <row r="35" ht="15" customHeight="1" s="30">
      <c r="J35" s="29" t="n"/>
    </row>
    <row r="36" ht="15" customHeight="1" s="30">
      <c r="J36" s="29" t="n"/>
    </row>
    <row r="37" ht="15" customHeight="1" s="30">
      <c r="J37" s="29" t="n"/>
    </row>
    <row r="38" ht="15" customHeight="1" s="30">
      <c r="J38" s="29" t="n"/>
    </row>
    <row r="39" ht="15" customHeight="1" s="30">
      <c r="J39" s="29" t="n"/>
    </row>
    <row r="40" ht="15" customHeight="1" s="30">
      <c r="J40" s="29" t="n"/>
    </row>
  </sheetData>
  <mergeCells count="1">
    <mergeCell ref="B2:J2"/>
  </mergeCells>
  <dataValidations count="1">
    <dataValidation sqref="J5:J40" showDropDown="0" showInputMessage="0" showErrorMessage="0" allowBlank="0" type="list" errorStyle="stop" operator="between">
      <formula1>"TO MAP,ACTIVE,STALE,EXCEPTION,RETIRED"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F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29" min="1" max="1"/>
    <col width="26" customWidth="1" style="29" min="2" max="2"/>
    <col width="14" customWidth="1" style="29" min="3" max="6"/>
  </cols>
  <sheetData>
    <row r="2" ht="19.7" customHeight="1" s="30">
      <c r="B2" s="31" t="inlineStr">
        <is>
          <t>Fund NAV Build</t>
        </is>
      </c>
    </row>
    <row r="4" ht="15" customHeight="1" s="30">
      <c r="C4" s="40" t="inlineStr">
        <is>
          <t>Period 0</t>
        </is>
      </c>
      <c r="D4" s="40" t="inlineStr">
        <is>
          <t>Period 1</t>
        </is>
      </c>
      <c r="E4" s="40" t="inlineStr">
        <is>
          <t>Period 2</t>
        </is>
      </c>
      <c r="F4" s="40" t="inlineStr">
        <is>
          <t>Period 3</t>
        </is>
      </c>
    </row>
    <row r="5" ht="15" customHeight="1" s="30">
      <c r="B5" s="32" t="inlineStr">
        <is>
          <t>Beginning NAV</t>
        </is>
      </c>
      <c r="C5" s="41" t="n">
        <v>10010.143</v>
      </c>
      <c r="D5" s="42">
        <f>C10</f>
        <v/>
      </c>
      <c r="E5" s="42">
        <f>D10</f>
        <v/>
      </c>
      <c r="F5" s="42">
        <f>E10</f>
        <v/>
      </c>
    </row>
    <row r="6" ht="15" customHeight="1" s="30">
      <c r="B6" s="43" t="inlineStr">
        <is>
          <t>+ Capital contributions</t>
        </is>
      </c>
      <c r="C6" s="41" t="n">
        <v>306.57</v>
      </c>
      <c r="D6" s="42" t="n">
        <v>0</v>
      </c>
      <c r="E6" s="42" t="n">
        <v>0</v>
      </c>
      <c r="F6" s="42" t="n">
        <v>0</v>
      </c>
    </row>
    <row r="7" ht="15" customHeight="1" s="30">
      <c r="B7" s="43" t="inlineStr">
        <is>
          <t>+ Realized/unrealized gains</t>
        </is>
      </c>
      <c r="C7" s="41" t="n">
        <v>-1722.228</v>
      </c>
      <c r="D7" s="42" t="n">
        <v>0</v>
      </c>
      <c r="E7" s="42" t="n">
        <v>0</v>
      </c>
      <c r="F7" s="42" t="n">
        <v>0</v>
      </c>
    </row>
    <row r="8" ht="15" customHeight="1" s="30">
      <c r="B8" s="43" t="inlineStr">
        <is>
          <t>- Fees &amp; expenses</t>
        </is>
      </c>
      <c r="C8" s="41" t="n">
        <v>0</v>
      </c>
      <c r="D8" s="42" t="n">
        <v>0</v>
      </c>
      <c r="E8" s="42" t="n">
        <v>0</v>
      </c>
      <c r="F8" s="42" t="n">
        <v>0</v>
      </c>
    </row>
    <row r="9" ht="15" customHeight="1" s="30">
      <c r="B9" s="43" t="inlineStr">
        <is>
          <t>- Distributions</t>
        </is>
      </c>
      <c r="C9" s="41" t="n">
        <v>0</v>
      </c>
      <c r="D9" s="42" t="n">
        <v>0</v>
      </c>
      <c r="E9" s="42" t="n">
        <v>0</v>
      </c>
      <c r="F9" s="42" t="n">
        <v>0</v>
      </c>
    </row>
    <row r="10" ht="15" customHeight="1" s="30">
      <c r="B10" s="32" t="inlineStr">
        <is>
          <t>Ending NAV</t>
        </is>
      </c>
      <c r="C10" s="44">
        <f>C5+C6+C7-C8-C9</f>
        <v/>
      </c>
      <c r="D10" s="44">
        <f>D5+D6+D7-D8-D9</f>
        <v/>
      </c>
      <c r="E10" s="44">
        <f>E5+E6+E7-E8-E9</f>
        <v/>
      </c>
      <c r="F10" s="44">
        <f>F5+F6+F7-F8-F9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2:D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29" min="1" max="1"/>
    <col width="30" customWidth="1" style="29" min="2" max="2"/>
    <col width="16" customWidth="1" style="29" min="3" max="3"/>
    <col width="40" customWidth="1" style="29" min="4" max="4"/>
  </cols>
  <sheetData>
    <row r="2" ht="19.7" customHeight="1" s="30">
      <c r="B2" s="31" t="inlineStr">
        <is>
          <t>Fee Waterfall — Mgmt Fee + Carry w/ Hurdle</t>
        </is>
      </c>
    </row>
    <row r="4" ht="15" customHeight="1" s="30">
      <c r="B4" s="45" t="inlineStr">
        <is>
          <t>Inputs</t>
        </is>
      </c>
    </row>
    <row r="5" ht="15" customHeight="1" s="30">
      <c r="B5" s="43" t="inlineStr">
        <is>
          <t>Committed capital</t>
        </is>
      </c>
      <c r="C5" s="46" t="n">
        <v>0</v>
      </c>
    </row>
    <row r="6" ht="15" customHeight="1" s="30">
      <c r="B6" s="43" t="inlineStr">
        <is>
          <t>Management fee %</t>
        </is>
      </c>
      <c r="C6" s="47" t="n">
        <v>0.02</v>
      </c>
    </row>
    <row r="7" ht="15" customHeight="1" s="30">
      <c r="B7" s="43" t="inlineStr">
        <is>
          <t>Preferred return / hurdle %</t>
        </is>
      </c>
      <c r="C7" s="47" t="n">
        <v>0.08</v>
      </c>
    </row>
    <row r="8" ht="15" customHeight="1" s="30">
      <c r="B8" s="43" t="inlineStr">
        <is>
          <t>Carry / promote %</t>
        </is>
      </c>
      <c r="C8" s="47" t="n">
        <v>0.2</v>
      </c>
    </row>
    <row r="9" ht="15" customHeight="1" s="30">
      <c r="B9" s="43" t="inlineStr">
        <is>
          <t>GP catch-up %</t>
        </is>
      </c>
      <c r="C9" s="47" t="n">
        <v>1</v>
      </c>
    </row>
    <row r="10" ht="15" customHeight="1" s="30">
      <c r="B10" s="43" t="inlineStr">
        <is>
          <t>Gross fund profit (this period)</t>
        </is>
      </c>
      <c r="C10" s="46" t="n">
        <v>0</v>
      </c>
    </row>
    <row r="11" ht="15" customHeight="1" s="30">
      <c r="B11" s="43" t="inlineStr">
        <is>
          <t>Capital invested (basis for hurdle)</t>
        </is>
      </c>
      <c r="C11" s="46" t="n">
        <v>0</v>
      </c>
    </row>
    <row r="13" ht="15" customHeight="1" s="30">
      <c r="B13" s="45" t="inlineStr">
        <is>
          <t>Waterfall</t>
        </is>
      </c>
    </row>
    <row r="14" ht="15" customHeight="1" s="30">
      <c r="B14" s="29" t="inlineStr">
        <is>
          <t>1. Return of capital</t>
        </is>
      </c>
      <c r="C14" s="48">
        <f>MIN(C10,C11)</f>
        <v/>
      </c>
    </row>
    <row r="15" ht="15" customHeight="1" s="30">
      <c r="B15" s="29" t="inlineStr">
        <is>
          <t>2. Preferred return (hurdle) to LPs</t>
        </is>
      </c>
      <c r="C15" s="48">
        <f>MIN(MAX(C10-C14,0),C11*C7)</f>
        <v/>
      </c>
    </row>
    <row r="16" ht="15" customHeight="1" s="30">
      <c r="B16" s="29" t="inlineStr">
        <is>
          <t>3. GP catch-up</t>
        </is>
      </c>
      <c r="C16" s="48">
        <f>MIN(MAX(C10-C14-C15,0),C15*C8/(1-C8)*C9)</f>
        <v/>
      </c>
    </row>
    <row r="17" ht="15" customHeight="1" s="30">
      <c r="B17" s="29" t="inlineStr">
        <is>
          <t>4. Remaining profit split (LP/GP per carry%)</t>
        </is>
      </c>
      <c r="C17" s="48">
        <f>MAX(C10-C14-C15-C16,0)</f>
        <v/>
      </c>
    </row>
    <row r="18" ht="15" customHeight="1" s="30">
      <c r="B18" s="29" t="inlineStr">
        <is>
          <t xml:space="preserve">   GP share of remainder</t>
        </is>
      </c>
      <c r="C18" s="48">
        <f>C17*C8</f>
        <v/>
      </c>
    </row>
    <row r="19" ht="15" customHeight="1" s="30">
      <c r="B19" s="29" t="inlineStr">
        <is>
          <t xml:space="preserve">   LP share of remainder</t>
        </is>
      </c>
      <c r="C19" s="48">
        <f>C17*(1-C8)</f>
        <v/>
      </c>
    </row>
    <row r="21" ht="15" customHeight="1" s="30">
      <c r="B21" s="29" t="inlineStr">
        <is>
          <t>Total GP take (carry + catch-up)</t>
        </is>
      </c>
      <c r="C21" s="44">
        <f>C16+C18</f>
        <v/>
      </c>
    </row>
    <row r="22" ht="15" customHeight="1" s="30">
      <c r="B22" s="29" t="inlineStr">
        <is>
          <t>Total LP take</t>
        </is>
      </c>
      <c r="C22" s="44">
        <f>C14+C15+C19</f>
        <v/>
      </c>
    </row>
    <row r="23" ht="15" customHeight="1" s="30">
      <c r="B23" s="29" t="inlineStr">
        <is>
          <t>Annual management fee (separate from carry)</t>
        </is>
      </c>
      <c r="C23" s="48">
        <f>C5*C6</f>
        <v/>
      </c>
    </row>
    <row r="24" ht="15" customHeight="1" s="30">
      <c r="B24" s="29" t="inlineStr">
        <is>
          <t>Waterfall conservation residual</t>
        </is>
      </c>
      <c r="C24" s="48">
        <f>C10-C21-C22</f>
        <v/>
      </c>
      <c r="D24" s="49" t="inlineStr">
        <is>
          <t>Gross profit must equal GP take plus LP take; management fee remains separate.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2:F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29" min="1" max="1"/>
    <col width="24" customWidth="1" style="29" min="2" max="2"/>
    <col width="14" customWidth="1" style="29" min="3" max="5"/>
    <col width="40" customWidth="1" style="29" min="6" max="6"/>
  </cols>
  <sheetData>
    <row r="2" ht="19.7" customHeight="1" s="30">
      <c r="B2" s="31" t="inlineStr">
        <is>
          <t>Performance Attribution</t>
        </is>
      </c>
    </row>
    <row r="4" ht="15" customHeight="1" s="30">
      <c r="A4" s="40" t="n"/>
      <c r="B4" s="40" t="inlineStr">
        <is>
          <t>Position/Strategy</t>
        </is>
      </c>
      <c r="C4" s="40" t="inlineStr">
        <is>
          <t>Contribution ($)</t>
        </is>
      </c>
      <c r="D4" s="40" t="inlineStr">
        <is>
          <t>Contribution (%)</t>
        </is>
      </c>
      <c r="E4" s="40" t="inlineStr">
        <is>
          <t>Weight (%)</t>
        </is>
      </c>
      <c r="F4" s="29" t="inlineStr">
        <is>
          <t>Notes</t>
        </is>
      </c>
    </row>
    <row r="5" ht="15" customHeight="1" s="30">
      <c r="B5" s="33" t="inlineStr">
        <is>
          <t>[fill in]</t>
        </is>
      </c>
      <c r="C5" s="42" t="n">
        <v>0</v>
      </c>
      <c r="D5" s="50" t="n">
        <v>0</v>
      </c>
      <c r="E5" s="50" t="n">
        <v>0</v>
      </c>
    </row>
    <row r="6" ht="15" customHeight="1" s="30">
      <c r="B6" s="33" t="inlineStr">
        <is>
          <t>[fill in]</t>
        </is>
      </c>
      <c r="C6" s="42" t="n">
        <v>0</v>
      </c>
      <c r="D6" s="50" t="n">
        <v>0</v>
      </c>
      <c r="E6" s="50" t="n">
        <v>0</v>
      </c>
    </row>
    <row r="7" ht="15" customHeight="1" s="30">
      <c r="B7" s="33" t="inlineStr">
        <is>
          <t>[fill in]</t>
        </is>
      </c>
      <c r="C7" s="42" t="n">
        <v>0</v>
      </c>
      <c r="D7" s="50" t="n">
        <v>0</v>
      </c>
      <c r="E7" s="50" t="n">
        <v>0</v>
      </c>
    </row>
    <row r="8" ht="15" customHeight="1" s="30">
      <c r="B8" s="33" t="inlineStr">
        <is>
          <t>[fill in]</t>
        </is>
      </c>
      <c r="C8" s="42" t="n">
        <v>0</v>
      </c>
      <c r="D8" s="50" t="n">
        <v>0</v>
      </c>
      <c r="E8" s="50" t="n">
        <v>0</v>
      </c>
    </row>
    <row r="9" ht="15" customHeight="1" s="30">
      <c r="B9" s="33" t="inlineStr">
        <is>
          <t>[fill in]</t>
        </is>
      </c>
      <c r="C9" s="42" t="n">
        <v>0</v>
      </c>
      <c r="D9" s="50" t="n">
        <v>0</v>
      </c>
      <c r="E9" s="50" t="n">
        <v>0</v>
      </c>
    </row>
    <row r="10" ht="15" customHeight="1" s="30">
      <c r="B10" s="33" t="inlineStr">
        <is>
          <t>[fill in]</t>
        </is>
      </c>
      <c r="C10" s="42" t="n">
        <v>0</v>
      </c>
      <c r="D10" s="50" t="n">
        <v>0</v>
      </c>
      <c r="E10" s="50" t="n">
        <v>0</v>
      </c>
    </row>
    <row r="11" ht="15" customHeight="1" s="30">
      <c r="B11" s="33" t="inlineStr">
        <is>
          <t>[fill in]</t>
        </is>
      </c>
      <c r="C11" s="42" t="n">
        <v>0</v>
      </c>
      <c r="D11" s="50" t="n">
        <v>0</v>
      </c>
      <c r="E11" s="50" t="n">
        <v>0</v>
      </c>
    </row>
    <row r="12" ht="15" customHeight="1" s="30">
      <c r="B12" s="32" t="inlineStr">
        <is>
          <t>Total fund return</t>
        </is>
      </c>
      <c r="C12" s="51">
        <f>SUM(C5:C11)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2:F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29" min="1" max="1"/>
    <col width="30" customWidth="1" style="29" min="2" max="2"/>
    <col width="14" customWidth="1" style="29" min="3" max="6"/>
    <col width="40" customWidth="1" style="29" min="7" max="7"/>
  </cols>
  <sheetData>
    <row r="2" ht="19.7" customHeight="1" s="30">
      <c r="B2" s="31" t="inlineStr">
        <is>
          <t>Fund Performance — LP Reporting Metrics</t>
        </is>
      </c>
    </row>
    <row r="4" ht="15" customHeight="1" s="30">
      <c r="B4" s="49" t="inlineStr">
        <is>
          <t>Uses the period cash flows and ending NAV from the Fund NAV tab.</t>
        </is>
      </c>
    </row>
    <row r="6" ht="15" customHeight="1" s="30">
      <c r="C6" s="40" t="inlineStr">
        <is>
          <t>Period 0</t>
        </is>
      </c>
      <c r="D6" s="40" t="inlineStr">
        <is>
          <t>Period 1</t>
        </is>
      </c>
      <c r="E6" s="40" t="inlineStr">
        <is>
          <t>Period 2</t>
        </is>
      </c>
      <c r="F6" s="40" t="inlineStr">
        <is>
          <t>Period 3</t>
        </is>
      </c>
    </row>
    <row r="7" ht="15" customHeight="1" s="30">
      <c r="B7" s="29" t="inlineStr">
        <is>
          <t>LP net cash flow (distributions - contributions)</t>
        </is>
      </c>
      <c r="C7" s="48">
        <f>'Fund NAV'!C9-'Fund NAV'!C6</f>
        <v/>
      </c>
      <c r="D7" s="48">
        <f>'Fund NAV'!D9-'Fund NAV'!D6</f>
        <v/>
      </c>
      <c r="E7" s="48">
        <f>'Fund NAV'!E9-'Fund NAV'!E6</f>
        <v/>
      </c>
      <c r="F7" s="48">
        <f>'Fund NAV'!F9-'Fund NAV'!F6</f>
        <v/>
      </c>
    </row>
    <row r="8" ht="15" customHeight="1" s="30">
      <c r="B8" s="29" t="inlineStr">
        <is>
          <t xml:space="preserve">  + terminal NAV added to final period</t>
        </is>
      </c>
      <c r="C8" s="52">
        <f>'Fund NAV'!F10</f>
        <v/>
      </c>
    </row>
    <row r="9" ht="15" customHeight="1" s="30">
      <c r="B9" s="29" t="inlineStr">
        <is>
          <t>LP cash flow incl. terminal value (for IRR)</t>
        </is>
      </c>
      <c r="C9" s="48">
        <f>C7</f>
        <v/>
      </c>
      <c r="D9" s="48">
        <f>D7</f>
        <v/>
      </c>
      <c r="E9" s="48">
        <f>E7</f>
        <v/>
      </c>
      <c r="F9" s="48">
        <f>F7+C8</f>
        <v/>
      </c>
    </row>
    <row r="12" ht="15" customHeight="1" s="30">
      <c r="B12" s="45" t="inlineStr">
        <is>
          <t>Outputs</t>
        </is>
      </c>
    </row>
    <row r="13" ht="15" customHeight="1" s="30">
      <c r="B13" s="29" t="inlineStr">
        <is>
          <t>Cumulative capital called</t>
        </is>
      </c>
      <c r="C13" s="52">
        <f>SUM('Fund NAV'!C6:F6)</f>
        <v/>
      </c>
    </row>
    <row r="14" ht="15" customHeight="1" s="30">
      <c r="B14" s="29" t="inlineStr">
        <is>
          <t>Cumulative distributions</t>
        </is>
      </c>
      <c r="C14" s="52">
        <f>SUM('Fund NAV'!C9:F9)</f>
        <v/>
      </c>
    </row>
    <row r="15" ht="15" customHeight="1" s="30">
      <c r="B15" s="29" t="inlineStr">
        <is>
          <t>Current NAV (residual value)</t>
        </is>
      </c>
      <c r="C15" s="52">
        <f>'Fund NAV'!F10</f>
        <v/>
      </c>
    </row>
    <row r="16" ht="15" customHeight="1" s="30">
      <c r="B16" s="29" t="inlineStr">
        <is>
          <t>DPI (Distributions to Paid-In)</t>
        </is>
      </c>
      <c r="C16" s="53">
        <f>IFERROR(C14/C13,"-")</f>
        <v/>
      </c>
    </row>
    <row r="17" ht="15" customHeight="1" s="30">
      <c r="B17" s="29" t="inlineStr">
        <is>
          <t>RVPI (Residual Value to Paid-In)</t>
        </is>
      </c>
      <c r="C17" s="53">
        <f>IFERROR(C15/C13,"-")</f>
        <v/>
      </c>
    </row>
    <row r="18" ht="15" customHeight="1" s="30">
      <c r="B18" s="29" t="inlineStr">
        <is>
          <t>TVPI (Total Value to Paid-In = DPI + RVPI)</t>
        </is>
      </c>
      <c r="C18" s="53">
        <f>IFERROR(C16+C17,"-")</f>
        <v/>
      </c>
      <c r="D18" s="49" t="inlineStr">
        <is>
          <t>Headline LP metric — total value (realized + unrealized) per dollar called</t>
        </is>
      </c>
    </row>
    <row r="19" ht="15" customHeight="1" s="30">
      <c r="B19" s="29" t="inlineStr">
        <is>
          <t>Net IRR to LPs (periodic, undated)</t>
        </is>
      </c>
      <c r="C19" s="54">
        <f>IFERROR(IRR(C9:F9),"-")</f>
        <v/>
      </c>
      <c r="D19" s="49" t="inlineStr">
        <is>
          <t>Treats each period as evenly spaced — use XIRR with real dates for called capital at irregular intervals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B2:G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29" min="1" max="1"/>
    <col width="38" customWidth="1" style="29" min="2" max="2"/>
    <col width="16" customWidth="1" style="29" min="3" max="6"/>
    <col width="44" customWidth="1" style="29" min="7" max="7"/>
  </cols>
  <sheetData>
    <row r="2" ht="19.7" customHeight="1" s="30">
      <c r="B2" s="31" t="inlineStr">
        <is>
          <t>Time-Weighted, Money-Weighted, and Benchmark Return Controls</t>
        </is>
      </c>
    </row>
    <row r="4" ht="15" customHeight="1" s="30">
      <c r="B4" s="40" t="inlineStr">
        <is>
          <t>Metric</t>
        </is>
      </c>
      <c r="C4" s="40" t="inlineStr">
        <is>
          <t>Period 0</t>
        </is>
      </c>
      <c r="D4" s="40" t="inlineStr">
        <is>
          <t>Period 1</t>
        </is>
      </c>
      <c r="E4" s="40" t="inlineStr">
        <is>
          <t>Period 2</t>
        </is>
      </c>
      <c r="F4" s="40" t="inlineStr">
        <is>
          <t>Period 3</t>
        </is>
      </c>
      <c r="G4" s="40" t="inlineStr">
        <is>
          <t>Interpretation</t>
        </is>
      </c>
    </row>
    <row r="5" ht="15" customHeight="1" s="30">
      <c r="B5" s="29" t="inlineStr">
        <is>
          <t>Beginning NAV</t>
        </is>
      </c>
      <c r="C5" s="48">
        <f>'Fund NAV'!C5</f>
        <v/>
      </c>
      <c r="D5" s="48">
        <f>'Fund NAV'!D5</f>
        <v/>
      </c>
      <c r="E5" s="48">
        <f>'Fund NAV'!E5</f>
        <v/>
      </c>
      <c r="F5" s="48">
        <f>'Fund NAV'!F5</f>
        <v/>
      </c>
    </row>
    <row r="6" ht="15" customHeight="1" s="30">
      <c r="B6" s="29" t="inlineStr">
        <is>
          <t>Contributions</t>
        </is>
      </c>
      <c r="C6" s="48">
        <f>'Fund NAV'!C6</f>
        <v/>
      </c>
      <c r="D6" s="48">
        <f>'Fund NAV'!D6</f>
        <v/>
      </c>
      <c r="E6" s="48">
        <f>'Fund NAV'!E6</f>
        <v/>
      </c>
      <c r="F6" s="48">
        <f>'Fund NAV'!F6</f>
        <v/>
      </c>
    </row>
    <row r="7" ht="15" customHeight="1" s="30">
      <c r="B7" s="29" t="inlineStr">
        <is>
          <t>Distributions</t>
        </is>
      </c>
      <c r="C7" s="48">
        <f>'Fund NAV'!C9</f>
        <v/>
      </c>
      <c r="D7" s="48">
        <f>'Fund NAV'!D9</f>
        <v/>
      </c>
      <c r="E7" s="48">
        <f>'Fund NAV'!E9</f>
        <v/>
      </c>
      <c r="F7" s="48">
        <f>'Fund NAV'!F9</f>
        <v/>
      </c>
    </row>
    <row r="8" ht="15" customHeight="1" s="30">
      <c r="B8" s="29" t="inlineStr">
        <is>
          <t>Ending NAV</t>
        </is>
      </c>
      <c r="C8" s="48">
        <f>'Fund NAV'!C10</f>
        <v/>
      </c>
      <c r="D8" s="48">
        <f>'Fund NAV'!D10</f>
        <v/>
      </c>
      <c r="E8" s="48">
        <f>'Fund NAV'!E10</f>
        <v/>
      </c>
      <c r="F8" s="48">
        <f>'Fund NAV'!F10</f>
        <v/>
      </c>
    </row>
    <row r="9" ht="15" customHeight="1" s="30">
      <c r="B9" s="29" t="inlineStr">
        <is>
          <t>Subperiod return</t>
        </is>
      </c>
      <c r="C9" s="55">
        <f>IFERROR((C8+C7-C6)/C5-1,"-")</f>
        <v/>
      </c>
      <c r="D9" s="55">
        <f>IFERROR((D8+D7-D6)/D5-1,"-")</f>
        <v/>
      </c>
      <c r="E9" s="55">
        <f>IFERROR((E8+E7-E6)/E5-1,"-")</f>
        <v/>
      </c>
      <c r="F9" s="55">
        <f>IFERROR((F8+F7-F6)/F5-1,"-")</f>
        <v/>
      </c>
    </row>
    <row r="12" ht="15" customHeight="1" s="30">
      <c r="B12" s="29" t="inlineStr">
        <is>
          <t>Time-weighted return</t>
        </is>
      </c>
      <c r="C12" s="55">
        <f>IF(COUNT(C9:F9)&lt;4,"-",PRODUCT(1+C9:F9)-1)</f>
        <v/>
      </c>
    </row>
    <row r="13" ht="15" customHeight="1" s="30">
      <c r="B13" s="29" t="inlineStr">
        <is>
          <t>Money-weighted return / IRR</t>
        </is>
      </c>
      <c r="C13" s="55">
        <f>'Fund Performance'!C19</f>
        <v/>
      </c>
    </row>
    <row r="14" ht="15" customHeight="1" s="30">
      <c r="B14" s="29" t="inlineStr">
        <is>
          <t>Benchmark return</t>
        </is>
      </c>
      <c r="C14" s="47" t="n">
        <v>0</v>
      </c>
    </row>
    <row r="15" ht="15" customHeight="1" s="30">
      <c r="B15" s="29" t="inlineStr">
        <is>
          <t>Excess return</t>
        </is>
      </c>
      <c r="C15" s="55">
        <f>IF(AND(ISNUMBER(C12),ISNUMBER(C14)),C12-C14,"-")</f>
        <v/>
      </c>
    </row>
    <row r="17" ht="15" customHeight="1" s="30">
      <c r="B17" s="49" t="inlineStr">
        <is>
          <t>Time-weighted return neutralizes external cash flows at each subperiod boundary; irregular intra-period flows require dated or daily valuation methods.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2:E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29" min="1" max="1"/>
    <col width="40" customWidth="1" style="29" min="2" max="2"/>
    <col width="18" customWidth="1" style="29" min="3" max="4"/>
    <col width="44" customWidth="1" style="29" min="5" max="5"/>
  </cols>
  <sheetData>
    <row r="2" ht="19.7" customHeight="1" s="30">
      <c r="B2" s="31" t="inlineStr">
        <is>
          <t>Exposure, Concentration, Redemptions, and Liquidity Coverage</t>
        </is>
      </c>
    </row>
    <row r="4" ht="15" customHeight="1" s="30">
      <c r="B4" s="40" t="inlineStr">
        <is>
          <t>Metric</t>
        </is>
      </c>
      <c r="C4" s="40" t="inlineStr">
        <is>
          <t>Base</t>
        </is>
      </c>
      <c r="D4" s="40" t="inlineStr">
        <is>
          <t>Downside</t>
        </is>
      </c>
      <c r="E4" s="40" t="inlineStr">
        <is>
          <t>Control / interpretation</t>
        </is>
      </c>
    </row>
    <row r="5" ht="15" customHeight="1" s="30">
      <c r="B5" s="29" t="inlineStr">
        <is>
          <t>Gross exposure</t>
        </is>
      </c>
      <c r="C5" s="46" t="n">
        <v>150</v>
      </c>
      <c r="D5" s="46" t="n">
        <v>180</v>
      </c>
      <c r="E5" s="29" t="inlineStr">
        <is>
          <t>sum of absolute long and short market exposures</t>
        </is>
      </c>
    </row>
    <row r="6" ht="15" customHeight="1" s="30">
      <c r="B6" s="29" t="inlineStr">
        <is>
          <t>Net exposure</t>
        </is>
      </c>
      <c r="C6" s="46" t="n">
        <v>60</v>
      </c>
      <c r="D6" s="46" t="n">
        <v>100</v>
      </c>
      <c r="E6" s="29" t="inlineStr">
        <is>
          <t>long less short exposure</t>
        </is>
      </c>
    </row>
    <row r="7" ht="15" customHeight="1" s="30">
      <c r="B7" s="29" t="inlineStr">
        <is>
          <t>Current NAV</t>
        </is>
      </c>
      <c r="C7" s="48">
        <f>'Fund NAV'!F10</f>
        <v/>
      </c>
      <c r="D7" s="48">
        <f>'Fund NAV'!F10</f>
        <v/>
      </c>
      <c r="E7" s="29" t="inlineStr">
        <is>
          <t>linked to current residual value</t>
        </is>
      </c>
    </row>
    <row r="8" ht="15" customHeight="1" s="30">
      <c r="B8" s="29" t="inlineStr">
        <is>
          <t>Top-10 position exposure</t>
        </is>
      </c>
      <c r="C8" s="46" t="n">
        <v>35</v>
      </c>
      <c r="D8" s="46" t="n">
        <v>55</v>
      </c>
      <c r="E8" s="29" t="inlineStr">
        <is>
          <t>concentration numerator</t>
        </is>
      </c>
    </row>
    <row r="9" ht="15" customHeight="1" s="30">
      <c r="B9" s="29" t="inlineStr">
        <is>
          <t>Illiquid / gated NAV</t>
        </is>
      </c>
      <c r="C9" s="46" t="n">
        <v>15</v>
      </c>
      <c r="D9" s="46" t="n">
        <v>35</v>
      </c>
      <c r="E9" s="29" t="inlineStr">
        <is>
          <t>assets not monetizable inside the review horizon</t>
        </is>
      </c>
    </row>
    <row r="10" ht="15" customHeight="1" s="30">
      <c r="B10" s="29" t="inlineStr">
        <is>
          <t>Thirty-day redemption / distribution demand</t>
        </is>
      </c>
      <c r="C10" s="46" t="n">
        <v>12</v>
      </c>
      <c r="D10" s="46" t="n">
        <v>40</v>
      </c>
      <c r="E10" s="29" t="inlineStr">
        <is>
          <t>expected cash demand</t>
        </is>
      </c>
    </row>
    <row r="11" ht="15" customHeight="1" s="30">
      <c r="B11" s="29" t="inlineStr">
        <is>
          <t>Unfunded commitments</t>
        </is>
      </c>
      <c r="C11" s="46" t="n">
        <v>8</v>
      </c>
      <c r="D11" s="46" t="n">
        <v>20</v>
      </c>
      <c r="E11" s="29" t="inlineStr">
        <is>
          <t>contractual capital-call exposure</t>
        </is>
      </c>
    </row>
    <row r="12" ht="15" customHeight="1" s="30">
      <c r="B12" s="29" t="inlineStr">
        <is>
          <t>Unrestricted liquid assets</t>
        </is>
      </c>
      <c r="C12" s="46" t="n">
        <v>30</v>
      </c>
      <c r="D12" s="46" t="n">
        <v>15</v>
      </c>
      <c r="E12" s="29" t="inlineStr">
        <is>
          <t>cash plus assets monetizable inside thirty days</t>
        </is>
      </c>
    </row>
    <row r="13" ht="15" customHeight="1" s="30">
      <c r="B13" s="29" t="inlineStr">
        <is>
          <t>Maximum top-10 concentration</t>
        </is>
      </c>
      <c r="C13" s="47" t="n">
        <v>0.4</v>
      </c>
      <c r="D13" s="47" t="n">
        <v>0.4</v>
      </c>
      <c r="E13" s="29" t="inlineStr">
        <is>
          <t>approved limit</t>
        </is>
      </c>
    </row>
    <row r="14" ht="15" customHeight="1" s="30">
      <c r="B14" s="29" t="inlineStr">
        <is>
          <t>Maximum illiquid NAV</t>
        </is>
      </c>
      <c r="C14" s="47" t="n">
        <v>0.25</v>
      </c>
      <c r="D14" s="47" t="n">
        <v>0.25</v>
      </c>
      <c r="E14" s="29" t="inlineStr">
        <is>
          <t>approved limit</t>
        </is>
      </c>
    </row>
    <row r="15" ht="15" customHeight="1" s="30">
      <c r="B15" s="29" t="inlineStr">
        <is>
          <t>Minimum liquidity coverage</t>
        </is>
      </c>
      <c r="C15" s="56" t="n">
        <v>1.2</v>
      </c>
      <c r="D15" s="56" t="n">
        <v>1.2</v>
      </c>
      <c r="E15" s="29" t="inlineStr">
        <is>
          <t>liquid assets / redemption plus commitments</t>
        </is>
      </c>
    </row>
    <row r="18" ht="15" customHeight="1" s="30">
      <c r="B18" s="29" t="inlineStr">
        <is>
          <t>Gross leverage</t>
        </is>
      </c>
      <c r="C18" s="57">
        <f>IFERROR(C5/C7,0)</f>
        <v/>
      </c>
      <c r="D18" s="57">
        <f>IFERROR(D5/D7,0)</f>
        <v/>
      </c>
    </row>
    <row r="19" ht="15" customHeight="1" s="30">
      <c r="B19" s="29" t="inlineStr">
        <is>
          <t>Net exposure / NAV</t>
        </is>
      </c>
      <c r="C19" s="57">
        <f>IFERROR(C6/C7,0)</f>
        <v/>
      </c>
      <c r="D19" s="57">
        <f>IFERROR(D6/D7,0)</f>
        <v/>
      </c>
    </row>
    <row r="20" ht="15" customHeight="1" s="30">
      <c r="B20" s="29" t="inlineStr">
        <is>
          <t>Top-10 concentration</t>
        </is>
      </c>
      <c r="C20" s="55">
        <f>IFERROR(C8/C7,0)</f>
        <v/>
      </c>
      <c r="D20" s="55">
        <f>IFERROR(D8/D7,0)</f>
        <v/>
      </c>
    </row>
    <row r="21" ht="15" customHeight="1" s="30">
      <c r="B21" s="29" t="inlineStr">
        <is>
          <t>Illiquid NAV</t>
        </is>
      </c>
      <c r="C21" s="55">
        <f>IFERROR(C9/C7,0)</f>
        <v/>
      </c>
      <c r="D21" s="55">
        <f>IFERROR(D9/D7,0)</f>
        <v/>
      </c>
    </row>
    <row r="22" ht="15" customHeight="1" s="30">
      <c r="B22" s="29" t="inlineStr">
        <is>
          <t>Liquidity coverage</t>
        </is>
      </c>
      <c r="C22" s="57">
        <f>IFERROR(C12/(C10+C11),0)</f>
        <v/>
      </c>
      <c r="D22" s="57">
        <f>IFERROR(D12/(D10+D11),0)</f>
        <v/>
      </c>
    </row>
    <row r="23" ht="15" customHeight="1" s="30">
      <c r="B23" s="29" t="inlineStr">
        <is>
          <t>Downside status</t>
        </is>
      </c>
      <c r="C23" s="58">
        <f>IF(AND(D20&lt;=D13,D21&lt;=D14,D22&gt;=D15),"PASS","BREACH")</f>
        <v/>
      </c>
      <c r="D23" s="5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2:E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29" min="1" max="1"/>
    <col width="42" customWidth="1" style="29" min="2" max="2"/>
    <col width="18" customWidth="1" style="29" min="3" max="4"/>
    <col width="50" customWidth="1" style="29" min="5" max="5"/>
  </cols>
  <sheetData>
    <row r="2" ht="19.7" customHeight="1" s="30">
      <c r="B2" s="31" t="inlineStr">
        <is>
          <t>Asset Management Decision Dashboard and Independent Checks</t>
        </is>
      </c>
    </row>
    <row r="4" ht="15" customHeight="1" s="30">
      <c r="B4" s="40" t="inlineStr">
        <is>
          <t>Check / decision</t>
        </is>
      </c>
      <c r="C4" s="40" t="inlineStr">
        <is>
          <t>Metric</t>
        </is>
      </c>
      <c r="D4" s="40" t="inlineStr">
        <is>
          <t>Status</t>
        </is>
      </c>
      <c r="E4" s="40" t="inlineStr">
        <is>
          <t>Interpretation / action</t>
        </is>
      </c>
    </row>
    <row r="5" ht="15" customHeight="1" s="30">
      <c r="B5" s="29" t="inlineStr">
        <is>
          <t>NAV rollforward residual</t>
        </is>
      </c>
      <c r="C5" s="58">
        <f>'Fund NAV'!F10-('Fund NAV'!F5+'Fund NAV'!F6+'Fund NAV'!F7-'Fund NAV'!F8-'Fund NAV'!F9)</f>
        <v/>
      </c>
      <c r="D5" s="58">
        <f>IF(ABS(C5)&lt;0.01,"PASS","FAIL")</f>
        <v/>
      </c>
      <c r="E5" s="29" t="inlineStr">
        <is>
          <t>Ending NAV must conserve beginning NAV, flows, gains, fees, and distributions.</t>
        </is>
      </c>
    </row>
    <row r="6" ht="15" customHeight="1" s="30">
      <c r="B6" s="29" t="inlineStr">
        <is>
          <t>TVPI identity residual</t>
        </is>
      </c>
      <c r="C6" s="58">
        <f>IF(AND(ISNUMBER('Fund Performance'!C18),ISNUMBER('Fund Performance'!C16),ISNUMBER('Fund Performance'!C17)),'Fund Performance'!C18-'Fund Performance'!C16-'Fund Performance'!C17,0)</f>
        <v/>
      </c>
      <c r="D6" s="58">
        <f>IF(AND(ISNUMBER('Fund Performance'!C18),ISNUMBER('Fund Performance'!C16),ISNUMBER('Fund Performance'!C17)),IF(ABS(C6)&lt;0.000001,"PASS","FAIL"),"REVIEW")</f>
        <v/>
      </c>
      <c r="E6" s="29" t="inlineStr">
        <is>
          <t>TVPI must equal DPI plus RVPI.</t>
        </is>
      </c>
    </row>
    <row r="7" ht="15" customHeight="1" s="30">
      <c r="B7" s="29" t="inlineStr">
        <is>
          <t>Waterfall conservation residual</t>
        </is>
      </c>
      <c r="C7" s="48">
        <f>'Fee Waterfall'!C24</f>
        <v/>
      </c>
      <c r="D7" s="58">
        <f>IF(ABS(C7)&lt;0.01,"PASS","FAIL")</f>
        <v/>
      </c>
      <c r="E7" s="29" t="inlineStr">
        <is>
          <t>Gross profit must reconcile between LP and GP allocations.</t>
        </is>
      </c>
    </row>
    <row r="8" ht="15" customHeight="1" s="30">
      <c r="B8" s="29" t="inlineStr">
        <is>
          <t>Carry-rate bounds</t>
        </is>
      </c>
      <c r="C8" s="55">
        <f>'Fee Waterfall'!C8</f>
        <v/>
      </c>
      <c r="D8" s="58">
        <f>IF(AND(C8&gt;=0,C8&lt;1),"PASS","FAIL")</f>
        <v/>
      </c>
      <c r="E8" s="29" t="inlineStr">
        <is>
          <t>Carry outside zero to one invalidates the waterfall.</t>
        </is>
      </c>
    </row>
    <row r="9" ht="15" customHeight="1" s="30">
      <c r="B9" s="29" t="inlineStr">
        <is>
          <t>Time-weighted return</t>
        </is>
      </c>
      <c r="C9" s="58">
        <f>'Return Measurement'!C12</f>
        <v/>
      </c>
      <c r="D9" s="58">
        <f>IF(ISNUMBER(C9),"PASS","REVIEW")</f>
        <v/>
      </c>
      <c r="E9" s="29" t="inlineStr">
        <is>
          <t>Use valuation-consistent subperiods and disclose benchmark and composite policy.</t>
        </is>
      </c>
    </row>
    <row r="10" ht="15" customHeight="1" s="30">
      <c r="B10" s="29" t="inlineStr">
        <is>
          <t>Excess return</t>
        </is>
      </c>
      <c r="C10" s="58">
        <f>'Return Measurement'!C15</f>
        <v/>
      </c>
      <c r="D10" s="58">
        <f>IF(ISNUMBER(C10),"PASS","REVIEW")</f>
        <v/>
      </c>
      <c r="E10" s="29" t="inlineStr">
        <is>
          <t>Benchmark-relative performance must use a documented and appropriate comparison.</t>
        </is>
      </c>
    </row>
    <row r="11" ht="15" customHeight="1" s="30">
      <c r="B11" s="29" t="inlineStr">
        <is>
          <t>Downside top-10 concentration</t>
        </is>
      </c>
      <c r="C11" s="55">
        <f>'Exposure &amp; Liquidity'!D20</f>
        <v/>
      </c>
      <c r="D11" s="58">
        <f>IF(C11&lt;='Exposure &amp; Liquidity'!D13,"PASS","BREACH")</f>
        <v/>
      </c>
      <c r="E11" s="29" t="inlineStr">
        <is>
          <t>Escalate concentration and correlated exit risk.</t>
        </is>
      </c>
    </row>
    <row r="12" ht="15" customHeight="1" s="30">
      <c r="B12" s="29" t="inlineStr">
        <is>
          <t>Downside illiquid NAV</t>
        </is>
      </c>
      <c r="C12" s="55">
        <f>'Exposure &amp; Liquidity'!D21</f>
        <v/>
      </c>
      <c r="D12" s="58">
        <f>IF(C12&lt;='Exposure &amp; Liquidity'!D14,"PASS","BREACH")</f>
        <v/>
      </c>
      <c r="E12" s="29" t="inlineStr">
        <is>
          <t>Illiquidity must be reconciled against gates, notice periods, and unfunded obligations.</t>
        </is>
      </c>
    </row>
    <row r="13" ht="15" customHeight="1" s="30">
      <c r="B13" s="29" t="inlineStr">
        <is>
          <t>Downside liquidity coverage</t>
        </is>
      </c>
      <c r="C13" s="57">
        <f>'Exposure &amp; Liquidity'!D22</f>
        <v/>
      </c>
      <c r="D13" s="58">
        <f>IF(C13&gt;='Exposure &amp; Liquidity'!D15,"PASS","BREACH")</f>
        <v/>
      </c>
      <c r="E13" s="29" t="inlineStr">
        <is>
          <t>Liquid resources must cover modeled redemptions, distributions, and capital calls.</t>
        </is>
      </c>
    </row>
    <row r="15" ht="15" customHeight="1" s="30">
      <c r="B15" s="32" t="inlineStr">
        <is>
          <t>Overall model status</t>
        </is>
      </c>
      <c r="C15" s="59">
        <f>IF(COUNTIF(D5:D13,"FAIL")+COUNTIF(D5:D13,"BREACH")&gt;0,"BREACH",IF(COUNTIF(D5:D13,"REVIEW")&gt;0,"REVIEW","PASS"))</f>
        <v/>
      </c>
    </row>
    <row r="17" ht="15" customHeight="1" s="30">
      <c r="B17" s="45" t="inlineStr">
        <is>
          <t>Primary decision outputs</t>
        </is>
      </c>
    </row>
    <row r="18" ht="15" customHeight="1" s="30">
      <c r="B18" s="29" t="inlineStr">
        <is>
          <t>Ending NAV</t>
        </is>
      </c>
      <c r="C18" s="48">
        <f>'Fund NAV'!F10</f>
        <v/>
      </c>
    </row>
    <row r="19" ht="15" customHeight="1" s="30">
      <c r="B19" s="29" t="inlineStr">
        <is>
          <t>DPI</t>
        </is>
      </c>
      <c r="C19" s="57">
        <f>'Fund Performance'!C16</f>
        <v/>
      </c>
    </row>
    <row r="20" ht="15" customHeight="1" s="30">
      <c r="B20" s="29" t="inlineStr">
        <is>
          <t>RVPI</t>
        </is>
      </c>
      <c r="C20" s="57">
        <f>'Fund Performance'!C17</f>
        <v/>
      </c>
    </row>
    <row r="21" ht="15" customHeight="1" s="30">
      <c r="B21" s="29" t="inlineStr">
        <is>
          <t>TVPI</t>
        </is>
      </c>
      <c r="C21" s="57">
        <f>'Fund Performance'!C18</f>
        <v/>
      </c>
    </row>
    <row r="22" ht="15" customHeight="1" s="30">
      <c r="B22" s="29" t="inlineStr">
        <is>
          <t>Net IRR</t>
        </is>
      </c>
      <c r="C22" s="55">
        <f>'Fund Performance'!C19</f>
        <v/>
      </c>
    </row>
    <row r="23" ht="15" customHeight="1" s="30">
      <c r="B23" s="29" t="inlineStr">
        <is>
          <t>Time-weighted return</t>
        </is>
      </c>
      <c r="C23" s="55">
        <f>'Return Measurement'!C12</f>
        <v/>
      </c>
    </row>
    <row r="24" ht="15" customHeight="1" s="30">
      <c r="B24" s="29" t="inlineStr">
        <is>
          <t>Downside liquidity coverage</t>
        </is>
      </c>
      <c r="C24" s="57">
        <f>'Exposure &amp; Liquidity'!D22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B2:F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29" min="1" max="1"/>
    <col width="14" customWidth="1" style="29" min="2" max="2"/>
    <col width="16" customWidth="1" style="29" min="3" max="3"/>
    <col width="30" customWidth="1" style="29" min="4" max="5"/>
    <col width="16" customWidth="1" style="29" min="6" max="6"/>
  </cols>
  <sheetData>
    <row r="2" ht="19.7" customHeight="1" s="30">
      <c r="B2" s="31" t="inlineStr">
        <is>
          <t>Refresh Log</t>
        </is>
      </c>
    </row>
    <row r="4" ht="15" customHeight="1" s="30">
      <c r="B4" s="40" t="inlineStr">
        <is>
          <t>Date</t>
        </is>
      </c>
      <c r="C4" s="40" t="inlineStr">
        <is>
          <t>Trigger</t>
        </is>
      </c>
      <c r="D4" s="40" t="inlineStr">
        <is>
          <t>What changed</t>
        </is>
      </c>
      <c r="E4" s="40" t="inlineStr">
        <is>
          <t>Reviewer notes</t>
        </is>
      </c>
      <c r="F4" s="40" t="inlineStr">
        <is>
          <t>Next check</t>
        </is>
      </c>
    </row>
    <row r="5" ht="15" customHeight="1" s="30">
      <c r="B5" s="58" t="inlineStr">
        <is>
          <t>2026-08-04</t>
        </is>
      </c>
      <c r="C5" s="58" t="inlineStr">
        <is>
          <t>External historical evidence materialization</t>
        </is>
      </c>
      <c r="D5" s="58" t="inlineStr">
        <is>
          <t>Generated public case am-public-blackrock-2022-stress from canonical release template</t>
        </is>
      </c>
      <c r="E5" s="58" t="inlineStr">
        <is>
          <t>External historical case; human stakeholder approval remains pending</t>
        </is>
      </c>
      <c r="F5" s="58" t="inlineStr">
        <is>
          <t>On source revision, builder change, monitoring breach, or annual review</t>
        </is>
      </c>
    </row>
    <row r="6" ht="15" customHeight="1" s="30">
      <c r="B6" s="58" t="n"/>
      <c r="C6" s="58" t="n"/>
      <c r="D6" s="58" t="n"/>
      <c r="E6" s="58" t="n"/>
      <c r="F6" s="58" t="n"/>
    </row>
    <row r="7" ht="15" customHeight="1" s="30">
      <c r="B7" s="58" t="n"/>
      <c r="C7" s="58" t="n"/>
      <c r="D7" s="58" t="n"/>
      <c r="E7" s="58" t="n"/>
      <c r="F7" s="58" t="n"/>
    </row>
    <row r="8" ht="15" customHeight="1" s="30">
      <c r="B8" s="58" t="n"/>
      <c r="C8" s="58" t="n"/>
      <c r="D8" s="58" t="n"/>
      <c r="E8" s="58" t="n"/>
      <c r="F8" s="58" t="n"/>
    </row>
    <row r="9" ht="15" customHeight="1" s="30">
      <c r="B9" s="58" t="n"/>
      <c r="C9" s="58" t="n"/>
      <c r="D9" s="58" t="n"/>
      <c r="E9" s="58" t="n"/>
      <c r="F9" s="58" t="n"/>
    </row>
    <row r="10" ht="15" customHeight="1" s="30">
      <c r="B10" s="58" t="n"/>
      <c r="C10" s="58" t="n"/>
      <c r="D10" s="58" t="n"/>
      <c r="E10" s="58" t="n"/>
      <c r="F10" s="58" t="n"/>
    </row>
    <row r="11" ht="15" customHeight="1" s="30">
      <c r="B11" s="58" t="n"/>
      <c r="C11" s="58" t="n"/>
      <c r="D11" s="58" t="n"/>
      <c r="E11" s="58" t="n"/>
      <c r="F11" s="58" t="n"/>
    </row>
    <row r="12" ht="15" customHeight="1" s="30">
      <c r="B12" s="58" t="n"/>
      <c r="C12" s="58" t="n"/>
      <c r="D12" s="58" t="n"/>
      <c r="E12" s="58" t="n"/>
      <c r="F12" s="58" t="n"/>
    </row>
    <row r="13" ht="15" customHeight="1" s="30">
      <c r="B13" s="58" t="n"/>
      <c r="C13" s="58" t="n"/>
      <c r="D13" s="58" t="n"/>
      <c r="E13" s="58" t="n"/>
      <c r="F13" s="58" t="n"/>
    </row>
    <row r="14" ht="15" customHeight="1" s="30">
      <c r="B14" s="58" t="n"/>
      <c r="C14" s="58" t="n"/>
      <c r="D14" s="58" t="n"/>
      <c r="E14" s="58" t="n"/>
      <c r="F14" s="5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2026-08-04T15:32:28Z</dcterms:created>
  <dcterms:modified xmlns:dcterms="http://purl.org/dc/terms/" xmlns:xsi="http://www.w3.org/2001/XMLSchema-instance" xsi:type="dcterms:W3CDTF">2026-08-04T18:30:38Z</dcterms:modified>
  <cp:revision>0</cp:revision>
</cp:coreProperties>
</file>