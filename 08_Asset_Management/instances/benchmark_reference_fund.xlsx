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Fund NAV" sheetId="5" state="visible" r:id="rId7"/>
    <sheet name="Fee Waterfall" sheetId="6" state="visible" r:id="rId8"/>
    <sheet name="Performance Attribution" sheetId="7" state="visible" r:id="rId9"/>
    <sheet name="Fund Performance" sheetId="8" state="visible" r:id="rId10"/>
    <sheet name="Return Measurement" sheetId="9" state="visible" r:id="rId11"/>
    <sheet name="Exposure &amp; Liquidity" sheetId="10" state="visible" r:id="rId12"/>
    <sheet name="Decision &amp; Checks" sheetId="11" state="visible" r:id="rId13"/>
    <sheet name="RefreshLog" sheetId="12" state="visible" r:id="rId14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<sst xmlns="http://schemas.openxmlformats.org/spreadsheetml/2006/main" count="343" uniqueCount="241">
  <si>
    <t xml:space="preserve">[FUND] — Asset Management Model</t>
  </si>
  <si>
    <t xml:space="preserve">Fund structure:</t>
  </si>
  <si>
    <t xml:space="preserve">Hedge fund / PE fund / mutual fund</t>
  </si>
  <si>
    <t xml:space="preserve">Vintage / inception:</t>
  </si>
  <si>
    <t xml:space="preserve">[date]</t>
  </si>
  <si>
    <t xml:space="preserve">Last refreshed:</t>
  </si>
  <si>
    <t xml:space="preserve">2026-08-04</t>
  </si>
  <si>
    <t xml:space="preserve">Next capital call/distribution:</t>
  </si>
  <si>
    <t xml:space="preserve">Refresh cadence:</t>
  </si>
  <si>
    <t xml:space="preserve">Weekly (monthly NAV strike)</t>
  </si>
  <si>
    <t xml:space="preserve">Asset Management — Institutional Decision Surface</t>
  </si>
  <si>
    <t xml:space="preserve">Model ID</t>
  </si>
  <si>
    <t xml:space="preserve">08</t>
  </si>
  <si>
    <t xml:space="preserve">Domain</t>
  </si>
  <si>
    <t xml:space="preserve">Asset Management</t>
  </si>
  <si>
    <t xml:space="preserve">Declared maturity</t>
  </si>
  <si>
    <t xml:space="preserve">M2</t>
  </si>
  <si>
    <t xml:space="preserve">Canonical builder</t>
  </si>
  <si>
    <t xml:space="preserve">tools/builders/build_asset_management_release.py</t>
  </si>
  <si>
    <t xml:space="preserve">Decision arena</t>
  </si>
  <si>
    <t xml:space="preserve">portfolio manager, risk, valuation committee, operations and fund board</t>
  </si>
  <si>
    <t xml:space="preserve">Committee artifact</t>
  </si>
  <si>
    <t xml:space="preserve">portfolio, liquidity and valuation committee pack</t>
  </si>
  <si>
    <t xml:space="preserve">Operating cadence</t>
  </si>
  <si>
    <t xml:space="preserve">daily portfolio; weekly liquidity; monthly valuation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</si>
  <si>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</si>
  <si>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</si>
  <si>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</si>
  <si>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</si>
  <si>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</si>
  <si>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</si>
  <si>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NAV and performance attribution</t>
  </si>
  <si>
    <t xml:space="preserve">OPEN</t>
  </si>
  <si>
    <t xml:space="preserve">gross-to-net return bridge</t>
  </si>
  <si>
    <t xml:space="preserve">liquidity buckets and redemption coverage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</si>
  <si>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</si>
  <si>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</si>
  <si>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</si>
  <si>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How much can be liquidated without moving the market?</t>
  </si>
  <si>
    <t xml:space="preserve">Which investors have better liquidity terms?</t>
  </si>
  <si>
    <t xml:space="preserve">What prices are model-based or challenged?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</si>
  <si>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</si>
  <si>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</si>
  <si>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</si>
  <si>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redemption wave</t>
  </si>
  <si>
    <t xml:space="preserve">market gap and liquidity haircut</t>
  </si>
  <si>
    <t xml:space="preserve">stale or challenged valuation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</si>
  <si>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</si>
  <si>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</si>
  <si>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</si>
  <si>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investment management agreement</t>
  </si>
  <si>
    <t xml:space="preserve">valuation policy</t>
  </si>
  <si>
    <t xml:space="preserve">administrator NAV package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</si>
  <si>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</si>
  <si>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</si>
  <si>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</si>
  <si>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NAV roll-forward reconciles</t>
  </si>
  <si>
    <t xml:space="preserve">fees follow governing documents</t>
  </si>
  <si>
    <t xml:space="preserve">liquidity buckets reflect time-to-cash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</si>
  <si>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</si>
  <si>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</si>
  <si>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</si>
  <si>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classifying quoted but non-executable prices as liquid</t>
  </si>
  <si>
    <t xml:space="preserve">netting investor flows against portfolio liquidity</t>
  </si>
  <si>
    <t xml:space="preserve">missing side-letter economics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</si>
  <si>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</si>
  <si>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</si>
  <si>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</si>
  <si>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</si>
  <si>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</si>
  <si>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</si>
  <si>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</si>
  <si>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</si>
  <si>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</si>
  <si>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</si>
  <si>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</si>
  <si>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</si>
  <si>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</si>
  <si>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</si>
  <si>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</si>
  <si>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IOSCO Liquidity Risk Recommendations</t>
  </si>
  <si>
    <t xml:space="preserve">fund liquidity and stress testing</t>
  </si>
  <si>
    <t xml:space="preserve">https://www.iosco.org/library/pubdocs/pdf/IOSCOPD590.pdf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</si>
  <si>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</si>
  <si>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</si>
  <si>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</si>
  <si>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</si>
  <si>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</si>
  <si>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</si>
  <si>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</si>
  <si>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</si>
  <si>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</si>
  <si>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</si>
  <si>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</si>
  <si>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</si>
  <si>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</si>
  <si>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</si>
  <si>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</si>
  <si>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</si>
  <si>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positions and cash</t>
  </si>
  <si>
    <t xml:space="preserve">daily</t>
  </si>
  <si>
    <t xml:space="preserve">custodian and administrator reconciliation</t>
  </si>
  <si>
    <t xml:space="preserve">TO MAP</t>
  </si>
  <si>
    <t xml:space="preserve">prices</t>
  </si>
  <si>
    <t xml:space="preserve">source hierarchy and stale-price controls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</si>
  <si>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</si>
  <si>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</si>
  <si>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</si>
  <si>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</si>
  <si>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</si>
  <si>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</si>
  <si>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Fund NAV Build</t>
  </si>
  <si>
    <t xml:space="preserve">Period 0</t>
  </si>
  <si>
    <t xml:space="preserve">Period 1</t>
  </si>
  <si>
    <t xml:space="preserve">Period 2</t>
  </si>
  <si>
    <t xml:space="preserve">Period 3</t>
  </si>
  <si>
    <t xml:space="preserve">Beginning NAV</t>
  </si>
  <si>
    <t xml:space="preserve">+ Capital contributions</t>
  </si>
  <si>
    <t xml:space="preserve">+ Realized/unrealized gains</t>
  </si>
  <si>
    <t xml:space="preserve">- Fees &amp; expenses</t>
  </si>
  <si>
    <t xml:space="preserve">- Distributions</t>
  </si>
  <si>
    <t xml:space="preserve">Ending NAV</t>
  </si>
  <si>
    <t xml:space="preserve">Fee Waterfall — Mgmt Fee + Carry w/ Hurdle</t>
  </si>
  <si>
    <t xml:space="preserve">Inputs</t>
  </si>
  <si>
    <t xml:space="preserve">Committed capital</t>
  </si>
  <si>
    <t xml:space="preserve">Management fee %</t>
  </si>
  <si>
    <t xml:space="preserve">Preferred return / hurdle %</t>
  </si>
  <si>
    <t xml:space="preserve">Carry / promote %</t>
  </si>
  <si>
    <t xml:space="preserve">GP catch-up %</t>
  </si>
  <si>
    <t xml:space="preserve">Gross fund profit (this period)</t>
  </si>
  <si>
    <t xml:space="preserve">Capital invested (basis for hurdle)</t>
  </si>
  <si>
    <t xml:space="preserve">Waterfall</t>
  </si>
  <si>
    <t xml:space="preserve">1. Return of capital</t>
  </si>
  <si>
    <t xml:space="preserve">2. Preferred return (hurdle) to LPs</t>
  </si>
  <si>
    <t xml:space="preserve">3. GP catch-up</t>
  </si>
  <si>
    <t xml:space="preserve">4. Remaining profit split (LP/GP per carry%)</t>
  </si>
  <si>
    <t xml:space="preserve">   GP share of remainder</t>
  </si>
  <si>
    <t xml:space="preserve">   LP share of remainder</t>
  </si>
  <si>
    <t xml:space="preserve">Total GP take (carry + catch-up)</t>
  </si>
  <si>
    <t xml:space="preserve">Total LP take</t>
  </si>
  <si>
    <t xml:space="preserve">Annual management fee (separate from carry)</t>
  </si>
  <si>
    <t xml:space="preserve">Waterfall conservation residual</t>
  </si>
  <si>
    <t xml:space="preserve">Gross profit must equal GP take plus LP take; management fee remains separate.</t>
  </si>
  <si>
    <t xml:space="preserve">Performance Attribution</t>
  </si>
  <si>
    <t xml:space="preserve">Position/Strategy</t>
  </si>
  <si>
    <t xml:space="preserve">Contribution ($)</t>
  </si>
  <si>
    <t xml:space="preserve">Contribution (%)</t>
  </si>
  <si>
    <t xml:space="preserve">Weight (%)</t>
  </si>
  <si>
    <t xml:space="preserve">Notes</t>
  </si>
  <si>
    <t xml:space="preserve">[fill in]</t>
  </si>
  <si>
    <t xml:space="preserve">Total fund return</t>
  </si>
  <si>
    <t xml:space="preserve">Fund Performance — LP Reporting Metrics</t>
  </si>
  <si>
    <t xml:space="preserve">Uses the period cash flows and ending NAV from the Fund NAV tab.</t>
  </si>
  <si>
    <t xml:space="preserve">LP net cash flow (distributions - contributions)</t>
  </si>
  <si>
    <t xml:space="preserve">  + terminal NAV added to final period</t>
  </si>
  <si>
    <t xml:space="preserve">LP cash flow incl. terminal value (for IRR)</t>
  </si>
  <si>
    <t xml:space="preserve">Outputs</t>
  </si>
  <si>
    <t xml:space="preserve">Cumulative capital called</t>
  </si>
  <si>
    <t xml:space="preserve">Cumulative distributions</t>
  </si>
  <si>
    <t xml:space="preserve">Current NAV (residual value)</t>
  </si>
  <si>
    <t xml:space="preserve">DPI (Distributions to Paid-In)</t>
  </si>
  <si>
    <t xml:space="preserve">RVPI (Residual Value to Paid-In)</t>
  </si>
  <si>
    <t xml:space="preserve">TVPI (Total Value to Paid-In = DPI + RVPI)</t>
  </si>
  <si>
    <t xml:space="preserve">Headline LP metric — total value (realized + unrealized) per dollar called</t>
  </si>
  <si>
    <t xml:space="preserve">Net IRR to LPs (periodic, undated)</t>
  </si>
  <si>
    <t xml:space="preserve">Treats each period as evenly spaced — use XIRR with real dates for called capital at irregular intervals</t>
  </si>
  <si>
    <t xml:space="preserve">Time-Weighted, Money-Weighted, and Benchmark Return Controls</t>
  </si>
  <si>
    <t xml:space="preserve">Metric</t>
  </si>
  <si>
    <t xml:space="preserve">Interpretation</t>
  </si>
  <si>
    <t xml:space="preserve">Contributions</t>
  </si>
  <si>
    <t xml:space="preserve">Distributions</t>
  </si>
  <si>
    <t xml:space="preserve">Subperiod return</t>
  </si>
  <si>
    <t xml:space="preserve">Time-weighted return</t>
  </si>
  <si>
    <t xml:space="preserve">Money-weighted return / IRR</t>
  </si>
  <si>
    <t xml:space="preserve">Benchmark return</t>
  </si>
  <si>
    <t xml:space="preserve">Excess return</t>
  </si>
  <si>
    <t xml:space="preserve">Time-weighted return neutralizes external cash flows at each subperiod boundary; irregular intra-period flows require dated or daily valuation methods.</t>
  </si>
  <si>
    <t xml:space="preserve">Exposure, Concentration, Redemptions, and Liquidity Coverage</t>
  </si>
  <si>
    <t xml:space="preserve">Base</t>
  </si>
  <si>
    <t xml:space="preserve">Downside</t>
  </si>
  <si>
    <t xml:space="preserve">Control / interpretation</t>
  </si>
  <si>
    <t xml:space="preserve">Gross exposure</t>
  </si>
  <si>
    <t xml:space="preserve">sum of absolute long and short market exposures</t>
  </si>
  <si>
    <t xml:space="preserve">Net exposure</t>
  </si>
  <si>
    <t xml:space="preserve">long less short exposure</t>
  </si>
  <si>
    <t xml:space="preserve">Current NAV</t>
  </si>
  <si>
    <t xml:space="preserve">linked to current residual value</t>
  </si>
  <si>
    <t xml:space="preserve">Top-10 position exposure</t>
  </si>
  <si>
    <t xml:space="preserve">concentration numerator</t>
  </si>
  <si>
    <t xml:space="preserve">Illiquid / gated NAV</t>
  </si>
  <si>
    <t xml:space="preserve">assets not monetizable inside the review horizon</t>
  </si>
  <si>
    <t xml:space="preserve">Thirty-day redemption / distribution demand</t>
  </si>
  <si>
    <t xml:space="preserve">expected cash demand</t>
  </si>
  <si>
    <t xml:space="preserve">Unfunded commitments</t>
  </si>
  <si>
    <t xml:space="preserve">contractual capital-call exposure</t>
  </si>
  <si>
    <t xml:space="preserve">Unrestricted liquid assets</t>
  </si>
  <si>
    <t xml:space="preserve">cash plus assets monetizable inside thirty days</t>
  </si>
  <si>
    <t xml:space="preserve">Maximum top-10 concentration</t>
  </si>
  <si>
    <t xml:space="preserve">approved limit</t>
  </si>
  <si>
    <t xml:space="preserve">Maximum illiquid NAV</t>
  </si>
  <si>
    <t xml:space="preserve">Minimum liquidity coverage</t>
  </si>
  <si>
    <t xml:space="preserve">liquid assets / redemption plus commitments</t>
  </si>
  <si>
    <t xml:space="preserve">Gross leverage</t>
  </si>
  <si>
    <t xml:space="preserve">Net exposure / NAV</t>
  </si>
  <si>
    <t xml:space="preserve">Top-10 concentration</t>
  </si>
  <si>
    <t xml:space="preserve">Illiquid NAV</t>
  </si>
  <si>
    <t xml:space="preserve">Liquidity coverage</t>
  </si>
  <si>
    <t xml:space="preserve">Downside status</t>
  </si>
  <si>
    <t xml:space="preserve">Asset Management Decision Dashboard and Independent Checks</t>
  </si>
  <si>
    <t xml:space="preserve">Check / decision</t>
  </si>
  <si>
    <t xml:space="preserve">Interpretation / action</t>
  </si>
  <si>
    <t xml:space="preserve">NAV rollforward residual</t>
  </si>
  <si>
    <t xml:space="preserve">Ending NAV must conserve beginning NAV, flows, gains, fees, and distributions.</t>
  </si>
  <si>
    <t xml:space="preserve">TVPI identity residual</t>
  </si>
  <si>
    <t xml:space="preserve">TVPI must equal DPI plus RVPI.</t>
  </si>
  <si>
    <t xml:space="preserve">Gross profit must reconcile between LP and GP allocations.</t>
  </si>
  <si>
    <t xml:space="preserve">Carry-rate bounds</t>
  </si>
  <si>
    <t xml:space="preserve">Carry outside zero to one invalidates the waterfall.</t>
  </si>
  <si>
    <t xml:space="preserve">Use valuation-consistent subperiods and disclose benchmark and composite policy.</t>
  </si>
  <si>
    <t xml:space="preserve">Benchmark-relative performance must use a documented and appropriate comparison.</t>
  </si>
  <si>
    <t xml:space="preserve">Downside top-10 concentration</t>
  </si>
  <si>
    <t xml:space="preserve">Escalate concentration and correlated exit risk.</t>
  </si>
  <si>
    <t xml:space="preserve">Downside illiquid NAV</t>
  </si>
  <si>
    <t xml:space="preserve">Illiquidity must be reconciled against gates, notice periods, and unfunded obligations.</t>
  </si>
  <si>
    <t xml:space="preserve">Downside liquidity coverage</t>
  </si>
  <si>
    <t xml:space="preserve">Liquid resources must cover modeled redemptions, distributions, and capital calls.</t>
  </si>
  <si>
    <t xml:space="preserve">Overall model status</t>
  </si>
  <si>
    <t xml:space="preserve">Primary decision outputs</t>
  </si>
  <si>
    <t xml:space="preserve">DPI</t>
  </si>
  <si>
    <t xml:space="preserve">RVPI</t>
  </si>
  <si>
    <t xml:space="preserve">TVPI</t>
  </si>
  <si>
    <t xml:space="preserve">Net IRR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</si>
  <si>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</si>
  <si>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</si>
  <si>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</si>
  <si>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</si>
  <si>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</si>
  <si>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M1-to-M2 domain hardening benchmark</t>
  </si>
  <si>
    <t xml:space="preserve">Generated conventional benchmark am-reference-fund from the canonical hardened release template</t>
  </si>
  <si>
    <t xml:space="preserve">Synthetic engineering fixture only; does not count toward M4 or live approval</t>
  </si>
  <si>
    <t xml:space="preserve">On builder, reference-check, formula, or contract change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</si>
</sst>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"/>
    <numFmt numFmtId="167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4</v>
      </c>
    </row>
    <row r="8" customFormat="false" ht="15" hidden="false" customHeight="false" outlineLevel="0" collapsed="false">
      <c r="B8" s="2" t="s">
        <v>8</v>
      </c>
      <c r="C8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10</v>
      </c>
      <c r="C2" s="5"/>
      <c r="D2" s="5"/>
      <c r="E2" s="5"/>
      <c r="F2" s="5"/>
    </row>
    <row r="4" customFormat="false" ht="15" hidden="false" customHeight="true" outlineLevel="0" collapsed="false">
      <c r="B4" s="6" t="s">
        <v>11</v>
      </c>
      <c r="C4" s="7" t="s">
        <v>12</v>
      </c>
      <c r="D4" s="7"/>
      <c r="E4" s="7"/>
      <c r="F4" s="7"/>
    </row>
    <row r="5" customFormat="false" ht="15" hidden="false" customHeight="true" outlineLevel="0" collapsed="false">
      <c r="B5" s="6" t="s">
        <v>13</v>
      </c>
      <c r="C5" s="7" t="s">
        <v>14</v>
      </c>
      <c r="D5" s="7"/>
      <c r="E5" s="7"/>
      <c r="F5" s="7"/>
    </row>
    <row r="6" customFormat="false" ht="15" hidden="false" customHeight="true" outlineLevel="0" collapsed="false">
      <c r="B6" s="6" t="s">
        <v>15</v>
      </c>
      <c r="C6" s="7" t="s">
        <v>16</v>
      </c>
      <c r="D6" s="7"/>
      <c r="E6" s="7"/>
      <c r="F6" s="7"/>
    </row>
    <row r="7" customFormat="false" ht="15" hidden="false" customHeight="true" outlineLevel="0" collapsed="false">
      <c r="B7" s="6" t="s">
        <v>17</v>
      </c>
      <c r="C7" s="7" t="s">
        <v>18</v>
      </c>
      <c r="D7" s="7"/>
      <c r="E7" s="7"/>
      <c r="F7" s="7"/>
    </row>
    <row r="8" customFormat="false" ht="15" hidden="false" customHeight="true" outlineLevel="0" collapsed="false">
      <c r="B8" s="6" t="s">
        <v>19</v>
      </c>
      <c r="C8" s="7" t="s">
        <v>20</v>
      </c>
      <c r="D8" s="7"/>
      <c r="E8" s="7"/>
      <c r="F8" s="7"/>
    </row>
    <row r="9" customFormat="false" ht="15" hidden="false" customHeight="true" outlineLevel="0" collapsed="false">
      <c r="B9" s="6" t="s">
        <v>21</v>
      </c>
      <c r="C9" s="7" t="s">
        <v>22</v>
      </c>
      <c r="D9" s="7"/>
      <c r="E9" s="7"/>
      <c r="F9" s="7"/>
    </row>
    <row r="10" customFormat="false" ht="15" hidden="false" customHeight="true" outlineLevel="0" collapsed="false">
      <c r="B10" s="6" t="s">
        <v>23</v>
      </c>
      <c r="C10" s="7" t="s">
        <v>24</v>
      </c>
      <c r="D10" s="7"/>
      <c r="E10" s="7"/>
      <c r="F10" s="7"/>
    </row>
    <row r="12" customFormat="false" ht="15" hidden="false" customHeight="false" outlineLevel="0" collapsed="false">
      <c r="B12" s="8" t="s">
        <v>25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26</v>
      </c>
      <c r="C13" s="9" t="s">
        <v>27</v>
      </c>
      <c r="D13" s="9" t="s">
        <v>28</v>
      </c>
      <c r="E13" s="9" t="s">
        <v>29</v>
      </c>
      <c r="F13" s="9" t="s">
        <v>30</v>
      </c>
    </row>
    <row r="14" customFormat="false" ht="15" hidden="false" customHeight="false" outlineLevel="0" collapsed="false">
      <c r="B14" s="0" t="n">
        <v>1</v>
      </c>
      <c r="C14" s="0" t="s">
        <v>31</v>
      </c>
      <c r="F14" s="10" t="s">
        <v>32</v>
      </c>
    </row>
    <row r="15" customFormat="false" ht="15" hidden="false" customHeight="false" outlineLevel="0" collapsed="false">
      <c r="B15" s="0" t="n">
        <v>2</v>
      </c>
      <c r="C15" s="0" t="s">
        <v>33</v>
      </c>
      <c r="F15" s="10" t="s">
        <v>32</v>
      </c>
    </row>
    <row r="16" customFormat="false" ht="15" hidden="false" customHeight="false" outlineLevel="0" collapsed="false">
      <c r="B16" s="0" t="n">
        <v>3</v>
      </c>
      <c r="C16" s="0" t="s">
        <v>34</v>
      </c>
      <c r="F16" s="10" t="s">
        <v>32</v>
      </c>
    </row>
    <row r="17" customFormat="false" ht="15" hidden="false" customHeight="false" outlineLevel="0" collapsed="false">
      <c r="B17" s="0" t="n">
        <v>4</v>
      </c>
      <c r="C17" s="0" t="s">
        <v>35</v>
      </c>
      <c r="F17" s="10" t="s">
        <v>32</v>
      </c>
    </row>
    <row r="18" customFormat="false" ht="15" hidden="false" customHeight="false" outlineLevel="0" collapsed="false">
      <c r="B18" s="0" t="n">
        <v>5</v>
      </c>
      <c r="C18" s="0" t="s">
        <v>36</v>
      </c>
      <c r="F18" s="10" t="s">
        <v>32</v>
      </c>
    </row>
    <row r="20" customFormat="false" ht="15" hidden="false" customHeight="false" outlineLevel="0" collapsed="false">
      <c r="B20" s="8" t="s">
        <v>37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26</v>
      </c>
      <c r="C21" s="9" t="s">
        <v>27</v>
      </c>
      <c r="D21" s="9" t="s">
        <v>28</v>
      </c>
      <c r="E21" s="9" t="s">
        <v>29</v>
      </c>
      <c r="F21" s="9" t="s">
        <v>30</v>
      </c>
    </row>
    <row r="22" customFormat="false" ht="15" hidden="false" customHeight="false" outlineLevel="0" collapsed="false">
      <c r="B22" s="0" t="n">
        <v>1</v>
      </c>
      <c r="C22" s="0" t="s">
        <v>38</v>
      </c>
      <c r="F22" s="10" t="s">
        <v>32</v>
      </c>
    </row>
    <row r="23" customFormat="false" ht="15" hidden="false" customHeight="false" outlineLevel="0" collapsed="false">
      <c r="B23" s="0" t="n">
        <v>2</v>
      </c>
      <c r="C23" s="0" t="s">
        <v>39</v>
      </c>
      <c r="F23" s="10" t="s">
        <v>32</v>
      </c>
    </row>
    <row r="24" customFormat="false" ht="15" hidden="false" customHeight="false" outlineLevel="0" collapsed="false">
      <c r="B24" s="0" t="n">
        <v>3</v>
      </c>
      <c r="C24" s="0" t="s">
        <v>40</v>
      </c>
      <c r="F24" s="10" t="s">
        <v>32</v>
      </c>
    </row>
    <row r="25" customFormat="false" ht="15" hidden="false" customHeight="false" outlineLevel="0" collapsed="false">
      <c r="B25" s="0" t="n">
        <v>4</v>
      </c>
      <c r="C25" s="0" t="s">
        <v>41</v>
      </c>
      <c r="F25" s="10" t="s">
        <v>32</v>
      </c>
    </row>
    <row r="26" customFormat="false" ht="15" hidden="false" customHeight="false" outlineLevel="0" collapsed="false">
      <c r="B26" s="0" t="n">
        <v>5</v>
      </c>
      <c r="C26" s="0" t="s">
        <v>42</v>
      </c>
      <c r="F26" s="10" t="s">
        <v>32</v>
      </c>
    </row>
    <row r="28" customFormat="false" ht="15" hidden="false" customHeight="false" outlineLevel="0" collapsed="false">
      <c r="B28" s="8" t="s">
        <v>43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26</v>
      </c>
      <c r="C29" s="9" t="s">
        <v>27</v>
      </c>
      <c r="D29" s="9" t="s">
        <v>28</v>
      </c>
      <c r="E29" s="9" t="s">
        <v>29</v>
      </c>
      <c r="F29" s="9" t="s">
        <v>30</v>
      </c>
    </row>
    <row r="30" customFormat="false" ht="15" hidden="false" customHeight="false" outlineLevel="0" collapsed="false">
      <c r="B30" s="0" t="n">
        <v>1</v>
      </c>
      <c r="C30" s="0" t="s">
        <v>44</v>
      </c>
      <c r="F30" s="10" t="s">
        <v>32</v>
      </c>
    </row>
    <row r="31" customFormat="false" ht="15" hidden="false" customHeight="false" outlineLevel="0" collapsed="false">
      <c r="B31" s="0" t="n">
        <v>2</v>
      </c>
      <c r="C31" s="0" t="s">
        <v>45</v>
      </c>
      <c r="F31" s="10" t="s">
        <v>32</v>
      </c>
    </row>
    <row r="32" customFormat="false" ht="15" hidden="false" customHeight="false" outlineLevel="0" collapsed="false">
      <c r="B32" s="0" t="n">
        <v>3</v>
      </c>
      <c r="C32" s="0" t="s">
        <v>46</v>
      </c>
      <c r="F32" s="10" t="s">
        <v>32</v>
      </c>
    </row>
    <row r="33" customFormat="false" ht="15" hidden="false" customHeight="false" outlineLevel="0" collapsed="false">
      <c r="B33" s="0" t="n">
        <v>4</v>
      </c>
      <c r="C33" s="0" t="s">
        <v>47</v>
      </c>
      <c r="F33" s="10" t="s">
        <v>32</v>
      </c>
    </row>
    <row r="34" customFormat="false" ht="15" hidden="false" customHeight="false" outlineLevel="0" collapsed="false">
      <c r="B34" s="0" t="n">
        <v>5</v>
      </c>
      <c r="C34" s="0" t="s">
        <v>48</v>
      </c>
      <c r="F34" s="10" t="s">
        <v>32</v>
      </c>
    </row>
    <row r="36" customFormat="false" ht="15" hidden="false" customHeight="false" outlineLevel="0" collapsed="false">
      <c r="B36" s="8" t="s">
        <v>49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26</v>
      </c>
      <c r="C37" s="9" t="s">
        <v>27</v>
      </c>
      <c r="D37" s="9" t="s">
        <v>28</v>
      </c>
      <c r="E37" s="9" t="s">
        <v>29</v>
      </c>
      <c r="F37" s="9" t="s">
        <v>30</v>
      </c>
    </row>
    <row r="38" customFormat="false" ht="15" hidden="false" customHeight="false" outlineLevel="0" collapsed="false">
      <c r="B38" s="0" t="n">
        <v>1</v>
      </c>
      <c r="C38" s="0" t="s">
        <v>50</v>
      </c>
      <c r="F38" s="10" t="s">
        <v>32</v>
      </c>
    </row>
    <row r="39" customFormat="false" ht="15" hidden="false" customHeight="false" outlineLevel="0" collapsed="false">
      <c r="B39" s="0" t="n">
        <v>2</v>
      </c>
      <c r="C39" s="0" t="s">
        <v>51</v>
      </c>
      <c r="F39" s="10" t="s">
        <v>32</v>
      </c>
    </row>
    <row r="40" customFormat="false" ht="15" hidden="false" customHeight="false" outlineLevel="0" collapsed="false">
      <c r="B40" s="0" t="n">
        <v>3</v>
      </c>
      <c r="C40" s="0" t="s">
        <v>52</v>
      </c>
      <c r="F40" s="10" t="s">
        <v>32</v>
      </c>
    </row>
    <row r="41" customFormat="false" ht="15" hidden="false" customHeight="false" outlineLevel="0" collapsed="false">
      <c r="B41" s="0" t="n">
        <v>4</v>
      </c>
      <c r="C41" s="0" t="s">
        <v>53</v>
      </c>
      <c r="F41" s="10" t="s">
        <v>32</v>
      </c>
    </row>
    <row r="42" customFormat="false" ht="15" hidden="false" customHeight="false" outlineLevel="0" collapsed="false">
      <c r="B42" s="0" t="n">
        <v>5</v>
      </c>
      <c r="C42" s="0" t="s">
        <v>54</v>
      </c>
      <c r="F42" s="10" t="s">
        <v>32</v>
      </c>
    </row>
    <row r="44" customFormat="false" ht="15" hidden="false" customHeight="false" outlineLevel="0" collapsed="false">
      <c r="B44" s="8" t="s">
        <v>55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26</v>
      </c>
      <c r="C45" s="9" t="s">
        <v>27</v>
      </c>
      <c r="D45" s="9" t="s">
        <v>28</v>
      </c>
      <c r="E45" s="9" t="s">
        <v>29</v>
      </c>
      <c r="F45" s="9" t="s">
        <v>30</v>
      </c>
    </row>
    <row r="46" customFormat="false" ht="15" hidden="false" customHeight="false" outlineLevel="0" collapsed="false">
      <c r="B46" s="0" t="n">
        <v>1</v>
      </c>
      <c r="C46" s="0" t="s">
        <v>56</v>
      </c>
      <c r="F46" s="10" t="s">
        <v>32</v>
      </c>
    </row>
    <row r="47" customFormat="false" ht="15" hidden="false" customHeight="false" outlineLevel="0" collapsed="false">
      <c r="B47" s="0" t="n">
        <v>2</v>
      </c>
      <c r="C47" s="0" t="s">
        <v>57</v>
      </c>
      <c r="F47" s="10" t="s">
        <v>32</v>
      </c>
    </row>
    <row r="48" customFormat="false" ht="15" hidden="false" customHeight="false" outlineLevel="0" collapsed="false">
      <c r="B48" s="0" t="n">
        <v>3</v>
      </c>
      <c r="C48" s="0" t="s">
        <v>58</v>
      </c>
      <c r="F48" s="10" t="s">
        <v>32</v>
      </c>
    </row>
    <row r="49" customFormat="false" ht="15" hidden="false" customHeight="false" outlineLevel="0" collapsed="false">
      <c r="B49" s="0" t="n">
        <v>4</v>
      </c>
      <c r="C49" s="0" t="s">
        <v>59</v>
      </c>
      <c r="F49" s="10" t="s">
        <v>32</v>
      </c>
    </row>
    <row r="50" customFormat="false" ht="15" hidden="false" customHeight="false" outlineLevel="0" collapsed="false">
      <c r="B50" s="0" t="n">
        <v>5</v>
      </c>
      <c r="C50" s="0" t="s">
        <v>60</v>
      </c>
      <c r="F50" s="10" t="s">
        <v>32</v>
      </c>
    </row>
    <row r="52" customFormat="false" ht="15" hidden="false" customHeight="false" outlineLevel="0" collapsed="false">
      <c r="B52" s="8" t="s">
        <v>61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26</v>
      </c>
      <c r="C53" s="9" t="s">
        <v>27</v>
      </c>
      <c r="D53" s="9" t="s">
        <v>28</v>
      </c>
      <c r="E53" s="9" t="s">
        <v>29</v>
      </c>
      <c r="F53" s="9" t="s">
        <v>30</v>
      </c>
    </row>
    <row r="54" customFormat="false" ht="15" hidden="false" customHeight="false" outlineLevel="0" collapsed="false">
      <c r="B54" s="0" t="n">
        <v>1</v>
      </c>
      <c r="C54" s="0" t="s">
        <v>62</v>
      </c>
      <c r="F54" s="10" t="s">
        <v>32</v>
      </c>
    </row>
    <row r="55" customFormat="false" ht="15" hidden="false" customHeight="false" outlineLevel="0" collapsed="false">
      <c r="B55" s="0" t="n">
        <v>2</v>
      </c>
      <c r="C55" s="0" t="s">
        <v>63</v>
      </c>
      <c r="F55" s="10" t="s">
        <v>32</v>
      </c>
    </row>
    <row r="56" customFormat="false" ht="15" hidden="false" customHeight="false" outlineLevel="0" collapsed="false">
      <c r="B56" s="0" t="n">
        <v>3</v>
      </c>
      <c r="C56" s="0" t="s">
        <v>64</v>
      </c>
      <c r="F56" s="10" t="s">
        <v>32</v>
      </c>
    </row>
    <row r="57" customFormat="false" ht="15" hidden="false" customHeight="false" outlineLevel="0" collapsed="false">
      <c r="B57" s="0" t="n">
        <v>4</v>
      </c>
      <c r="C57" s="0" t="s">
        <v>65</v>
      </c>
      <c r="F57" s="10" t="s">
        <v>32</v>
      </c>
    </row>
    <row r="58" customFormat="false" ht="15" hidden="false" customHeight="false" outlineLevel="0" collapsed="false">
      <c r="B58" s="0" t="n">
        <v>5</v>
      </c>
      <c r="C58" s="0" t="s">
        <v>66</v>
      </c>
      <c r="F58" s="10" t="s">
        <v>32</v>
      </c>
    </row>
    <row r="60" customFormat="false" ht="15" hidden="false" customHeight="false" outlineLevel="0" collapsed="false">
      <c r="B60" s="8" t="s">
        <v>67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68</v>
      </c>
      <c r="C61" s="9" t="s">
        <v>69</v>
      </c>
      <c r="D61" s="9" t="s">
        <v>70</v>
      </c>
      <c r="E61" s="9" t="s">
        <v>71</v>
      </c>
      <c r="F61" s="9" t="s">
        <v>72</v>
      </c>
    </row>
    <row r="62" customFormat="false" ht="15" hidden="false" customHeight="false" outlineLevel="0" collapsed="false">
      <c r="B62" s="0" t="s">
        <v>73</v>
      </c>
      <c r="C62" s="0" t="s">
        <v>74</v>
      </c>
      <c r="D62" s="0" t="s">
        <v>75</v>
      </c>
      <c r="E62" s="0" t="s">
        <v>76</v>
      </c>
    </row>
    <row r="63" customFormat="false" ht="15" hidden="false" customHeight="false" outlineLevel="0" collapsed="false">
      <c r="B63" s="0" t="s">
        <v>77</v>
      </c>
      <c r="C63" s="0" t="s">
        <v>78</v>
      </c>
      <c r="D63" s="0" t="s">
        <v>79</v>
      </c>
      <c r="E63" s="0" t="s">
        <v>76</v>
      </c>
    </row>
    <row r="64" customFormat="false" ht="15" hidden="false" customHeight="false" outlineLevel="0" collapsed="false">
      <c r="B64" s="0" t="s">
        <v>80</v>
      </c>
      <c r="C64" s="0" t="s">
        <v>81</v>
      </c>
      <c r="D64" s="0" t="s">
        <v>82</v>
      </c>
      <c r="E64" s="0" t="s">
        <v>76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83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84</v>
      </c>
      <c r="C4" s="9" t="s">
        <v>85</v>
      </c>
      <c r="D4" s="9" t="s">
        <v>86</v>
      </c>
      <c r="E4" s="9" t="s">
        <v>87</v>
      </c>
      <c r="F4" s="9" t="s">
        <v>88</v>
      </c>
      <c r="G4" s="9" t="s">
        <v>89</v>
      </c>
      <c r="H4" s="9" t="s">
        <v>30</v>
      </c>
      <c r="I4" s="9" t="s">
        <v>90</v>
      </c>
    </row>
    <row r="5" customFormat="false" ht="15" hidden="false" customHeight="false" outlineLevel="0" collapsed="false">
      <c r="D5" s="0" t="s">
        <v>56</v>
      </c>
      <c r="H5" s="10" t="s">
        <v>32</v>
      </c>
    </row>
    <row r="6" customFormat="false" ht="15" hidden="false" customHeight="false" outlineLevel="0" collapsed="false">
      <c r="D6" s="0" t="s">
        <v>57</v>
      </c>
      <c r="H6" s="10" t="s">
        <v>32</v>
      </c>
    </row>
    <row r="7" customFormat="false" ht="15" hidden="false" customHeight="false" outlineLevel="0" collapsed="false">
      <c r="D7" s="0" t="s">
        <v>58</v>
      </c>
      <c r="H7" s="10" t="s">
        <v>32</v>
      </c>
    </row>
    <row r="8" customFormat="false" ht="15" hidden="false" customHeight="false" outlineLevel="0" collapsed="false">
      <c r="D8" s="0" t="s">
        <v>59</v>
      </c>
      <c r="H8" s="10" t="s">
        <v>32</v>
      </c>
    </row>
    <row r="9" customFormat="false" ht="15" hidden="false" customHeight="false" outlineLevel="0" collapsed="false">
      <c r="D9" s="0" t="s">
        <v>60</v>
      </c>
      <c r="H9" s="10" t="s">
        <v>32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91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92</v>
      </c>
      <c r="C4" s="9" t="s">
        <v>93</v>
      </c>
      <c r="D4" s="9" t="s">
        <v>94</v>
      </c>
      <c r="E4" s="9" t="s">
        <v>95</v>
      </c>
      <c r="F4" s="9" t="s">
        <v>96</v>
      </c>
      <c r="G4" s="9" t="s">
        <v>28</v>
      </c>
      <c r="H4" s="9" t="s">
        <v>97</v>
      </c>
      <c r="I4" s="9" t="s">
        <v>98</v>
      </c>
      <c r="J4" s="9" t="s">
        <v>30</v>
      </c>
    </row>
    <row r="5" customFormat="false" ht="15" hidden="false" customHeight="false" outlineLevel="0" collapsed="false">
      <c r="B5" s="0" t="s">
        <v>99</v>
      </c>
      <c r="C5" s="0" t="s">
        <v>100</v>
      </c>
      <c r="D5" s="0" t="s">
        <v>101</v>
      </c>
      <c r="J5" s="10" t="s">
        <v>102</v>
      </c>
    </row>
    <row r="6" customFormat="false" ht="15" hidden="false" customHeight="false" outlineLevel="0" collapsed="false">
      <c r="B6" s="0" t="s">
        <v>103</v>
      </c>
      <c r="C6" s="0" t="s">
        <v>100</v>
      </c>
      <c r="D6" s="0" t="s">
        <v>104</v>
      </c>
      <c r="J6" s="10" t="s">
        <v>102</v>
      </c>
    </row>
    <row r="7" customFormat="false" ht="15" hidden="false" customHeight="false" outlineLevel="0" collapsed="false">
      <c r="B7" s="0" t="s">
        <v>105</v>
      </c>
      <c r="C7" s="0" t="s">
        <v>106</v>
      </c>
      <c r="D7" s="0" t="s">
        <v>107</v>
      </c>
      <c r="J7" s="10" t="s">
        <v>102</v>
      </c>
    </row>
    <row r="8" customFormat="false" ht="15" hidden="false" customHeight="false" outlineLevel="0" collapsed="false">
      <c r="B8" s="0" t="s">
        <v>108</v>
      </c>
      <c r="C8" s="0" t="s">
        <v>109</v>
      </c>
      <c r="D8" s="0" t="s">
        <v>110</v>
      </c>
      <c r="J8" s="10" t="s">
        <v>102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6" min="3" style="0" width="14"/>
  </cols>
  <sheetData>
    <row r="2" customFormat="false" ht="19.7" hidden="false" customHeight="false" outlineLevel="0" collapsed="false">
      <c r="B2" s="1" t="s">
        <v>111</v>
      </c>
    </row>
    <row r="4" customFormat="false" ht="15" hidden="false" customHeight="false" outlineLevel="0" collapsed="false">
      <c r="C4" s="11" t="s">
        <v>112</v>
      </c>
      <c r="D4" s="11" t="s">
        <v>113</v>
      </c>
      <c r="E4" s="11" t="s">
        <v>114</v>
      </c>
      <c r="F4" s="11" t="s">
        <v>115</v>
      </c>
    </row>
    <row r="5" customFormat="false" ht="15" hidden="false" customHeight="false" outlineLevel="0" collapsed="false">
      <c r="B5" s="2" t="s">
        <v>116</v>
      </c>
      <c r="C5" s="12" t="n">
        <v>100</v>
      </c>
      <c r="D5" s="13" t="n">
        <f aca="false">C10</f>
        <v>128</v>
      </c>
      <c r="E5" s="13" t="n">
        <f aca="false">D10</f>
        <v>139</v>
      </c>
      <c r="F5" s="13" t="n">
        <f aca="false">E10</f>
        <v>143</v>
      </c>
    </row>
    <row r="6" customFormat="false" ht="15" hidden="false" customHeight="false" outlineLevel="0" collapsed="false">
      <c r="B6" s="14" t="s">
        <v>117</v>
      </c>
      <c r="C6" s="12" t="n">
        <v>20</v>
      </c>
      <c r="D6" s="12" t="n">
        <v>10</v>
      </c>
      <c r="E6" s="12" t="n">
        <v>5</v>
      </c>
      <c r="F6" s="12" t="n">
        <v>0</v>
      </c>
    </row>
    <row r="7" customFormat="false" ht="15" hidden="false" customHeight="false" outlineLevel="0" collapsed="false">
      <c r="B7" s="14" t="s">
        <v>118</v>
      </c>
      <c r="C7" s="12" t="n">
        <v>15</v>
      </c>
      <c r="D7" s="12" t="n">
        <v>7</v>
      </c>
      <c r="E7" s="12" t="n">
        <v>5</v>
      </c>
      <c r="F7" s="12" t="n">
        <v>4</v>
      </c>
    </row>
    <row r="8" customFormat="false" ht="15" hidden="false" customHeight="false" outlineLevel="0" collapsed="false">
      <c r="B8" s="14" t="s">
        <v>119</v>
      </c>
      <c r="C8" s="12" t="n">
        <v>2</v>
      </c>
      <c r="D8" s="12" t="n">
        <v>2</v>
      </c>
      <c r="E8" s="12" t="n">
        <v>2</v>
      </c>
      <c r="F8" s="12" t="n">
        <v>2</v>
      </c>
    </row>
    <row r="9" customFormat="false" ht="15" hidden="false" customHeight="false" outlineLevel="0" collapsed="false">
      <c r="B9" s="14" t="s">
        <v>120</v>
      </c>
      <c r="C9" s="12" t="n">
        <v>5</v>
      </c>
      <c r="D9" s="12" t="n">
        <v>4</v>
      </c>
      <c r="E9" s="12" t="n">
        <v>4</v>
      </c>
      <c r="F9" s="12" t="n">
        <v>6</v>
      </c>
    </row>
    <row r="10" customFormat="false" ht="15" hidden="false" customHeight="false" outlineLevel="0" collapsed="false">
      <c r="B10" s="2" t="s">
        <v>121</v>
      </c>
      <c r="C10" s="15" t="n">
        <f aca="false">C5+C6+C7-C8-C9</f>
        <v>128</v>
      </c>
      <c r="D10" s="15" t="n">
        <f aca="false">D5+D6+D7-D8-D9</f>
        <v>139</v>
      </c>
      <c r="E10" s="15" t="n">
        <f aca="false">E5+E6+E7-E8-E9</f>
        <v>143</v>
      </c>
      <c r="F10" s="15" t="n">
        <f aca="false">F5+F6+F7-F8-F9</f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122</v>
      </c>
    </row>
    <row r="4" customFormat="false" ht="15" hidden="false" customHeight="false" outlineLevel="0" collapsed="false">
      <c r="B4" s="16" t="s">
        <v>123</v>
      </c>
    </row>
    <row r="5" customFormat="false" ht="15" hidden="false" customHeight="false" outlineLevel="0" collapsed="false">
      <c r="B5" s="14" t="s">
        <v>124</v>
      </c>
      <c r="C5" s="12" t="n">
        <v>100</v>
      </c>
    </row>
    <row r="6" customFormat="false" ht="15" hidden="false" customHeight="false" outlineLevel="0" collapsed="false">
      <c r="B6" s="14" t="s">
        <v>125</v>
      </c>
      <c r="C6" s="17" t="n">
        <v>80</v>
      </c>
    </row>
    <row r="7" customFormat="false" ht="15" hidden="false" customHeight="false" outlineLevel="0" collapsed="false">
      <c r="B7" s="14" t="s">
        <v>126</v>
      </c>
      <c r="C7" s="17" t="n">
        <v>0.08</v>
      </c>
    </row>
    <row r="8" customFormat="false" ht="15" hidden="false" customHeight="false" outlineLevel="0" collapsed="false">
      <c r="B8" s="14" t="s">
        <v>127</v>
      </c>
      <c r="C8" s="17" t="n">
        <v>0.2</v>
      </c>
    </row>
    <row r="9" customFormat="false" ht="15" hidden="false" customHeight="false" outlineLevel="0" collapsed="false">
      <c r="B9" s="14" t="s">
        <v>128</v>
      </c>
      <c r="C9" s="17" t="n">
        <v>1</v>
      </c>
    </row>
    <row r="10" customFormat="false" ht="15" hidden="false" customHeight="false" outlineLevel="0" collapsed="false">
      <c r="B10" s="14" t="s">
        <v>129</v>
      </c>
      <c r="C10" s="12" t="n">
        <v>100</v>
      </c>
    </row>
    <row r="11" customFormat="false" ht="15" hidden="false" customHeight="false" outlineLevel="0" collapsed="false">
      <c r="B11" s="14" t="s">
        <v>130</v>
      </c>
      <c r="C11" s="12" t="n">
        <v>0</v>
      </c>
    </row>
    <row r="13" customFormat="false" ht="15" hidden="false" customHeight="false" outlineLevel="0" collapsed="false">
      <c r="B13" s="16" t="s">
        <v>131</v>
      </c>
    </row>
    <row r="14" customFormat="false" ht="15" hidden="false" customHeight="false" outlineLevel="0" collapsed="false">
      <c r="B14" s="0" t="s">
        <v>132</v>
      </c>
      <c r="C14" s="18" t="n">
        <f aca="false">MIN(C10,C11)</f>
        <v>0</v>
      </c>
    </row>
    <row r="15" customFormat="false" ht="15" hidden="false" customHeight="false" outlineLevel="0" collapsed="false">
      <c r="B15" s="0" t="s">
        <v>133</v>
      </c>
      <c r="C15" s="18" t="n">
        <f aca="false">MIN(MAX(C10-C14,0),C11*C7)</f>
        <v>0</v>
      </c>
    </row>
    <row r="16" customFormat="false" ht="15" hidden="false" customHeight="false" outlineLevel="0" collapsed="false">
      <c r="B16" s="0" t="s">
        <v>134</v>
      </c>
      <c r="C16" s="18" t="n">
        <f aca="false">MIN(MAX(C10-C14-C15,0),C15*C8/(1-C8)*C9)</f>
        <v>0</v>
      </c>
    </row>
    <row r="17" customFormat="false" ht="15" hidden="false" customHeight="false" outlineLevel="0" collapsed="false">
      <c r="B17" s="0" t="s">
        <v>135</v>
      </c>
      <c r="C17" s="18" t="n">
        <f aca="false">MAX(C10-C14-C15-C16,0)</f>
        <v>100</v>
      </c>
    </row>
    <row r="18" customFormat="false" ht="15" hidden="false" customHeight="false" outlineLevel="0" collapsed="false">
      <c r="B18" s="0" t="s">
        <v>136</v>
      </c>
      <c r="C18" s="18" t="n">
        <f aca="false">C17*C8</f>
        <v>20</v>
      </c>
    </row>
    <row r="19" customFormat="false" ht="15" hidden="false" customHeight="false" outlineLevel="0" collapsed="false">
      <c r="B19" s="0" t="s">
        <v>137</v>
      </c>
      <c r="C19" s="18" t="n">
        <f aca="false">C17*(1-C8)</f>
        <v>80</v>
      </c>
    </row>
    <row r="21" customFormat="false" ht="15" hidden="false" customHeight="false" outlineLevel="0" collapsed="false">
      <c r="B21" s="0" t="s">
        <v>138</v>
      </c>
      <c r="C21" s="15" t="n">
        <f aca="false">C16+C18</f>
        <v>20</v>
      </c>
    </row>
    <row r="22" customFormat="false" ht="15" hidden="false" customHeight="false" outlineLevel="0" collapsed="false">
      <c r="B22" s="0" t="s">
        <v>139</v>
      </c>
      <c r="C22" s="15" t="n">
        <f aca="false">C14+C15+C19</f>
        <v>80</v>
      </c>
    </row>
    <row r="23" customFormat="false" ht="15" hidden="false" customHeight="false" outlineLevel="0" collapsed="false">
      <c r="B23" s="0" t="s">
        <v>140</v>
      </c>
      <c r="C23" s="18" t="n">
        <f aca="false">C5*C6</f>
        <v>8000</v>
      </c>
    </row>
    <row r="24" customFormat="false" ht="15" hidden="false" customHeight="false" outlineLevel="0" collapsed="false">
      <c r="B24" s="0" t="s">
        <v>141</v>
      </c>
      <c r="C24" s="18" t="n">
        <f aca="false">C10-C21-C22</f>
        <v>0</v>
      </c>
      <c r="D24" s="19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5" min="3" style="0" width="14"/>
    <col collapsed="false" customWidth="true" hidden="false" outlineLevel="0" max="6" min="6" style="0" width="40"/>
  </cols>
  <sheetData>
    <row r="2" customFormat="false" ht="19.7" hidden="false" customHeight="false" outlineLevel="0" collapsed="false">
      <c r="B2" s="1" t="s">
        <v>143</v>
      </c>
    </row>
    <row r="4" customFormat="false" ht="15" hidden="false" customHeight="false" outlineLevel="0" collapsed="false">
      <c r="A4" s="11"/>
      <c r="B4" s="11" t="s">
        <v>144</v>
      </c>
      <c r="C4" s="11" t="s">
        <v>145</v>
      </c>
      <c r="D4" s="11" t="s">
        <v>146</v>
      </c>
      <c r="E4" s="11" t="s">
        <v>147</v>
      </c>
      <c r="F4" s="10" t="s">
        <v>148</v>
      </c>
    </row>
    <row r="5" customFormat="false" ht="15" hidden="false" customHeight="false" outlineLevel="0" collapsed="false">
      <c r="B5" s="3" t="s">
        <v>149</v>
      </c>
      <c r="C5" s="13" t="n">
        <v>0</v>
      </c>
      <c r="D5" s="20" t="n">
        <v>0</v>
      </c>
      <c r="E5" s="20" t="n">
        <v>0</v>
      </c>
    </row>
    <row r="6" customFormat="false" ht="15" hidden="false" customHeight="false" outlineLevel="0" collapsed="false">
      <c r="B6" s="3" t="s">
        <v>149</v>
      </c>
      <c r="C6" s="13" t="n">
        <v>0</v>
      </c>
      <c r="D6" s="20" t="n">
        <v>0</v>
      </c>
      <c r="E6" s="20" t="n">
        <v>0</v>
      </c>
    </row>
    <row r="7" customFormat="false" ht="15" hidden="false" customHeight="false" outlineLevel="0" collapsed="false">
      <c r="B7" s="3" t="s">
        <v>149</v>
      </c>
      <c r="C7" s="13" t="n">
        <v>0</v>
      </c>
      <c r="D7" s="20" t="n">
        <v>0</v>
      </c>
      <c r="E7" s="20" t="n">
        <v>0</v>
      </c>
    </row>
    <row r="8" customFormat="false" ht="15" hidden="false" customHeight="false" outlineLevel="0" collapsed="false">
      <c r="B8" s="3" t="s">
        <v>149</v>
      </c>
      <c r="C8" s="13" t="n">
        <v>0</v>
      </c>
      <c r="D8" s="20" t="n">
        <v>0</v>
      </c>
      <c r="E8" s="20" t="n">
        <v>0</v>
      </c>
    </row>
    <row r="9" customFormat="false" ht="15" hidden="false" customHeight="false" outlineLevel="0" collapsed="false">
      <c r="B9" s="3" t="s">
        <v>149</v>
      </c>
      <c r="C9" s="13" t="n">
        <v>0</v>
      </c>
      <c r="D9" s="20" t="n">
        <v>0</v>
      </c>
      <c r="E9" s="20" t="n">
        <v>0</v>
      </c>
    </row>
    <row r="10" customFormat="false" ht="15" hidden="false" customHeight="false" outlineLevel="0" collapsed="false">
      <c r="B10" s="3" t="s">
        <v>149</v>
      </c>
      <c r="C10" s="13" t="n">
        <v>0</v>
      </c>
      <c r="D10" s="20" t="n">
        <v>0</v>
      </c>
      <c r="E10" s="20" t="n">
        <v>0</v>
      </c>
    </row>
    <row r="11" customFormat="false" ht="15" hidden="false" customHeight="false" outlineLevel="0" collapsed="false">
      <c r="B11" s="3" t="s">
        <v>149</v>
      </c>
      <c r="C11" s="13" t="n">
        <v>0</v>
      </c>
      <c r="D11" s="20" t="n">
        <v>0</v>
      </c>
      <c r="E11" s="20" t="n">
        <v>0</v>
      </c>
    </row>
    <row r="12" customFormat="false" ht="15" hidden="false" customHeight="false" outlineLevel="0" collapsed="false">
      <c r="B12" s="2" t="s">
        <v>150</v>
      </c>
      <c r="C12" s="21" t="n">
        <f aca="false">SUM(C5:C11)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40"/>
  </cols>
  <sheetData>
    <row r="2" customFormat="false" ht="19.7" hidden="false" customHeight="false" outlineLevel="0" collapsed="false">
      <c r="B2" s="1" t="s">
        <v>151</v>
      </c>
    </row>
    <row r="4" customFormat="false" ht="15" hidden="false" customHeight="false" outlineLevel="0" collapsed="false">
      <c r="B4" s="19" t="s">
        <v>152</v>
      </c>
    </row>
    <row r="6" customFormat="false" ht="15" hidden="false" customHeight="false" outlineLevel="0" collapsed="false">
      <c r="C6" s="11" t="s">
        <v>112</v>
      </c>
      <c r="D6" s="11" t="s">
        <v>113</v>
      </c>
      <c r="E6" s="11" t="s">
        <v>114</v>
      </c>
      <c r="F6" s="11" t="s">
        <v>115</v>
      </c>
    </row>
    <row r="7" customFormat="false" ht="15" hidden="false" customHeight="false" outlineLevel="0" collapsed="false">
      <c r="B7" s="0" t="s">
        <v>153</v>
      </c>
      <c r="C7" s="18" t="n">
        <f aca="false">'Fund NAV'!C9-'Fund NAV'!C6</f>
        <v>-15</v>
      </c>
      <c r="D7" s="18" t="n">
        <f aca="false">'Fund NAV'!D9-'Fund NAV'!D6</f>
        <v>-6</v>
      </c>
      <c r="E7" s="18" t="n">
        <f aca="false">'Fund NAV'!E9-'Fund NAV'!E6</f>
        <v>-1</v>
      </c>
      <c r="F7" s="18" t="n">
        <f aca="false">'Fund NAV'!F9-'Fund NAV'!F6</f>
        <v>6</v>
      </c>
    </row>
    <row r="8" customFormat="false" ht="15" hidden="false" customHeight="false" outlineLevel="0" collapsed="false">
      <c r="B8" s="0" t="s">
        <v>154</v>
      </c>
      <c r="C8" s="22" t="n">
        <f aca="false">'Fund NAV'!F10</f>
        <v>139</v>
      </c>
    </row>
    <row r="9" customFormat="false" ht="15" hidden="false" customHeight="false" outlineLevel="0" collapsed="false">
      <c r="B9" s="0" t="s">
        <v>155</v>
      </c>
      <c r="C9" s="18" t="n">
        <f aca="false">C7</f>
        <v>-15</v>
      </c>
      <c r="D9" s="18" t="n">
        <f aca="false">D7</f>
        <v>-6</v>
      </c>
      <c r="E9" s="18" t="n">
        <f aca="false">E7</f>
        <v>-1</v>
      </c>
      <c r="F9" s="18" t="n">
        <f aca="false">F7+C8</f>
        <v>145</v>
      </c>
    </row>
    <row r="12" customFormat="false" ht="15" hidden="false" customHeight="false" outlineLevel="0" collapsed="false">
      <c r="B12" s="16" t="s">
        <v>156</v>
      </c>
    </row>
    <row r="13" customFormat="false" ht="15" hidden="false" customHeight="false" outlineLevel="0" collapsed="false">
      <c r="B13" s="0" t="s">
        <v>157</v>
      </c>
      <c r="C13" s="22" t="n">
        <f aca="false">SUM('Fund NAV'!C6:F6)</f>
        <v>35</v>
      </c>
    </row>
    <row r="14" customFormat="false" ht="15" hidden="false" customHeight="false" outlineLevel="0" collapsed="false">
      <c r="B14" s="0" t="s">
        <v>158</v>
      </c>
      <c r="C14" s="22" t="n">
        <f aca="false">SUM('Fund NAV'!C9:F9)</f>
        <v>19</v>
      </c>
    </row>
    <row r="15" customFormat="false" ht="15" hidden="false" customHeight="false" outlineLevel="0" collapsed="false">
      <c r="B15" s="0" t="s">
        <v>159</v>
      </c>
      <c r="C15" s="22" t="n">
        <f aca="false">'Fund NAV'!F10</f>
        <v>139</v>
      </c>
    </row>
    <row r="16" customFormat="false" ht="15" hidden="false" customHeight="false" outlineLevel="0" collapsed="false">
      <c r="B16" s="0" t="s">
        <v>160</v>
      </c>
      <c r="C16" s="23" t="n">
        <f aca="false">IFERROR(C14/C13,"-")</f>
        <v>0.542857142857143</v>
      </c>
    </row>
    <row r="17" customFormat="false" ht="15" hidden="false" customHeight="false" outlineLevel="0" collapsed="false">
      <c r="B17" s="0" t="s">
        <v>161</v>
      </c>
      <c r="C17" s="23" t="n">
        <f aca="false">IFERROR(C15/C13,"-")</f>
        <v>3.97142857142857</v>
      </c>
    </row>
    <row r="18" customFormat="false" ht="15" hidden="false" customHeight="false" outlineLevel="0" collapsed="false">
      <c r="B18" s="0" t="s">
        <v>162</v>
      </c>
      <c r="C18" s="23" t="n">
        <f aca="false">IFERROR(C16+C17,"-")</f>
        <v>4.51428571428571</v>
      </c>
      <c r="D18" s="19" t="s">
        <v>163</v>
      </c>
    </row>
    <row r="19" customFormat="false" ht="15" hidden="false" customHeight="false" outlineLevel="0" collapsed="false">
      <c r="B19" s="0" t="s">
        <v>164</v>
      </c>
      <c r="C19" s="24" t="n">
        <f aca="false">IFERROR(IRR(C9:F9),"-")</f>
        <v>0.99511076541515</v>
      </c>
      <c r="D19" s="19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6" min="3" style="0" width="16"/>
    <col collapsed="false" customWidth="true" hidden="false" outlineLevel="0" max="7" min="7" style="0" width="44"/>
  </cols>
  <sheetData>
    <row r="2" customFormat="false" ht="19.7" hidden="false" customHeight="false" outlineLevel="0" collapsed="false">
      <c r="B2" s="1" t="s">
        <v>166</v>
      </c>
    </row>
    <row r="4" customFormat="false" ht="15" hidden="false" customHeight="false" outlineLevel="0" collapsed="false">
      <c r="B4" s="11" t="s">
        <v>167</v>
      </c>
      <c r="C4" s="11" t="s">
        <v>112</v>
      </c>
      <c r="D4" s="11" t="s">
        <v>113</v>
      </c>
      <c r="E4" s="11" t="s">
        <v>114</v>
      </c>
      <c r="F4" s="11" t="s">
        <v>115</v>
      </c>
      <c r="G4" s="11" t="s">
        <v>168</v>
      </c>
    </row>
    <row r="5" customFormat="false" ht="15" hidden="false" customHeight="false" outlineLevel="0" collapsed="false">
      <c r="B5" s="0" t="s">
        <v>116</v>
      </c>
      <c r="C5" s="18" t="n">
        <f aca="false">'Fund NAV'!C5</f>
        <v>100</v>
      </c>
      <c r="D5" s="18" t="n">
        <f aca="false">'Fund NAV'!D5</f>
        <v>128</v>
      </c>
      <c r="E5" s="18" t="n">
        <f aca="false">'Fund NAV'!E5</f>
        <v>139</v>
      </c>
      <c r="F5" s="18" t="n">
        <f aca="false">'Fund NAV'!F5</f>
        <v>143</v>
      </c>
    </row>
    <row r="6" customFormat="false" ht="15" hidden="false" customHeight="false" outlineLevel="0" collapsed="false">
      <c r="B6" s="0" t="s">
        <v>169</v>
      </c>
      <c r="C6" s="18" t="n">
        <f aca="false">'Fund NAV'!C6</f>
        <v>20</v>
      </c>
      <c r="D6" s="18" t="n">
        <f aca="false">'Fund NAV'!D6</f>
        <v>10</v>
      </c>
      <c r="E6" s="18" t="n">
        <f aca="false">'Fund NAV'!E6</f>
        <v>5</v>
      </c>
      <c r="F6" s="18" t="n">
        <f aca="false">'Fund NAV'!F6</f>
        <v>0</v>
      </c>
    </row>
    <row r="7" customFormat="false" ht="15" hidden="false" customHeight="false" outlineLevel="0" collapsed="false">
      <c r="B7" s="0" t="s">
        <v>170</v>
      </c>
      <c r="C7" s="18" t="n">
        <f aca="false">'Fund NAV'!C9</f>
        <v>5</v>
      </c>
      <c r="D7" s="18" t="n">
        <f aca="false">'Fund NAV'!D9</f>
        <v>4</v>
      </c>
      <c r="E7" s="18" t="n">
        <f aca="false">'Fund NAV'!E9</f>
        <v>4</v>
      </c>
      <c r="F7" s="18" t="n">
        <f aca="false">'Fund NAV'!F9</f>
        <v>6</v>
      </c>
    </row>
    <row r="8" customFormat="false" ht="15" hidden="false" customHeight="false" outlineLevel="0" collapsed="false">
      <c r="B8" s="0" t="s">
        <v>121</v>
      </c>
      <c r="C8" s="18" t="n">
        <f aca="false">'Fund NAV'!C10</f>
        <v>128</v>
      </c>
      <c r="D8" s="18" t="n">
        <f aca="false">'Fund NAV'!D10</f>
        <v>139</v>
      </c>
      <c r="E8" s="18" t="n">
        <f aca="false">'Fund NAV'!E10</f>
        <v>143</v>
      </c>
      <c r="F8" s="18" t="n">
        <f aca="false">'Fund NAV'!F10</f>
        <v>139</v>
      </c>
    </row>
    <row r="9" customFormat="false" ht="15" hidden="false" customHeight="false" outlineLevel="0" collapsed="false">
      <c r="B9" s="0" t="s">
        <v>171</v>
      </c>
      <c r="C9" s="25" t="n">
        <f aca="false">IFERROR((C8+C7-C6)/C5-1,"-")</f>
        <v>0.13</v>
      </c>
      <c r="D9" s="25" t="n">
        <f aca="false">IFERROR((D8+D7-D6)/D5-1,"-")</f>
        <v>0.0390625</v>
      </c>
      <c r="E9" s="25" t="n">
        <f aca="false">IFERROR((E8+E7-E6)/E5-1,"-")</f>
        <v>0.0215827338129497</v>
      </c>
      <c r="F9" s="25" t="n">
        <f aca="false">IFERROR((F8+F7-F6)/F5-1,"-")</f>
        <v>0.013986013986014</v>
      </c>
    </row>
    <row r="12" customFormat="false" ht="15" hidden="false" customHeight="false" outlineLevel="0" collapsed="false">
      <c r="B12" s="0" t="s">
        <v>172</v>
      </c>
      <c r="C12" s="25" t="n">
        <f aca="false">IF(COUNT(C9:F9)&lt;4,"-",PRODUCT(1+C9:F9)-1)</f>
        <v>0.13</v>
      </c>
    </row>
    <row r="13" customFormat="false" ht="15" hidden="false" customHeight="false" outlineLevel="0" collapsed="false">
      <c r="B13" s="0" t="s">
        <v>173</v>
      </c>
      <c r="C13" s="25" t="n">
        <f aca="false">'Fund Performance'!C19</f>
        <v>0.99511076541515</v>
      </c>
    </row>
    <row r="14" customFormat="false" ht="15" hidden="false" customHeight="false" outlineLevel="0" collapsed="false">
      <c r="B14" s="0" t="s">
        <v>174</v>
      </c>
      <c r="C14" s="17" t="n">
        <v>0.08</v>
      </c>
    </row>
    <row r="15" customFormat="false" ht="15" hidden="false" customHeight="false" outlineLevel="0" collapsed="false">
      <c r="B15" s="0" t="s">
        <v>175</v>
      </c>
      <c r="C15" s="25" t="n">
        <f aca="false">IF(AND(ISNUMBER(C12),ISNUMBER(C14)),C12-C14,"-")</f>
        <v>0.0499999999999999</v>
      </c>
    </row>
    <row r="17" customFormat="false" ht="15" hidden="false" customHeight="false" outlineLevel="0" collapsed="false">
      <c r="B17" s="19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44"/>
  </cols>
  <sheetData>
    <row r="2" customFormat="false" ht="19.7" hidden="false" customHeight="false" outlineLevel="0" collapsed="false">
      <c r="B2" s="1" t="s">
        <v>177</v>
      </c>
    </row>
    <row r="4" customFormat="false" ht="15" hidden="false" customHeight="false" outlineLevel="0" collapsed="false">
      <c r="B4" s="11" t="s">
        <v>167</v>
      </c>
      <c r="C4" s="11" t="s">
        <v>178</v>
      </c>
      <c r="D4" s="11" t="s">
        <v>179</v>
      </c>
      <c r="E4" s="11" t="s">
        <v>180</v>
      </c>
    </row>
    <row r="5" customFormat="false" ht="15" hidden="false" customHeight="false" outlineLevel="0" collapsed="false">
      <c r="B5" s="0" t="s">
        <v>181</v>
      </c>
      <c r="C5" s="12" t="n">
        <v>150</v>
      </c>
      <c r="D5" s="12" t="n">
        <v>180</v>
      </c>
      <c r="E5" s="10" t="s">
        <v>182</v>
      </c>
    </row>
    <row r="6" customFormat="false" ht="15" hidden="false" customHeight="false" outlineLevel="0" collapsed="false">
      <c r="B6" s="0" t="s">
        <v>183</v>
      </c>
      <c r="C6" s="12" t="n">
        <v>60</v>
      </c>
      <c r="D6" s="12" t="n">
        <v>100</v>
      </c>
      <c r="E6" s="10" t="s">
        <v>184</v>
      </c>
    </row>
    <row r="7" customFormat="false" ht="15" hidden="false" customHeight="false" outlineLevel="0" collapsed="false">
      <c r="B7" s="0" t="s">
        <v>185</v>
      </c>
      <c r="C7" s="18" t="n">
        <f aca="false">'Fund NAV'!F10</f>
        <v>139</v>
      </c>
      <c r="D7" s="18" t="n">
        <f aca="false">'Fund NAV'!F10</f>
        <v>139</v>
      </c>
      <c r="E7" s="10" t="s">
        <v>186</v>
      </c>
    </row>
    <row r="8" customFormat="false" ht="15" hidden="false" customHeight="false" outlineLevel="0" collapsed="false">
      <c r="B8" s="0" t="s">
        <v>187</v>
      </c>
      <c r="C8" s="12" t="n">
        <v>35</v>
      </c>
      <c r="D8" s="12" t="n">
        <v>55</v>
      </c>
      <c r="E8" s="10" t="s">
        <v>188</v>
      </c>
    </row>
    <row r="9" customFormat="false" ht="15" hidden="false" customHeight="false" outlineLevel="0" collapsed="false">
      <c r="B9" s="0" t="s">
        <v>189</v>
      </c>
      <c r="C9" s="12" t="n">
        <v>15</v>
      </c>
      <c r="D9" s="12" t="n">
        <v>35</v>
      </c>
      <c r="E9" s="10" t="s">
        <v>190</v>
      </c>
    </row>
    <row r="10" customFormat="false" ht="15" hidden="false" customHeight="false" outlineLevel="0" collapsed="false">
      <c r="B10" s="0" t="s">
        <v>191</v>
      </c>
      <c r="C10" s="12" t="n">
        <v>12</v>
      </c>
      <c r="D10" s="12" t="n">
        <v>40</v>
      </c>
      <c r="E10" s="10" t="s">
        <v>192</v>
      </c>
    </row>
    <row r="11" customFormat="false" ht="15" hidden="false" customHeight="false" outlineLevel="0" collapsed="false">
      <c r="B11" s="0" t="s">
        <v>193</v>
      </c>
      <c r="C11" s="12" t="n">
        <v>8</v>
      </c>
      <c r="D11" s="12" t="n">
        <v>20</v>
      </c>
      <c r="E11" s="10" t="s">
        <v>194</v>
      </c>
    </row>
    <row r="12" customFormat="false" ht="15" hidden="false" customHeight="false" outlineLevel="0" collapsed="false">
      <c r="B12" s="0" t="s">
        <v>195</v>
      </c>
      <c r="C12" s="12" t="n">
        <v>30</v>
      </c>
      <c r="D12" s="12" t="n">
        <v>15</v>
      </c>
      <c r="E12" s="10" t="s">
        <v>196</v>
      </c>
    </row>
    <row r="13" customFormat="false" ht="15" hidden="false" customHeight="false" outlineLevel="0" collapsed="false">
      <c r="B13" s="0" t="s">
        <v>197</v>
      </c>
      <c r="C13" s="17" t="n">
        <v>0.4</v>
      </c>
      <c r="D13" s="17" t="n">
        <v>0.4</v>
      </c>
      <c r="E13" s="10" t="s">
        <v>198</v>
      </c>
    </row>
    <row r="14" customFormat="false" ht="15" hidden="false" customHeight="false" outlineLevel="0" collapsed="false">
      <c r="B14" s="0" t="s">
        <v>199</v>
      </c>
      <c r="C14" s="17" t="n">
        <v>0.25</v>
      </c>
      <c r="D14" s="17" t="n">
        <v>0.25</v>
      </c>
      <c r="E14" s="10" t="s">
        <v>198</v>
      </c>
    </row>
    <row r="15" customFormat="false" ht="15" hidden="false" customHeight="false" outlineLevel="0" collapsed="false">
      <c r="B15" s="0" t="s">
        <v>200</v>
      </c>
      <c r="C15" s="26" t="n">
        <v>1.2</v>
      </c>
      <c r="D15" s="26" t="n">
        <v>1.2</v>
      </c>
      <c r="E15" s="10" t="s">
        <v>201</v>
      </c>
    </row>
    <row r="18" customFormat="false" ht="15" hidden="false" customHeight="false" outlineLevel="0" collapsed="false">
      <c r="B18" s="0" t="s">
        <v>202</v>
      </c>
      <c r="C18" s="27" t="n">
        <f aca="false">IFERROR(C5/C7,0)</f>
        <v>1.07913669064748</v>
      </c>
      <c r="D18" s="27" t="n">
        <f aca="false">IFERROR(D5/D7,0)</f>
        <v>1.29496402877698</v>
      </c>
    </row>
    <row r="19" customFormat="false" ht="15" hidden="false" customHeight="false" outlineLevel="0" collapsed="false">
      <c r="B19" s="0" t="s">
        <v>203</v>
      </c>
      <c r="C19" s="27" t="n">
        <f aca="false">IFERROR(C6/C7,0)</f>
        <v>0.431654676258993</v>
      </c>
      <c r="D19" s="27" t="n">
        <f aca="false">IFERROR(D6/D7,0)</f>
        <v>0.719424460431655</v>
      </c>
    </row>
    <row r="20" customFormat="false" ht="15" hidden="false" customHeight="false" outlineLevel="0" collapsed="false">
      <c r="B20" s="0" t="s">
        <v>204</v>
      </c>
      <c r="C20" s="25" t="n">
        <f aca="false">IFERROR(C8/C7,0)</f>
        <v>0.251798561151079</v>
      </c>
      <c r="D20" s="25" t="n">
        <f aca="false">IFERROR(D8/D7,0)</f>
        <v>0.39568345323741</v>
      </c>
    </row>
    <row r="21" customFormat="false" ht="15" hidden="false" customHeight="false" outlineLevel="0" collapsed="false">
      <c r="B21" s="0" t="s">
        <v>205</v>
      </c>
      <c r="C21" s="25" t="n">
        <f aca="false">IFERROR(C9/C7,0)</f>
        <v>0.107913669064748</v>
      </c>
      <c r="D21" s="25" t="n">
        <f aca="false">IFERROR(D9/D7,0)</f>
        <v>0.251798561151079</v>
      </c>
    </row>
    <row r="22" customFormat="false" ht="15" hidden="false" customHeight="false" outlineLevel="0" collapsed="false">
      <c r="B22" s="0" t="s">
        <v>206</v>
      </c>
      <c r="C22" s="27" t="n">
        <f aca="false">IFERROR(C12/(C10+C11),0)</f>
        <v>1.5</v>
      </c>
      <c r="D22" s="27" t="n">
        <f aca="false">IFERROR(D12/(D10+D11),0)</f>
        <v>0.25</v>
      </c>
    </row>
    <row r="23" customFormat="false" ht="15" hidden="false" customHeight="false" outlineLevel="0" collapsed="false">
      <c r="B23" s="0" t="s">
        <v>207</v>
      </c>
      <c r="C23" s="28" t="str">
        <f aca="false">IF(AND(D20&lt;=D13,D21&lt;=D14,D22&gt;=D15),"PASS","BREACH")</f>
        <v>BREACH</v>
      </c>
      <c r="D23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0"/>
  </cols>
  <sheetData>
    <row r="2" customFormat="false" ht="19.7" hidden="false" customHeight="false" outlineLevel="0" collapsed="false">
      <c r="B2" s="1" t="s">
        <v>208</v>
      </c>
    </row>
    <row r="4" customFormat="false" ht="15" hidden="false" customHeight="false" outlineLevel="0" collapsed="false">
      <c r="B4" s="11" t="s">
        <v>209</v>
      </c>
      <c r="C4" s="11" t="s">
        <v>167</v>
      </c>
      <c r="D4" s="11" t="s">
        <v>30</v>
      </c>
      <c r="E4" s="11" t="s">
        <v>210</v>
      </c>
    </row>
    <row r="5" customFormat="false" ht="15" hidden="false" customHeight="false" outlineLevel="0" collapsed="false">
      <c r="B5" s="0" t="s">
        <v>211</v>
      </c>
      <c r="C5" s="28" t="n">
        <f aca="false">'Fund NAV'!F10-('Fund NAV'!F5+'Fund NAV'!F6+'Fund NAV'!F7-'Fund NAV'!F8-'Fund NAV'!F9)</f>
        <v>0</v>
      </c>
      <c r="D5" s="28" t="str">
        <f aca="false">IF(ABS(C5)&lt;0.01,"PASS","FAIL")</f>
        <v>PASS</v>
      </c>
      <c r="E5" s="10" t="s">
        <v>212</v>
      </c>
    </row>
    <row r="6" customFormat="false" ht="15" hidden="false" customHeight="false" outlineLevel="0" collapsed="false">
      <c r="B6" s="0" t="s">
        <v>213</v>
      </c>
      <c r="C6" s="28" t="n">
        <f aca="false">IF(AND(ISNUMBER('Fund Performance'!C18),ISNUMBER('Fund Performance'!C16),ISNUMBER('Fund Performance'!C17)),'Fund Performance'!C18-'Fund Performance'!C16-'Fund Performance'!C17,0)</f>
        <v>0</v>
      </c>
      <c r="D6" s="28" t="str">
        <f aca="false">IF(AND(ISNUMBER('Fund Performance'!C18),ISNUMBER('Fund Performance'!C16),ISNUMBER('Fund Performance'!C17)),IF(ABS(C6)&lt;0.000001,"PASS","FAIL"),"REVIEW")</f>
        <v>PASS</v>
      </c>
      <c r="E6" s="10" t="s">
        <v>214</v>
      </c>
    </row>
    <row r="7" customFormat="false" ht="15" hidden="false" customHeight="false" outlineLevel="0" collapsed="false">
      <c r="B7" s="0" t="s">
        <v>141</v>
      </c>
      <c r="C7" s="18" t="n">
        <f aca="false">'Fee Waterfall'!C24</f>
        <v>0</v>
      </c>
      <c r="D7" s="28" t="str">
        <f aca="false">IF(ABS(C7)&lt;0.01,"PASS","FAIL")</f>
        <v>PASS</v>
      </c>
      <c r="E7" s="10" t="s">
        <v>215</v>
      </c>
    </row>
    <row r="8" customFormat="false" ht="15" hidden="false" customHeight="false" outlineLevel="0" collapsed="false">
      <c r="B8" s="0" t="s">
        <v>216</v>
      </c>
      <c r="C8" s="25" t="n">
        <f aca="false">'Fee Waterfall'!C8</f>
        <v>0.2</v>
      </c>
      <c r="D8" s="28" t="str">
        <f aca="false">IF(AND(C8&gt;=0,C8&lt;1),"PASS","FAIL")</f>
        <v>PASS</v>
      </c>
      <c r="E8" s="10" t="s">
        <v>217</v>
      </c>
    </row>
    <row r="9" customFormat="false" ht="15" hidden="false" customHeight="false" outlineLevel="0" collapsed="false">
      <c r="B9" s="0" t="s">
        <v>172</v>
      </c>
      <c r="C9" s="25" t="n">
        <f aca="false">'Return Measurement'!C12</f>
        <v>0.13</v>
      </c>
      <c r="D9" s="28" t="str">
        <f aca="false">IF(ISNUMBER(C9),"PASS","REVIEW")</f>
        <v>PASS</v>
      </c>
      <c r="E9" s="10" t="s">
        <v>218</v>
      </c>
    </row>
    <row r="10" customFormat="false" ht="15" hidden="false" customHeight="false" outlineLevel="0" collapsed="false">
      <c r="B10" s="0" t="s">
        <v>175</v>
      </c>
      <c r="C10" s="25" t="n">
        <f aca="false">'Return Measurement'!C15</f>
        <v>0.0499999999999999</v>
      </c>
      <c r="D10" s="28" t="str">
        <f aca="false">IF(ISNUMBER(C10),"PASS","REVIEW")</f>
        <v>PASS</v>
      </c>
      <c r="E10" s="10" t="s">
        <v>219</v>
      </c>
    </row>
    <row r="11" customFormat="false" ht="15" hidden="false" customHeight="false" outlineLevel="0" collapsed="false">
      <c r="B11" s="0" t="s">
        <v>220</v>
      </c>
      <c r="C11" s="25" t="n">
        <f aca="false">'Exposure &amp; Liquidity'!D20</f>
        <v>0.39568345323741</v>
      </c>
      <c r="D11" s="28" t="str">
        <f aca="false">IF(C11&lt;='Exposure &amp; Liquidity'!D13,"PASS","BREACH")</f>
        <v>PASS</v>
      </c>
      <c r="E11" s="10" t="s">
        <v>221</v>
      </c>
    </row>
    <row r="12" customFormat="false" ht="15" hidden="false" customHeight="false" outlineLevel="0" collapsed="false">
      <c r="B12" s="0" t="s">
        <v>222</v>
      </c>
      <c r="C12" s="25" t="n">
        <f aca="false">'Exposure &amp; Liquidity'!D21</f>
        <v>0.251798561151079</v>
      </c>
      <c r="D12" s="28" t="str">
        <f aca="false">IF(C12&lt;='Exposure &amp; Liquidity'!D14,"PASS","BREACH")</f>
        <v>BREACH</v>
      </c>
      <c r="E12" s="10" t="s">
        <v>223</v>
      </c>
    </row>
    <row r="13" customFormat="false" ht="15" hidden="false" customHeight="false" outlineLevel="0" collapsed="false">
      <c r="B13" s="0" t="s">
        <v>224</v>
      </c>
      <c r="C13" s="27" t="n">
        <f aca="false">'Exposure &amp; Liquidity'!D22</f>
        <v>0.25</v>
      </c>
      <c r="D13" s="28" t="str">
        <f aca="false">IF(C13&gt;='Exposure &amp; Liquidity'!D15,"PASS","BREACH")</f>
        <v>BREACH</v>
      </c>
      <c r="E13" s="10" t="s">
        <v>225</v>
      </c>
    </row>
    <row r="15" customFormat="false" ht="15" hidden="false" customHeight="false" outlineLevel="0" collapsed="false">
      <c r="B15" s="2" t="s">
        <v>226</v>
      </c>
      <c r="C15" s="29" t="str">
        <f aca="false">IF(COUNTIF(D5:D13,"FAIL")+COUNTIF(D5:D13,"BREACH")&gt;0,"BREACH",IF(COUNTIF(D5:D13,"REVIEW")&gt;0,"REVIEW","PASS"))</f>
        <v>BREACH</v>
      </c>
    </row>
    <row r="17" customFormat="false" ht="15" hidden="false" customHeight="false" outlineLevel="0" collapsed="false">
      <c r="B17" s="16" t="s">
        <v>227</v>
      </c>
    </row>
    <row r="18" customFormat="false" ht="15" hidden="false" customHeight="false" outlineLevel="0" collapsed="false">
      <c r="B18" s="0" t="s">
        <v>121</v>
      </c>
      <c r="C18" s="18" t="n">
        <f aca="false">'Fund NAV'!F10</f>
        <v>139</v>
      </c>
    </row>
    <row r="19" customFormat="false" ht="15" hidden="false" customHeight="false" outlineLevel="0" collapsed="false">
      <c r="B19" s="0" t="s">
        <v>228</v>
      </c>
      <c r="C19" s="27" t="n">
        <f aca="false">'Fund Performance'!C16</f>
        <v>0.542857142857143</v>
      </c>
    </row>
    <row r="20" customFormat="false" ht="15" hidden="false" customHeight="false" outlineLevel="0" collapsed="false">
      <c r="B20" s="0" t="s">
        <v>229</v>
      </c>
      <c r="C20" s="27" t="n">
        <f aca="false">'Fund Performance'!C17</f>
        <v>3.97142857142857</v>
      </c>
    </row>
    <row r="21" customFormat="false" ht="15" hidden="false" customHeight="false" outlineLevel="0" collapsed="false">
      <c r="B21" s="0" t="s">
        <v>230</v>
      </c>
      <c r="C21" s="27" t="n">
        <f aca="false">'Fund Performance'!C18</f>
        <v>4.51428571428571</v>
      </c>
    </row>
    <row r="22" customFormat="false" ht="15" hidden="false" customHeight="false" outlineLevel="0" collapsed="false">
      <c r="B22" s="0" t="s">
        <v>231</v>
      </c>
      <c r="C22" s="25" t="n">
        <f aca="false">'Fund Performance'!C19</f>
        <v>0.99511076541515</v>
      </c>
    </row>
    <row r="23" customFormat="false" ht="15" hidden="false" customHeight="false" outlineLevel="0" collapsed="false">
      <c r="B23" s="0" t="s">
        <v>172</v>
      </c>
      <c r="C23" s="25" t="n">
        <f aca="false">'Return Measurement'!C12</f>
        <v>0.13</v>
      </c>
    </row>
    <row r="24" customFormat="false" ht="15" hidden="false" customHeight="false" outlineLevel="0" collapsed="false">
      <c r="B24" s="0" t="s">
        <v>224</v>
      </c>
      <c r="C24" s="27" t="n">
        <f aca="false">'Exposure &amp; Liquidity'!D22</f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232</v>
      </c>
    </row>
    <row r="4" customFormat="false" ht="15" hidden="false" customHeight="false" outlineLevel="0" collapsed="false">
      <c r="B4" s="11" t="s">
        <v>84</v>
      </c>
      <c r="C4" s="11" t="s">
        <v>233</v>
      </c>
      <c r="D4" s="11" t="s">
        <v>234</v>
      </c>
      <c r="E4" s="11" t="s">
        <v>235</v>
      </c>
      <c r="F4" s="11" t="s">
        <v>236</v>
      </c>
    </row>
    <row r="5" customFormat="false" ht="15" hidden="false" customHeight="false" outlineLevel="0" collapsed="false">
      <c r="B5" s="28" t="s">
        <v>6</v>
      </c>
      <c r="C5" s="28" t="s">
        <v>237</v>
      </c>
      <c r="D5" s="28" t="s">
        <v>238</v>
      </c>
      <c r="E5" s="28" t="s">
        <v>239</v>
      </c>
      <c r="F5" s="28" t="s">
        <v>240</v>
      </c>
    </row>
    <row r="6" customFormat="false" ht="15" hidden="false" customHeight="false" outlineLevel="0" collapsed="false">
      <c r="B6" s="28"/>
      <c r="C6" s="28"/>
      <c r="D6" s="28"/>
      <c r="E6" s="28"/>
      <c r="F6" s="28"/>
    </row>
    <row r="7" customFormat="false" ht="15" hidden="false" customHeight="false" outlineLevel="0" collapsed="false">
      <c r="B7" s="28"/>
      <c r="C7" s="28"/>
      <c r="D7" s="28"/>
      <c r="E7" s="28"/>
      <c r="F7" s="28"/>
    </row>
    <row r="8" customFormat="false" ht="15" hidden="false" customHeight="false" outlineLevel="0" collapsed="false">
      <c r="B8" s="28"/>
      <c r="C8" s="28"/>
      <c r="D8" s="28"/>
      <c r="E8" s="28"/>
      <c r="F8" s="28"/>
    </row>
    <row r="9" customFormat="false" ht="15" hidden="false" customHeight="false" outlineLevel="0" collapsed="false">
      <c r="B9" s="28"/>
      <c r="C9" s="28"/>
      <c r="D9" s="28"/>
      <c r="E9" s="28"/>
      <c r="F9" s="28"/>
    </row>
    <row r="10" customFormat="false" ht="15" hidden="false" customHeight="false" outlineLevel="0" collapsed="false">
      <c r="B10" s="28"/>
      <c r="C10" s="28"/>
      <c r="D10" s="28"/>
      <c r="E10" s="28"/>
      <c r="F10" s="28"/>
    </row>
    <row r="11" customFormat="false" ht="15" hidden="false" customHeight="false" outlineLevel="0" collapsed="false">
      <c r="B11" s="28"/>
      <c r="C11" s="28"/>
      <c r="D11" s="28"/>
      <c r="E11" s="28"/>
      <c r="F11" s="28"/>
    </row>
    <row r="12" customFormat="false" ht="15" hidden="false" customHeight="false" outlineLevel="0" collapsed="false">
      <c r="B12" s="28"/>
      <c r="C12" s="28"/>
      <c r="D12" s="28"/>
      <c r="E12" s="28"/>
      <c r="F12" s="28"/>
    </row>
    <row r="13" customFormat="false" ht="15" hidden="false" customHeight="false" outlineLevel="0" collapsed="false">
      <c r="B13" s="28"/>
      <c r="C13" s="28"/>
      <c r="D13" s="28"/>
      <c r="E13" s="28"/>
      <c r="F13" s="28"/>
    </row>
    <row r="14" customFormat="false" ht="15" hidden="false" customHeight="false" outlineLevel="0" collapsed="false">
      <c r="B14" s="28"/>
      <c r="C14" s="28"/>
      <c r="D14" s="28"/>
      <c r="E14" s="28"/>
      <c r="F14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2026-08-04T15:32:28Z</dcterms:created>
  <dc:creator>openpyxl</dc:creator>
  <dc:description/>
  <dc:language>en-US</dc:language>
  <cp:lastModifiedBy/>
  <dcterms:modified xsi:type="dcterms:W3CDTF">2026-08-04T15:32:32Z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