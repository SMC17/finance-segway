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over" sheetId="1" state="visible" r:id="rId1"/>
    <sheet name="Institutional Surface" sheetId="2" state="visible" r:id="rId2"/>
    <sheet name="Challenge Log" sheetId="3" state="visible" r:id="rId3"/>
    <sheet name="Lineage Map" sheetId="4" state="visible" r:id="rId4"/>
    <sheet name="Fund NAV" sheetId="5" state="visible" r:id="rId5"/>
    <sheet name="Fee Waterfall" sheetId="6" state="visible" r:id="rId6"/>
    <sheet name="Performance Attribution" sheetId="7" state="visible" r:id="rId7"/>
    <sheet name="Fund Performance" sheetId="8" state="visible" r:id="rId8"/>
    <sheet name="RefreshLog" sheetId="9" state="visible" r:id="rId9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3">
    <numFmt numFmtId="164" formatCode="\$#,##0;&quot;($&quot;#,##0\);\-"/>
    <numFmt numFmtId="165" formatCode="0.0%;\(0.0%\);\-"/>
    <numFmt numFmtId="166" formatCode="0.0\x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i val="1"/>
      <color rgb="FF808080"/>
      <sz val="8"/>
    </font>
    <font>
      <name val="Arial"/>
      <charset val="1"/>
      <family val="0"/>
      <color rgb="FF008000"/>
      <sz val="10"/>
    </font>
    <font>
      <b val="1"/>
      <color rgb="00FFFFFF"/>
      <sz val="15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D9D9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bottom style="thin">
        <color rgb="00B7B7B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bottom"/>
    </xf>
    <xf numFmtId="164" fontId="6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164" fontId="6" fillId="4" borderId="1" applyAlignment="1" pivotButton="0" quotePrefix="0" xfId="0">
      <alignment horizontal="general" vertical="bottom"/>
    </xf>
    <xf numFmtId="165" fontId="6" fillId="4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10" fillId="0" borderId="1" applyAlignment="1" pivotButton="0" quotePrefix="0" xfId="0">
      <alignment horizontal="general" vertical="bottom"/>
    </xf>
    <xf numFmtId="166" fontId="5" fillId="0" borderId="1" applyAlignment="1" pivotButton="0" quotePrefix="0" xfId="0">
      <alignment horizontal="general" vertical="bottom"/>
    </xf>
    <xf numFmtId="165" fontId="5" fillId="4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1" fillId="5" borderId="0" pivotButton="0" quotePrefix="0" xfId="0"/>
    <xf numFmtId="0" fontId="12" fillId="0" borderId="0" pivotButton="0" quotePrefix="0" xfId="0"/>
    <xf numFmtId="0" fontId="0" fillId="0" borderId="0" applyAlignment="1" pivotButton="0" quotePrefix="0" xfId="0">
      <alignment wrapText="1"/>
    </xf>
    <xf numFmtId="0" fontId="13" fillId="5" borderId="0" pivotButton="0" quotePrefix="0" xfId="0"/>
    <xf numFmtId="0" fontId="12" fillId="6" borderId="2" applyAlignment="1" pivotButton="0" quotePrefix="0" xfId="0">
      <alignment wrapText="1"/>
    </xf>
    <xf numFmtId="0" fontId="7" fillId="2" borderId="0" applyAlignment="1" pivotButton="0" quotePrefix="0" xfId="0">
      <alignment horizontal="center" vertical="bottom"/>
    </xf>
    <xf numFmtId="164" fontId="6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164" fontId="6" fillId="4" borderId="1" applyAlignment="1" pivotButton="0" quotePrefix="0" xfId="0">
      <alignment horizontal="general" vertical="bottom"/>
    </xf>
    <xf numFmtId="165" fontId="6" fillId="4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5" fontId="6" fillId="0" borderId="1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10" fillId="0" borderId="1" applyAlignment="1" pivotButton="0" quotePrefix="0" xfId="0">
      <alignment horizontal="general" vertical="bottom"/>
    </xf>
    <xf numFmtId="166" fontId="5" fillId="0" borderId="1" applyAlignment="1" pivotButton="0" quotePrefix="0" xfId="0">
      <alignment horizontal="general" vertical="bottom"/>
    </xf>
    <xf numFmtId="165" fontId="5" fillId="4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0" min="1" max="1"/>
    <col width="30" customWidth="1" style="20" min="2" max="2"/>
    <col width="40" customWidth="1" style="20" min="3" max="3"/>
    <col width="4" customWidth="1" style="20" min="4" max="4"/>
  </cols>
  <sheetData>
    <row r="2" ht="19.7" customHeight="1" s="21">
      <c r="B2" s="22" t="inlineStr">
        <is>
          <t>[FUND] — Asset Management Model</t>
        </is>
      </c>
    </row>
    <row r="4" ht="15" customHeight="1" s="21">
      <c r="B4" s="23" t="inlineStr">
        <is>
          <t>Fund structure:</t>
        </is>
      </c>
      <c r="C4" s="24" t="inlineStr">
        <is>
          <t>Hedge fund / PE fund / mutual fund</t>
        </is>
      </c>
    </row>
    <row r="5" ht="15" customHeight="1" s="21">
      <c r="B5" s="23" t="inlineStr">
        <is>
          <t>Vintage / inception:</t>
        </is>
      </c>
      <c r="C5" s="24" t="inlineStr">
        <is>
          <t>[date]</t>
        </is>
      </c>
    </row>
    <row r="6" ht="15" customHeight="1" s="21">
      <c r="B6" s="23" t="inlineStr">
        <is>
          <t>Last refreshed:</t>
        </is>
      </c>
      <c r="C6" s="24" t="inlineStr">
        <is>
          <t>[date]</t>
        </is>
      </c>
    </row>
    <row r="7" ht="15" customHeight="1" s="21">
      <c r="B7" s="23" t="inlineStr">
        <is>
          <t>Next capital call/distribution:</t>
        </is>
      </c>
      <c r="C7" s="24" t="inlineStr">
        <is>
          <t>[date]</t>
        </is>
      </c>
    </row>
    <row r="8" ht="15" customHeight="1" s="21">
      <c r="B8" s="23" t="inlineStr">
        <is>
          <t>Refresh cadence:</t>
        </is>
      </c>
      <c r="C8" s="24" t="inlineStr">
        <is>
          <t>Weekly (monthly NAV strike)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style="21" min="2" max="2"/>
    <col width="48" customWidth="1" style="21" min="3" max="3"/>
    <col width="24" customWidth="1" style="21" min="4" max="4"/>
    <col width="34" customWidth="1" style="21" min="5" max="5"/>
    <col width="20" customWidth="1" style="21" min="6" max="6"/>
  </cols>
  <sheetData>
    <row r="2">
      <c r="B2" s="25" t="inlineStr">
        <is>
          <t>Asset Management — Institutional Decision Surface</t>
        </is>
      </c>
    </row>
    <row r="4">
      <c r="B4" s="26" t="inlineStr">
        <is>
          <t>Model ID</t>
        </is>
      </c>
      <c r="C4" s="27" t="inlineStr">
        <is>
          <t>08</t>
        </is>
      </c>
    </row>
    <row r="5">
      <c r="B5" s="26" t="inlineStr">
        <is>
          <t>Domain</t>
        </is>
      </c>
      <c r="C5" s="27" t="inlineStr">
        <is>
          <t>Asset Management</t>
        </is>
      </c>
    </row>
    <row r="6">
      <c r="B6" s="26" t="inlineStr">
        <is>
          <t>Declared maturity</t>
        </is>
      </c>
      <c r="C6" s="27" t="inlineStr">
        <is>
          <t>M1</t>
        </is>
      </c>
    </row>
    <row r="7">
      <c r="B7" s="26" t="inlineStr">
        <is>
          <t>Canonical builder</t>
        </is>
      </c>
      <c r="C7" s="27" t="inlineStr">
        <is>
          <t>tools/builders/build_am_template.py</t>
        </is>
      </c>
    </row>
    <row r="8">
      <c r="B8" s="26" t="inlineStr">
        <is>
          <t>Decision arena</t>
        </is>
      </c>
      <c r="C8" s="27" t="inlineStr">
        <is>
          <t>portfolio manager, risk, valuation committee, operations and fund board</t>
        </is>
      </c>
    </row>
    <row r="9">
      <c r="B9" s="26" t="inlineStr">
        <is>
          <t>Committee artifact</t>
        </is>
      </c>
      <c r="C9" s="27" t="inlineStr">
        <is>
          <t>portfolio, liquidity and valuation committee pack</t>
        </is>
      </c>
    </row>
    <row r="10">
      <c r="B10" s="26" t="inlineStr">
        <is>
          <t>Operating cadence</t>
        </is>
      </c>
      <c r="C10" s="27" t="inlineStr">
        <is>
          <t>daily portfolio; weekly liquidity; monthly valuation</t>
        </is>
      </c>
    </row>
    <row r="12">
      <c r="B12" s="28" t="inlineStr">
        <is>
          <t>Key decision outputs</t>
        </is>
      </c>
    </row>
    <row r="13">
      <c r="B13" s="29" t="inlineStr">
        <is>
          <t>#</t>
        </is>
      </c>
      <c r="C13" s="29" t="inlineStr">
        <is>
          <t>Requirement</t>
        </is>
      </c>
      <c r="D13" s="29" t="inlineStr">
        <is>
          <t>Owner</t>
        </is>
      </c>
      <c r="E13" s="29" t="inlineStr">
        <is>
          <t>Evidence / location</t>
        </is>
      </c>
      <c r="F13" s="29" t="inlineStr">
        <is>
          <t>Status</t>
        </is>
      </c>
    </row>
    <row r="14">
      <c r="B14" t="n">
        <v>1</v>
      </c>
      <c r="C14" t="inlineStr">
        <is>
          <t>NAV and performance attribution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gross-to-net return bridge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liquidity buckets and redemption coverage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28" t="inlineStr">
        <is>
          <t>Insider questions</t>
        </is>
      </c>
    </row>
    <row r="21">
      <c r="B21" s="29" t="inlineStr">
        <is>
          <t>#</t>
        </is>
      </c>
      <c r="C21" s="29" t="inlineStr">
        <is>
          <t>Requirement</t>
        </is>
      </c>
      <c r="D21" s="29" t="inlineStr">
        <is>
          <t>Owner</t>
        </is>
      </c>
      <c r="E21" s="29" t="inlineStr">
        <is>
          <t>Evidence / location</t>
        </is>
      </c>
      <c r="F21" s="29" t="inlineStr">
        <is>
          <t>Status</t>
        </is>
      </c>
    </row>
    <row r="22">
      <c r="B22" t="n">
        <v>1</v>
      </c>
      <c r="C22" t="inlineStr">
        <is>
          <t>How much can be liquidated without moving the market?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Which investors have better liquidity terms?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What prices are model-based or challenged?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28" t="inlineStr">
        <is>
          <t>Scenario families</t>
        </is>
      </c>
    </row>
    <row r="29">
      <c r="B29" s="29" t="inlineStr">
        <is>
          <t>#</t>
        </is>
      </c>
      <c r="C29" s="29" t="inlineStr">
        <is>
          <t>Requirement</t>
        </is>
      </c>
      <c r="D29" s="29" t="inlineStr">
        <is>
          <t>Owner</t>
        </is>
      </c>
      <c r="E29" s="29" t="inlineStr">
        <is>
          <t>Evidence / location</t>
        </is>
      </c>
      <c r="F29" s="29" t="inlineStr">
        <is>
          <t>Status</t>
        </is>
      </c>
    </row>
    <row r="30">
      <c r="B30" t="n">
        <v>1</v>
      </c>
      <c r="C30" t="inlineStr">
        <is>
          <t>redemption wave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market gap and liquidity haircut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stale or challenged valuation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28" t="inlineStr">
        <is>
          <t>Primary diligence documents</t>
        </is>
      </c>
    </row>
    <row r="37">
      <c r="B37" s="29" t="inlineStr">
        <is>
          <t>#</t>
        </is>
      </c>
      <c r="C37" s="29" t="inlineStr">
        <is>
          <t>Requirement</t>
        </is>
      </c>
      <c r="D37" s="29" t="inlineStr">
        <is>
          <t>Owner</t>
        </is>
      </c>
      <c r="E37" s="29" t="inlineStr">
        <is>
          <t>Evidence / location</t>
        </is>
      </c>
      <c r="F37" s="29" t="inlineStr">
        <is>
          <t>Status</t>
        </is>
      </c>
    </row>
    <row r="38">
      <c r="B38" t="n">
        <v>1</v>
      </c>
      <c r="C38" t="inlineStr">
        <is>
          <t>investment management agreement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valuation policy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administrator NAV package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28" t="inlineStr">
        <is>
          <t>Challenge tests</t>
        </is>
      </c>
    </row>
    <row r="45">
      <c r="B45" s="29" t="inlineStr">
        <is>
          <t>#</t>
        </is>
      </c>
      <c r="C45" s="29" t="inlineStr">
        <is>
          <t>Requirement</t>
        </is>
      </c>
      <c r="D45" s="29" t="inlineStr">
        <is>
          <t>Owner</t>
        </is>
      </c>
      <c r="E45" s="29" t="inlineStr">
        <is>
          <t>Evidence / location</t>
        </is>
      </c>
      <c r="F45" s="29" t="inlineStr">
        <is>
          <t>Status</t>
        </is>
      </c>
    </row>
    <row r="46">
      <c r="B46" t="n">
        <v>1</v>
      </c>
      <c r="C46" t="inlineStr">
        <is>
          <t>NAV roll-forward reconciles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fees follow governing documents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liquidity buckets reflect time-to-cash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28" t="inlineStr">
        <is>
          <t>Known failure modes</t>
        </is>
      </c>
    </row>
    <row r="53">
      <c r="B53" s="29" t="inlineStr">
        <is>
          <t>#</t>
        </is>
      </c>
      <c r="C53" s="29" t="inlineStr">
        <is>
          <t>Requirement</t>
        </is>
      </c>
      <c r="D53" s="29" t="inlineStr">
        <is>
          <t>Owner</t>
        </is>
      </c>
      <c r="E53" s="29" t="inlineStr">
        <is>
          <t>Evidence / location</t>
        </is>
      </c>
      <c r="F53" s="29" t="inlineStr">
        <is>
          <t>Status</t>
        </is>
      </c>
    </row>
    <row r="54">
      <c r="B54" t="n">
        <v>1</v>
      </c>
      <c r="C54" t="inlineStr">
        <is>
          <t>classifying quoted but non-executable prices as liquid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netting investor flows against portfolio liquidity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missing side-letter economics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28" t="inlineStr">
        <is>
          <t>Regulatory / methodological anchors</t>
        </is>
      </c>
    </row>
    <row r="61">
      <c r="B61" s="29" t="inlineStr">
        <is>
          <t>Standard</t>
        </is>
      </c>
      <c r="C61" s="29" t="inlineStr">
        <is>
          <t>Scope</t>
        </is>
      </c>
      <c r="D61" s="29" t="inlineStr">
        <is>
          <t>Source URL</t>
        </is>
      </c>
      <c r="E61" s="29" t="inlineStr">
        <is>
          <t>Applicability</t>
        </is>
      </c>
      <c r="F61" s="29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SEC Rule 2a-5</t>
        </is>
      </c>
      <c r="C63" t="inlineStr">
        <is>
          <t>fair-value governance and testing</t>
        </is>
      </c>
      <c r="D63" t="inlineStr">
        <is>
          <t>https://www.sec.gov/files/rules/final/2020/ic-34128.pdf</t>
        </is>
      </c>
      <c r="E63" t="inlineStr">
        <is>
          <t>Map explicitly</t>
        </is>
      </c>
      <c r="F63" t="inlineStr"/>
    </row>
    <row r="64">
      <c r="B64" t="inlineStr">
        <is>
          <t>IOSCO Liquidity Risk Recommendations</t>
        </is>
      </c>
      <c r="C64" t="inlineStr">
        <is>
          <t>fund liquidity and stress testing</t>
        </is>
      </c>
      <c r="D64" t="inlineStr">
        <is>
          <t>https://www.iosco.org/library/pubdocs/pdf/IOSCOPD590.pdf</t>
        </is>
      </c>
      <c r="E64" t="inlineStr">
        <is>
          <t>Map explicitly</t>
        </is>
      </c>
      <c r="F64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style="21" min="2" max="2"/>
    <col width="22" customWidth="1" style="21" min="3" max="3"/>
    <col width="52" customWidth="1" style="21" min="4" max="4"/>
    <col width="46" customWidth="1" style="21" min="5" max="5"/>
    <col width="36" customWidth="1" style="21" min="6" max="6"/>
    <col width="14" customWidth="1" style="21" min="7" max="7"/>
    <col width="18" customWidth="1" style="21" min="8" max="8"/>
    <col width="14" customWidth="1" style="21" min="9" max="9"/>
  </cols>
  <sheetData>
    <row r="2">
      <c r="B2" s="25" t="inlineStr">
        <is>
          <t>Independent Challenge, Override and Closure Log</t>
        </is>
      </c>
    </row>
    <row r="4">
      <c r="B4" s="29" t="inlineStr">
        <is>
          <t>Date</t>
        </is>
      </c>
      <c r="C4" s="29" t="inlineStr">
        <is>
          <t>Reviewer</t>
        </is>
      </c>
      <c r="D4" s="29" t="inlineStr">
        <is>
          <t>Challenge</t>
        </is>
      </c>
      <c r="E4" s="29" t="inlineStr">
        <is>
          <t>Owner response</t>
        </is>
      </c>
      <c r="F4" s="29" t="inlineStr">
        <is>
          <t>Evidence</t>
        </is>
      </c>
      <c r="G4" s="29" t="inlineStr">
        <is>
          <t>Impact</t>
        </is>
      </c>
      <c r="H4" s="29" t="inlineStr">
        <is>
          <t>Status</t>
        </is>
      </c>
      <c r="I4" s="29" t="inlineStr">
        <is>
          <t>Closure</t>
        </is>
      </c>
    </row>
    <row r="5">
      <c r="B5" t="inlineStr"/>
      <c r="C5" t="inlineStr"/>
      <c r="D5" t="inlineStr">
        <is>
          <t>NAV roll-forward reconciles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fees follow governing documents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liquidity buckets reflect time-to-cash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style="21" min="2" max="2"/>
    <col width="18" customWidth="1" style="21" min="3" max="3"/>
    <col width="42" customWidth="1" style="21" min="4" max="4"/>
    <col width="24" customWidth="1" style="21" min="5" max="5"/>
    <col width="18" customWidth="1" style="21" min="6" max="6"/>
    <col width="22" customWidth="1" style="21" min="7" max="7"/>
    <col width="42" customWidth="1" style="21" min="8" max="8"/>
    <col width="30" customWidth="1" style="21" min="9" max="9"/>
    <col width="15" customWidth="1" style="21" min="10" max="10"/>
  </cols>
  <sheetData>
    <row r="2">
      <c r="B2" s="25" t="inlineStr">
        <is>
          <t>Source, Transformation, Ownership and Refresh Map</t>
        </is>
      </c>
    </row>
    <row r="4">
      <c r="B4" s="29" t="inlineStr">
        <is>
          <t>Source class</t>
        </is>
      </c>
      <c r="C4" s="29" t="inlineStr">
        <is>
          <t>Cadence</t>
        </is>
      </c>
      <c r="D4" s="29" t="inlineStr">
        <is>
          <t>Control</t>
        </is>
      </c>
      <c r="E4" s="29" t="inlineStr">
        <is>
          <t>System / provider</t>
        </is>
      </c>
      <c r="F4" s="29" t="inlineStr">
        <is>
          <t>As-of</t>
        </is>
      </c>
      <c r="G4" s="29" t="inlineStr">
        <is>
          <t>Owner</t>
        </is>
      </c>
      <c r="H4" s="29" t="inlineStr">
        <is>
          <t>Transform</t>
        </is>
      </c>
      <c r="I4" s="29" t="inlineStr">
        <is>
          <t>Downstream</t>
        </is>
      </c>
      <c r="J4" s="29" t="inlineStr">
        <is>
          <t>Status</t>
        </is>
      </c>
    </row>
    <row r="5">
      <c r="B5" t="inlineStr">
        <is>
          <t>positions and cash</t>
        </is>
      </c>
      <c r="C5" t="inlineStr">
        <is>
          <t>daily</t>
        </is>
      </c>
      <c r="D5" t="inlineStr">
        <is>
          <t>custodian and administrator reconciliation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prices</t>
        </is>
      </c>
      <c r="C6" t="inlineStr">
        <is>
          <t>daily</t>
        </is>
      </c>
      <c r="D6" t="inlineStr">
        <is>
          <t>source hierarchy and stale-price controls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F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0" min="1" max="1"/>
    <col width="26" customWidth="1" style="20" min="2" max="2"/>
    <col width="14" customWidth="1" style="20" min="3" max="6"/>
  </cols>
  <sheetData>
    <row r="2" ht="19.7" customHeight="1" s="21">
      <c r="B2" s="22" t="inlineStr">
        <is>
          <t>Fund NAV Build</t>
        </is>
      </c>
    </row>
    <row r="4" ht="15" customHeight="1" s="21">
      <c r="C4" s="30" t="inlineStr">
        <is>
          <t>Period 0</t>
        </is>
      </c>
      <c r="D4" s="30" t="inlineStr">
        <is>
          <t>Period 1</t>
        </is>
      </c>
      <c r="E4" s="30" t="inlineStr">
        <is>
          <t>Period 2</t>
        </is>
      </c>
      <c r="F4" s="30" t="inlineStr">
        <is>
          <t>Period 3</t>
        </is>
      </c>
    </row>
    <row r="5" ht="15" customHeight="1" s="21">
      <c r="B5" s="23" t="inlineStr">
        <is>
          <t>Beginning NAV</t>
        </is>
      </c>
      <c r="C5" s="31" t="n">
        <v>0</v>
      </c>
      <c r="D5" s="31">
        <f>C10</f>
        <v/>
      </c>
      <c r="E5" s="31">
        <f>D10</f>
        <v/>
      </c>
      <c r="F5" s="31">
        <f>E10</f>
        <v/>
      </c>
    </row>
    <row r="6" ht="15" customHeight="1" s="21">
      <c r="B6" s="32" t="inlineStr">
        <is>
          <t>+ Capital contributions</t>
        </is>
      </c>
      <c r="C6" s="31" t="n">
        <v>0</v>
      </c>
      <c r="D6" s="31" t="n">
        <v>0</v>
      </c>
      <c r="E6" s="31" t="n">
        <v>0</v>
      </c>
      <c r="F6" s="31" t="n">
        <v>0</v>
      </c>
    </row>
    <row r="7" ht="15" customHeight="1" s="21">
      <c r="B7" s="32" t="inlineStr">
        <is>
          <t>+ Realized/unrealized gains</t>
        </is>
      </c>
      <c r="C7" s="31" t="n">
        <v>0</v>
      </c>
      <c r="D7" s="31" t="n">
        <v>0</v>
      </c>
      <c r="E7" s="31" t="n">
        <v>0</v>
      </c>
      <c r="F7" s="31" t="n">
        <v>0</v>
      </c>
    </row>
    <row r="8" ht="15" customHeight="1" s="21">
      <c r="B8" s="32" t="inlineStr">
        <is>
          <t>- Fees &amp; expenses</t>
        </is>
      </c>
      <c r="C8" s="31" t="n">
        <v>0</v>
      </c>
      <c r="D8" s="31" t="n">
        <v>0</v>
      </c>
      <c r="E8" s="31" t="n">
        <v>0</v>
      </c>
      <c r="F8" s="31" t="n">
        <v>0</v>
      </c>
    </row>
    <row r="9" ht="15" customHeight="1" s="21">
      <c r="B9" s="32" t="inlineStr">
        <is>
          <t>- Distributions</t>
        </is>
      </c>
      <c r="C9" s="31" t="n">
        <v>0</v>
      </c>
      <c r="D9" s="31" t="n">
        <v>0</v>
      </c>
      <c r="E9" s="31" t="n">
        <v>0</v>
      </c>
      <c r="F9" s="31" t="n">
        <v>0</v>
      </c>
    </row>
    <row r="10" ht="15" customHeight="1" s="21">
      <c r="B10" s="23" t="inlineStr">
        <is>
          <t>Ending NAV</t>
        </is>
      </c>
      <c r="C10" s="33">
        <f>C5+C6+C7-C8-C9</f>
        <v/>
      </c>
      <c r="D10" s="33">
        <f>D5+D6+D7-D8-D9</f>
        <v/>
      </c>
      <c r="E10" s="33">
        <f>E5+E6+E7-E8-E9</f>
        <v/>
      </c>
      <c r="F10" s="33">
        <f>F5+F6+F7-F8-F9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C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0" min="1" max="1"/>
    <col width="30" customWidth="1" style="20" min="2" max="2"/>
    <col width="16" customWidth="1" style="20" min="3" max="3"/>
    <col width="40" customWidth="1" style="20" min="4" max="4"/>
  </cols>
  <sheetData>
    <row r="2" ht="19.7" customHeight="1" s="21">
      <c r="B2" s="22" t="inlineStr">
        <is>
          <t>Fee Waterfall — Mgmt Fee + Carry w/ Hurdle</t>
        </is>
      </c>
    </row>
    <row r="4" ht="15" customHeight="1" s="21">
      <c r="B4" s="34" t="inlineStr">
        <is>
          <t>Inputs</t>
        </is>
      </c>
    </row>
    <row r="5" ht="15" customHeight="1" s="21">
      <c r="B5" s="32" t="inlineStr">
        <is>
          <t>Committed capital</t>
        </is>
      </c>
      <c r="C5" s="35" t="n">
        <v>0</v>
      </c>
    </row>
    <row r="6" ht="15" customHeight="1" s="21">
      <c r="B6" s="32" t="inlineStr">
        <is>
          <t>Management fee %</t>
        </is>
      </c>
      <c r="C6" s="36" t="n">
        <v>0.02</v>
      </c>
    </row>
    <row r="7" ht="15" customHeight="1" s="21">
      <c r="B7" s="32" t="inlineStr">
        <is>
          <t>Preferred return / hurdle %</t>
        </is>
      </c>
      <c r="C7" s="36" t="n">
        <v>0.08</v>
      </c>
    </row>
    <row r="8" ht="15" customHeight="1" s="21">
      <c r="B8" s="32" t="inlineStr">
        <is>
          <t>Carry / promote %</t>
        </is>
      </c>
      <c r="C8" s="36" t="n">
        <v>0.2</v>
      </c>
    </row>
    <row r="9" ht="15" customHeight="1" s="21">
      <c r="B9" s="32" t="inlineStr">
        <is>
          <t>GP catch-up %</t>
        </is>
      </c>
      <c r="C9" s="36" t="n">
        <v>1</v>
      </c>
    </row>
    <row r="10" ht="15" customHeight="1" s="21">
      <c r="B10" s="32" t="inlineStr">
        <is>
          <t>Gross fund profit (this period)</t>
        </is>
      </c>
      <c r="C10" s="35" t="n">
        <v>0</v>
      </c>
    </row>
    <row r="11" ht="15" customHeight="1" s="21">
      <c r="B11" s="32" t="inlineStr">
        <is>
          <t>Capital invested (basis for hurdle)</t>
        </is>
      </c>
      <c r="C11" s="35" t="n">
        <v>0</v>
      </c>
    </row>
    <row r="13" ht="15" customHeight="1" s="21">
      <c r="B13" s="34" t="inlineStr">
        <is>
          <t>Waterfall</t>
        </is>
      </c>
    </row>
    <row r="14" ht="15" customHeight="1" s="21">
      <c r="B14" s="20" t="inlineStr">
        <is>
          <t>1. Return of capital</t>
        </is>
      </c>
      <c r="C14" s="37">
        <f>MIN(C10,C11)</f>
        <v/>
      </c>
    </row>
    <row r="15" ht="15" customHeight="1" s="21">
      <c r="B15" s="20" t="inlineStr">
        <is>
          <t>2. Preferred return (hurdle) to LPs</t>
        </is>
      </c>
      <c r="C15" s="37">
        <f>MIN(MAX(C10-C14,0),C11*C7)</f>
        <v/>
      </c>
    </row>
    <row r="16" ht="15" customHeight="1" s="21">
      <c r="B16" s="20" t="inlineStr">
        <is>
          <t>3. GP catch-up</t>
        </is>
      </c>
      <c r="C16" s="37">
        <f>MIN(MAX(C10-C14-C15,0),C15*C8/(1-C8))</f>
        <v/>
      </c>
    </row>
    <row r="17" ht="15" customHeight="1" s="21">
      <c r="B17" s="20" t="inlineStr">
        <is>
          <t>4. Remaining profit split (LP/GP per carry%)</t>
        </is>
      </c>
      <c r="C17" s="37">
        <f>MAX(C10-C14-C15-C16,0)</f>
        <v/>
      </c>
    </row>
    <row r="18" ht="15" customHeight="1" s="21">
      <c r="B18" s="20" t="inlineStr">
        <is>
          <t xml:space="preserve">   GP share of remainder</t>
        </is>
      </c>
      <c r="C18" s="37">
        <f>C17*C8</f>
        <v/>
      </c>
    </row>
    <row r="19" ht="15" customHeight="1" s="21">
      <c r="B19" s="20" t="inlineStr">
        <is>
          <t xml:space="preserve">   LP share of remainder</t>
        </is>
      </c>
      <c r="C19" s="37">
        <f>C17*(1-C8)</f>
        <v/>
      </c>
    </row>
    <row r="21" ht="15" customHeight="1" s="21">
      <c r="B21" s="20" t="inlineStr">
        <is>
          <t>Total GP take (carry + catch-up)</t>
        </is>
      </c>
      <c r="C21" s="33">
        <f>C16+C18</f>
        <v/>
      </c>
    </row>
    <row r="22" ht="15" customHeight="1" s="21">
      <c r="B22" s="20" t="inlineStr">
        <is>
          <t>Total LP take</t>
        </is>
      </c>
      <c r="C22" s="33">
        <f>C14+C15+C19</f>
        <v/>
      </c>
    </row>
    <row r="23" ht="15" customHeight="1" s="21">
      <c r="B23" s="20" t="inlineStr">
        <is>
          <t>Annual management fee (separate from carry)</t>
        </is>
      </c>
      <c r="C23" s="37">
        <f>C5*C6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2:F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0" min="1" max="1"/>
    <col width="24" customWidth="1" style="20" min="2" max="2"/>
    <col width="14" customWidth="1" style="20" min="3" max="5"/>
    <col width="40" customWidth="1" style="20" min="6" max="6"/>
  </cols>
  <sheetData>
    <row r="2" ht="19.7" customHeight="1" s="21">
      <c r="B2" s="22" t="inlineStr">
        <is>
          <t>Performance Attribution</t>
        </is>
      </c>
    </row>
    <row r="4" ht="15" customHeight="1" s="21">
      <c r="A4" s="30" t="n"/>
      <c r="B4" s="30" t="inlineStr">
        <is>
          <t>Position/Strategy</t>
        </is>
      </c>
      <c r="C4" s="30" t="inlineStr">
        <is>
          <t>Contribution ($)</t>
        </is>
      </c>
      <c r="D4" s="30" t="inlineStr">
        <is>
          <t>Contribution (%)</t>
        </is>
      </c>
      <c r="E4" s="30" t="inlineStr">
        <is>
          <t>Weight (%)</t>
        </is>
      </c>
      <c r="F4" s="20" t="inlineStr">
        <is>
          <t>Notes</t>
        </is>
      </c>
    </row>
    <row r="5" ht="15" customHeight="1" s="21">
      <c r="B5" s="24" t="inlineStr">
        <is>
          <t>[fill in]</t>
        </is>
      </c>
      <c r="C5" s="31" t="n">
        <v>0</v>
      </c>
      <c r="D5" s="38" t="n">
        <v>0</v>
      </c>
      <c r="E5" s="38" t="n">
        <v>0</v>
      </c>
    </row>
    <row r="6" ht="15" customHeight="1" s="21">
      <c r="B6" s="24" t="inlineStr">
        <is>
          <t>[fill in]</t>
        </is>
      </c>
      <c r="C6" s="31" t="n">
        <v>0</v>
      </c>
      <c r="D6" s="38" t="n">
        <v>0</v>
      </c>
      <c r="E6" s="38" t="n">
        <v>0</v>
      </c>
    </row>
    <row r="7" ht="15" customHeight="1" s="21">
      <c r="B7" s="24" t="inlineStr">
        <is>
          <t>[fill in]</t>
        </is>
      </c>
      <c r="C7" s="31" t="n">
        <v>0</v>
      </c>
      <c r="D7" s="38" t="n">
        <v>0</v>
      </c>
      <c r="E7" s="38" t="n">
        <v>0</v>
      </c>
    </row>
    <row r="8" ht="15" customHeight="1" s="21">
      <c r="B8" s="24" t="inlineStr">
        <is>
          <t>[fill in]</t>
        </is>
      </c>
      <c r="C8" s="31" t="n">
        <v>0</v>
      </c>
      <c r="D8" s="38" t="n">
        <v>0</v>
      </c>
      <c r="E8" s="38" t="n">
        <v>0</v>
      </c>
    </row>
    <row r="9" ht="15" customHeight="1" s="21">
      <c r="B9" s="24" t="inlineStr">
        <is>
          <t>[fill in]</t>
        </is>
      </c>
      <c r="C9" s="31" t="n">
        <v>0</v>
      </c>
      <c r="D9" s="38" t="n">
        <v>0</v>
      </c>
      <c r="E9" s="38" t="n">
        <v>0</v>
      </c>
    </row>
    <row r="10" ht="15" customHeight="1" s="21">
      <c r="B10" s="24" t="inlineStr">
        <is>
          <t>[fill in]</t>
        </is>
      </c>
      <c r="C10" s="31" t="n">
        <v>0</v>
      </c>
      <c r="D10" s="38" t="n">
        <v>0</v>
      </c>
      <c r="E10" s="38" t="n">
        <v>0</v>
      </c>
    </row>
    <row r="11" ht="15" customHeight="1" s="21">
      <c r="B11" s="24" t="inlineStr">
        <is>
          <t>[fill in]</t>
        </is>
      </c>
      <c r="C11" s="31" t="n">
        <v>0</v>
      </c>
      <c r="D11" s="38" t="n">
        <v>0</v>
      </c>
      <c r="E11" s="38" t="n">
        <v>0</v>
      </c>
    </row>
    <row r="12" ht="15" customHeight="1" s="21">
      <c r="B12" s="23" t="inlineStr">
        <is>
          <t>Total fund return</t>
        </is>
      </c>
      <c r="C12" s="39">
        <f>SUM(C5:C11)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F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0" min="1" max="1"/>
    <col width="30" customWidth="1" style="20" min="2" max="2"/>
    <col width="14" customWidth="1" style="20" min="3" max="6"/>
    <col width="40" customWidth="1" style="20" min="7" max="7"/>
  </cols>
  <sheetData>
    <row r="2" ht="19.7" customHeight="1" s="21">
      <c r="B2" s="22" t="inlineStr">
        <is>
          <t>Fund Performance — LP Reporting Metrics</t>
        </is>
      </c>
    </row>
    <row r="4" ht="15" customHeight="1" s="21">
      <c r="B4" s="40" t="inlineStr">
        <is>
          <t>Uses the period cash flows and ending NAV from the Fund NAV tab.</t>
        </is>
      </c>
    </row>
    <row r="6" ht="15" customHeight="1" s="21">
      <c r="C6" s="30" t="inlineStr">
        <is>
          <t>Period 0</t>
        </is>
      </c>
      <c r="D6" s="30" t="inlineStr">
        <is>
          <t>Period 1</t>
        </is>
      </c>
      <c r="E6" s="30" t="inlineStr">
        <is>
          <t>Period 2</t>
        </is>
      </c>
      <c r="F6" s="30" t="inlineStr">
        <is>
          <t>Period 3</t>
        </is>
      </c>
    </row>
    <row r="7" ht="15" customHeight="1" s="21">
      <c r="B7" s="20" t="inlineStr">
        <is>
          <t>LP net cash flow (distributions - contributions)</t>
        </is>
      </c>
      <c r="C7" s="37">
        <f>'Fund NAV'!C9-'Fund NAV'!C6</f>
        <v/>
      </c>
      <c r="D7" s="37">
        <f>'Fund NAV'!D9-'Fund NAV'!D6</f>
        <v/>
      </c>
      <c r="E7" s="37">
        <f>'Fund NAV'!E9-'Fund NAV'!E6</f>
        <v/>
      </c>
      <c r="F7" s="37">
        <f>'Fund NAV'!F9-'Fund NAV'!F6</f>
        <v/>
      </c>
    </row>
    <row r="8" ht="15" customHeight="1" s="21">
      <c r="B8" s="20" t="inlineStr">
        <is>
          <t xml:space="preserve">  + terminal NAV added to final period</t>
        </is>
      </c>
      <c r="C8" s="41">
        <f>'Fund NAV'!F10</f>
        <v/>
      </c>
    </row>
    <row r="9" ht="15" customHeight="1" s="21">
      <c r="B9" s="20" t="inlineStr">
        <is>
          <t>LP cash flow incl. terminal value (for IRR)</t>
        </is>
      </c>
      <c r="C9" s="37">
        <f>C7</f>
        <v/>
      </c>
      <c r="D9" s="37">
        <f>D7</f>
        <v/>
      </c>
      <c r="E9" s="37">
        <f>E7</f>
        <v/>
      </c>
      <c r="F9" s="37">
        <f>F7+C8</f>
        <v/>
      </c>
    </row>
    <row r="12" ht="15" customHeight="1" s="21">
      <c r="B12" s="34" t="inlineStr">
        <is>
          <t>Outputs</t>
        </is>
      </c>
    </row>
    <row r="13" ht="15" customHeight="1" s="21">
      <c r="B13" s="20" t="inlineStr">
        <is>
          <t>Cumulative capital called</t>
        </is>
      </c>
      <c r="C13" s="41">
        <f>SUM('Fund NAV'!C6:F6)</f>
        <v/>
      </c>
    </row>
    <row r="14" ht="15" customHeight="1" s="21">
      <c r="B14" s="20" t="inlineStr">
        <is>
          <t>Cumulative distributions</t>
        </is>
      </c>
      <c r="C14" s="41">
        <f>SUM('Fund NAV'!C9:F9)</f>
        <v/>
      </c>
    </row>
    <row r="15" ht="15" customHeight="1" s="21">
      <c r="B15" s="20" t="inlineStr">
        <is>
          <t>Current NAV (residual value)</t>
        </is>
      </c>
      <c r="C15" s="41">
        <f>'Fund NAV'!F10</f>
        <v/>
      </c>
    </row>
    <row r="16" ht="15" customHeight="1" s="21">
      <c r="B16" s="20" t="inlineStr">
        <is>
          <t>DPI (Distributions to Paid-In)</t>
        </is>
      </c>
      <c r="C16" s="42">
        <f>IFERROR(C14/C13,"-")</f>
        <v/>
      </c>
    </row>
    <row r="17" ht="15" customHeight="1" s="21">
      <c r="B17" s="20" t="inlineStr">
        <is>
          <t>RVPI (Residual Value to Paid-In)</t>
        </is>
      </c>
      <c r="C17" s="42">
        <f>IFERROR(C15/C13,"-")</f>
        <v/>
      </c>
    </row>
    <row r="18" ht="15" customHeight="1" s="21">
      <c r="B18" s="20" t="inlineStr">
        <is>
          <t>TVPI (Total Value to Paid-In = DPI + RVPI)</t>
        </is>
      </c>
      <c r="C18" s="42">
        <f>IFERROR(C16+C17,"-")</f>
        <v/>
      </c>
      <c r="D18" s="40" t="inlineStr">
        <is>
          <t>Headline LP metric — total value (realized + unrealized) per dollar called</t>
        </is>
      </c>
    </row>
    <row r="19" ht="15" customHeight="1" s="21">
      <c r="B19" s="20" t="inlineStr">
        <is>
          <t>Net IRR to LPs (periodic, undated)</t>
        </is>
      </c>
      <c r="C19" s="43">
        <f>IFERROR(IRR(C9:F9),"-")</f>
        <v/>
      </c>
      <c r="D19" s="40" t="inlineStr">
        <is>
          <t>Treats each period as evenly spaced — use XIRR with real dates for called capital at irregular intervals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F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0" min="1" max="1"/>
    <col width="14" customWidth="1" style="20" min="2" max="2"/>
    <col width="16" customWidth="1" style="20" min="3" max="3"/>
    <col width="30" customWidth="1" style="20" min="4" max="5"/>
    <col width="16" customWidth="1" style="20" min="6" max="6"/>
  </cols>
  <sheetData>
    <row r="2" ht="19.7" customHeight="1" s="21">
      <c r="B2" s="22" t="inlineStr">
        <is>
          <t>Refresh Log</t>
        </is>
      </c>
    </row>
    <row r="4" ht="15" customHeight="1" s="21">
      <c r="B4" s="30" t="inlineStr">
        <is>
          <t>Date</t>
        </is>
      </c>
      <c r="C4" s="30" t="inlineStr">
        <is>
          <t>Trigger</t>
        </is>
      </c>
      <c r="D4" s="30" t="inlineStr">
        <is>
          <t>What changed</t>
        </is>
      </c>
      <c r="E4" s="30" t="inlineStr">
        <is>
          <t>Reviewer notes</t>
        </is>
      </c>
      <c r="F4" s="30" t="inlineStr">
        <is>
          <t>Next check</t>
        </is>
      </c>
    </row>
    <row r="5" ht="15" customHeight="1" s="21">
      <c r="B5" s="44" t="n"/>
      <c r="C5" s="44" t="n"/>
      <c r="D5" s="44" t="n"/>
      <c r="E5" s="44" t="n"/>
      <c r="F5" s="44" t="n"/>
    </row>
    <row r="6" ht="15" customHeight="1" s="21">
      <c r="B6" s="44" t="n"/>
      <c r="C6" s="44" t="n"/>
      <c r="D6" s="44" t="n"/>
      <c r="E6" s="44" t="n"/>
      <c r="F6" s="44" t="n"/>
    </row>
    <row r="7" ht="15" customHeight="1" s="21">
      <c r="B7" s="44" t="n"/>
      <c r="C7" s="44" t="n"/>
      <c r="D7" s="44" t="n"/>
      <c r="E7" s="44" t="n"/>
      <c r="F7" s="44" t="n"/>
    </row>
    <row r="8" ht="15" customHeight="1" s="21">
      <c r="B8" s="44" t="n"/>
      <c r="C8" s="44" t="n"/>
      <c r="D8" s="44" t="n"/>
      <c r="E8" s="44" t="n"/>
      <c r="F8" s="44" t="n"/>
    </row>
    <row r="9" ht="15" customHeight="1" s="21">
      <c r="B9" s="44" t="n"/>
      <c r="C9" s="44" t="n"/>
      <c r="D9" s="44" t="n"/>
      <c r="E9" s="44" t="n"/>
      <c r="F9" s="44" t="n"/>
    </row>
    <row r="10" ht="15" customHeight="1" s="21">
      <c r="B10" s="44" t="n"/>
      <c r="C10" s="44" t="n"/>
      <c r="D10" s="44" t="n"/>
      <c r="E10" s="44" t="n"/>
      <c r="F10" s="44" t="n"/>
    </row>
    <row r="11" ht="15" customHeight="1" s="21">
      <c r="B11" s="44" t="n"/>
      <c r="C11" s="44" t="n"/>
      <c r="D11" s="44" t="n"/>
      <c r="E11" s="44" t="n"/>
      <c r="F11" s="44" t="n"/>
    </row>
    <row r="12" ht="15" customHeight="1" s="21">
      <c r="B12" s="44" t="n"/>
      <c r="C12" s="44" t="n"/>
      <c r="D12" s="44" t="n"/>
      <c r="E12" s="44" t="n"/>
      <c r="F12" s="44" t="n"/>
    </row>
    <row r="13" ht="15" customHeight="1" s="21">
      <c r="B13" s="44" t="n"/>
      <c r="C13" s="44" t="n"/>
      <c r="D13" s="44" t="n"/>
      <c r="E13" s="44" t="n"/>
      <c r="F13" s="44" t="n"/>
    </row>
    <row r="14" ht="15" customHeight="1" s="21">
      <c r="B14" s="44" t="n"/>
      <c r="C14" s="44" t="n"/>
      <c r="D14" s="44" t="n"/>
      <c r="E14" s="44" t="n"/>
      <c r="F14" s="4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2026-08-03T22:56:55Z</dcterms:created>
  <dcterms:modified xsi:type="dcterms:W3CDTF">2026-08-04T03:48:33Z</dcterms:modified>
  <cp:revision>0</cp:revision>
</cp:coreProperties>
</file>