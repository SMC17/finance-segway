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nd NAV" sheetId="2" state="visible" r:id="rId4"/>
    <sheet name="Fee Waterfall" sheetId="3" state="visible" r:id="rId5"/>
    <sheet name="Performance Attribution" sheetId="4" state="visible" r:id="rId6"/>
    <sheet name="Fund Performance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<sst xmlns="http://schemas.openxmlformats.org/spreadsheetml/2006/main" count="80" uniqueCount="68">
  <si>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</si>
  <si>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</si>
  <si>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</si>
  <si>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</si>
  <si>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</si>
  <si>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</si>
  <si>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Next capital call/distribution:</t>
  </si>
  <si>
    <t xml:space="preserve">Refresh cadence:</t>
  </si>
  <si>
    <t xml:space="preserve">Weekly (monthly NAV strike)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</si>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</sst>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9</v>
      </c>
    </row>
    <row r="4" customFormat="false" ht="15" hidden="false" customHeight="false" outlineLevel="0" collapsed="false">
      <c r="C4" s="4" t="s">
        <v>10</v>
      </c>
      <c r="D4" s="4" t="s">
        <v>11</v>
      </c>
      <c r="E4" s="4" t="s">
        <v>12</v>
      </c>
      <c r="F4" s="4" t="s">
        <v>13</v>
      </c>
    </row>
    <row r="5" customFormat="false" ht="15" hidden="false" customHeight="false" outlineLevel="0" collapsed="false">
      <c r="B5" s="2" t="s">
        <v>14</v>
      </c>
      <c r="C5" s="5" t="n">
        <v>0</v>
      </c>
      <c r="D5" s="5" t="n">
        <f aca="false">C10</f>
        <v>0</v>
      </c>
      <c r="E5" s="5" t="n">
        <f aca="false">D10</f>
        <v>0</v>
      </c>
      <c r="F5" s="5" t="n">
        <f aca="false">E10</f>
        <v>0</v>
      </c>
    </row>
    <row r="6" customFormat="false" ht="15" hidden="false" customHeight="false" outlineLevel="0" collapsed="false">
      <c r="B6" s="6" t="s">
        <v>15</v>
      </c>
      <c r="C6" s="5" t="n">
        <v>0</v>
      </c>
      <c r="D6" s="5" t="n">
        <v>0</v>
      </c>
      <c r="E6" s="5" t="n">
        <v>0</v>
      </c>
      <c r="F6" s="5" t="n">
        <v>0</v>
      </c>
    </row>
    <row r="7" customFormat="false" ht="15" hidden="false" customHeight="false" outlineLevel="0" collapsed="false">
      <c r="B7" s="6" t="s">
        <v>16</v>
      </c>
      <c r="C7" s="5" t="n">
        <v>0</v>
      </c>
      <c r="D7" s="5" t="n">
        <v>0</v>
      </c>
      <c r="E7" s="5" t="n">
        <v>0</v>
      </c>
      <c r="F7" s="5" t="n">
        <v>0</v>
      </c>
    </row>
    <row r="8" customFormat="false" ht="15" hidden="false" customHeight="false" outlineLevel="0" collapsed="false">
      <c r="B8" s="6" t="s">
        <v>17</v>
      </c>
      <c r="C8" s="5" t="n">
        <v>0</v>
      </c>
      <c r="D8" s="5" t="n">
        <v>0</v>
      </c>
      <c r="E8" s="5" t="n">
        <v>0</v>
      </c>
      <c r="F8" s="5" t="n">
        <v>0</v>
      </c>
    </row>
    <row r="9" customFormat="false" ht="15" hidden="false" customHeight="false" outlineLevel="0" collapsed="false">
      <c r="B9" s="6" t="s">
        <v>18</v>
      </c>
      <c r="C9" s="5" t="n">
        <v>0</v>
      </c>
      <c r="D9" s="5" t="n">
        <v>0</v>
      </c>
      <c r="E9" s="5" t="n">
        <v>0</v>
      </c>
      <c r="F9" s="5" t="n">
        <v>0</v>
      </c>
    </row>
    <row r="10" customFormat="false" ht="15" hidden="false" customHeight="false" outlineLevel="0" collapsed="false">
      <c r="B10" s="2" t="s">
        <v>19</v>
      </c>
      <c r="C10" s="7" t="n">
        <f aca="false">C5+C6+C7-C8-C9</f>
        <v>0</v>
      </c>
      <c r="D10" s="7" t="n">
        <f aca="false">D5+D6+D7-D8-D9</f>
        <v>0</v>
      </c>
      <c r="E10" s="7" t="n">
        <f aca="false">E5+E6+E7-E8-E9</f>
        <v>0</v>
      </c>
      <c r="F10" s="7" t="n">
        <f aca="false">F5+F6+F7-F8-F9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20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6" t="s">
        <v>22</v>
      </c>
      <c r="C5" s="9" t="n">
        <v>0</v>
      </c>
    </row>
    <row r="6" customFormat="false" ht="15" hidden="false" customHeight="false" outlineLevel="0" collapsed="false">
      <c r="B6" s="6" t="s">
        <v>23</v>
      </c>
      <c r="C6" s="10" t="n">
        <v>0.02</v>
      </c>
    </row>
    <row r="7" customFormat="false" ht="15" hidden="false" customHeight="false" outlineLevel="0" collapsed="false">
      <c r="B7" s="6" t="s">
        <v>24</v>
      </c>
      <c r="C7" s="10" t="n">
        <v>0.08</v>
      </c>
    </row>
    <row r="8" customFormat="false" ht="15" hidden="false" customHeight="false" outlineLevel="0" collapsed="false">
      <c r="B8" s="6" t="s">
        <v>25</v>
      </c>
      <c r="C8" s="10" t="n">
        <v>0.2</v>
      </c>
    </row>
    <row r="9" customFormat="false" ht="15" hidden="false" customHeight="false" outlineLevel="0" collapsed="false">
      <c r="B9" s="6" t="s">
        <v>26</v>
      </c>
      <c r="C9" s="10" t="n">
        <v>1</v>
      </c>
    </row>
    <row r="10" customFormat="false" ht="15" hidden="false" customHeight="false" outlineLevel="0" collapsed="false">
      <c r="B10" s="6" t="s">
        <v>27</v>
      </c>
      <c r="C10" s="9" t="n">
        <v>0</v>
      </c>
    </row>
    <row r="11" customFormat="false" ht="15" hidden="false" customHeight="false" outlineLevel="0" collapsed="false">
      <c r="B11" s="6" t="s">
        <v>28</v>
      </c>
      <c r="C11" s="9" t="n">
        <v>0</v>
      </c>
    </row>
    <row r="13" customFormat="false" ht="15" hidden="false" customHeight="false" outlineLevel="0" collapsed="false">
      <c r="B13" s="8" t="s">
        <v>29</v>
      </c>
    </row>
    <row r="14" customFormat="false" ht="15" hidden="false" customHeight="false" outlineLevel="0" collapsed="false">
      <c r="B14" s="0" t="s">
        <v>30</v>
      </c>
      <c r="C14" s="11" t="n">
        <f aca="false">MIN(C10,C11)</f>
        <v>0</v>
      </c>
    </row>
    <row r="15" customFormat="false" ht="15" hidden="false" customHeight="false" outlineLevel="0" collapsed="false">
      <c r="B15" s="0" t="s">
        <v>31</v>
      </c>
      <c r="C15" s="11" t="n">
        <f aca="false">MIN(MAX(C10-C14,0),C11*C7)</f>
        <v>0</v>
      </c>
    </row>
    <row r="16" customFormat="false" ht="15" hidden="false" customHeight="false" outlineLevel="0" collapsed="false">
      <c r="B16" s="0" t="s">
        <v>32</v>
      </c>
      <c r="C16" s="11" t="n">
        <f aca="false">MIN(MAX(C10-C14-C15,0),C15*C8/(1-C8))</f>
        <v>0</v>
      </c>
    </row>
    <row r="17" customFormat="false" ht="15" hidden="false" customHeight="false" outlineLevel="0" collapsed="false">
      <c r="B17" s="0" t="s">
        <v>33</v>
      </c>
      <c r="C17" s="11" t="n">
        <f aca="false">MAX(C10-C14-C15-C16,0)</f>
        <v>0</v>
      </c>
    </row>
    <row r="18" customFormat="false" ht="15" hidden="false" customHeight="false" outlineLevel="0" collapsed="false">
      <c r="B18" s="0" t="s">
        <v>34</v>
      </c>
      <c r="C18" s="11" t="n">
        <f aca="false">C17*C8</f>
        <v>0</v>
      </c>
    </row>
    <row r="19" customFormat="false" ht="15" hidden="false" customHeight="false" outlineLevel="0" collapsed="false">
      <c r="B19" s="0" t="s">
        <v>35</v>
      </c>
      <c r="C19" s="11" t="n">
        <f aca="false">C17*(1-C8)</f>
        <v>0</v>
      </c>
    </row>
    <row r="21" customFormat="false" ht="15" hidden="false" customHeight="false" outlineLevel="0" collapsed="false">
      <c r="B21" s="0" t="s">
        <v>36</v>
      </c>
      <c r="C21" s="7" t="n">
        <f aca="false">C16+C18</f>
        <v>0</v>
      </c>
    </row>
    <row r="22" customFormat="false" ht="15" hidden="false" customHeight="false" outlineLevel="0" collapsed="false">
      <c r="B22" s="0" t="s">
        <v>37</v>
      </c>
      <c r="C22" s="7" t="n">
        <f aca="false">C14+C15+C19</f>
        <v>0</v>
      </c>
    </row>
    <row r="23" customFormat="false" ht="15" hidden="false" customHeight="false" outlineLevel="0" collapsed="false">
      <c r="B23" s="0" t="s">
        <v>38</v>
      </c>
      <c r="C23" s="11" t="n">
        <f aca="false">C5*C6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40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A4" s="4"/>
      <c r="B4" s="4" t="s">
        <v>40</v>
      </c>
      <c r="C4" s="4" t="s">
        <v>41</v>
      </c>
      <c r="D4" s="4" t="s">
        <v>42</v>
      </c>
      <c r="E4" s="4" t="s">
        <v>43</v>
      </c>
      <c r="F4" s="12" t="s">
        <v>44</v>
      </c>
    </row>
    <row r="5" customFormat="false" ht="15" hidden="false" customHeight="false" outlineLevel="0" collapsed="false">
      <c r="B5" s="3" t="s">
        <v>45</v>
      </c>
      <c r="C5" s="5" t="n">
        <v>0</v>
      </c>
      <c r="D5" s="13" t="n">
        <v>0</v>
      </c>
      <c r="E5" s="13" t="n">
        <v>0</v>
      </c>
    </row>
    <row r="6" customFormat="false" ht="15" hidden="false" customHeight="false" outlineLevel="0" collapsed="false">
      <c r="B6" s="3" t="s">
        <v>45</v>
      </c>
      <c r="C6" s="5" t="n">
        <v>0</v>
      </c>
      <c r="D6" s="13" t="n">
        <v>0</v>
      </c>
      <c r="E6" s="13" t="n">
        <v>0</v>
      </c>
    </row>
    <row r="7" customFormat="false" ht="15" hidden="false" customHeight="false" outlineLevel="0" collapsed="false">
      <c r="B7" s="3" t="s">
        <v>45</v>
      </c>
      <c r="C7" s="5" t="n">
        <v>0</v>
      </c>
      <c r="D7" s="13" t="n">
        <v>0</v>
      </c>
      <c r="E7" s="13" t="n">
        <v>0</v>
      </c>
    </row>
    <row r="8" customFormat="false" ht="15" hidden="false" customHeight="false" outlineLevel="0" collapsed="false">
      <c r="B8" s="3" t="s">
        <v>45</v>
      </c>
      <c r="C8" s="5" t="n">
        <v>0</v>
      </c>
      <c r="D8" s="13" t="n">
        <v>0</v>
      </c>
      <c r="E8" s="13" t="n">
        <v>0</v>
      </c>
    </row>
    <row r="9" customFormat="false" ht="15" hidden="false" customHeight="false" outlineLevel="0" collapsed="false">
      <c r="B9" s="3" t="s">
        <v>45</v>
      </c>
      <c r="C9" s="5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B10" s="3" t="s">
        <v>45</v>
      </c>
      <c r="C10" s="5" t="n">
        <v>0</v>
      </c>
      <c r="D10" s="13" t="n">
        <v>0</v>
      </c>
      <c r="E10" s="13" t="n">
        <v>0</v>
      </c>
    </row>
    <row r="11" customFormat="false" ht="15" hidden="false" customHeight="false" outlineLevel="0" collapsed="false">
      <c r="B11" s="3" t="s">
        <v>45</v>
      </c>
      <c r="C11" s="5" t="n">
        <v>0</v>
      </c>
      <c r="D11" s="13" t="n">
        <v>0</v>
      </c>
      <c r="E11" s="13" t="n">
        <v>0</v>
      </c>
    </row>
    <row r="12" customFormat="false" ht="15" hidden="false" customHeight="false" outlineLevel="0" collapsed="false">
      <c r="B12" s="2" t="s">
        <v>46</v>
      </c>
      <c r="C12" s="14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6" min="3" style="0" width="14"/>
    <col collapsed="false" customWidth="true" hidden="false" outlineLevel="0" max="7" min="7" style="0" width="40"/>
  </cols>
  <sheetData>
    <row r="2" customFormat="false" ht="19.7" hidden="false" customHeight="false" outlineLevel="0" collapsed="false">
      <c r="B2" s="1" t="s">
        <v>47</v>
      </c>
    </row>
    <row r="4" customFormat="false" ht="15" hidden="false" customHeight="false" outlineLevel="0" collapsed="false">
      <c r="B4" s="15" t="s">
        <v>48</v>
      </c>
    </row>
    <row r="6" customFormat="false" ht="15" hidden="false" customHeight="false" outlineLevel="0" collapsed="false">
      <c r="C6" s="4" t="s">
        <v>10</v>
      </c>
      <c r="D6" s="4" t="s">
        <v>11</v>
      </c>
      <c r="E6" s="4" t="s">
        <v>12</v>
      </c>
      <c r="F6" s="4" t="s">
        <v>13</v>
      </c>
    </row>
    <row r="7" customFormat="false" ht="15" hidden="false" customHeight="false" outlineLevel="0" collapsed="false">
      <c r="B7" s="0" t="s">
        <v>49</v>
      </c>
      <c r="C7" s="11" t="n">
        <f aca="false">'Fund NAV'!C9-'Fund NAV'!C6</f>
        <v>0</v>
      </c>
      <c r="D7" s="11" t="n">
        <f aca="false">'Fund NAV'!D9-'Fund NAV'!D6</f>
        <v>0</v>
      </c>
      <c r="E7" s="11" t="n">
        <f aca="false">'Fund NAV'!E9-'Fund NAV'!E6</f>
        <v>0</v>
      </c>
      <c r="F7" s="11" t="n">
        <f aca="false">'Fund NAV'!F9-'Fund NAV'!F6</f>
        <v>0</v>
      </c>
    </row>
    <row r="8" customFormat="false" ht="15" hidden="false" customHeight="false" outlineLevel="0" collapsed="false">
      <c r="B8" s="0" t="s">
        <v>50</v>
      </c>
      <c r="C8" s="16" t="n">
        <f aca="false">'Fund NAV'!F10</f>
        <v>0</v>
      </c>
    </row>
    <row r="9" customFormat="false" ht="15" hidden="false" customHeight="false" outlineLevel="0" collapsed="false">
      <c r="B9" s="0" t="s">
        <v>51</v>
      </c>
      <c r="C9" s="11" t="n">
        <f aca="false">C7</f>
        <v>0</v>
      </c>
      <c r="D9" s="11" t="n">
        <f aca="false">D7</f>
        <v>0</v>
      </c>
      <c r="E9" s="11" t="n">
        <f aca="false">E7</f>
        <v>0</v>
      </c>
      <c r="F9" s="11" t="n">
        <f aca="false">F7+C8</f>
        <v>0</v>
      </c>
    </row>
    <row r="12" customFormat="false" ht="15" hidden="false" customHeight="false" outlineLevel="0" collapsed="false">
      <c r="B12" s="8" t="s">
        <v>52</v>
      </c>
    </row>
    <row r="13" customFormat="false" ht="15" hidden="false" customHeight="false" outlineLevel="0" collapsed="false">
      <c r="B13" s="0" t="s">
        <v>53</v>
      </c>
      <c r="C13" s="16" t="n">
        <f aca="false">SUM('Fund NAV'!C6:F6)</f>
        <v>0</v>
      </c>
    </row>
    <row r="14" customFormat="false" ht="15" hidden="false" customHeight="false" outlineLevel="0" collapsed="false">
      <c r="B14" s="0" t="s">
        <v>54</v>
      </c>
      <c r="C14" s="16" t="n">
        <f aca="false">SUM('Fund NAV'!C9:F9)</f>
        <v>0</v>
      </c>
    </row>
    <row r="15" customFormat="false" ht="15" hidden="false" customHeight="false" outlineLevel="0" collapsed="false">
      <c r="B15" s="0" t="s">
        <v>55</v>
      </c>
      <c r="C15" s="16" t="n">
        <f aca="false">'Fund NAV'!F10</f>
        <v>0</v>
      </c>
    </row>
    <row r="16" customFormat="false" ht="15" hidden="false" customHeight="false" outlineLevel="0" collapsed="false">
      <c r="B16" s="0" t="s">
        <v>56</v>
      </c>
      <c r="C16" s="17" t="str">
        <f aca="false">IFERROR(C14/C13,"-")</f>
        <v>-</v>
      </c>
    </row>
    <row r="17" customFormat="false" ht="15" hidden="false" customHeight="false" outlineLevel="0" collapsed="false">
      <c r="B17" s="0" t="s">
        <v>57</v>
      </c>
      <c r="C17" s="17" t="str">
        <f aca="false">IFERROR(C15/C13,"-")</f>
        <v>-</v>
      </c>
    </row>
    <row r="18" customFormat="false" ht="15" hidden="false" customHeight="false" outlineLevel="0" collapsed="false">
      <c r="B18" s="0" t="s">
        <v>58</v>
      </c>
      <c r="C18" s="17" t="str">
        <f aca="false">IFERROR(C16+C17,"-")</f>
        <v>-</v>
      </c>
      <c r="D18" s="15" t="s">
        <v>59</v>
      </c>
    </row>
    <row r="19" customFormat="false" ht="15" hidden="false" customHeight="false" outlineLevel="0" collapsed="false">
      <c r="B19" s="0" t="s">
        <v>60</v>
      </c>
      <c r="C19" s="18" t="str">
        <f aca="false">IFERROR(IRR(C9:F9),"-")</f>
        <v>-</v>
      </c>
      <c r="D19" s="15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62</v>
      </c>
    </row>
    <row r="4" customFormat="false" ht="15" hidden="false" customHeight="false" outlineLevel="0" collapsed="false">
      <c r="B4" s="4" t="s">
        <v>63</v>
      </c>
      <c r="C4" s="4" t="s">
        <v>64</v>
      </c>
      <c r="D4" s="4" t="s">
        <v>65</v>
      </c>
      <c r="E4" s="4" t="s">
        <v>66</v>
      </c>
      <c r="F4" s="4" t="s">
        <v>67</v>
      </c>
    </row>
    <row r="5" customFormat="false" ht="15" hidden="false" customHeight="false" outlineLevel="0" collapsed="false">
      <c r="B5" s="19"/>
      <c r="C5" s="19"/>
      <c r="D5" s="19"/>
      <c r="E5" s="19"/>
      <c r="F5" s="19"/>
    </row>
    <row r="6" customFormat="false" ht="15" hidden="false" customHeight="false" outlineLevel="0" collapsed="false">
      <c r="B6" s="19"/>
      <c r="C6" s="19"/>
      <c r="D6" s="19"/>
      <c r="E6" s="19"/>
      <c r="F6" s="19"/>
    </row>
    <row r="7" customFormat="false" ht="15" hidden="false" customHeight="false" outlineLevel="0" collapsed="false">
      <c r="B7" s="19"/>
      <c r="C7" s="19"/>
      <c r="D7" s="19"/>
      <c r="E7" s="19"/>
      <c r="F7" s="19"/>
    </row>
    <row r="8" customFormat="false" ht="15" hidden="false" customHeight="false" outlineLevel="0" collapsed="false">
      <c r="B8" s="19"/>
      <c r="C8" s="19"/>
      <c r="D8" s="19"/>
      <c r="E8" s="19"/>
      <c r="F8" s="19"/>
    </row>
    <row r="9" customFormat="false" ht="15" hidden="false" customHeight="false" outlineLevel="0" collapsed="false">
      <c r="B9" s="19"/>
      <c r="C9" s="19"/>
      <c r="D9" s="19"/>
      <c r="E9" s="19"/>
      <c r="F9" s="19"/>
    </row>
    <row r="10" customFormat="false" ht="15" hidden="false" customHeight="false" outlineLevel="0" collapsed="false">
      <c r="B10" s="19"/>
      <c r="C10" s="19"/>
      <c r="D10" s="19"/>
      <c r="E10" s="19"/>
      <c r="F10" s="19"/>
    </row>
    <row r="11" customFormat="false" ht="15" hidden="false" customHeight="false" outlineLevel="0" collapsed="false">
      <c r="B11" s="19"/>
      <c r="C11" s="19"/>
      <c r="D11" s="19"/>
      <c r="E11" s="19"/>
      <c r="F11" s="19"/>
    </row>
    <row r="12" customFormat="false" ht="15" hidden="false" customHeight="false" outlineLevel="0" collapsed="false">
      <c r="B12" s="19"/>
      <c r="C12" s="19"/>
      <c r="D12" s="19"/>
      <c r="E12" s="19"/>
      <c r="F12" s="19"/>
    </row>
    <row r="13" customFormat="false" ht="15" hidden="false" customHeight="false" outlineLevel="0" collapsed="false">
      <c r="B13" s="19"/>
      <c r="C13" s="19"/>
      <c r="D13" s="19"/>
      <c r="E13" s="19"/>
      <c r="F13" s="19"/>
    </row>
    <row r="14" customFormat="false" ht="15" hidden="false" customHeight="false" outlineLevel="0" collapsed="false">
      <c r="B14" s="19"/>
      <c r="C14" s="19"/>
      <c r="D14" s="19"/>
      <c r="E14" s="19"/>
      <c r="F14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2026-08-03T22:56:55Z</dcterms:created>
  <dc:creator>openpyxl</dc:creator>
  <dc:description/>
  <dc:language>en-US</dc:language>
  <cp:lastModifiedBy/>
  <dcterms:modified xsi:type="dcterms:W3CDTF">2026-08-03T22:56:55Z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