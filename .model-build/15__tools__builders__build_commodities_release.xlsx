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Futures Curve" sheetId="5" state="visible" r:id="rId5"/>
    <sheet xmlns:r="http://schemas.openxmlformats.org/officeDocument/2006/relationships" name="Roll Yield" sheetId="6" state="visible" r:id="rId6"/>
    <sheet xmlns:r="http://schemas.openxmlformats.org/officeDocument/2006/relationships" name="Hedging" sheetId="7" state="visible" r:id="rId7"/>
    <sheet xmlns:r="http://schemas.openxmlformats.org/officeDocument/2006/relationships" name="Physical Balance &amp; Carry" sheetId="8" state="visible" r:id="rId8"/>
    <sheet xmlns:r="http://schemas.openxmlformats.org/officeDocument/2006/relationships" name="Decision &amp; Check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RefreshLog" sheetId="11" state="visible" r:id="rId11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;($#,##0.00);&quot;-&quot;"/>
    <numFmt numFmtId="165" formatCode="#,##0;(#,##0);&quot;-&quot;"/>
    <numFmt numFmtId="166" formatCode="0.0%;(0.0%);&quot;-&quot;"/>
    <numFmt numFmtId="167" formatCode="$#,##0;($#,##0);&quot;-&quot;"/>
    <numFmt numFmtId="168" formatCode="0.00%;(0.00%);&quot;-&quot;"/>
    <numFmt numFmtId="169" formatCode="0.0x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8000"/>
      <sz val="10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164" fontId="6" fillId="0" borderId="0" pivotButton="0" quotePrefix="0" xfId="0"/>
    <xf numFmtId="166" fontId="2" fillId="0" borderId="0" pivotButton="0" quotePrefix="0" xfId="0"/>
    <xf numFmtId="0" fontId="7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165" fontId="3" fillId="4" borderId="1" pivotButton="0" quotePrefix="0" xfId="0"/>
    <xf numFmtId="164" fontId="3" fillId="4" borderId="1" pivotButton="0" quotePrefix="0" xfId="0"/>
    <xf numFmtId="2" fontId="3" fillId="4" borderId="1" pivotButton="0" quotePrefix="0" xfId="0"/>
    <xf numFmtId="165" fontId="2" fillId="0" borderId="1" pivotButton="0" quotePrefix="0" xfId="0"/>
    <xf numFmtId="167" fontId="0" fillId="0" borderId="1" pivotButton="0" quotePrefix="0" xfId="0"/>
    <xf numFmtId="166" fontId="2" fillId="3" borderId="0" pivotButton="0" quotePrefix="0" xfId="0"/>
    <xf numFmtId="164" fontId="6" fillId="0" borderId="1" pivotButton="0" quotePrefix="0" xfId="0"/>
    <xf numFmtId="164" fontId="0" fillId="0" borderId="1" pivotButton="0" quotePrefix="0" xfId="0"/>
    <xf numFmtId="168" fontId="3" fillId="4" borderId="1" pivotButton="0" quotePrefix="0" xfId="0"/>
    <xf numFmtId="168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9" fontId="3" fillId="4" borderId="1" pivotButton="0" quotePrefix="0" xfId="0"/>
    <xf numFmtId="169" fontId="0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[COMMODITY] — Commodities Model</t>
        </is>
      </c>
    </row>
    <row r="4">
      <c r="B4" s="2" t="inlineStr">
        <is>
          <t>Commodity:</t>
        </is>
      </c>
      <c r="C4" s="3" t="inlineStr">
        <is>
          <t>[e.g. WTI Crude, Corn, Copper]</t>
        </is>
      </c>
    </row>
    <row r="5">
      <c r="B5" s="2" t="inlineStr">
        <is>
          <t>Exchange:</t>
        </is>
      </c>
      <c r="C5" s="3" t="inlineStr">
        <is>
          <t>[NYMEX / CME / ICE]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roll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 (daily near roll/expiry)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Commodities — Institutional Decision Surface</t>
        </is>
      </c>
    </row>
    <row r="4">
      <c r="B4" s="31" t="inlineStr">
        <is>
          <t>Model ID</t>
        </is>
      </c>
      <c r="C4" s="32" t="inlineStr">
        <is>
          <t>15</t>
        </is>
      </c>
    </row>
    <row r="5">
      <c r="B5" s="31" t="inlineStr">
        <is>
          <t>Domain</t>
        </is>
      </c>
      <c r="C5" s="32" t="inlineStr">
        <is>
          <t>Commodities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tools/builders/build_commodities_release.py</t>
        </is>
      </c>
    </row>
    <row r="8">
      <c r="B8" s="31" t="inlineStr">
        <is>
          <t>Decision arena</t>
        </is>
      </c>
      <c r="C8" s="32" t="inlineStr">
        <is>
          <t>physical trading, scheduling, storage, credit and market risk</t>
        </is>
      </c>
    </row>
    <row r="9">
      <c r="B9" s="31" t="inlineStr">
        <is>
          <t>Committee artifact</t>
        </is>
      </c>
      <c r="C9" s="32" t="inlineStr">
        <is>
          <t>physical-plus-paper position and optionality pack</t>
        </is>
      </c>
    </row>
    <row r="10">
      <c r="B10" s="31" t="inlineStr">
        <is>
          <t>Operating cadence</t>
        </is>
      </c>
      <c r="C10" s="32" t="inlineStr">
        <is>
          <t>intraday risk; daily scheduling; weekly S&amp;OP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flat price, basis and location exposure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inventory and storage economics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transport and quality differentials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Where is title and can the product move?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basis is unhedgeable?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is the value of storage optionality?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flat-price shock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basis blowout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curve shape / roll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purchase / sale contracts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storage and transport agreements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quality certificates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physical and paper positions reconcile by unit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storage carry identity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hedge ratio uses matched grade/location/tenor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treating futures as a perfect physical hedge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unit conversions and shrink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missing nomination and capacity constraints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MAR21 Sensitivities-Based Method</t>
        </is>
      </c>
      <c r="C63" t="inlineStr">
        <is>
          <t>market-risk factors and aggregation</t>
        </is>
      </c>
      <c r="D63" t="inlineStr">
        <is>
          <t>https://www.bis.org/basel_framework/chapter/MAR/21.htm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physical and paper positions reconcile by unit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storage carry identity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hedge ratio uses matched grade/location/tenor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physical inventory</t>
        </is>
      </c>
      <c r="C5" t="inlineStr">
        <is>
          <t>daily</t>
        </is>
      </c>
      <c r="D5" t="inlineStr">
        <is>
          <t>title, location and quality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futures / swaps</t>
        </is>
      </c>
      <c r="C6" t="inlineStr">
        <is>
          <t>intraday/daily</t>
        </is>
      </c>
      <c r="D6" t="inlineStr">
        <is>
          <t>trade and clearing reconciliation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2">
      <c r="B2" s="1" t="inlineStr">
        <is>
          <t>Futures Curve — Contango / Backwardation</t>
        </is>
      </c>
    </row>
    <row r="4">
      <c r="A4" s="4" t="inlineStr"/>
      <c r="B4" s="4" t="inlineStr">
        <is>
          <t>Contract month</t>
        </is>
      </c>
      <c r="C4" s="4" t="inlineStr">
        <is>
          <t>Price</t>
        </is>
      </c>
      <c r="D4" s="4" t="inlineStr">
        <is>
          <t>Days to expiry</t>
        </is>
      </c>
      <c r="E4" s="4" t="inlineStr">
        <is>
          <t>Annualized basis %</t>
        </is>
      </c>
      <c r="F4" s="4" t="inlineStr">
        <is>
          <t>vs. front month</t>
        </is>
      </c>
      <c r="G4" t="inlineStr">
        <is>
          <t>Curve shape</t>
        </is>
      </c>
    </row>
    <row r="5">
      <c r="B5" s="5" t="inlineStr">
        <is>
          <t>M1 (front)</t>
        </is>
      </c>
      <c r="C5" s="6" t="n">
        <v>0</v>
      </c>
      <c r="D5" s="7" t="n">
        <v>0</v>
      </c>
      <c r="E5" s="8">
        <f>IFERROR((C5/$C$5-1)*(365/(D5-$D$5)),"-")</f>
        <v/>
      </c>
      <c r="F5" s="8">
        <f>IFERROR(C5/$C$5-1,"-")</f>
        <v/>
      </c>
      <c r="G5" s="9">
        <f>IF(C5&gt;$C$5,"Contango",IF(C5&lt;$C$5,"Backwardation","Flat"))</f>
        <v/>
      </c>
    </row>
    <row r="6">
      <c r="B6" s="5" t="inlineStr">
        <is>
          <t>M2</t>
        </is>
      </c>
      <c r="C6" s="6" t="n">
        <v>0</v>
      </c>
      <c r="D6" s="7" t="n">
        <v>0</v>
      </c>
      <c r="E6" s="8">
        <f>IFERROR((C6/$C$5-1)*(365/(D6-$D$5)),"-")</f>
        <v/>
      </c>
      <c r="F6" s="8">
        <f>IFERROR(C6/$C$5-1,"-")</f>
        <v/>
      </c>
      <c r="G6" s="9">
        <f>IF(C6&gt;$C$5,"Contango",IF(C6&lt;$C$5,"Backwardation","Flat"))</f>
        <v/>
      </c>
    </row>
    <row r="7">
      <c r="B7" s="5" t="inlineStr">
        <is>
          <t>M3</t>
        </is>
      </c>
      <c r="C7" s="6" t="n">
        <v>0</v>
      </c>
      <c r="D7" s="7" t="n">
        <v>0</v>
      </c>
      <c r="E7" s="8">
        <f>IFERROR((C7/$C$5-1)*(365/(D7-$D$5)),"-")</f>
        <v/>
      </c>
      <c r="F7" s="8">
        <f>IFERROR(C7/$C$5-1,"-")</f>
        <v/>
      </c>
      <c r="G7" s="9">
        <f>IF(C7&gt;$C$5,"Contango",IF(C7&lt;$C$5,"Backwardation","Flat"))</f>
        <v/>
      </c>
    </row>
    <row r="8">
      <c r="B8" s="5" t="inlineStr">
        <is>
          <t>M6</t>
        </is>
      </c>
      <c r="C8" s="6" t="n">
        <v>0</v>
      </c>
      <c r="D8" s="7" t="n">
        <v>0</v>
      </c>
      <c r="E8" s="8">
        <f>IFERROR((C8/$C$5-1)*(365/(D8-$D$5)),"-")</f>
        <v/>
      </c>
      <c r="F8" s="8">
        <f>IFERROR(C8/$C$5-1,"-")</f>
        <v/>
      </c>
      <c r="G8" s="9">
        <f>IF(C8&gt;$C$5,"Contango",IF(C8&lt;$C$5,"Backwardation","Flat"))</f>
        <v/>
      </c>
    </row>
    <row r="9">
      <c r="B9" s="5" t="inlineStr">
        <is>
          <t>M12</t>
        </is>
      </c>
      <c r="C9" s="6" t="n">
        <v>0</v>
      </c>
      <c r="D9" s="7" t="n">
        <v>0</v>
      </c>
      <c r="E9" s="8">
        <f>IFERROR((C9/$C$5-1)*(365/(D9-$D$5)),"-")</f>
        <v/>
      </c>
      <c r="F9" s="8">
        <f>IFERROR(C9/$C$5-1,"-")</f>
        <v/>
      </c>
      <c r="G9" s="9">
        <f>IF(C9&gt;$C$5,"Contango",IF(C9&lt;$C$5,"Backwardation","Flat"))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6" customWidth="1" min="4" max="4"/>
    <col width="40" customWidth="1" min="5" max="5"/>
  </cols>
  <sheetData>
    <row r="2">
      <c r="B2" s="1" t="inlineStr">
        <is>
          <t>Roll Yield</t>
        </is>
      </c>
    </row>
    <row r="4">
      <c r="B4" t="inlineStr">
        <is>
          <t>Expiring contract price</t>
        </is>
      </c>
      <c r="C4" s="10">
        <f>'Futures Curve'!C5</f>
        <v/>
      </c>
    </row>
    <row r="5">
      <c r="B5" t="inlineStr">
        <is>
          <t>Next contract price</t>
        </is>
      </c>
      <c r="C5" s="10">
        <f>'Futures Curve'!C6</f>
        <v/>
      </c>
    </row>
    <row r="6">
      <c r="B6" t="inlineStr">
        <is>
          <t>Roll yield (%)</t>
        </is>
      </c>
      <c r="C6" s="11">
        <f>IFERROR(C4/C5-1,"-")</f>
        <v/>
      </c>
      <c r="D6" s="12" t="inlineStr">
        <is>
          <t>Positive = backwardation roll gain (long-only benefits). Negative = contango roll cost.</t>
        </is>
      </c>
    </row>
    <row r="8">
      <c r="B8" t="inlineStr">
        <is>
          <t>Annual roll cost/gain estimate (12 rolls, illustrative)</t>
        </is>
      </c>
      <c r="C8" s="13">
        <f>IFERROR(C6*12,"-")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40" customWidth="1" min="5" max="5"/>
  </cols>
  <sheetData>
    <row r="2">
      <c r="B2" s="1" t="inlineStr">
        <is>
          <t>Producer / Consumer Hedge Model</t>
        </is>
      </c>
    </row>
    <row r="4">
      <c r="B4" s="14" t="inlineStr">
        <is>
          <t>Inputs</t>
        </is>
      </c>
    </row>
    <row r="5">
      <c r="B5" s="5" t="inlineStr">
        <is>
          <t>Physical exposure (units)</t>
        </is>
      </c>
      <c r="C5" s="15" t="n">
        <v>0</v>
      </c>
    </row>
    <row r="6">
      <c r="B6" s="5" t="inlineStr">
        <is>
          <t>Futures contract size (units)</t>
        </is>
      </c>
      <c r="C6" s="15" t="n">
        <v>1000</v>
      </c>
    </row>
    <row r="7">
      <c r="B7" s="5" t="inlineStr">
        <is>
          <t>Spot price</t>
        </is>
      </c>
      <c r="C7" s="16" t="n">
        <v>0</v>
      </c>
    </row>
    <row r="8">
      <c r="B8" s="5" t="inlineStr">
        <is>
          <t>Futures price (hedge contract)</t>
        </is>
      </c>
      <c r="C8" s="16" t="n">
        <v>0</v>
      </c>
    </row>
    <row r="9">
      <c r="B9" s="5" t="inlineStr">
        <is>
          <t>Hedge ratio (beta-adjusted)</t>
        </is>
      </c>
      <c r="C9" s="17" t="n">
        <v>1</v>
      </c>
    </row>
    <row r="11">
      <c r="B11" s="14" t="inlineStr">
        <is>
          <t>Outputs</t>
        </is>
      </c>
    </row>
    <row r="12">
      <c r="B12" t="inlineStr">
        <is>
          <t>Contracts needed</t>
        </is>
      </c>
      <c r="C12" s="18">
        <f>IFERROR(ROUND(C5*C9/C6,0),"-")</f>
        <v/>
      </c>
    </row>
    <row r="13">
      <c r="B13" t="inlineStr">
        <is>
          <t>Notional hedged</t>
        </is>
      </c>
      <c r="C13" s="19">
        <f>C12*C6*C8</f>
        <v/>
      </c>
    </row>
    <row r="14">
      <c r="B14" t="inlineStr">
        <is>
          <t>Unhedged basis exposure</t>
        </is>
      </c>
      <c r="C14" s="19">
        <f>C5*C7-C13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3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8" customWidth="1" min="4" max="4"/>
    <col width="18" customWidth="1" min="5" max="5"/>
    <col width="34" customWidth="1" min="6" max="6"/>
  </cols>
  <sheetData>
    <row r="2">
      <c r="B2" s="1" t="inlineStr">
        <is>
          <t>Physical Balance, Cost of Carry, and Basis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Active</t>
        </is>
      </c>
      <c r="F4" s="4" t="inlineStr">
        <is>
          <t>Units / source</t>
        </is>
      </c>
    </row>
    <row r="5">
      <c r="B5" s="5" t="inlineStr">
        <is>
          <t>Spot price</t>
        </is>
      </c>
      <c r="C5" s="21">
        <f>'Hedging'!C7</f>
        <v/>
      </c>
      <c r="D5" s="21">
        <f>'Hedging'!C7*0.70</f>
        <v/>
      </c>
      <c r="E5" s="22">
        <f>IF(Cover!$C$9="Downside",D5,C5)</f>
        <v/>
      </c>
      <c r="F5" t="inlineStr">
        <is>
          <t>linked to hedge spot</t>
        </is>
      </c>
    </row>
    <row r="6">
      <c r="B6" s="5" t="inlineStr">
        <is>
          <t>Observed futures price</t>
        </is>
      </c>
      <c r="C6" s="21">
        <f>'Hedging'!C8</f>
        <v/>
      </c>
      <c r="D6" s="21">
        <f>'Hedging'!C8*1.10</f>
        <v/>
      </c>
      <c r="E6" s="22">
        <f>IF(Cover!$C$9="Downside",D6,C6)</f>
        <v/>
      </c>
      <c r="F6" t="inlineStr">
        <is>
          <t>linked to hedge contract</t>
        </is>
      </c>
    </row>
    <row r="7">
      <c r="B7" s="5" t="inlineStr">
        <is>
          <t>Risk-free rate</t>
        </is>
      </c>
      <c r="C7" s="23" t="n">
        <v>0.04</v>
      </c>
      <c r="D7" s="23" t="n">
        <v>0.07000000000000001</v>
      </c>
      <c r="E7" s="24">
        <f>IF(Cover!$C$9="Downside",D7,C7)</f>
        <v/>
      </c>
      <c r="F7" t="inlineStr">
        <is>
          <t>annual continuously compounded</t>
        </is>
      </c>
    </row>
    <row r="8">
      <c r="B8" s="5" t="inlineStr">
        <is>
          <t>Storage and financing rate</t>
        </is>
      </c>
      <c r="C8" s="23" t="n">
        <v>0.02</v>
      </c>
      <c r="D8" s="23" t="n">
        <v>0.2</v>
      </c>
      <c r="E8" s="24">
        <f>IF(Cover!$C$9="Downside",D8,C8)</f>
        <v/>
      </c>
      <c r="F8" t="inlineStr">
        <is>
          <t>annual cost of carry</t>
        </is>
      </c>
    </row>
    <row r="9">
      <c r="B9" s="5" t="inlineStr">
        <is>
          <t>Convenience yield</t>
        </is>
      </c>
      <c r="C9" s="23" t="n">
        <v>0.03</v>
      </c>
      <c r="D9" s="23" t="n">
        <v>0</v>
      </c>
      <c r="E9" s="24">
        <f>IF(Cover!$C$9="Downside",D9,C9)</f>
        <v/>
      </c>
      <c r="F9" t="inlineStr">
        <is>
          <t>annual non-cash benefit</t>
        </is>
      </c>
    </row>
    <row r="10">
      <c r="B10" s="5" t="inlineStr">
        <is>
          <t>Time to delivery</t>
        </is>
      </c>
      <c r="C10" s="17" t="n">
        <v>0.5</v>
      </c>
      <c r="D10" s="17" t="n">
        <v>0.25</v>
      </c>
      <c r="E10" s="25">
        <f>IF(Cover!$C$9="Downside",D10,C10)</f>
        <v/>
      </c>
      <c r="F10" t="inlineStr">
        <is>
          <t>years</t>
        </is>
      </c>
    </row>
    <row r="11">
      <c r="B11" s="5" t="inlineStr">
        <is>
          <t>Beginning inventory</t>
        </is>
      </c>
      <c r="C11" s="15" t="n">
        <v>100</v>
      </c>
      <c r="D11" s="15" t="n">
        <v>20</v>
      </c>
      <c r="E11" s="26">
        <f>IF(Cover!$C$9="Downside",D11,C11)</f>
        <v/>
      </c>
      <c r="F11" t="inlineStr">
        <is>
          <t>physical units</t>
        </is>
      </c>
    </row>
    <row r="12">
      <c r="B12" s="5" t="inlineStr">
        <is>
          <t>Production</t>
        </is>
      </c>
      <c r="C12" s="15" t="n">
        <v>50</v>
      </c>
      <c r="D12" s="15" t="n">
        <v>0</v>
      </c>
      <c r="E12" s="26">
        <f>IF(Cover!$C$9="Downside",D12,C12)</f>
        <v/>
      </c>
      <c r="F12" t="inlineStr">
        <is>
          <t>physical units</t>
        </is>
      </c>
    </row>
    <row r="13">
      <c r="B13" s="5" t="inlineStr">
        <is>
          <t>Purchases</t>
        </is>
      </c>
      <c r="C13" s="15" t="n">
        <v>20</v>
      </c>
      <c r="D13" s="15" t="n">
        <v>10</v>
      </c>
      <c r="E13" s="26">
        <f>IF(Cover!$C$9="Downside",D13,C13)</f>
        <v/>
      </c>
      <c r="F13" t="inlineStr">
        <is>
          <t>physical units</t>
        </is>
      </c>
    </row>
    <row r="14">
      <c r="B14" s="5" t="inlineStr">
        <is>
          <t>Sales</t>
        </is>
      </c>
      <c r="C14" s="15" t="n">
        <v>80</v>
      </c>
      <c r="D14" s="15" t="n">
        <v>25</v>
      </c>
      <c r="E14" s="26">
        <f>IF(Cover!$C$9="Downside",D14,C14)</f>
        <v/>
      </c>
      <c r="F14" t="inlineStr">
        <is>
          <t>physical units</t>
        </is>
      </c>
    </row>
    <row r="15">
      <c r="B15" s="5" t="inlineStr">
        <is>
          <t>Internal consumption / shrink</t>
        </is>
      </c>
      <c r="C15" s="15" t="n">
        <v>30</v>
      </c>
      <c r="D15" s="15" t="n">
        <v>5</v>
      </c>
      <c r="E15" s="26">
        <f>IF(Cover!$C$9="Downside",D15,C15)</f>
        <v/>
      </c>
      <c r="F15" t="inlineStr">
        <is>
          <t>physical units</t>
        </is>
      </c>
    </row>
    <row r="16">
      <c r="B16" s="5" t="inlineStr">
        <is>
          <t>Reported ending inventory</t>
        </is>
      </c>
      <c r="C16" s="15" t="n">
        <v>60</v>
      </c>
      <c r="D16" s="15" t="n">
        <v>0</v>
      </c>
      <c r="E16" s="26">
        <f>IF(Cover!$C$9="Downside",D16,C16)</f>
        <v/>
      </c>
      <c r="F16" t="inlineStr">
        <is>
          <t>physical units</t>
        </is>
      </c>
    </row>
    <row r="17">
      <c r="B17" s="5" t="inlineStr">
        <is>
          <t>Basis warning threshold</t>
        </is>
      </c>
      <c r="C17" s="16" t="n">
        <v>10</v>
      </c>
      <c r="D17" s="16" t="n">
        <v>5</v>
      </c>
      <c r="E17" s="22">
        <f>IF(Cover!$C$9="Downside",D17,C17)</f>
        <v/>
      </c>
      <c r="F17" t="inlineStr">
        <is>
          <t>absolute spot-futures difference</t>
        </is>
      </c>
    </row>
    <row r="18">
      <c r="B18" s="5" t="inlineStr">
        <is>
          <t>Maximum hedge ratio</t>
        </is>
      </c>
      <c r="C18" s="27" t="n">
        <v>1.25</v>
      </c>
      <c r="D18" s="27" t="n">
        <v>1.1</v>
      </c>
      <c r="E18" s="28">
        <f>IF(Cover!$C$9="Downside",D18,C18)</f>
        <v/>
      </c>
      <c r="F18" t="inlineStr">
        <is>
          <t>absolute futures units / physical units</t>
        </is>
      </c>
    </row>
    <row r="21">
      <c r="B21" s="14" t="inlineStr">
        <is>
          <t>Derived outputs</t>
        </is>
      </c>
    </row>
    <row r="22">
      <c r="B22" t="inlineStr">
        <is>
          <t>Net carry rate</t>
        </is>
      </c>
      <c r="E22" s="24">
        <f>E7+E8-E9</f>
        <v/>
      </c>
    </row>
    <row r="23">
      <c r="B23" t="inlineStr">
        <is>
          <t>Cost-of-carry fair forward</t>
        </is>
      </c>
      <c r="E23" s="22">
        <f>E5*EXP(E22*E10)</f>
        <v/>
      </c>
    </row>
    <row r="24">
      <c r="B24" t="inlineStr">
        <is>
          <t>Observed less fair forward</t>
        </is>
      </c>
      <c r="E24" s="22">
        <f>E6-E23</f>
        <v/>
      </c>
    </row>
    <row r="25">
      <c r="B25" t="inlineStr">
        <is>
          <t>Spot-futures basis</t>
        </is>
      </c>
      <c r="E25" s="22">
        <f>E5-E6</f>
        <v/>
      </c>
    </row>
    <row r="26">
      <c r="B26" t="inlineStr">
        <is>
          <t>Front-to-next roll yield</t>
        </is>
      </c>
      <c r="E26" s="24">
        <f>'Roll Yield'!C6</f>
        <v/>
      </c>
    </row>
    <row r="27">
      <c r="B27" t="inlineStr">
        <is>
          <t>Calculated ending inventory</t>
        </is>
      </c>
      <c r="E27" s="26">
        <f>E11+E12+E13-E14-E15</f>
        <v/>
      </c>
    </row>
    <row r="28">
      <c r="B28" t="inlineStr">
        <is>
          <t>Physical balance residual</t>
        </is>
      </c>
      <c r="E28" s="26">
        <f>E27-E16</f>
        <v/>
      </c>
    </row>
    <row r="29">
      <c r="B29" t="inlineStr">
        <is>
          <t>Absolute hedge ratio</t>
        </is>
      </c>
      <c r="E29" s="28">
        <f>IFERROR(ABS('Hedging'!C12*'Hedging'!C6/'Hedging'!C5),0)</f>
        <v/>
      </c>
    </row>
    <row r="30">
      <c r="B30" t="inlineStr">
        <is>
          <t>Unhedged basis exposure</t>
        </is>
      </c>
      <c r="E30" s="19">
        <f>'Hedging'!C14</f>
        <v/>
      </c>
    </row>
    <row r="32">
      <c r="B32" s="12" t="inlineStr">
        <is>
          <t>The cost-of-carry result is a reference relationship, not a claim that convenience yield or storage is directly observable.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46" customWidth="1" min="5" max="5"/>
  </cols>
  <sheetData>
    <row r="2">
      <c r="B2" s="1" t="inlineStr">
        <is>
          <t>Commodities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Cost-of-carry residual</t>
        </is>
      </c>
      <c r="C5" s="9">
        <f>'Physical Balance &amp; Carry'!E24</f>
        <v/>
      </c>
      <c r="D5" s="9">
        <f>IF(ABS(C5)&lt;=MAX(0.01,ABS('Physical Balance &amp; Carry'!E23)*0.05),"PASS","REVIEW")</f>
        <v/>
      </c>
      <c r="E5" t="inlineStr">
        <is>
          <t>Review storage, funding, convenience yield, delivery option, and contract alignment.</t>
        </is>
      </c>
    </row>
    <row r="6">
      <c r="B6" t="inlineStr">
        <is>
          <t>Physical balance residual</t>
        </is>
      </c>
      <c r="C6" s="9">
        <f>'Physical Balance &amp; Carry'!E28</f>
        <v/>
      </c>
      <c r="D6" s="9">
        <f>IF(ABS(C6)&lt;0.000001,"PASS","FAIL")</f>
        <v/>
      </c>
      <c r="E6" t="inlineStr">
        <is>
          <t>Inventory must conserve across beginning stock, flows, shrink, and reported ending stock.</t>
        </is>
      </c>
    </row>
    <row r="7">
      <c r="B7" t="inlineStr">
        <is>
          <t>Absolute basis</t>
        </is>
      </c>
      <c r="C7" s="9">
        <f>ABS('Physical Balance &amp; Carry'!E25)</f>
        <v/>
      </c>
      <c r="D7" s="9">
        <f>IF(C7&lt;='Physical Balance &amp; Carry'!E17,"PASS","BREACH")</f>
        <v/>
      </c>
      <c r="E7" t="inlineStr">
        <is>
          <t>Escalate material location, grade, quality, or timing basis risk.</t>
        </is>
      </c>
    </row>
    <row r="8">
      <c r="B8" t="inlineStr">
        <is>
          <t>Hedge ratio</t>
        </is>
      </c>
      <c r="C8" s="9">
        <f>'Physical Balance &amp; Carry'!E29</f>
        <v/>
      </c>
      <c r="D8" s="9">
        <f>IF(C8&lt;='Physical Balance &amp; Carry'!E18,"PASS","BREACH")</f>
        <v/>
      </c>
      <c r="E8" t="inlineStr">
        <is>
          <t>Review over-hedging, contract multiplier, and beta-adjustment assumptions.</t>
        </is>
      </c>
    </row>
    <row r="9">
      <c r="B9" t="inlineStr">
        <is>
          <t>Roll yield</t>
        </is>
      </c>
      <c r="C9" s="9">
        <f>'Physical Balance &amp; Carry'!E26</f>
        <v/>
      </c>
      <c r="D9" s="9">
        <f>IF(C9&lt;0,"REVIEW","PASS")</f>
        <v/>
      </c>
      <c r="E9" t="inlineStr">
        <is>
          <t>Negative roll yield is expected in contango but must be included in return and hedge economics.</t>
        </is>
      </c>
    </row>
    <row r="10">
      <c r="B10" t="inlineStr">
        <is>
          <t>Ending inventory</t>
        </is>
      </c>
      <c r="C10" s="9">
        <f>'Physical Balance &amp; Carry'!E27</f>
        <v/>
      </c>
      <c r="D10" s="9">
        <f>IF(C10&gt;=0,"PASS","BREACH")</f>
        <v/>
      </c>
      <c r="E10" t="inlineStr">
        <is>
          <t>Negative physical inventory indicates an impossible operating plan or missing purchase.</t>
        </is>
      </c>
    </row>
    <row r="12">
      <c r="B12" s="2" t="inlineStr">
        <is>
          <t>Overall model status</t>
        </is>
      </c>
      <c r="C12" s="29">
        <f>IF(COUNTIF(D5:D10,"FAIL")+COUNTIF(D5:D10,"BREACH")&gt;0,"BREACH",IF(COUNTIF(D5:D10,"REVIEW")&gt;0,"REVIEW","PASS"))</f>
        <v/>
      </c>
    </row>
    <row r="14">
      <c r="B14" s="14" t="inlineStr">
        <is>
          <t>Primary decision outputs</t>
        </is>
      </c>
    </row>
    <row r="15">
      <c r="B15" t="inlineStr">
        <is>
          <t>Fair forward</t>
        </is>
      </c>
      <c r="C15" s="22">
        <f>'Physical Balance &amp; Carry'!E23</f>
        <v/>
      </c>
    </row>
    <row r="16">
      <c r="B16" t="inlineStr">
        <is>
          <t>Observed futures</t>
        </is>
      </c>
      <c r="C16" s="22">
        <f>'Physical Balance &amp; Carry'!E6</f>
        <v/>
      </c>
    </row>
    <row r="17">
      <c r="B17" t="inlineStr">
        <is>
          <t>Basis</t>
        </is>
      </c>
      <c r="C17" s="22">
        <f>'Physical Balance &amp; Carry'!E25</f>
        <v/>
      </c>
    </row>
    <row r="18">
      <c r="B18" t="inlineStr">
        <is>
          <t>Contracts needed</t>
        </is>
      </c>
      <c r="C18" s="26">
        <f>'Hedging'!C12</f>
        <v/>
      </c>
    </row>
    <row r="19">
      <c r="B19" t="inlineStr">
        <is>
          <t>Unhedged exposure</t>
        </is>
      </c>
      <c r="C19" s="19">
        <f>'Hedging'!C14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Sensitivity — P&amp;L by Spot Move</t>
        </is>
      </c>
    </row>
    <row r="4">
      <c r="B4" s="14" t="inlineStr">
        <is>
          <t>Spot move %</t>
        </is>
      </c>
      <c r="C4" s="20" t="n">
        <v>-0.2</v>
      </c>
      <c r="D4" s="20" t="n">
        <v>-0.1</v>
      </c>
      <c r="E4" s="20" t="n">
        <v>0</v>
      </c>
      <c r="F4" s="20" t="n">
        <v>0.1</v>
      </c>
      <c r="G4" s="20" t="n">
        <v>0.2</v>
      </c>
    </row>
    <row r="5">
      <c r="B5" t="inlineStr">
        <is>
          <t>Unhedged P&amp;L</t>
        </is>
      </c>
      <c r="C5" s="19">
        <f>'Hedging'!$C$5*'Hedging'!$C$7*C4</f>
        <v/>
      </c>
      <c r="D5" s="19">
        <f>'Hedging'!$C$5*'Hedging'!$C$7*D4</f>
        <v/>
      </c>
      <c r="E5" s="19">
        <f>'Hedging'!$C$5*'Hedging'!$C$7*E4</f>
        <v/>
      </c>
      <c r="F5" s="19">
        <f>'Hedging'!$C$5*'Hedging'!$C$7*F4</f>
        <v/>
      </c>
      <c r="G5" s="19">
        <f>'Hedging'!$C$5*'Hedging'!$C$7*G4</f>
        <v/>
      </c>
    </row>
    <row r="6">
      <c r="B6" t="inlineStr">
        <is>
          <t>Hedged P&amp;L</t>
        </is>
      </c>
      <c r="C6" s="19">
        <f>(C4*'Hedging'!$C$5*'Hedging'!$C$7)-(C4*'Hedging'!$C$13)</f>
        <v/>
      </c>
      <c r="D6" s="19">
        <f>(D4*'Hedging'!$C$5*'Hedging'!$C$7)-(D4*'Hedging'!$C$13)</f>
        <v/>
      </c>
      <c r="E6" s="19">
        <f>(E4*'Hedging'!$C$5*'Hedging'!$C$7)-(E4*'Hedging'!$C$13)</f>
        <v/>
      </c>
      <c r="F6" s="19">
        <f>(F4*'Hedging'!$C$5*'Hedging'!$C$7)-(F4*'Hedging'!$C$13)</f>
        <v/>
      </c>
      <c r="G6" s="19">
        <f>(G4*'Hedging'!$C$5*'Hedging'!$C$7)-(G4*'Hedging'!$C$13)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9" t="n"/>
      <c r="C5" s="9" t="n"/>
      <c r="D5" s="9" t="n"/>
      <c r="E5" s="9" t="n"/>
      <c r="F5" s="9" t="n"/>
    </row>
    <row r="6">
      <c r="B6" s="9" t="n"/>
      <c r="C6" s="9" t="n"/>
      <c r="D6" s="9" t="n"/>
      <c r="E6" s="9" t="n"/>
      <c r="F6" s="9" t="n"/>
    </row>
    <row r="7">
      <c r="B7" s="9" t="n"/>
      <c r="C7" s="9" t="n"/>
      <c r="D7" s="9" t="n"/>
      <c r="E7" s="9" t="n"/>
      <c r="F7" s="9" t="n"/>
    </row>
    <row r="8">
      <c r="B8" s="9" t="n"/>
      <c r="C8" s="9" t="n"/>
      <c r="D8" s="9" t="n"/>
      <c r="E8" s="9" t="n"/>
      <c r="F8" s="9" t="n"/>
    </row>
    <row r="9">
      <c r="B9" s="9" t="n"/>
      <c r="C9" s="9" t="n"/>
      <c r="D9" s="9" t="n"/>
      <c r="E9" s="9" t="n"/>
      <c r="F9" s="9" t="n"/>
    </row>
    <row r="10">
      <c r="B10" s="9" t="n"/>
      <c r="C10" s="9" t="n"/>
      <c r="D10" s="9" t="n"/>
      <c r="E10" s="9" t="n"/>
      <c r="F10" s="9" t="n"/>
    </row>
    <row r="11">
      <c r="B11" s="9" t="n"/>
      <c r="C11" s="9" t="n"/>
      <c r="D11" s="9" t="n"/>
      <c r="E11" s="9" t="n"/>
      <c r="F11" s="9" t="n"/>
    </row>
    <row r="12">
      <c r="B12" s="9" t="n"/>
      <c r="C12" s="9" t="n"/>
      <c r="D12" s="9" t="n"/>
      <c r="E12" s="9" t="n"/>
      <c r="F12" s="9" t="n"/>
    </row>
    <row r="13">
      <c r="B13" s="9" t="n"/>
      <c r="C13" s="9" t="n"/>
      <c r="D13" s="9" t="n"/>
      <c r="E13" s="9" t="n"/>
      <c r="F13" s="9" t="n"/>
    </row>
    <row r="14">
      <c r="B14" s="9" t="n"/>
      <c r="C14" s="9" t="n"/>
      <c r="D14" s="9" t="n"/>
      <c r="E14" s="9" t="n"/>
      <c r="F1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2026-08-05T22:48:45Z</dcterms:created>
  <dcterms:modified xmlns:dcterms="http://purl.org/dc/terms/" xmlns:xsi="http://www.w3.org/2001/XMLSchema-instance" xsi:type="dcterms:W3CDTF">2026-08-05T22:48:45Z</dcterms:modified>
</cp:coreProperties>
</file>