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Zero Curve" sheetId="6" state="visible" r:id="rId6"/>
    <sheet xmlns:r="http://schemas.openxmlformats.org/officeDocument/2006/relationships" name="Bond Analytics" sheetId="7" state="visible" r:id="rId7"/>
    <sheet xmlns:r="http://schemas.openxmlformats.org/officeDocument/2006/relationships" name="Portfolio" sheetId="8" state="visible" r:id="rId8"/>
    <sheet xmlns:r="http://schemas.openxmlformats.org/officeDocument/2006/relationships" name="Key Rate Risk" sheetId="9" state="visible" r:id="rId9"/>
    <sheet xmlns:r="http://schemas.openxmlformats.org/officeDocument/2006/relationships" name="Carry &amp; Roll" sheetId="10" state="visible" r:id="rId10"/>
    <sheet xmlns:r="http://schemas.openxmlformats.org/officeDocument/2006/relationships" name="Scenarios" sheetId="11" state="visible" r:id="rId11"/>
    <sheet xmlns:r="http://schemas.openxmlformats.org/officeDocument/2006/relationships" name="P&amp;L Explain" sheetId="12" state="visible" r:id="rId12"/>
    <sheet xmlns:r="http://schemas.openxmlformats.org/officeDocument/2006/relationships" name="Checks" sheetId="13" state="visible" r:id="rId13"/>
    <sheet xmlns:r="http://schemas.openxmlformats.org/officeDocument/2006/relationships" name="Sources" sheetId="14" state="visible" r:id="rId14"/>
    <sheet xmlns:r="http://schemas.openxmlformats.org/officeDocument/2006/relationships" name="RefreshLog" sheetId="15" state="visible" r:id="rId15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$#,##0.00;[Red]($#,##0.00);-"/>
    <numFmt numFmtId="165" formatCode="0.00%;[Red](0.00%);-"/>
    <numFmt numFmtId="166" formatCode="0.0"/>
    <numFmt numFmtId="167" formatCode="0.0000%"/>
    <numFmt numFmtId="168" formatCode="$#,##0.0;[Red]($#,##0.0);-"/>
    <numFmt numFmtId="169" formatCode="0.000000"/>
    <numFmt numFmtId="170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0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166" fontId="3" fillId="3" borderId="1" pivotButton="0" quotePrefix="0" xfId="0"/>
    <xf numFmtId="166" fontId="0" fillId="0" borderId="0" pivotButton="0" quotePrefix="0" xfId="0"/>
    <xf numFmtId="1" fontId="3" fillId="3" borderId="1" pivotButton="0" quotePrefix="0" xfId="0"/>
    <xf numFmtId="1" fontId="0" fillId="0" borderId="0" pivotButton="0" quotePrefix="0" xfId="0"/>
    <xf numFmtId="167" fontId="3" fillId="3" borderId="1" pivotButton="0" quotePrefix="0" xfId="0"/>
    <xf numFmtId="167" fontId="0" fillId="0" borderId="0" pivotButton="0" quotePrefix="0" xfId="0"/>
    <xf numFmtId="168" fontId="3" fillId="3" borderId="1" pivotButton="0" quotePrefix="0" xfId="0"/>
    <xf numFmtId="168" fontId="0" fillId="0" borderId="0" pivotButton="0" quotePrefix="0" xfId="0"/>
    <xf numFmtId="2" fontId="3" fillId="3" borderId="1" pivotButton="0" quotePrefix="0" xfId="0"/>
    <xf numFmtId="169" fontId="0" fillId="0" borderId="0" pivotButton="0" quotePrefix="0" xfId="0"/>
    <xf numFmtId="170" fontId="0" fillId="0" borderId="0" pivotButton="0" quotePrefix="0" xfId="0"/>
    <xf numFmtId="0" fontId="2" fillId="0" borderId="2" pivotButton="0" quotePrefix="0" xfId="0"/>
    <xf numFmtId="168" fontId="2" fillId="0" borderId="2" pivotButton="0" quotePrefix="0" xfId="0"/>
    <xf numFmtId="170" fontId="2" fillId="0" borderId="2" pivotButton="0" quotePrefix="0" xfId="0"/>
    <xf numFmtId="170" fontId="3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8" fillId="4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4" borderId="0" pivotButton="0" quotePrefix="0" xfId="0"/>
    <xf numFmtId="0" fontId="9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[PORTFOLIO / SECURITY] — Fixed Income &amp; Rates Model</t>
        </is>
      </c>
    </row>
    <row r="4">
      <c r="B4" s="2" t="inlineStr">
        <is>
          <t>Portfolio / security:</t>
        </is>
      </c>
      <c r="C4" s="3" t="inlineStr">
        <is>
          <t>[Name]</t>
        </is>
      </c>
    </row>
    <row r="5">
      <c r="B5" s="2" t="inlineStr">
        <is>
          <t>Currency / curve:</t>
        </is>
      </c>
      <c r="C5" s="3" t="inlineStr">
        <is>
          <t>[Currency and benchmark]</t>
        </is>
      </c>
    </row>
    <row r="6">
      <c r="B6" s="2" t="inlineStr">
        <is>
          <t>Last refreshed:</t>
        </is>
      </c>
      <c r="C6" s="3" t="inlineStr">
        <is>
          <t>[timestamp]</t>
        </is>
      </c>
    </row>
    <row r="7">
      <c r="B7" s="2" t="inlineStr">
        <is>
          <t>Next coupon / auction / event: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Daily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millions; yields in percent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0" t="inlineStr">
        <is>
          <t>Fixed Income &amp; Rates — Institutional Decision Surface</t>
        </is>
      </c>
    </row>
    <row r="4">
      <c r="B4" s="31" t="inlineStr">
        <is>
          <t>Model ID</t>
        </is>
      </c>
      <c r="C4" s="32" t="inlineStr">
        <is>
          <t>21</t>
        </is>
      </c>
    </row>
    <row r="5">
      <c r="B5" s="31" t="inlineStr">
        <is>
          <t>Domain</t>
        </is>
      </c>
      <c r="C5" s="32" t="inlineStr">
        <is>
          <t>Fixed Income &amp; Rates</t>
        </is>
      </c>
    </row>
    <row r="6">
      <c r="B6" s="31" t="inlineStr">
        <is>
          <t>Declared maturity</t>
        </is>
      </c>
      <c r="C6" s="32" t="inlineStr">
        <is>
          <t>M2</t>
        </is>
      </c>
    </row>
    <row r="7">
      <c r="B7" s="31" t="inlineStr">
        <is>
          <t>Canonical builder</t>
        </is>
      </c>
      <c r="C7" s="32" t="inlineStr">
        <is>
          <t>tools/builders/build_fixed_income_release.py</t>
        </is>
      </c>
    </row>
    <row r="8">
      <c r="B8" s="31" t="inlineStr">
        <is>
          <t>Decision arena</t>
        </is>
      </c>
      <c r="C8" s="32" t="inlineStr">
        <is>
          <t>trading desk, portfolio management, treasury, ALCO and independent risk</t>
        </is>
      </c>
    </row>
    <row r="9">
      <c r="B9" s="31" t="inlineStr">
        <is>
          <t>Committee artifact</t>
        </is>
      </c>
      <c r="C9" s="32" t="inlineStr">
        <is>
          <t>curve, carry and risk pack</t>
        </is>
      </c>
    </row>
    <row r="10">
      <c r="B10" s="31" t="inlineStr">
        <is>
          <t>Operating cadence</t>
        </is>
      </c>
      <c r="C10" s="32" t="inlineStr">
        <is>
          <t>intraday desk; daily risk; monthly ALCO</t>
        </is>
      </c>
    </row>
    <row r="12">
      <c r="B12" s="33" t="inlineStr">
        <is>
          <t>Key decision outputs</t>
        </is>
      </c>
    </row>
    <row r="13">
      <c r="B13" s="34" t="inlineStr">
        <is>
          <t>#</t>
        </is>
      </c>
      <c r="C13" s="34" t="inlineStr">
        <is>
          <t>Requirement</t>
        </is>
      </c>
      <c r="D13" s="34" t="inlineStr">
        <is>
          <t>Owner</t>
        </is>
      </c>
      <c r="E13" s="34" t="inlineStr">
        <is>
          <t>Evidence / location</t>
        </is>
      </c>
      <c r="F13" s="34" t="inlineStr">
        <is>
          <t>Status</t>
        </is>
      </c>
    </row>
    <row r="14">
      <c r="B14" t="n">
        <v>1</v>
      </c>
      <c r="C14" t="inlineStr">
        <is>
          <t>price, yield, duration and convexity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key-rate and spread DV01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carry and roll-down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3" t="inlineStr">
        <is>
          <t>Insider questions</t>
        </is>
      </c>
    </row>
    <row r="21">
      <c r="B21" s="34" t="inlineStr">
        <is>
          <t>#</t>
        </is>
      </c>
      <c r="C21" s="34" t="inlineStr">
        <is>
          <t>Requirement</t>
        </is>
      </c>
      <c r="D21" s="34" t="inlineStr">
        <is>
          <t>Owner</t>
        </is>
      </c>
      <c r="E21" s="34" t="inlineStr">
        <is>
          <t>Evidence / location</t>
        </is>
      </c>
      <c r="F21" s="34" t="inlineStr">
        <is>
          <t>Status</t>
        </is>
      </c>
    </row>
    <row r="22">
      <c r="B22" t="n">
        <v>1</v>
      </c>
      <c r="C22" t="inlineStr">
        <is>
          <t>What part of carry is rolldown versus credit?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curve and interpolation method is authoritative?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Where does optionality invalidate duration?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3" t="inlineStr">
        <is>
          <t>Scenario families</t>
        </is>
      </c>
    </row>
    <row r="29">
      <c r="B29" s="34" t="inlineStr">
        <is>
          <t>#</t>
        </is>
      </c>
      <c r="C29" s="34" t="inlineStr">
        <is>
          <t>Requirement</t>
        </is>
      </c>
      <c r="D29" s="34" t="inlineStr">
        <is>
          <t>Owner</t>
        </is>
      </c>
      <c r="E29" s="34" t="inlineStr">
        <is>
          <t>Evidence / location</t>
        </is>
      </c>
      <c r="F29" s="34" t="inlineStr">
        <is>
          <t>Status</t>
        </is>
      </c>
    </row>
    <row r="30">
      <c r="B30" t="n">
        <v>1</v>
      </c>
      <c r="C30" t="inlineStr">
        <is>
          <t>parallel and nonparallel curve shocks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spread widening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basis and swap-spread move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3" t="inlineStr">
        <is>
          <t>Primary diligence documents</t>
        </is>
      </c>
    </row>
    <row r="37">
      <c r="B37" s="34" t="inlineStr">
        <is>
          <t>#</t>
        </is>
      </c>
      <c r="C37" s="34" t="inlineStr">
        <is>
          <t>Requirement</t>
        </is>
      </c>
      <c r="D37" s="34" t="inlineStr">
        <is>
          <t>Owner</t>
        </is>
      </c>
      <c r="E37" s="34" t="inlineStr">
        <is>
          <t>Evidence / location</t>
        </is>
      </c>
      <c r="F37" s="34" t="inlineStr">
        <is>
          <t>Status</t>
        </is>
      </c>
    </row>
    <row r="38">
      <c r="B38" t="n">
        <v>1</v>
      </c>
      <c r="C38" t="inlineStr">
        <is>
          <t>security terms and prospectus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curve construction policy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repo / financing agreements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3" t="inlineStr">
        <is>
          <t>Challenge tests</t>
        </is>
      </c>
    </row>
    <row r="45">
      <c r="B45" s="34" t="inlineStr">
        <is>
          <t>#</t>
        </is>
      </c>
      <c r="C45" s="34" t="inlineStr">
        <is>
          <t>Requirement</t>
        </is>
      </c>
      <c r="D45" s="34" t="inlineStr">
        <is>
          <t>Owner</t>
        </is>
      </c>
      <c r="E45" s="34" t="inlineStr">
        <is>
          <t>Evidence / location</t>
        </is>
      </c>
      <c r="F45" s="34" t="inlineStr">
        <is>
          <t>Status</t>
        </is>
      </c>
    </row>
    <row r="46">
      <c r="B46" t="n">
        <v>1</v>
      </c>
      <c r="C46" t="inlineStr">
        <is>
          <t>price-yield monotonicity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duration and convexity signs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key-rate DV01 reconciles to parallel risk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3" t="inlineStr">
        <is>
          <t>Known failure modes</t>
        </is>
      </c>
    </row>
    <row r="53">
      <c r="B53" s="34" t="inlineStr">
        <is>
          <t>#</t>
        </is>
      </c>
      <c r="C53" s="34" t="inlineStr">
        <is>
          <t>Requirement</t>
        </is>
      </c>
      <c r="D53" s="34" t="inlineStr">
        <is>
          <t>Owner</t>
        </is>
      </c>
      <c r="E53" s="34" t="inlineStr">
        <is>
          <t>Evidence / location</t>
        </is>
      </c>
      <c r="F53" s="34" t="inlineStr">
        <is>
          <t>Status</t>
        </is>
      </c>
    </row>
    <row r="54">
      <c r="B54" t="n">
        <v>1</v>
      </c>
      <c r="C54" t="inlineStr">
        <is>
          <t>using yield duration for callable instruments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mixing clean and dirty price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failing to map off-the-run liquidity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3" t="inlineStr">
        <is>
          <t>Regulatory / methodological anchors</t>
        </is>
      </c>
    </row>
    <row r="61">
      <c r="B61" s="34" t="inlineStr">
        <is>
          <t>Standard</t>
        </is>
      </c>
      <c r="C61" s="34" t="inlineStr">
        <is>
          <t>Scope</t>
        </is>
      </c>
      <c r="D61" s="34" t="inlineStr">
        <is>
          <t>Source URL</t>
        </is>
      </c>
      <c r="E61" s="34" t="inlineStr">
        <is>
          <t>Applicability</t>
        </is>
      </c>
      <c r="F61" s="34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Basel SRP31 IRRBB</t>
        </is>
      </c>
      <c r="C63" t="inlineStr">
        <is>
          <t>EVE/NII, basis and option risk</t>
        </is>
      </c>
      <c r="D63" t="inlineStr">
        <is>
          <t>https://www.bis.org/basel_framework/chapter/SRP/31.htm</t>
        </is>
      </c>
      <c r="E63" t="inlineStr">
        <is>
          <t>Map explicitly</t>
        </is>
      </c>
      <c r="F63" t="inlineStr"/>
    </row>
    <row r="64">
      <c r="B64" t="inlineStr">
        <is>
          <t>Basel MAR21 Sensitivities-Based Method</t>
        </is>
      </c>
      <c r="C64" t="inlineStr">
        <is>
          <t>market-risk factors and aggregation</t>
        </is>
      </c>
      <c r="D64" t="inlineStr">
        <is>
          <t>https://www.bis.org/basel_framework/chapter/MAR/21.htm</t>
        </is>
      </c>
      <c r="E64" t="inlineStr">
        <is>
          <t>Map explicitly</t>
        </is>
      </c>
      <c r="F64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0" t="inlineStr">
        <is>
          <t>Independent Challenge, Override and Closure Log</t>
        </is>
      </c>
    </row>
    <row r="4">
      <c r="B4" s="34" t="inlineStr">
        <is>
          <t>Date</t>
        </is>
      </c>
      <c r="C4" s="34" t="inlineStr">
        <is>
          <t>Reviewer</t>
        </is>
      </c>
      <c r="D4" s="34" t="inlineStr">
        <is>
          <t>Challenge</t>
        </is>
      </c>
      <c r="E4" s="34" t="inlineStr">
        <is>
          <t>Owner response</t>
        </is>
      </c>
      <c r="F4" s="34" t="inlineStr">
        <is>
          <t>Evidence</t>
        </is>
      </c>
      <c r="G4" s="34" t="inlineStr">
        <is>
          <t>Impact</t>
        </is>
      </c>
      <c r="H4" s="34" t="inlineStr">
        <is>
          <t>Status</t>
        </is>
      </c>
      <c r="I4" s="34" t="inlineStr">
        <is>
          <t>Closure</t>
        </is>
      </c>
    </row>
    <row r="5">
      <c r="B5" t="inlineStr"/>
      <c r="C5" t="inlineStr"/>
      <c r="D5" t="inlineStr">
        <is>
          <t>price-yield monotonicity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duration and convexity signs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key-rate DV01 reconciles to parallel risk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0" t="inlineStr">
        <is>
          <t>Source, Transformation, Ownership and Refresh Map</t>
        </is>
      </c>
    </row>
    <row r="4">
      <c r="B4" s="34" t="inlineStr">
        <is>
          <t>Source class</t>
        </is>
      </c>
      <c r="C4" s="34" t="inlineStr">
        <is>
          <t>Cadence</t>
        </is>
      </c>
      <c r="D4" s="34" t="inlineStr">
        <is>
          <t>Control</t>
        </is>
      </c>
      <c r="E4" s="34" t="inlineStr">
        <is>
          <t>System / provider</t>
        </is>
      </c>
      <c r="F4" s="34" t="inlineStr">
        <is>
          <t>As-of</t>
        </is>
      </c>
      <c r="G4" s="34" t="inlineStr">
        <is>
          <t>Owner</t>
        </is>
      </c>
      <c r="H4" s="34" t="inlineStr">
        <is>
          <t>Transform</t>
        </is>
      </c>
      <c r="I4" s="34" t="inlineStr">
        <is>
          <t>Downstream</t>
        </is>
      </c>
      <c r="J4" s="34" t="inlineStr">
        <is>
          <t>Status</t>
        </is>
      </c>
    </row>
    <row r="5">
      <c r="B5" t="inlineStr">
        <is>
          <t>prices and curves</t>
        </is>
      </c>
      <c r="C5" t="inlineStr">
        <is>
          <t>intraday/daily</t>
        </is>
      </c>
      <c r="D5" t="inlineStr">
        <is>
          <t>source and interpolation control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positions</t>
        </is>
      </c>
      <c r="C6" t="inlineStr">
        <is>
          <t>intraday/daily</t>
        </is>
      </c>
      <c r="D6" t="inlineStr">
        <is>
          <t>security and lot reconciliation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2" ht="28" customHeight="1">
      <c r="B2" s="1" t="inlineStr">
        <is>
          <t>Pricing and Risk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Face value</t>
        </is>
      </c>
      <c r="C5" s="9" t="n">
        <v>1000</v>
      </c>
      <c r="D5" s="9" t="n">
        <v>1000</v>
      </c>
      <c r="E5" s="10">
        <f>IF(Cover!$C$9="Downside",D5,C5)</f>
        <v/>
      </c>
      <c r="F5" t="inlineStr">
        <is>
          <t>currency</t>
        </is>
      </c>
    </row>
    <row r="6">
      <c r="B6" t="inlineStr">
        <is>
          <t>Coupon rate</t>
        </is>
      </c>
      <c r="C6" s="11" t="n">
        <v>0.05</v>
      </c>
      <c r="D6" s="11" t="n">
        <v>0.05</v>
      </c>
      <c r="E6" s="12">
        <f>IF(Cover!$C$9="Downside",D6,C6)</f>
        <v/>
      </c>
      <c r="F6" t="inlineStr">
        <is>
          <t>%</t>
        </is>
      </c>
    </row>
    <row r="7">
      <c r="B7" t="inlineStr">
        <is>
          <t>Yield to maturity</t>
        </is>
      </c>
      <c r="C7" s="11" t="n">
        <v>0.055</v>
      </c>
      <c r="D7" s="11" t="n">
        <v>0.07000000000000001</v>
      </c>
      <c r="E7" s="12">
        <f>IF(Cover!$C$9="Downside",D7,C7)</f>
        <v/>
      </c>
      <c r="F7" t="inlineStr">
        <is>
          <t>%</t>
        </is>
      </c>
    </row>
    <row r="8">
      <c r="B8" t="inlineStr">
        <is>
          <t>Maturity</t>
        </is>
      </c>
      <c r="C8" s="13" t="n">
        <v>10</v>
      </c>
      <c r="D8" s="13" t="n">
        <v>10</v>
      </c>
      <c r="E8" s="14">
        <f>IF(Cover!$C$9="Downside",D8,C8)</f>
        <v/>
      </c>
      <c r="F8" t="inlineStr">
        <is>
          <t>years</t>
        </is>
      </c>
    </row>
    <row r="9">
      <c r="B9" t="inlineStr">
        <is>
          <t>Coupon frequency</t>
        </is>
      </c>
      <c r="C9" s="15" t="n">
        <v>2</v>
      </c>
      <c r="D9" s="15" t="n">
        <v>2</v>
      </c>
      <c r="E9" s="16">
        <f>IF(Cover!$C$9="Downside",D9,C9)</f>
        <v/>
      </c>
      <c r="F9" t="inlineStr">
        <is>
          <t>per year</t>
        </is>
      </c>
    </row>
    <row r="10">
      <c r="B10" t="inlineStr">
        <is>
          <t>Parallel yield shock</t>
        </is>
      </c>
      <c r="C10" s="11" t="n">
        <v>0.01</v>
      </c>
      <c r="D10" s="11" t="n">
        <v>0.02</v>
      </c>
      <c r="E10" s="12">
        <f>IF(Cover!$C$9="Downside",D10,C10)</f>
        <v/>
      </c>
      <c r="F10" t="inlineStr">
        <is>
          <t>%</t>
        </is>
      </c>
    </row>
    <row r="11">
      <c r="B11" t="inlineStr">
        <is>
          <t>One-basis-point bump</t>
        </is>
      </c>
      <c r="C11" s="17" t="n">
        <v>0.0001</v>
      </c>
      <c r="D11" s="17" t="n">
        <v>0.0001</v>
      </c>
      <c r="E11" s="18">
        <f>IF(Cover!$C$9="Downside",D11,C11)</f>
        <v/>
      </c>
      <c r="F11" t="inlineStr">
        <is>
          <t>%</t>
        </is>
      </c>
    </row>
    <row r="12">
      <c r="B12" t="inlineStr">
        <is>
          <t>Holding period</t>
        </is>
      </c>
      <c r="C12" s="13" t="n">
        <v>1</v>
      </c>
      <c r="D12" s="13" t="n">
        <v>1</v>
      </c>
      <c r="E12" s="14">
        <f>IF(Cover!$C$9="Downside",D12,C12)</f>
        <v/>
      </c>
      <c r="F12" t="inlineStr">
        <is>
          <t>years</t>
        </is>
      </c>
    </row>
    <row r="13">
      <c r="B13" t="inlineStr">
        <is>
          <t>Financing / repo rate</t>
        </is>
      </c>
      <c r="C13" s="11" t="n">
        <v>0.045</v>
      </c>
      <c r="D13" s="11" t="n">
        <v>0.06</v>
      </c>
      <c r="E13" s="12">
        <f>IF(Cover!$C$9="Downside",D13,C13)</f>
        <v/>
      </c>
      <c r="F13" t="inlineStr">
        <is>
          <t>%</t>
        </is>
      </c>
    </row>
    <row r="14">
      <c r="B14" t="inlineStr">
        <is>
          <t>Position market value</t>
        </is>
      </c>
      <c r="C14" s="19" t="n">
        <v>50</v>
      </c>
      <c r="D14" s="19" t="n">
        <v>50</v>
      </c>
      <c r="E14" s="20">
        <f>IF(Cover!$C$9="Downside",D14,C14)</f>
        <v/>
      </c>
      <c r="F14" t="inlineStr">
        <is>
          <t>$mm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2" ht="28" customHeight="1">
      <c r="B2" s="1" t="inlineStr">
        <is>
          <t>Zero Curve and Discount Factors</t>
        </is>
      </c>
    </row>
    <row r="4">
      <c r="B4" s="8" t="inlineStr">
        <is>
          <t>Tenor</t>
        </is>
      </c>
      <c r="C4" s="8" t="inlineStr">
        <is>
          <t>Base zero</t>
        </is>
      </c>
      <c r="D4" s="8" t="inlineStr">
        <is>
          <t>Downside zero</t>
        </is>
      </c>
      <c r="E4" s="8" t="inlineStr">
        <is>
          <t>Active zero</t>
        </is>
      </c>
      <c r="F4" s="8" t="inlineStr">
        <is>
          <t>Discount factor</t>
        </is>
      </c>
      <c r="G4" s="8" t="inlineStr">
        <is>
          <t>1Y forward</t>
        </is>
      </c>
    </row>
    <row r="5">
      <c r="B5" s="21" t="n">
        <v>0.25</v>
      </c>
      <c r="C5" s="11" t="n">
        <v>0.048</v>
      </c>
      <c r="D5" s="11" t="n">
        <v>0.053</v>
      </c>
      <c r="E5" s="12">
        <f>IF(Cover!$C$9="Downside",D5,C5)</f>
        <v/>
      </c>
      <c r="F5" s="22">
        <f>EXP(-E5*B5)</f>
        <v/>
      </c>
      <c r="G5" s="12">
        <f>E5</f>
        <v/>
      </c>
    </row>
    <row r="6">
      <c r="B6" s="21" t="n">
        <v>0.5</v>
      </c>
      <c r="C6" s="11" t="n">
        <v>0.047</v>
      </c>
      <c r="D6" s="11" t="n">
        <v>0.052</v>
      </c>
      <c r="E6" s="12">
        <f>IF(Cover!$C$9="Downside",D6,C6)</f>
        <v/>
      </c>
      <c r="F6" s="22">
        <f>EXP(-E6*B6)</f>
        <v/>
      </c>
      <c r="G6" s="12">
        <f>IFERROR(-LN(F6/F5)/(B6-B5),0)</f>
        <v/>
      </c>
    </row>
    <row r="7">
      <c r="B7" s="21" t="n">
        <v>1</v>
      </c>
      <c r="C7" s="11" t="n">
        <v>0.045</v>
      </c>
      <c r="D7" s="11" t="n">
        <v>0.05</v>
      </c>
      <c r="E7" s="12">
        <f>IF(Cover!$C$9="Downside",D7,C7)</f>
        <v/>
      </c>
      <c r="F7" s="22">
        <f>EXP(-E7*B7)</f>
        <v/>
      </c>
      <c r="G7" s="12">
        <f>IFERROR(-LN(F7/F6)/(B7-B6),0)</f>
        <v/>
      </c>
    </row>
    <row r="8">
      <c r="B8" s="21" t="n">
        <v>2</v>
      </c>
      <c r="C8" s="11" t="n">
        <v>0.043</v>
      </c>
      <c r="D8" s="11" t="n">
        <v>0.04799999999999999</v>
      </c>
      <c r="E8" s="12">
        <f>IF(Cover!$C$9="Downside",D8,C8)</f>
        <v/>
      </c>
      <c r="F8" s="22">
        <f>EXP(-E8*B8)</f>
        <v/>
      </c>
      <c r="G8" s="12">
        <f>IFERROR(-LN(F8/F7)/(B8-B7),0)</f>
        <v/>
      </c>
    </row>
    <row r="9">
      <c r="B9" s="21" t="n">
        <v>3</v>
      </c>
      <c r="C9" s="11" t="n">
        <v>0.042</v>
      </c>
      <c r="D9" s="11" t="n">
        <v>0.047</v>
      </c>
      <c r="E9" s="12">
        <f>IF(Cover!$C$9="Downside",D9,C9)</f>
        <v/>
      </c>
      <c r="F9" s="22">
        <f>EXP(-E9*B9)</f>
        <v/>
      </c>
      <c r="G9" s="12">
        <f>IFERROR(-LN(F9/F8)/(B9-B8),0)</f>
        <v/>
      </c>
    </row>
    <row r="10">
      <c r="B10" s="21" t="n">
        <v>5</v>
      </c>
      <c r="C10" s="11" t="n">
        <v>0.043</v>
      </c>
      <c r="D10" s="11" t="n">
        <v>0.05499999999999999</v>
      </c>
      <c r="E10" s="12">
        <f>IF(Cover!$C$9="Downside",D10,C10)</f>
        <v/>
      </c>
      <c r="F10" s="22">
        <f>EXP(-E10*B10)</f>
        <v/>
      </c>
      <c r="G10" s="12">
        <f>IFERROR(-LN(F10/F9)/(B10-B9),0)</f>
        <v/>
      </c>
    </row>
    <row r="11">
      <c r="B11" s="21" t="n">
        <v>7</v>
      </c>
      <c r="C11" s="11" t="n">
        <v>0.045</v>
      </c>
      <c r="D11" s="11" t="n">
        <v>0.057</v>
      </c>
      <c r="E11" s="12">
        <f>IF(Cover!$C$9="Downside",D11,C11)</f>
        <v/>
      </c>
      <c r="F11" s="22">
        <f>EXP(-E11*B11)</f>
        <v/>
      </c>
      <c r="G11" s="12">
        <f>IFERROR(-LN(F11/F10)/(B11-B10),0)</f>
        <v/>
      </c>
    </row>
    <row r="12">
      <c r="B12" s="21" t="n">
        <v>10</v>
      </c>
      <c r="C12" s="11" t="n">
        <v>0.047</v>
      </c>
      <c r="D12" s="11" t="n">
        <v>0.059</v>
      </c>
      <c r="E12" s="12">
        <f>IF(Cover!$C$9="Downside",D12,C12)</f>
        <v/>
      </c>
      <c r="F12" s="22">
        <f>EXP(-E12*B12)</f>
        <v/>
      </c>
      <c r="G12" s="12">
        <f>IFERROR(-LN(F12/F11)/(B12-B11),0)</f>
        <v/>
      </c>
    </row>
    <row r="13">
      <c r="B13" s="21" t="n">
        <v>20</v>
      </c>
      <c r="C13" s="11" t="n">
        <v>0.049</v>
      </c>
      <c r="D13" s="11" t="n">
        <v>0.061</v>
      </c>
      <c r="E13" s="12">
        <f>IF(Cover!$C$9="Downside",D13,C13)</f>
        <v/>
      </c>
      <c r="F13" s="22">
        <f>EXP(-E13*B13)</f>
        <v/>
      </c>
      <c r="G13" s="12">
        <f>IFERROR(-LN(F13/F12)/(B13-B12),0)</f>
        <v/>
      </c>
    </row>
    <row r="14">
      <c r="B14" s="21" t="n">
        <v>30</v>
      </c>
      <c r="C14" s="11" t="n">
        <v>0.05</v>
      </c>
      <c r="D14" s="11" t="n">
        <v>0.062</v>
      </c>
      <c r="E14" s="12">
        <f>IF(Cover!$C$9="Downside",D14,C14)</f>
        <v/>
      </c>
      <c r="F14" s="22">
        <f>EXP(-E14*B14)</f>
        <v/>
      </c>
      <c r="G14" s="12">
        <f>IFERROR(-LN(F14/F13)/(B14-B13),0)</f>
        <v/>
      </c>
    </row>
  </sheetData>
  <mergeCells count="1">
    <mergeCell ref="B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6" customWidth="1" min="4" max="4"/>
    <col width="44" customWidth="1" min="5" max="5"/>
  </cols>
  <sheetData>
    <row r="2" ht="28" customHeight="1">
      <c r="B2" s="1" t="inlineStr">
        <is>
          <t>Bond Price, Duration, and Convexity</t>
        </is>
      </c>
    </row>
    <row r="4">
      <c r="B4" s="8" t="inlineStr">
        <is>
          <t>Metric</t>
        </is>
      </c>
      <c r="C4" s="8" t="inlineStr">
        <is>
          <t>Value</t>
        </is>
      </c>
      <c r="D4" s="8" t="inlineStr">
        <is>
          <t>Units</t>
        </is>
      </c>
      <c r="E4" s="8" t="inlineStr">
        <is>
          <t>Method</t>
        </is>
      </c>
    </row>
    <row r="5">
      <c r="B5" t="inlineStr">
        <is>
          <t>Price</t>
        </is>
      </c>
      <c r="C5" s="10">
        <f>-PV(Assumptions!E7/Assumptions!E9,Assumptions!E8*Assumptions!E9,Assumptions!E5*Assumptions!E6/Assumptions!E9,Assumptions!E5)</f>
        <v/>
      </c>
      <c r="D5" t="inlineStr">
        <is>
          <t>currency</t>
        </is>
      </c>
      <c r="E5" t="inlineStr">
        <is>
          <t>coupon annuity plus principal</t>
        </is>
      </c>
    </row>
    <row r="6">
      <c r="B6" t="inlineStr">
        <is>
          <t>Price +1bp</t>
        </is>
      </c>
      <c r="C6" s="10">
        <f>-PV((Assumptions!E7+Assumptions!E11)/Assumptions!E9,Assumptions!E8*Assumptions!E9,Assumptions!E5*Assumptions!E6/Assumptions!E9,Assumptions!E5)</f>
        <v/>
      </c>
      <c r="D6" t="inlineStr">
        <is>
          <t>currency</t>
        </is>
      </c>
      <c r="E6" t="inlineStr">
        <is>
          <t>finite difference</t>
        </is>
      </c>
    </row>
    <row r="7">
      <c r="B7" t="inlineStr">
        <is>
          <t>Price -1bp</t>
        </is>
      </c>
      <c r="C7" s="10">
        <f>-PV((Assumptions!E7-Assumptions!E11)/Assumptions!E9,Assumptions!E8*Assumptions!E9,Assumptions!E5*Assumptions!E6/Assumptions!E9,Assumptions!E5)</f>
        <v/>
      </c>
      <c r="D7" t="inlineStr">
        <is>
          <t>currency</t>
        </is>
      </c>
      <c r="E7" t="inlineStr">
        <is>
          <t>finite difference</t>
        </is>
      </c>
    </row>
    <row r="8">
      <c r="B8" t="inlineStr">
        <is>
          <t>Numerical modified duration</t>
        </is>
      </c>
      <c r="C8" s="23">
        <f>IFERROR((C7-C6)/(2*C5*Assumptions!E11),0)</f>
        <v/>
      </c>
      <c r="D8" t="inlineStr">
        <is>
          <t>years</t>
        </is>
      </c>
      <c r="E8" t="inlineStr">
        <is>
          <t>central difference</t>
        </is>
      </c>
    </row>
    <row r="9">
      <c r="B9" t="inlineStr">
        <is>
          <t>Numerical convexity</t>
        </is>
      </c>
      <c r="C9" s="23">
        <f>IFERROR((C6+C7-2*C5)/(C5*Assumptions!E11^2),0)</f>
        <v/>
      </c>
      <c r="D9" t="inlineStr">
        <is>
          <t>years^2</t>
        </is>
      </c>
      <c r="E9" t="inlineStr">
        <is>
          <t>second difference</t>
        </is>
      </c>
    </row>
    <row r="10">
      <c r="B10" t="inlineStr">
        <is>
          <t>DV01</t>
        </is>
      </c>
      <c r="C10" s="10">
        <f>(C7-C6)/2</f>
        <v/>
      </c>
      <c r="D10" t="inlineStr">
        <is>
          <t>currency</t>
        </is>
      </c>
      <c r="E10" t="inlineStr">
        <is>
          <t>price value of 1bp</t>
        </is>
      </c>
    </row>
    <row r="11">
      <c r="B11" t="inlineStr">
        <is>
          <t>Current yield</t>
        </is>
      </c>
      <c r="C11" s="12">
        <f>Assumptions!E5*Assumptions!E6/C5</f>
        <v/>
      </c>
      <c r="D11" t="inlineStr">
        <is>
          <t>%</t>
        </is>
      </c>
      <c r="E11" t="inlineStr">
        <is>
          <t>annual coupon / price</t>
        </is>
      </c>
    </row>
    <row r="12">
      <c r="B12" t="inlineStr">
        <is>
          <t>Price under parallel shock</t>
        </is>
      </c>
      <c r="C12" s="10">
        <f>-PV((Assumptions!E7+Assumptions!E10)/Assumptions!E9,Assumptions!E8*Assumptions!E9,Assumptions!E5*Assumptions!E6/Assumptions!E9,Assumptions!E5)</f>
        <v/>
      </c>
      <c r="D12" t="inlineStr">
        <is>
          <t>currency</t>
        </is>
      </c>
      <c r="E12" t="inlineStr">
        <is>
          <t>full repricing</t>
        </is>
      </c>
    </row>
    <row r="13">
      <c r="B13" t="inlineStr">
        <is>
          <t>Duration-convexity estimate</t>
        </is>
      </c>
      <c r="C13" s="10">
        <f>C5*(1-C8*Assumptions!E10+0.5*C9*Assumptions!E10^2)</f>
        <v/>
      </c>
      <c r="D13" t="inlineStr">
        <is>
          <t>currency</t>
        </is>
      </c>
      <c r="E13" t="inlineStr">
        <is>
          <t>second-order approximation</t>
        </is>
      </c>
    </row>
    <row r="14">
      <c r="B14" t="inlineStr">
        <is>
          <t>Approximation residual</t>
        </is>
      </c>
      <c r="C14" s="10">
        <f>C12-C13</f>
        <v/>
      </c>
      <c r="D14" t="inlineStr">
        <is>
          <t>currency</t>
        </is>
      </c>
      <c r="E14" t="inlineStr">
        <is>
          <t>full price less estimate</t>
        </is>
      </c>
    </row>
  </sheetData>
  <mergeCells count="1"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2" ht="28" customHeight="1">
      <c r="B2" s="1" t="inlineStr">
        <is>
          <t>Fixed-Income Portfolio Analytics</t>
        </is>
      </c>
    </row>
    <row r="4">
      <c r="B4" s="8" t="inlineStr">
        <is>
          <t>Security</t>
        </is>
      </c>
      <c r="C4" s="8" t="inlineStr">
        <is>
          <t>Market value</t>
        </is>
      </c>
      <c r="D4" s="8" t="inlineStr">
        <is>
          <t>Coupon</t>
        </is>
      </c>
      <c r="E4" s="8" t="inlineStr">
        <is>
          <t>Yield</t>
        </is>
      </c>
      <c r="F4" s="8" t="inlineStr">
        <is>
          <t>Maturity</t>
        </is>
      </c>
      <c r="G4" s="8" t="inlineStr">
        <is>
          <t>Spread duration</t>
        </is>
      </c>
      <c r="H4" s="8" t="inlineStr">
        <is>
          <t>Price</t>
        </is>
      </c>
      <c r="I4" s="8" t="inlineStr">
        <is>
          <t>Mod duration</t>
        </is>
      </c>
      <c r="J4" s="8" t="inlineStr">
        <is>
          <t>Convexity</t>
        </is>
      </c>
      <c r="K4" s="8" t="inlineStr">
        <is>
          <t>DV01</t>
        </is>
      </c>
    </row>
    <row r="5">
      <c r="B5" s="13" t="inlineStr">
        <is>
          <t>2Y Treasury</t>
        </is>
      </c>
      <c r="C5" s="19" t="n">
        <v>30</v>
      </c>
      <c r="D5" s="11" t="n">
        <v>0.045</v>
      </c>
      <c r="E5" s="11" t="n">
        <v>0.044</v>
      </c>
      <c r="F5" s="13" t="n">
        <v>2</v>
      </c>
      <c r="G5" s="13" t="n">
        <v>0</v>
      </c>
      <c r="H5" s="10">
        <f>-PV(E5/2,F5*2,100*D5/2,100)</f>
        <v/>
      </c>
      <c r="I5" s="23">
        <f>IFERROR(((-PV((E5-0.0001)/2,F5*2,100*D5/2,100))-(-PV((E5+0.0001)/2,F5*2,100*D5/2,100)))/(2*H5*0.0001),0)</f>
        <v/>
      </c>
      <c r="J5" s="23">
        <f>IFERROR(((-PV((E5+0.0001)/2,F5*2,100*D5/2,100))+(-PV((E5-0.0001)/2,F5*2,100*D5/2,100))-2*H5)/(H5*0.0001^2),0)</f>
        <v/>
      </c>
      <c r="K5" s="20">
        <f>C5*I5*0.0001</f>
        <v/>
      </c>
      <c r="L5" s="23" t="n"/>
    </row>
    <row r="6">
      <c r="B6" s="13" t="inlineStr">
        <is>
          <t>5Y Treasury</t>
        </is>
      </c>
      <c r="C6" s="19" t="n">
        <v>40</v>
      </c>
      <c r="D6" s="11" t="n">
        <v>0.043</v>
      </c>
      <c r="E6" s="11" t="n">
        <v>0.045</v>
      </c>
      <c r="F6" s="13" t="n">
        <v>5</v>
      </c>
      <c r="G6" s="13" t="n">
        <v>0</v>
      </c>
      <c r="H6" s="10">
        <f>-PV(E6/2,F6*2,100*D6/2,100)</f>
        <v/>
      </c>
      <c r="I6" s="23">
        <f>IFERROR(((-PV((E6-0.0001)/2,F6*2,100*D6/2,100))-(-PV((E6+0.0001)/2,F6*2,100*D6/2,100)))/(2*H6*0.0001),0)</f>
        <v/>
      </c>
      <c r="J6" s="23">
        <f>IFERROR(((-PV((E6+0.0001)/2,F6*2,100*D6/2,100))+(-PV((E6-0.0001)/2,F6*2,100*D6/2,100))-2*H6)/(H6*0.0001^2),0)</f>
        <v/>
      </c>
      <c r="K6" s="20">
        <f>C6*I6*0.0001</f>
        <v/>
      </c>
      <c r="L6" s="23" t="n"/>
    </row>
    <row r="7">
      <c r="B7" s="13" t="inlineStr">
        <is>
          <t>10Y Treasury</t>
        </is>
      </c>
      <c r="C7" s="19" t="n">
        <v>50</v>
      </c>
      <c r="D7" s="11" t="n">
        <v>0.05</v>
      </c>
      <c r="E7" s="11" t="n">
        <v>0.055</v>
      </c>
      <c r="F7" s="13" t="n">
        <v>10</v>
      </c>
      <c r="G7" s="13" t="n">
        <v>0</v>
      </c>
      <c r="H7" s="10">
        <f>-PV(E7/2,F7*2,100*D7/2,100)</f>
        <v/>
      </c>
      <c r="I7" s="23">
        <f>IFERROR(((-PV((E7-0.0001)/2,F7*2,100*D7/2,100))-(-PV((E7+0.0001)/2,F7*2,100*D7/2,100)))/(2*H7*0.0001),0)</f>
        <v/>
      </c>
      <c r="J7" s="23">
        <f>IFERROR(((-PV((E7+0.0001)/2,F7*2,100*D7/2,100))+(-PV((E7-0.0001)/2,F7*2,100*D7/2,100))-2*H7)/(H7*0.0001^2),0)</f>
        <v/>
      </c>
      <c r="K7" s="20">
        <f>C7*I7*0.0001</f>
        <v/>
      </c>
      <c r="L7" s="23" t="n"/>
    </row>
    <row r="8">
      <c r="B8" s="13" t="inlineStr">
        <is>
          <t>IG Corporate</t>
        </is>
      </c>
      <c r="C8" s="19" t="n">
        <v>45</v>
      </c>
      <c r="D8" s="11" t="n">
        <v>0.06</v>
      </c>
      <c r="E8" s="11" t="n">
        <v>0.068</v>
      </c>
      <c r="F8" s="13" t="n">
        <v>7</v>
      </c>
      <c r="G8" s="13" t="n">
        <v>5.5</v>
      </c>
      <c r="H8" s="10">
        <f>-PV(E8/2,F8*2,100*D8/2,100)</f>
        <v/>
      </c>
      <c r="I8" s="23">
        <f>IFERROR(((-PV((E8-0.0001)/2,F8*2,100*D8/2,100))-(-PV((E8+0.0001)/2,F8*2,100*D8/2,100)))/(2*H8*0.0001),0)</f>
        <v/>
      </c>
      <c r="J8" s="23">
        <f>IFERROR(((-PV((E8+0.0001)/2,F8*2,100*D8/2,100))+(-PV((E8-0.0001)/2,F8*2,100*D8/2,100))-2*H8)/(H8*0.0001^2),0)</f>
        <v/>
      </c>
      <c r="K8" s="20">
        <f>C8*I8*0.0001</f>
        <v/>
      </c>
      <c r="L8" s="23" t="n"/>
    </row>
    <row r="9">
      <c r="B9" s="13" t="inlineStr">
        <is>
          <t>HY Corporate</t>
        </is>
      </c>
      <c r="C9" s="19" t="n">
        <v>25</v>
      </c>
      <c r="D9" s="11" t="n">
        <v>0.08500000000000001</v>
      </c>
      <c r="E9" s="11" t="n">
        <v>0.105</v>
      </c>
      <c r="F9" s="13" t="n">
        <v>5</v>
      </c>
      <c r="G9" s="13" t="n">
        <v>3.8</v>
      </c>
      <c r="H9" s="10">
        <f>-PV(E9/2,F9*2,100*D9/2,100)</f>
        <v/>
      </c>
      <c r="I9" s="23">
        <f>IFERROR(((-PV((E9-0.0001)/2,F9*2,100*D9/2,100))-(-PV((E9+0.0001)/2,F9*2,100*D9/2,100)))/(2*H9*0.0001),0)</f>
        <v/>
      </c>
      <c r="J9" s="23">
        <f>IFERROR(((-PV((E9+0.0001)/2,F9*2,100*D9/2,100))+(-PV((E9-0.0001)/2,F9*2,100*D9/2,100))-2*H9)/(H9*0.0001^2),0)</f>
        <v/>
      </c>
      <c r="K9" s="20">
        <f>C9*I9*0.0001</f>
        <v/>
      </c>
      <c r="L9" s="23" t="n"/>
    </row>
    <row r="10">
      <c r="B10" s="13" t="inlineStr">
        <is>
          <t>Municipal</t>
        </is>
      </c>
      <c r="C10" s="19" t="n">
        <v>20</v>
      </c>
      <c r="D10" s="11" t="n">
        <v>0.04</v>
      </c>
      <c r="E10" s="11" t="n">
        <v>0.046</v>
      </c>
      <c r="F10" s="13" t="n">
        <v>12</v>
      </c>
      <c r="G10" s="13" t="n">
        <v>7.5</v>
      </c>
      <c r="H10" s="10">
        <f>-PV(E10/2,F10*2,100*D10/2,100)</f>
        <v/>
      </c>
      <c r="I10" s="23">
        <f>IFERROR(((-PV((E10-0.0001)/2,F10*2,100*D10/2,100))-(-PV((E10+0.0001)/2,F10*2,100*D10/2,100)))/(2*H10*0.0001),0)</f>
        <v/>
      </c>
      <c r="J10" s="23">
        <f>IFERROR(((-PV((E10+0.0001)/2,F10*2,100*D10/2,100))+(-PV((E10-0.0001)/2,F10*2,100*D10/2,100))-2*H10)/(H10*0.0001^2),0)</f>
        <v/>
      </c>
      <c r="K10" s="20">
        <f>C10*I10*0.0001</f>
        <v/>
      </c>
      <c r="L10" s="23" t="n"/>
    </row>
    <row r="12">
      <c r="B12" s="24" t="inlineStr">
        <is>
          <t>Portfolio total / weighted</t>
        </is>
      </c>
      <c r="C12" s="25">
        <f>SUM(C5:C10)</f>
        <v/>
      </c>
      <c r="D12" s="24" t="n"/>
      <c r="E12" s="24" t="n"/>
      <c r="F12" s="24" t="n"/>
      <c r="G12" s="26">
        <f>SUMPRODUCT(C5:C10,G5:G10)/SUM(C5:C10)</f>
        <v/>
      </c>
      <c r="H12" s="24" t="n"/>
      <c r="I12" s="26">
        <f>SUMPRODUCT(C5:C10,I5:I10)/SUM(C5:C10)</f>
        <v/>
      </c>
      <c r="J12" s="26">
        <f>SUMPRODUCT(C5:C10,J5:J10)/SUM(C5:C10)</f>
        <v/>
      </c>
      <c r="K12" s="25">
        <f>SUM(K5:K10)</f>
        <v/>
      </c>
      <c r="L12" s="26" t="n"/>
    </row>
  </sheetData>
  <mergeCells count="1">
    <mergeCell ref="B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2" ht="28" customHeight="1">
      <c r="B2" s="1" t="inlineStr">
        <is>
          <t>Key-Rate DV01 Approximation</t>
        </is>
      </c>
    </row>
    <row r="4">
      <c r="B4" s="8" t="inlineStr">
        <is>
          <t>Security</t>
        </is>
      </c>
      <c r="C4" s="8" t="inlineStr">
        <is>
          <t>2Y</t>
        </is>
      </c>
      <c r="D4" s="8" t="inlineStr">
        <is>
          <t>5Y</t>
        </is>
      </c>
      <c r="E4" s="8" t="inlineStr">
        <is>
          <t>10Y</t>
        </is>
      </c>
      <c r="F4" s="8" t="inlineStr">
        <is>
          <t>20Y</t>
        </is>
      </c>
      <c r="G4" s="8" t="inlineStr">
        <is>
          <t>30Y</t>
        </is>
      </c>
      <c r="H4" s="8" t="inlineStr">
        <is>
          <t>Total DV01</t>
        </is>
      </c>
    </row>
    <row r="5">
      <c r="B5">
        <f>Portfolio!B5</f>
        <v/>
      </c>
      <c r="C5" s="20">
        <f>Portfolio!K5*MAX(0,1-ABS(Portfolio!F5-2)/MAX(2,2))</f>
        <v/>
      </c>
      <c r="D5" s="20">
        <f>Portfolio!K5*MAX(0,1-ABS(Portfolio!F5-5)/MAX(2,5))</f>
        <v/>
      </c>
      <c r="E5" s="20">
        <f>Portfolio!K5*MAX(0,1-ABS(Portfolio!F5-10)/MAX(2,10))</f>
        <v/>
      </c>
      <c r="F5" s="20">
        <f>Portfolio!K5*MAX(0,1-ABS(Portfolio!F5-20)/MAX(2,20))</f>
        <v/>
      </c>
      <c r="G5" s="20">
        <f>Portfolio!K5*MAX(0,1-ABS(Portfolio!F5-30)/MAX(2,30))</f>
        <v/>
      </c>
      <c r="H5" s="20">
        <f>SUM(C5:G5)</f>
        <v/>
      </c>
    </row>
    <row r="6">
      <c r="B6">
        <f>Portfolio!B6</f>
        <v/>
      </c>
      <c r="C6" s="20">
        <f>Portfolio!K6*MAX(0,1-ABS(Portfolio!F6-2)/MAX(2,2))</f>
        <v/>
      </c>
      <c r="D6" s="20">
        <f>Portfolio!K6*MAX(0,1-ABS(Portfolio!F6-5)/MAX(2,5))</f>
        <v/>
      </c>
      <c r="E6" s="20">
        <f>Portfolio!K6*MAX(0,1-ABS(Portfolio!F6-10)/MAX(2,10))</f>
        <v/>
      </c>
      <c r="F6" s="20">
        <f>Portfolio!K6*MAX(0,1-ABS(Portfolio!F6-20)/MAX(2,20))</f>
        <v/>
      </c>
      <c r="G6" s="20">
        <f>Portfolio!K6*MAX(0,1-ABS(Portfolio!F6-30)/MAX(2,30))</f>
        <v/>
      </c>
      <c r="H6" s="20">
        <f>SUM(C6:G6)</f>
        <v/>
      </c>
    </row>
    <row r="7">
      <c r="B7">
        <f>Portfolio!B7</f>
        <v/>
      </c>
      <c r="C7" s="20">
        <f>Portfolio!K7*MAX(0,1-ABS(Portfolio!F7-2)/MAX(2,2))</f>
        <v/>
      </c>
      <c r="D7" s="20">
        <f>Portfolio!K7*MAX(0,1-ABS(Portfolio!F7-5)/MAX(2,5))</f>
        <v/>
      </c>
      <c r="E7" s="20">
        <f>Portfolio!K7*MAX(0,1-ABS(Portfolio!F7-10)/MAX(2,10))</f>
        <v/>
      </c>
      <c r="F7" s="20">
        <f>Portfolio!K7*MAX(0,1-ABS(Portfolio!F7-20)/MAX(2,20))</f>
        <v/>
      </c>
      <c r="G7" s="20">
        <f>Portfolio!K7*MAX(0,1-ABS(Portfolio!F7-30)/MAX(2,30))</f>
        <v/>
      </c>
      <c r="H7" s="20">
        <f>SUM(C7:G7)</f>
        <v/>
      </c>
    </row>
    <row r="8">
      <c r="B8">
        <f>Portfolio!B8</f>
        <v/>
      </c>
      <c r="C8" s="20">
        <f>Portfolio!K8*MAX(0,1-ABS(Portfolio!F8-2)/MAX(2,2))</f>
        <v/>
      </c>
      <c r="D8" s="20">
        <f>Portfolio!K8*MAX(0,1-ABS(Portfolio!F8-5)/MAX(2,5))</f>
        <v/>
      </c>
      <c r="E8" s="20">
        <f>Portfolio!K8*MAX(0,1-ABS(Portfolio!F8-10)/MAX(2,10))</f>
        <v/>
      </c>
      <c r="F8" s="20">
        <f>Portfolio!K8*MAX(0,1-ABS(Portfolio!F8-20)/MAX(2,20))</f>
        <v/>
      </c>
      <c r="G8" s="20">
        <f>Portfolio!K8*MAX(0,1-ABS(Portfolio!F8-30)/MAX(2,30))</f>
        <v/>
      </c>
      <c r="H8" s="20">
        <f>SUM(C8:G8)</f>
        <v/>
      </c>
    </row>
    <row r="9">
      <c r="B9">
        <f>Portfolio!B9</f>
        <v/>
      </c>
      <c r="C9" s="20">
        <f>Portfolio!K9*MAX(0,1-ABS(Portfolio!F9-2)/MAX(2,2))</f>
        <v/>
      </c>
      <c r="D9" s="20">
        <f>Portfolio!K9*MAX(0,1-ABS(Portfolio!F9-5)/MAX(2,5))</f>
        <v/>
      </c>
      <c r="E9" s="20">
        <f>Portfolio!K9*MAX(0,1-ABS(Portfolio!F9-10)/MAX(2,10))</f>
        <v/>
      </c>
      <c r="F9" s="20">
        <f>Portfolio!K9*MAX(0,1-ABS(Portfolio!F9-20)/MAX(2,20))</f>
        <v/>
      </c>
      <c r="G9" s="20">
        <f>Portfolio!K9*MAX(0,1-ABS(Portfolio!F9-30)/MAX(2,30))</f>
        <v/>
      </c>
      <c r="H9" s="20">
        <f>SUM(C9:G9)</f>
        <v/>
      </c>
    </row>
    <row r="10">
      <c r="B10">
        <f>Portfolio!B10</f>
        <v/>
      </c>
      <c r="C10" s="20">
        <f>Portfolio!K10*MAX(0,1-ABS(Portfolio!F10-2)/MAX(2,2))</f>
        <v/>
      </c>
      <c r="D10" s="20">
        <f>Portfolio!K10*MAX(0,1-ABS(Portfolio!F10-5)/MAX(2,5))</f>
        <v/>
      </c>
      <c r="E10" s="20">
        <f>Portfolio!K10*MAX(0,1-ABS(Portfolio!F10-10)/MAX(2,10))</f>
        <v/>
      </c>
      <c r="F10" s="20">
        <f>Portfolio!K10*MAX(0,1-ABS(Portfolio!F10-20)/MAX(2,20))</f>
        <v/>
      </c>
      <c r="G10" s="20">
        <f>Portfolio!K10*MAX(0,1-ABS(Portfolio!F10-30)/MAX(2,30))</f>
        <v/>
      </c>
      <c r="H10" s="20">
        <f>SUM(C10:G10)</f>
        <v/>
      </c>
    </row>
    <row r="12">
      <c r="B12" s="24" t="inlineStr">
        <is>
          <t>Portfolio key-rate DV01</t>
        </is>
      </c>
      <c r="C12" s="25">
        <f>SUM(C5:C10)</f>
        <v/>
      </c>
      <c r="D12" s="25">
        <f>SUM(D5:D10)</f>
        <v/>
      </c>
      <c r="E12" s="25">
        <f>SUM(E5:E10)</f>
        <v/>
      </c>
      <c r="F12" s="25">
        <f>SUM(F5:F10)</f>
        <v/>
      </c>
      <c r="G12" s="25">
        <f>SUM(G5:G10)</f>
        <v/>
      </c>
      <c r="H12" s="25">
        <f>SUM(H5:H10)</f>
        <v/>
      </c>
    </row>
  </sheetData>
  <mergeCells count="1">
    <mergeCell ref="B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2" ht="28" customHeight="1">
      <c r="B2" s="1" t="inlineStr">
        <is>
          <t>One-Year Carry and Roll-Down</t>
        </is>
      </c>
    </row>
    <row r="4">
      <c r="B4" s="8" t="inlineStr">
        <is>
          <t>Security</t>
        </is>
      </c>
      <c r="C4" s="8" t="inlineStr">
        <is>
          <t>Coupon carry</t>
        </is>
      </c>
      <c r="D4" s="8" t="inlineStr">
        <is>
          <t>Financing cost</t>
        </is>
      </c>
      <c r="E4" s="8" t="inlineStr">
        <is>
          <t>Yield after roll</t>
        </is>
      </c>
      <c r="F4" s="8" t="inlineStr">
        <is>
          <t>Roll P&amp;L</t>
        </is>
      </c>
      <c r="G4" s="8" t="inlineStr">
        <is>
          <t>Total carry + roll</t>
        </is>
      </c>
    </row>
    <row r="5">
      <c r="B5">
        <f>Portfolio!B5</f>
        <v/>
      </c>
      <c r="C5" s="20">
        <f>Portfolio!C5*Portfolio!D5</f>
        <v/>
      </c>
      <c r="D5" s="20">
        <f>Portfolio!C5*Assumptions!E13</f>
        <v/>
      </c>
      <c r="E5" s="12">
        <f>MAX(0,Portfolio!E5-0.002)</f>
        <v/>
      </c>
      <c r="F5" s="20">
        <f>Portfolio!C5*Portfolio!I5*(Portfolio!E5-E5)</f>
        <v/>
      </c>
      <c r="G5" s="20">
        <f>C5-D5+F5</f>
        <v/>
      </c>
    </row>
    <row r="6">
      <c r="B6">
        <f>Portfolio!B6</f>
        <v/>
      </c>
      <c r="C6" s="20">
        <f>Portfolio!C6*Portfolio!D6</f>
        <v/>
      </c>
      <c r="D6" s="20">
        <f>Portfolio!C6*Assumptions!E13</f>
        <v/>
      </c>
      <c r="E6" s="12">
        <f>MAX(0,Portfolio!E6-0.002)</f>
        <v/>
      </c>
      <c r="F6" s="20">
        <f>Portfolio!C6*Portfolio!I6*(Portfolio!E6-E6)</f>
        <v/>
      </c>
      <c r="G6" s="20">
        <f>C6-D6+F6</f>
        <v/>
      </c>
    </row>
    <row r="7">
      <c r="B7">
        <f>Portfolio!B7</f>
        <v/>
      </c>
      <c r="C7" s="20">
        <f>Portfolio!C7*Portfolio!D7</f>
        <v/>
      </c>
      <c r="D7" s="20">
        <f>Portfolio!C7*Assumptions!E13</f>
        <v/>
      </c>
      <c r="E7" s="12">
        <f>MAX(0,Portfolio!E7-0.002)</f>
        <v/>
      </c>
      <c r="F7" s="20">
        <f>Portfolio!C7*Portfolio!I7*(Portfolio!E7-E7)</f>
        <v/>
      </c>
      <c r="G7" s="20">
        <f>C7-D7+F7</f>
        <v/>
      </c>
    </row>
    <row r="8">
      <c r="B8">
        <f>Portfolio!B8</f>
        <v/>
      </c>
      <c r="C8" s="20">
        <f>Portfolio!C8*Portfolio!D8</f>
        <v/>
      </c>
      <c r="D8" s="20">
        <f>Portfolio!C8*Assumptions!E13</f>
        <v/>
      </c>
      <c r="E8" s="12">
        <f>MAX(0,Portfolio!E8-0.002)</f>
        <v/>
      </c>
      <c r="F8" s="20">
        <f>Portfolio!C8*Portfolio!I8*(Portfolio!E8-E8)</f>
        <v/>
      </c>
      <c r="G8" s="20">
        <f>C8-D8+F8</f>
        <v/>
      </c>
    </row>
    <row r="9">
      <c r="B9">
        <f>Portfolio!B9</f>
        <v/>
      </c>
      <c r="C9" s="20">
        <f>Portfolio!C9*Portfolio!D9</f>
        <v/>
      </c>
      <c r="D9" s="20">
        <f>Portfolio!C9*Assumptions!E13</f>
        <v/>
      </c>
      <c r="E9" s="12">
        <f>MAX(0,Portfolio!E9-0.002)</f>
        <v/>
      </c>
      <c r="F9" s="20">
        <f>Portfolio!C9*Portfolio!I9*(Portfolio!E9-E9)</f>
        <v/>
      </c>
      <c r="G9" s="20">
        <f>C9-D9+F9</f>
        <v/>
      </c>
    </row>
    <row r="10">
      <c r="B10">
        <f>Portfolio!B10</f>
        <v/>
      </c>
      <c r="C10" s="20">
        <f>Portfolio!C10*Portfolio!D10</f>
        <v/>
      </c>
      <c r="D10" s="20">
        <f>Portfolio!C10*Assumptions!E13</f>
        <v/>
      </c>
      <c r="E10" s="12">
        <f>MAX(0,Portfolio!E10-0.002)</f>
        <v/>
      </c>
      <c r="F10" s="20">
        <f>Portfolio!C10*Portfolio!I10*(Portfolio!E10-E10)</f>
        <v/>
      </c>
      <c r="G10" s="20">
        <f>C10-D10+F10</f>
        <v/>
      </c>
    </row>
    <row r="12">
      <c r="B12" s="24" t="inlineStr">
        <is>
          <t>Portfolio total</t>
        </is>
      </c>
      <c r="C12" s="25">
        <f>SUM(C5:C10)</f>
        <v/>
      </c>
      <c r="D12" s="25">
        <f>SUM(D5:D10)</f>
        <v/>
      </c>
      <c r="E12" s="25" t="n"/>
      <c r="F12" s="25">
        <f>SUM(F5:F10)</f>
        <v/>
      </c>
      <c r="G12" s="25">
        <f>SUM(G5:G10)</f>
        <v/>
      </c>
    </row>
  </sheetData>
  <mergeCells count="1">
    <mergeCell ref="B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18" customWidth="1" min="9" max="9"/>
  </cols>
  <sheetData>
    <row r="2" ht="28" customHeight="1">
      <c r="B2" s="1" t="inlineStr">
        <is>
          <t>Curve and Spread Scenarios</t>
        </is>
      </c>
    </row>
    <row r="4">
      <c r="B4" s="8" t="inlineStr">
        <is>
          <t>Scenario</t>
        </is>
      </c>
      <c r="C4" s="8" t="inlineStr">
        <is>
          <t>2Y</t>
        </is>
      </c>
      <c r="D4" s="8" t="inlineStr">
        <is>
          <t>5Y</t>
        </is>
      </c>
      <c r="E4" s="8" t="inlineStr">
        <is>
          <t>10Y</t>
        </is>
      </c>
      <c r="F4" s="8" t="inlineStr">
        <is>
          <t>20Y</t>
        </is>
      </c>
      <c r="G4" s="8" t="inlineStr">
        <is>
          <t>30Y</t>
        </is>
      </c>
      <c r="H4" s="8" t="inlineStr">
        <is>
          <t>Credit spread</t>
        </is>
      </c>
      <c r="I4" s="8" t="inlineStr">
        <is>
          <t>Estimated P&amp;L</t>
        </is>
      </c>
    </row>
    <row r="5">
      <c r="B5" t="inlineStr">
        <is>
          <t>Parallel +100bp</t>
        </is>
      </c>
      <c r="C5" s="11" t="n">
        <v>0.01</v>
      </c>
      <c r="D5" s="11" t="n">
        <v>0.01</v>
      </c>
      <c r="E5" s="11" t="n">
        <v>0.01</v>
      </c>
      <c r="F5" s="11" t="n">
        <v>0.01</v>
      </c>
      <c r="G5" s="11" t="n">
        <v>0.01</v>
      </c>
      <c r="H5" s="11" t="n">
        <v>0</v>
      </c>
      <c r="I5" s="20">
        <f>-SUMPRODUCT('Key Rate Risk'!C12:G12,C5:G5)/0.0001-SUMPRODUCT(Portfolio!C5:C10,Portfolio!G5:G10)*H5</f>
        <v/>
      </c>
    </row>
    <row r="6">
      <c r="B6" t="inlineStr">
        <is>
          <t>Parallel -100bp</t>
        </is>
      </c>
      <c r="C6" s="11" t="n">
        <v>-0.01</v>
      </c>
      <c r="D6" s="11" t="n">
        <v>-0.01</v>
      </c>
      <c r="E6" s="11" t="n">
        <v>-0.01</v>
      </c>
      <c r="F6" s="11" t="n">
        <v>-0.01</v>
      </c>
      <c r="G6" s="11" t="n">
        <v>-0.01</v>
      </c>
      <c r="H6" s="11" t="n">
        <v>0</v>
      </c>
      <c r="I6" s="20">
        <f>-SUMPRODUCT('Key Rate Risk'!C12:G12,C6:G6)/0.0001-SUMPRODUCT(Portfolio!C5:C10,Portfolio!G5:G10)*H6</f>
        <v/>
      </c>
    </row>
    <row r="7">
      <c r="B7" t="inlineStr">
        <is>
          <t>Bear steepener</t>
        </is>
      </c>
      <c r="C7" s="11" t="n">
        <v>0.005</v>
      </c>
      <c r="D7" s="11" t="n">
        <v>0.008</v>
      </c>
      <c r="E7" s="11" t="n">
        <v>0.012</v>
      </c>
      <c r="F7" s="11" t="n">
        <v>0.015</v>
      </c>
      <c r="G7" s="11" t="n">
        <v>0.018</v>
      </c>
      <c r="H7" s="11" t="n">
        <v>0.002</v>
      </c>
      <c r="I7" s="20">
        <f>-SUMPRODUCT('Key Rate Risk'!C12:G12,C7:G7)/0.0001-SUMPRODUCT(Portfolio!C5:C10,Portfolio!G5:G10)*H7</f>
        <v/>
      </c>
    </row>
    <row r="8">
      <c r="B8" t="inlineStr">
        <is>
          <t>Bull flattener</t>
        </is>
      </c>
      <c r="C8" s="11" t="n">
        <v>-0.012</v>
      </c>
      <c r="D8" s="11" t="n">
        <v>-0.01</v>
      </c>
      <c r="E8" s="11" t="n">
        <v>-0.008</v>
      </c>
      <c r="F8" s="11" t="n">
        <v>-0.006</v>
      </c>
      <c r="G8" s="11" t="n">
        <v>-0.005</v>
      </c>
      <c r="H8" s="11" t="n">
        <v>-0.001</v>
      </c>
      <c r="I8" s="20">
        <f>-SUMPRODUCT('Key Rate Risk'!C12:G12,C8:G8)/0.0001-SUMPRODUCT(Portfolio!C5:C10,Portfolio!G5:G10)*H8</f>
        <v/>
      </c>
    </row>
    <row r="9">
      <c r="B9" t="inlineStr">
        <is>
          <t>Credit widening</t>
        </is>
      </c>
      <c r="C9" s="11" t="n">
        <v>0.002</v>
      </c>
      <c r="D9" s="11" t="n">
        <v>0.003</v>
      </c>
      <c r="E9" s="11" t="n">
        <v>0.004</v>
      </c>
      <c r="F9" s="11" t="n">
        <v>0.005</v>
      </c>
      <c r="G9" s="11" t="n">
        <v>0.005</v>
      </c>
      <c r="H9" s="11" t="n">
        <v>0.015</v>
      </c>
      <c r="I9" s="20">
        <f>-SUMPRODUCT('Key Rate Risk'!C12:G12,C9:G9)/0.0001-SUMPRODUCT(Portfolio!C5:C10,Portfolio!G5:G10)*H9</f>
        <v/>
      </c>
    </row>
    <row r="10">
      <c r="B10" t="inlineStr">
        <is>
          <t>Risk-off rally</t>
        </is>
      </c>
      <c r="C10" s="11" t="n">
        <v>-0.008</v>
      </c>
      <c r="D10" s="11" t="n">
        <v>-0.01</v>
      </c>
      <c r="E10" s="11" t="n">
        <v>-0.012</v>
      </c>
      <c r="F10" s="11" t="n">
        <v>-0.01</v>
      </c>
      <c r="G10" s="11" t="n">
        <v>-0.008</v>
      </c>
      <c r="H10" s="11" t="n">
        <v>0.02</v>
      </c>
      <c r="I10" s="20">
        <f>-SUMPRODUCT('Key Rate Risk'!C12:G12,C10:G10)/0.0001-SUMPRODUCT(Portfolio!C5:C10,Portfolio!G5:G10)*H10</f>
        <v/>
      </c>
    </row>
  </sheetData>
  <mergeCells count="1">
    <mergeCell ref="B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6" customWidth="1" min="4" max="4"/>
    <col width="18" customWidth="1" min="5" max="5"/>
    <col width="38" customWidth="1" min="6" max="6"/>
  </cols>
  <sheetData>
    <row r="2" ht="28" customHeight="1">
      <c r="B2" s="1" t="inlineStr">
        <is>
          <t>Rates Portfolio P&amp;L Explain</t>
        </is>
      </c>
    </row>
    <row r="4">
      <c r="B4" s="8" t="inlineStr">
        <is>
          <t>Driver</t>
        </is>
      </c>
      <c r="C4" s="8" t="inlineStr">
        <is>
          <t>Exposure</t>
        </is>
      </c>
      <c r="D4" s="8" t="inlineStr">
        <is>
          <t>Move</t>
        </is>
      </c>
      <c r="E4" s="8" t="inlineStr">
        <is>
          <t>P&amp;L</t>
        </is>
      </c>
      <c r="F4" s="8" t="inlineStr">
        <is>
          <t>Notes</t>
        </is>
      </c>
    </row>
    <row r="5">
      <c r="B5" t="inlineStr">
        <is>
          <t>Carry</t>
        </is>
      </c>
      <c r="C5" s="20">
        <f>'Carry &amp; Roll'!C12-'Carry &amp; Roll'!D12</f>
        <v/>
      </c>
      <c r="D5" s="27" t="n">
        <v>1</v>
      </c>
      <c r="E5" s="20">
        <f>C5*D5</f>
        <v/>
      </c>
      <c r="F5" t="inlineStr">
        <is>
          <t>coupon less financing</t>
        </is>
      </c>
    </row>
    <row r="6">
      <c r="B6" t="inlineStr">
        <is>
          <t>Roll-down</t>
        </is>
      </c>
      <c r="C6" s="20">
        <f>'Carry &amp; Roll'!F12</f>
        <v/>
      </c>
      <c r="D6" s="27" t="n">
        <v>1</v>
      </c>
      <c r="E6" s="20">
        <f>C6*D6</f>
        <v/>
      </c>
      <c r="F6" t="inlineStr">
        <is>
          <t>curve roll</t>
        </is>
      </c>
    </row>
    <row r="7">
      <c r="B7" t="inlineStr">
        <is>
          <t>Parallel rates</t>
        </is>
      </c>
      <c r="C7" s="20">
        <f>-Portfolio!K12/0.0001</f>
        <v/>
      </c>
      <c r="D7" s="11" t="n">
        <v>0.0005</v>
      </c>
      <c r="E7" s="20">
        <f>C7*D7</f>
        <v/>
      </c>
      <c r="F7" t="inlineStr">
        <is>
          <t>DV01 x move</t>
        </is>
      </c>
    </row>
    <row r="8">
      <c r="B8" t="inlineStr">
        <is>
          <t>Curve shape</t>
        </is>
      </c>
      <c r="C8" s="20">
        <f>-('Key Rate Risk'!C12*0.0002+'Key Rate Risk'!D12*0.0001-'Key Rate Risk'!F12*0.0001)/0.0001</f>
        <v/>
      </c>
      <c r="D8" s="27" t="n">
        <v>1</v>
      </c>
      <c r="E8" s="20">
        <f>C8*D8</f>
        <v/>
      </c>
      <c r="F8" t="inlineStr">
        <is>
          <t>key-rate attribution</t>
        </is>
      </c>
    </row>
    <row r="9">
      <c r="B9" t="inlineStr">
        <is>
          <t>Credit spread</t>
        </is>
      </c>
      <c r="C9" s="20">
        <f>-SUMPRODUCT(Portfolio!C5:C10,Portfolio!G5:G10)</f>
        <v/>
      </c>
      <c r="D9" s="11" t="n">
        <v>0.0015</v>
      </c>
      <c r="E9" s="20">
        <f>C9*D9</f>
        <v/>
      </c>
      <c r="F9" t="inlineStr">
        <is>
          <t>spread duration</t>
        </is>
      </c>
    </row>
    <row r="10">
      <c r="B10" t="inlineStr">
        <is>
          <t>Convexity</t>
        </is>
      </c>
      <c r="C10" s="20">
        <f>0.5*SUMPRODUCT(Portfolio!C5:C10,Portfolio!J5:J10)</f>
        <v/>
      </c>
      <c r="D10" s="11" t="n">
        <v>2.5e-07</v>
      </c>
      <c r="E10" s="20">
        <f>C10*D10</f>
        <v/>
      </c>
      <c r="F10" t="inlineStr">
        <is>
          <t>second order</t>
        </is>
      </c>
    </row>
    <row r="13">
      <c r="B13" t="inlineStr">
        <is>
          <t>Explained P&amp;L</t>
        </is>
      </c>
      <c r="E13" s="20">
        <f>SUM(E5:E10)</f>
        <v/>
      </c>
    </row>
    <row r="14">
      <c r="B14" t="inlineStr">
        <is>
          <t>Actual P&amp;L</t>
        </is>
      </c>
      <c r="E14" s="19" t="n">
        <v>1.2</v>
      </c>
    </row>
    <row r="15">
      <c r="B15" t="inlineStr">
        <is>
          <t>Unexplained P&amp;L</t>
        </is>
      </c>
      <c r="E15" s="20">
        <f>E14-E13</f>
        <v/>
      </c>
    </row>
  </sheetData>
  <mergeCells count="1">
    <mergeCell ref="B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</cols>
  <sheetData>
    <row r="2" ht="28" customHeight="1">
      <c r="B2" s="1" t="inlineStr">
        <is>
          <t>Fixed-Income 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Price positive</t>
        </is>
      </c>
      <c r="C5">
        <f>IF('Bond Analytics'!C5&gt;0,"PASS","FAIL")</f>
        <v/>
      </c>
    </row>
    <row r="6">
      <c r="B6" t="inlineStr">
        <is>
          <t>Price decreases as yield rises</t>
        </is>
      </c>
      <c r="C6">
        <f>IF('Bond Analytics'!C6&lt;'Bond Analytics'!C5,"PASS","FAIL")</f>
        <v/>
      </c>
    </row>
    <row r="7">
      <c r="B7" t="inlineStr">
        <is>
          <t>Duration positive</t>
        </is>
      </c>
      <c r="C7">
        <f>IF('Bond Analytics'!C8&gt;0,"PASS","FAIL")</f>
        <v/>
      </c>
    </row>
    <row r="8">
      <c r="B8" t="inlineStr">
        <is>
          <t>Convexity positive</t>
        </is>
      </c>
      <c r="C8">
        <f>IF('Bond Analytics'!C9&gt;0,"PASS","FAIL")</f>
        <v/>
      </c>
    </row>
    <row r="9">
      <c r="B9" t="inlineStr">
        <is>
          <t>Key-rate DV01 reconciles</t>
        </is>
      </c>
      <c r="C9">
        <f>IF(ABS('Key Rate Risk'!H12-Portfolio!K12)&lt;0.10,"PASS","REVIEW")</f>
        <v/>
      </c>
    </row>
    <row r="10">
      <c r="B10" t="inlineStr">
        <is>
          <t>Curve discount factors decreasing</t>
        </is>
      </c>
      <c r="C10">
        <f>IF(MAX('Zero Curve'!F6:F14-'Zero Curve'!F5:F13)&lt;=0,"PASS","REVIEW")</f>
        <v/>
      </c>
    </row>
    <row r="11">
      <c r="B11" t="inlineStr">
        <is>
          <t>P&amp;L explain populated</t>
        </is>
      </c>
      <c r="C11">
        <f>IF(COUNT('P&amp;L Explain'!E5:E10)=6,"PASS","FAIL")</f>
        <v/>
      </c>
    </row>
    <row r="12">
      <c r="B12" t="inlineStr">
        <is>
          <t>Overall</t>
        </is>
      </c>
      <c r="C12">
        <f>IF(COUNTIF(C5:C11,"FAIL")=0,"PASS","FAIL")</f>
        <v/>
      </c>
    </row>
  </sheetData>
  <mergeCells count="1">
    <mergeCell ref="B2:C2"/>
  </mergeCells>
  <conditionalFormatting sqref="C5:C12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8" t="inlineStr">
        <is>
          <t>Security terms and cash flows</t>
        </is>
      </c>
      <c r="C5" s="28" t="inlineStr">
        <is>
          <t>[prospectus / terms URL]</t>
        </is>
      </c>
      <c r="D5" s="28" t="inlineStr">
        <is>
          <t>[date]</t>
        </is>
      </c>
      <c r="E5" s="28" t="inlineStr">
        <is>
          <t>Coupon, maturity, callability, indexation</t>
        </is>
      </c>
    </row>
    <row r="6">
      <c r="B6" s="28" t="inlineStr">
        <is>
          <t>Benchmark and zero curves</t>
        </is>
      </c>
      <c r="C6" s="28" t="inlineStr">
        <is>
          <t>https://home.treasury.gov/resource-center/data-chart-center/interest-rates</t>
        </is>
      </c>
      <c r="D6" s="28" t="inlineStr">
        <is>
          <t>[timestamp]</t>
        </is>
      </c>
      <c r="E6" s="28" t="inlineStr">
        <is>
          <t>Document interpolation and compounding</t>
        </is>
      </c>
    </row>
    <row r="7">
      <c r="B7" s="28" t="inlineStr">
        <is>
          <t>Credit spreads and prices</t>
        </is>
      </c>
      <c r="C7" s="28" t="inlineStr">
        <is>
          <t>[market data URL]</t>
        </is>
      </c>
      <c r="D7" s="28" t="inlineStr">
        <is>
          <t>[timestamp]</t>
        </is>
      </c>
      <c r="E7" s="28" t="inlineStr">
        <is>
          <t>Bid/ask, liquidity, source hierarchy</t>
        </is>
      </c>
    </row>
    <row r="8">
      <c r="B8" s="28" t="inlineStr">
        <is>
          <t>Financing and repo</t>
        </is>
      </c>
      <c r="C8" s="28" t="inlineStr">
        <is>
          <t>[broker / central bank source]</t>
        </is>
      </c>
      <c r="D8" s="28" t="inlineStr">
        <is>
          <t>[date]</t>
        </is>
      </c>
      <c r="E8" s="28" t="inlineStr">
        <is>
          <t>Haircuts, specials, term, and currency basis</t>
        </is>
      </c>
    </row>
    <row r="9">
      <c r="B9" s="28" t="inlineStr">
        <is>
          <t>Portfolio positions</t>
        </is>
      </c>
      <c r="C9" s="28" t="inlineStr">
        <is>
          <t>[OMS / custody source]</t>
        </is>
      </c>
      <c r="D9" s="28" t="inlineStr">
        <is>
          <t>[timestamp]</t>
        </is>
      </c>
      <c r="E9" s="28" t="inlineStr">
        <is>
          <t>Reconcile quantities, accrued interest, and market value</t>
        </is>
      </c>
    </row>
  </sheetData>
  <mergeCells count="1">
    <mergeCell ref="B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9" t="n"/>
      <c r="C5" s="29" t="n"/>
      <c r="D5" s="29" t="n"/>
      <c r="E5" s="29" t="n"/>
      <c r="F5" s="29" t="n"/>
      <c r="G5" s="29" t="n"/>
    </row>
    <row r="6">
      <c r="B6" s="29" t="n"/>
      <c r="C6" s="29" t="n"/>
      <c r="D6" s="29" t="n"/>
      <c r="E6" s="29" t="n"/>
      <c r="F6" s="29" t="n"/>
      <c r="G6" s="29" t="n"/>
    </row>
    <row r="7">
      <c r="B7" s="29" t="n"/>
      <c r="C7" s="29" t="n"/>
      <c r="D7" s="29" t="n"/>
      <c r="E7" s="29" t="n"/>
      <c r="F7" s="29" t="n"/>
      <c r="G7" s="29" t="n"/>
    </row>
    <row r="8">
      <c r="B8" s="29" t="n"/>
      <c r="C8" s="29" t="n"/>
      <c r="D8" s="29" t="n"/>
      <c r="E8" s="29" t="n"/>
      <c r="F8" s="29" t="n"/>
      <c r="G8" s="29" t="n"/>
    </row>
    <row r="9">
      <c r="B9" s="29" t="n"/>
      <c r="C9" s="29" t="n"/>
      <c r="D9" s="29" t="n"/>
      <c r="E9" s="29" t="n"/>
      <c r="F9" s="29" t="n"/>
      <c r="G9" s="29" t="n"/>
    </row>
    <row r="10">
      <c r="B10" s="29" t="n"/>
      <c r="C10" s="29" t="n"/>
      <c r="D10" s="29" t="n"/>
      <c r="E10" s="29" t="n"/>
      <c r="F10" s="29" t="n"/>
      <c r="G10" s="29" t="n"/>
    </row>
    <row r="11">
      <c r="B11" s="29" t="n"/>
      <c r="C11" s="29" t="n"/>
      <c r="D11" s="29" t="n"/>
      <c r="E11" s="29" t="n"/>
      <c r="F11" s="29" t="n"/>
      <c r="G11" s="29" t="n"/>
    </row>
    <row r="12">
      <c r="B12" s="29" t="n"/>
      <c r="C12" s="29" t="n"/>
      <c r="D12" s="29" t="n"/>
      <c r="E12" s="29" t="n"/>
      <c r="F12" s="29" t="n"/>
      <c r="G12" s="29" t="n"/>
    </row>
    <row r="13">
      <c r="B13" s="29" t="n"/>
      <c r="C13" s="29" t="n"/>
      <c r="D13" s="29" t="n"/>
      <c r="E13" s="29" t="n"/>
      <c r="F13" s="29" t="n"/>
      <c r="G13" s="29" t="n"/>
    </row>
    <row r="14">
      <c r="B14" s="29" t="n"/>
      <c r="C14" s="29" t="n"/>
      <c r="D14" s="29" t="n"/>
      <c r="E14" s="29" t="n"/>
      <c r="F14" s="29" t="n"/>
      <c r="G14" s="29" t="n"/>
    </row>
    <row r="15">
      <c r="B15" s="29" t="n"/>
      <c r="C15" s="29" t="n"/>
      <c r="D15" s="29" t="n"/>
      <c r="E15" s="29" t="n"/>
      <c r="F15" s="29" t="n"/>
      <c r="G15" s="29" t="n"/>
    </row>
    <row r="16">
      <c r="B16" s="29" t="n"/>
      <c r="C16" s="29" t="n"/>
      <c r="D16" s="29" t="n"/>
      <c r="E16" s="29" t="n"/>
      <c r="F16" s="29" t="n"/>
      <c r="G16" s="29" t="n"/>
    </row>
    <row r="17">
      <c r="B17" s="29" t="n"/>
      <c r="C17" s="29" t="n"/>
      <c r="D17" s="29" t="n"/>
      <c r="E17" s="29" t="n"/>
      <c r="F17" s="29" t="n"/>
      <c r="G17" s="29" t="n"/>
    </row>
    <row r="18">
      <c r="B18" s="29" t="n"/>
      <c r="C18" s="29" t="n"/>
      <c r="D18" s="29" t="n"/>
      <c r="E18" s="29" t="n"/>
      <c r="F18" s="29" t="n"/>
      <c r="G18" s="29" t="n"/>
    </row>
    <row r="19">
      <c r="B19" s="29" t="n"/>
      <c r="C19" s="29" t="n"/>
      <c r="D19" s="29" t="n"/>
      <c r="E19" s="29" t="n"/>
      <c r="F19" s="29" t="n"/>
      <c r="G19" s="29" t="n"/>
    </row>
    <row r="20">
      <c r="B20" s="29" t="n"/>
      <c r="C20" s="29" t="n"/>
      <c r="D20" s="29" t="n"/>
      <c r="E20" s="29" t="n"/>
      <c r="F20" s="29" t="n"/>
      <c r="G20" s="29" t="n"/>
    </row>
    <row r="21">
      <c r="B21" s="29" t="n"/>
      <c r="C21" s="29" t="n"/>
      <c r="D21" s="29" t="n"/>
      <c r="E21" s="29" t="n"/>
      <c r="F21" s="29" t="n"/>
      <c r="G21" s="29" t="n"/>
    </row>
    <row r="22">
      <c r="B22" s="29" t="n"/>
      <c r="C22" s="29" t="n"/>
      <c r="D22" s="29" t="n"/>
      <c r="E22" s="29" t="n"/>
      <c r="F22" s="29" t="n"/>
      <c r="G22" s="29" t="n"/>
    </row>
    <row r="23">
      <c r="B23" s="29" t="n"/>
      <c r="C23" s="29" t="n"/>
      <c r="D23" s="29" t="n"/>
      <c r="E23" s="29" t="n"/>
      <c r="F23" s="29" t="n"/>
      <c r="G23" s="29" t="n"/>
    </row>
    <row r="24">
      <c r="B24" s="29" t="n"/>
      <c r="C24" s="29" t="n"/>
      <c r="D24" s="29" t="n"/>
      <c r="E24" s="29" t="n"/>
      <c r="F24" s="29" t="n"/>
      <c r="G24" s="29" t="n"/>
    </row>
    <row r="25">
      <c r="B25" s="29" t="n"/>
      <c r="C25" s="29" t="n"/>
      <c r="D25" s="29" t="n"/>
      <c r="E25" s="29" t="n"/>
      <c r="F25" s="29" t="n"/>
      <c r="G25" s="29" t="n"/>
    </row>
    <row r="26">
      <c r="B26" s="29" t="n"/>
      <c r="C26" s="29" t="n"/>
      <c r="D26" s="29" t="n"/>
      <c r="E26" s="29" t="n"/>
      <c r="F26" s="29" t="n"/>
      <c r="G26" s="29" t="n"/>
    </row>
    <row r="27">
      <c r="B27" s="29" t="n"/>
      <c r="C27" s="29" t="n"/>
      <c r="D27" s="29" t="n"/>
      <c r="E27" s="29" t="n"/>
      <c r="F27" s="29" t="n"/>
      <c r="G27" s="29" t="n"/>
    </row>
    <row r="28">
      <c r="B28" s="29" t="n"/>
      <c r="C28" s="29" t="n"/>
      <c r="D28" s="29" t="n"/>
      <c r="E28" s="29" t="n"/>
      <c r="F28" s="29" t="n"/>
      <c r="G28" s="29" t="n"/>
    </row>
    <row r="29">
      <c r="B29" s="29" t="n"/>
      <c r="C29" s="29" t="n"/>
      <c r="D29" s="29" t="n"/>
      <c r="E29" s="29" t="n"/>
      <c r="F29" s="29" t="n"/>
      <c r="G29" s="29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2026-08-05T22:48:46Z</dcterms:created>
  <dcterms:modified xmlns:dcterms="http://purl.org/dc/terms/" xmlns:xsi="http://www.w3.org/2001/XMLSchema-instance" xsi:type="dcterms:W3CDTF">2026-08-05T22:48:46Z</dcterms:modified>
</cp:coreProperties>
</file>