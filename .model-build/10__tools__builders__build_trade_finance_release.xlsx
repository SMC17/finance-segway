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Working Capital Cycle" sheetId="5" state="visible" r:id="rId5"/>
    <sheet xmlns:r="http://schemas.openxmlformats.org/officeDocument/2006/relationships" name="Credit &amp; Facility" sheetId="6" state="visible" r:id="rId6"/>
    <sheet xmlns:r="http://schemas.openxmlformats.org/officeDocument/2006/relationships" name="LC &amp; Factoring Cost" sheetId="7" state="visible" r:id="rId7"/>
    <sheet xmlns:r="http://schemas.openxmlformats.org/officeDocument/2006/relationships" name="Documentary Controls" sheetId="8" state="visible" r:id="rId8"/>
    <sheet xmlns:r="http://schemas.openxmlformats.org/officeDocument/2006/relationships" name="Decision &amp; Checks" sheetId="9" state="visible" r:id="rId9"/>
    <sheet xmlns:r="http://schemas.openxmlformats.org/officeDocument/2006/relationships" name="Financing Cost Comparison" sheetId="10" state="visible" r:id="rId10"/>
    <sheet xmlns:r="http://schemas.openxmlformats.org/officeDocument/2006/relationships" name="RefreshLog" sheetId="11" state="visible" r:id="rId11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"/>
    <numFmt numFmtId="166" formatCode="0.0%;(0.0%);&quot;-&quot;"/>
    <numFmt numFmtId="167" formatCode="#,##0;(#,##0);&quot;-&quot;"/>
    <numFmt numFmtId="168" formatCode="0.00%;(0.00%);&quot;-&quot;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164" fontId="3" fillId="3" borderId="1" pivotButton="0" quotePrefix="0" xfId="0"/>
    <xf numFmtId="165" fontId="0" fillId="0" borderId="1" pivotButton="0" quotePrefix="0" xfId="0"/>
    <xf numFmtId="165" fontId="2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166" fontId="3" fillId="3" borderId="1" pivotButton="0" quotePrefix="0" xfId="0"/>
    <xf numFmtId="167" fontId="3" fillId="3" borderId="1" pivotButton="0" quotePrefix="0" xfId="0"/>
    <xf numFmtId="164" fontId="2" fillId="0" borderId="1" pivotButton="0" quotePrefix="0" xfId="0"/>
    <xf numFmtId="166" fontId="0" fillId="0" borderId="1" pivotButton="0" quotePrefix="0" xfId="0"/>
    <xf numFmtId="166" fontId="2" fillId="0" borderId="1" pivotButton="0" quotePrefix="0" xfId="0"/>
    <xf numFmtId="168" fontId="3" fillId="3" borderId="1" pivotButton="0" quotePrefix="0" xfId="0"/>
    <xf numFmtId="0" fontId="6" fillId="4" borderId="0" applyAlignment="1" pivotButton="0" quotePrefix="0" xfId="0">
      <alignment horizontal="center"/>
    </xf>
    <xf numFmtId="166" fontId="7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[COUNTERPARTY] — Trade Finance Model</t>
        </is>
      </c>
    </row>
    <row r="4">
      <c r="B4" s="2" t="inlineStr">
        <is>
          <t>Counterparty:</t>
        </is>
      </c>
      <c r="C4" s="3" t="inlineStr">
        <is>
          <t>[fill in]</t>
        </is>
      </c>
    </row>
    <row r="5">
      <c r="B5" s="2" t="inlineStr">
        <is>
          <t>Trade corridor:</t>
        </is>
      </c>
      <c r="C5" s="3" t="inlineStr">
        <is>
          <t>[e.g. exporter-importer country pair]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Refresh cadence:</t>
        </is>
      </c>
      <c r="C7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3" t="inlineStr">
        <is>
          <t>Trade Finance — Institutional Decision Surface</t>
        </is>
      </c>
    </row>
    <row r="4">
      <c r="B4" s="24" t="inlineStr">
        <is>
          <t>Model ID</t>
        </is>
      </c>
      <c r="C4" s="25" t="inlineStr">
        <is>
          <t>10</t>
        </is>
      </c>
    </row>
    <row r="5">
      <c r="B5" s="24" t="inlineStr">
        <is>
          <t>Domain</t>
        </is>
      </c>
      <c r="C5" s="25" t="inlineStr">
        <is>
          <t>Trade Finance</t>
        </is>
      </c>
    </row>
    <row r="6">
      <c r="B6" s="24" t="inlineStr">
        <is>
          <t>Declared maturity</t>
        </is>
      </c>
      <c r="C6" s="25" t="inlineStr">
        <is>
          <t>M2</t>
        </is>
      </c>
    </row>
    <row r="7">
      <c r="B7" s="24" t="inlineStr">
        <is>
          <t>Canonical builder</t>
        </is>
      </c>
      <c r="C7" s="25" t="inlineStr">
        <is>
          <t>tools/builders/build_trade_finance_release.py</t>
        </is>
      </c>
    </row>
    <row r="8">
      <c r="B8" s="24" t="inlineStr">
        <is>
          <t>Decision arena</t>
        </is>
      </c>
      <c r="C8" s="25" t="inlineStr">
        <is>
          <t>trade desk, credit, operations, sanctions and country-risk committee</t>
        </is>
      </c>
    </row>
    <row r="9">
      <c r="B9" s="24" t="inlineStr">
        <is>
          <t>Committee artifact</t>
        </is>
      </c>
      <c r="C9" s="25" t="inlineStr">
        <is>
          <t>transaction approval and exception pack</t>
        </is>
      </c>
    </row>
    <row r="10">
      <c r="B10" s="24" t="inlineStr">
        <is>
          <t>Operating cadence</t>
        </is>
      </c>
      <c r="C10" s="25" t="inlineStr">
        <is>
          <t>daily transaction monitoring; weekly exceptions</t>
        </is>
      </c>
    </row>
    <row r="12">
      <c r="B12" s="26" t="inlineStr">
        <is>
          <t>Key decision outputs</t>
        </is>
      </c>
    </row>
    <row r="13">
      <c r="B13" s="27" t="inlineStr">
        <is>
          <t>#</t>
        </is>
      </c>
      <c r="C13" s="27" t="inlineStr">
        <is>
          <t>Requirement</t>
        </is>
      </c>
      <c r="D13" s="27" t="inlineStr">
        <is>
          <t>Owner</t>
        </is>
      </c>
      <c r="E13" s="27" t="inlineStr">
        <is>
          <t>Evidence / location</t>
        </is>
      </c>
      <c r="F13" s="27" t="inlineStr">
        <is>
          <t>Status</t>
        </is>
      </c>
    </row>
    <row r="14">
      <c r="B14" t="n">
        <v>1</v>
      </c>
      <c r="C14" t="inlineStr">
        <is>
          <t>self-liquidating cash cycle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facility utilization and borrowing base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LC / guarantee cost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6" t="inlineStr">
        <is>
          <t>Insider questions</t>
        </is>
      </c>
    </row>
    <row r="21">
      <c r="B21" s="27" t="inlineStr">
        <is>
          <t>#</t>
        </is>
      </c>
      <c r="C21" s="27" t="inlineStr">
        <is>
          <t>Requirement</t>
        </is>
      </c>
      <c r="D21" s="27" t="inlineStr">
        <is>
          <t>Owner</t>
        </is>
      </c>
      <c r="E21" s="27" t="inlineStr">
        <is>
          <t>Evidence / location</t>
        </is>
      </c>
      <c r="F21" s="27" t="inlineStr">
        <is>
          <t>Status</t>
        </is>
      </c>
    </row>
    <row r="22">
      <c r="B22" t="n">
        <v>1</v>
      </c>
      <c r="C22" t="inlineStr">
        <is>
          <t>Who controls title at each stage?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document discrepancy prevents payment?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bank and country risks are correlated?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6" t="inlineStr">
        <is>
          <t>Scenario families</t>
        </is>
      </c>
    </row>
    <row r="29">
      <c r="B29" s="27" t="inlineStr">
        <is>
          <t>#</t>
        </is>
      </c>
      <c r="C29" s="27" t="inlineStr">
        <is>
          <t>Requirement</t>
        </is>
      </c>
      <c r="D29" s="27" t="inlineStr">
        <is>
          <t>Owner</t>
        </is>
      </c>
      <c r="E29" s="27" t="inlineStr">
        <is>
          <t>Evidence / location</t>
        </is>
      </c>
      <c r="F29" s="27" t="inlineStr">
        <is>
          <t>Status</t>
        </is>
      </c>
    </row>
    <row r="30">
      <c r="B30" t="n">
        <v>1</v>
      </c>
      <c r="C30" t="inlineStr">
        <is>
          <t>shipment delay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document discrepancy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buyer default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6" t="inlineStr">
        <is>
          <t>Primary diligence documents</t>
        </is>
      </c>
    </row>
    <row r="37">
      <c r="B37" s="27" t="inlineStr">
        <is>
          <t>#</t>
        </is>
      </c>
      <c r="C37" s="27" t="inlineStr">
        <is>
          <t>Requirement</t>
        </is>
      </c>
      <c r="D37" s="27" t="inlineStr">
        <is>
          <t>Owner</t>
        </is>
      </c>
      <c r="E37" s="27" t="inlineStr">
        <is>
          <t>Evidence / location</t>
        </is>
      </c>
      <c r="F37" s="27" t="inlineStr">
        <is>
          <t>Status</t>
        </is>
      </c>
    </row>
    <row r="38">
      <c r="B38" t="n">
        <v>1</v>
      </c>
      <c r="C38" t="inlineStr">
        <is>
          <t>commercial invoice and purchase order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bill of lading / warehouse receipt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letter of credit or guarantee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6" t="inlineStr">
        <is>
          <t>Challenge tests</t>
        </is>
      </c>
    </row>
    <row r="45">
      <c r="B45" s="27" t="inlineStr">
        <is>
          <t>#</t>
        </is>
      </c>
      <c r="C45" s="27" t="inlineStr">
        <is>
          <t>Requirement</t>
        </is>
      </c>
      <c r="D45" s="27" t="inlineStr">
        <is>
          <t>Owner</t>
        </is>
      </c>
      <c r="E45" s="27" t="inlineStr">
        <is>
          <t>Evidence / location</t>
        </is>
      </c>
      <c r="F45" s="27" t="inlineStr">
        <is>
          <t>Status</t>
        </is>
      </c>
    </row>
    <row r="46">
      <c r="B46" t="n">
        <v>1</v>
      </c>
      <c r="C46" t="inlineStr">
        <is>
          <t>cash conversion closes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exposure follows goods and documents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fees reflect tenor and utilization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6" t="inlineStr">
        <is>
          <t>Known failure modes</t>
        </is>
      </c>
    </row>
    <row r="53">
      <c r="B53" s="27" t="inlineStr">
        <is>
          <t>#</t>
        </is>
      </c>
      <c r="C53" s="27" t="inlineStr">
        <is>
          <t>Requirement</t>
        </is>
      </c>
      <c r="D53" s="27" t="inlineStr">
        <is>
          <t>Owner</t>
        </is>
      </c>
      <c r="E53" s="27" t="inlineStr">
        <is>
          <t>Evidence / location</t>
        </is>
      </c>
      <c r="F53" s="27" t="inlineStr">
        <is>
          <t>Status</t>
        </is>
      </c>
    </row>
    <row r="54">
      <c r="B54" t="n">
        <v>1</v>
      </c>
      <c r="C54" t="inlineStr">
        <is>
          <t>assuming documents eliminate performance risk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discrepancy cure time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double-counting insurance and collateral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6" t="inlineStr">
        <is>
          <t>Regulatory / methodological anchors</t>
        </is>
      </c>
    </row>
    <row r="61">
      <c r="B61" s="27" t="inlineStr">
        <is>
          <t>Standard</t>
        </is>
      </c>
      <c r="C61" s="27" t="inlineStr">
        <is>
          <t>Scope</t>
        </is>
      </c>
      <c r="D61" s="27" t="inlineStr">
        <is>
          <t>Source URL</t>
        </is>
      </c>
      <c r="E61" s="27" t="inlineStr">
        <is>
          <t>Applicability</t>
        </is>
      </c>
      <c r="F61" s="27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Framework</t>
        </is>
      </c>
      <c r="C63" t="inlineStr">
        <is>
          <t>prudential capital, liquidity, credit and market risk</t>
        </is>
      </c>
      <c r="D63" t="inlineStr">
        <is>
          <t>https://www.bis.org/basel_framework/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3" t="inlineStr">
        <is>
          <t>Independent Challenge, Override and Closure Log</t>
        </is>
      </c>
    </row>
    <row r="4">
      <c r="B4" s="27" t="inlineStr">
        <is>
          <t>Date</t>
        </is>
      </c>
      <c r="C4" s="27" t="inlineStr">
        <is>
          <t>Reviewer</t>
        </is>
      </c>
      <c r="D4" s="27" t="inlineStr">
        <is>
          <t>Challenge</t>
        </is>
      </c>
      <c r="E4" s="27" t="inlineStr">
        <is>
          <t>Owner response</t>
        </is>
      </c>
      <c r="F4" s="27" t="inlineStr">
        <is>
          <t>Evidence</t>
        </is>
      </c>
      <c r="G4" s="27" t="inlineStr">
        <is>
          <t>Impact</t>
        </is>
      </c>
      <c r="H4" s="27" t="inlineStr">
        <is>
          <t>Status</t>
        </is>
      </c>
      <c r="I4" s="27" t="inlineStr">
        <is>
          <t>Closure</t>
        </is>
      </c>
    </row>
    <row r="5">
      <c r="B5" t="inlineStr"/>
      <c r="C5" t="inlineStr"/>
      <c r="D5" t="inlineStr">
        <is>
          <t>cash conversion closes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exposure follows goods and documents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fees reflect tenor and utilization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3" t="inlineStr">
        <is>
          <t>Source, Transformation, Ownership and Refresh Map</t>
        </is>
      </c>
    </row>
    <row r="4">
      <c r="B4" s="27" t="inlineStr">
        <is>
          <t>Source class</t>
        </is>
      </c>
      <c r="C4" s="27" t="inlineStr">
        <is>
          <t>Cadence</t>
        </is>
      </c>
      <c r="D4" s="27" t="inlineStr">
        <is>
          <t>Control</t>
        </is>
      </c>
      <c r="E4" s="27" t="inlineStr">
        <is>
          <t>System / provider</t>
        </is>
      </c>
      <c r="F4" s="27" t="inlineStr">
        <is>
          <t>As-of</t>
        </is>
      </c>
      <c r="G4" s="27" t="inlineStr">
        <is>
          <t>Owner</t>
        </is>
      </c>
      <c r="H4" s="27" t="inlineStr">
        <is>
          <t>Transform</t>
        </is>
      </c>
      <c r="I4" s="27" t="inlineStr">
        <is>
          <t>Downstream</t>
        </is>
      </c>
      <c r="J4" s="27" t="inlineStr">
        <is>
          <t>Status</t>
        </is>
      </c>
    </row>
    <row r="5">
      <c r="B5" t="inlineStr">
        <is>
          <t>shipment events</t>
        </is>
      </c>
      <c r="C5" t="inlineStr">
        <is>
          <t>event-driven</t>
        </is>
      </c>
      <c r="D5" t="inlineStr">
        <is>
          <t>document and logistics match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facility usage</t>
        </is>
      </c>
      <c r="C6" t="inlineStr">
        <is>
          <t>daily</t>
        </is>
      </c>
      <c r="D6" t="inlineStr">
        <is>
          <t>transaction-level utilization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Cash Conversion Cycle</t>
        </is>
      </c>
    </row>
    <row r="4">
      <c r="B4" s="4" t="inlineStr">
        <is>
          <t>Inputs</t>
        </is>
      </c>
    </row>
    <row r="5">
      <c r="B5" s="5" t="inlineStr">
        <is>
          <t>Revenue ($, annual)</t>
        </is>
      </c>
      <c r="C5" s="6" t="n">
        <v>0</v>
      </c>
    </row>
    <row r="6">
      <c r="B6" s="5" t="inlineStr">
        <is>
          <t>COGS ($, annual)</t>
        </is>
      </c>
      <c r="C6" s="6" t="n">
        <v>0</v>
      </c>
    </row>
    <row r="7">
      <c r="B7" s="5" t="inlineStr">
        <is>
          <t>Average accounts receivable ($)</t>
        </is>
      </c>
      <c r="C7" s="6" t="n">
        <v>0</v>
      </c>
    </row>
    <row r="8">
      <c r="B8" s="5" t="inlineStr">
        <is>
          <t>Average inventory ($)</t>
        </is>
      </c>
      <c r="C8" s="6" t="n">
        <v>0</v>
      </c>
    </row>
    <row r="9">
      <c r="B9" s="5" t="inlineStr">
        <is>
          <t>Average accounts payable ($)</t>
        </is>
      </c>
      <c r="C9" s="6" t="n">
        <v>0</v>
      </c>
    </row>
    <row r="11">
      <c r="B11" s="4" t="inlineStr">
        <is>
          <t>Outputs</t>
        </is>
      </c>
    </row>
    <row r="12">
      <c r="B12" t="inlineStr">
        <is>
          <t>DSO (Days Sales Outstanding)</t>
        </is>
      </c>
      <c r="C12" s="7">
        <f>IFERROR(C7/C5*365,"-")</f>
        <v/>
      </c>
    </row>
    <row r="13">
      <c r="B13" t="inlineStr">
        <is>
          <t>DIO (Days Inventory Outstanding)</t>
        </is>
      </c>
      <c r="C13" s="7">
        <f>IFERROR(C8/C6*365,"-")</f>
        <v/>
      </c>
    </row>
    <row r="14">
      <c r="B14" t="inlineStr">
        <is>
          <t>DPO (Days Payable Outstanding)</t>
        </is>
      </c>
      <c r="C14" s="7">
        <f>IFERROR(C9/C6*365,"-")</f>
        <v/>
      </c>
    </row>
    <row r="15">
      <c r="B15" t="inlineStr">
        <is>
          <t>Cash Conversion Cycle (DSO+DIO-DPO)</t>
        </is>
      </c>
      <c r="C15" s="8">
        <f>IFERROR(C12+C13-C14,"-")</f>
        <v/>
      </c>
      <c r="D15" s="9" t="inlineStr">
        <is>
          <t>Days cash tied up per cycle — lower/negative is better (supplier financing your growth)</t>
        </is>
      </c>
    </row>
    <row r="16">
      <c r="B16" t="inlineStr">
        <is>
          <t>Working capital required ($, approx.)</t>
        </is>
      </c>
      <c r="C16" s="10">
        <f>IFERROR(C15/365*C6,"-")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2">
      <c r="B2" s="1" t="inlineStr">
        <is>
          <t>Counterparty Credit, Country Risk, and Facility Utilization</t>
        </is>
      </c>
    </row>
    <row r="3">
      <c r="B3" t="inlineStr">
        <is>
          <t>Active scenario</t>
        </is>
      </c>
      <c r="C3" s="21" t="inlineStr">
        <is>
          <t>Base</t>
        </is>
      </c>
    </row>
    <row r="4">
      <c r="B4" s="17" t="inlineStr">
        <is>
          <t>Metric</t>
        </is>
      </c>
      <c r="C4" s="17" t="inlineStr">
        <is>
          <t>Base</t>
        </is>
      </c>
      <c r="D4" s="17" t="inlineStr">
        <is>
          <t>Downside</t>
        </is>
      </c>
      <c r="E4" s="17" t="inlineStr">
        <is>
          <t>Active</t>
        </is>
      </c>
      <c r="F4" s="17" t="inlineStr">
        <is>
          <t>Owner / interpretation</t>
        </is>
      </c>
    </row>
    <row r="5">
      <c r="B5" t="inlineStr">
        <is>
          <t>Facility limit</t>
        </is>
      </c>
      <c r="C5" s="6" t="n">
        <v>100</v>
      </c>
      <c r="D5" s="6" t="n">
        <v>100</v>
      </c>
      <c r="E5" s="10">
        <f>IF($C$3="Downside",D5,C5)</f>
        <v/>
      </c>
      <c r="F5" t="inlineStr">
        <is>
          <t>approved committed amount</t>
        </is>
      </c>
    </row>
    <row r="6">
      <c r="B6" t="inlineStr">
        <is>
          <t>Drawn amount</t>
        </is>
      </c>
      <c r="C6" s="6" t="n">
        <v>60</v>
      </c>
      <c r="D6" s="6" t="n">
        <v>120</v>
      </c>
      <c r="E6" s="10">
        <f>IF($C$3="Downside",D6,C6)</f>
        <v/>
      </c>
      <c r="F6" t="inlineStr">
        <is>
          <t>current and stress utilization</t>
        </is>
      </c>
    </row>
    <row r="7">
      <c r="B7" t="inlineStr">
        <is>
          <t>Exposure at default</t>
        </is>
      </c>
      <c r="C7" s="6" t="n">
        <v>60</v>
      </c>
      <c r="D7" s="6" t="n">
        <v>120</v>
      </c>
      <c r="E7" s="10">
        <f>IF($C$3="Downside",D7,C7)</f>
        <v/>
      </c>
      <c r="F7" t="inlineStr">
        <is>
          <t>drawn plus applicable contingent exposure</t>
        </is>
      </c>
    </row>
    <row r="8">
      <c r="B8" t="inlineStr">
        <is>
          <t>Probability of default</t>
        </is>
      </c>
      <c r="C8" s="11" t="n">
        <v>0.02</v>
      </c>
      <c r="D8" s="11" t="n">
        <v>0.2</v>
      </c>
      <c r="E8" s="14">
        <f>IF($C$3="Downside",D8,C8)</f>
        <v/>
      </c>
      <c r="F8" t="inlineStr">
        <is>
          <t>point-in-time or approved stress PD</t>
        </is>
      </c>
    </row>
    <row r="9">
      <c r="B9" t="inlineStr">
        <is>
          <t>Loss given default</t>
        </is>
      </c>
      <c r="C9" s="11" t="n">
        <v>0.4</v>
      </c>
      <c r="D9" s="11" t="n">
        <v>0.7</v>
      </c>
      <c r="E9" s="14">
        <f>IF($C$3="Downside",D9,C9)</f>
        <v/>
      </c>
      <c r="F9" t="inlineStr">
        <is>
          <t>net of collateral and recoveries</t>
        </is>
      </c>
    </row>
    <row r="10">
      <c r="B10" t="inlineStr">
        <is>
          <t>Gross transaction margin</t>
        </is>
      </c>
      <c r="C10" s="6" t="n">
        <v>8</v>
      </c>
      <c r="D10" s="6" t="n">
        <v>10</v>
      </c>
      <c r="E10" s="10">
        <f>IF($C$3="Downside",D10,C10)</f>
        <v/>
      </c>
      <c r="F10" t="inlineStr">
        <is>
          <t>before credit and country risk</t>
        </is>
      </c>
    </row>
    <row r="11">
      <c r="B11" t="inlineStr">
        <is>
          <t>Country / transfer-risk cost</t>
        </is>
      </c>
      <c r="C11" s="6" t="n">
        <v>0.5</v>
      </c>
      <c r="D11" s="6" t="n">
        <v>5</v>
      </c>
      <c r="E11" s="10">
        <f>IF($C$3="Downside",D11,C11)</f>
        <v/>
      </c>
      <c r="F11" t="inlineStr">
        <is>
          <t>approved economic charge</t>
        </is>
      </c>
    </row>
    <row r="12">
      <c r="B12" t="inlineStr">
        <is>
          <t>Maximum utilization</t>
        </is>
      </c>
      <c r="C12" s="11" t="n">
        <v>0.9</v>
      </c>
      <c r="D12" s="11" t="n">
        <v>0.9</v>
      </c>
      <c r="E12" s="14">
        <f>IF($C$3="Downside",D12,C12)</f>
        <v/>
      </c>
      <c r="F12" t="inlineStr">
        <is>
          <t>warning threshold</t>
        </is>
      </c>
    </row>
    <row r="13">
      <c r="B13" t="inlineStr">
        <is>
          <t>Maximum cash-conversion days</t>
        </is>
      </c>
      <c r="C13" s="22" t="n">
        <v>120</v>
      </c>
      <c r="D13" s="22" t="n">
        <v>120</v>
      </c>
      <c r="E13" s="7">
        <f>IF($C$3="Downside",D13,C13)</f>
        <v/>
      </c>
      <c r="F13" t="inlineStr">
        <is>
          <t>working-capital warning threshold</t>
        </is>
      </c>
    </row>
    <row r="16">
      <c r="B16" s="4" t="inlineStr">
        <is>
          <t>Derived outputs</t>
        </is>
      </c>
    </row>
    <row r="17">
      <c r="B17" t="inlineStr">
        <is>
          <t>Facility utilization</t>
        </is>
      </c>
      <c r="E17" s="14">
        <f>IFERROR(E6/E5,0)</f>
        <v/>
      </c>
    </row>
    <row r="18">
      <c r="B18" t="inlineStr">
        <is>
          <t>Expected loss</t>
        </is>
      </c>
      <c r="E18" s="10">
        <f>E7*E8*E9</f>
        <v/>
      </c>
    </row>
    <row r="19">
      <c r="B19" t="inlineStr">
        <is>
          <t>Risk-adjusted margin</t>
        </is>
      </c>
      <c r="E19" s="10">
        <f>E10-E18-E11</f>
        <v/>
      </c>
    </row>
    <row r="20">
      <c r="B20" t="inlineStr">
        <is>
          <t>Cash conversion days</t>
        </is>
      </c>
      <c r="E20" s="7">
        <f>'Working Capital Cycle'!C15</f>
        <v/>
      </c>
    </row>
    <row r="21">
      <c r="B21" t="inlineStr">
        <is>
          <t>Approximate working capital need</t>
        </is>
      </c>
      <c r="E21" s="10">
        <f>'Working Capital Cycle'!C16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Letter of Credit &amp; Factoring Cost Model</t>
        </is>
      </c>
    </row>
    <row r="4">
      <c r="B4" s="4" t="inlineStr">
        <is>
          <t>Letter of Credit</t>
        </is>
      </c>
    </row>
    <row r="5">
      <c r="B5" s="5" t="inlineStr">
        <is>
          <t>LC face value ($)</t>
        </is>
      </c>
      <c r="C5" s="6" t="n">
        <v>0</v>
      </c>
    </row>
    <row r="6">
      <c r="B6" s="5" t="inlineStr">
        <is>
          <t>Issuance fee %</t>
        </is>
      </c>
      <c r="C6" s="11" t="n">
        <v>0.015</v>
      </c>
    </row>
    <row r="7">
      <c r="B7" s="5" t="inlineStr">
        <is>
          <t>Confirmation fee %</t>
        </is>
      </c>
      <c r="C7" s="11" t="n">
        <v>0.01</v>
      </c>
    </row>
    <row r="8">
      <c r="B8" s="5" t="inlineStr">
        <is>
          <t>Tenor (days)</t>
        </is>
      </c>
      <c r="C8" s="12" t="n">
        <v>90</v>
      </c>
    </row>
    <row r="9">
      <c r="B9" t="inlineStr">
        <is>
          <t>Total LC cost ($)</t>
        </is>
      </c>
      <c r="C9" s="13">
        <f>C5*(C6+C7)*(C8/365)</f>
        <v/>
      </c>
    </row>
    <row r="10">
      <c r="B10" t="inlineStr">
        <is>
          <t>Annualized LC cost %</t>
        </is>
      </c>
      <c r="C10" s="14">
        <f>IFERROR(C9/C5/(C8/365),"-")</f>
        <v/>
      </c>
    </row>
    <row r="13">
      <c r="B13" s="4" t="inlineStr">
        <is>
          <t>Factoring / Invoice Discounting</t>
        </is>
      </c>
    </row>
    <row r="14">
      <c r="B14" s="5" t="inlineStr">
        <is>
          <t>Invoice face value ($)</t>
        </is>
      </c>
      <c r="C14" s="6" t="n">
        <v>0</v>
      </c>
    </row>
    <row r="15">
      <c r="B15" s="5" t="inlineStr">
        <is>
          <t>Advance rate %</t>
        </is>
      </c>
      <c r="C15" s="11" t="n">
        <v>0.85</v>
      </c>
    </row>
    <row r="16">
      <c r="B16" s="5" t="inlineStr">
        <is>
          <t>Discount/factor fee %</t>
        </is>
      </c>
      <c r="C16" s="11" t="n">
        <v>0.02</v>
      </c>
    </row>
    <row r="17">
      <c r="B17" s="5" t="inlineStr">
        <is>
          <t>Days to collection</t>
        </is>
      </c>
      <c r="C17" s="12" t="n">
        <v>60</v>
      </c>
    </row>
    <row r="18">
      <c r="B18" t="inlineStr">
        <is>
          <t>Cash advanced immediately ($)</t>
        </is>
      </c>
      <c r="C18" s="10">
        <f>C14*C15</f>
        <v/>
      </c>
    </row>
    <row r="19">
      <c r="B19" t="inlineStr">
        <is>
          <t>Factoring fee ($)</t>
        </is>
      </c>
      <c r="C19" s="10">
        <f>C14*C16</f>
        <v/>
      </c>
    </row>
    <row r="20">
      <c r="B20" t="inlineStr">
        <is>
          <t>Net proceeds after collection ($)</t>
        </is>
      </c>
      <c r="C20" s="10">
        <f>C14-C19</f>
        <v/>
      </c>
    </row>
    <row r="21">
      <c r="B21" t="inlineStr">
        <is>
          <t>Effective annualized cost of factoring %</t>
        </is>
      </c>
      <c r="C21" s="15">
        <f>IFERROR(C19/C20*365/C17,"-")</f>
        <v/>
      </c>
      <c r="D21" s="9" t="inlineStr">
        <is>
          <t>Effective cost uses the fee divided by net proceeds and annualizes by the collection period.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Documentary Credit Examination and Exception Register</t>
        </is>
      </c>
    </row>
    <row r="4">
      <c r="B4" s="17" t="inlineStr">
        <is>
          <t>Control</t>
        </is>
      </c>
      <c r="C4" s="17" t="inlineStr">
        <is>
          <t>Input / metric</t>
        </is>
      </c>
      <c r="D4" s="17" t="inlineStr">
        <is>
          <t>Status</t>
        </is>
      </c>
      <c r="E4" s="17" t="inlineStr">
        <is>
          <t>Evidence / action</t>
        </is>
      </c>
    </row>
    <row r="5">
      <c r="B5" t="inlineStr">
        <is>
          <t>Days from shipment to presentation</t>
        </is>
      </c>
      <c r="C5" s="12" t="n">
        <v>10</v>
      </c>
      <c r="D5" s="20">
        <f>IF(C5&lt;=21,"PASS","REVIEW")</f>
        <v/>
      </c>
      <c r="E5" t="inlineStr">
        <is>
          <t>compare against credit terms and applicable presentation period</t>
        </is>
      </c>
    </row>
    <row r="6">
      <c r="B6" t="inlineStr">
        <is>
          <t>Document discrepancies identified</t>
        </is>
      </c>
      <c r="C6" s="12" t="n">
        <v>0</v>
      </c>
      <c r="D6" s="20">
        <f>IF(C6=0,"PASS","REVIEW")</f>
        <v/>
      </c>
      <c r="E6" t="inlineStr">
        <is>
          <t>retain discrepancy list, waiver, refusal, or cure evidence</t>
        </is>
      </c>
    </row>
    <row r="7">
      <c r="B7" t="inlineStr">
        <is>
          <t>Sanctions / restricted-party screening complete</t>
        </is>
      </c>
      <c r="C7" s="12" t="n">
        <v>1</v>
      </c>
      <c r="D7" s="20">
        <f>IF(C7=1,"PASS","BREACH")</f>
        <v/>
      </c>
      <c r="E7" t="inlineStr">
        <is>
          <t>1=yes; evidence must be dated and corridor-specific</t>
        </is>
      </c>
    </row>
    <row r="8">
      <c r="B8" t="inlineStr">
        <is>
          <t>Transport / title document matched</t>
        </is>
      </c>
      <c r="C8" s="12" t="n">
        <v>1</v>
      </c>
      <c r="D8" s="20">
        <f>IF(C8=1,"PASS","BREACH")</f>
        <v/>
      </c>
      <c r="E8" t="inlineStr">
        <is>
          <t>1=yes; verify issuer, consignee, dates, quantity, and goods description</t>
        </is>
      </c>
    </row>
    <row r="9">
      <c r="B9" t="inlineStr">
        <is>
          <t>Insurance document matched where required</t>
        </is>
      </c>
      <c r="C9" s="12" t="n">
        <v>1</v>
      </c>
      <c r="D9" s="20">
        <f>IF(C9=1,"PASS","REVIEW")</f>
        <v/>
      </c>
      <c r="E9" t="inlineStr">
        <is>
          <t>1=yes; review insured amount, risks, currency, and date</t>
        </is>
      </c>
    </row>
    <row r="10">
      <c r="B10" t="inlineStr">
        <is>
          <t>Refusal / discrepancy notice within required period</t>
        </is>
      </c>
      <c r="C10" s="12" t="n">
        <v>1</v>
      </c>
      <c r="D10" s="20">
        <f>IF(C10=1,"PASS","BREACH")</f>
        <v/>
      </c>
      <c r="E10" t="inlineStr">
        <is>
          <t>1=yes; retain timestamp and complete discrepancy statement</t>
        </is>
      </c>
    </row>
    <row r="11">
      <c r="B11" t="inlineStr">
        <is>
          <t>Counterparty waiver documented</t>
        </is>
      </c>
      <c r="C11" s="12" t="n">
        <v>1</v>
      </c>
      <c r="D11" s="20">
        <f>IF(OR(C6=0,C11=1),"PASS","BREACH")</f>
        <v/>
      </c>
      <c r="E11" t="inlineStr">
        <is>
          <t>1=yes when discrepant documents are accepted</t>
        </is>
      </c>
    </row>
    <row r="12">
      <c r="B12" t="inlineStr">
        <is>
          <t>Original documents / electronic presentation controlled</t>
        </is>
      </c>
      <c r="C12" s="12" t="n">
        <v>1</v>
      </c>
      <c r="D12" s="20">
        <f>IF(C12=1,"PASS","BREACH")</f>
        <v/>
      </c>
      <c r="E12" t="inlineStr">
        <is>
          <t>1=yes; preserve authenticity, version, and presentation evidence</t>
        </is>
      </c>
    </row>
    <row r="14">
      <c r="B14" s="9" t="inlineStr">
        <is>
          <t>This register operationalizes documentary review but is not a substitute for legal advice or the controlling credit text.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Trade Finance Decision Dashboard and Independent Checks</t>
        </is>
      </c>
    </row>
    <row r="4">
      <c r="B4" s="17" t="inlineStr">
        <is>
          <t>Check / decision</t>
        </is>
      </c>
      <c r="C4" s="17" t="inlineStr">
        <is>
          <t>Metric</t>
        </is>
      </c>
      <c r="D4" s="17" t="inlineStr">
        <is>
          <t>Status</t>
        </is>
      </c>
      <c r="E4" s="17" t="inlineStr">
        <is>
          <t>Interpretation / action</t>
        </is>
      </c>
    </row>
    <row r="5">
      <c r="B5" t="inlineStr">
        <is>
          <t>Cash-conversion identity residual</t>
        </is>
      </c>
      <c r="C5" s="20">
        <f>IF(AND(ISNUMBER('Working Capital Cycle'!C15),ISNUMBER('Working Capital Cycle'!C12),ISNUMBER('Working Capital Cycle'!C13),ISNUMBER('Working Capital Cycle'!C14)),'Working Capital Cycle'!C15-('Working Capital Cycle'!C12+'Working Capital Cycle'!C13-'Working Capital Cycle'!C14),0)</f>
        <v/>
      </c>
      <c r="D5" s="20">
        <f>IF(AND(ISNUMBER('Working Capital Cycle'!C15),ISNUMBER('Working Capital Cycle'!C12),ISNUMBER('Working Capital Cycle'!C13),ISNUMBER('Working Capital Cycle'!C14)),IF(ABS(C5)&lt;0.000001,"PASS","FAIL"),"REVIEW")</f>
        <v/>
      </c>
      <c r="E5" t="inlineStr">
        <is>
          <t>DSO plus DIO less DPO must equal the reported cash-conversion cycle.</t>
        </is>
      </c>
    </row>
    <row r="6">
      <c r="B6" t="inlineStr">
        <is>
          <t>Facility utilization</t>
        </is>
      </c>
      <c r="C6" s="20">
        <f>'Credit &amp; Facility'!E17</f>
        <v/>
      </c>
      <c r="D6" s="20">
        <f>IF(C6&lt;='Credit &amp; Facility'!E12,"PASS",IF(C6&lt;=1,"REVIEW","BREACH"))</f>
        <v/>
      </c>
      <c r="E6" t="inlineStr">
        <is>
          <t>Escalate excess utilization and contingent-exposure conversion.</t>
        </is>
      </c>
    </row>
    <row r="7">
      <c r="B7" t="inlineStr">
        <is>
          <t>Expected loss residual</t>
        </is>
      </c>
      <c r="C7" s="20">
        <f>'Credit &amp; Facility'!E18-'Credit &amp; Facility'!E7*'Credit &amp; Facility'!E8*'Credit &amp; Facility'!E9</f>
        <v/>
      </c>
      <c r="D7" s="20">
        <f>IF(ABS(C7)&lt;0.000001,"PASS","FAIL")</f>
        <v/>
      </c>
      <c r="E7" t="inlineStr">
        <is>
          <t>Expected loss must equal EAD multiplied by PD and LGD.</t>
        </is>
      </c>
    </row>
    <row r="8">
      <c r="B8" t="inlineStr">
        <is>
          <t>Risk-adjusted margin</t>
        </is>
      </c>
      <c r="C8" s="20">
        <f>'Credit &amp; Facility'!E19</f>
        <v/>
      </c>
      <c r="D8" s="20">
        <f>IF(C8&gt;=0,"PASS","BREACH")</f>
        <v/>
      </c>
      <c r="E8" t="inlineStr">
        <is>
          <t>A transaction that loses money after credit and country risk should not be approved on nominal margin.</t>
        </is>
      </c>
    </row>
    <row r="9">
      <c r="B9" t="inlineStr">
        <is>
          <t>Cash-conversion days</t>
        </is>
      </c>
      <c r="C9" s="20">
        <f>'Credit &amp; Facility'!E20</f>
        <v/>
      </c>
      <c r="D9" s="20">
        <f>IF(NOT(ISNUMBER(C9)),"REVIEW",IF(C9&lt;='Credit &amp; Facility'!E13,"PASS","REVIEW"))</f>
        <v/>
      </c>
      <c r="E9" t="inlineStr">
        <is>
          <t>Longer cycles increase funding and performance risk.</t>
        </is>
      </c>
    </row>
    <row r="10">
      <c r="B10" t="inlineStr">
        <is>
          <t>Annualized LC cost</t>
        </is>
      </c>
      <c r="C10" s="20">
        <f>'LC &amp; Factoring Cost'!C10</f>
        <v/>
      </c>
      <c r="D10" s="20">
        <f>IF(ISNUMBER(C10),"PASS","REVIEW")</f>
        <v/>
      </c>
      <c r="E10" t="inlineStr">
        <is>
          <t>Confirm tenor, issuance, confirmation, amendment, and discrepancy fees.</t>
        </is>
      </c>
    </row>
    <row r="11">
      <c r="B11" t="inlineStr">
        <is>
          <t>Effective factoring APR</t>
        </is>
      </c>
      <c r="C11" s="20">
        <f>'LC &amp; Factoring Cost'!C21</f>
        <v/>
      </c>
      <c r="D11" s="20">
        <f>IF(ISNUMBER(C11),"PASS","REVIEW")</f>
        <v/>
      </c>
      <c r="E11" t="inlineStr">
        <is>
          <t>Compare fee to net proceeds and actual collection period.</t>
        </is>
      </c>
    </row>
    <row r="12">
      <c r="B12" t="inlineStr">
        <is>
          <t>Documentary-control exceptions</t>
        </is>
      </c>
      <c r="C12" s="20">
        <f>COUNTIF('Documentary Controls'!D5:D12,"&lt;&gt;PASS")</f>
        <v/>
      </c>
      <c r="D12" s="20">
        <f>IF(C12=0,"PASS","REVIEW")</f>
        <v/>
      </c>
      <c r="E12" t="inlineStr">
        <is>
          <t>No financing-cost comparison overrides unresolved documentary or sanctions controls.</t>
        </is>
      </c>
    </row>
    <row r="14">
      <c r="B14" s="2" t="inlineStr">
        <is>
          <t>Overall model status</t>
        </is>
      </c>
      <c r="C14" s="19">
        <f>IF(COUNTIF(D5:D12,"FAIL")+COUNTIF(D5:D12,"BREACH")&gt;0,"BREACH",IF(COUNTIF(D5:D12,"REVIEW")&gt;0,"REVIEW","PASS"))</f>
        <v/>
      </c>
    </row>
    <row r="16">
      <c r="B16" s="4" t="inlineStr">
        <is>
          <t>Primary decision outputs</t>
        </is>
      </c>
    </row>
    <row r="17">
      <c r="B17" t="inlineStr">
        <is>
          <t>Cash conversion days</t>
        </is>
      </c>
      <c r="C17" s="7">
        <f>'Working Capital Cycle'!C15</f>
        <v/>
      </c>
    </row>
    <row r="18">
      <c r="B18" t="inlineStr">
        <is>
          <t>Working capital required</t>
        </is>
      </c>
      <c r="C18" s="10">
        <f>'Working Capital Cycle'!C16</f>
        <v/>
      </c>
    </row>
    <row r="19">
      <c r="B19" t="inlineStr">
        <is>
          <t>Facility utilization</t>
        </is>
      </c>
      <c r="C19" s="14">
        <f>'Credit &amp; Facility'!E17</f>
        <v/>
      </c>
    </row>
    <row r="20">
      <c r="B20" t="inlineStr">
        <is>
          <t>Expected loss</t>
        </is>
      </c>
      <c r="C20" s="10">
        <f>'Credit &amp; Facility'!E18</f>
        <v/>
      </c>
    </row>
    <row r="21">
      <c r="B21" t="inlineStr">
        <is>
          <t>Risk-adjusted margin</t>
        </is>
      </c>
      <c r="C21" s="10">
        <f>'Credit &amp; Facility'!E19</f>
        <v/>
      </c>
    </row>
    <row r="22">
      <c r="B22" t="inlineStr">
        <is>
          <t>Cheapest financing channel</t>
        </is>
      </c>
      <c r="C22" s="20">
        <f>'Financing Cost Comparison'!C19</f>
        <v/>
      </c>
    </row>
    <row r="23">
      <c r="B23" t="inlineStr">
        <is>
          <t>Cheapest annualized cost</t>
        </is>
      </c>
      <c r="C23" s="14">
        <f>'Financing Cost Comparison'!C20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Which Financing Channel Is Cheapest?</t>
        </is>
      </c>
    </row>
    <row r="4">
      <c r="B4" s="4" t="inlineStr">
        <is>
          <t>Revolving credit line (alternative)</t>
        </is>
      </c>
    </row>
    <row r="5">
      <c r="B5" s="5" t="inlineStr">
        <is>
          <t>Draw amount ($)</t>
        </is>
      </c>
      <c r="C5" s="6" t="n">
        <v>0</v>
      </c>
    </row>
    <row r="6">
      <c r="B6" s="5" t="inlineStr">
        <is>
          <t>Base rate + spread, all-in (%)</t>
        </is>
      </c>
      <c r="C6" s="16" t="n">
        <v>0.08</v>
      </c>
    </row>
    <row r="7">
      <c r="B7" s="5" t="inlineStr">
        <is>
          <t>Commitment fee on undrawn (%)</t>
        </is>
      </c>
      <c r="C7" s="16" t="n">
        <v>0.005</v>
      </c>
    </row>
    <row r="8">
      <c r="B8" s="5" t="inlineStr">
        <is>
          <t>Undrawn facility amount ($)</t>
        </is>
      </c>
      <c r="C8" s="6" t="n">
        <v>0</v>
      </c>
    </row>
    <row r="9">
      <c r="B9" t="inlineStr">
        <is>
          <t>Revolver interest cost ($)</t>
        </is>
      </c>
      <c r="C9" s="10">
        <f>C5*C6</f>
        <v/>
      </c>
    </row>
    <row r="10">
      <c r="B10" t="inlineStr">
        <is>
          <t>Revolver commitment fee ($)</t>
        </is>
      </c>
      <c r="C10" s="10">
        <f>C7*C8</f>
        <v/>
      </c>
    </row>
    <row r="11">
      <c r="B11" t="inlineStr">
        <is>
          <t>Revolver annualized all-in cost %</t>
        </is>
      </c>
      <c r="C11" s="14">
        <f>IFERROR((C9+C10)/C5,"-")</f>
        <v/>
      </c>
    </row>
    <row r="13">
      <c r="B13" s="4" t="inlineStr">
        <is>
          <t>Comparison</t>
        </is>
      </c>
    </row>
    <row r="14">
      <c r="B14" s="17" t="inlineStr">
        <is>
          <t>Channel</t>
        </is>
      </c>
      <c r="C14" s="17" t="inlineStr">
        <is>
          <t>Annualized cost %</t>
        </is>
      </c>
    </row>
    <row r="15">
      <c r="B15" t="inlineStr">
        <is>
          <t>Letter of credit</t>
        </is>
      </c>
      <c r="C15" s="18">
        <f>'LC &amp; Factoring Cost'!C10</f>
        <v/>
      </c>
    </row>
    <row r="16">
      <c r="B16" t="inlineStr">
        <is>
          <t>Factoring / invoice discounting</t>
        </is>
      </c>
      <c r="C16" s="18">
        <f>'LC &amp; Factoring Cost'!C21</f>
        <v/>
      </c>
    </row>
    <row r="17">
      <c r="B17" t="inlineStr">
        <is>
          <t>Revolving credit line</t>
        </is>
      </c>
      <c r="C17" s="18">
        <f>C11</f>
        <v/>
      </c>
    </row>
    <row r="19">
      <c r="B19" t="inlineStr">
        <is>
          <t>Cheapest channel</t>
        </is>
      </c>
      <c r="C19" s="19">
        <f>IF(COUNT(C15:C17)&lt;3,"-",INDEX(B15:B17,MATCH(MIN(C15:C17),C15:C17,0)))</f>
        <v/>
      </c>
      <c r="D19" s="9" t="inlineStr">
        <is>
          <t>Only declares a winner once all three channels have real numbers — one live rate shouldn't beat two blanks by default</t>
        </is>
      </c>
    </row>
    <row r="20">
      <c r="B20" t="inlineStr">
        <is>
          <t>Cheapest annualized cost %</t>
        </is>
      </c>
      <c r="C20" s="15">
        <f>IF(COUNT(C15:C17)&lt;3,"-",MIN(C15:C17))</f>
        <v/>
      </c>
      <c r="D20" s="9" t="inlineStr">
        <is>
          <t>Compares only financing cost — also weigh speed, collateral/covenant burden, and counterparty credit risk transfer (LC shifts payment risk to the issuing bank; factoring can be non-recourse)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17" t="inlineStr">
        <is>
          <t>Date</t>
        </is>
      </c>
      <c r="C4" s="17" t="inlineStr">
        <is>
          <t>Trigger</t>
        </is>
      </c>
      <c r="D4" s="17" t="inlineStr">
        <is>
          <t>What changed</t>
        </is>
      </c>
      <c r="E4" s="17" t="inlineStr">
        <is>
          <t>Reviewer notes</t>
        </is>
      </c>
      <c r="F4" s="17" t="inlineStr">
        <is>
          <t>Next check</t>
        </is>
      </c>
    </row>
    <row r="5">
      <c r="B5" s="20" t="n"/>
      <c r="C5" s="20" t="n"/>
      <c r="D5" s="20" t="n"/>
      <c r="E5" s="20" t="n"/>
      <c r="F5" s="20" t="n"/>
    </row>
    <row r="6">
      <c r="B6" s="20" t="n"/>
      <c r="C6" s="20" t="n"/>
      <c r="D6" s="20" t="n"/>
      <c r="E6" s="20" t="n"/>
      <c r="F6" s="20" t="n"/>
    </row>
    <row r="7">
      <c r="B7" s="20" t="n"/>
      <c r="C7" s="20" t="n"/>
      <c r="D7" s="20" t="n"/>
      <c r="E7" s="20" t="n"/>
      <c r="F7" s="20" t="n"/>
    </row>
    <row r="8">
      <c r="B8" s="20" t="n"/>
      <c r="C8" s="20" t="n"/>
      <c r="D8" s="20" t="n"/>
      <c r="E8" s="20" t="n"/>
      <c r="F8" s="20" t="n"/>
    </row>
    <row r="9">
      <c r="B9" s="20" t="n"/>
      <c r="C9" s="20" t="n"/>
      <c r="D9" s="20" t="n"/>
      <c r="E9" s="20" t="n"/>
      <c r="F9" s="20" t="n"/>
    </row>
    <row r="10">
      <c r="B10" s="20" t="n"/>
      <c r="C10" s="20" t="n"/>
      <c r="D10" s="20" t="n"/>
      <c r="E10" s="20" t="n"/>
      <c r="F10" s="20" t="n"/>
    </row>
    <row r="11">
      <c r="B11" s="20" t="n"/>
      <c r="C11" s="20" t="n"/>
      <c r="D11" s="20" t="n"/>
      <c r="E11" s="20" t="n"/>
      <c r="F11" s="20" t="n"/>
    </row>
    <row r="12">
      <c r="B12" s="20" t="n"/>
      <c r="C12" s="20" t="n"/>
      <c r="D12" s="20" t="n"/>
      <c r="E12" s="20" t="n"/>
      <c r="F12" s="20" t="n"/>
    </row>
    <row r="13">
      <c r="B13" s="20" t="n"/>
      <c r="C13" s="20" t="n"/>
      <c r="D13" s="20" t="n"/>
      <c r="E13" s="20" t="n"/>
      <c r="F13" s="20" t="n"/>
    </row>
    <row r="14">
      <c r="B14" s="20" t="n"/>
      <c r="C14" s="20" t="n"/>
      <c r="D14" s="20" t="n"/>
      <c r="E14" s="20" t="n"/>
      <c r="F14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2026-08-05T22:48:49Z</dcterms:created>
  <dcterms:modified xmlns:dcterms="http://purl.org/dc/terms/" xmlns:xsi="http://www.w3.org/2001/XMLSchema-instance" xsi:type="dcterms:W3CDTF">2026-08-05T22:48:49Z</dcterms:modified>
</cp:coreProperties>
</file>