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Construction" sheetId="6" state="visible" r:id="rId6"/>
    <sheet xmlns:r="http://schemas.openxmlformats.org/officeDocument/2006/relationships" name="Sources &amp; Uses" sheetId="7" state="visible" r:id="rId7"/>
    <sheet xmlns:r="http://schemas.openxmlformats.org/officeDocument/2006/relationships" name="Operations" sheetId="8" state="visible" r:id="rId8"/>
    <sheet xmlns:r="http://schemas.openxmlformats.org/officeDocument/2006/relationships" name="Debt Sculpting" sheetId="9" state="visible" r:id="rId9"/>
    <sheet xmlns:r="http://schemas.openxmlformats.org/officeDocument/2006/relationships" name="DSRA" sheetId="10" state="visible" r:id="rId10"/>
    <sheet xmlns:r="http://schemas.openxmlformats.org/officeDocument/2006/relationships" name="Coverage" sheetId="11" state="visible" r:id="rId11"/>
    <sheet xmlns:r="http://schemas.openxmlformats.org/officeDocument/2006/relationships" name="Sensitivity" sheetId="12" state="visible" r:id="rId12"/>
    <sheet xmlns:r="http://schemas.openxmlformats.org/officeDocument/2006/relationships" name="Checks" sheetId="13" state="visible" r:id="rId13"/>
    <sheet xmlns:r="http://schemas.openxmlformats.org/officeDocument/2006/relationships" name="Sources" sheetId="14" state="visible" r:id="rId14"/>
    <sheet xmlns:r="http://schemas.openxmlformats.org/officeDocument/2006/relationships" name="RefreshLog" sheetId="15" state="visible" r:id="rId15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;[Red]($#,##0.0);-"/>
    <numFmt numFmtId="165" formatCode="0.0%;[Red](0.0%);-"/>
    <numFmt numFmtId="166" formatCode="0.00%;[Red](0.00%);-"/>
    <numFmt numFmtId="167" formatCode="0.0x;[Red](0.0x);-"/>
    <numFmt numFmtId="168" formatCode="0.0"/>
    <numFmt numFmtId="169" formatCode="0.00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11827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11827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color rgb="00008000"/>
      <sz val="10"/>
    </font>
    <font>
      <b val="1"/>
      <color rgb="00FFFFFF"/>
      <sz val="15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bottom style="thin">
        <color rgb="00BFBFBF"/>
      </bottom>
    </border>
    <border>
      <top style="thin">
        <color rgb="00111827"/>
      </top>
    </border>
    <border>
      <bottom style="thin">
        <color rgb="00B7B7B7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pivotButton="0" quotePrefix="0" xfId="0"/>
    <xf numFmtId="0" fontId="4" fillId="2" borderId="0" pivotButton="0" quotePrefix="0" xfId="0"/>
    <xf numFmtId="0" fontId="6" fillId="3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3" fillId="3" borderId="1" pivotButton="0" quotePrefix="0" xfId="0"/>
    <xf numFmtId="164" fontId="8" fillId="0" borderId="0" pivotButton="0" quotePrefix="0" xfId="0"/>
    <xf numFmtId="165" fontId="3" fillId="3" borderId="1" pivotButton="0" quotePrefix="0" xfId="0"/>
    <xf numFmtId="165" fontId="8" fillId="0" borderId="0" pivotButton="0" quotePrefix="0" xfId="0"/>
    <xf numFmtId="1" fontId="3" fillId="3" borderId="1" pivotButton="0" quotePrefix="0" xfId="0"/>
    <xf numFmtId="1" fontId="8" fillId="0" borderId="0" pivotButton="0" quotePrefix="0" xfId="0"/>
    <xf numFmtId="166" fontId="3" fillId="3" borderId="1" pivotButton="0" quotePrefix="0" xfId="0"/>
    <xf numFmtId="166" fontId="8" fillId="0" borderId="0" pivotButton="0" quotePrefix="0" xfId="0"/>
    <xf numFmtId="167" fontId="3" fillId="3" borderId="1" pivotButton="0" quotePrefix="0" xfId="0"/>
    <xf numFmtId="167" fontId="8" fillId="0" borderId="0" pivotButton="0" quotePrefix="0" xfId="0"/>
    <xf numFmtId="168" fontId="3" fillId="3" borderId="1" pivotButton="0" quotePrefix="0" xfId="0"/>
    <xf numFmtId="168" fontId="8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164" fontId="2" fillId="0" borderId="2" pivotButton="0" quotePrefix="0" xfId="0"/>
    <xf numFmtId="167" fontId="0" fillId="0" borderId="0" pivotButton="0" quotePrefix="0" xfId="0"/>
    <xf numFmtId="169" fontId="0" fillId="0" borderId="0" pivotButton="0" quotePrefix="0" xfId="0"/>
    <xf numFmtId="165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9" fillId="4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4" borderId="0" pivotButton="0" quotePrefix="0" xfId="0"/>
    <xf numFmtId="0" fontId="10" fillId="5" borderId="3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6" customWidth="1" min="2" max="2"/>
    <col width="46" customWidth="1" min="3" max="3"/>
    <col width="12" customWidth="1" min="4" max="4"/>
    <col width="12" customWidth="1" min="5" max="5"/>
    <col width="12" customWidth="1" min="6" max="6"/>
  </cols>
  <sheetData>
    <row r="2" ht="28" customHeight="1">
      <c r="B2" s="1" t="inlineStr">
        <is>
          <t>[PROJECT] — Project Finance Model</t>
        </is>
      </c>
    </row>
    <row r="4">
      <c r="B4" s="2" t="inlineStr">
        <is>
          <t>Project / concession:</t>
        </is>
      </c>
      <c r="C4" s="3" t="inlineStr">
        <is>
          <t>[Name]</t>
        </is>
      </c>
    </row>
    <row r="5">
      <c r="B5" s="2" t="inlineStr">
        <is>
          <t>Sector / jurisdiction:</t>
        </is>
      </c>
      <c r="C5" s="3" t="inlineStr">
        <is>
          <t>Power / transport / digital / PPP</t>
        </is>
      </c>
    </row>
    <row r="6">
      <c r="B6" s="2" t="inlineStr">
        <is>
          <t>Financial close / COD:</t>
        </is>
      </c>
      <c r="C6" s="3" t="inlineStr">
        <is>
          <t>[dates]</t>
        </is>
      </c>
    </row>
    <row r="7">
      <c r="B7" s="2" t="inlineStr">
        <is>
          <t>Last refreshed: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3" t="inlineStr">
        <is>
          <t>Weekly construction; monthly operations</t>
        </is>
      </c>
    </row>
    <row r="9">
      <c r="B9" s="2" t="inlineStr">
        <is>
          <t>Active scenario:</t>
        </is>
      </c>
      <c r="C9" s="3" t="inlineStr">
        <is>
          <t>Base</t>
        </is>
      </c>
    </row>
    <row r="10">
      <c r="B10" s="2" t="inlineStr">
        <is>
          <t>Units:</t>
        </is>
      </c>
      <c r="C10" s="3" t="inlineStr">
        <is>
          <t>$ in millions unless noted</t>
        </is>
      </c>
    </row>
    <row r="13">
      <c r="B13" s="4" t="inlineStr">
        <is>
          <t>Modeling conventions</t>
        </is>
      </c>
    </row>
    <row r="14">
      <c r="B14" s="5" t="inlineStr">
        <is>
          <t>Blue text / yellow fill</t>
        </is>
      </c>
      <c r="C14" s="6" t="inlineStr">
        <is>
          <t>Hardcoded input or selected scenario</t>
        </is>
      </c>
    </row>
    <row r="15">
      <c r="B15" s="2" t="inlineStr">
        <is>
          <t>Black text</t>
        </is>
      </c>
      <c r="C15" s="6" t="inlineStr">
        <is>
          <t>Formula / same-sheet calculation</t>
        </is>
      </c>
    </row>
    <row r="16">
      <c r="B16" s="7" t="inlineStr">
        <is>
          <t>Green text</t>
        </is>
      </c>
      <c r="C16" s="6" t="inlineStr">
        <is>
          <t>Cross-sheet formula / link</t>
        </is>
      </c>
    </row>
    <row r="17">
      <c r="B17" s="2" t="inlineStr">
        <is>
          <t>Checks</t>
        </is>
      </c>
      <c r="C17" s="6" t="inlineStr">
        <is>
          <t>PASS / REVIEW / FAIL must remain visible</t>
        </is>
      </c>
    </row>
  </sheetData>
  <mergeCells count="2">
    <mergeCell ref="B2:F2"/>
    <mergeCell ref="B13:F13"/>
  </mergeCells>
  <dataValidations count="1">
    <dataValidation sqref="C9" showDropDown="0" showInputMessage="0" showErrorMessage="0" allowBlank="0" type="list">
      <formula1>"Base,Downside"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0" t="inlineStr">
        <is>
          <t>Project Finance — Institutional Decision Surface</t>
        </is>
      </c>
    </row>
    <row r="4">
      <c r="B4" s="31" t="inlineStr">
        <is>
          <t>Model ID</t>
        </is>
      </c>
      <c r="C4" s="32" t="inlineStr">
        <is>
          <t>20</t>
        </is>
      </c>
    </row>
    <row r="5">
      <c r="B5" s="31" t="inlineStr">
        <is>
          <t>Domain</t>
        </is>
      </c>
      <c r="C5" s="32" t="inlineStr">
        <is>
          <t>Project Finance</t>
        </is>
      </c>
    </row>
    <row r="6">
      <c r="B6" s="31" t="inlineStr">
        <is>
          <t>Declared maturity</t>
        </is>
      </c>
      <c r="C6" s="32" t="inlineStr">
        <is>
          <t>M2</t>
        </is>
      </c>
    </row>
    <row r="7">
      <c r="B7" s="31" t="inlineStr">
        <is>
          <t>Canonical builder</t>
        </is>
      </c>
      <c r="C7" s="32" t="inlineStr">
        <is>
          <t>tools/builders/build_project_finance_release.py</t>
        </is>
      </c>
    </row>
    <row r="8">
      <c r="B8" s="31" t="inlineStr">
        <is>
          <t>Decision arena</t>
        </is>
      </c>
      <c r="C8" s="32" t="inlineStr">
        <is>
          <t>sponsor, lender, technical adviser, offtaker, insurer and investment committee</t>
        </is>
      </c>
    </row>
    <row r="9">
      <c r="B9" s="31" t="inlineStr">
        <is>
          <t>Committee artifact</t>
        </is>
      </c>
      <c r="C9" s="32" t="inlineStr">
        <is>
          <t>bank case, downside case and financing base-case pack</t>
        </is>
      </c>
    </row>
    <row r="10">
      <c r="B10" s="31" t="inlineStr">
        <is>
          <t>Operating cadence</t>
        </is>
      </c>
      <c r="C10" s="32" t="inlineStr">
        <is>
          <t>monthly construction/operations; quarterly lender; annual model audit</t>
        </is>
      </c>
    </row>
    <row r="12">
      <c r="B12" s="33" t="inlineStr">
        <is>
          <t>Key decision outputs</t>
        </is>
      </c>
    </row>
    <row r="13">
      <c r="B13" s="34" t="inlineStr">
        <is>
          <t>#</t>
        </is>
      </c>
      <c r="C13" s="34" t="inlineStr">
        <is>
          <t>Requirement</t>
        </is>
      </c>
      <c r="D13" s="34" t="inlineStr">
        <is>
          <t>Owner</t>
        </is>
      </c>
      <c r="E13" s="34" t="inlineStr">
        <is>
          <t>Evidence / location</t>
        </is>
      </c>
      <c r="F13" s="34" t="inlineStr">
        <is>
          <t>Status</t>
        </is>
      </c>
    </row>
    <row r="14">
      <c r="B14" t="n">
        <v>1</v>
      </c>
      <c r="C14" t="inlineStr">
        <is>
          <t>construction funding and IDC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operating CFADS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debt sculpting and DSRA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3" t="inlineStr">
        <is>
          <t>Insider questions</t>
        </is>
      </c>
    </row>
    <row r="21">
      <c r="B21" s="34" t="inlineStr">
        <is>
          <t>#</t>
        </is>
      </c>
      <c r="C21" s="34" t="inlineStr">
        <is>
          <t>Requirement</t>
        </is>
      </c>
      <c r="D21" s="34" t="inlineStr">
        <is>
          <t>Owner</t>
        </is>
      </c>
      <c r="E21" s="34" t="inlineStr">
        <is>
          <t>Evidence / location</t>
        </is>
      </c>
      <c r="F21" s="34" t="inlineStr">
        <is>
          <t>Status</t>
        </is>
      </c>
    </row>
    <row r="22">
      <c r="B22" t="n">
        <v>1</v>
      </c>
      <c r="C22" t="inlineStr">
        <is>
          <t>What is the lender's base case versus sponsor case?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completion tests release support?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What cash is trapped before distributions?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3" t="inlineStr">
        <is>
          <t>Scenario families</t>
        </is>
      </c>
    </row>
    <row r="29">
      <c r="B29" s="34" t="inlineStr">
        <is>
          <t>#</t>
        </is>
      </c>
      <c r="C29" s="34" t="inlineStr">
        <is>
          <t>Requirement</t>
        </is>
      </c>
      <c r="D29" s="34" t="inlineStr">
        <is>
          <t>Owner</t>
        </is>
      </c>
      <c r="E29" s="34" t="inlineStr">
        <is>
          <t>Evidence / location</t>
        </is>
      </c>
      <c r="F29" s="34" t="inlineStr">
        <is>
          <t>Status</t>
        </is>
      </c>
    </row>
    <row r="30">
      <c r="B30" t="n">
        <v>1</v>
      </c>
      <c r="C30" t="inlineStr">
        <is>
          <t>delay and cost overrun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volume / resource shortfall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price / offtaker stress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3" t="inlineStr">
        <is>
          <t>Primary diligence documents</t>
        </is>
      </c>
    </row>
    <row r="37">
      <c r="B37" s="34" t="inlineStr">
        <is>
          <t>#</t>
        </is>
      </c>
      <c r="C37" s="34" t="inlineStr">
        <is>
          <t>Requirement</t>
        </is>
      </c>
      <c r="D37" s="34" t="inlineStr">
        <is>
          <t>Owner</t>
        </is>
      </c>
      <c r="E37" s="34" t="inlineStr">
        <is>
          <t>Evidence / location</t>
        </is>
      </c>
      <c r="F37" s="34" t="inlineStr">
        <is>
          <t>Status</t>
        </is>
      </c>
    </row>
    <row r="38">
      <c r="B38" t="n">
        <v>1</v>
      </c>
      <c r="C38" t="inlineStr">
        <is>
          <t>EPC and O&amp;M contracts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offtake / concession agreement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independent engineer report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3" t="inlineStr">
        <is>
          <t>Challenge tests</t>
        </is>
      </c>
    </row>
    <row r="45">
      <c r="B45" s="34" t="inlineStr">
        <is>
          <t>#</t>
        </is>
      </c>
      <c r="C45" s="34" t="inlineStr">
        <is>
          <t>Requirement</t>
        </is>
      </c>
      <c r="D45" s="34" t="inlineStr">
        <is>
          <t>Owner</t>
        </is>
      </c>
      <c r="E45" s="34" t="inlineStr">
        <is>
          <t>Evidence / location</t>
        </is>
      </c>
      <c r="F45" s="34" t="inlineStr">
        <is>
          <t>Status</t>
        </is>
      </c>
    </row>
    <row r="46">
      <c r="B46" t="n">
        <v>1</v>
      </c>
      <c r="C46" t="inlineStr">
        <is>
          <t>sources equal uses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construction draws conserve cost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IDC follows funded debt timing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3" t="inlineStr">
        <is>
          <t>Known failure modes</t>
        </is>
      </c>
    </row>
    <row r="53">
      <c r="B53" s="34" t="inlineStr">
        <is>
          <t>#</t>
        </is>
      </c>
      <c r="C53" s="34" t="inlineStr">
        <is>
          <t>Requirement</t>
        </is>
      </c>
      <c r="D53" s="34" t="inlineStr">
        <is>
          <t>Owner</t>
        </is>
      </c>
      <c r="E53" s="34" t="inlineStr">
        <is>
          <t>Evidence / location</t>
        </is>
      </c>
      <c r="F53" s="34" t="inlineStr">
        <is>
          <t>Status</t>
        </is>
      </c>
    </row>
    <row r="54">
      <c r="B54" t="n">
        <v>1</v>
      </c>
      <c r="C54" t="inlineStr">
        <is>
          <t>using sponsor schedule instead of engineer schedule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assuming liquidated damages are fully collectible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sizing debt on P50 while downside is P90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3" t="inlineStr">
        <is>
          <t>Regulatory / methodological anchors</t>
        </is>
      </c>
    </row>
    <row r="61">
      <c r="B61" s="34" t="inlineStr">
        <is>
          <t>Standard</t>
        </is>
      </c>
      <c r="C61" s="34" t="inlineStr">
        <is>
          <t>Scope</t>
        </is>
      </c>
      <c r="D61" s="34" t="inlineStr">
        <is>
          <t>Source URL</t>
        </is>
      </c>
      <c r="E61" s="34" t="inlineStr">
        <is>
          <t>Applicability</t>
        </is>
      </c>
      <c r="F61" s="34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World Bank PPP Reference Guide</t>
        </is>
      </c>
      <c r="C63" t="inlineStr">
        <is>
          <t>project preparation and risk allocation</t>
        </is>
      </c>
      <c r="D63" t="inlineStr">
        <is>
          <t>https://ppp.worldbank.org/public-private-partnership/library/ppp-reference-guide-3-0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0" t="inlineStr">
        <is>
          <t>Independent Challenge, Override and Closure Log</t>
        </is>
      </c>
    </row>
    <row r="4">
      <c r="B4" s="34" t="inlineStr">
        <is>
          <t>Date</t>
        </is>
      </c>
      <c r="C4" s="34" t="inlineStr">
        <is>
          <t>Reviewer</t>
        </is>
      </c>
      <c r="D4" s="34" t="inlineStr">
        <is>
          <t>Challenge</t>
        </is>
      </c>
      <c r="E4" s="34" t="inlineStr">
        <is>
          <t>Owner response</t>
        </is>
      </c>
      <c r="F4" s="34" t="inlineStr">
        <is>
          <t>Evidence</t>
        </is>
      </c>
      <c r="G4" s="34" t="inlineStr">
        <is>
          <t>Impact</t>
        </is>
      </c>
      <c r="H4" s="34" t="inlineStr">
        <is>
          <t>Status</t>
        </is>
      </c>
      <c r="I4" s="34" t="inlineStr">
        <is>
          <t>Closure</t>
        </is>
      </c>
    </row>
    <row r="5">
      <c r="B5" t="inlineStr"/>
      <c r="C5" t="inlineStr"/>
      <c r="D5" t="inlineStr">
        <is>
          <t>sources equal uses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construction draws conserve cost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IDC follows funded debt timing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0" t="inlineStr">
        <is>
          <t>Source, Transformation, Ownership and Refresh Map</t>
        </is>
      </c>
    </row>
    <row r="4">
      <c r="B4" s="34" t="inlineStr">
        <is>
          <t>Source class</t>
        </is>
      </c>
      <c r="C4" s="34" t="inlineStr">
        <is>
          <t>Cadence</t>
        </is>
      </c>
      <c r="D4" s="34" t="inlineStr">
        <is>
          <t>Control</t>
        </is>
      </c>
      <c r="E4" s="34" t="inlineStr">
        <is>
          <t>System / provider</t>
        </is>
      </c>
      <c r="F4" s="34" t="inlineStr">
        <is>
          <t>As-of</t>
        </is>
      </c>
      <c r="G4" s="34" t="inlineStr">
        <is>
          <t>Owner</t>
        </is>
      </c>
      <c r="H4" s="34" t="inlineStr">
        <is>
          <t>Transform</t>
        </is>
      </c>
      <c r="I4" s="34" t="inlineStr">
        <is>
          <t>Downstream</t>
        </is>
      </c>
      <c r="J4" s="34" t="inlineStr">
        <is>
          <t>Status</t>
        </is>
      </c>
    </row>
    <row r="5">
      <c r="B5" t="inlineStr">
        <is>
          <t>construction progress</t>
        </is>
      </c>
      <c r="C5" t="inlineStr">
        <is>
          <t>monthly</t>
        </is>
      </c>
      <c r="D5" t="inlineStr">
        <is>
          <t>engineer-certified progress and cost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operating data</t>
        </is>
      </c>
      <c r="C6" t="inlineStr">
        <is>
          <t>monthly</t>
        </is>
      </c>
      <c r="D6" t="inlineStr">
        <is>
          <t>meter / volume and invoice tie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5" customWidth="1" min="3" max="3"/>
    <col width="15" customWidth="1" min="4" max="4"/>
    <col width="15" customWidth="1" min="5" max="5"/>
    <col width="32" customWidth="1" min="6" max="6"/>
  </cols>
  <sheetData>
    <row r="2" ht="28" customHeight="1">
      <c r="B2" s="1" t="inlineStr">
        <is>
          <t>Project Assumptions</t>
        </is>
      </c>
    </row>
    <row r="4">
      <c r="B4" s="8" t="inlineStr">
        <is>
          <t>Assumption</t>
        </is>
      </c>
      <c r="C4" s="8" t="inlineStr">
        <is>
          <t>Base</t>
        </is>
      </c>
      <c r="D4" s="8" t="inlineStr">
        <is>
          <t>Downside</t>
        </is>
      </c>
      <c r="E4" s="8" t="inlineStr">
        <is>
          <t>Active</t>
        </is>
      </c>
      <c r="F4" s="8" t="inlineStr">
        <is>
          <t>Units / note</t>
        </is>
      </c>
    </row>
    <row r="5">
      <c r="B5" t="inlineStr">
        <is>
          <t>EPC / hard construction cost</t>
        </is>
      </c>
      <c r="C5" s="9" t="n">
        <v>800</v>
      </c>
      <c r="D5" s="9" t="n">
        <v>880</v>
      </c>
      <c r="E5" s="10">
        <f>IF(Cover!$C$9="Downside",D5,C5)</f>
        <v/>
      </c>
      <c r="F5" t="inlineStr">
        <is>
          <t>$mm</t>
        </is>
      </c>
    </row>
    <row r="6">
      <c r="B6" t="inlineStr">
        <is>
          <t>Development and owner costs</t>
        </is>
      </c>
      <c r="C6" s="9" t="n">
        <v>80</v>
      </c>
      <c r="D6" s="9" t="n">
        <v>95</v>
      </c>
      <c r="E6" s="10">
        <f>IF(Cover!$C$9="Downside",D6,C6)</f>
        <v/>
      </c>
      <c r="F6" t="inlineStr">
        <is>
          <t>$mm</t>
        </is>
      </c>
    </row>
    <row r="7">
      <c r="B7" t="inlineStr">
        <is>
          <t>Contingency / hard cost</t>
        </is>
      </c>
      <c r="C7" s="11" t="n">
        <v>0.08</v>
      </c>
      <c r="D7" s="11" t="n">
        <v>0.12</v>
      </c>
      <c r="E7" s="12">
        <f>IF(Cover!$C$9="Downside",D7,C7)</f>
        <v/>
      </c>
      <c r="F7" t="inlineStr">
        <is>
          <t>%</t>
        </is>
      </c>
    </row>
    <row r="8">
      <c r="B8" t="inlineStr">
        <is>
          <t>Debt share of pre-IDC cost</t>
        </is>
      </c>
      <c r="C8" s="11" t="n">
        <v>0.7</v>
      </c>
      <c r="D8" s="11" t="n">
        <v>0.65</v>
      </c>
      <c r="E8" s="12">
        <f>IF(Cover!$C$9="Downside",D8,C8)</f>
        <v/>
      </c>
      <c r="F8" t="inlineStr">
        <is>
          <t>%</t>
        </is>
      </c>
    </row>
    <row r="9">
      <c r="B9" t="inlineStr">
        <is>
          <t>Construction quarters</t>
        </is>
      </c>
      <c r="C9" s="13" t="n">
        <v>8</v>
      </c>
      <c r="D9" s="13" t="n">
        <v>10</v>
      </c>
      <c r="E9" s="14">
        <f>IF(Cover!$C$9="Downside",D9,C9)</f>
        <v/>
      </c>
      <c r="F9" t="inlineStr">
        <is>
          <t>quarters</t>
        </is>
      </c>
    </row>
    <row r="10">
      <c r="B10" t="inlineStr">
        <is>
          <t>Annual construction debt rate</t>
        </is>
      </c>
      <c r="C10" s="15" t="n">
        <v>0.075</v>
      </c>
      <c r="D10" s="15" t="n">
        <v>0.09</v>
      </c>
      <c r="E10" s="16">
        <f>IF(Cover!$C$9="Downside",D10,C10)</f>
        <v/>
      </c>
      <c r="F10" t="inlineStr">
        <is>
          <t>%</t>
        </is>
      </c>
    </row>
    <row r="11">
      <c r="B11" t="inlineStr">
        <is>
          <t>Year 1 contracted / merchant revenue</t>
        </is>
      </c>
      <c r="C11" s="9" t="n">
        <v>180</v>
      </c>
      <c r="D11" s="9" t="n">
        <v>150</v>
      </c>
      <c r="E11" s="10">
        <f>IF(Cover!$C$9="Downside",D11,C11)</f>
        <v/>
      </c>
      <c r="F11" t="inlineStr">
        <is>
          <t>$mm</t>
        </is>
      </c>
    </row>
    <row r="12">
      <c r="B12" t="inlineStr">
        <is>
          <t>Annual revenue growth</t>
        </is>
      </c>
      <c r="C12" s="11" t="n">
        <v>0.025</v>
      </c>
      <c r="D12" s="11" t="n">
        <v>0</v>
      </c>
      <c r="E12" s="12">
        <f>IF(Cover!$C$9="Downside",D12,C12)</f>
        <v/>
      </c>
      <c r="F12" t="inlineStr">
        <is>
          <t>%</t>
        </is>
      </c>
    </row>
    <row r="13">
      <c r="B13" t="inlineStr">
        <is>
          <t>Operating cost / revenue</t>
        </is>
      </c>
      <c r="C13" s="11" t="n">
        <v>0.28</v>
      </c>
      <c r="D13" s="11" t="n">
        <v>0.36</v>
      </c>
      <c r="E13" s="12">
        <f>IF(Cover!$C$9="Downside",D13,C13)</f>
        <v/>
      </c>
      <c r="F13" t="inlineStr">
        <is>
          <t>%</t>
        </is>
      </c>
    </row>
    <row r="14">
      <c r="B14" t="inlineStr">
        <is>
          <t>Maintenance capex / revenue</t>
        </is>
      </c>
      <c r="C14" s="11" t="n">
        <v>0.035</v>
      </c>
      <c r="D14" s="11" t="n">
        <v>0.05</v>
      </c>
      <c r="E14" s="12">
        <f>IF(Cover!$C$9="Downside",D14,C14)</f>
        <v/>
      </c>
      <c r="F14" t="inlineStr">
        <is>
          <t>%</t>
        </is>
      </c>
    </row>
    <row r="15">
      <c r="B15" t="inlineStr">
        <is>
          <t>Cash tax / EBITDA</t>
        </is>
      </c>
      <c r="C15" s="11" t="n">
        <v>0.15</v>
      </c>
      <c r="D15" s="11" t="n">
        <v>0.1</v>
      </c>
      <c r="E15" s="12">
        <f>IF(Cover!$C$9="Downside",D15,C15)</f>
        <v/>
      </c>
      <c r="F15" t="inlineStr">
        <is>
          <t>%</t>
        </is>
      </c>
    </row>
    <row r="16">
      <c r="B16" t="inlineStr">
        <is>
          <t>Target DSCR</t>
        </is>
      </c>
      <c r="C16" s="17" t="n">
        <v>1.35</v>
      </c>
      <c r="D16" s="17" t="n">
        <v>1.45</v>
      </c>
      <c r="E16" s="18">
        <f>IF(Cover!$C$9="Downside",D16,C16)</f>
        <v/>
      </c>
      <c r="F16" t="inlineStr">
        <is>
          <t>x</t>
        </is>
      </c>
    </row>
    <row r="17">
      <c r="B17" t="inlineStr">
        <is>
          <t>Minimum DSCR covenant</t>
        </is>
      </c>
      <c r="C17" s="17" t="n">
        <v>1.2</v>
      </c>
      <c r="D17" s="17" t="n">
        <v>1.2</v>
      </c>
      <c r="E17" s="18">
        <f>IF(Cover!$C$9="Downside",D17,C17)</f>
        <v/>
      </c>
      <c r="F17" t="inlineStr">
        <is>
          <t>x</t>
        </is>
      </c>
    </row>
    <row r="18">
      <c r="B18" t="inlineStr">
        <is>
          <t>Annual operating debt rate</t>
        </is>
      </c>
      <c r="C18" s="15" t="n">
        <v>0.065</v>
      </c>
      <c r="D18" s="15" t="n">
        <v>0.08</v>
      </c>
      <c r="E18" s="16">
        <f>IF(Cover!$C$9="Downside",D18,C18)</f>
        <v/>
      </c>
      <c r="F18" t="inlineStr">
        <is>
          <t>%</t>
        </is>
      </c>
    </row>
    <row r="19">
      <c r="B19" t="inlineStr">
        <is>
          <t>Debt tenor</t>
        </is>
      </c>
      <c r="C19" s="13" t="n">
        <v>10</v>
      </c>
      <c r="D19" s="13" t="n">
        <v>10</v>
      </c>
      <c r="E19" s="14">
        <f>IF(Cover!$C$9="Downside",D19,C19)</f>
        <v/>
      </c>
      <c r="F19" t="inlineStr">
        <is>
          <t>years</t>
        </is>
      </c>
    </row>
    <row r="20">
      <c r="B20" t="inlineStr">
        <is>
          <t>DSRA months of forward debt service</t>
        </is>
      </c>
      <c r="C20" s="19" t="n">
        <v>6</v>
      </c>
      <c r="D20" s="19" t="n">
        <v>9</v>
      </c>
      <c r="E20" s="20">
        <f>IF(Cover!$C$9="Downside",D20,C20)</f>
        <v/>
      </c>
      <c r="F20" t="inlineStr">
        <is>
          <t>months</t>
        </is>
      </c>
    </row>
    <row r="21">
      <c r="B21" t="inlineStr">
        <is>
          <t>Discount rate for LLCR / PLCR</t>
        </is>
      </c>
      <c r="C21" s="15" t="n">
        <v>0.07000000000000001</v>
      </c>
      <c r="D21" s="15" t="n">
        <v>0.08500000000000001</v>
      </c>
      <c r="E21" s="16">
        <f>IF(Cover!$C$9="Downside",D21,C21)</f>
        <v/>
      </c>
      <c r="F21" t="inlineStr">
        <is>
          <t>%</t>
        </is>
      </c>
    </row>
    <row r="22">
      <c r="B22" t="inlineStr">
        <is>
          <t>Residual / decommissioning reserve per year</t>
        </is>
      </c>
      <c r="C22" s="9" t="n">
        <v>2</v>
      </c>
      <c r="D22" s="9" t="n">
        <v>4</v>
      </c>
      <c r="E22" s="10">
        <f>IF(Cover!$C$9="Downside",D22,C22)</f>
        <v/>
      </c>
      <c r="F22" t="inlineStr">
        <is>
          <t>$mm</t>
        </is>
      </c>
    </row>
    <row r="23">
      <c r="B23" t="inlineStr">
        <is>
          <t>Availability / volume factor</t>
        </is>
      </c>
      <c r="C23" s="11" t="n">
        <v>0.97</v>
      </c>
      <c r="D23" s="11" t="n">
        <v>0.85</v>
      </c>
      <c r="E23" s="12">
        <f>IF(Cover!$C$9="Downside",D23,C23)</f>
        <v/>
      </c>
      <c r="F23" t="inlineStr">
        <is>
          <t>%</t>
        </is>
      </c>
    </row>
    <row r="24">
      <c r="B24" t="inlineStr">
        <is>
          <t>Inflation escalation</t>
        </is>
      </c>
      <c r="C24" s="11" t="n">
        <v>0.02</v>
      </c>
      <c r="D24" s="11" t="n">
        <v>0.03</v>
      </c>
      <c r="E24" s="12">
        <f>IF(Cover!$C$9="Downside",D24,C24)</f>
        <v/>
      </c>
      <c r="F24" t="inlineStr">
        <is>
          <t>%</t>
        </is>
      </c>
    </row>
  </sheetData>
  <mergeCells count="1">
    <mergeCell ref="B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M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 ht="28" customHeight="1">
      <c r="B2" s="1" t="inlineStr">
        <is>
          <t>Quarterly Construction Funding and IDC</t>
        </is>
      </c>
    </row>
    <row r="4">
      <c r="B4" s="8" t="inlineStr">
        <is>
          <t>$mm</t>
        </is>
      </c>
      <c r="C4" s="8" t="inlineStr">
        <is>
          <t>Q1</t>
        </is>
      </c>
      <c r="D4" s="8" t="inlineStr">
        <is>
          <t>Q2</t>
        </is>
      </c>
      <c r="E4" s="8" t="inlineStr">
        <is>
          <t>Q3</t>
        </is>
      </c>
      <c r="F4" s="8" t="inlineStr">
        <is>
          <t>Q4</t>
        </is>
      </c>
      <c r="G4" s="8" t="inlineStr">
        <is>
          <t>Q5</t>
        </is>
      </c>
      <c r="H4" s="8" t="inlineStr">
        <is>
          <t>Q6</t>
        </is>
      </c>
      <c r="I4" s="8" t="inlineStr">
        <is>
          <t>Q7</t>
        </is>
      </c>
      <c r="J4" s="8" t="inlineStr">
        <is>
          <t>Q8</t>
        </is>
      </c>
      <c r="K4" s="8" t="inlineStr">
        <is>
          <t>Q9</t>
        </is>
      </c>
      <c r="L4" s="8" t="inlineStr">
        <is>
          <t>Q10</t>
        </is>
      </c>
      <c r="M4" s="8" t="inlineStr">
        <is>
          <t>Total</t>
        </is>
      </c>
    </row>
    <row r="5">
      <c r="B5" t="inlineStr">
        <is>
          <t>Spend curve</t>
        </is>
      </c>
      <c r="C5" s="11" t="n">
        <v>0.05</v>
      </c>
      <c r="D5" s="11" t="n">
        <v>0.1</v>
      </c>
      <c r="E5" s="11" t="n">
        <v>0.15</v>
      </c>
      <c r="F5" s="11" t="n">
        <v>0.18</v>
      </c>
      <c r="G5" s="11" t="n">
        <v>0.18</v>
      </c>
      <c r="H5" s="11" t="n">
        <v>0.14</v>
      </c>
      <c r="I5" s="11" t="n">
        <v>0.12</v>
      </c>
      <c r="J5" s="11" t="n">
        <v>0.08</v>
      </c>
      <c r="K5" s="11" t="n">
        <v>0</v>
      </c>
      <c r="L5" s="11" t="n">
        <v>0</v>
      </c>
      <c r="M5" s="21">
        <f>SUM(C5:L5)</f>
        <v/>
      </c>
    </row>
    <row r="6">
      <c r="B6" t="inlineStr">
        <is>
          <t>Hard construction cost</t>
        </is>
      </c>
      <c r="C6" s="22">
        <f>IF(1&lt;=Assumptions!$E$9,Assumptions!$E$5*C$5,0)</f>
        <v/>
      </c>
      <c r="D6" s="22">
        <f>IF(2&lt;=Assumptions!$E$9,Assumptions!$E$5*D$5,0)</f>
        <v/>
      </c>
      <c r="E6" s="22">
        <f>IF(3&lt;=Assumptions!$E$9,Assumptions!$E$5*E$5,0)</f>
        <v/>
      </c>
      <c r="F6" s="22">
        <f>IF(4&lt;=Assumptions!$E$9,Assumptions!$E$5*F$5,0)</f>
        <v/>
      </c>
      <c r="G6" s="22">
        <f>IF(5&lt;=Assumptions!$E$9,Assumptions!$E$5*G$5,0)</f>
        <v/>
      </c>
      <c r="H6" s="22">
        <f>IF(6&lt;=Assumptions!$E$9,Assumptions!$E$5*H$5,0)</f>
        <v/>
      </c>
      <c r="I6" s="22">
        <f>IF(7&lt;=Assumptions!$E$9,Assumptions!$E$5*I$5,0)</f>
        <v/>
      </c>
      <c r="J6" s="22">
        <f>IF(8&lt;=Assumptions!$E$9,Assumptions!$E$5*J$5,0)</f>
        <v/>
      </c>
      <c r="K6" s="22">
        <f>IF(9&lt;=Assumptions!$E$9,Assumptions!$E$5*K$5,0)</f>
        <v/>
      </c>
      <c r="L6" s="22">
        <f>IF(10&lt;=Assumptions!$E$9,Assumptions!$E$5*L$5,0)</f>
        <v/>
      </c>
      <c r="M6" s="22">
        <f>SUM(C6:L6)</f>
        <v/>
      </c>
    </row>
    <row r="7">
      <c r="B7" t="inlineStr">
        <is>
          <t>Development / owner costs</t>
        </is>
      </c>
      <c r="C7" s="22">
        <f>IF(1&lt;=Assumptions!$E$9,Assumptions!$E$6/Assumptions!$E$9,0)</f>
        <v/>
      </c>
      <c r="D7" s="22">
        <f>IF(2&lt;=Assumptions!$E$9,Assumptions!$E$6/Assumptions!$E$9,0)</f>
        <v/>
      </c>
      <c r="E7" s="22">
        <f>IF(3&lt;=Assumptions!$E$9,Assumptions!$E$6/Assumptions!$E$9,0)</f>
        <v/>
      </c>
      <c r="F7" s="22">
        <f>IF(4&lt;=Assumptions!$E$9,Assumptions!$E$6/Assumptions!$E$9,0)</f>
        <v/>
      </c>
      <c r="G7" s="22">
        <f>IF(5&lt;=Assumptions!$E$9,Assumptions!$E$6/Assumptions!$E$9,0)</f>
        <v/>
      </c>
      <c r="H7" s="22">
        <f>IF(6&lt;=Assumptions!$E$9,Assumptions!$E$6/Assumptions!$E$9,0)</f>
        <v/>
      </c>
      <c r="I7" s="22">
        <f>IF(7&lt;=Assumptions!$E$9,Assumptions!$E$6/Assumptions!$E$9,0)</f>
        <v/>
      </c>
      <c r="J7" s="22">
        <f>IF(8&lt;=Assumptions!$E$9,Assumptions!$E$6/Assumptions!$E$9,0)</f>
        <v/>
      </c>
      <c r="K7" s="22">
        <f>IF(9&lt;=Assumptions!$E$9,Assumptions!$E$6/Assumptions!$E$9,0)</f>
        <v/>
      </c>
      <c r="L7" s="22">
        <f>IF(10&lt;=Assumptions!$E$9,Assumptions!$E$6/Assumptions!$E$9,0)</f>
        <v/>
      </c>
      <c r="M7" s="22">
        <f>SUM(C7:L7)</f>
        <v/>
      </c>
    </row>
    <row r="8">
      <c r="B8" t="inlineStr">
        <is>
          <t>Contingency</t>
        </is>
      </c>
      <c r="C8" s="22">
        <f>C6*Assumptions!$E$7</f>
        <v/>
      </c>
      <c r="D8" s="22">
        <f>D6*Assumptions!$E$7</f>
        <v/>
      </c>
      <c r="E8" s="22">
        <f>E6*Assumptions!$E$7</f>
        <v/>
      </c>
      <c r="F8" s="22">
        <f>F6*Assumptions!$E$7</f>
        <v/>
      </c>
      <c r="G8" s="22">
        <f>G6*Assumptions!$E$7</f>
        <v/>
      </c>
      <c r="H8" s="22">
        <f>H6*Assumptions!$E$7</f>
        <v/>
      </c>
      <c r="I8" s="22">
        <f>I6*Assumptions!$E$7</f>
        <v/>
      </c>
      <c r="J8" s="22">
        <f>J6*Assumptions!$E$7</f>
        <v/>
      </c>
      <c r="K8" s="22">
        <f>K6*Assumptions!$E$7</f>
        <v/>
      </c>
      <c r="L8" s="22">
        <f>L6*Assumptions!$E$7</f>
        <v/>
      </c>
      <c r="M8" s="22">
        <f>SUM(C8:L8)</f>
        <v/>
      </c>
    </row>
    <row r="9">
      <c r="B9" s="23" t="inlineStr">
        <is>
          <t>Total pre-IDC spend</t>
        </is>
      </c>
      <c r="C9" s="24">
        <f>SUM(C6:C8)</f>
        <v/>
      </c>
      <c r="D9" s="24">
        <f>SUM(D6:D8)</f>
        <v/>
      </c>
      <c r="E9" s="24">
        <f>SUM(E6:E8)</f>
        <v/>
      </c>
      <c r="F9" s="24">
        <f>SUM(F6:F8)</f>
        <v/>
      </c>
      <c r="G9" s="24">
        <f>SUM(G6:G8)</f>
        <v/>
      </c>
      <c r="H9" s="24">
        <f>SUM(H6:H8)</f>
        <v/>
      </c>
      <c r="I9" s="24">
        <f>SUM(I6:I8)</f>
        <v/>
      </c>
      <c r="J9" s="24">
        <f>SUM(J6:J8)</f>
        <v/>
      </c>
      <c r="K9" s="24">
        <f>SUM(K6:K8)</f>
        <v/>
      </c>
      <c r="L9" s="24">
        <f>SUM(L6:L8)</f>
        <v/>
      </c>
      <c r="M9" s="24">
        <f>SUM(C9:L9)</f>
        <v/>
      </c>
    </row>
    <row r="10">
      <c r="B10" t="inlineStr">
        <is>
          <t>Equity draw</t>
        </is>
      </c>
      <c r="C10" s="22">
        <f>C9*(1-Assumptions!$E$8)</f>
        <v/>
      </c>
      <c r="D10" s="22">
        <f>D9*(1-Assumptions!$E$8)</f>
        <v/>
      </c>
      <c r="E10" s="22">
        <f>E9*(1-Assumptions!$E$8)</f>
        <v/>
      </c>
      <c r="F10" s="22">
        <f>F9*(1-Assumptions!$E$8)</f>
        <v/>
      </c>
      <c r="G10" s="22">
        <f>G9*(1-Assumptions!$E$8)</f>
        <v/>
      </c>
      <c r="H10" s="22">
        <f>H9*(1-Assumptions!$E$8)</f>
        <v/>
      </c>
      <c r="I10" s="22">
        <f>I9*(1-Assumptions!$E$8)</f>
        <v/>
      </c>
      <c r="J10" s="22">
        <f>J9*(1-Assumptions!$E$8)</f>
        <v/>
      </c>
      <c r="K10" s="22">
        <f>K9*(1-Assumptions!$E$8)</f>
        <v/>
      </c>
      <c r="L10" s="22">
        <f>L9*(1-Assumptions!$E$8)</f>
        <v/>
      </c>
      <c r="M10" s="22">
        <f>SUM(C10:L10)</f>
        <v/>
      </c>
    </row>
    <row r="11">
      <c r="B11" t="inlineStr">
        <is>
          <t>Debt draw</t>
        </is>
      </c>
      <c r="C11" s="22">
        <f>C9*Assumptions!$E$8</f>
        <v/>
      </c>
      <c r="D11" s="22">
        <f>D9*Assumptions!$E$8</f>
        <v/>
      </c>
      <c r="E11" s="22">
        <f>E9*Assumptions!$E$8</f>
        <v/>
      </c>
      <c r="F11" s="22">
        <f>F9*Assumptions!$E$8</f>
        <v/>
      </c>
      <c r="G11" s="22">
        <f>G9*Assumptions!$E$8</f>
        <v/>
      </c>
      <c r="H11" s="22">
        <f>H9*Assumptions!$E$8</f>
        <v/>
      </c>
      <c r="I11" s="22">
        <f>I9*Assumptions!$E$8</f>
        <v/>
      </c>
      <c r="J11" s="22">
        <f>J9*Assumptions!$E$8</f>
        <v/>
      </c>
      <c r="K11" s="22">
        <f>K9*Assumptions!$E$8</f>
        <v/>
      </c>
      <c r="L11" s="22">
        <f>L9*Assumptions!$E$8</f>
        <v/>
      </c>
      <c r="M11" s="22">
        <f>SUM(C11:L11)</f>
        <v/>
      </c>
    </row>
    <row r="12">
      <c r="B12" t="inlineStr">
        <is>
          <t>Beginning construction debt</t>
        </is>
      </c>
      <c r="C12" s="22" t="n">
        <v>0</v>
      </c>
      <c r="D12" s="22">
        <f>C14</f>
        <v/>
      </c>
      <c r="E12" s="22">
        <f>D14</f>
        <v/>
      </c>
      <c r="F12" s="22">
        <f>E14</f>
        <v/>
      </c>
      <c r="G12" s="22">
        <f>F14</f>
        <v/>
      </c>
      <c r="H12" s="22">
        <f>G14</f>
        <v/>
      </c>
      <c r="I12" s="22">
        <f>H14</f>
        <v/>
      </c>
      <c r="J12" s="22">
        <f>I14</f>
        <v/>
      </c>
      <c r="K12" s="22">
        <f>J14</f>
        <v/>
      </c>
      <c r="L12" s="22">
        <f>K14</f>
        <v/>
      </c>
      <c r="M12" s="22">
        <f>SUM(C12:L12)</f>
        <v/>
      </c>
    </row>
    <row r="13">
      <c r="B13" t="inlineStr">
        <is>
          <t>Interest during construction</t>
        </is>
      </c>
      <c r="C13" s="22">
        <f>(C12+0.5*C11)*Assumptions!$E$10/4</f>
        <v/>
      </c>
      <c r="D13" s="22">
        <f>(D12+0.5*D11)*Assumptions!$E$10/4</f>
        <v/>
      </c>
      <c r="E13" s="22">
        <f>(E12+0.5*E11)*Assumptions!$E$10/4</f>
        <v/>
      </c>
      <c r="F13" s="22">
        <f>(F12+0.5*F11)*Assumptions!$E$10/4</f>
        <v/>
      </c>
      <c r="G13" s="22">
        <f>(G12+0.5*G11)*Assumptions!$E$10/4</f>
        <v/>
      </c>
      <c r="H13" s="22">
        <f>(H12+0.5*H11)*Assumptions!$E$10/4</f>
        <v/>
      </c>
      <c r="I13" s="22">
        <f>(I12+0.5*I11)*Assumptions!$E$10/4</f>
        <v/>
      </c>
      <c r="J13" s="22">
        <f>(J12+0.5*J11)*Assumptions!$E$10/4</f>
        <v/>
      </c>
      <c r="K13" s="22">
        <f>(K12+0.5*K11)*Assumptions!$E$10/4</f>
        <v/>
      </c>
      <c r="L13" s="22">
        <f>(L12+0.5*L11)*Assumptions!$E$10/4</f>
        <v/>
      </c>
      <c r="M13" s="22">
        <f>SUM(C13:L13)</f>
        <v/>
      </c>
    </row>
    <row r="14">
      <c r="B14" s="23" t="inlineStr">
        <is>
          <t>Ending construction debt</t>
        </is>
      </c>
      <c r="C14" s="24">
        <f>C12+C11+C13</f>
        <v/>
      </c>
      <c r="D14" s="24">
        <f>D12+D11+D13</f>
        <v/>
      </c>
      <c r="E14" s="24">
        <f>E12+E11+E13</f>
        <v/>
      </c>
      <c r="F14" s="24">
        <f>F12+F11+F13</f>
        <v/>
      </c>
      <c r="G14" s="24">
        <f>G12+G11+G13</f>
        <v/>
      </c>
      <c r="H14" s="24">
        <f>H12+H11+H13</f>
        <v/>
      </c>
      <c r="I14" s="24">
        <f>I12+I11+I13</f>
        <v/>
      </c>
      <c r="J14" s="24">
        <f>J12+J11+J13</f>
        <v/>
      </c>
      <c r="K14" s="24">
        <f>K12+K11+K13</f>
        <v/>
      </c>
      <c r="L14" s="24">
        <f>L12+L11+L13</f>
        <v/>
      </c>
      <c r="M14" s="24">
        <f>L14</f>
        <v/>
      </c>
    </row>
    <row r="15">
      <c r="B15" s="23" t="inlineStr">
        <is>
          <t>Cumulative project spend</t>
        </is>
      </c>
      <c r="C15" s="24">
        <f>C9</f>
        <v/>
      </c>
      <c r="D15" s="24">
        <f>C15+D9</f>
        <v/>
      </c>
      <c r="E15" s="24">
        <f>D15+E9</f>
        <v/>
      </c>
      <c r="F15" s="24">
        <f>E15+F9</f>
        <v/>
      </c>
      <c r="G15" s="24">
        <f>F15+G9</f>
        <v/>
      </c>
      <c r="H15" s="24">
        <f>G15+H9</f>
        <v/>
      </c>
      <c r="I15" s="24">
        <f>H15+I9</f>
        <v/>
      </c>
      <c r="J15" s="24">
        <f>I15+J9</f>
        <v/>
      </c>
      <c r="K15" s="24">
        <f>J15+K9</f>
        <v/>
      </c>
      <c r="L15" s="24">
        <f>K15+L9</f>
        <v/>
      </c>
      <c r="M15" s="24">
        <f>L15</f>
        <v/>
      </c>
    </row>
  </sheetData>
  <mergeCells count="1">
    <mergeCell ref="B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5" customWidth="1" min="4" max="4"/>
    <col width="34" customWidth="1" min="5" max="5"/>
    <col width="18" customWidth="1" min="6" max="6"/>
    <col width="5" customWidth="1" min="7" max="7"/>
  </cols>
  <sheetData>
    <row r="2" ht="28" customHeight="1">
      <c r="B2" s="1" t="inlineStr">
        <is>
          <t>Sources &amp; Uses at Financial Close</t>
        </is>
      </c>
    </row>
    <row r="4">
      <c r="B4" s="8" t="inlineStr">
        <is>
          <t>Uses</t>
        </is>
      </c>
      <c r="C4" s="8" t="inlineStr">
        <is>
          <t>Amount</t>
        </is>
      </c>
      <c r="D4" s="8" t="inlineStr"/>
      <c r="E4" s="8" t="inlineStr">
        <is>
          <t>Sources</t>
        </is>
      </c>
      <c r="F4" s="8" t="inlineStr">
        <is>
          <t>Amount</t>
        </is>
      </c>
      <c r="G4" s="8" t="inlineStr"/>
    </row>
    <row r="5">
      <c r="B5" t="inlineStr">
        <is>
          <t>Hard construction cost</t>
        </is>
      </c>
      <c r="C5" s="22">
        <f>Construction!M6</f>
        <v/>
      </c>
      <c r="E5" t="inlineStr">
        <is>
          <t>Construction / term debt</t>
        </is>
      </c>
      <c r="F5" s="22">
        <f>Construction!M14</f>
        <v/>
      </c>
    </row>
    <row r="6">
      <c r="B6" t="inlineStr">
        <is>
          <t>Development / owner costs</t>
        </is>
      </c>
      <c r="C6" s="22">
        <f>Construction!M7</f>
        <v/>
      </c>
      <c r="E6" t="inlineStr">
        <is>
          <t>Sponsor equity</t>
        </is>
      </c>
      <c r="F6" s="22">
        <f>MAX(0,C10-F5)</f>
        <v/>
      </c>
    </row>
    <row r="7">
      <c r="B7" t="inlineStr">
        <is>
          <t>Contingency</t>
        </is>
      </c>
      <c r="C7" s="22">
        <f>Construction!M8</f>
        <v/>
      </c>
      <c r="E7" t="inlineStr">
        <is>
          <t>Grants / subordinated support</t>
        </is>
      </c>
      <c r="F7" s="9" t="n">
        <v>0</v>
      </c>
    </row>
    <row r="8">
      <c r="B8" t="inlineStr">
        <is>
          <t>Interest during construction</t>
        </is>
      </c>
      <c r="C8" s="22">
        <f>Construction!M13</f>
        <v/>
      </c>
      <c r="E8" s="23" t="inlineStr">
        <is>
          <t>Total sources</t>
        </is>
      </c>
      <c r="F8" s="24">
        <f>SUM(F5:F7)</f>
        <v/>
      </c>
    </row>
    <row r="9">
      <c r="B9" t="inlineStr">
        <is>
          <t>Initial DSRA funding</t>
        </is>
      </c>
      <c r="C9" s="22">
        <f>'DSRA'!C7</f>
        <v/>
      </c>
      <c r="E9" t="inlineStr">
        <is>
          <t>Sources less uses</t>
        </is>
      </c>
      <c r="F9" s="22">
        <f>F8-C10</f>
        <v/>
      </c>
    </row>
    <row r="10">
      <c r="B10" s="23" t="inlineStr">
        <is>
          <t>Total uses</t>
        </is>
      </c>
      <c r="C10" s="24">
        <f>SUM(C5:C9)</f>
        <v/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28" customHeight="1">
      <c r="B2" s="1" t="inlineStr">
        <is>
          <t>Ten-Year Operating Forecast and CFADS</t>
        </is>
      </c>
    </row>
    <row r="4">
      <c r="B4" s="8" t="inlineStr">
        <is>
          <t>$mm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  <c r="J4" s="8" t="inlineStr">
        <is>
          <t>Year 8</t>
        </is>
      </c>
      <c r="K4" s="8" t="inlineStr">
        <is>
          <t>Year 9</t>
        </is>
      </c>
      <c r="L4" s="8" t="inlineStr">
        <is>
          <t>Year 10</t>
        </is>
      </c>
    </row>
    <row r="5">
      <c r="B5" t="inlineStr">
        <is>
          <t>Nominal contracted / merchant revenue</t>
        </is>
      </c>
      <c r="C5" s="22">
        <f>Assumptions!E11</f>
        <v/>
      </c>
      <c r="D5" s="22">
        <f>C5*(1+Assumptions!$E$12+Assumptions!$E$24)</f>
        <v/>
      </c>
      <c r="E5" s="22">
        <f>D5*(1+Assumptions!$E$12+Assumptions!$E$24)</f>
        <v/>
      </c>
      <c r="F5" s="22">
        <f>E5*(1+Assumptions!$E$12+Assumptions!$E$24)</f>
        <v/>
      </c>
      <c r="G5" s="22">
        <f>F5*(1+Assumptions!$E$12+Assumptions!$E$24)</f>
        <v/>
      </c>
      <c r="H5" s="22">
        <f>G5*(1+Assumptions!$E$12+Assumptions!$E$24)</f>
        <v/>
      </c>
      <c r="I5" s="22">
        <f>H5*(1+Assumptions!$E$12+Assumptions!$E$24)</f>
        <v/>
      </c>
      <c r="J5" s="22">
        <f>I5*(1+Assumptions!$E$12+Assumptions!$E$24)</f>
        <v/>
      </c>
      <c r="K5" s="22">
        <f>J5*(1+Assumptions!$E$12+Assumptions!$E$24)</f>
        <v/>
      </c>
      <c r="L5" s="22">
        <f>K5*(1+Assumptions!$E$12+Assumptions!$E$24)</f>
        <v/>
      </c>
    </row>
    <row r="6">
      <c r="B6" t="inlineStr">
        <is>
          <t>Availability-adjusted revenue</t>
        </is>
      </c>
      <c r="C6" s="22">
        <f>C5*Assumptions!$E$23</f>
        <v/>
      </c>
      <c r="D6" s="22">
        <f>D5*Assumptions!$E$23</f>
        <v/>
      </c>
      <c r="E6" s="22">
        <f>E5*Assumptions!$E$23</f>
        <v/>
      </c>
      <c r="F6" s="22">
        <f>F5*Assumptions!$E$23</f>
        <v/>
      </c>
      <c r="G6" s="22">
        <f>G5*Assumptions!$E$23</f>
        <v/>
      </c>
      <c r="H6" s="22">
        <f>H5*Assumptions!$E$23</f>
        <v/>
      </c>
      <c r="I6" s="22">
        <f>I5*Assumptions!$E$23</f>
        <v/>
      </c>
      <c r="J6" s="22">
        <f>J5*Assumptions!$E$23</f>
        <v/>
      </c>
      <c r="K6" s="22">
        <f>K5*Assumptions!$E$23</f>
        <v/>
      </c>
      <c r="L6" s="22">
        <f>L5*Assumptions!$E$23</f>
        <v/>
      </c>
    </row>
    <row r="7">
      <c r="B7" t="inlineStr">
        <is>
          <t>Operating cost</t>
        </is>
      </c>
      <c r="C7" s="22">
        <f>C6*Assumptions!$E$13</f>
        <v/>
      </c>
      <c r="D7" s="22">
        <f>D6*Assumptions!$E$13</f>
        <v/>
      </c>
      <c r="E7" s="22">
        <f>E6*Assumptions!$E$13</f>
        <v/>
      </c>
      <c r="F7" s="22">
        <f>F6*Assumptions!$E$13</f>
        <v/>
      </c>
      <c r="G7" s="22">
        <f>G6*Assumptions!$E$13</f>
        <v/>
      </c>
      <c r="H7" s="22">
        <f>H6*Assumptions!$E$13</f>
        <v/>
      </c>
      <c r="I7" s="22">
        <f>I6*Assumptions!$E$13</f>
        <v/>
      </c>
      <c r="J7" s="22">
        <f>J6*Assumptions!$E$13</f>
        <v/>
      </c>
      <c r="K7" s="22">
        <f>K6*Assumptions!$E$13</f>
        <v/>
      </c>
      <c r="L7" s="22">
        <f>L6*Assumptions!$E$13</f>
        <v/>
      </c>
    </row>
    <row r="8">
      <c r="B8" s="23" t="inlineStr">
        <is>
          <t>EBITDA</t>
        </is>
      </c>
      <c r="C8" s="24">
        <f>C6-C7</f>
        <v/>
      </c>
      <c r="D8" s="24">
        <f>D6-D7</f>
        <v/>
      </c>
      <c r="E8" s="24">
        <f>E6-E7</f>
        <v/>
      </c>
      <c r="F8" s="24">
        <f>F6-F7</f>
        <v/>
      </c>
      <c r="G8" s="24">
        <f>G6-G7</f>
        <v/>
      </c>
      <c r="H8" s="24">
        <f>H6-H7</f>
        <v/>
      </c>
      <c r="I8" s="24">
        <f>I6-I7</f>
        <v/>
      </c>
      <c r="J8" s="24">
        <f>J6-J7</f>
        <v/>
      </c>
      <c r="K8" s="24">
        <f>K6-K7</f>
        <v/>
      </c>
      <c r="L8" s="24">
        <f>L6-L7</f>
        <v/>
      </c>
    </row>
    <row r="9">
      <c r="B9" t="inlineStr">
        <is>
          <t>Cash taxes</t>
        </is>
      </c>
      <c r="C9" s="22">
        <f>MAX(0,C8*Assumptions!$E$15)</f>
        <v/>
      </c>
      <c r="D9" s="22">
        <f>MAX(0,D8*Assumptions!$E$15)</f>
        <v/>
      </c>
      <c r="E9" s="22">
        <f>MAX(0,E8*Assumptions!$E$15)</f>
        <v/>
      </c>
      <c r="F9" s="22">
        <f>MAX(0,F8*Assumptions!$E$15)</f>
        <v/>
      </c>
      <c r="G9" s="22">
        <f>MAX(0,G8*Assumptions!$E$15)</f>
        <v/>
      </c>
      <c r="H9" s="22">
        <f>MAX(0,H8*Assumptions!$E$15)</f>
        <v/>
      </c>
      <c r="I9" s="22">
        <f>MAX(0,I8*Assumptions!$E$15)</f>
        <v/>
      </c>
      <c r="J9" s="22">
        <f>MAX(0,J8*Assumptions!$E$15)</f>
        <v/>
      </c>
      <c r="K9" s="22">
        <f>MAX(0,K8*Assumptions!$E$15)</f>
        <v/>
      </c>
      <c r="L9" s="22">
        <f>MAX(0,L8*Assumptions!$E$15)</f>
        <v/>
      </c>
    </row>
    <row r="10">
      <c r="B10" t="inlineStr">
        <is>
          <t>Maintenance capex</t>
        </is>
      </c>
      <c r="C10" s="22">
        <f>C6*Assumptions!$E$14</f>
        <v/>
      </c>
      <c r="D10" s="22">
        <f>D6*Assumptions!$E$14</f>
        <v/>
      </c>
      <c r="E10" s="22">
        <f>E6*Assumptions!$E$14</f>
        <v/>
      </c>
      <c r="F10" s="22">
        <f>F6*Assumptions!$E$14</f>
        <v/>
      </c>
      <c r="G10" s="22">
        <f>G6*Assumptions!$E$14</f>
        <v/>
      </c>
      <c r="H10" s="22">
        <f>H6*Assumptions!$E$14</f>
        <v/>
      </c>
      <c r="I10" s="22">
        <f>I6*Assumptions!$E$14</f>
        <v/>
      </c>
      <c r="J10" s="22">
        <f>J6*Assumptions!$E$14</f>
        <v/>
      </c>
      <c r="K10" s="22">
        <f>K6*Assumptions!$E$14</f>
        <v/>
      </c>
      <c r="L10" s="22">
        <f>L6*Assumptions!$E$14</f>
        <v/>
      </c>
    </row>
    <row r="11">
      <c r="B11" t="inlineStr">
        <is>
          <t>Decommissioning / lifecycle reserve</t>
        </is>
      </c>
      <c r="C11" s="22">
        <f>Assumptions!$E$22</f>
        <v/>
      </c>
      <c r="D11" s="22">
        <f>Assumptions!$E$22</f>
        <v/>
      </c>
      <c r="E11" s="22">
        <f>Assumptions!$E$22</f>
        <v/>
      </c>
      <c r="F11" s="22">
        <f>Assumptions!$E$22</f>
        <v/>
      </c>
      <c r="G11" s="22">
        <f>Assumptions!$E$22</f>
        <v/>
      </c>
      <c r="H11" s="22">
        <f>Assumptions!$E$22</f>
        <v/>
      </c>
      <c r="I11" s="22">
        <f>Assumptions!$E$22</f>
        <v/>
      </c>
      <c r="J11" s="22">
        <f>Assumptions!$E$22</f>
        <v/>
      </c>
      <c r="K11" s="22">
        <f>Assumptions!$E$22</f>
        <v/>
      </c>
      <c r="L11" s="22">
        <f>Assumptions!$E$22</f>
        <v/>
      </c>
    </row>
    <row r="12">
      <c r="B12" s="23" t="inlineStr">
        <is>
          <t>CFADS</t>
        </is>
      </c>
      <c r="C12" s="24">
        <f>C8-C9-C10-C11</f>
        <v/>
      </c>
      <c r="D12" s="24">
        <f>D8-D9-D10-D11</f>
        <v/>
      </c>
      <c r="E12" s="24">
        <f>E8-E9-E10-E11</f>
        <v/>
      </c>
      <c r="F12" s="24">
        <f>F8-F9-F10-F11</f>
        <v/>
      </c>
      <c r="G12" s="24">
        <f>G8-G9-G10-G11</f>
        <v/>
      </c>
      <c r="H12" s="24">
        <f>H8-H9-H10-H11</f>
        <v/>
      </c>
      <c r="I12" s="24">
        <f>I8-I9-I10-I11</f>
        <v/>
      </c>
      <c r="J12" s="24">
        <f>J8-J9-J10-J11</f>
        <v/>
      </c>
      <c r="K12" s="24">
        <f>K8-K9-K10-K11</f>
        <v/>
      </c>
      <c r="L12" s="24">
        <f>L8-L9-L10-L11</f>
        <v/>
      </c>
    </row>
  </sheetData>
  <mergeCells count="1">
    <mergeCell ref="B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28" customHeight="1">
      <c r="B2" s="1" t="inlineStr">
        <is>
          <t>Sculpted Term Debt Schedule</t>
        </is>
      </c>
    </row>
    <row r="4">
      <c r="B4" s="8" t="inlineStr">
        <is>
          <t>$mm / x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  <c r="J4" s="8" t="inlineStr">
        <is>
          <t>Year 8</t>
        </is>
      </c>
      <c r="K4" s="8" t="inlineStr">
        <is>
          <t>Year 9</t>
        </is>
      </c>
      <c r="L4" s="8" t="inlineStr">
        <is>
          <t>Year 10</t>
        </is>
      </c>
    </row>
    <row r="5">
      <c r="B5" t="inlineStr">
        <is>
          <t>Beginning debt</t>
        </is>
      </c>
      <c r="C5" s="22">
        <f>Construction!M14</f>
        <v/>
      </c>
      <c r="D5" s="22">
        <f>C9</f>
        <v/>
      </c>
      <c r="E5" s="22">
        <f>D9</f>
        <v/>
      </c>
      <c r="F5" s="22">
        <f>E9</f>
        <v/>
      </c>
      <c r="G5" s="22">
        <f>F9</f>
        <v/>
      </c>
      <c r="H5" s="22">
        <f>G9</f>
        <v/>
      </c>
      <c r="I5" s="22">
        <f>H9</f>
        <v/>
      </c>
      <c r="J5" s="22">
        <f>I9</f>
        <v/>
      </c>
      <c r="K5" s="22">
        <f>J9</f>
        <v/>
      </c>
      <c r="L5" s="22">
        <f>K9</f>
        <v/>
      </c>
    </row>
    <row r="6">
      <c r="B6" t="inlineStr">
        <is>
          <t>Cash interest</t>
        </is>
      </c>
      <c r="C6" s="22">
        <f>C5*Assumptions!$E$18</f>
        <v/>
      </c>
      <c r="D6" s="22">
        <f>D5*Assumptions!$E$18</f>
        <v/>
      </c>
      <c r="E6" s="22">
        <f>E5*Assumptions!$E$18</f>
        <v/>
      </c>
      <c r="F6" s="22">
        <f>F5*Assumptions!$E$18</f>
        <v/>
      </c>
      <c r="G6" s="22">
        <f>G5*Assumptions!$E$18</f>
        <v/>
      </c>
      <c r="H6" s="22">
        <f>H5*Assumptions!$E$18</f>
        <v/>
      </c>
      <c r="I6" s="22">
        <f>I5*Assumptions!$E$18</f>
        <v/>
      </c>
      <c r="J6" s="22">
        <f>J5*Assumptions!$E$18</f>
        <v/>
      </c>
      <c r="K6" s="22">
        <f>K5*Assumptions!$E$18</f>
        <v/>
      </c>
      <c r="L6" s="22">
        <f>L5*Assumptions!$E$18</f>
        <v/>
      </c>
    </row>
    <row r="7">
      <c r="B7" t="inlineStr">
        <is>
          <t>Maximum debt service at target DSCR</t>
        </is>
      </c>
      <c r="C7" s="22">
        <f>Operations!C12/Assumptions!$E$16</f>
        <v/>
      </c>
      <c r="D7" s="22">
        <f>Operations!D12/Assumptions!$E$16</f>
        <v/>
      </c>
      <c r="E7" s="22">
        <f>Operations!E12/Assumptions!$E$16</f>
        <v/>
      </c>
      <c r="F7" s="22">
        <f>Operations!F12/Assumptions!$E$16</f>
        <v/>
      </c>
      <c r="G7" s="22">
        <f>Operations!G12/Assumptions!$E$16</f>
        <v/>
      </c>
      <c r="H7" s="22">
        <f>Operations!H12/Assumptions!$E$16</f>
        <v/>
      </c>
      <c r="I7" s="22">
        <f>Operations!I12/Assumptions!$E$16</f>
        <v/>
      </c>
      <c r="J7" s="22">
        <f>Operations!J12/Assumptions!$E$16</f>
        <v/>
      </c>
      <c r="K7" s="22">
        <f>Operations!K12/Assumptions!$E$16</f>
        <v/>
      </c>
      <c r="L7" s="22">
        <f>Operations!L12/Assumptions!$E$16</f>
        <v/>
      </c>
    </row>
    <row r="8">
      <c r="B8" t="inlineStr">
        <is>
          <t>Scheduled principal</t>
        </is>
      </c>
      <c r="C8" s="22">
        <f>MIN(C5,MAX(0,MAX(0,C7-C6)))</f>
        <v/>
      </c>
      <c r="D8" s="22">
        <f>MIN(D5,MAX(0,MAX(0,D7-D6)))</f>
        <v/>
      </c>
      <c r="E8" s="22">
        <f>MIN(E5,MAX(0,MAX(0,E7-E6)))</f>
        <v/>
      </c>
      <c r="F8" s="22">
        <f>MIN(F5,MAX(0,MAX(0,F7-F6)))</f>
        <v/>
      </c>
      <c r="G8" s="22">
        <f>MIN(G5,MAX(0,MAX(0,G7-G6)))</f>
        <v/>
      </c>
      <c r="H8" s="22">
        <f>MIN(H5,MAX(0,MAX(0,H7-H6)))</f>
        <v/>
      </c>
      <c r="I8" s="22">
        <f>MIN(I5,MAX(0,MAX(0,I7-I6)))</f>
        <v/>
      </c>
      <c r="J8" s="22">
        <f>MIN(J5,MAX(0,MAX(0,J7-J6)))</f>
        <v/>
      </c>
      <c r="K8" s="22">
        <f>MIN(K5,MAX(0,MAX(0,K7-K6)))</f>
        <v/>
      </c>
      <c r="L8" s="22">
        <f>MIN(L5,MAX(L5,MAX(0,L7-L6)))</f>
        <v/>
      </c>
    </row>
    <row r="9">
      <c r="B9" s="23" t="inlineStr">
        <is>
          <t>Ending debt</t>
        </is>
      </c>
      <c r="C9" s="24">
        <f>MAX(0,C5-C8)</f>
        <v/>
      </c>
      <c r="D9" s="24">
        <f>MAX(0,D5-D8)</f>
        <v/>
      </c>
      <c r="E9" s="24">
        <f>MAX(0,E5-E8)</f>
        <v/>
      </c>
      <c r="F9" s="24">
        <f>MAX(0,F5-F8)</f>
        <v/>
      </c>
      <c r="G9" s="24">
        <f>MAX(0,G5-G8)</f>
        <v/>
      </c>
      <c r="H9" s="24">
        <f>MAX(0,H5-H8)</f>
        <v/>
      </c>
      <c r="I9" s="24">
        <f>MAX(0,I5-I8)</f>
        <v/>
      </c>
      <c r="J9" s="24">
        <f>MAX(0,J5-J8)</f>
        <v/>
      </c>
      <c r="K9" s="24">
        <f>MAX(0,K5-K8)</f>
        <v/>
      </c>
      <c r="L9" s="24">
        <f>MAX(0,L5-L8)</f>
        <v/>
      </c>
    </row>
    <row r="10">
      <c r="B10" s="23" t="inlineStr">
        <is>
          <t>Actual debt service</t>
        </is>
      </c>
      <c r="C10" s="24">
        <f>C6+C8</f>
        <v/>
      </c>
      <c r="D10" s="24">
        <f>D6+D8</f>
        <v/>
      </c>
      <c r="E10" s="24">
        <f>E6+E8</f>
        <v/>
      </c>
      <c r="F10" s="24">
        <f>F6+F8</f>
        <v/>
      </c>
      <c r="G10" s="24">
        <f>G6+G8</f>
        <v/>
      </c>
      <c r="H10" s="24">
        <f>H6+H8</f>
        <v/>
      </c>
      <c r="I10" s="24">
        <f>I6+I8</f>
        <v/>
      </c>
      <c r="J10" s="24">
        <f>J6+J8</f>
        <v/>
      </c>
      <c r="K10" s="24">
        <f>K6+K8</f>
        <v/>
      </c>
      <c r="L10" s="24">
        <f>L6+L8</f>
        <v/>
      </c>
    </row>
    <row r="11">
      <c r="B11" t="inlineStr">
        <is>
          <t>CFADS</t>
        </is>
      </c>
      <c r="C11" s="22">
        <f>Operations!C12</f>
        <v/>
      </c>
      <c r="D11" s="22">
        <f>Operations!D12</f>
        <v/>
      </c>
      <c r="E11" s="22">
        <f>Operations!E12</f>
        <v/>
      </c>
      <c r="F11" s="22">
        <f>Operations!F12</f>
        <v/>
      </c>
      <c r="G11" s="22">
        <f>Operations!G12</f>
        <v/>
      </c>
      <c r="H11" s="22">
        <f>Operations!H12</f>
        <v/>
      </c>
      <c r="I11" s="22">
        <f>Operations!I12</f>
        <v/>
      </c>
      <c r="J11" s="22">
        <f>Operations!J12</f>
        <v/>
      </c>
      <c r="K11" s="22">
        <f>Operations!K12</f>
        <v/>
      </c>
      <c r="L11" s="22">
        <f>Operations!L12</f>
        <v/>
      </c>
    </row>
    <row r="12">
      <c r="B12" t="inlineStr">
        <is>
          <t>DSCR</t>
        </is>
      </c>
      <c r="C12" s="25">
        <f>IFERROR(C11/C10,0)</f>
        <v/>
      </c>
      <c r="D12" s="25">
        <f>IFERROR(D11/D10,0)</f>
        <v/>
      </c>
      <c r="E12" s="25">
        <f>IFERROR(E11/E10,0)</f>
        <v/>
      </c>
      <c r="F12" s="25">
        <f>IFERROR(F11/F10,0)</f>
        <v/>
      </c>
      <c r="G12" s="25">
        <f>IFERROR(G11/G10,0)</f>
        <v/>
      </c>
      <c r="H12" s="25">
        <f>IFERROR(H11/H10,0)</f>
        <v/>
      </c>
      <c r="I12" s="25">
        <f>IFERROR(I11/I10,0)</f>
        <v/>
      </c>
      <c r="J12" s="25">
        <f>IFERROR(J11/J10,0)</f>
        <v/>
      </c>
      <c r="K12" s="25">
        <f>IFERROR(K11/K10,0)</f>
        <v/>
      </c>
      <c r="L12" s="25">
        <f>IFERROR(L11/L10,0)</f>
        <v/>
      </c>
    </row>
    <row r="13">
      <c r="B13" t="inlineStr">
        <is>
          <t>Discount factor</t>
        </is>
      </c>
      <c r="C13" s="26">
        <f>1/(1+Assumptions!$E$21)^1</f>
        <v/>
      </c>
      <c r="D13" s="26">
        <f>1/(1+Assumptions!$E$21)^2</f>
        <v/>
      </c>
      <c r="E13" s="26">
        <f>1/(1+Assumptions!$E$21)^3</f>
        <v/>
      </c>
      <c r="F13" s="26">
        <f>1/(1+Assumptions!$E$21)^4</f>
        <v/>
      </c>
      <c r="G13" s="26">
        <f>1/(1+Assumptions!$E$21)^5</f>
        <v/>
      </c>
      <c r="H13" s="26">
        <f>1/(1+Assumptions!$E$21)^6</f>
        <v/>
      </c>
      <c r="I13" s="26">
        <f>1/(1+Assumptions!$E$21)^7</f>
        <v/>
      </c>
      <c r="J13" s="26">
        <f>1/(1+Assumptions!$E$21)^8</f>
        <v/>
      </c>
      <c r="K13" s="26">
        <f>1/(1+Assumptions!$E$21)^9</f>
        <v/>
      </c>
      <c r="L13" s="26">
        <f>1/(1+Assumptions!$E$21)^10</f>
        <v/>
      </c>
    </row>
    <row r="14">
      <c r="B14" t="inlineStr">
        <is>
          <t>PV of CFADS</t>
        </is>
      </c>
      <c r="C14" s="22">
        <f>C11*C13</f>
        <v/>
      </c>
      <c r="D14" s="22">
        <f>D11*D13</f>
        <v/>
      </c>
      <c r="E14" s="22">
        <f>E11*E13</f>
        <v/>
      </c>
      <c r="F14" s="22">
        <f>F11*F13</f>
        <v/>
      </c>
      <c r="G14" s="22">
        <f>G11*G13</f>
        <v/>
      </c>
      <c r="H14" s="22">
        <f>H11*H13</f>
        <v/>
      </c>
      <c r="I14" s="22">
        <f>I11*I13</f>
        <v/>
      </c>
      <c r="J14" s="22">
        <f>J11*J13</f>
        <v/>
      </c>
      <c r="K14" s="22">
        <f>K11*K13</f>
        <v/>
      </c>
      <c r="L14" s="22">
        <f>L11*L13</f>
        <v/>
      </c>
    </row>
    <row r="15">
      <c r="B15" t="inlineStr">
        <is>
          <t>LLCR from each year</t>
        </is>
      </c>
      <c r="C15" s="25">
        <f>IFERROR(SUM(C14:$L$14)/C5,0)</f>
        <v/>
      </c>
      <c r="D15" s="25">
        <f>IFERROR(SUM(D14:$L$14)/D5,0)</f>
        <v/>
      </c>
      <c r="E15" s="25">
        <f>IFERROR(SUM(E14:$L$14)/E5,0)</f>
        <v/>
      </c>
      <c r="F15" s="25">
        <f>IFERROR(SUM(F14:$L$14)/F5,0)</f>
        <v/>
      </c>
      <c r="G15" s="25">
        <f>IFERROR(SUM(G14:$L$14)/G5,0)</f>
        <v/>
      </c>
      <c r="H15" s="25">
        <f>IFERROR(SUM(H14:$L$14)/H5,0)</f>
        <v/>
      </c>
      <c r="I15" s="25">
        <f>IFERROR(SUM(I14:$L$14)/I5,0)</f>
        <v/>
      </c>
      <c r="J15" s="25">
        <f>IFERROR(SUM(J14:$L$14)/J5,0)</f>
        <v/>
      </c>
      <c r="K15" s="25">
        <f>IFERROR(SUM(K14:$L$14)/K5,0)</f>
        <v/>
      </c>
      <c r="L15" s="25">
        <f>IFERROR(SUM(L14:$L$14)/L5,0)</f>
        <v/>
      </c>
    </row>
  </sheetData>
  <mergeCells count="1">
    <mergeCell ref="B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28" customHeight="1">
      <c r="B2" s="1" t="inlineStr">
        <is>
          <t>Debt Service Reserve Account</t>
        </is>
      </c>
    </row>
    <row r="4">
      <c r="B4" s="8" t="inlineStr">
        <is>
          <t>$mm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  <c r="J4" s="8" t="inlineStr">
        <is>
          <t>Year 8</t>
        </is>
      </c>
      <c r="K4" s="8" t="inlineStr">
        <is>
          <t>Year 9</t>
        </is>
      </c>
      <c r="L4" s="8" t="inlineStr">
        <is>
          <t>Year 10</t>
        </is>
      </c>
    </row>
    <row r="5">
      <c r="B5" t="inlineStr">
        <is>
          <t>Forward debt service</t>
        </is>
      </c>
      <c r="C5" s="22">
        <f>'Debt Sculpting'!D10</f>
        <v/>
      </c>
      <c r="D5" s="22">
        <f>'Debt Sculpting'!E10</f>
        <v/>
      </c>
      <c r="E5" s="22">
        <f>'Debt Sculpting'!F10</f>
        <v/>
      </c>
      <c r="F5" s="22">
        <f>'Debt Sculpting'!G10</f>
        <v/>
      </c>
      <c r="G5" s="22">
        <f>'Debt Sculpting'!H10</f>
        <v/>
      </c>
      <c r="H5" s="22">
        <f>'Debt Sculpting'!I10</f>
        <v/>
      </c>
      <c r="I5" s="22">
        <f>'Debt Sculpting'!J10</f>
        <v/>
      </c>
      <c r="J5" s="22">
        <f>'Debt Sculpting'!K10</f>
        <v/>
      </c>
      <c r="K5" s="22">
        <f>'Debt Sculpting'!L10</f>
        <v/>
      </c>
      <c r="L5" s="22">
        <f>'Debt Sculpting'!L10</f>
        <v/>
      </c>
    </row>
    <row r="6">
      <c r="B6" t="inlineStr">
        <is>
          <t>Required DSRA</t>
        </is>
      </c>
      <c r="C6" s="22">
        <f>C5*Assumptions!$E$20/12</f>
        <v/>
      </c>
      <c r="D6" s="22">
        <f>D5*Assumptions!$E$20/12</f>
        <v/>
      </c>
      <c r="E6" s="22">
        <f>E5*Assumptions!$E$20/12</f>
        <v/>
      </c>
      <c r="F6" s="22">
        <f>F5*Assumptions!$E$20/12</f>
        <v/>
      </c>
      <c r="G6" s="22">
        <f>G5*Assumptions!$E$20/12</f>
        <v/>
      </c>
      <c r="H6" s="22">
        <f>H5*Assumptions!$E$20/12</f>
        <v/>
      </c>
      <c r="I6" s="22">
        <f>I5*Assumptions!$E$20/12</f>
        <v/>
      </c>
      <c r="J6" s="22">
        <f>J5*Assumptions!$E$20/12</f>
        <v/>
      </c>
      <c r="K6" s="22">
        <f>K5*Assumptions!$E$20/12</f>
        <v/>
      </c>
      <c r="L6" s="22">
        <f>L5*Assumptions!$E$20/12</f>
        <v/>
      </c>
    </row>
    <row r="7">
      <c r="B7" t="inlineStr">
        <is>
          <t>Beginning DSRA</t>
        </is>
      </c>
      <c r="C7" s="22">
        <f>C6</f>
        <v/>
      </c>
      <c r="D7" s="22">
        <f>C9</f>
        <v/>
      </c>
      <c r="E7" s="22">
        <f>D9</f>
        <v/>
      </c>
      <c r="F7" s="22">
        <f>E9</f>
        <v/>
      </c>
      <c r="G7" s="22">
        <f>F9</f>
        <v/>
      </c>
      <c r="H7" s="22">
        <f>G9</f>
        <v/>
      </c>
      <c r="I7" s="22">
        <f>H9</f>
        <v/>
      </c>
      <c r="J7" s="22">
        <f>I9</f>
        <v/>
      </c>
      <c r="K7" s="22">
        <f>J9</f>
        <v/>
      </c>
      <c r="L7" s="22">
        <f>K9</f>
        <v/>
      </c>
    </row>
    <row r="8">
      <c r="B8" t="inlineStr">
        <is>
          <t>Funding / (release)</t>
        </is>
      </c>
      <c r="C8" s="22">
        <f>C6-C7</f>
        <v/>
      </c>
      <c r="D8" s="22">
        <f>D6-D7</f>
        <v/>
      </c>
      <c r="E8" s="22">
        <f>E6-E7</f>
        <v/>
      </c>
      <c r="F8" s="22">
        <f>F6-F7</f>
        <v/>
      </c>
      <c r="G8" s="22">
        <f>G6-G7</f>
        <v/>
      </c>
      <c r="H8" s="22">
        <f>H6-H7</f>
        <v/>
      </c>
      <c r="I8" s="22">
        <f>I6-I7</f>
        <v/>
      </c>
      <c r="J8" s="22">
        <f>J6-J7</f>
        <v/>
      </c>
      <c r="K8" s="22">
        <f>K6-K7</f>
        <v/>
      </c>
      <c r="L8" s="22">
        <f>L6-L7</f>
        <v/>
      </c>
    </row>
    <row r="9">
      <c r="B9" t="inlineStr">
        <is>
          <t>Ending DSRA</t>
        </is>
      </c>
      <c r="C9" s="22">
        <f>C7+C8</f>
        <v/>
      </c>
      <c r="D9" s="22">
        <f>D7+D8</f>
        <v/>
      </c>
      <c r="E9" s="22">
        <f>E7+E8</f>
        <v/>
      </c>
      <c r="F9" s="22">
        <f>F7+F8</f>
        <v/>
      </c>
      <c r="G9" s="22">
        <f>G7+G8</f>
        <v/>
      </c>
      <c r="H9" s="22">
        <f>H7+H8</f>
        <v/>
      </c>
      <c r="I9" s="22">
        <f>I7+I8</f>
        <v/>
      </c>
      <c r="J9" s="22">
        <f>J7+J8</f>
        <v/>
      </c>
      <c r="K9" s="22">
        <f>K7+K8</f>
        <v/>
      </c>
      <c r="L9" s="22">
        <f>L7+L8</f>
        <v/>
      </c>
    </row>
    <row r="10">
      <c r="B10" t="inlineStr">
        <is>
          <t>DSRA funding at close</t>
        </is>
      </c>
      <c r="C10" s="22">
        <f>IF(COLUMN()=3,C7,0)</f>
        <v/>
      </c>
      <c r="D10" s="22">
        <f>IF(COLUMN()=3,D7,0)</f>
        <v/>
      </c>
      <c r="E10" s="22">
        <f>IF(COLUMN()=3,E7,0)</f>
        <v/>
      </c>
      <c r="F10" s="22">
        <f>IF(COLUMN()=3,F7,0)</f>
        <v/>
      </c>
      <c r="G10" s="22">
        <f>IF(COLUMN()=3,G7,0)</f>
        <v/>
      </c>
      <c r="H10" s="22">
        <f>IF(COLUMN()=3,H7,0)</f>
        <v/>
      </c>
      <c r="I10" s="22">
        <f>IF(COLUMN()=3,I7,0)</f>
        <v/>
      </c>
      <c r="J10" s="22">
        <f>IF(COLUMN()=3,J7,0)</f>
        <v/>
      </c>
      <c r="K10" s="22">
        <f>IF(COLUMN()=3,K7,0)</f>
        <v/>
      </c>
      <c r="L10" s="22">
        <f>IF(COLUMN()=3,L7,0)</f>
        <v/>
      </c>
    </row>
  </sheetData>
  <mergeCells count="1">
    <mergeCell ref="B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2" ht="28" customHeight="1">
      <c r="B2" s="1" t="inlineStr">
        <is>
          <t>Coverage, Liquidity, and Tail Risk</t>
        </is>
      </c>
    </row>
    <row r="4">
      <c r="B4" s="8" t="inlineStr">
        <is>
          <t>Metric</t>
        </is>
      </c>
      <c r="C4" s="8" t="inlineStr">
        <is>
          <t>Year 1</t>
        </is>
      </c>
      <c r="D4" s="8" t="inlineStr">
        <is>
          <t>Year 2</t>
        </is>
      </c>
      <c r="E4" s="8" t="inlineStr">
        <is>
          <t>Year 3</t>
        </is>
      </c>
      <c r="F4" s="8" t="inlineStr">
        <is>
          <t>Year 4</t>
        </is>
      </c>
      <c r="G4" s="8" t="inlineStr">
        <is>
          <t>Year 5</t>
        </is>
      </c>
      <c r="H4" s="8" t="inlineStr">
        <is>
          <t>Year 6</t>
        </is>
      </c>
      <c r="I4" s="8" t="inlineStr">
        <is>
          <t>Year 7</t>
        </is>
      </c>
      <c r="J4" s="8" t="inlineStr">
        <is>
          <t>Year 8</t>
        </is>
      </c>
      <c r="K4" s="8" t="inlineStr">
        <is>
          <t>Year 9</t>
        </is>
      </c>
      <c r="L4" s="8" t="inlineStr">
        <is>
          <t>Year 10</t>
        </is>
      </c>
    </row>
    <row r="5">
      <c r="B5" t="inlineStr">
        <is>
          <t>DSCR</t>
        </is>
      </c>
      <c r="C5" s="25">
        <f>'Debt Sculpting'!C12</f>
        <v/>
      </c>
      <c r="D5" s="25">
        <f>'Debt Sculpting'!D12</f>
        <v/>
      </c>
      <c r="E5" s="25">
        <f>'Debt Sculpting'!E12</f>
        <v/>
      </c>
      <c r="F5" s="25">
        <f>'Debt Sculpting'!F12</f>
        <v/>
      </c>
      <c r="G5" s="25">
        <f>'Debt Sculpting'!G12</f>
        <v/>
      </c>
      <c r="H5" s="25">
        <f>'Debt Sculpting'!H12</f>
        <v/>
      </c>
      <c r="I5" s="25">
        <f>'Debt Sculpting'!I12</f>
        <v/>
      </c>
      <c r="J5" s="25">
        <f>'Debt Sculpting'!J12</f>
        <v/>
      </c>
      <c r="K5" s="25">
        <f>'Debt Sculpting'!K12</f>
        <v/>
      </c>
      <c r="L5" s="25">
        <f>'Debt Sculpting'!L12</f>
        <v/>
      </c>
    </row>
    <row r="6">
      <c r="B6" t="inlineStr">
        <is>
          <t>Minimum DSCR</t>
        </is>
      </c>
      <c r="C6" s="25">
        <f>Assumptions!$E$17</f>
        <v/>
      </c>
      <c r="D6" s="25">
        <f>Assumptions!$E$17</f>
        <v/>
      </c>
      <c r="E6" s="25">
        <f>Assumptions!$E$17</f>
        <v/>
      </c>
      <c r="F6" s="25">
        <f>Assumptions!$E$17</f>
        <v/>
      </c>
      <c r="G6" s="25">
        <f>Assumptions!$E$17</f>
        <v/>
      </c>
      <c r="H6" s="25">
        <f>Assumptions!$E$17</f>
        <v/>
      </c>
      <c r="I6" s="25">
        <f>Assumptions!$E$17</f>
        <v/>
      </c>
      <c r="J6" s="25">
        <f>Assumptions!$E$17</f>
        <v/>
      </c>
      <c r="K6" s="25">
        <f>Assumptions!$E$17</f>
        <v/>
      </c>
      <c r="L6" s="25">
        <f>Assumptions!$E$17</f>
        <v/>
      </c>
    </row>
    <row r="7">
      <c r="B7" t="inlineStr">
        <is>
          <t>DSCR headroom</t>
        </is>
      </c>
      <c r="C7" s="25">
        <f>C5-C6</f>
        <v/>
      </c>
      <c r="D7" s="25">
        <f>D5-D6</f>
        <v/>
      </c>
      <c r="E7" s="25">
        <f>E5-E6</f>
        <v/>
      </c>
      <c r="F7" s="25">
        <f>F5-F6</f>
        <v/>
      </c>
      <c r="G7" s="25">
        <f>G5-G6</f>
        <v/>
      </c>
      <c r="H7" s="25">
        <f>H5-H6</f>
        <v/>
      </c>
      <c r="I7" s="25">
        <f>I5-I6</f>
        <v/>
      </c>
      <c r="J7" s="25">
        <f>J5-J6</f>
        <v/>
      </c>
      <c r="K7" s="25">
        <f>K5-K6</f>
        <v/>
      </c>
      <c r="L7" s="25">
        <f>L5-L6</f>
        <v/>
      </c>
    </row>
    <row r="8">
      <c r="B8" t="inlineStr">
        <is>
          <t>LLCR</t>
        </is>
      </c>
      <c r="C8" s="25">
        <f>'Debt Sculpting'!C15</f>
        <v/>
      </c>
      <c r="D8" s="25">
        <f>'Debt Sculpting'!D15</f>
        <v/>
      </c>
      <c r="E8" s="25">
        <f>'Debt Sculpting'!E15</f>
        <v/>
      </c>
      <c r="F8" s="25">
        <f>'Debt Sculpting'!F15</f>
        <v/>
      </c>
      <c r="G8" s="25">
        <f>'Debt Sculpting'!G15</f>
        <v/>
      </c>
      <c r="H8" s="25">
        <f>'Debt Sculpting'!H15</f>
        <v/>
      </c>
      <c r="I8" s="25">
        <f>'Debt Sculpting'!I15</f>
        <v/>
      </c>
      <c r="J8" s="25">
        <f>'Debt Sculpting'!J15</f>
        <v/>
      </c>
      <c r="K8" s="25">
        <f>'Debt Sculpting'!K15</f>
        <v/>
      </c>
      <c r="L8" s="25">
        <f>'Debt Sculpting'!L15</f>
        <v/>
      </c>
    </row>
    <row r="9">
      <c r="B9" t="inlineStr">
        <is>
          <t>PLCR</t>
        </is>
      </c>
      <c r="C9" s="25">
        <f>IFERROR(SUM('Debt Sculpting'!C14:$L$14)/'Debt Sculpting'!C5,0)</f>
        <v/>
      </c>
      <c r="D9" s="25">
        <f>IFERROR(SUM('Debt Sculpting'!D14:$L$14)/'Debt Sculpting'!D5,0)</f>
        <v/>
      </c>
      <c r="E9" s="25">
        <f>IFERROR(SUM('Debt Sculpting'!E14:$L$14)/'Debt Sculpting'!E5,0)</f>
        <v/>
      </c>
      <c r="F9" s="25">
        <f>IFERROR(SUM('Debt Sculpting'!F14:$L$14)/'Debt Sculpting'!F5,0)</f>
        <v/>
      </c>
      <c r="G9" s="25">
        <f>IFERROR(SUM('Debt Sculpting'!G14:$L$14)/'Debt Sculpting'!G5,0)</f>
        <v/>
      </c>
      <c r="H9" s="25">
        <f>IFERROR(SUM('Debt Sculpting'!H14:$L$14)/'Debt Sculpting'!H5,0)</f>
        <v/>
      </c>
      <c r="I9" s="25">
        <f>IFERROR(SUM('Debt Sculpting'!I14:$L$14)/'Debt Sculpting'!I5,0)</f>
        <v/>
      </c>
      <c r="J9" s="25">
        <f>IFERROR(SUM('Debt Sculpting'!J14:$L$14)/'Debt Sculpting'!J5,0)</f>
        <v/>
      </c>
      <c r="K9" s="25">
        <f>IFERROR(SUM('Debt Sculpting'!K14:$L$14)/'Debt Sculpting'!K5,0)</f>
        <v/>
      </c>
      <c r="L9" s="25">
        <f>IFERROR(SUM('Debt Sculpting'!L14:$L$14)/'Debt Sculpting'!L5,0)</f>
        <v/>
      </c>
    </row>
    <row r="10">
      <c r="B10" t="inlineStr">
        <is>
          <t>Debt / EBITDA</t>
        </is>
      </c>
      <c r="C10" s="25">
        <f>IFERROR('Debt Sculpting'!C9/Operations!C8,0)</f>
        <v/>
      </c>
      <c r="D10" s="25">
        <f>IFERROR('Debt Sculpting'!D9/Operations!D8,0)</f>
        <v/>
      </c>
      <c r="E10" s="25">
        <f>IFERROR('Debt Sculpting'!E9/Operations!E8,0)</f>
        <v/>
      </c>
      <c r="F10" s="25">
        <f>IFERROR('Debt Sculpting'!F9/Operations!F8,0)</f>
        <v/>
      </c>
      <c r="G10" s="25">
        <f>IFERROR('Debt Sculpting'!G9/Operations!G8,0)</f>
        <v/>
      </c>
      <c r="H10" s="25">
        <f>IFERROR('Debt Sculpting'!H9/Operations!H8,0)</f>
        <v/>
      </c>
      <c r="I10" s="25">
        <f>IFERROR('Debt Sculpting'!I9/Operations!I8,0)</f>
        <v/>
      </c>
      <c r="J10" s="25">
        <f>IFERROR('Debt Sculpting'!J9/Operations!J8,0)</f>
        <v/>
      </c>
      <c r="K10" s="25">
        <f>IFERROR('Debt Sculpting'!K9/Operations!K8,0)</f>
        <v/>
      </c>
      <c r="L10" s="25">
        <f>IFERROR('Debt Sculpting'!L9/Operations!L8,0)</f>
        <v/>
      </c>
    </row>
    <row r="11">
      <c r="B11" t="inlineStr">
        <is>
          <t>DSRA coverage</t>
        </is>
      </c>
      <c r="C11" s="25">
        <f>IFERROR(DSRA!C9/DSRA!C6,0)</f>
        <v/>
      </c>
      <c r="D11" s="25">
        <f>IFERROR(DSRA!D9/DSRA!D6,0)</f>
        <v/>
      </c>
      <c r="E11" s="25">
        <f>IFERROR(DSRA!E9/DSRA!E6,0)</f>
        <v/>
      </c>
      <c r="F11" s="25">
        <f>IFERROR(DSRA!F9/DSRA!F6,0)</f>
        <v/>
      </c>
      <c r="G11" s="25">
        <f>IFERROR(DSRA!G9/DSRA!G6,0)</f>
        <v/>
      </c>
      <c r="H11" s="25">
        <f>IFERROR(DSRA!H9/DSRA!H6,0)</f>
        <v/>
      </c>
      <c r="I11" s="25">
        <f>IFERROR(DSRA!I9/DSRA!I6,0)</f>
        <v/>
      </c>
      <c r="J11" s="25">
        <f>IFERROR(DSRA!J9/DSRA!J6,0)</f>
        <v/>
      </c>
      <c r="K11" s="25">
        <f>IFERROR(DSRA!K9/DSRA!K6,0)</f>
        <v/>
      </c>
      <c r="L11" s="25">
        <f>IFERROR(DSRA!L9/DSRA!L6,0)</f>
        <v/>
      </c>
    </row>
    <row r="12">
      <c r="B12" t="inlineStr">
        <is>
          <t>Covenant status</t>
        </is>
      </c>
      <c r="C12">
        <f>IF(AND(C7&gt;=0,C8&gt;=1,C11&gt;=1),"PASS","BREACH")</f>
        <v/>
      </c>
      <c r="D12">
        <f>IF(AND(D7&gt;=0,D8&gt;=1,D11&gt;=1),"PASS","BREACH")</f>
        <v/>
      </c>
      <c r="E12">
        <f>IF(AND(E7&gt;=0,E8&gt;=1,E11&gt;=1),"PASS","BREACH")</f>
        <v/>
      </c>
      <c r="F12">
        <f>IF(AND(F7&gt;=0,F8&gt;=1,F11&gt;=1),"PASS","BREACH")</f>
        <v/>
      </c>
      <c r="G12">
        <f>IF(AND(G7&gt;=0,G8&gt;=1,G11&gt;=1),"PASS","BREACH")</f>
        <v/>
      </c>
      <c r="H12">
        <f>IF(AND(H7&gt;=0,H8&gt;=1,H11&gt;=1),"PASS","BREACH")</f>
        <v/>
      </c>
      <c r="I12">
        <f>IF(AND(I7&gt;=0,I8&gt;=1,I11&gt;=1),"PASS","BREACH")</f>
        <v/>
      </c>
      <c r="J12">
        <f>IF(AND(J7&gt;=0,J8&gt;=1,J11&gt;=1),"PASS","BREACH")</f>
        <v/>
      </c>
      <c r="K12">
        <f>IF(AND(K7&gt;=0,K8&gt;=1,K11&gt;=1),"PASS","BREACH")</f>
        <v/>
      </c>
      <c r="L12">
        <f>IF(AND(L7&gt;=0,L8&gt;=1,L11&gt;=1),"PASS","BREACH")</f>
        <v/>
      </c>
    </row>
  </sheetData>
  <mergeCells count="1">
    <mergeCell ref="B2:L2"/>
  </mergeCells>
  <conditionalFormatting sqref="C12:L12">
    <cfRule type="expression" priority="1" dxfId="0">
      <formula>C12="PASS"</formula>
    </cfRule>
    <cfRule type="expression" priority="2" dxfId="1">
      <formula>C12="FAIL"</formula>
    </cfRule>
    <cfRule type="expression" priority="3" dxfId="2">
      <formula>C12="REVIEW"</formula>
    </cfRule>
    <cfRule type="expression" priority="4" dxfId="1">
      <formula>C12="BREACH"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8" customHeight="1">
      <c r="B2" s="1" t="inlineStr">
        <is>
          <t>Minimum DSCR Sensitivity</t>
        </is>
      </c>
    </row>
    <row r="4">
      <c r="B4" s="8" t="inlineStr">
        <is>
          <t>Revenue haircut / Operating cost</t>
        </is>
      </c>
      <c r="C4" s="27" t="n">
        <v>0.22</v>
      </c>
      <c r="D4" s="27" t="n">
        <v>0.28</v>
      </c>
      <c r="E4" s="27" t="n">
        <v>0.34</v>
      </c>
      <c r="F4" s="27" t="n">
        <v>0.4</v>
      </c>
      <c r="G4" s="27" t="n">
        <v>0.46</v>
      </c>
    </row>
    <row r="5">
      <c r="B5" s="21" t="n">
        <v>0</v>
      </c>
      <c r="C5" s="25">
        <f>MIN(MAX(0,Operations!C5*(1-$B5)*(1-C$4)-Operations!C9-Operations!C10-Operations!C11)/MAX(0.000001,'Debt Sculpting'!C10),MAX(0,Operations!D5*(1-$B5)*(1-C$4)-Operations!D9-Operations!D10-Operations!D11)/MAX(0.000001,'Debt Sculpting'!D10),MAX(0,Operations!E5*(1-$B5)*(1-C$4)-Operations!E9-Operations!E10-Operations!E11)/MAX(0.000001,'Debt Sculpting'!E10),MAX(0,Operations!F5*(1-$B5)*(1-C$4)-Operations!F9-Operations!F10-Operations!F11)/MAX(0.000001,'Debt Sculpting'!F10),MAX(0,Operations!G5*(1-$B5)*(1-C$4)-Operations!G9-Operations!G10-Operations!G11)/MAX(0.000001,'Debt Sculpting'!G10),MAX(0,Operations!H5*(1-$B5)*(1-C$4)-Operations!H9-Operations!H10-Operations!H11)/MAX(0.000001,'Debt Sculpting'!H10),MAX(0,Operations!I5*(1-$B5)*(1-C$4)-Operations!I9-Operations!I10-Operations!I11)/MAX(0.000001,'Debt Sculpting'!I10),MAX(0,Operations!J5*(1-$B5)*(1-C$4)-Operations!J9-Operations!J10-Operations!J11)/MAX(0.000001,'Debt Sculpting'!J10),MAX(0,Operations!K5*(1-$B5)*(1-C$4)-Operations!K9-Operations!K10-Operations!K11)/MAX(0.000001,'Debt Sculpting'!K10),MAX(0,Operations!L5*(1-$B5)*(1-C$4)-Operations!L9-Operations!L10-Operations!L11)/MAX(0.000001,'Debt Sculpting'!L10))</f>
        <v/>
      </c>
      <c r="D5" s="25">
        <f>MIN(MAX(0,Operations!C5*(1-$B5)*(1-D$4)-Operations!C9-Operations!C10-Operations!C11)/MAX(0.000001,'Debt Sculpting'!C10),MAX(0,Operations!D5*(1-$B5)*(1-D$4)-Operations!D9-Operations!D10-Operations!D11)/MAX(0.000001,'Debt Sculpting'!D10),MAX(0,Operations!E5*(1-$B5)*(1-D$4)-Operations!E9-Operations!E10-Operations!E11)/MAX(0.000001,'Debt Sculpting'!E10),MAX(0,Operations!F5*(1-$B5)*(1-D$4)-Operations!F9-Operations!F10-Operations!F11)/MAX(0.000001,'Debt Sculpting'!F10),MAX(0,Operations!G5*(1-$B5)*(1-D$4)-Operations!G9-Operations!G10-Operations!G11)/MAX(0.000001,'Debt Sculpting'!G10),MAX(0,Operations!H5*(1-$B5)*(1-D$4)-Operations!H9-Operations!H10-Operations!H11)/MAX(0.000001,'Debt Sculpting'!H10),MAX(0,Operations!I5*(1-$B5)*(1-D$4)-Operations!I9-Operations!I10-Operations!I11)/MAX(0.000001,'Debt Sculpting'!I10),MAX(0,Operations!J5*(1-$B5)*(1-D$4)-Operations!J9-Operations!J10-Operations!J11)/MAX(0.000001,'Debt Sculpting'!J10),MAX(0,Operations!K5*(1-$B5)*(1-D$4)-Operations!K9-Operations!K10-Operations!K11)/MAX(0.000001,'Debt Sculpting'!K10),MAX(0,Operations!L5*(1-$B5)*(1-D$4)-Operations!L9-Operations!L10-Operations!L11)/MAX(0.000001,'Debt Sculpting'!L10))</f>
        <v/>
      </c>
      <c r="E5" s="25">
        <f>MIN(MAX(0,Operations!C5*(1-$B5)*(1-E$4)-Operations!C9-Operations!C10-Operations!C11)/MAX(0.000001,'Debt Sculpting'!C10),MAX(0,Operations!D5*(1-$B5)*(1-E$4)-Operations!D9-Operations!D10-Operations!D11)/MAX(0.000001,'Debt Sculpting'!D10),MAX(0,Operations!E5*(1-$B5)*(1-E$4)-Operations!E9-Operations!E10-Operations!E11)/MAX(0.000001,'Debt Sculpting'!E10),MAX(0,Operations!F5*(1-$B5)*(1-E$4)-Operations!F9-Operations!F10-Operations!F11)/MAX(0.000001,'Debt Sculpting'!F10),MAX(0,Operations!G5*(1-$B5)*(1-E$4)-Operations!G9-Operations!G10-Operations!G11)/MAX(0.000001,'Debt Sculpting'!G10),MAX(0,Operations!H5*(1-$B5)*(1-E$4)-Operations!H9-Operations!H10-Operations!H11)/MAX(0.000001,'Debt Sculpting'!H10),MAX(0,Operations!I5*(1-$B5)*(1-E$4)-Operations!I9-Operations!I10-Operations!I11)/MAX(0.000001,'Debt Sculpting'!I10),MAX(0,Operations!J5*(1-$B5)*(1-E$4)-Operations!J9-Operations!J10-Operations!J11)/MAX(0.000001,'Debt Sculpting'!J10),MAX(0,Operations!K5*(1-$B5)*(1-E$4)-Operations!K9-Operations!K10-Operations!K11)/MAX(0.000001,'Debt Sculpting'!K10),MAX(0,Operations!L5*(1-$B5)*(1-E$4)-Operations!L9-Operations!L10-Operations!L11)/MAX(0.000001,'Debt Sculpting'!L10))</f>
        <v/>
      </c>
      <c r="F5" s="25">
        <f>MIN(MAX(0,Operations!C5*(1-$B5)*(1-F$4)-Operations!C9-Operations!C10-Operations!C11)/MAX(0.000001,'Debt Sculpting'!C10),MAX(0,Operations!D5*(1-$B5)*(1-F$4)-Operations!D9-Operations!D10-Operations!D11)/MAX(0.000001,'Debt Sculpting'!D10),MAX(0,Operations!E5*(1-$B5)*(1-F$4)-Operations!E9-Operations!E10-Operations!E11)/MAX(0.000001,'Debt Sculpting'!E10),MAX(0,Operations!F5*(1-$B5)*(1-F$4)-Operations!F9-Operations!F10-Operations!F11)/MAX(0.000001,'Debt Sculpting'!F10),MAX(0,Operations!G5*(1-$B5)*(1-F$4)-Operations!G9-Operations!G10-Operations!G11)/MAX(0.000001,'Debt Sculpting'!G10),MAX(0,Operations!H5*(1-$B5)*(1-F$4)-Operations!H9-Operations!H10-Operations!H11)/MAX(0.000001,'Debt Sculpting'!H10),MAX(0,Operations!I5*(1-$B5)*(1-F$4)-Operations!I9-Operations!I10-Operations!I11)/MAX(0.000001,'Debt Sculpting'!I10),MAX(0,Operations!J5*(1-$B5)*(1-F$4)-Operations!J9-Operations!J10-Operations!J11)/MAX(0.000001,'Debt Sculpting'!J10),MAX(0,Operations!K5*(1-$B5)*(1-F$4)-Operations!K9-Operations!K10-Operations!K11)/MAX(0.000001,'Debt Sculpting'!K10),MAX(0,Operations!L5*(1-$B5)*(1-F$4)-Operations!L9-Operations!L10-Operations!L11)/MAX(0.000001,'Debt Sculpting'!L10))</f>
        <v/>
      </c>
      <c r="G5" s="25">
        <f>MIN(MAX(0,Operations!C5*(1-$B5)*(1-G$4)-Operations!C9-Operations!C10-Operations!C11)/MAX(0.000001,'Debt Sculpting'!C10),MAX(0,Operations!D5*(1-$B5)*(1-G$4)-Operations!D9-Operations!D10-Operations!D11)/MAX(0.000001,'Debt Sculpting'!D10),MAX(0,Operations!E5*(1-$B5)*(1-G$4)-Operations!E9-Operations!E10-Operations!E11)/MAX(0.000001,'Debt Sculpting'!E10),MAX(0,Operations!F5*(1-$B5)*(1-G$4)-Operations!F9-Operations!F10-Operations!F11)/MAX(0.000001,'Debt Sculpting'!F10),MAX(0,Operations!G5*(1-$B5)*(1-G$4)-Operations!G9-Operations!G10-Operations!G11)/MAX(0.000001,'Debt Sculpting'!G10),MAX(0,Operations!H5*(1-$B5)*(1-G$4)-Operations!H9-Operations!H10-Operations!H11)/MAX(0.000001,'Debt Sculpting'!H10),MAX(0,Operations!I5*(1-$B5)*(1-G$4)-Operations!I9-Operations!I10-Operations!I11)/MAX(0.000001,'Debt Sculpting'!I10),MAX(0,Operations!J5*(1-$B5)*(1-G$4)-Operations!J9-Operations!J10-Operations!J11)/MAX(0.000001,'Debt Sculpting'!J10),MAX(0,Operations!K5*(1-$B5)*(1-G$4)-Operations!K9-Operations!K10-Operations!K11)/MAX(0.000001,'Debt Sculpting'!K10),MAX(0,Operations!L5*(1-$B5)*(1-G$4)-Operations!L9-Operations!L10-Operations!L11)/MAX(0.000001,'Debt Sculpting'!L10))</f>
        <v/>
      </c>
    </row>
    <row r="6">
      <c r="B6" s="21" t="n">
        <v>0.05</v>
      </c>
      <c r="C6" s="25">
        <f>MIN(MAX(0,Operations!C5*(1-$B6)*(1-C$4)-Operations!C9-Operations!C10-Operations!C11)/MAX(0.000001,'Debt Sculpting'!C10),MAX(0,Operations!D5*(1-$B6)*(1-C$4)-Operations!D9-Operations!D10-Operations!D11)/MAX(0.000001,'Debt Sculpting'!D10),MAX(0,Operations!E5*(1-$B6)*(1-C$4)-Operations!E9-Operations!E10-Operations!E11)/MAX(0.000001,'Debt Sculpting'!E10),MAX(0,Operations!F5*(1-$B6)*(1-C$4)-Operations!F9-Operations!F10-Operations!F11)/MAX(0.000001,'Debt Sculpting'!F10),MAX(0,Operations!G5*(1-$B6)*(1-C$4)-Operations!G9-Operations!G10-Operations!G11)/MAX(0.000001,'Debt Sculpting'!G10),MAX(0,Operations!H5*(1-$B6)*(1-C$4)-Operations!H9-Operations!H10-Operations!H11)/MAX(0.000001,'Debt Sculpting'!H10),MAX(0,Operations!I5*(1-$B6)*(1-C$4)-Operations!I9-Operations!I10-Operations!I11)/MAX(0.000001,'Debt Sculpting'!I10),MAX(0,Operations!J5*(1-$B6)*(1-C$4)-Operations!J9-Operations!J10-Operations!J11)/MAX(0.000001,'Debt Sculpting'!J10),MAX(0,Operations!K5*(1-$B6)*(1-C$4)-Operations!K9-Operations!K10-Operations!K11)/MAX(0.000001,'Debt Sculpting'!K10),MAX(0,Operations!L5*(1-$B6)*(1-C$4)-Operations!L9-Operations!L10-Operations!L11)/MAX(0.000001,'Debt Sculpting'!L10))</f>
        <v/>
      </c>
      <c r="D6" s="25">
        <f>MIN(MAX(0,Operations!C5*(1-$B6)*(1-D$4)-Operations!C9-Operations!C10-Operations!C11)/MAX(0.000001,'Debt Sculpting'!C10),MAX(0,Operations!D5*(1-$B6)*(1-D$4)-Operations!D9-Operations!D10-Operations!D11)/MAX(0.000001,'Debt Sculpting'!D10),MAX(0,Operations!E5*(1-$B6)*(1-D$4)-Operations!E9-Operations!E10-Operations!E11)/MAX(0.000001,'Debt Sculpting'!E10),MAX(0,Operations!F5*(1-$B6)*(1-D$4)-Operations!F9-Operations!F10-Operations!F11)/MAX(0.000001,'Debt Sculpting'!F10),MAX(0,Operations!G5*(1-$B6)*(1-D$4)-Operations!G9-Operations!G10-Operations!G11)/MAX(0.000001,'Debt Sculpting'!G10),MAX(0,Operations!H5*(1-$B6)*(1-D$4)-Operations!H9-Operations!H10-Operations!H11)/MAX(0.000001,'Debt Sculpting'!H10),MAX(0,Operations!I5*(1-$B6)*(1-D$4)-Operations!I9-Operations!I10-Operations!I11)/MAX(0.000001,'Debt Sculpting'!I10),MAX(0,Operations!J5*(1-$B6)*(1-D$4)-Operations!J9-Operations!J10-Operations!J11)/MAX(0.000001,'Debt Sculpting'!J10),MAX(0,Operations!K5*(1-$B6)*(1-D$4)-Operations!K9-Operations!K10-Operations!K11)/MAX(0.000001,'Debt Sculpting'!K10),MAX(0,Operations!L5*(1-$B6)*(1-D$4)-Operations!L9-Operations!L10-Operations!L11)/MAX(0.000001,'Debt Sculpting'!L10))</f>
        <v/>
      </c>
      <c r="E6" s="25">
        <f>MIN(MAX(0,Operations!C5*(1-$B6)*(1-E$4)-Operations!C9-Operations!C10-Operations!C11)/MAX(0.000001,'Debt Sculpting'!C10),MAX(0,Operations!D5*(1-$B6)*(1-E$4)-Operations!D9-Operations!D10-Operations!D11)/MAX(0.000001,'Debt Sculpting'!D10),MAX(0,Operations!E5*(1-$B6)*(1-E$4)-Operations!E9-Operations!E10-Operations!E11)/MAX(0.000001,'Debt Sculpting'!E10),MAX(0,Operations!F5*(1-$B6)*(1-E$4)-Operations!F9-Operations!F10-Operations!F11)/MAX(0.000001,'Debt Sculpting'!F10),MAX(0,Operations!G5*(1-$B6)*(1-E$4)-Operations!G9-Operations!G10-Operations!G11)/MAX(0.000001,'Debt Sculpting'!G10),MAX(0,Operations!H5*(1-$B6)*(1-E$4)-Operations!H9-Operations!H10-Operations!H11)/MAX(0.000001,'Debt Sculpting'!H10),MAX(0,Operations!I5*(1-$B6)*(1-E$4)-Operations!I9-Operations!I10-Operations!I11)/MAX(0.000001,'Debt Sculpting'!I10),MAX(0,Operations!J5*(1-$B6)*(1-E$4)-Operations!J9-Operations!J10-Operations!J11)/MAX(0.000001,'Debt Sculpting'!J10),MAX(0,Operations!K5*(1-$B6)*(1-E$4)-Operations!K9-Operations!K10-Operations!K11)/MAX(0.000001,'Debt Sculpting'!K10),MAX(0,Operations!L5*(1-$B6)*(1-E$4)-Operations!L9-Operations!L10-Operations!L11)/MAX(0.000001,'Debt Sculpting'!L10))</f>
        <v/>
      </c>
      <c r="F6" s="25">
        <f>MIN(MAX(0,Operations!C5*(1-$B6)*(1-F$4)-Operations!C9-Operations!C10-Operations!C11)/MAX(0.000001,'Debt Sculpting'!C10),MAX(0,Operations!D5*(1-$B6)*(1-F$4)-Operations!D9-Operations!D10-Operations!D11)/MAX(0.000001,'Debt Sculpting'!D10),MAX(0,Operations!E5*(1-$B6)*(1-F$4)-Operations!E9-Operations!E10-Operations!E11)/MAX(0.000001,'Debt Sculpting'!E10),MAX(0,Operations!F5*(1-$B6)*(1-F$4)-Operations!F9-Operations!F10-Operations!F11)/MAX(0.000001,'Debt Sculpting'!F10),MAX(0,Operations!G5*(1-$B6)*(1-F$4)-Operations!G9-Operations!G10-Operations!G11)/MAX(0.000001,'Debt Sculpting'!G10),MAX(0,Operations!H5*(1-$B6)*(1-F$4)-Operations!H9-Operations!H10-Operations!H11)/MAX(0.000001,'Debt Sculpting'!H10),MAX(0,Operations!I5*(1-$B6)*(1-F$4)-Operations!I9-Operations!I10-Operations!I11)/MAX(0.000001,'Debt Sculpting'!I10),MAX(0,Operations!J5*(1-$B6)*(1-F$4)-Operations!J9-Operations!J10-Operations!J11)/MAX(0.000001,'Debt Sculpting'!J10),MAX(0,Operations!K5*(1-$B6)*(1-F$4)-Operations!K9-Operations!K10-Operations!K11)/MAX(0.000001,'Debt Sculpting'!K10),MAX(0,Operations!L5*(1-$B6)*(1-F$4)-Operations!L9-Operations!L10-Operations!L11)/MAX(0.000001,'Debt Sculpting'!L10))</f>
        <v/>
      </c>
      <c r="G6" s="25">
        <f>MIN(MAX(0,Operations!C5*(1-$B6)*(1-G$4)-Operations!C9-Operations!C10-Operations!C11)/MAX(0.000001,'Debt Sculpting'!C10),MAX(0,Operations!D5*(1-$B6)*(1-G$4)-Operations!D9-Operations!D10-Operations!D11)/MAX(0.000001,'Debt Sculpting'!D10),MAX(0,Operations!E5*(1-$B6)*(1-G$4)-Operations!E9-Operations!E10-Operations!E11)/MAX(0.000001,'Debt Sculpting'!E10),MAX(0,Operations!F5*(1-$B6)*(1-G$4)-Operations!F9-Operations!F10-Operations!F11)/MAX(0.000001,'Debt Sculpting'!F10),MAX(0,Operations!G5*(1-$B6)*(1-G$4)-Operations!G9-Operations!G10-Operations!G11)/MAX(0.000001,'Debt Sculpting'!G10),MAX(0,Operations!H5*(1-$B6)*(1-G$4)-Operations!H9-Operations!H10-Operations!H11)/MAX(0.000001,'Debt Sculpting'!H10),MAX(0,Operations!I5*(1-$B6)*(1-G$4)-Operations!I9-Operations!I10-Operations!I11)/MAX(0.000001,'Debt Sculpting'!I10),MAX(0,Operations!J5*(1-$B6)*(1-G$4)-Operations!J9-Operations!J10-Operations!J11)/MAX(0.000001,'Debt Sculpting'!J10),MAX(0,Operations!K5*(1-$B6)*(1-G$4)-Operations!K9-Operations!K10-Operations!K11)/MAX(0.000001,'Debt Sculpting'!K10),MAX(0,Operations!L5*(1-$B6)*(1-G$4)-Operations!L9-Operations!L10-Operations!L11)/MAX(0.000001,'Debt Sculpting'!L10))</f>
        <v/>
      </c>
    </row>
    <row r="7">
      <c r="B7" s="21" t="n">
        <v>0.1</v>
      </c>
      <c r="C7" s="25">
        <f>MIN(MAX(0,Operations!C5*(1-$B7)*(1-C$4)-Operations!C9-Operations!C10-Operations!C11)/MAX(0.000001,'Debt Sculpting'!C10),MAX(0,Operations!D5*(1-$B7)*(1-C$4)-Operations!D9-Operations!D10-Operations!D11)/MAX(0.000001,'Debt Sculpting'!D10),MAX(0,Operations!E5*(1-$B7)*(1-C$4)-Operations!E9-Operations!E10-Operations!E11)/MAX(0.000001,'Debt Sculpting'!E10),MAX(0,Operations!F5*(1-$B7)*(1-C$4)-Operations!F9-Operations!F10-Operations!F11)/MAX(0.000001,'Debt Sculpting'!F10),MAX(0,Operations!G5*(1-$B7)*(1-C$4)-Operations!G9-Operations!G10-Operations!G11)/MAX(0.000001,'Debt Sculpting'!G10),MAX(0,Operations!H5*(1-$B7)*(1-C$4)-Operations!H9-Operations!H10-Operations!H11)/MAX(0.000001,'Debt Sculpting'!H10),MAX(0,Operations!I5*(1-$B7)*(1-C$4)-Operations!I9-Operations!I10-Operations!I11)/MAX(0.000001,'Debt Sculpting'!I10),MAX(0,Operations!J5*(1-$B7)*(1-C$4)-Operations!J9-Operations!J10-Operations!J11)/MAX(0.000001,'Debt Sculpting'!J10),MAX(0,Operations!K5*(1-$B7)*(1-C$4)-Operations!K9-Operations!K10-Operations!K11)/MAX(0.000001,'Debt Sculpting'!K10),MAX(0,Operations!L5*(1-$B7)*(1-C$4)-Operations!L9-Operations!L10-Operations!L11)/MAX(0.000001,'Debt Sculpting'!L10))</f>
        <v/>
      </c>
      <c r="D7" s="25">
        <f>MIN(MAX(0,Operations!C5*(1-$B7)*(1-D$4)-Operations!C9-Operations!C10-Operations!C11)/MAX(0.000001,'Debt Sculpting'!C10),MAX(0,Operations!D5*(1-$B7)*(1-D$4)-Operations!D9-Operations!D10-Operations!D11)/MAX(0.000001,'Debt Sculpting'!D10),MAX(0,Operations!E5*(1-$B7)*(1-D$4)-Operations!E9-Operations!E10-Operations!E11)/MAX(0.000001,'Debt Sculpting'!E10),MAX(0,Operations!F5*(1-$B7)*(1-D$4)-Operations!F9-Operations!F10-Operations!F11)/MAX(0.000001,'Debt Sculpting'!F10),MAX(0,Operations!G5*(1-$B7)*(1-D$4)-Operations!G9-Operations!G10-Operations!G11)/MAX(0.000001,'Debt Sculpting'!G10),MAX(0,Operations!H5*(1-$B7)*(1-D$4)-Operations!H9-Operations!H10-Operations!H11)/MAX(0.000001,'Debt Sculpting'!H10),MAX(0,Operations!I5*(1-$B7)*(1-D$4)-Operations!I9-Operations!I10-Operations!I11)/MAX(0.000001,'Debt Sculpting'!I10),MAX(0,Operations!J5*(1-$B7)*(1-D$4)-Operations!J9-Operations!J10-Operations!J11)/MAX(0.000001,'Debt Sculpting'!J10),MAX(0,Operations!K5*(1-$B7)*(1-D$4)-Operations!K9-Operations!K10-Operations!K11)/MAX(0.000001,'Debt Sculpting'!K10),MAX(0,Operations!L5*(1-$B7)*(1-D$4)-Operations!L9-Operations!L10-Operations!L11)/MAX(0.000001,'Debt Sculpting'!L10))</f>
        <v/>
      </c>
      <c r="E7" s="25">
        <f>MIN(MAX(0,Operations!C5*(1-$B7)*(1-E$4)-Operations!C9-Operations!C10-Operations!C11)/MAX(0.000001,'Debt Sculpting'!C10),MAX(0,Operations!D5*(1-$B7)*(1-E$4)-Operations!D9-Operations!D10-Operations!D11)/MAX(0.000001,'Debt Sculpting'!D10),MAX(0,Operations!E5*(1-$B7)*(1-E$4)-Operations!E9-Operations!E10-Operations!E11)/MAX(0.000001,'Debt Sculpting'!E10),MAX(0,Operations!F5*(1-$B7)*(1-E$4)-Operations!F9-Operations!F10-Operations!F11)/MAX(0.000001,'Debt Sculpting'!F10),MAX(0,Operations!G5*(1-$B7)*(1-E$4)-Operations!G9-Operations!G10-Operations!G11)/MAX(0.000001,'Debt Sculpting'!G10),MAX(0,Operations!H5*(1-$B7)*(1-E$4)-Operations!H9-Operations!H10-Operations!H11)/MAX(0.000001,'Debt Sculpting'!H10),MAX(0,Operations!I5*(1-$B7)*(1-E$4)-Operations!I9-Operations!I10-Operations!I11)/MAX(0.000001,'Debt Sculpting'!I10),MAX(0,Operations!J5*(1-$B7)*(1-E$4)-Operations!J9-Operations!J10-Operations!J11)/MAX(0.000001,'Debt Sculpting'!J10),MAX(0,Operations!K5*(1-$B7)*(1-E$4)-Operations!K9-Operations!K10-Operations!K11)/MAX(0.000001,'Debt Sculpting'!K10),MAX(0,Operations!L5*(1-$B7)*(1-E$4)-Operations!L9-Operations!L10-Operations!L11)/MAX(0.000001,'Debt Sculpting'!L10))</f>
        <v/>
      </c>
      <c r="F7" s="25">
        <f>MIN(MAX(0,Operations!C5*(1-$B7)*(1-F$4)-Operations!C9-Operations!C10-Operations!C11)/MAX(0.000001,'Debt Sculpting'!C10),MAX(0,Operations!D5*(1-$B7)*(1-F$4)-Operations!D9-Operations!D10-Operations!D11)/MAX(0.000001,'Debt Sculpting'!D10),MAX(0,Operations!E5*(1-$B7)*(1-F$4)-Operations!E9-Operations!E10-Operations!E11)/MAX(0.000001,'Debt Sculpting'!E10),MAX(0,Operations!F5*(1-$B7)*(1-F$4)-Operations!F9-Operations!F10-Operations!F11)/MAX(0.000001,'Debt Sculpting'!F10),MAX(0,Operations!G5*(1-$B7)*(1-F$4)-Operations!G9-Operations!G10-Operations!G11)/MAX(0.000001,'Debt Sculpting'!G10),MAX(0,Operations!H5*(1-$B7)*(1-F$4)-Operations!H9-Operations!H10-Operations!H11)/MAX(0.000001,'Debt Sculpting'!H10),MAX(0,Operations!I5*(1-$B7)*(1-F$4)-Operations!I9-Operations!I10-Operations!I11)/MAX(0.000001,'Debt Sculpting'!I10),MAX(0,Operations!J5*(1-$B7)*(1-F$4)-Operations!J9-Operations!J10-Operations!J11)/MAX(0.000001,'Debt Sculpting'!J10),MAX(0,Operations!K5*(1-$B7)*(1-F$4)-Operations!K9-Operations!K10-Operations!K11)/MAX(0.000001,'Debt Sculpting'!K10),MAX(0,Operations!L5*(1-$B7)*(1-F$4)-Operations!L9-Operations!L10-Operations!L11)/MAX(0.000001,'Debt Sculpting'!L10))</f>
        <v/>
      </c>
      <c r="G7" s="25">
        <f>MIN(MAX(0,Operations!C5*(1-$B7)*(1-G$4)-Operations!C9-Operations!C10-Operations!C11)/MAX(0.000001,'Debt Sculpting'!C10),MAX(0,Operations!D5*(1-$B7)*(1-G$4)-Operations!D9-Operations!D10-Operations!D11)/MAX(0.000001,'Debt Sculpting'!D10),MAX(0,Operations!E5*(1-$B7)*(1-G$4)-Operations!E9-Operations!E10-Operations!E11)/MAX(0.000001,'Debt Sculpting'!E10),MAX(0,Operations!F5*(1-$B7)*(1-G$4)-Operations!F9-Operations!F10-Operations!F11)/MAX(0.000001,'Debt Sculpting'!F10),MAX(0,Operations!G5*(1-$B7)*(1-G$4)-Operations!G9-Operations!G10-Operations!G11)/MAX(0.000001,'Debt Sculpting'!G10),MAX(0,Operations!H5*(1-$B7)*(1-G$4)-Operations!H9-Operations!H10-Operations!H11)/MAX(0.000001,'Debt Sculpting'!H10),MAX(0,Operations!I5*(1-$B7)*(1-G$4)-Operations!I9-Operations!I10-Operations!I11)/MAX(0.000001,'Debt Sculpting'!I10),MAX(0,Operations!J5*(1-$B7)*(1-G$4)-Operations!J9-Operations!J10-Operations!J11)/MAX(0.000001,'Debt Sculpting'!J10),MAX(0,Operations!K5*(1-$B7)*(1-G$4)-Operations!K9-Operations!K10-Operations!K11)/MAX(0.000001,'Debt Sculpting'!K10),MAX(0,Operations!L5*(1-$B7)*(1-G$4)-Operations!L9-Operations!L10-Operations!L11)/MAX(0.000001,'Debt Sculpting'!L10))</f>
        <v/>
      </c>
    </row>
    <row r="8">
      <c r="B8" s="21" t="n">
        <v>0.15</v>
      </c>
      <c r="C8" s="25">
        <f>MIN(MAX(0,Operations!C5*(1-$B8)*(1-C$4)-Operations!C9-Operations!C10-Operations!C11)/MAX(0.000001,'Debt Sculpting'!C10),MAX(0,Operations!D5*(1-$B8)*(1-C$4)-Operations!D9-Operations!D10-Operations!D11)/MAX(0.000001,'Debt Sculpting'!D10),MAX(0,Operations!E5*(1-$B8)*(1-C$4)-Operations!E9-Operations!E10-Operations!E11)/MAX(0.000001,'Debt Sculpting'!E10),MAX(0,Operations!F5*(1-$B8)*(1-C$4)-Operations!F9-Operations!F10-Operations!F11)/MAX(0.000001,'Debt Sculpting'!F10),MAX(0,Operations!G5*(1-$B8)*(1-C$4)-Operations!G9-Operations!G10-Operations!G11)/MAX(0.000001,'Debt Sculpting'!G10),MAX(0,Operations!H5*(1-$B8)*(1-C$4)-Operations!H9-Operations!H10-Operations!H11)/MAX(0.000001,'Debt Sculpting'!H10),MAX(0,Operations!I5*(1-$B8)*(1-C$4)-Operations!I9-Operations!I10-Operations!I11)/MAX(0.000001,'Debt Sculpting'!I10),MAX(0,Operations!J5*(1-$B8)*(1-C$4)-Operations!J9-Operations!J10-Operations!J11)/MAX(0.000001,'Debt Sculpting'!J10),MAX(0,Operations!K5*(1-$B8)*(1-C$4)-Operations!K9-Operations!K10-Operations!K11)/MAX(0.000001,'Debt Sculpting'!K10),MAX(0,Operations!L5*(1-$B8)*(1-C$4)-Operations!L9-Operations!L10-Operations!L11)/MAX(0.000001,'Debt Sculpting'!L10))</f>
        <v/>
      </c>
      <c r="D8" s="25">
        <f>MIN(MAX(0,Operations!C5*(1-$B8)*(1-D$4)-Operations!C9-Operations!C10-Operations!C11)/MAX(0.000001,'Debt Sculpting'!C10),MAX(0,Operations!D5*(1-$B8)*(1-D$4)-Operations!D9-Operations!D10-Operations!D11)/MAX(0.000001,'Debt Sculpting'!D10),MAX(0,Operations!E5*(1-$B8)*(1-D$4)-Operations!E9-Operations!E10-Operations!E11)/MAX(0.000001,'Debt Sculpting'!E10),MAX(0,Operations!F5*(1-$B8)*(1-D$4)-Operations!F9-Operations!F10-Operations!F11)/MAX(0.000001,'Debt Sculpting'!F10),MAX(0,Operations!G5*(1-$B8)*(1-D$4)-Operations!G9-Operations!G10-Operations!G11)/MAX(0.000001,'Debt Sculpting'!G10),MAX(0,Operations!H5*(1-$B8)*(1-D$4)-Operations!H9-Operations!H10-Operations!H11)/MAX(0.000001,'Debt Sculpting'!H10),MAX(0,Operations!I5*(1-$B8)*(1-D$4)-Operations!I9-Operations!I10-Operations!I11)/MAX(0.000001,'Debt Sculpting'!I10),MAX(0,Operations!J5*(1-$B8)*(1-D$4)-Operations!J9-Operations!J10-Operations!J11)/MAX(0.000001,'Debt Sculpting'!J10),MAX(0,Operations!K5*(1-$B8)*(1-D$4)-Operations!K9-Operations!K10-Operations!K11)/MAX(0.000001,'Debt Sculpting'!K10),MAX(0,Operations!L5*(1-$B8)*(1-D$4)-Operations!L9-Operations!L10-Operations!L11)/MAX(0.000001,'Debt Sculpting'!L10))</f>
        <v/>
      </c>
      <c r="E8" s="25">
        <f>MIN(MAX(0,Operations!C5*(1-$B8)*(1-E$4)-Operations!C9-Operations!C10-Operations!C11)/MAX(0.000001,'Debt Sculpting'!C10),MAX(0,Operations!D5*(1-$B8)*(1-E$4)-Operations!D9-Operations!D10-Operations!D11)/MAX(0.000001,'Debt Sculpting'!D10),MAX(0,Operations!E5*(1-$B8)*(1-E$4)-Operations!E9-Operations!E10-Operations!E11)/MAX(0.000001,'Debt Sculpting'!E10),MAX(0,Operations!F5*(1-$B8)*(1-E$4)-Operations!F9-Operations!F10-Operations!F11)/MAX(0.000001,'Debt Sculpting'!F10),MAX(0,Operations!G5*(1-$B8)*(1-E$4)-Operations!G9-Operations!G10-Operations!G11)/MAX(0.000001,'Debt Sculpting'!G10),MAX(0,Operations!H5*(1-$B8)*(1-E$4)-Operations!H9-Operations!H10-Operations!H11)/MAX(0.000001,'Debt Sculpting'!H10),MAX(0,Operations!I5*(1-$B8)*(1-E$4)-Operations!I9-Operations!I10-Operations!I11)/MAX(0.000001,'Debt Sculpting'!I10),MAX(0,Operations!J5*(1-$B8)*(1-E$4)-Operations!J9-Operations!J10-Operations!J11)/MAX(0.000001,'Debt Sculpting'!J10),MAX(0,Operations!K5*(1-$B8)*(1-E$4)-Operations!K9-Operations!K10-Operations!K11)/MAX(0.000001,'Debt Sculpting'!K10),MAX(0,Operations!L5*(1-$B8)*(1-E$4)-Operations!L9-Operations!L10-Operations!L11)/MAX(0.000001,'Debt Sculpting'!L10))</f>
        <v/>
      </c>
      <c r="F8" s="25">
        <f>MIN(MAX(0,Operations!C5*(1-$B8)*(1-F$4)-Operations!C9-Operations!C10-Operations!C11)/MAX(0.000001,'Debt Sculpting'!C10),MAX(0,Operations!D5*(1-$B8)*(1-F$4)-Operations!D9-Operations!D10-Operations!D11)/MAX(0.000001,'Debt Sculpting'!D10),MAX(0,Operations!E5*(1-$B8)*(1-F$4)-Operations!E9-Operations!E10-Operations!E11)/MAX(0.000001,'Debt Sculpting'!E10),MAX(0,Operations!F5*(1-$B8)*(1-F$4)-Operations!F9-Operations!F10-Operations!F11)/MAX(0.000001,'Debt Sculpting'!F10),MAX(0,Operations!G5*(1-$B8)*(1-F$4)-Operations!G9-Operations!G10-Operations!G11)/MAX(0.000001,'Debt Sculpting'!G10),MAX(0,Operations!H5*(1-$B8)*(1-F$4)-Operations!H9-Operations!H10-Operations!H11)/MAX(0.000001,'Debt Sculpting'!H10),MAX(0,Operations!I5*(1-$B8)*(1-F$4)-Operations!I9-Operations!I10-Operations!I11)/MAX(0.000001,'Debt Sculpting'!I10),MAX(0,Operations!J5*(1-$B8)*(1-F$4)-Operations!J9-Operations!J10-Operations!J11)/MAX(0.000001,'Debt Sculpting'!J10),MAX(0,Operations!K5*(1-$B8)*(1-F$4)-Operations!K9-Operations!K10-Operations!K11)/MAX(0.000001,'Debt Sculpting'!K10),MAX(0,Operations!L5*(1-$B8)*(1-F$4)-Operations!L9-Operations!L10-Operations!L11)/MAX(0.000001,'Debt Sculpting'!L10))</f>
        <v/>
      </c>
      <c r="G8" s="25">
        <f>MIN(MAX(0,Operations!C5*(1-$B8)*(1-G$4)-Operations!C9-Operations!C10-Operations!C11)/MAX(0.000001,'Debt Sculpting'!C10),MAX(0,Operations!D5*(1-$B8)*(1-G$4)-Operations!D9-Operations!D10-Operations!D11)/MAX(0.000001,'Debt Sculpting'!D10),MAX(0,Operations!E5*(1-$B8)*(1-G$4)-Operations!E9-Operations!E10-Operations!E11)/MAX(0.000001,'Debt Sculpting'!E10),MAX(0,Operations!F5*(1-$B8)*(1-G$4)-Operations!F9-Operations!F10-Operations!F11)/MAX(0.000001,'Debt Sculpting'!F10),MAX(0,Operations!G5*(1-$B8)*(1-G$4)-Operations!G9-Operations!G10-Operations!G11)/MAX(0.000001,'Debt Sculpting'!G10),MAX(0,Operations!H5*(1-$B8)*(1-G$4)-Operations!H9-Operations!H10-Operations!H11)/MAX(0.000001,'Debt Sculpting'!H10),MAX(0,Operations!I5*(1-$B8)*(1-G$4)-Operations!I9-Operations!I10-Operations!I11)/MAX(0.000001,'Debt Sculpting'!I10),MAX(0,Operations!J5*(1-$B8)*(1-G$4)-Operations!J9-Operations!J10-Operations!J11)/MAX(0.000001,'Debt Sculpting'!J10),MAX(0,Operations!K5*(1-$B8)*(1-G$4)-Operations!K9-Operations!K10-Operations!K11)/MAX(0.000001,'Debt Sculpting'!K10),MAX(0,Operations!L5*(1-$B8)*(1-G$4)-Operations!L9-Operations!L10-Operations!L11)/MAX(0.000001,'Debt Sculpting'!L10))</f>
        <v/>
      </c>
    </row>
    <row r="9">
      <c r="B9" s="21" t="n">
        <v>0.2</v>
      </c>
      <c r="C9" s="25">
        <f>MIN(MAX(0,Operations!C5*(1-$B9)*(1-C$4)-Operations!C9-Operations!C10-Operations!C11)/MAX(0.000001,'Debt Sculpting'!C10),MAX(0,Operations!D5*(1-$B9)*(1-C$4)-Operations!D9-Operations!D10-Operations!D11)/MAX(0.000001,'Debt Sculpting'!D10),MAX(0,Operations!E5*(1-$B9)*(1-C$4)-Operations!E9-Operations!E10-Operations!E11)/MAX(0.000001,'Debt Sculpting'!E10),MAX(0,Operations!F5*(1-$B9)*(1-C$4)-Operations!F9-Operations!F10-Operations!F11)/MAX(0.000001,'Debt Sculpting'!F10),MAX(0,Operations!G5*(1-$B9)*(1-C$4)-Operations!G9-Operations!G10-Operations!G11)/MAX(0.000001,'Debt Sculpting'!G10),MAX(0,Operations!H5*(1-$B9)*(1-C$4)-Operations!H9-Operations!H10-Operations!H11)/MAX(0.000001,'Debt Sculpting'!H10),MAX(0,Operations!I5*(1-$B9)*(1-C$4)-Operations!I9-Operations!I10-Operations!I11)/MAX(0.000001,'Debt Sculpting'!I10),MAX(0,Operations!J5*(1-$B9)*(1-C$4)-Operations!J9-Operations!J10-Operations!J11)/MAX(0.000001,'Debt Sculpting'!J10),MAX(0,Operations!K5*(1-$B9)*(1-C$4)-Operations!K9-Operations!K10-Operations!K11)/MAX(0.000001,'Debt Sculpting'!K10),MAX(0,Operations!L5*(1-$B9)*(1-C$4)-Operations!L9-Operations!L10-Operations!L11)/MAX(0.000001,'Debt Sculpting'!L10))</f>
        <v/>
      </c>
      <c r="D9" s="25">
        <f>MIN(MAX(0,Operations!C5*(1-$B9)*(1-D$4)-Operations!C9-Operations!C10-Operations!C11)/MAX(0.000001,'Debt Sculpting'!C10),MAX(0,Operations!D5*(1-$B9)*(1-D$4)-Operations!D9-Operations!D10-Operations!D11)/MAX(0.000001,'Debt Sculpting'!D10),MAX(0,Operations!E5*(1-$B9)*(1-D$4)-Operations!E9-Operations!E10-Operations!E11)/MAX(0.000001,'Debt Sculpting'!E10),MAX(0,Operations!F5*(1-$B9)*(1-D$4)-Operations!F9-Operations!F10-Operations!F11)/MAX(0.000001,'Debt Sculpting'!F10),MAX(0,Operations!G5*(1-$B9)*(1-D$4)-Operations!G9-Operations!G10-Operations!G11)/MAX(0.000001,'Debt Sculpting'!G10),MAX(0,Operations!H5*(1-$B9)*(1-D$4)-Operations!H9-Operations!H10-Operations!H11)/MAX(0.000001,'Debt Sculpting'!H10),MAX(0,Operations!I5*(1-$B9)*(1-D$4)-Operations!I9-Operations!I10-Operations!I11)/MAX(0.000001,'Debt Sculpting'!I10),MAX(0,Operations!J5*(1-$B9)*(1-D$4)-Operations!J9-Operations!J10-Operations!J11)/MAX(0.000001,'Debt Sculpting'!J10),MAX(0,Operations!K5*(1-$B9)*(1-D$4)-Operations!K9-Operations!K10-Operations!K11)/MAX(0.000001,'Debt Sculpting'!K10),MAX(0,Operations!L5*(1-$B9)*(1-D$4)-Operations!L9-Operations!L10-Operations!L11)/MAX(0.000001,'Debt Sculpting'!L10))</f>
        <v/>
      </c>
      <c r="E9" s="25">
        <f>MIN(MAX(0,Operations!C5*(1-$B9)*(1-E$4)-Operations!C9-Operations!C10-Operations!C11)/MAX(0.000001,'Debt Sculpting'!C10),MAX(0,Operations!D5*(1-$B9)*(1-E$4)-Operations!D9-Operations!D10-Operations!D11)/MAX(0.000001,'Debt Sculpting'!D10),MAX(0,Operations!E5*(1-$B9)*(1-E$4)-Operations!E9-Operations!E10-Operations!E11)/MAX(0.000001,'Debt Sculpting'!E10),MAX(0,Operations!F5*(1-$B9)*(1-E$4)-Operations!F9-Operations!F10-Operations!F11)/MAX(0.000001,'Debt Sculpting'!F10),MAX(0,Operations!G5*(1-$B9)*(1-E$4)-Operations!G9-Operations!G10-Operations!G11)/MAX(0.000001,'Debt Sculpting'!G10),MAX(0,Operations!H5*(1-$B9)*(1-E$4)-Operations!H9-Operations!H10-Operations!H11)/MAX(0.000001,'Debt Sculpting'!H10),MAX(0,Operations!I5*(1-$B9)*(1-E$4)-Operations!I9-Operations!I10-Operations!I11)/MAX(0.000001,'Debt Sculpting'!I10),MAX(0,Operations!J5*(1-$B9)*(1-E$4)-Operations!J9-Operations!J10-Operations!J11)/MAX(0.000001,'Debt Sculpting'!J10),MAX(0,Operations!K5*(1-$B9)*(1-E$4)-Operations!K9-Operations!K10-Operations!K11)/MAX(0.000001,'Debt Sculpting'!K10),MAX(0,Operations!L5*(1-$B9)*(1-E$4)-Operations!L9-Operations!L10-Operations!L11)/MAX(0.000001,'Debt Sculpting'!L10))</f>
        <v/>
      </c>
      <c r="F9" s="25">
        <f>MIN(MAX(0,Operations!C5*(1-$B9)*(1-F$4)-Operations!C9-Operations!C10-Operations!C11)/MAX(0.000001,'Debt Sculpting'!C10),MAX(0,Operations!D5*(1-$B9)*(1-F$4)-Operations!D9-Operations!D10-Operations!D11)/MAX(0.000001,'Debt Sculpting'!D10),MAX(0,Operations!E5*(1-$B9)*(1-F$4)-Operations!E9-Operations!E10-Operations!E11)/MAX(0.000001,'Debt Sculpting'!E10),MAX(0,Operations!F5*(1-$B9)*(1-F$4)-Operations!F9-Operations!F10-Operations!F11)/MAX(0.000001,'Debt Sculpting'!F10),MAX(0,Operations!G5*(1-$B9)*(1-F$4)-Operations!G9-Operations!G10-Operations!G11)/MAX(0.000001,'Debt Sculpting'!G10),MAX(0,Operations!H5*(1-$B9)*(1-F$4)-Operations!H9-Operations!H10-Operations!H11)/MAX(0.000001,'Debt Sculpting'!H10),MAX(0,Operations!I5*(1-$B9)*(1-F$4)-Operations!I9-Operations!I10-Operations!I11)/MAX(0.000001,'Debt Sculpting'!I10),MAX(0,Operations!J5*(1-$B9)*(1-F$4)-Operations!J9-Operations!J10-Operations!J11)/MAX(0.000001,'Debt Sculpting'!J10),MAX(0,Operations!K5*(1-$B9)*(1-F$4)-Operations!K9-Operations!K10-Operations!K11)/MAX(0.000001,'Debt Sculpting'!K10),MAX(0,Operations!L5*(1-$B9)*(1-F$4)-Operations!L9-Operations!L10-Operations!L11)/MAX(0.000001,'Debt Sculpting'!L10))</f>
        <v/>
      </c>
      <c r="G9" s="25">
        <f>MIN(MAX(0,Operations!C5*(1-$B9)*(1-G$4)-Operations!C9-Operations!C10-Operations!C11)/MAX(0.000001,'Debt Sculpting'!C10),MAX(0,Operations!D5*(1-$B9)*(1-G$4)-Operations!D9-Operations!D10-Operations!D11)/MAX(0.000001,'Debt Sculpting'!D10),MAX(0,Operations!E5*(1-$B9)*(1-G$4)-Operations!E9-Operations!E10-Operations!E11)/MAX(0.000001,'Debt Sculpting'!E10),MAX(0,Operations!F5*(1-$B9)*(1-G$4)-Operations!F9-Operations!F10-Operations!F11)/MAX(0.000001,'Debt Sculpting'!F10),MAX(0,Operations!G5*(1-$B9)*(1-G$4)-Operations!G9-Operations!G10-Operations!G11)/MAX(0.000001,'Debt Sculpting'!G10),MAX(0,Operations!H5*(1-$B9)*(1-G$4)-Operations!H9-Operations!H10-Operations!H11)/MAX(0.000001,'Debt Sculpting'!H10),MAX(0,Operations!I5*(1-$B9)*(1-G$4)-Operations!I9-Operations!I10-Operations!I11)/MAX(0.000001,'Debt Sculpting'!I10),MAX(0,Operations!J5*(1-$B9)*(1-G$4)-Operations!J9-Operations!J10-Operations!J11)/MAX(0.000001,'Debt Sculpting'!J10),MAX(0,Operations!K5*(1-$B9)*(1-G$4)-Operations!K9-Operations!K10-Operations!K11)/MAX(0.000001,'Debt Sculpting'!K10),MAX(0,Operations!L5*(1-$B9)*(1-G$4)-Operations!L9-Operations!L10-Operations!L11)/MAX(0.000001,'Debt Sculpting'!L10))</f>
        <v/>
      </c>
    </row>
  </sheetData>
  <mergeCells count="1">
    <mergeCell ref="B2:G2"/>
  </mergeCells>
  <conditionalFormatting sqref="C5:G9">
    <cfRule type="colorScale" priority="1">
      <colorScale>
        <cfvo type="min"/>
        <cfvo type="percentile" val="50"/>
        <cfvo type="max"/>
        <color rgb="00FCE4D6"/>
        <color rgb="00FFF2CC"/>
        <color rgb="00E2F0D9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8" customWidth="1" min="3" max="3"/>
  </cols>
  <sheetData>
    <row r="2" ht="28" customHeight="1">
      <c r="B2" s="1" t="inlineStr">
        <is>
          <t>Model Checks</t>
        </is>
      </c>
    </row>
    <row r="4">
      <c r="B4" s="8" t="inlineStr">
        <is>
          <t>Check</t>
        </is>
      </c>
      <c r="C4" s="8" t="inlineStr">
        <is>
          <t>Status</t>
        </is>
      </c>
    </row>
    <row r="5">
      <c r="B5" t="inlineStr">
        <is>
          <t>Construction spend curve totals 100%</t>
        </is>
      </c>
      <c r="C5">
        <f>IF(ABS(Construction!M5-1)&lt;0.000001,"PASS","FAIL")</f>
        <v/>
      </c>
    </row>
    <row r="6">
      <c r="B6" t="inlineStr">
        <is>
          <t>Sources equal uses</t>
        </is>
      </c>
      <c r="C6">
        <f>IF(ABS('Sources &amp; Uses'!F9)&lt;0.000001,"PASS","FAIL")</f>
        <v/>
      </c>
    </row>
    <row r="7">
      <c r="B7" t="inlineStr">
        <is>
          <t>Debt never negative</t>
        </is>
      </c>
      <c r="C7">
        <f>IF(MIN('Debt Sculpting'!C9:L9)&gt;=0,"PASS","FAIL")</f>
        <v/>
      </c>
    </row>
    <row r="8">
      <c r="B8" t="inlineStr">
        <is>
          <t>No DSCR covenant breach</t>
        </is>
      </c>
      <c r="C8">
        <f>IF(MIN(Coverage!C7:L7)&gt;=0,"PASS","REVIEW")</f>
        <v/>
      </c>
    </row>
    <row r="9">
      <c r="B9" t="inlineStr">
        <is>
          <t>DSRA fully funded</t>
        </is>
      </c>
      <c r="C9">
        <f>IF(MIN(Coverage!C11:L11)&gt;=1,"PASS","REVIEW")</f>
        <v/>
      </c>
    </row>
    <row r="10">
      <c r="B10" t="inlineStr">
        <is>
          <t>LLCR positive</t>
        </is>
      </c>
      <c r="C10">
        <f>IF(MIN(Coverage!C8:L8)&gt;0,"PASS","FAIL")</f>
        <v/>
      </c>
    </row>
    <row r="11">
      <c r="B11" t="inlineStr">
        <is>
          <t>Debt repaid or balloon disclosed</t>
        </is>
      </c>
      <c r="C11">
        <f>IF('Debt Sculpting'!L9&lt;0.000001,"PASS","REVIEW")</f>
        <v/>
      </c>
    </row>
    <row r="12">
      <c r="B12" t="inlineStr">
        <is>
          <t>Overall model status</t>
        </is>
      </c>
      <c r="C12">
        <f>IF(COUNTIF(C5:C11,"FAIL")=0,"PASS","FAIL")</f>
        <v/>
      </c>
    </row>
  </sheetData>
  <mergeCells count="1">
    <mergeCell ref="B2:C2"/>
  </mergeCells>
  <conditionalFormatting sqref="C5:C12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C5="REVIEW"</formula>
    </cfRule>
    <cfRule type="expression" priority="4" dxfId="1">
      <formula>C5="BREACH"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8" customWidth="1" min="5" max="5"/>
  </cols>
  <sheetData>
    <row r="2" ht="28" customHeight="1">
      <c r="B2" s="1" t="inlineStr">
        <is>
          <t>Source Register</t>
        </is>
      </c>
    </row>
    <row r="4">
      <c r="B4" s="8" t="inlineStr">
        <is>
          <t>Input / dataset</t>
        </is>
      </c>
      <c r="C4" s="8" t="inlineStr">
        <is>
          <t>Source URL or document</t>
        </is>
      </c>
      <c r="D4" s="8" t="inlineStr">
        <is>
          <t>As-of</t>
        </is>
      </c>
      <c r="E4" s="8" t="inlineStr">
        <is>
          <t>Notes / transformation</t>
        </is>
      </c>
    </row>
    <row r="5">
      <c r="B5" s="28" t="inlineStr">
        <is>
          <t>EPC and construction budget</t>
        </is>
      </c>
      <c r="C5" s="28" t="inlineStr">
        <is>
          <t>[data room / contract URL]</t>
        </is>
      </c>
      <c r="D5" s="28" t="inlineStr">
        <is>
          <t>[date]</t>
        </is>
      </c>
      <c r="E5" s="28" t="inlineStr">
        <is>
          <t>Cost, timing, contingency, liquidated damages</t>
        </is>
      </c>
    </row>
    <row r="6">
      <c r="B6" s="28" t="inlineStr">
        <is>
          <t>Concession / offtake agreement</t>
        </is>
      </c>
      <c r="C6" s="28" t="inlineStr">
        <is>
          <t>[public filing / contract URL]</t>
        </is>
      </c>
      <c r="D6" s="28" t="inlineStr">
        <is>
          <t>[date]</t>
        </is>
      </c>
      <c r="E6" s="28" t="inlineStr">
        <is>
          <t>Tariff, availability, escalation, termination</t>
        </is>
      </c>
    </row>
    <row r="7">
      <c r="B7" s="28" t="inlineStr">
        <is>
          <t>Debt term sheet and common terms</t>
        </is>
      </c>
      <c r="C7" s="28" t="inlineStr">
        <is>
          <t>[data room URL]</t>
        </is>
      </c>
      <c r="D7" s="28" t="inlineStr">
        <is>
          <t>[date]</t>
        </is>
      </c>
      <c r="E7" s="28" t="inlineStr">
        <is>
          <t>Rates, tenor, sculpting, covenants, reserves</t>
        </is>
      </c>
    </row>
    <row r="8">
      <c r="B8" s="28" t="inlineStr">
        <is>
          <t>Independent engineer report</t>
        </is>
      </c>
      <c r="C8" s="28" t="inlineStr">
        <is>
          <t>[advisor URL]</t>
        </is>
      </c>
      <c r="D8" s="28" t="inlineStr">
        <is>
          <t>[date]</t>
        </is>
      </c>
      <c r="E8" s="28" t="inlineStr">
        <is>
          <t>Construction and operating assumptions</t>
        </is>
      </c>
    </row>
    <row r="9">
      <c r="B9" s="28" t="inlineStr">
        <is>
          <t>Market / resource study</t>
        </is>
      </c>
      <c r="C9" s="28" t="inlineStr">
        <is>
          <t>[consultant or public source]</t>
        </is>
      </c>
      <c r="D9" s="28" t="inlineStr">
        <is>
          <t>[date]</t>
        </is>
      </c>
      <c r="E9" s="28" t="inlineStr">
        <is>
          <t>Demand, irradiation, wind, traffic, throughput</t>
        </is>
      </c>
    </row>
    <row r="10">
      <c r="B10" s="28" t="inlineStr">
        <is>
          <t>Discount and benchmark rates</t>
        </is>
      </c>
      <c r="C10" s="28" t="inlineStr">
        <is>
          <t>https://home.treasury.gov/resource-center/data-chart-center/interest-rates</t>
        </is>
      </c>
      <c r="D10" s="28" t="inlineStr">
        <is>
          <t>[date]</t>
        </is>
      </c>
      <c r="E10" s="28" t="inlineStr">
        <is>
          <t>Document currency and tenor mapping</t>
        </is>
      </c>
    </row>
  </sheetData>
  <mergeCells count="1">
    <mergeCell ref="B2:E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2" customWidth="1" min="3" max="3"/>
    <col width="28" customWidth="1" min="4" max="4"/>
    <col width="38" customWidth="1" min="5" max="5"/>
    <col width="34" customWidth="1" min="6" max="6"/>
    <col width="18" customWidth="1" min="7" max="7"/>
  </cols>
  <sheetData>
    <row r="2" ht="28" customHeight="1">
      <c r="B2" s="1" t="inlineStr">
        <is>
          <t>Refresh Log</t>
        </is>
      </c>
    </row>
    <row r="4">
      <c r="B4" s="8" t="inlineStr">
        <is>
          <t>Date</t>
        </is>
      </c>
      <c r="C4" s="8" t="inlineStr">
        <is>
          <t>Trigger</t>
        </is>
      </c>
      <c r="D4" s="8" t="inlineStr">
        <is>
          <t>Source snapshot</t>
        </is>
      </c>
      <c r="E4" s="8" t="inlineStr">
        <is>
          <t>What changed</t>
        </is>
      </c>
      <c r="F4" s="8" t="inlineStr">
        <is>
          <t>Reviewer / challenge</t>
        </is>
      </c>
      <c r="G4" s="8" t="inlineStr">
        <is>
          <t>Next check</t>
        </is>
      </c>
    </row>
    <row r="5">
      <c r="B5" s="29" t="n"/>
      <c r="C5" s="29" t="n"/>
      <c r="D5" s="29" t="n"/>
      <c r="E5" s="29" t="n"/>
      <c r="F5" s="29" t="n"/>
      <c r="G5" s="29" t="n"/>
    </row>
    <row r="6">
      <c r="B6" s="29" t="n"/>
      <c r="C6" s="29" t="n"/>
      <c r="D6" s="29" t="n"/>
      <c r="E6" s="29" t="n"/>
      <c r="F6" s="29" t="n"/>
      <c r="G6" s="29" t="n"/>
    </row>
    <row r="7">
      <c r="B7" s="29" t="n"/>
      <c r="C7" s="29" t="n"/>
      <c r="D7" s="29" t="n"/>
      <c r="E7" s="29" t="n"/>
      <c r="F7" s="29" t="n"/>
      <c r="G7" s="29" t="n"/>
    </row>
    <row r="8">
      <c r="B8" s="29" t="n"/>
      <c r="C8" s="29" t="n"/>
      <c r="D8" s="29" t="n"/>
      <c r="E8" s="29" t="n"/>
      <c r="F8" s="29" t="n"/>
      <c r="G8" s="29" t="n"/>
    </row>
    <row r="9">
      <c r="B9" s="29" t="n"/>
      <c r="C9" s="29" t="n"/>
      <c r="D9" s="29" t="n"/>
      <c r="E9" s="29" t="n"/>
      <c r="F9" s="29" t="n"/>
      <c r="G9" s="29" t="n"/>
    </row>
    <row r="10">
      <c r="B10" s="29" t="n"/>
      <c r="C10" s="29" t="n"/>
      <c r="D10" s="29" t="n"/>
      <c r="E10" s="29" t="n"/>
      <c r="F10" s="29" t="n"/>
      <c r="G10" s="29" t="n"/>
    </row>
    <row r="11">
      <c r="B11" s="29" t="n"/>
      <c r="C11" s="29" t="n"/>
      <c r="D11" s="29" t="n"/>
      <c r="E11" s="29" t="n"/>
      <c r="F11" s="29" t="n"/>
      <c r="G11" s="29" t="n"/>
    </row>
    <row r="12">
      <c r="B12" s="29" t="n"/>
      <c r="C12" s="29" t="n"/>
      <c r="D12" s="29" t="n"/>
      <c r="E12" s="29" t="n"/>
      <c r="F12" s="29" t="n"/>
      <c r="G12" s="29" t="n"/>
    </row>
    <row r="13">
      <c r="B13" s="29" t="n"/>
      <c r="C13" s="29" t="n"/>
      <c r="D13" s="29" t="n"/>
      <c r="E13" s="29" t="n"/>
      <c r="F13" s="29" t="n"/>
      <c r="G13" s="29" t="n"/>
    </row>
    <row r="14">
      <c r="B14" s="29" t="n"/>
      <c r="C14" s="29" t="n"/>
      <c r="D14" s="29" t="n"/>
      <c r="E14" s="29" t="n"/>
      <c r="F14" s="29" t="n"/>
      <c r="G14" s="29" t="n"/>
    </row>
    <row r="15">
      <c r="B15" s="29" t="n"/>
      <c r="C15" s="29" t="n"/>
      <c r="D15" s="29" t="n"/>
      <c r="E15" s="29" t="n"/>
      <c r="F15" s="29" t="n"/>
      <c r="G15" s="29" t="n"/>
    </row>
    <row r="16">
      <c r="B16" s="29" t="n"/>
      <c r="C16" s="29" t="n"/>
      <c r="D16" s="29" t="n"/>
      <c r="E16" s="29" t="n"/>
      <c r="F16" s="29" t="n"/>
      <c r="G16" s="29" t="n"/>
    </row>
    <row r="17">
      <c r="B17" s="29" t="n"/>
      <c r="C17" s="29" t="n"/>
      <c r="D17" s="29" t="n"/>
      <c r="E17" s="29" t="n"/>
      <c r="F17" s="29" t="n"/>
      <c r="G17" s="29" t="n"/>
    </row>
    <row r="18">
      <c r="B18" s="29" t="n"/>
      <c r="C18" s="29" t="n"/>
      <c r="D18" s="29" t="n"/>
      <c r="E18" s="29" t="n"/>
      <c r="F18" s="29" t="n"/>
      <c r="G18" s="29" t="n"/>
    </row>
    <row r="19">
      <c r="B19" s="29" t="n"/>
      <c r="C19" s="29" t="n"/>
      <c r="D19" s="29" t="n"/>
      <c r="E19" s="29" t="n"/>
      <c r="F19" s="29" t="n"/>
      <c r="G19" s="29" t="n"/>
    </row>
    <row r="20">
      <c r="B20" s="29" t="n"/>
      <c r="C20" s="29" t="n"/>
      <c r="D20" s="29" t="n"/>
      <c r="E20" s="29" t="n"/>
      <c r="F20" s="29" t="n"/>
      <c r="G20" s="29" t="n"/>
    </row>
    <row r="21">
      <c r="B21" s="29" t="n"/>
      <c r="C21" s="29" t="n"/>
      <c r="D21" s="29" t="n"/>
      <c r="E21" s="29" t="n"/>
      <c r="F21" s="29" t="n"/>
      <c r="G21" s="29" t="n"/>
    </row>
    <row r="22">
      <c r="B22" s="29" t="n"/>
      <c r="C22" s="29" t="n"/>
      <c r="D22" s="29" t="n"/>
      <c r="E22" s="29" t="n"/>
      <c r="F22" s="29" t="n"/>
      <c r="G22" s="29" t="n"/>
    </row>
    <row r="23">
      <c r="B23" s="29" t="n"/>
      <c r="C23" s="29" t="n"/>
      <c r="D23" s="29" t="n"/>
      <c r="E23" s="29" t="n"/>
      <c r="F23" s="29" t="n"/>
      <c r="G23" s="29" t="n"/>
    </row>
    <row r="24">
      <c r="B24" s="29" t="n"/>
      <c r="C24" s="29" t="n"/>
      <c r="D24" s="29" t="n"/>
      <c r="E24" s="29" t="n"/>
      <c r="F24" s="29" t="n"/>
      <c r="G24" s="29" t="n"/>
    </row>
    <row r="25">
      <c r="B25" s="29" t="n"/>
      <c r="C25" s="29" t="n"/>
      <c r="D25" s="29" t="n"/>
      <c r="E25" s="29" t="n"/>
      <c r="F25" s="29" t="n"/>
      <c r="G25" s="29" t="n"/>
    </row>
    <row r="26">
      <c r="B26" s="29" t="n"/>
      <c r="C26" s="29" t="n"/>
      <c r="D26" s="29" t="n"/>
      <c r="E26" s="29" t="n"/>
      <c r="F26" s="29" t="n"/>
      <c r="G26" s="29" t="n"/>
    </row>
    <row r="27">
      <c r="B27" s="29" t="n"/>
      <c r="C27" s="29" t="n"/>
      <c r="D27" s="29" t="n"/>
      <c r="E27" s="29" t="n"/>
      <c r="F27" s="29" t="n"/>
      <c r="G27" s="29" t="n"/>
    </row>
    <row r="28">
      <c r="B28" s="29" t="n"/>
      <c r="C28" s="29" t="n"/>
      <c r="D28" s="29" t="n"/>
      <c r="E28" s="29" t="n"/>
      <c r="F28" s="29" t="n"/>
      <c r="G28" s="29" t="n"/>
    </row>
    <row r="29">
      <c r="B29" s="29" t="n"/>
      <c r="C29" s="29" t="n"/>
      <c r="D29" s="29" t="n"/>
      <c r="E29" s="29" t="n"/>
      <c r="F29" s="29" t="n"/>
      <c r="G29" s="29" t="n"/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2026-08-05T22:48:48Z</dcterms:created>
  <dcterms:modified xmlns:dcterms="http://purl.org/dc/terms/" xmlns:xsi="http://www.w3.org/2001/XMLSchema-instance" xsi:type="dcterms:W3CDTF">2026-08-05T22:48:48Z</dcterms:modified>
</cp:coreProperties>
</file>