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Collateral" sheetId="6" state="visible" r:id="rId6"/>
    <sheet xmlns:r="http://schemas.openxmlformats.org/officeDocument/2006/relationships" name="Loss Curves" sheetId="7" state="visible" r:id="rId7"/>
    <sheet xmlns:r="http://schemas.openxmlformats.org/officeDocument/2006/relationships" name="Waterfall" sheetId="8" state="visible" r:id="rId8"/>
    <sheet xmlns:r="http://schemas.openxmlformats.org/officeDocument/2006/relationships" name="Triggers" sheetId="9" state="visible" r:id="rId9"/>
    <sheet xmlns:r="http://schemas.openxmlformats.org/officeDocument/2006/relationships" name="Tranche Analytic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Check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freshLog" sheetId="14" state="visible" r:id="rId14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;[Red]($#,##0.0);-"/>
    <numFmt numFmtId="165" formatCode="0.00%;[Red](0.00%);-"/>
    <numFmt numFmtId="166" formatCode="0.0x;[Red](0.0x);-"/>
    <numFmt numFmtId="167" formatCode="0.0%;[Red](0.0%)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" fontId="3" fillId="3" borderId="1" pivotButton="0" quotePrefix="0" xfId="0"/>
    <xf numFmtId="1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5" fontId="0" fillId="0" borderId="0" pivotButton="0" quotePrefix="0" xfId="0"/>
    <xf numFmtId="166" fontId="0" fillId="0" borderId="0" pivotButton="0" quotePrefix="0" xfId="0"/>
    <xf numFmtId="167" fontId="4" fillId="2" borderId="1" applyAlignment="1" pivotButton="0" quotePrefix="0" xfId="0">
      <alignment horizontal="center" vertical="center" wrapText="1"/>
    </xf>
    <xf numFmtId="167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9" fillId="4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4" borderId="0" pivotButton="0" quotePrefix="0" xfId="0"/>
    <xf numFmtId="0" fontId="10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[TRANSACTION] — Structured Credit Model</t>
        </is>
      </c>
    </row>
    <row r="4">
      <c r="B4" s="2" t="inlineStr">
        <is>
          <t>Transaction / collateral:</t>
        </is>
      </c>
      <c r="C4" s="3" t="inlineStr">
        <is>
          <t>ABS / RMBS / CMBS / CLO / specialty</t>
        </is>
      </c>
    </row>
    <row r="5">
      <c r="B5" s="2" t="inlineStr">
        <is>
          <t>Cut-off / payment date:</t>
        </is>
      </c>
      <c r="C5" s="3" t="inlineStr">
        <is>
          <t>[dates]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distribution / trigger date: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Monthly and on servicer reports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6" t="inlineStr">
        <is>
          <t>Structured Finance &amp; Securitization — Institutional Decision Surface</t>
        </is>
      </c>
    </row>
    <row r="4">
      <c r="B4" s="27" t="inlineStr">
        <is>
          <t>Model ID</t>
        </is>
      </c>
      <c r="C4" s="28" t="inlineStr">
        <is>
          <t>19</t>
        </is>
      </c>
    </row>
    <row r="5">
      <c r="B5" s="27" t="inlineStr">
        <is>
          <t>Domain</t>
        </is>
      </c>
      <c r="C5" s="28" t="inlineStr">
        <is>
          <t>Structured Finance &amp; Securitization</t>
        </is>
      </c>
    </row>
    <row r="6">
      <c r="B6" s="27" t="inlineStr">
        <is>
          <t>Declared maturity</t>
        </is>
      </c>
      <c r="C6" s="28" t="inlineStr">
        <is>
          <t>M2</t>
        </is>
      </c>
    </row>
    <row r="7">
      <c r="B7" s="27" t="inlineStr">
        <is>
          <t>Canonical builder</t>
        </is>
      </c>
      <c r="C7" s="28" t="inlineStr">
        <is>
          <t>tools/builders/build_securitization_institutional.py</t>
        </is>
      </c>
    </row>
    <row r="8">
      <c r="B8" s="27" t="inlineStr">
        <is>
          <t>Decision arena</t>
        </is>
      </c>
      <c r="C8" s="28" t="inlineStr">
        <is>
          <t>structuring, collateral, servicing, trustee, rating agency and investor</t>
        </is>
      </c>
    </row>
    <row r="9">
      <c r="B9" s="27" t="inlineStr">
        <is>
          <t>Committee artifact</t>
        </is>
      </c>
      <c r="C9" s="28" t="inlineStr">
        <is>
          <t>cash-flow, trigger and tranche-loss pack</t>
        </is>
      </c>
    </row>
    <row r="10">
      <c r="B10" s="27" t="inlineStr">
        <is>
          <t>Operating cadence</t>
        </is>
      </c>
      <c r="C10" s="28" t="inlineStr">
        <is>
          <t>monthly surveillance; event-driven trigger review</t>
        </is>
      </c>
    </row>
    <row r="12">
      <c r="B12" s="29" t="inlineStr">
        <is>
          <t>Key decision outputs</t>
        </is>
      </c>
    </row>
    <row r="13">
      <c r="B13" s="30" t="inlineStr">
        <is>
          <t>#</t>
        </is>
      </c>
      <c r="C13" s="30" t="inlineStr">
        <is>
          <t>Requirement</t>
        </is>
      </c>
      <c r="D13" s="30" t="inlineStr">
        <is>
          <t>Owner</t>
        </is>
      </c>
      <c r="E13" s="30" t="inlineStr">
        <is>
          <t>Evidence / location</t>
        </is>
      </c>
      <c r="F13" s="30" t="inlineStr">
        <is>
          <t>Status</t>
        </is>
      </c>
    </row>
    <row r="14">
      <c r="B14" t="n">
        <v>1</v>
      </c>
      <c r="C14" t="inlineStr">
        <is>
          <t>collateral cash flow and losses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tranche interest/principal waterfall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OC/IC and performance triggers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9" t="inlineStr">
        <is>
          <t>Insider questions</t>
        </is>
      </c>
    </row>
    <row r="21">
      <c r="B21" s="30" t="inlineStr">
        <is>
          <t>#</t>
        </is>
      </c>
      <c r="C21" s="30" t="inlineStr">
        <is>
          <t>Requirement</t>
        </is>
      </c>
      <c r="D21" s="30" t="inlineStr">
        <is>
          <t>Owner</t>
        </is>
      </c>
      <c r="E21" s="30" t="inlineStr">
        <is>
          <t>Evidence / location</t>
        </is>
      </c>
      <c r="F21" s="30" t="inlineStr">
        <is>
          <t>Status</t>
        </is>
      </c>
    </row>
    <row r="22">
      <c r="B22" t="n">
        <v>1</v>
      </c>
      <c r="C22" t="inlineStr">
        <is>
          <t>What changes when the trigger fails?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Who advances delinquent interest and for how long?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Which tape fields are servicer-created?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9" t="inlineStr">
        <is>
          <t>Scenario families</t>
        </is>
      </c>
    </row>
    <row r="29">
      <c r="B29" s="30" t="inlineStr">
        <is>
          <t>#</t>
        </is>
      </c>
      <c r="C29" s="30" t="inlineStr">
        <is>
          <t>Requirement</t>
        </is>
      </c>
      <c r="D29" s="30" t="inlineStr">
        <is>
          <t>Owner</t>
        </is>
      </c>
      <c r="E29" s="30" t="inlineStr">
        <is>
          <t>Evidence / location</t>
        </is>
      </c>
      <c r="F29" s="30" t="inlineStr">
        <is>
          <t>Status</t>
        </is>
      </c>
    </row>
    <row r="30">
      <c r="B30" t="n">
        <v>1</v>
      </c>
      <c r="C30" t="inlineStr">
        <is>
          <t>default and severity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prepayment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recovery timing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9" t="inlineStr">
        <is>
          <t>Primary diligence documents</t>
        </is>
      </c>
    </row>
    <row r="37">
      <c r="B37" s="30" t="inlineStr">
        <is>
          <t>#</t>
        </is>
      </c>
      <c r="C37" s="30" t="inlineStr">
        <is>
          <t>Requirement</t>
        </is>
      </c>
      <c r="D37" s="30" t="inlineStr">
        <is>
          <t>Owner</t>
        </is>
      </c>
      <c r="E37" s="30" t="inlineStr">
        <is>
          <t>Evidence / location</t>
        </is>
      </c>
      <c r="F37" s="30" t="inlineStr">
        <is>
          <t>Status</t>
        </is>
      </c>
    </row>
    <row r="38">
      <c r="B38" t="n">
        <v>1</v>
      </c>
      <c r="C38" t="inlineStr">
        <is>
          <t>offering memorandum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pool tape and data dictionary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servicing agreement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9" t="inlineStr">
        <is>
          <t>Challenge tests</t>
        </is>
      </c>
    </row>
    <row r="45">
      <c r="B45" s="30" t="inlineStr">
        <is>
          <t>#</t>
        </is>
      </c>
      <c r="C45" s="30" t="inlineStr">
        <is>
          <t>Requirement</t>
        </is>
      </c>
      <c r="D45" s="30" t="inlineStr">
        <is>
          <t>Owner</t>
        </is>
      </c>
      <c r="E45" s="30" t="inlineStr">
        <is>
          <t>Evidence / location</t>
        </is>
      </c>
      <c r="F45" s="30" t="inlineStr">
        <is>
          <t>Status</t>
        </is>
      </c>
    </row>
    <row r="46">
      <c r="B46" t="n">
        <v>1</v>
      </c>
      <c r="C46" t="inlineStr">
        <is>
          <t>collateral roll-forward conserves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waterfall distributes available funds only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tranche balances nonnegative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9" t="inlineStr">
        <is>
          <t>Known failure modes</t>
        </is>
      </c>
    </row>
    <row r="53">
      <c r="B53" s="30" t="inlineStr">
        <is>
          <t>#</t>
        </is>
      </c>
      <c r="C53" s="30" t="inlineStr">
        <is>
          <t>Requirement</t>
        </is>
      </c>
      <c r="D53" s="30" t="inlineStr">
        <is>
          <t>Owner</t>
        </is>
      </c>
      <c r="E53" s="30" t="inlineStr">
        <is>
          <t>Evidence / location</t>
        </is>
      </c>
      <c r="F53" s="30" t="inlineStr">
        <is>
          <t>Status</t>
        </is>
      </c>
    </row>
    <row r="54">
      <c r="B54" t="n">
        <v>1</v>
      </c>
      <c r="C54" t="inlineStr">
        <is>
          <t>using pool averages where tails drive loss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ignoring delinquency roll and modification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misreading trigger cure mechanics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9" t="inlineStr">
        <is>
          <t>Regulatory / methodological anchors</t>
        </is>
      </c>
    </row>
    <row r="61">
      <c r="B61" s="30" t="inlineStr">
        <is>
          <t>Standard</t>
        </is>
      </c>
      <c r="C61" s="30" t="inlineStr">
        <is>
          <t>Scope</t>
        </is>
      </c>
      <c r="D61" s="30" t="inlineStr">
        <is>
          <t>Source URL</t>
        </is>
      </c>
      <c r="E61" s="30" t="inlineStr">
        <is>
          <t>Applicability</t>
        </is>
      </c>
      <c r="F61" s="30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Framework</t>
        </is>
      </c>
      <c r="C63" t="inlineStr">
        <is>
          <t>prudential capital, liquidity, credit and market risk</t>
        </is>
      </c>
      <c r="D63" t="inlineStr">
        <is>
          <t>https://www.bis.org/basel_framework/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6" t="inlineStr">
        <is>
          <t>Independent Challenge, Override and Closure Log</t>
        </is>
      </c>
    </row>
    <row r="4">
      <c r="B4" s="30" t="inlineStr">
        <is>
          <t>Date</t>
        </is>
      </c>
      <c r="C4" s="30" t="inlineStr">
        <is>
          <t>Reviewer</t>
        </is>
      </c>
      <c r="D4" s="30" t="inlineStr">
        <is>
          <t>Challenge</t>
        </is>
      </c>
      <c r="E4" s="30" t="inlineStr">
        <is>
          <t>Owner response</t>
        </is>
      </c>
      <c r="F4" s="30" t="inlineStr">
        <is>
          <t>Evidence</t>
        </is>
      </c>
      <c r="G4" s="30" t="inlineStr">
        <is>
          <t>Impact</t>
        </is>
      </c>
      <c r="H4" s="30" t="inlineStr">
        <is>
          <t>Status</t>
        </is>
      </c>
      <c r="I4" s="30" t="inlineStr">
        <is>
          <t>Closure</t>
        </is>
      </c>
    </row>
    <row r="5">
      <c r="B5" t="inlineStr"/>
      <c r="C5" t="inlineStr"/>
      <c r="D5" t="inlineStr">
        <is>
          <t>collateral roll-forward conserves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waterfall distributes available funds only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tranche balances nonnegative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6" t="inlineStr">
        <is>
          <t>Source, Transformation, Ownership and Refresh Map</t>
        </is>
      </c>
    </row>
    <row r="4">
      <c r="B4" s="30" t="inlineStr">
        <is>
          <t>Source class</t>
        </is>
      </c>
      <c r="C4" s="30" t="inlineStr">
        <is>
          <t>Cadence</t>
        </is>
      </c>
      <c r="D4" s="30" t="inlineStr">
        <is>
          <t>Control</t>
        </is>
      </c>
      <c r="E4" s="30" t="inlineStr">
        <is>
          <t>System / provider</t>
        </is>
      </c>
      <c r="F4" s="30" t="inlineStr">
        <is>
          <t>As-of</t>
        </is>
      </c>
      <c r="G4" s="30" t="inlineStr">
        <is>
          <t>Owner</t>
        </is>
      </c>
      <c r="H4" s="30" t="inlineStr">
        <is>
          <t>Transform</t>
        </is>
      </c>
      <c r="I4" s="30" t="inlineStr">
        <is>
          <t>Downstream</t>
        </is>
      </c>
      <c r="J4" s="30" t="inlineStr">
        <is>
          <t>Status</t>
        </is>
      </c>
    </row>
    <row r="5">
      <c r="B5" t="inlineStr">
        <is>
          <t>loan-level tape</t>
        </is>
      </c>
      <c r="C5" t="inlineStr">
        <is>
          <t>monthly</t>
        </is>
      </c>
      <c r="D5" t="inlineStr">
        <is>
          <t>field and cut-off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servicer report</t>
        </is>
      </c>
      <c r="C6" t="inlineStr">
        <is>
          <t>monthly</t>
        </is>
      </c>
      <c r="D6" t="inlineStr">
        <is>
          <t>cash and status tie-out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Collateral and Capital Structure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Opening collateral balance</t>
        </is>
      </c>
      <c r="C5" s="9" t="n">
        <v>1000</v>
      </c>
      <c r="D5" s="9" t="n">
        <v>1000</v>
      </c>
      <c r="E5" s="10">
        <f>IF(Cover!$C$9="Downside",D5,C5)</f>
        <v/>
      </c>
      <c r="F5" t="inlineStr">
        <is>
          <t>$mm</t>
        </is>
      </c>
    </row>
    <row r="6">
      <c r="B6" t="inlineStr">
        <is>
          <t>Collateral gross coupon</t>
        </is>
      </c>
      <c r="C6" s="11" t="n">
        <v>0.08</v>
      </c>
      <c r="D6" s="11" t="n">
        <v>0.075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Annual CPR</t>
        </is>
      </c>
      <c r="C7" s="11" t="n">
        <v>0.12</v>
      </c>
      <c r="D7" s="11" t="n">
        <v>0.06</v>
      </c>
      <c r="E7" s="12">
        <f>IF(Cover!$C$9="Downside",D7,C7)</f>
        <v/>
      </c>
      <c r="F7" t="inlineStr">
        <is>
          <t>%</t>
        </is>
      </c>
    </row>
    <row r="8">
      <c r="B8" t="inlineStr">
        <is>
          <t>Annual CDR</t>
        </is>
      </c>
      <c r="C8" s="11" t="n">
        <v>0.025</v>
      </c>
      <c r="D8" s="11" t="n">
        <v>0.08</v>
      </c>
      <c r="E8" s="12">
        <f>IF(Cover!$C$9="Downside",D8,C8)</f>
        <v/>
      </c>
      <c r="F8" t="inlineStr">
        <is>
          <t>%</t>
        </is>
      </c>
    </row>
    <row r="9">
      <c r="B9" t="inlineStr">
        <is>
          <t>Recovery rate</t>
        </is>
      </c>
      <c r="C9" s="11" t="n">
        <v>0.45</v>
      </c>
      <c r="D9" s="11" t="n">
        <v>0.25</v>
      </c>
      <c r="E9" s="12">
        <f>IF(Cover!$C$9="Downside",D9,C9)</f>
        <v/>
      </c>
      <c r="F9" t="inlineStr">
        <is>
          <t>%</t>
        </is>
      </c>
    </row>
    <row r="10">
      <c r="B10" t="inlineStr">
        <is>
          <t>Recovery lag</t>
        </is>
      </c>
      <c r="C10" s="13" t="n">
        <v>3</v>
      </c>
      <c r="D10" s="13" t="n">
        <v>6</v>
      </c>
      <c r="E10" s="14">
        <f>IF(Cover!$C$9="Downside",D10,C10)</f>
        <v/>
      </c>
      <c r="F10" t="inlineStr">
        <is>
          <t>months</t>
        </is>
      </c>
    </row>
    <row r="11">
      <c r="B11" t="inlineStr">
        <is>
          <t>Servicing and senior fees</t>
        </is>
      </c>
      <c r="C11" s="11" t="n">
        <v>0.01</v>
      </c>
      <c r="D11" s="11" t="n">
        <v>0.012</v>
      </c>
      <c r="E11" s="12">
        <f>IF(Cover!$C$9="Downside",D11,C11)</f>
        <v/>
      </c>
      <c r="F11" t="inlineStr">
        <is>
          <t>% annual</t>
        </is>
      </c>
    </row>
    <row r="12">
      <c r="B12" t="inlineStr">
        <is>
          <t>Senior tranche opening balance</t>
        </is>
      </c>
      <c r="C12" s="9" t="n">
        <v>650</v>
      </c>
      <c r="D12" s="9" t="n">
        <v>650</v>
      </c>
      <c r="E12" s="10">
        <f>IF(Cover!$C$9="Downside",D12,C12)</f>
        <v/>
      </c>
      <c r="F12" t="inlineStr">
        <is>
          <t>$mm</t>
        </is>
      </c>
    </row>
    <row r="13">
      <c r="B13" t="inlineStr">
        <is>
          <t>Senior tranche coupon</t>
        </is>
      </c>
      <c r="C13" s="11" t="n">
        <v>0.05</v>
      </c>
      <c r="D13" s="11" t="n">
        <v>0.06</v>
      </c>
      <c r="E13" s="12">
        <f>IF(Cover!$C$9="Downside",D13,C13)</f>
        <v/>
      </c>
      <c r="F13" t="inlineStr">
        <is>
          <t>%</t>
        </is>
      </c>
    </row>
    <row r="14">
      <c r="B14" t="inlineStr">
        <is>
          <t>Mezz tranche opening balance</t>
        </is>
      </c>
      <c r="C14" s="9" t="n">
        <v>220</v>
      </c>
      <c r="D14" s="9" t="n">
        <v>220</v>
      </c>
      <c r="E14" s="10">
        <f>IF(Cover!$C$9="Downside",D14,C14)</f>
        <v/>
      </c>
      <c r="F14" t="inlineStr">
        <is>
          <t>$mm</t>
        </is>
      </c>
    </row>
    <row r="15">
      <c r="B15" t="inlineStr">
        <is>
          <t>Mezz tranche coupon</t>
        </is>
      </c>
      <c r="C15" s="11" t="n">
        <v>0.08</v>
      </c>
      <c r="D15" s="11" t="n">
        <v>0.1</v>
      </c>
      <c r="E15" s="12">
        <f>IF(Cover!$C$9="Downside",D15,C15)</f>
        <v/>
      </c>
      <c r="F15" t="inlineStr">
        <is>
          <t>%</t>
        </is>
      </c>
    </row>
    <row r="16">
      <c r="B16" t="inlineStr">
        <is>
          <t>Reserve account</t>
        </is>
      </c>
      <c r="C16" s="9" t="n">
        <v>20</v>
      </c>
      <c r="D16" s="9" t="n">
        <v>20</v>
      </c>
      <c r="E16" s="10">
        <f>IF(Cover!$C$9="Downside",D16,C16)</f>
        <v/>
      </c>
      <c r="F16" t="inlineStr">
        <is>
          <t>$mm</t>
        </is>
      </c>
    </row>
    <row r="17">
      <c r="B17" t="inlineStr">
        <is>
          <t>Minimum OC ratio</t>
        </is>
      </c>
      <c r="C17" s="15" t="n">
        <v>1.08</v>
      </c>
      <c r="D17" s="15" t="n">
        <v>1.08</v>
      </c>
      <c r="E17" s="16">
        <f>IF(Cover!$C$9="Downside",D17,C17)</f>
        <v/>
      </c>
      <c r="F17" t="inlineStr">
        <is>
          <t>x</t>
        </is>
      </c>
    </row>
    <row r="18">
      <c r="B18" t="inlineStr">
        <is>
          <t>Minimum senior IC ratio</t>
        </is>
      </c>
      <c r="C18" s="15" t="n">
        <v>1.5</v>
      </c>
      <c r="D18" s="15" t="n">
        <v>1.5</v>
      </c>
      <c r="E18" s="16">
        <f>IF(Cover!$C$9="Downside",D18,C18)</f>
        <v/>
      </c>
      <c r="F18" t="inlineStr">
        <is>
          <t>x</t>
        </is>
      </c>
    </row>
    <row r="19">
      <c r="B19" t="inlineStr">
        <is>
          <t>Minimum mezz IC ratio</t>
        </is>
      </c>
      <c r="C19" s="15" t="n">
        <v>1.15</v>
      </c>
      <c r="D19" s="15" t="n">
        <v>1.15</v>
      </c>
      <c r="E19" s="16">
        <f>IF(Cover!$C$9="Downside",D19,C19)</f>
        <v/>
      </c>
      <c r="F19" t="inlineStr">
        <is>
          <t>x</t>
        </is>
      </c>
    </row>
    <row r="20">
      <c r="B20" t="inlineStr">
        <is>
          <t>Payment frequency</t>
        </is>
      </c>
      <c r="C20" s="13" t="n">
        <v>12</v>
      </c>
      <c r="D20" s="13" t="n">
        <v>12</v>
      </c>
      <c r="E20" s="14">
        <f>IF(Cover!$C$9="Downside",D20,C20)</f>
        <v/>
      </c>
      <c r="F20" t="inlineStr">
        <is>
          <t>per year</t>
        </is>
      </c>
    </row>
    <row r="21">
      <c r="B21" t="inlineStr">
        <is>
          <t>Model horizon</t>
        </is>
      </c>
      <c r="C21" s="13" t="n">
        <v>24</v>
      </c>
      <c r="D21" s="13" t="n">
        <v>24</v>
      </c>
      <c r="E21" s="14">
        <f>IF(Cover!$C$9="Downside",D21,C21)</f>
        <v/>
      </c>
      <c r="F21" t="inlineStr">
        <is>
          <t>months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Z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2" ht="28" customHeight="1">
      <c r="B2" s="1" t="inlineStr">
        <is>
          <t>Monthly Collateral Cash Flows</t>
        </is>
      </c>
    </row>
    <row r="4">
      <c r="B4" s="8" t="inlineStr">
        <is>
          <t>$mm</t>
        </is>
      </c>
      <c r="C4" s="8" t="inlineStr">
        <is>
          <t>M1</t>
        </is>
      </c>
      <c r="D4" s="8" t="inlineStr">
        <is>
          <t>M2</t>
        </is>
      </c>
      <c r="E4" s="8" t="inlineStr">
        <is>
          <t>M3</t>
        </is>
      </c>
      <c r="F4" s="8" t="inlineStr">
        <is>
          <t>M4</t>
        </is>
      </c>
      <c r="G4" s="8" t="inlineStr">
        <is>
          <t>M5</t>
        </is>
      </c>
      <c r="H4" s="8" t="inlineStr">
        <is>
          <t>M6</t>
        </is>
      </c>
      <c r="I4" s="8" t="inlineStr">
        <is>
          <t>M7</t>
        </is>
      </c>
      <c r="J4" s="8" t="inlineStr">
        <is>
          <t>M8</t>
        </is>
      </c>
      <c r="K4" s="8" t="inlineStr">
        <is>
          <t>M9</t>
        </is>
      </c>
      <c r="L4" s="8" t="inlineStr">
        <is>
          <t>M10</t>
        </is>
      </c>
      <c r="M4" s="8" t="inlineStr">
        <is>
          <t>M11</t>
        </is>
      </c>
      <c r="N4" s="8" t="inlineStr">
        <is>
          <t>M12</t>
        </is>
      </c>
      <c r="O4" s="8" t="inlineStr">
        <is>
          <t>M13</t>
        </is>
      </c>
      <c r="P4" s="8" t="inlineStr">
        <is>
          <t>M14</t>
        </is>
      </c>
      <c r="Q4" s="8" t="inlineStr">
        <is>
          <t>M15</t>
        </is>
      </c>
      <c r="R4" s="8" t="inlineStr">
        <is>
          <t>M16</t>
        </is>
      </c>
      <c r="S4" s="8" t="inlineStr">
        <is>
          <t>M17</t>
        </is>
      </c>
      <c r="T4" s="8" t="inlineStr">
        <is>
          <t>M18</t>
        </is>
      </c>
      <c r="U4" s="8" t="inlineStr">
        <is>
          <t>M19</t>
        </is>
      </c>
      <c r="V4" s="8" t="inlineStr">
        <is>
          <t>M20</t>
        </is>
      </c>
      <c r="W4" s="8" t="inlineStr">
        <is>
          <t>M21</t>
        </is>
      </c>
      <c r="X4" s="8" t="inlineStr">
        <is>
          <t>M22</t>
        </is>
      </c>
      <c r="Y4" s="8" t="inlineStr">
        <is>
          <t>M23</t>
        </is>
      </c>
      <c r="Z4" s="8" t="inlineStr">
        <is>
          <t>M24</t>
        </is>
      </c>
    </row>
    <row r="5">
      <c r="B5" t="inlineStr">
        <is>
          <t>Beginning collateral</t>
        </is>
      </c>
      <c r="C5" s="17">
        <f>Assumptions!E5</f>
        <v/>
      </c>
      <c r="D5" s="17">
        <f>C14</f>
        <v/>
      </c>
      <c r="E5" s="17">
        <f>D14</f>
        <v/>
      </c>
      <c r="F5" s="17">
        <f>E14</f>
        <v/>
      </c>
      <c r="G5" s="17">
        <f>F14</f>
        <v/>
      </c>
      <c r="H5" s="17">
        <f>G14</f>
        <v/>
      </c>
      <c r="I5" s="17">
        <f>H14</f>
        <v/>
      </c>
      <c r="J5" s="17">
        <f>I14</f>
        <v/>
      </c>
      <c r="K5" s="17">
        <f>J14</f>
        <v/>
      </c>
      <c r="L5" s="17">
        <f>K14</f>
        <v/>
      </c>
      <c r="M5" s="17">
        <f>L14</f>
        <v/>
      </c>
      <c r="N5" s="17">
        <f>M14</f>
        <v/>
      </c>
      <c r="O5" s="17">
        <f>N14</f>
        <v/>
      </c>
      <c r="P5" s="17">
        <f>O14</f>
        <v/>
      </c>
      <c r="Q5" s="17">
        <f>P14</f>
        <v/>
      </c>
      <c r="R5" s="17">
        <f>Q14</f>
        <v/>
      </c>
      <c r="S5" s="17">
        <f>R14</f>
        <v/>
      </c>
      <c r="T5" s="17">
        <f>S14</f>
        <v/>
      </c>
      <c r="U5" s="17">
        <f>T14</f>
        <v/>
      </c>
      <c r="V5" s="17">
        <f>U14</f>
        <v/>
      </c>
      <c r="W5" s="17">
        <f>V14</f>
        <v/>
      </c>
      <c r="X5" s="17">
        <f>W14</f>
        <v/>
      </c>
      <c r="Y5" s="17">
        <f>X14</f>
        <v/>
      </c>
      <c r="Z5" s="17">
        <f>Y14</f>
        <v/>
      </c>
    </row>
    <row r="6">
      <c r="B6" t="inlineStr">
        <is>
          <t>Scheduled principal</t>
        </is>
      </c>
      <c r="C6" s="17">
        <f>MIN(C5,C5/24)</f>
        <v/>
      </c>
      <c r="D6" s="17">
        <f>MIN(D5,D5/23)</f>
        <v/>
      </c>
      <c r="E6" s="17">
        <f>MIN(E5,E5/22)</f>
        <v/>
      </c>
      <c r="F6" s="17">
        <f>MIN(F5,F5/21)</f>
        <v/>
      </c>
      <c r="G6" s="17">
        <f>MIN(G5,G5/20)</f>
        <v/>
      </c>
      <c r="H6" s="17">
        <f>MIN(H5,H5/19)</f>
        <v/>
      </c>
      <c r="I6" s="17">
        <f>MIN(I5,I5/18)</f>
        <v/>
      </c>
      <c r="J6" s="17">
        <f>MIN(J5,J5/17)</f>
        <v/>
      </c>
      <c r="K6" s="17">
        <f>MIN(K5,K5/16)</f>
        <v/>
      </c>
      <c r="L6" s="17">
        <f>MIN(L5,L5/15)</f>
        <v/>
      </c>
      <c r="M6" s="17">
        <f>MIN(M5,M5/14)</f>
        <v/>
      </c>
      <c r="N6" s="17">
        <f>MIN(N5,N5/13)</f>
        <v/>
      </c>
      <c r="O6" s="17">
        <f>MIN(O5,O5/12)</f>
        <v/>
      </c>
      <c r="P6" s="17">
        <f>MIN(P5,P5/11)</f>
        <v/>
      </c>
      <c r="Q6" s="17">
        <f>MIN(Q5,Q5/10)</f>
        <v/>
      </c>
      <c r="R6" s="17">
        <f>MIN(R5,R5/9)</f>
        <v/>
      </c>
      <c r="S6" s="17">
        <f>MIN(S5,S5/8)</f>
        <v/>
      </c>
      <c r="T6" s="17">
        <f>MIN(T5,T5/7)</f>
        <v/>
      </c>
      <c r="U6" s="17">
        <f>MIN(U5,U5/6)</f>
        <v/>
      </c>
      <c r="V6" s="17">
        <f>MIN(V5,V5/5)</f>
        <v/>
      </c>
      <c r="W6" s="17">
        <f>MIN(W5,W5/4)</f>
        <v/>
      </c>
      <c r="X6" s="17">
        <f>MIN(X5,X5/3)</f>
        <v/>
      </c>
      <c r="Y6" s="17">
        <f>MIN(Y5,Y5/2)</f>
        <v/>
      </c>
      <c r="Z6" s="17">
        <f>MIN(Z5,Z5/1)</f>
        <v/>
      </c>
    </row>
    <row r="7">
      <c r="B7" t="inlineStr">
        <is>
          <t>Defaults</t>
        </is>
      </c>
      <c r="C7" s="17">
        <f>MAX(0,C5-C6)*'Loss Curves'!C6</f>
        <v/>
      </c>
      <c r="D7" s="17">
        <f>MAX(0,D5-D6)*'Loss Curves'!D6</f>
        <v/>
      </c>
      <c r="E7" s="17">
        <f>MAX(0,E5-E6)*'Loss Curves'!E6</f>
        <v/>
      </c>
      <c r="F7" s="17">
        <f>MAX(0,F5-F6)*'Loss Curves'!F6</f>
        <v/>
      </c>
      <c r="G7" s="17">
        <f>MAX(0,G5-G6)*'Loss Curves'!G6</f>
        <v/>
      </c>
      <c r="H7" s="17">
        <f>MAX(0,H5-H6)*'Loss Curves'!H6</f>
        <v/>
      </c>
      <c r="I7" s="17">
        <f>MAX(0,I5-I6)*'Loss Curves'!I6</f>
        <v/>
      </c>
      <c r="J7" s="17">
        <f>MAX(0,J5-J6)*'Loss Curves'!J6</f>
        <v/>
      </c>
      <c r="K7" s="17">
        <f>MAX(0,K5-K6)*'Loss Curves'!K6</f>
        <v/>
      </c>
      <c r="L7" s="17">
        <f>MAX(0,L5-L6)*'Loss Curves'!L6</f>
        <v/>
      </c>
      <c r="M7" s="17">
        <f>MAX(0,M5-M6)*'Loss Curves'!M6</f>
        <v/>
      </c>
      <c r="N7" s="17">
        <f>MAX(0,N5-N6)*'Loss Curves'!N6</f>
        <v/>
      </c>
      <c r="O7" s="17">
        <f>MAX(0,O5-O6)*'Loss Curves'!O6</f>
        <v/>
      </c>
      <c r="P7" s="17">
        <f>MAX(0,P5-P6)*'Loss Curves'!P6</f>
        <v/>
      </c>
      <c r="Q7" s="17">
        <f>MAX(0,Q5-Q6)*'Loss Curves'!Q6</f>
        <v/>
      </c>
      <c r="R7" s="17">
        <f>MAX(0,R5-R6)*'Loss Curves'!R6</f>
        <v/>
      </c>
      <c r="S7" s="17">
        <f>MAX(0,S5-S6)*'Loss Curves'!S6</f>
        <v/>
      </c>
      <c r="T7" s="17">
        <f>MAX(0,T5-T6)*'Loss Curves'!T6</f>
        <v/>
      </c>
      <c r="U7" s="17">
        <f>MAX(0,U5-U6)*'Loss Curves'!U6</f>
        <v/>
      </c>
      <c r="V7" s="17">
        <f>MAX(0,V5-V6)*'Loss Curves'!V6</f>
        <v/>
      </c>
      <c r="W7" s="17">
        <f>MAX(0,W5-W6)*'Loss Curves'!W6</f>
        <v/>
      </c>
      <c r="X7" s="17">
        <f>MAX(0,X5-X6)*'Loss Curves'!X6</f>
        <v/>
      </c>
      <c r="Y7" s="17">
        <f>MAX(0,Y5-Y6)*'Loss Curves'!Y6</f>
        <v/>
      </c>
      <c r="Z7" s="17">
        <f>MAX(0,Z5-Z6)*'Loss Curves'!Z6</f>
        <v/>
      </c>
    </row>
    <row r="8">
      <c r="B8" t="inlineStr">
        <is>
          <t>Recoveries</t>
        </is>
      </c>
      <c r="C8" s="17" t="n">
        <v>0</v>
      </c>
      <c r="D8" s="17" t="n">
        <v>0</v>
      </c>
      <c r="E8" s="17" t="n">
        <v>0</v>
      </c>
      <c r="F8" s="17">
        <f>C7*Assumptions!$E$9</f>
        <v/>
      </c>
      <c r="G8" s="17">
        <f>D7*Assumptions!$E$9</f>
        <v/>
      </c>
      <c r="H8" s="17">
        <f>E7*Assumptions!$E$9</f>
        <v/>
      </c>
      <c r="I8" s="17">
        <f>F7*Assumptions!$E$9</f>
        <v/>
      </c>
      <c r="J8" s="17">
        <f>G7*Assumptions!$E$9</f>
        <v/>
      </c>
      <c r="K8" s="17">
        <f>H7*Assumptions!$E$9</f>
        <v/>
      </c>
      <c r="L8" s="17">
        <f>I7*Assumptions!$E$9</f>
        <v/>
      </c>
      <c r="M8" s="17">
        <f>J7*Assumptions!$E$9</f>
        <v/>
      </c>
      <c r="N8" s="17">
        <f>K7*Assumptions!$E$9</f>
        <v/>
      </c>
      <c r="O8" s="17">
        <f>L7*Assumptions!$E$9</f>
        <v/>
      </c>
      <c r="P8" s="17">
        <f>M7*Assumptions!$E$9</f>
        <v/>
      </c>
      <c r="Q8" s="17">
        <f>N7*Assumptions!$E$9</f>
        <v/>
      </c>
      <c r="R8" s="17">
        <f>O7*Assumptions!$E$9</f>
        <v/>
      </c>
      <c r="S8" s="17">
        <f>P7*Assumptions!$E$9</f>
        <v/>
      </c>
      <c r="T8" s="17">
        <f>Q7*Assumptions!$E$9</f>
        <v/>
      </c>
      <c r="U8" s="17">
        <f>R7*Assumptions!$E$9</f>
        <v/>
      </c>
      <c r="V8" s="17">
        <f>S7*Assumptions!$E$9</f>
        <v/>
      </c>
      <c r="W8" s="17">
        <f>T7*Assumptions!$E$9</f>
        <v/>
      </c>
      <c r="X8" s="17">
        <f>U7*Assumptions!$E$9</f>
        <v/>
      </c>
      <c r="Y8" s="17">
        <f>V7*Assumptions!$E$9</f>
        <v/>
      </c>
      <c r="Z8" s="17">
        <f>W7*Assumptions!$E$9</f>
        <v/>
      </c>
    </row>
    <row r="9">
      <c r="B9" t="inlineStr">
        <is>
          <t>Prepayments</t>
        </is>
      </c>
      <c r="C9" s="17">
        <f>MAX(0,C5-C6-C7)*'Loss Curves'!C5</f>
        <v/>
      </c>
      <c r="D9" s="17">
        <f>MAX(0,D5-D6-D7)*'Loss Curves'!D5</f>
        <v/>
      </c>
      <c r="E9" s="17">
        <f>MAX(0,E5-E6-E7)*'Loss Curves'!E5</f>
        <v/>
      </c>
      <c r="F9" s="17">
        <f>MAX(0,F5-F6-F7)*'Loss Curves'!F5</f>
        <v/>
      </c>
      <c r="G9" s="17">
        <f>MAX(0,G5-G6-G7)*'Loss Curves'!G5</f>
        <v/>
      </c>
      <c r="H9" s="17">
        <f>MAX(0,H5-H6-H7)*'Loss Curves'!H5</f>
        <v/>
      </c>
      <c r="I9" s="17">
        <f>MAX(0,I5-I6-I7)*'Loss Curves'!I5</f>
        <v/>
      </c>
      <c r="J9" s="17">
        <f>MAX(0,J5-J6-J7)*'Loss Curves'!J5</f>
        <v/>
      </c>
      <c r="K9" s="17">
        <f>MAX(0,K5-K6-K7)*'Loss Curves'!K5</f>
        <v/>
      </c>
      <c r="L9" s="17">
        <f>MAX(0,L5-L6-L7)*'Loss Curves'!L5</f>
        <v/>
      </c>
      <c r="M9" s="17">
        <f>MAX(0,M5-M6-M7)*'Loss Curves'!M5</f>
        <v/>
      </c>
      <c r="N9" s="17">
        <f>MAX(0,N5-N6-N7)*'Loss Curves'!N5</f>
        <v/>
      </c>
      <c r="O9" s="17">
        <f>MAX(0,O5-O6-O7)*'Loss Curves'!O5</f>
        <v/>
      </c>
      <c r="P9" s="17">
        <f>MAX(0,P5-P6-P7)*'Loss Curves'!P5</f>
        <v/>
      </c>
      <c r="Q9" s="17">
        <f>MAX(0,Q5-Q6-Q7)*'Loss Curves'!Q5</f>
        <v/>
      </c>
      <c r="R9" s="17">
        <f>MAX(0,R5-R6-R7)*'Loss Curves'!R5</f>
        <v/>
      </c>
      <c r="S9" s="17">
        <f>MAX(0,S5-S6-S7)*'Loss Curves'!S5</f>
        <v/>
      </c>
      <c r="T9" s="17">
        <f>MAX(0,T5-T6-T7)*'Loss Curves'!T5</f>
        <v/>
      </c>
      <c r="U9" s="17">
        <f>MAX(0,U5-U6-U7)*'Loss Curves'!U5</f>
        <v/>
      </c>
      <c r="V9" s="17">
        <f>MAX(0,V5-V6-V7)*'Loss Curves'!V5</f>
        <v/>
      </c>
      <c r="W9" s="17">
        <f>MAX(0,W5-W6-W7)*'Loss Curves'!W5</f>
        <v/>
      </c>
      <c r="X9" s="17">
        <f>MAX(0,X5-X6-X7)*'Loss Curves'!X5</f>
        <v/>
      </c>
      <c r="Y9" s="17">
        <f>MAX(0,Y5-Y6-Y7)*'Loss Curves'!Y5</f>
        <v/>
      </c>
      <c r="Z9" s="17">
        <f>MAX(0,Z5-Z6-Z7)*'Loss Curves'!Z5</f>
        <v/>
      </c>
    </row>
    <row r="10">
      <c r="B10" t="inlineStr">
        <is>
          <t>Interest collections</t>
        </is>
      </c>
      <c r="C10" s="17">
        <f>C5*Assumptions!$E$6/Assumptions!$E$20</f>
        <v/>
      </c>
      <c r="D10" s="17">
        <f>D5*Assumptions!$E$6/Assumptions!$E$20</f>
        <v/>
      </c>
      <c r="E10" s="17">
        <f>E5*Assumptions!$E$6/Assumptions!$E$20</f>
        <v/>
      </c>
      <c r="F10" s="17">
        <f>F5*Assumptions!$E$6/Assumptions!$E$20</f>
        <v/>
      </c>
      <c r="G10" s="17">
        <f>G5*Assumptions!$E$6/Assumptions!$E$20</f>
        <v/>
      </c>
      <c r="H10" s="17">
        <f>H5*Assumptions!$E$6/Assumptions!$E$20</f>
        <v/>
      </c>
      <c r="I10" s="17">
        <f>I5*Assumptions!$E$6/Assumptions!$E$20</f>
        <v/>
      </c>
      <c r="J10" s="17">
        <f>J5*Assumptions!$E$6/Assumptions!$E$20</f>
        <v/>
      </c>
      <c r="K10" s="17">
        <f>K5*Assumptions!$E$6/Assumptions!$E$20</f>
        <v/>
      </c>
      <c r="L10" s="17">
        <f>L5*Assumptions!$E$6/Assumptions!$E$20</f>
        <v/>
      </c>
      <c r="M10" s="17">
        <f>M5*Assumptions!$E$6/Assumptions!$E$20</f>
        <v/>
      </c>
      <c r="N10" s="17">
        <f>N5*Assumptions!$E$6/Assumptions!$E$20</f>
        <v/>
      </c>
      <c r="O10" s="17">
        <f>O5*Assumptions!$E$6/Assumptions!$E$20</f>
        <v/>
      </c>
      <c r="P10" s="17">
        <f>P5*Assumptions!$E$6/Assumptions!$E$20</f>
        <v/>
      </c>
      <c r="Q10" s="17">
        <f>Q5*Assumptions!$E$6/Assumptions!$E$20</f>
        <v/>
      </c>
      <c r="R10" s="17">
        <f>R5*Assumptions!$E$6/Assumptions!$E$20</f>
        <v/>
      </c>
      <c r="S10" s="17">
        <f>S5*Assumptions!$E$6/Assumptions!$E$20</f>
        <v/>
      </c>
      <c r="T10" s="17">
        <f>T5*Assumptions!$E$6/Assumptions!$E$20</f>
        <v/>
      </c>
      <c r="U10" s="17">
        <f>U5*Assumptions!$E$6/Assumptions!$E$20</f>
        <v/>
      </c>
      <c r="V10" s="17">
        <f>V5*Assumptions!$E$6/Assumptions!$E$20</f>
        <v/>
      </c>
      <c r="W10" s="17">
        <f>W5*Assumptions!$E$6/Assumptions!$E$20</f>
        <v/>
      </c>
      <c r="X10" s="17">
        <f>X5*Assumptions!$E$6/Assumptions!$E$20</f>
        <v/>
      </c>
      <c r="Y10" s="17">
        <f>Y5*Assumptions!$E$6/Assumptions!$E$20</f>
        <v/>
      </c>
      <c r="Z10" s="17">
        <f>Z5*Assumptions!$E$6/Assumptions!$E$20</f>
        <v/>
      </c>
    </row>
    <row r="11">
      <c r="B11" t="inlineStr">
        <is>
          <t>Servicing / senior fees</t>
        </is>
      </c>
      <c r="C11" s="17">
        <f>C5*Assumptions!$E$11/Assumptions!$E$20</f>
        <v/>
      </c>
      <c r="D11" s="17">
        <f>D5*Assumptions!$E$11/Assumptions!$E$20</f>
        <v/>
      </c>
      <c r="E11" s="17">
        <f>E5*Assumptions!$E$11/Assumptions!$E$20</f>
        <v/>
      </c>
      <c r="F11" s="17">
        <f>F5*Assumptions!$E$11/Assumptions!$E$20</f>
        <v/>
      </c>
      <c r="G11" s="17">
        <f>G5*Assumptions!$E$11/Assumptions!$E$20</f>
        <v/>
      </c>
      <c r="H11" s="17">
        <f>H5*Assumptions!$E$11/Assumptions!$E$20</f>
        <v/>
      </c>
      <c r="I11" s="17">
        <f>I5*Assumptions!$E$11/Assumptions!$E$20</f>
        <v/>
      </c>
      <c r="J11" s="17">
        <f>J5*Assumptions!$E$11/Assumptions!$E$20</f>
        <v/>
      </c>
      <c r="K11" s="17">
        <f>K5*Assumptions!$E$11/Assumptions!$E$20</f>
        <v/>
      </c>
      <c r="L11" s="17">
        <f>L5*Assumptions!$E$11/Assumptions!$E$20</f>
        <v/>
      </c>
      <c r="M11" s="17">
        <f>M5*Assumptions!$E$11/Assumptions!$E$20</f>
        <v/>
      </c>
      <c r="N11" s="17">
        <f>N5*Assumptions!$E$11/Assumptions!$E$20</f>
        <v/>
      </c>
      <c r="O11" s="17">
        <f>O5*Assumptions!$E$11/Assumptions!$E$20</f>
        <v/>
      </c>
      <c r="P11" s="17">
        <f>P5*Assumptions!$E$11/Assumptions!$E$20</f>
        <v/>
      </c>
      <c r="Q11" s="17">
        <f>Q5*Assumptions!$E$11/Assumptions!$E$20</f>
        <v/>
      </c>
      <c r="R11" s="17">
        <f>R5*Assumptions!$E$11/Assumptions!$E$20</f>
        <v/>
      </c>
      <c r="S11" s="17">
        <f>S5*Assumptions!$E$11/Assumptions!$E$20</f>
        <v/>
      </c>
      <c r="T11" s="17">
        <f>T5*Assumptions!$E$11/Assumptions!$E$20</f>
        <v/>
      </c>
      <c r="U11" s="17">
        <f>U5*Assumptions!$E$11/Assumptions!$E$20</f>
        <v/>
      </c>
      <c r="V11" s="17">
        <f>V5*Assumptions!$E$11/Assumptions!$E$20</f>
        <v/>
      </c>
      <c r="W11" s="17">
        <f>W5*Assumptions!$E$11/Assumptions!$E$20</f>
        <v/>
      </c>
      <c r="X11" s="17">
        <f>X5*Assumptions!$E$11/Assumptions!$E$20</f>
        <v/>
      </c>
      <c r="Y11" s="17">
        <f>Y5*Assumptions!$E$11/Assumptions!$E$20</f>
        <v/>
      </c>
      <c r="Z11" s="17">
        <f>Z5*Assumptions!$E$11/Assumptions!$E$20</f>
        <v/>
      </c>
    </row>
    <row r="12">
      <c r="B12" s="18" t="inlineStr">
        <is>
          <t>Net interest collections</t>
        </is>
      </c>
      <c r="C12" s="19">
        <f>MAX(0,C10-C11)</f>
        <v/>
      </c>
      <c r="D12" s="19">
        <f>MAX(0,D10-D11)</f>
        <v/>
      </c>
      <c r="E12" s="19">
        <f>MAX(0,E10-E11)</f>
        <v/>
      </c>
      <c r="F12" s="19">
        <f>MAX(0,F10-F11)</f>
        <v/>
      </c>
      <c r="G12" s="19">
        <f>MAX(0,G10-G11)</f>
        <v/>
      </c>
      <c r="H12" s="19">
        <f>MAX(0,H10-H11)</f>
        <v/>
      </c>
      <c r="I12" s="19">
        <f>MAX(0,I10-I11)</f>
        <v/>
      </c>
      <c r="J12" s="19">
        <f>MAX(0,J10-J11)</f>
        <v/>
      </c>
      <c r="K12" s="19">
        <f>MAX(0,K10-K11)</f>
        <v/>
      </c>
      <c r="L12" s="19">
        <f>MAX(0,L10-L11)</f>
        <v/>
      </c>
      <c r="M12" s="19">
        <f>MAX(0,M10-M11)</f>
        <v/>
      </c>
      <c r="N12" s="19">
        <f>MAX(0,N10-N11)</f>
        <v/>
      </c>
      <c r="O12" s="19">
        <f>MAX(0,O10-O11)</f>
        <v/>
      </c>
      <c r="P12" s="19">
        <f>MAX(0,P10-P11)</f>
        <v/>
      </c>
      <c r="Q12" s="19">
        <f>MAX(0,Q10-Q11)</f>
        <v/>
      </c>
      <c r="R12" s="19">
        <f>MAX(0,R10-R11)</f>
        <v/>
      </c>
      <c r="S12" s="19">
        <f>MAX(0,S10-S11)</f>
        <v/>
      </c>
      <c r="T12" s="19">
        <f>MAX(0,T10-T11)</f>
        <v/>
      </c>
      <c r="U12" s="19">
        <f>MAX(0,U10-U11)</f>
        <v/>
      </c>
      <c r="V12" s="19">
        <f>MAX(0,V10-V11)</f>
        <v/>
      </c>
      <c r="W12" s="19">
        <f>MAX(0,W10-W11)</f>
        <v/>
      </c>
      <c r="X12" s="19">
        <f>MAX(0,X10-X11)</f>
        <v/>
      </c>
      <c r="Y12" s="19">
        <f>MAX(0,Y10-Y11)</f>
        <v/>
      </c>
      <c r="Z12" s="19">
        <f>MAX(0,Z10-Z11)</f>
        <v/>
      </c>
    </row>
    <row r="13">
      <c r="B13" s="18" t="inlineStr">
        <is>
          <t>Principal collections</t>
        </is>
      </c>
      <c r="C13" s="19">
        <f>C6+C8+C9</f>
        <v/>
      </c>
      <c r="D13" s="19">
        <f>D6+D8+D9</f>
        <v/>
      </c>
      <c r="E13" s="19">
        <f>E6+E8+E9</f>
        <v/>
      </c>
      <c r="F13" s="19">
        <f>F6+F8+F9</f>
        <v/>
      </c>
      <c r="G13" s="19">
        <f>G6+G8+G9</f>
        <v/>
      </c>
      <c r="H13" s="19">
        <f>H6+H8+H9</f>
        <v/>
      </c>
      <c r="I13" s="19">
        <f>I6+I8+I9</f>
        <v/>
      </c>
      <c r="J13" s="19">
        <f>J6+J8+J9</f>
        <v/>
      </c>
      <c r="K13" s="19">
        <f>K6+K8+K9</f>
        <v/>
      </c>
      <c r="L13" s="19">
        <f>L6+L8+L9</f>
        <v/>
      </c>
      <c r="M13" s="19">
        <f>M6+M8+M9</f>
        <v/>
      </c>
      <c r="N13" s="19">
        <f>N6+N8+N9</f>
        <v/>
      </c>
      <c r="O13" s="19">
        <f>O6+O8+O9</f>
        <v/>
      </c>
      <c r="P13" s="19">
        <f>P6+P8+P9</f>
        <v/>
      </c>
      <c r="Q13" s="19">
        <f>Q6+Q8+Q9</f>
        <v/>
      </c>
      <c r="R13" s="19">
        <f>R6+R8+R9</f>
        <v/>
      </c>
      <c r="S13" s="19">
        <f>S6+S8+S9</f>
        <v/>
      </c>
      <c r="T13" s="19">
        <f>T6+T8+T9</f>
        <v/>
      </c>
      <c r="U13" s="19">
        <f>U6+U8+U9</f>
        <v/>
      </c>
      <c r="V13" s="19">
        <f>V6+V8+V9</f>
        <v/>
      </c>
      <c r="W13" s="19">
        <f>W6+W8+W9</f>
        <v/>
      </c>
      <c r="X13" s="19">
        <f>X6+X8+X9</f>
        <v/>
      </c>
      <c r="Y13" s="19">
        <f>Y6+Y8+Y9</f>
        <v/>
      </c>
      <c r="Z13" s="19">
        <f>Z6+Z8+Z9</f>
        <v/>
      </c>
    </row>
    <row r="14">
      <c r="B14" s="18" t="inlineStr">
        <is>
          <t>Ending collateral</t>
        </is>
      </c>
      <c r="C14" s="19">
        <f>MAX(0,C5-C6-C7-C9)</f>
        <v/>
      </c>
      <c r="D14" s="19">
        <f>MAX(0,D5-D6-D7-D9)</f>
        <v/>
      </c>
      <c r="E14" s="19">
        <f>MAX(0,E5-E6-E7-E9)</f>
        <v/>
      </c>
      <c r="F14" s="19">
        <f>MAX(0,F5-F6-F7-F9)</f>
        <v/>
      </c>
      <c r="G14" s="19">
        <f>MAX(0,G5-G6-G7-G9)</f>
        <v/>
      </c>
      <c r="H14" s="19">
        <f>MAX(0,H5-H6-H7-H9)</f>
        <v/>
      </c>
      <c r="I14" s="19">
        <f>MAX(0,I5-I6-I7-I9)</f>
        <v/>
      </c>
      <c r="J14" s="19">
        <f>MAX(0,J5-J6-J7-J9)</f>
        <v/>
      </c>
      <c r="K14" s="19">
        <f>MAX(0,K5-K6-K7-K9)</f>
        <v/>
      </c>
      <c r="L14" s="19">
        <f>MAX(0,L5-L6-L7-L9)</f>
        <v/>
      </c>
      <c r="M14" s="19">
        <f>MAX(0,M5-M6-M7-M9)</f>
        <v/>
      </c>
      <c r="N14" s="19">
        <f>MAX(0,N5-N6-N7-N9)</f>
        <v/>
      </c>
      <c r="O14" s="19">
        <f>MAX(0,O5-O6-O7-O9)</f>
        <v/>
      </c>
      <c r="P14" s="19">
        <f>MAX(0,P5-P6-P7-P9)</f>
        <v/>
      </c>
      <c r="Q14" s="19">
        <f>MAX(0,Q5-Q6-Q7-Q9)</f>
        <v/>
      </c>
      <c r="R14" s="19">
        <f>MAX(0,R5-R6-R7-R9)</f>
        <v/>
      </c>
      <c r="S14" s="19">
        <f>MAX(0,S5-S6-S7-S9)</f>
        <v/>
      </c>
      <c r="T14" s="19">
        <f>MAX(0,T5-T6-T7-T9)</f>
        <v/>
      </c>
      <c r="U14" s="19">
        <f>MAX(0,U5-U6-U7-U9)</f>
        <v/>
      </c>
      <c r="V14" s="19">
        <f>MAX(0,V5-V6-V7-V9)</f>
        <v/>
      </c>
      <c r="W14" s="19">
        <f>MAX(0,W5-W6-W7-W9)</f>
        <v/>
      </c>
      <c r="X14" s="19">
        <f>MAX(0,X5-X6-X7-X9)</f>
        <v/>
      </c>
      <c r="Y14" s="19">
        <f>MAX(0,Y5-Y6-Y7-Y9)</f>
        <v/>
      </c>
      <c r="Z14" s="19">
        <f>MAX(0,Z5-Z6-Z7-Z9)</f>
        <v/>
      </c>
    </row>
  </sheetData>
  <mergeCells count="1">
    <mergeCell ref="B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Z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2" ht="28" customHeight="1">
      <c r="B2" s="1" t="inlineStr">
        <is>
          <t>Monthly Prepayment, Default, and Recovery Curves</t>
        </is>
      </c>
    </row>
    <row r="4">
      <c r="B4" s="8" t="inlineStr">
        <is>
          <t>Rate</t>
        </is>
      </c>
      <c r="C4" s="8" t="inlineStr">
        <is>
          <t>M1</t>
        </is>
      </c>
      <c r="D4" s="8" t="inlineStr">
        <is>
          <t>M2</t>
        </is>
      </c>
      <c r="E4" s="8" t="inlineStr">
        <is>
          <t>M3</t>
        </is>
      </c>
      <c r="F4" s="8" t="inlineStr">
        <is>
          <t>M4</t>
        </is>
      </c>
      <c r="G4" s="8" t="inlineStr">
        <is>
          <t>M5</t>
        </is>
      </c>
      <c r="H4" s="8" t="inlineStr">
        <is>
          <t>M6</t>
        </is>
      </c>
      <c r="I4" s="8" t="inlineStr">
        <is>
          <t>M7</t>
        </is>
      </c>
      <c r="J4" s="8" t="inlineStr">
        <is>
          <t>M8</t>
        </is>
      </c>
      <c r="K4" s="8" t="inlineStr">
        <is>
          <t>M9</t>
        </is>
      </c>
      <c r="L4" s="8" t="inlineStr">
        <is>
          <t>M10</t>
        </is>
      </c>
      <c r="M4" s="8" t="inlineStr">
        <is>
          <t>M11</t>
        </is>
      </c>
      <c r="N4" s="8" t="inlineStr">
        <is>
          <t>M12</t>
        </is>
      </c>
      <c r="O4" s="8" t="inlineStr">
        <is>
          <t>M13</t>
        </is>
      </c>
      <c r="P4" s="8" t="inlineStr">
        <is>
          <t>M14</t>
        </is>
      </c>
      <c r="Q4" s="8" t="inlineStr">
        <is>
          <t>M15</t>
        </is>
      </c>
      <c r="R4" s="8" t="inlineStr">
        <is>
          <t>M16</t>
        </is>
      </c>
      <c r="S4" s="8" t="inlineStr">
        <is>
          <t>M17</t>
        </is>
      </c>
      <c r="T4" s="8" t="inlineStr">
        <is>
          <t>M18</t>
        </is>
      </c>
      <c r="U4" s="8" t="inlineStr">
        <is>
          <t>M19</t>
        </is>
      </c>
      <c r="V4" s="8" t="inlineStr">
        <is>
          <t>M20</t>
        </is>
      </c>
      <c r="W4" s="8" t="inlineStr">
        <is>
          <t>M21</t>
        </is>
      </c>
      <c r="X4" s="8" t="inlineStr">
        <is>
          <t>M22</t>
        </is>
      </c>
      <c r="Y4" s="8" t="inlineStr">
        <is>
          <t>M23</t>
        </is>
      </c>
      <c r="Z4" s="8" t="inlineStr">
        <is>
          <t>M24</t>
        </is>
      </c>
    </row>
    <row r="5">
      <c r="B5" t="inlineStr">
        <is>
          <t>SMM</t>
        </is>
      </c>
      <c r="C5" s="20">
        <f>1-(1-Assumptions!$E$7)^(1/Assumptions!$E$20)</f>
        <v/>
      </c>
      <c r="D5" s="20">
        <f>1-(1-Assumptions!$E$7)^(1/Assumptions!$E$20)</f>
        <v/>
      </c>
      <c r="E5" s="20">
        <f>1-(1-Assumptions!$E$7)^(1/Assumptions!$E$20)</f>
        <v/>
      </c>
      <c r="F5" s="20">
        <f>1-(1-Assumptions!$E$7)^(1/Assumptions!$E$20)</f>
        <v/>
      </c>
      <c r="G5" s="20">
        <f>1-(1-Assumptions!$E$7)^(1/Assumptions!$E$20)</f>
        <v/>
      </c>
      <c r="H5" s="20">
        <f>1-(1-Assumptions!$E$7)^(1/Assumptions!$E$20)</f>
        <v/>
      </c>
      <c r="I5" s="20">
        <f>1-(1-Assumptions!$E$7)^(1/Assumptions!$E$20)</f>
        <v/>
      </c>
      <c r="J5" s="20">
        <f>1-(1-Assumptions!$E$7)^(1/Assumptions!$E$20)</f>
        <v/>
      </c>
      <c r="K5" s="20">
        <f>1-(1-Assumptions!$E$7)^(1/Assumptions!$E$20)</f>
        <v/>
      </c>
      <c r="L5" s="20">
        <f>1-(1-Assumptions!$E$7)^(1/Assumptions!$E$20)</f>
        <v/>
      </c>
      <c r="M5" s="20">
        <f>1-(1-Assumptions!$E$7)^(1/Assumptions!$E$20)</f>
        <v/>
      </c>
      <c r="N5" s="20">
        <f>1-(1-Assumptions!$E$7)^(1/Assumptions!$E$20)</f>
        <v/>
      </c>
      <c r="O5" s="20">
        <f>1-(1-Assumptions!$E$7)^(1/Assumptions!$E$20)</f>
        <v/>
      </c>
      <c r="P5" s="20">
        <f>1-(1-Assumptions!$E$7)^(1/Assumptions!$E$20)</f>
        <v/>
      </c>
      <c r="Q5" s="20">
        <f>1-(1-Assumptions!$E$7)^(1/Assumptions!$E$20)</f>
        <v/>
      </c>
      <c r="R5" s="20">
        <f>1-(1-Assumptions!$E$7)^(1/Assumptions!$E$20)</f>
        <v/>
      </c>
      <c r="S5" s="20">
        <f>1-(1-Assumptions!$E$7)^(1/Assumptions!$E$20)</f>
        <v/>
      </c>
      <c r="T5" s="20">
        <f>1-(1-Assumptions!$E$7)^(1/Assumptions!$E$20)</f>
        <v/>
      </c>
      <c r="U5" s="20">
        <f>1-(1-Assumptions!$E$7)^(1/Assumptions!$E$20)</f>
        <v/>
      </c>
      <c r="V5" s="20">
        <f>1-(1-Assumptions!$E$7)^(1/Assumptions!$E$20)</f>
        <v/>
      </c>
      <c r="W5" s="20">
        <f>1-(1-Assumptions!$E$7)^(1/Assumptions!$E$20)</f>
        <v/>
      </c>
      <c r="X5" s="20">
        <f>1-(1-Assumptions!$E$7)^(1/Assumptions!$E$20)</f>
        <v/>
      </c>
      <c r="Y5" s="20">
        <f>1-(1-Assumptions!$E$7)^(1/Assumptions!$E$20)</f>
        <v/>
      </c>
      <c r="Z5" s="20">
        <f>1-(1-Assumptions!$E$7)^(1/Assumptions!$E$20)</f>
        <v/>
      </c>
    </row>
    <row r="6">
      <c r="B6" t="inlineStr">
        <is>
          <t>MDR</t>
        </is>
      </c>
      <c r="C6" s="20">
        <f>1-(1-Assumptions!$E$8)^(1/Assumptions!$E$20)</f>
        <v/>
      </c>
      <c r="D6" s="20">
        <f>1-(1-Assumptions!$E$8)^(1/Assumptions!$E$20)</f>
        <v/>
      </c>
      <c r="E6" s="20">
        <f>1-(1-Assumptions!$E$8)^(1/Assumptions!$E$20)</f>
        <v/>
      </c>
      <c r="F6" s="20">
        <f>1-(1-Assumptions!$E$8)^(1/Assumptions!$E$20)</f>
        <v/>
      </c>
      <c r="G6" s="20">
        <f>1-(1-Assumptions!$E$8)^(1/Assumptions!$E$20)</f>
        <v/>
      </c>
      <c r="H6" s="20">
        <f>1-(1-Assumptions!$E$8)^(1/Assumptions!$E$20)</f>
        <v/>
      </c>
      <c r="I6" s="20">
        <f>1-(1-Assumptions!$E$8)^(1/Assumptions!$E$20)</f>
        <v/>
      </c>
      <c r="J6" s="20">
        <f>1-(1-Assumptions!$E$8)^(1/Assumptions!$E$20)</f>
        <v/>
      </c>
      <c r="K6" s="20">
        <f>1-(1-Assumptions!$E$8)^(1/Assumptions!$E$20)</f>
        <v/>
      </c>
      <c r="L6" s="20">
        <f>1-(1-Assumptions!$E$8)^(1/Assumptions!$E$20)</f>
        <v/>
      </c>
      <c r="M6" s="20">
        <f>1-(1-Assumptions!$E$8)^(1/Assumptions!$E$20)</f>
        <v/>
      </c>
      <c r="N6" s="20">
        <f>1-(1-Assumptions!$E$8)^(1/Assumptions!$E$20)</f>
        <v/>
      </c>
      <c r="O6" s="20">
        <f>1-(1-Assumptions!$E$8)^(1/Assumptions!$E$20)</f>
        <v/>
      </c>
      <c r="P6" s="20">
        <f>1-(1-Assumptions!$E$8)^(1/Assumptions!$E$20)</f>
        <v/>
      </c>
      <c r="Q6" s="20">
        <f>1-(1-Assumptions!$E$8)^(1/Assumptions!$E$20)</f>
        <v/>
      </c>
      <c r="R6" s="20">
        <f>1-(1-Assumptions!$E$8)^(1/Assumptions!$E$20)</f>
        <v/>
      </c>
      <c r="S6" s="20">
        <f>1-(1-Assumptions!$E$8)^(1/Assumptions!$E$20)</f>
        <v/>
      </c>
      <c r="T6" s="20">
        <f>1-(1-Assumptions!$E$8)^(1/Assumptions!$E$20)</f>
        <v/>
      </c>
      <c r="U6" s="20">
        <f>1-(1-Assumptions!$E$8)^(1/Assumptions!$E$20)</f>
        <v/>
      </c>
      <c r="V6" s="20">
        <f>1-(1-Assumptions!$E$8)^(1/Assumptions!$E$20)</f>
        <v/>
      </c>
      <c r="W6" s="20">
        <f>1-(1-Assumptions!$E$8)^(1/Assumptions!$E$20)</f>
        <v/>
      </c>
      <c r="X6" s="20">
        <f>1-(1-Assumptions!$E$8)^(1/Assumptions!$E$20)</f>
        <v/>
      </c>
      <c r="Y6" s="20">
        <f>1-(1-Assumptions!$E$8)^(1/Assumptions!$E$20)</f>
        <v/>
      </c>
      <c r="Z6" s="20">
        <f>1-(1-Assumptions!$E$8)^(1/Assumptions!$E$20)</f>
        <v/>
      </c>
    </row>
    <row r="7">
      <c r="B7" t="inlineStr">
        <is>
          <t>Recovery rate</t>
        </is>
      </c>
      <c r="C7" s="20">
        <f>Assumptions!$E$9</f>
        <v/>
      </c>
      <c r="D7" s="20">
        <f>Assumptions!$E$9</f>
        <v/>
      </c>
      <c r="E7" s="20">
        <f>Assumptions!$E$9</f>
        <v/>
      </c>
      <c r="F7" s="20">
        <f>Assumptions!$E$9</f>
        <v/>
      </c>
      <c r="G7" s="20">
        <f>Assumptions!$E$9</f>
        <v/>
      </c>
      <c r="H7" s="20">
        <f>Assumptions!$E$9</f>
        <v/>
      </c>
      <c r="I7" s="20">
        <f>Assumptions!$E$9</f>
        <v/>
      </c>
      <c r="J7" s="20">
        <f>Assumptions!$E$9</f>
        <v/>
      </c>
      <c r="K7" s="20">
        <f>Assumptions!$E$9</f>
        <v/>
      </c>
      <c r="L7" s="20">
        <f>Assumptions!$E$9</f>
        <v/>
      </c>
      <c r="M7" s="20">
        <f>Assumptions!$E$9</f>
        <v/>
      </c>
      <c r="N7" s="20">
        <f>Assumptions!$E$9</f>
        <v/>
      </c>
      <c r="O7" s="20">
        <f>Assumptions!$E$9</f>
        <v/>
      </c>
      <c r="P7" s="20">
        <f>Assumptions!$E$9</f>
        <v/>
      </c>
      <c r="Q7" s="20">
        <f>Assumptions!$E$9</f>
        <v/>
      </c>
      <c r="R7" s="20">
        <f>Assumptions!$E$9</f>
        <v/>
      </c>
      <c r="S7" s="20">
        <f>Assumptions!$E$9</f>
        <v/>
      </c>
      <c r="T7" s="20">
        <f>Assumptions!$E$9</f>
        <v/>
      </c>
      <c r="U7" s="20">
        <f>Assumptions!$E$9</f>
        <v/>
      </c>
      <c r="V7" s="20">
        <f>Assumptions!$E$9</f>
        <v/>
      </c>
      <c r="W7" s="20">
        <f>Assumptions!$E$9</f>
        <v/>
      </c>
      <c r="X7" s="20">
        <f>Assumptions!$E$9</f>
        <v/>
      </c>
      <c r="Y7" s="20">
        <f>Assumptions!$E$9</f>
        <v/>
      </c>
      <c r="Z7" s="20">
        <f>Assumptions!$E$9</f>
        <v/>
      </c>
    </row>
    <row r="8">
      <c r="B8" t="inlineStr">
        <is>
          <t>Cumulative default rate</t>
        </is>
      </c>
      <c r="C8" s="20">
        <f>Collateral!C9/Assumptions!$E$5</f>
        <v/>
      </c>
      <c r="D8" s="20">
        <f>C8+Collateral!D9/Assumptions!$E$5</f>
        <v/>
      </c>
      <c r="E8" s="20">
        <f>D8+Collateral!E9/Assumptions!$E$5</f>
        <v/>
      </c>
      <c r="F8" s="20">
        <f>E8+Collateral!F9/Assumptions!$E$5</f>
        <v/>
      </c>
      <c r="G8" s="20">
        <f>F8+Collateral!G9/Assumptions!$E$5</f>
        <v/>
      </c>
      <c r="H8" s="20">
        <f>G8+Collateral!H9/Assumptions!$E$5</f>
        <v/>
      </c>
      <c r="I8" s="20">
        <f>H8+Collateral!I9/Assumptions!$E$5</f>
        <v/>
      </c>
      <c r="J8" s="20">
        <f>I8+Collateral!J9/Assumptions!$E$5</f>
        <v/>
      </c>
      <c r="K8" s="20">
        <f>J8+Collateral!K9/Assumptions!$E$5</f>
        <v/>
      </c>
      <c r="L8" s="20">
        <f>K8+Collateral!L9/Assumptions!$E$5</f>
        <v/>
      </c>
      <c r="M8" s="20">
        <f>L8+Collateral!M9/Assumptions!$E$5</f>
        <v/>
      </c>
      <c r="N8" s="20">
        <f>M8+Collateral!N9/Assumptions!$E$5</f>
        <v/>
      </c>
      <c r="O8" s="20">
        <f>N8+Collateral!O9/Assumptions!$E$5</f>
        <v/>
      </c>
      <c r="P8" s="20">
        <f>O8+Collateral!P9/Assumptions!$E$5</f>
        <v/>
      </c>
      <c r="Q8" s="20">
        <f>P8+Collateral!Q9/Assumptions!$E$5</f>
        <v/>
      </c>
      <c r="R8" s="20">
        <f>Q8+Collateral!R9/Assumptions!$E$5</f>
        <v/>
      </c>
      <c r="S8" s="20">
        <f>R8+Collateral!S9/Assumptions!$E$5</f>
        <v/>
      </c>
      <c r="T8" s="20">
        <f>S8+Collateral!T9/Assumptions!$E$5</f>
        <v/>
      </c>
      <c r="U8" s="20">
        <f>T8+Collateral!U9/Assumptions!$E$5</f>
        <v/>
      </c>
      <c r="V8" s="20">
        <f>U8+Collateral!V9/Assumptions!$E$5</f>
        <v/>
      </c>
      <c r="W8" s="20">
        <f>V8+Collateral!W9/Assumptions!$E$5</f>
        <v/>
      </c>
      <c r="X8" s="20">
        <f>W8+Collateral!X9/Assumptions!$E$5</f>
        <v/>
      </c>
      <c r="Y8" s="20">
        <f>X8+Collateral!Y9/Assumptions!$E$5</f>
        <v/>
      </c>
      <c r="Z8" s="20">
        <f>Y8+Collateral!Z9/Assumptions!$E$5</f>
        <v/>
      </c>
    </row>
    <row r="9">
      <c r="B9" t="inlineStr">
        <is>
          <t>Cumulative loss rate</t>
        </is>
      </c>
      <c r="C9" s="20">
        <f>Collateral!C9*(1-C7)/Assumptions!$E$5</f>
        <v/>
      </c>
      <c r="D9" s="20">
        <f>C9+Collateral!D9*(1-D7)/Assumptions!$E$5</f>
        <v/>
      </c>
      <c r="E9" s="20">
        <f>D9+Collateral!E9*(1-E7)/Assumptions!$E$5</f>
        <v/>
      </c>
      <c r="F9" s="20">
        <f>E9+Collateral!F9*(1-F7)/Assumptions!$E$5</f>
        <v/>
      </c>
      <c r="G9" s="20">
        <f>F9+Collateral!G9*(1-G7)/Assumptions!$E$5</f>
        <v/>
      </c>
      <c r="H9" s="20">
        <f>G9+Collateral!H9*(1-H7)/Assumptions!$E$5</f>
        <v/>
      </c>
      <c r="I9" s="20">
        <f>H9+Collateral!I9*(1-I7)/Assumptions!$E$5</f>
        <v/>
      </c>
      <c r="J9" s="20">
        <f>I9+Collateral!J9*(1-J7)/Assumptions!$E$5</f>
        <v/>
      </c>
      <c r="K9" s="20">
        <f>J9+Collateral!K9*(1-K7)/Assumptions!$E$5</f>
        <v/>
      </c>
      <c r="L9" s="20">
        <f>K9+Collateral!L9*(1-L7)/Assumptions!$E$5</f>
        <v/>
      </c>
      <c r="M9" s="20">
        <f>L9+Collateral!M9*(1-M7)/Assumptions!$E$5</f>
        <v/>
      </c>
      <c r="N9" s="20">
        <f>M9+Collateral!N9*(1-N7)/Assumptions!$E$5</f>
        <v/>
      </c>
      <c r="O9" s="20">
        <f>N9+Collateral!O9*(1-O7)/Assumptions!$E$5</f>
        <v/>
      </c>
      <c r="P9" s="20">
        <f>O9+Collateral!P9*(1-P7)/Assumptions!$E$5</f>
        <v/>
      </c>
      <c r="Q9" s="20">
        <f>P9+Collateral!Q9*(1-Q7)/Assumptions!$E$5</f>
        <v/>
      </c>
      <c r="R9" s="20">
        <f>Q9+Collateral!R9*(1-R7)/Assumptions!$E$5</f>
        <v/>
      </c>
      <c r="S9" s="20">
        <f>R9+Collateral!S9*(1-S7)/Assumptions!$E$5</f>
        <v/>
      </c>
      <c r="T9" s="20">
        <f>S9+Collateral!T9*(1-T7)/Assumptions!$E$5</f>
        <v/>
      </c>
      <c r="U9" s="20">
        <f>T9+Collateral!U9*(1-U7)/Assumptions!$E$5</f>
        <v/>
      </c>
      <c r="V9" s="20">
        <f>U9+Collateral!V9*(1-V7)/Assumptions!$E$5</f>
        <v/>
      </c>
      <c r="W9" s="20">
        <f>V9+Collateral!W9*(1-W7)/Assumptions!$E$5</f>
        <v/>
      </c>
      <c r="X9" s="20">
        <f>W9+Collateral!X9*(1-X7)/Assumptions!$E$5</f>
        <v/>
      </c>
      <c r="Y9" s="20">
        <f>X9+Collateral!Y9*(1-Y7)/Assumptions!$E$5</f>
        <v/>
      </c>
      <c r="Z9" s="20">
        <f>Y9+Collateral!Z9*(1-Z7)/Assumptions!$E$5</f>
        <v/>
      </c>
    </row>
  </sheetData>
  <mergeCells count="1">
    <mergeCell ref="B2:Z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Z1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2" ht="28" customHeight="1">
      <c r="B2" s="1" t="inlineStr">
        <is>
          <t>Monthly Priority of Payments</t>
        </is>
      </c>
    </row>
    <row r="4">
      <c r="B4" s="8" t="inlineStr">
        <is>
          <t>$mm</t>
        </is>
      </c>
      <c r="C4" s="8" t="inlineStr">
        <is>
          <t>M1</t>
        </is>
      </c>
      <c r="D4" s="8" t="inlineStr">
        <is>
          <t>M2</t>
        </is>
      </c>
      <c r="E4" s="8" t="inlineStr">
        <is>
          <t>M3</t>
        </is>
      </c>
      <c r="F4" s="8" t="inlineStr">
        <is>
          <t>M4</t>
        </is>
      </c>
      <c r="G4" s="8" t="inlineStr">
        <is>
          <t>M5</t>
        </is>
      </c>
      <c r="H4" s="8" t="inlineStr">
        <is>
          <t>M6</t>
        </is>
      </c>
      <c r="I4" s="8" t="inlineStr">
        <is>
          <t>M7</t>
        </is>
      </c>
      <c r="J4" s="8" t="inlineStr">
        <is>
          <t>M8</t>
        </is>
      </c>
      <c r="K4" s="8" t="inlineStr">
        <is>
          <t>M9</t>
        </is>
      </c>
      <c r="L4" s="8" t="inlineStr">
        <is>
          <t>M10</t>
        </is>
      </c>
      <c r="M4" s="8" t="inlineStr">
        <is>
          <t>M11</t>
        </is>
      </c>
      <c r="N4" s="8" t="inlineStr">
        <is>
          <t>M12</t>
        </is>
      </c>
      <c r="O4" s="8" t="inlineStr">
        <is>
          <t>M13</t>
        </is>
      </c>
      <c r="P4" s="8" t="inlineStr">
        <is>
          <t>M14</t>
        </is>
      </c>
      <c r="Q4" s="8" t="inlineStr">
        <is>
          <t>M15</t>
        </is>
      </c>
      <c r="R4" s="8" t="inlineStr">
        <is>
          <t>M16</t>
        </is>
      </c>
      <c r="S4" s="8" t="inlineStr">
        <is>
          <t>M17</t>
        </is>
      </c>
      <c r="T4" s="8" t="inlineStr">
        <is>
          <t>M18</t>
        </is>
      </c>
      <c r="U4" s="8" t="inlineStr">
        <is>
          <t>M19</t>
        </is>
      </c>
      <c r="V4" s="8" t="inlineStr">
        <is>
          <t>M20</t>
        </is>
      </c>
      <c r="W4" s="8" t="inlineStr">
        <is>
          <t>M21</t>
        </is>
      </c>
      <c r="X4" s="8" t="inlineStr">
        <is>
          <t>M22</t>
        </is>
      </c>
      <c r="Y4" s="8" t="inlineStr">
        <is>
          <t>M23</t>
        </is>
      </c>
      <c r="Z4" s="8" t="inlineStr">
        <is>
          <t>M24</t>
        </is>
      </c>
    </row>
    <row r="5">
      <c r="B5" t="inlineStr">
        <is>
          <t>Available interest</t>
        </is>
      </c>
      <c r="C5" s="17">
        <f>Collateral!C12+Collateral!C8</f>
        <v/>
      </c>
      <c r="D5" s="17">
        <f>Collateral!D12+Collateral!D8</f>
        <v/>
      </c>
      <c r="E5" s="17">
        <f>Collateral!E12+Collateral!E8</f>
        <v/>
      </c>
      <c r="F5" s="17">
        <f>Collateral!F12+Collateral!F8</f>
        <v/>
      </c>
      <c r="G5" s="17">
        <f>Collateral!G12+Collateral!G8</f>
        <v/>
      </c>
      <c r="H5" s="17">
        <f>Collateral!H12+Collateral!H8</f>
        <v/>
      </c>
      <c r="I5" s="17">
        <f>Collateral!I12+Collateral!I8</f>
        <v/>
      </c>
      <c r="J5" s="17">
        <f>Collateral!J12+Collateral!J8</f>
        <v/>
      </c>
      <c r="K5" s="17">
        <f>Collateral!K12+Collateral!K8</f>
        <v/>
      </c>
      <c r="L5" s="17">
        <f>Collateral!L12+Collateral!L8</f>
        <v/>
      </c>
      <c r="M5" s="17">
        <f>Collateral!M12+Collateral!M8</f>
        <v/>
      </c>
      <c r="N5" s="17">
        <f>Collateral!N12+Collateral!N8</f>
        <v/>
      </c>
      <c r="O5" s="17">
        <f>Collateral!O12+Collateral!O8</f>
        <v/>
      </c>
      <c r="P5" s="17">
        <f>Collateral!P12+Collateral!P8</f>
        <v/>
      </c>
      <c r="Q5" s="17">
        <f>Collateral!Q12+Collateral!Q8</f>
        <v/>
      </c>
      <c r="R5" s="17">
        <f>Collateral!R12+Collateral!R8</f>
        <v/>
      </c>
      <c r="S5" s="17">
        <f>Collateral!S12+Collateral!S8</f>
        <v/>
      </c>
      <c r="T5" s="17">
        <f>Collateral!T12+Collateral!T8</f>
        <v/>
      </c>
      <c r="U5" s="17">
        <f>Collateral!U12+Collateral!U8</f>
        <v/>
      </c>
      <c r="V5" s="17">
        <f>Collateral!V12+Collateral!V8</f>
        <v/>
      </c>
      <c r="W5" s="17">
        <f>Collateral!W12+Collateral!W8</f>
        <v/>
      </c>
      <c r="X5" s="17">
        <f>Collateral!X12+Collateral!X8</f>
        <v/>
      </c>
      <c r="Y5" s="17">
        <f>Collateral!Y12+Collateral!Y8</f>
        <v/>
      </c>
      <c r="Z5" s="17">
        <f>Collateral!Z12+Collateral!Z8</f>
        <v/>
      </c>
    </row>
    <row r="6">
      <c r="B6" t="inlineStr">
        <is>
          <t>Available principal</t>
        </is>
      </c>
      <c r="C6" s="17">
        <f>Collateral!C13</f>
        <v/>
      </c>
      <c r="D6" s="17">
        <f>Collateral!D13</f>
        <v/>
      </c>
      <c r="E6" s="17">
        <f>Collateral!E13</f>
        <v/>
      </c>
      <c r="F6" s="17">
        <f>Collateral!F13</f>
        <v/>
      </c>
      <c r="G6" s="17">
        <f>Collateral!G13</f>
        <v/>
      </c>
      <c r="H6" s="17">
        <f>Collateral!H13</f>
        <v/>
      </c>
      <c r="I6" s="17">
        <f>Collateral!I13</f>
        <v/>
      </c>
      <c r="J6" s="17">
        <f>Collateral!J13</f>
        <v/>
      </c>
      <c r="K6" s="17">
        <f>Collateral!K13</f>
        <v/>
      </c>
      <c r="L6" s="17">
        <f>Collateral!L13</f>
        <v/>
      </c>
      <c r="M6" s="17">
        <f>Collateral!M13</f>
        <v/>
      </c>
      <c r="N6" s="17">
        <f>Collateral!N13</f>
        <v/>
      </c>
      <c r="O6" s="17">
        <f>Collateral!O13</f>
        <v/>
      </c>
      <c r="P6" s="17">
        <f>Collateral!P13</f>
        <v/>
      </c>
      <c r="Q6" s="17">
        <f>Collateral!Q13</f>
        <v/>
      </c>
      <c r="R6" s="17">
        <f>Collateral!R13</f>
        <v/>
      </c>
      <c r="S6" s="17">
        <f>Collateral!S13</f>
        <v/>
      </c>
      <c r="T6" s="17">
        <f>Collateral!T13</f>
        <v/>
      </c>
      <c r="U6" s="17">
        <f>Collateral!U13</f>
        <v/>
      </c>
      <c r="V6" s="17">
        <f>Collateral!V13</f>
        <v/>
      </c>
      <c r="W6" s="17">
        <f>Collateral!W13</f>
        <v/>
      </c>
      <c r="X6" s="17">
        <f>Collateral!X13</f>
        <v/>
      </c>
      <c r="Y6" s="17">
        <f>Collateral!Y13</f>
        <v/>
      </c>
      <c r="Z6" s="17">
        <f>Collateral!Z13</f>
        <v/>
      </c>
    </row>
    <row r="7">
      <c r="B7" t="inlineStr">
        <is>
          <t>Senior beginning balance</t>
        </is>
      </c>
      <c r="C7" s="17">
        <f>Assumptions!E12</f>
        <v/>
      </c>
      <c r="D7" s="17">
        <f>C12</f>
        <v/>
      </c>
      <c r="E7" s="17">
        <f>D12</f>
        <v/>
      </c>
      <c r="F7" s="17">
        <f>E12</f>
        <v/>
      </c>
      <c r="G7" s="17">
        <f>F12</f>
        <v/>
      </c>
      <c r="H7" s="17">
        <f>G12</f>
        <v/>
      </c>
      <c r="I7" s="17">
        <f>H12</f>
        <v/>
      </c>
      <c r="J7" s="17">
        <f>I12</f>
        <v/>
      </c>
      <c r="K7" s="17">
        <f>J12</f>
        <v/>
      </c>
      <c r="L7" s="17">
        <f>K12</f>
        <v/>
      </c>
      <c r="M7" s="17">
        <f>L12</f>
        <v/>
      </c>
      <c r="N7" s="17">
        <f>M12</f>
        <v/>
      </c>
      <c r="O7" s="17">
        <f>N12</f>
        <v/>
      </c>
      <c r="P7" s="17">
        <f>O12</f>
        <v/>
      </c>
      <c r="Q7" s="17">
        <f>P12</f>
        <v/>
      </c>
      <c r="R7" s="17">
        <f>Q12</f>
        <v/>
      </c>
      <c r="S7" s="17">
        <f>R12</f>
        <v/>
      </c>
      <c r="T7" s="17">
        <f>S12</f>
        <v/>
      </c>
      <c r="U7" s="17">
        <f>T12</f>
        <v/>
      </c>
      <c r="V7" s="17">
        <f>U12</f>
        <v/>
      </c>
      <c r="W7" s="17">
        <f>V12</f>
        <v/>
      </c>
      <c r="X7" s="17">
        <f>W12</f>
        <v/>
      </c>
      <c r="Y7" s="17">
        <f>X12</f>
        <v/>
      </c>
      <c r="Z7" s="17">
        <f>Y12</f>
        <v/>
      </c>
    </row>
    <row r="8">
      <c r="B8" t="inlineStr">
        <is>
          <t>Senior interest due</t>
        </is>
      </c>
      <c r="C8" s="17">
        <f>C7*Assumptions!$E$13/Assumptions!$E$20+0</f>
        <v/>
      </c>
      <c r="D8" s="17">
        <f>D7*Assumptions!$E$13/Assumptions!$E$20+C10</f>
        <v/>
      </c>
      <c r="E8" s="17">
        <f>E7*Assumptions!$E$13/Assumptions!$E$20+D10</f>
        <v/>
      </c>
      <c r="F8" s="17">
        <f>F7*Assumptions!$E$13/Assumptions!$E$20+E10</f>
        <v/>
      </c>
      <c r="G8" s="17">
        <f>G7*Assumptions!$E$13/Assumptions!$E$20+F10</f>
        <v/>
      </c>
      <c r="H8" s="17">
        <f>H7*Assumptions!$E$13/Assumptions!$E$20+G10</f>
        <v/>
      </c>
      <c r="I8" s="17">
        <f>I7*Assumptions!$E$13/Assumptions!$E$20+H10</f>
        <v/>
      </c>
      <c r="J8" s="17">
        <f>J7*Assumptions!$E$13/Assumptions!$E$20+I10</f>
        <v/>
      </c>
      <c r="K8" s="17">
        <f>K7*Assumptions!$E$13/Assumptions!$E$20+J10</f>
        <v/>
      </c>
      <c r="L8" s="17">
        <f>L7*Assumptions!$E$13/Assumptions!$E$20+K10</f>
        <v/>
      </c>
      <c r="M8" s="17">
        <f>M7*Assumptions!$E$13/Assumptions!$E$20+L10</f>
        <v/>
      </c>
      <c r="N8" s="17">
        <f>N7*Assumptions!$E$13/Assumptions!$E$20+M10</f>
        <v/>
      </c>
      <c r="O8" s="17">
        <f>O7*Assumptions!$E$13/Assumptions!$E$20+N10</f>
        <v/>
      </c>
      <c r="P8" s="17">
        <f>P7*Assumptions!$E$13/Assumptions!$E$20+O10</f>
        <v/>
      </c>
      <c r="Q8" s="17">
        <f>Q7*Assumptions!$E$13/Assumptions!$E$20+P10</f>
        <v/>
      </c>
      <c r="R8" s="17">
        <f>R7*Assumptions!$E$13/Assumptions!$E$20+Q10</f>
        <v/>
      </c>
      <c r="S8" s="17">
        <f>S7*Assumptions!$E$13/Assumptions!$E$20+R10</f>
        <v/>
      </c>
      <c r="T8" s="17">
        <f>T7*Assumptions!$E$13/Assumptions!$E$20+S10</f>
        <v/>
      </c>
      <c r="U8" s="17">
        <f>U7*Assumptions!$E$13/Assumptions!$E$20+T10</f>
        <v/>
      </c>
      <c r="V8" s="17">
        <f>V7*Assumptions!$E$13/Assumptions!$E$20+U10</f>
        <v/>
      </c>
      <c r="W8" s="17">
        <f>W7*Assumptions!$E$13/Assumptions!$E$20+V10</f>
        <v/>
      </c>
      <c r="X8" s="17">
        <f>X7*Assumptions!$E$13/Assumptions!$E$20+W10</f>
        <v/>
      </c>
      <c r="Y8" s="17">
        <f>Y7*Assumptions!$E$13/Assumptions!$E$20+X10</f>
        <v/>
      </c>
      <c r="Z8" s="17">
        <f>Z7*Assumptions!$E$13/Assumptions!$E$20+Y10</f>
        <v/>
      </c>
    </row>
    <row r="9">
      <c r="B9" t="inlineStr">
        <is>
          <t>Senior interest paid</t>
        </is>
      </c>
      <c r="C9" s="17">
        <f>MIN(C5,C8)</f>
        <v/>
      </c>
      <c r="D9" s="17">
        <f>MIN(D5,D8)</f>
        <v/>
      </c>
      <c r="E9" s="17">
        <f>MIN(E5,E8)</f>
        <v/>
      </c>
      <c r="F9" s="17">
        <f>MIN(F5,F8)</f>
        <v/>
      </c>
      <c r="G9" s="17">
        <f>MIN(G5,G8)</f>
        <v/>
      </c>
      <c r="H9" s="17">
        <f>MIN(H5,H8)</f>
        <v/>
      </c>
      <c r="I9" s="17">
        <f>MIN(I5,I8)</f>
        <v/>
      </c>
      <c r="J9" s="17">
        <f>MIN(J5,J8)</f>
        <v/>
      </c>
      <c r="K9" s="17">
        <f>MIN(K5,K8)</f>
        <v/>
      </c>
      <c r="L9" s="17">
        <f>MIN(L5,L8)</f>
        <v/>
      </c>
      <c r="M9" s="17">
        <f>MIN(M5,M8)</f>
        <v/>
      </c>
      <c r="N9" s="17">
        <f>MIN(N5,N8)</f>
        <v/>
      </c>
      <c r="O9" s="17">
        <f>MIN(O5,O8)</f>
        <v/>
      </c>
      <c r="P9" s="17">
        <f>MIN(P5,P8)</f>
        <v/>
      </c>
      <c r="Q9" s="17">
        <f>MIN(Q5,Q8)</f>
        <v/>
      </c>
      <c r="R9" s="17">
        <f>MIN(R5,R8)</f>
        <v/>
      </c>
      <c r="S9" s="17">
        <f>MIN(S5,S8)</f>
        <v/>
      </c>
      <c r="T9" s="17">
        <f>MIN(T5,T8)</f>
        <v/>
      </c>
      <c r="U9" s="17">
        <f>MIN(U5,U8)</f>
        <v/>
      </c>
      <c r="V9" s="17">
        <f>MIN(V5,V8)</f>
        <v/>
      </c>
      <c r="W9" s="17">
        <f>MIN(W5,W8)</f>
        <v/>
      </c>
      <c r="X9" s="17">
        <f>MIN(X5,X8)</f>
        <v/>
      </c>
      <c r="Y9" s="17">
        <f>MIN(Y5,Y8)</f>
        <v/>
      </c>
      <c r="Z9" s="17">
        <f>MIN(Z5,Z8)</f>
        <v/>
      </c>
    </row>
    <row r="10">
      <c r="B10" t="inlineStr">
        <is>
          <t>Senior interest shortfall</t>
        </is>
      </c>
      <c r="C10" s="17">
        <f>C8-C9</f>
        <v/>
      </c>
      <c r="D10" s="17">
        <f>D8-D9</f>
        <v/>
      </c>
      <c r="E10" s="17">
        <f>E8-E9</f>
        <v/>
      </c>
      <c r="F10" s="17">
        <f>F8-F9</f>
        <v/>
      </c>
      <c r="G10" s="17">
        <f>G8-G9</f>
        <v/>
      </c>
      <c r="H10" s="17">
        <f>H8-H9</f>
        <v/>
      </c>
      <c r="I10" s="17">
        <f>I8-I9</f>
        <v/>
      </c>
      <c r="J10" s="17">
        <f>J8-J9</f>
        <v/>
      </c>
      <c r="K10" s="17">
        <f>K8-K9</f>
        <v/>
      </c>
      <c r="L10" s="17">
        <f>L8-L9</f>
        <v/>
      </c>
      <c r="M10" s="17">
        <f>M8-M9</f>
        <v/>
      </c>
      <c r="N10" s="17">
        <f>N8-N9</f>
        <v/>
      </c>
      <c r="O10" s="17">
        <f>O8-O9</f>
        <v/>
      </c>
      <c r="P10" s="17">
        <f>P8-P9</f>
        <v/>
      </c>
      <c r="Q10" s="17">
        <f>Q8-Q9</f>
        <v/>
      </c>
      <c r="R10" s="17">
        <f>R8-R9</f>
        <v/>
      </c>
      <c r="S10" s="17">
        <f>S8-S9</f>
        <v/>
      </c>
      <c r="T10" s="17">
        <f>T8-T9</f>
        <v/>
      </c>
      <c r="U10" s="17">
        <f>U8-U9</f>
        <v/>
      </c>
      <c r="V10" s="17">
        <f>V8-V9</f>
        <v/>
      </c>
      <c r="W10" s="17">
        <f>W8-W9</f>
        <v/>
      </c>
      <c r="X10" s="17">
        <f>X8-X9</f>
        <v/>
      </c>
      <c r="Y10" s="17">
        <f>Y8-Y9</f>
        <v/>
      </c>
      <c r="Z10" s="17">
        <f>Z8-Z9</f>
        <v/>
      </c>
    </row>
    <row r="11">
      <c r="B11" t="inlineStr">
        <is>
          <t>Senior principal paid</t>
        </is>
      </c>
      <c r="C11" s="17">
        <f>MIN(C7,C6)</f>
        <v/>
      </c>
      <c r="D11" s="17">
        <f>MIN(D7,D6)</f>
        <v/>
      </c>
      <c r="E11" s="17">
        <f>MIN(E7,E6)</f>
        <v/>
      </c>
      <c r="F11" s="17">
        <f>MIN(F7,F6)</f>
        <v/>
      </c>
      <c r="G11" s="17">
        <f>MIN(G7,G6)</f>
        <v/>
      </c>
      <c r="H11" s="17">
        <f>MIN(H7,H6)</f>
        <v/>
      </c>
      <c r="I11" s="17">
        <f>MIN(I7,I6)</f>
        <v/>
      </c>
      <c r="J11" s="17">
        <f>MIN(J7,J6)</f>
        <v/>
      </c>
      <c r="K11" s="17">
        <f>MIN(K7,K6)</f>
        <v/>
      </c>
      <c r="L11" s="17">
        <f>MIN(L7,L6)</f>
        <v/>
      </c>
      <c r="M11" s="17">
        <f>MIN(M7,M6)</f>
        <v/>
      </c>
      <c r="N11" s="17">
        <f>MIN(N7,N6)</f>
        <v/>
      </c>
      <c r="O11" s="17">
        <f>MIN(O7,O6)</f>
        <v/>
      </c>
      <c r="P11" s="17">
        <f>MIN(P7,P6)</f>
        <v/>
      </c>
      <c r="Q11" s="17">
        <f>MIN(Q7,Q6)</f>
        <v/>
      </c>
      <c r="R11" s="17">
        <f>MIN(R7,R6)</f>
        <v/>
      </c>
      <c r="S11" s="17">
        <f>MIN(S7,S6)</f>
        <v/>
      </c>
      <c r="T11" s="17">
        <f>MIN(T7,T6)</f>
        <v/>
      </c>
      <c r="U11" s="17">
        <f>MIN(U7,U6)</f>
        <v/>
      </c>
      <c r="V11" s="17">
        <f>MIN(V7,V6)</f>
        <v/>
      </c>
      <c r="W11" s="17">
        <f>MIN(W7,W6)</f>
        <v/>
      </c>
      <c r="X11" s="17">
        <f>MIN(X7,X6)</f>
        <v/>
      </c>
      <c r="Y11" s="17">
        <f>MIN(Y7,Y6)</f>
        <v/>
      </c>
      <c r="Z11" s="17">
        <f>MIN(Z7,Z6)</f>
        <v/>
      </c>
    </row>
    <row r="12">
      <c r="B12" s="18" t="inlineStr">
        <is>
          <t>Senior ending balance</t>
        </is>
      </c>
      <c r="C12" s="19">
        <f>MAX(0,C7-C11)</f>
        <v/>
      </c>
      <c r="D12" s="19">
        <f>MAX(0,D7-D11)</f>
        <v/>
      </c>
      <c r="E12" s="19">
        <f>MAX(0,E7-E11)</f>
        <v/>
      </c>
      <c r="F12" s="19">
        <f>MAX(0,F7-F11)</f>
        <v/>
      </c>
      <c r="G12" s="19">
        <f>MAX(0,G7-G11)</f>
        <v/>
      </c>
      <c r="H12" s="19">
        <f>MAX(0,H7-H11)</f>
        <v/>
      </c>
      <c r="I12" s="19">
        <f>MAX(0,I7-I11)</f>
        <v/>
      </c>
      <c r="J12" s="19">
        <f>MAX(0,J7-J11)</f>
        <v/>
      </c>
      <c r="K12" s="19">
        <f>MAX(0,K7-K11)</f>
        <v/>
      </c>
      <c r="L12" s="19">
        <f>MAX(0,L7-L11)</f>
        <v/>
      </c>
      <c r="M12" s="19">
        <f>MAX(0,M7-M11)</f>
        <v/>
      </c>
      <c r="N12" s="19">
        <f>MAX(0,N7-N11)</f>
        <v/>
      </c>
      <c r="O12" s="19">
        <f>MAX(0,O7-O11)</f>
        <v/>
      </c>
      <c r="P12" s="19">
        <f>MAX(0,P7-P11)</f>
        <v/>
      </c>
      <c r="Q12" s="19">
        <f>MAX(0,Q7-Q11)</f>
        <v/>
      </c>
      <c r="R12" s="19">
        <f>MAX(0,R7-R11)</f>
        <v/>
      </c>
      <c r="S12" s="19">
        <f>MAX(0,S7-S11)</f>
        <v/>
      </c>
      <c r="T12" s="19">
        <f>MAX(0,T7-T11)</f>
        <v/>
      </c>
      <c r="U12" s="19">
        <f>MAX(0,U7-U11)</f>
        <v/>
      </c>
      <c r="V12" s="19">
        <f>MAX(0,V7-V11)</f>
        <v/>
      </c>
      <c r="W12" s="19">
        <f>MAX(0,W7-W11)</f>
        <v/>
      </c>
      <c r="X12" s="19">
        <f>MAX(0,X7-X11)</f>
        <v/>
      </c>
      <c r="Y12" s="19">
        <f>MAX(0,Y7-Y11)</f>
        <v/>
      </c>
      <c r="Z12" s="19">
        <f>MAX(0,Z7-Z11)</f>
        <v/>
      </c>
    </row>
    <row r="13">
      <c r="B13" t="inlineStr">
        <is>
          <t>Mezz beginning balance</t>
        </is>
      </c>
      <c r="C13" s="17">
        <f>Assumptions!E14</f>
        <v/>
      </c>
      <c r="D13" s="17">
        <f>C18</f>
        <v/>
      </c>
      <c r="E13" s="17">
        <f>D18</f>
        <v/>
      </c>
      <c r="F13" s="17">
        <f>E18</f>
        <v/>
      </c>
      <c r="G13" s="17">
        <f>F18</f>
        <v/>
      </c>
      <c r="H13" s="17">
        <f>G18</f>
        <v/>
      </c>
      <c r="I13" s="17">
        <f>H18</f>
        <v/>
      </c>
      <c r="J13" s="17">
        <f>I18</f>
        <v/>
      </c>
      <c r="K13" s="17">
        <f>J18</f>
        <v/>
      </c>
      <c r="L13" s="17">
        <f>K18</f>
        <v/>
      </c>
      <c r="M13" s="17">
        <f>L18</f>
        <v/>
      </c>
      <c r="N13" s="17">
        <f>M18</f>
        <v/>
      </c>
      <c r="O13" s="17">
        <f>N18</f>
        <v/>
      </c>
      <c r="P13" s="17">
        <f>O18</f>
        <v/>
      </c>
      <c r="Q13" s="17">
        <f>P18</f>
        <v/>
      </c>
      <c r="R13" s="17">
        <f>Q18</f>
        <v/>
      </c>
      <c r="S13" s="17">
        <f>R18</f>
        <v/>
      </c>
      <c r="T13" s="17">
        <f>S18</f>
        <v/>
      </c>
      <c r="U13" s="17">
        <f>T18</f>
        <v/>
      </c>
      <c r="V13" s="17">
        <f>U18</f>
        <v/>
      </c>
      <c r="W13" s="17">
        <f>V18</f>
        <v/>
      </c>
      <c r="X13" s="17">
        <f>W18</f>
        <v/>
      </c>
      <c r="Y13" s="17">
        <f>X18</f>
        <v/>
      </c>
      <c r="Z13" s="17">
        <f>Y18</f>
        <v/>
      </c>
    </row>
    <row r="14">
      <c r="B14" t="inlineStr">
        <is>
          <t>Mezz interest due</t>
        </is>
      </c>
      <c r="C14" s="17">
        <f>C13*Assumptions!$E$15/Assumptions!$E$20+0</f>
        <v/>
      </c>
      <c r="D14" s="17">
        <f>D13*Assumptions!$E$15/Assumptions!$E$20+C16</f>
        <v/>
      </c>
      <c r="E14" s="17">
        <f>E13*Assumptions!$E$15/Assumptions!$E$20+D16</f>
        <v/>
      </c>
      <c r="F14" s="17">
        <f>F13*Assumptions!$E$15/Assumptions!$E$20+E16</f>
        <v/>
      </c>
      <c r="G14" s="17">
        <f>G13*Assumptions!$E$15/Assumptions!$E$20+F16</f>
        <v/>
      </c>
      <c r="H14" s="17">
        <f>H13*Assumptions!$E$15/Assumptions!$E$20+G16</f>
        <v/>
      </c>
      <c r="I14" s="17">
        <f>I13*Assumptions!$E$15/Assumptions!$E$20+H16</f>
        <v/>
      </c>
      <c r="J14" s="17">
        <f>J13*Assumptions!$E$15/Assumptions!$E$20+I16</f>
        <v/>
      </c>
      <c r="K14" s="17">
        <f>K13*Assumptions!$E$15/Assumptions!$E$20+J16</f>
        <v/>
      </c>
      <c r="L14" s="17">
        <f>L13*Assumptions!$E$15/Assumptions!$E$20+K16</f>
        <v/>
      </c>
      <c r="M14" s="17">
        <f>M13*Assumptions!$E$15/Assumptions!$E$20+L16</f>
        <v/>
      </c>
      <c r="N14" s="17">
        <f>N13*Assumptions!$E$15/Assumptions!$E$20+M16</f>
        <v/>
      </c>
      <c r="O14" s="17">
        <f>O13*Assumptions!$E$15/Assumptions!$E$20+N16</f>
        <v/>
      </c>
      <c r="P14" s="17">
        <f>P13*Assumptions!$E$15/Assumptions!$E$20+O16</f>
        <v/>
      </c>
      <c r="Q14" s="17">
        <f>Q13*Assumptions!$E$15/Assumptions!$E$20+P16</f>
        <v/>
      </c>
      <c r="R14" s="17">
        <f>R13*Assumptions!$E$15/Assumptions!$E$20+Q16</f>
        <v/>
      </c>
      <c r="S14" s="17">
        <f>S13*Assumptions!$E$15/Assumptions!$E$20+R16</f>
        <v/>
      </c>
      <c r="T14" s="17">
        <f>T13*Assumptions!$E$15/Assumptions!$E$20+S16</f>
        <v/>
      </c>
      <c r="U14" s="17">
        <f>U13*Assumptions!$E$15/Assumptions!$E$20+T16</f>
        <v/>
      </c>
      <c r="V14" s="17">
        <f>V13*Assumptions!$E$15/Assumptions!$E$20+U16</f>
        <v/>
      </c>
      <c r="W14" s="17">
        <f>W13*Assumptions!$E$15/Assumptions!$E$20+V16</f>
        <v/>
      </c>
      <c r="X14" s="17">
        <f>X13*Assumptions!$E$15/Assumptions!$E$20+W16</f>
        <v/>
      </c>
      <c r="Y14" s="17">
        <f>Y13*Assumptions!$E$15/Assumptions!$E$20+X16</f>
        <v/>
      </c>
      <c r="Z14" s="17">
        <f>Z13*Assumptions!$E$15/Assumptions!$E$20+Y16</f>
        <v/>
      </c>
    </row>
    <row r="15">
      <c r="B15" t="inlineStr">
        <is>
          <t>Mezz interest paid</t>
        </is>
      </c>
      <c r="C15" s="17">
        <f>MIN(MAX(0,C5-C9),C14)</f>
        <v/>
      </c>
      <c r="D15" s="17">
        <f>MIN(MAX(0,D5-D9),D14)</f>
        <v/>
      </c>
      <c r="E15" s="17">
        <f>MIN(MAX(0,E5-E9),E14)</f>
        <v/>
      </c>
      <c r="F15" s="17">
        <f>MIN(MAX(0,F5-F9),F14)</f>
        <v/>
      </c>
      <c r="G15" s="17">
        <f>MIN(MAX(0,G5-G9),G14)</f>
        <v/>
      </c>
      <c r="H15" s="17">
        <f>MIN(MAX(0,H5-H9),H14)</f>
        <v/>
      </c>
      <c r="I15" s="17">
        <f>MIN(MAX(0,I5-I9),I14)</f>
        <v/>
      </c>
      <c r="J15" s="17">
        <f>MIN(MAX(0,J5-J9),J14)</f>
        <v/>
      </c>
      <c r="K15" s="17">
        <f>MIN(MAX(0,K5-K9),K14)</f>
        <v/>
      </c>
      <c r="L15" s="17">
        <f>MIN(MAX(0,L5-L9),L14)</f>
        <v/>
      </c>
      <c r="M15" s="17">
        <f>MIN(MAX(0,M5-M9),M14)</f>
        <v/>
      </c>
      <c r="N15" s="17">
        <f>MIN(MAX(0,N5-N9),N14)</f>
        <v/>
      </c>
      <c r="O15" s="17">
        <f>MIN(MAX(0,O5-O9),O14)</f>
        <v/>
      </c>
      <c r="P15" s="17">
        <f>MIN(MAX(0,P5-P9),P14)</f>
        <v/>
      </c>
      <c r="Q15" s="17">
        <f>MIN(MAX(0,Q5-Q9),Q14)</f>
        <v/>
      </c>
      <c r="R15" s="17">
        <f>MIN(MAX(0,R5-R9),R14)</f>
        <v/>
      </c>
      <c r="S15" s="17">
        <f>MIN(MAX(0,S5-S9),S14)</f>
        <v/>
      </c>
      <c r="T15" s="17">
        <f>MIN(MAX(0,T5-T9),T14)</f>
        <v/>
      </c>
      <c r="U15" s="17">
        <f>MIN(MAX(0,U5-U9),U14)</f>
        <v/>
      </c>
      <c r="V15" s="17">
        <f>MIN(MAX(0,V5-V9),V14)</f>
        <v/>
      </c>
      <c r="W15" s="17">
        <f>MIN(MAX(0,W5-W9),W14)</f>
        <v/>
      </c>
      <c r="X15" s="17">
        <f>MIN(MAX(0,X5-X9),X14)</f>
        <v/>
      </c>
      <c r="Y15" s="17">
        <f>MIN(MAX(0,Y5-Y9),Y14)</f>
        <v/>
      </c>
      <c r="Z15" s="17">
        <f>MIN(MAX(0,Z5-Z9),Z14)</f>
        <v/>
      </c>
    </row>
    <row r="16">
      <c r="B16" t="inlineStr">
        <is>
          <t>Mezz interest shortfall</t>
        </is>
      </c>
      <c r="C16" s="17">
        <f>C14-C15</f>
        <v/>
      </c>
      <c r="D16" s="17">
        <f>D14-D15</f>
        <v/>
      </c>
      <c r="E16" s="17">
        <f>E14-E15</f>
        <v/>
      </c>
      <c r="F16" s="17">
        <f>F14-F15</f>
        <v/>
      </c>
      <c r="G16" s="17">
        <f>G14-G15</f>
        <v/>
      </c>
      <c r="H16" s="17">
        <f>H14-H15</f>
        <v/>
      </c>
      <c r="I16" s="17">
        <f>I14-I15</f>
        <v/>
      </c>
      <c r="J16" s="17">
        <f>J14-J15</f>
        <v/>
      </c>
      <c r="K16" s="17">
        <f>K14-K15</f>
        <v/>
      </c>
      <c r="L16" s="17">
        <f>L14-L15</f>
        <v/>
      </c>
      <c r="M16" s="17">
        <f>M14-M15</f>
        <v/>
      </c>
      <c r="N16" s="17">
        <f>N14-N15</f>
        <v/>
      </c>
      <c r="O16" s="17">
        <f>O14-O15</f>
        <v/>
      </c>
      <c r="P16" s="17">
        <f>P14-P15</f>
        <v/>
      </c>
      <c r="Q16" s="17">
        <f>Q14-Q15</f>
        <v/>
      </c>
      <c r="R16" s="17">
        <f>R14-R15</f>
        <v/>
      </c>
      <c r="S16" s="17">
        <f>S14-S15</f>
        <v/>
      </c>
      <c r="T16" s="17">
        <f>T14-T15</f>
        <v/>
      </c>
      <c r="U16" s="17">
        <f>U14-U15</f>
        <v/>
      </c>
      <c r="V16" s="17">
        <f>V14-V15</f>
        <v/>
      </c>
      <c r="W16" s="17">
        <f>W14-W15</f>
        <v/>
      </c>
      <c r="X16" s="17">
        <f>X14-X15</f>
        <v/>
      </c>
      <c r="Y16" s="17">
        <f>Y14-Y15</f>
        <v/>
      </c>
      <c r="Z16" s="17">
        <f>Z14-Z15</f>
        <v/>
      </c>
    </row>
    <row r="17">
      <c r="B17" t="inlineStr">
        <is>
          <t>Mezz principal paid</t>
        </is>
      </c>
      <c r="C17" s="17">
        <f>MIN(C13,MAX(0,C6-C11))</f>
        <v/>
      </c>
      <c r="D17" s="17">
        <f>MIN(D13,MAX(0,D6-D11))</f>
        <v/>
      </c>
      <c r="E17" s="17">
        <f>MIN(E13,MAX(0,E6-E11))</f>
        <v/>
      </c>
      <c r="F17" s="17">
        <f>MIN(F13,MAX(0,F6-F11))</f>
        <v/>
      </c>
      <c r="G17" s="17">
        <f>MIN(G13,MAX(0,G6-G11))</f>
        <v/>
      </c>
      <c r="H17" s="17">
        <f>MIN(H13,MAX(0,H6-H11))</f>
        <v/>
      </c>
      <c r="I17" s="17">
        <f>MIN(I13,MAX(0,I6-I11))</f>
        <v/>
      </c>
      <c r="J17" s="17">
        <f>MIN(J13,MAX(0,J6-J11))</f>
        <v/>
      </c>
      <c r="K17" s="17">
        <f>MIN(K13,MAX(0,K6-K11))</f>
        <v/>
      </c>
      <c r="L17" s="17">
        <f>MIN(L13,MAX(0,L6-L11))</f>
        <v/>
      </c>
      <c r="M17" s="17">
        <f>MIN(M13,MAX(0,M6-M11))</f>
        <v/>
      </c>
      <c r="N17" s="17">
        <f>MIN(N13,MAX(0,N6-N11))</f>
        <v/>
      </c>
      <c r="O17" s="17">
        <f>MIN(O13,MAX(0,O6-O11))</f>
        <v/>
      </c>
      <c r="P17" s="17">
        <f>MIN(P13,MAX(0,P6-P11))</f>
        <v/>
      </c>
      <c r="Q17" s="17">
        <f>MIN(Q13,MAX(0,Q6-Q11))</f>
        <v/>
      </c>
      <c r="R17" s="17">
        <f>MIN(R13,MAX(0,R6-R11))</f>
        <v/>
      </c>
      <c r="S17" s="17">
        <f>MIN(S13,MAX(0,S6-S11))</f>
        <v/>
      </c>
      <c r="T17" s="17">
        <f>MIN(T13,MAX(0,T6-T11))</f>
        <v/>
      </c>
      <c r="U17" s="17">
        <f>MIN(U13,MAX(0,U6-U11))</f>
        <v/>
      </c>
      <c r="V17" s="17">
        <f>MIN(V13,MAX(0,V6-V11))</f>
        <v/>
      </c>
      <c r="W17" s="17">
        <f>MIN(W13,MAX(0,W6-W11))</f>
        <v/>
      </c>
      <c r="X17" s="17">
        <f>MIN(X13,MAX(0,X6-X11))</f>
        <v/>
      </c>
      <c r="Y17" s="17">
        <f>MIN(Y13,MAX(0,Y6-Y11))</f>
        <v/>
      </c>
      <c r="Z17" s="17">
        <f>MIN(Z13,MAX(0,Z6-Z11))</f>
        <v/>
      </c>
    </row>
    <row r="18">
      <c r="B18" s="18" t="inlineStr">
        <is>
          <t>Mezz ending balance</t>
        </is>
      </c>
      <c r="C18" s="19">
        <f>MAX(0,C13-C17)</f>
        <v/>
      </c>
      <c r="D18" s="19">
        <f>MAX(0,D13-D17)</f>
        <v/>
      </c>
      <c r="E18" s="19">
        <f>MAX(0,E13-E17)</f>
        <v/>
      </c>
      <c r="F18" s="19">
        <f>MAX(0,F13-F17)</f>
        <v/>
      </c>
      <c r="G18" s="19">
        <f>MAX(0,G13-G17)</f>
        <v/>
      </c>
      <c r="H18" s="19">
        <f>MAX(0,H13-H17)</f>
        <v/>
      </c>
      <c r="I18" s="19">
        <f>MAX(0,I13-I17)</f>
        <v/>
      </c>
      <c r="J18" s="19">
        <f>MAX(0,J13-J17)</f>
        <v/>
      </c>
      <c r="K18" s="19">
        <f>MAX(0,K13-K17)</f>
        <v/>
      </c>
      <c r="L18" s="19">
        <f>MAX(0,L13-L17)</f>
        <v/>
      </c>
      <c r="M18" s="19">
        <f>MAX(0,M13-M17)</f>
        <v/>
      </c>
      <c r="N18" s="19">
        <f>MAX(0,N13-N17)</f>
        <v/>
      </c>
      <c r="O18" s="19">
        <f>MAX(0,O13-O17)</f>
        <v/>
      </c>
      <c r="P18" s="19">
        <f>MAX(0,P13-P17)</f>
        <v/>
      </c>
      <c r="Q18" s="19">
        <f>MAX(0,Q13-Q17)</f>
        <v/>
      </c>
      <c r="R18" s="19">
        <f>MAX(0,R13-R17)</f>
        <v/>
      </c>
      <c r="S18" s="19">
        <f>MAX(0,S13-S17)</f>
        <v/>
      </c>
      <c r="T18" s="19">
        <f>MAX(0,T13-T17)</f>
        <v/>
      </c>
      <c r="U18" s="19">
        <f>MAX(0,U13-U17)</f>
        <v/>
      </c>
      <c r="V18" s="19">
        <f>MAX(0,V13-V17)</f>
        <v/>
      </c>
      <c r="W18" s="19">
        <f>MAX(0,W13-W17)</f>
        <v/>
      </c>
      <c r="X18" s="19">
        <f>MAX(0,X13-X17)</f>
        <v/>
      </c>
      <c r="Y18" s="19">
        <f>MAX(0,Y13-Y17)</f>
        <v/>
      </c>
      <c r="Z18" s="19">
        <f>MAX(0,Z13-Z17)</f>
        <v/>
      </c>
    </row>
    <row r="19">
      <c r="B19" s="18" t="inlineStr">
        <is>
          <t>Residual cash</t>
        </is>
      </c>
      <c r="C19" s="19">
        <f>MAX(0,C5-C9-C15)+MAX(0,C6-C11-C17)</f>
        <v/>
      </c>
      <c r="D19" s="19">
        <f>MAX(0,D5-D9-D15)+MAX(0,D6-D11-D17)</f>
        <v/>
      </c>
      <c r="E19" s="19">
        <f>MAX(0,E5-E9-E15)+MAX(0,E6-E11-E17)</f>
        <v/>
      </c>
      <c r="F19" s="19">
        <f>MAX(0,F5-F9-F15)+MAX(0,F6-F11-F17)</f>
        <v/>
      </c>
      <c r="G19" s="19">
        <f>MAX(0,G5-G9-G15)+MAX(0,G6-G11-G17)</f>
        <v/>
      </c>
      <c r="H19" s="19">
        <f>MAX(0,H5-H9-H15)+MAX(0,H6-H11-H17)</f>
        <v/>
      </c>
      <c r="I19" s="19">
        <f>MAX(0,I5-I9-I15)+MAX(0,I6-I11-I17)</f>
        <v/>
      </c>
      <c r="J19" s="19">
        <f>MAX(0,J5-J9-J15)+MAX(0,J6-J11-J17)</f>
        <v/>
      </c>
      <c r="K19" s="19">
        <f>MAX(0,K5-K9-K15)+MAX(0,K6-K11-K17)</f>
        <v/>
      </c>
      <c r="L19" s="19">
        <f>MAX(0,L5-L9-L15)+MAX(0,L6-L11-L17)</f>
        <v/>
      </c>
      <c r="M19" s="19">
        <f>MAX(0,M5-M9-M15)+MAX(0,M6-M11-M17)</f>
        <v/>
      </c>
      <c r="N19" s="19">
        <f>MAX(0,N5-N9-N15)+MAX(0,N6-N11-N17)</f>
        <v/>
      </c>
      <c r="O19" s="19">
        <f>MAX(0,O5-O9-O15)+MAX(0,O6-O11-O17)</f>
        <v/>
      </c>
      <c r="P19" s="19">
        <f>MAX(0,P5-P9-P15)+MAX(0,P6-P11-P17)</f>
        <v/>
      </c>
      <c r="Q19" s="19">
        <f>MAX(0,Q5-Q9-Q15)+MAX(0,Q6-Q11-Q17)</f>
        <v/>
      </c>
      <c r="R19" s="19">
        <f>MAX(0,R5-R9-R15)+MAX(0,R6-R11-R17)</f>
        <v/>
      </c>
      <c r="S19" s="19">
        <f>MAX(0,S5-S9-S15)+MAX(0,S6-S11-S17)</f>
        <v/>
      </c>
      <c r="T19" s="19">
        <f>MAX(0,T5-T9-T15)+MAX(0,T6-T11-T17)</f>
        <v/>
      </c>
      <c r="U19" s="19">
        <f>MAX(0,U5-U9-U15)+MAX(0,U6-U11-U17)</f>
        <v/>
      </c>
      <c r="V19" s="19">
        <f>MAX(0,V5-V9-V15)+MAX(0,V6-V11-V17)</f>
        <v/>
      </c>
      <c r="W19" s="19">
        <f>MAX(0,W5-W9-W15)+MAX(0,W6-W11-W17)</f>
        <v/>
      </c>
      <c r="X19" s="19">
        <f>MAX(0,X5-X9-X15)+MAX(0,X6-X11-X17)</f>
        <v/>
      </c>
      <c r="Y19" s="19">
        <f>MAX(0,Y5-Y9-Y15)+MAX(0,Y6-Y11-Y17)</f>
        <v/>
      </c>
      <c r="Z19" s="19">
        <f>MAX(0,Z5-Z9-Z15)+MAX(0,Z6-Z11-Z17)</f>
        <v/>
      </c>
    </row>
  </sheetData>
  <mergeCells count="1">
    <mergeCell ref="B2:Z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Z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2" ht="28" customHeight="1">
      <c r="B2" s="1" t="inlineStr">
        <is>
          <t>OC / IC Triggers and Cash Diversion</t>
        </is>
      </c>
    </row>
    <row r="4">
      <c r="B4" s="8" t="inlineStr">
        <is>
          <t>Metric</t>
        </is>
      </c>
      <c r="C4" s="8" t="inlineStr">
        <is>
          <t>M1</t>
        </is>
      </c>
      <c r="D4" s="8" t="inlineStr">
        <is>
          <t>M2</t>
        </is>
      </c>
      <c r="E4" s="8" t="inlineStr">
        <is>
          <t>M3</t>
        </is>
      </c>
      <c r="F4" s="8" t="inlineStr">
        <is>
          <t>M4</t>
        </is>
      </c>
      <c r="G4" s="8" t="inlineStr">
        <is>
          <t>M5</t>
        </is>
      </c>
      <c r="H4" s="8" t="inlineStr">
        <is>
          <t>M6</t>
        </is>
      </c>
      <c r="I4" s="8" t="inlineStr">
        <is>
          <t>M7</t>
        </is>
      </c>
      <c r="J4" s="8" t="inlineStr">
        <is>
          <t>M8</t>
        </is>
      </c>
      <c r="K4" s="8" t="inlineStr">
        <is>
          <t>M9</t>
        </is>
      </c>
      <c r="L4" s="8" t="inlineStr">
        <is>
          <t>M10</t>
        </is>
      </c>
      <c r="M4" s="8" t="inlineStr">
        <is>
          <t>M11</t>
        </is>
      </c>
      <c r="N4" s="8" t="inlineStr">
        <is>
          <t>M12</t>
        </is>
      </c>
      <c r="O4" s="8" t="inlineStr">
        <is>
          <t>M13</t>
        </is>
      </c>
      <c r="P4" s="8" t="inlineStr">
        <is>
          <t>M14</t>
        </is>
      </c>
      <c r="Q4" s="8" t="inlineStr">
        <is>
          <t>M15</t>
        </is>
      </c>
      <c r="R4" s="8" t="inlineStr">
        <is>
          <t>M16</t>
        </is>
      </c>
      <c r="S4" s="8" t="inlineStr">
        <is>
          <t>M17</t>
        </is>
      </c>
      <c r="T4" s="8" t="inlineStr">
        <is>
          <t>M18</t>
        </is>
      </c>
      <c r="U4" s="8" t="inlineStr">
        <is>
          <t>M19</t>
        </is>
      </c>
      <c r="V4" s="8" t="inlineStr">
        <is>
          <t>M20</t>
        </is>
      </c>
      <c r="W4" s="8" t="inlineStr">
        <is>
          <t>M21</t>
        </is>
      </c>
      <c r="X4" s="8" t="inlineStr">
        <is>
          <t>M22</t>
        </is>
      </c>
      <c r="Y4" s="8" t="inlineStr">
        <is>
          <t>M23</t>
        </is>
      </c>
      <c r="Z4" s="8" t="inlineStr">
        <is>
          <t>M24</t>
        </is>
      </c>
    </row>
    <row r="5">
      <c r="B5" t="inlineStr">
        <is>
          <t>OC ratio</t>
        </is>
      </c>
      <c r="C5" s="21">
        <f>IFERROR(Collateral!C14/(Waterfall!C12+Waterfall!C18),0)</f>
        <v/>
      </c>
      <c r="D5" s="21">
        <f>IFERROR(Collateral!D14/(Waterfall!D12+Waterfall!D18),0)</f>
        <v/>
      </c>
      <c r="E5" s="21">
        <f>IFERROR(Collateral!E14/(Waterfall!E12+Waterfall!E18),0)</f>
        <v/>
      </c>
      <c r="F5" s="21">
        <f>IFERROR(Collateral!F14/(Waterfall!F12+Waterfall!F18),0)</f>
        <v/>
      </c>
      <c r="G5" s="21">
        <f>IFERROR(Collateral!G14/(Waterfall!G12+Waterfall!G18),0)</f>
        <v/>
      </c>
      <c r="H5" s="21">
        <f>IFERROR(Collateral!H14/(Waterfall!H12+Waterfall!H18),0)</f>
        <v/>
      </c>
      <c r="I5" s="21">
        <f>IFERROR(Collateral!I14/(Waterfall!I12+Waterfall!I18),0)</f>
        <v/>
      </c>
      <c r="J5" s="21">
        <f>IFERROR(Collateral!J14/(Waterfall!J12+Waterfall!J18),0)</f>
        <v/>
      </c>
      <c r="K5" s="21">
        <f>IFERROR(Collateral!K14/(Waterfall!K12+Waterfall!K18),0)</f>
        <v/>
      </c>
      <c r="L5" s="21">
        <f>IFERROR(Collateral!L14/(Waterfall!L12+Waterfall!L18),0)</f>
        <v/>
      </c>
      <c r="M5" s="21">
        <f>IFERROR(Collateral!M14/(Waterfall!M12+Waterfall!M18),0)</f>
        <v/>
      </c>
      <c r="N5" s="21">
        <f>IFERROR(Collateral!N14/(Waterfall!N12+Waterfall!N18),0)</f>
        <v/>
      </c>
      <c r="O5" s="21">
        <f>IFERROR(Collateral!O14/(Waterfall!O12+Waterfall!O18),0)</f>
        <v/>
      </c>
      <c r="P5" s="21">
        <f>IFERROR(Collateral!P14/(Waterfall!P12+Waterfall!P18),0)</f>
        <v/>
      </c>
      <c r="Q5" s="21">
        <f>IFERROR(Collateral!Q14/(Waterfall!Q12+Waterfall!Q18),0)</f>
        <v/>
      </c>
      <c r="R5" s="21">
        <f>IFERROR(Collateral!R14/(Waterfall!R12+Waterfall!R18),0)</f>
        <v/>
      </c>
      <c r="S5" s="21">
        <f>IFERROR(Collateral!S14/(Waterfall!S12+Waterfall!S18),0)</f>
        <v/>
      </c>
      <c r="T5" s="21">
        <f>IFERROR(Collateral!T14/(Waterfall!T12+Waterfall!T18),0)</f>
        <v/>
      </c>
      <c r="U5" s="21">
        <f>IFERROR(Collateral!U14/(Waterfall!U12+Waterfall!U18),0)</f>
        <v/>
      </c>
      <c r="V5" s="21">
        <f>IFERROR(Collateral!V14/(Waterfall!V12+Waterfall!V18),0)</f>
        <v/>
      </c>
      <c r="W5" s="21">
        <f>IFERROR(Collateral!W14/(Waterfall!W12+Waterfall!W18),0)</f>
        <v/>
      </c>
      <c r="X5" s="21">
        <f>IFERROR(Collateral!X14/(Waterfall!X12+Waterfall!X18),0)</f>
        <v/>
      </c>
      <c r="Y5" s="21">
        <f>IFERROR(Collateral!Y14/(Waterfall!Y12+Waterfall!Y18),0)</f>
        <v/>
      </c>
      <c r="Z5" s="21">
        <f>IFERROR(Collateral!Z14/(Waterfall!Z12+Waterfall!Z18),0)</f>
        <v/>
      </c>
    </row>
    <row r="6">
      <c r="B6" t="inlineStr">
        <is>
          <t>Minimum OC ratio</t>
        </is>
      </c>
      <c r="C6" s="21">
        <f>Assumptions!$E$17</f>
        <v/>
      </c>
      <c r="D6" s="21">
        <f>Assumptions!$E$17</f>
        <v/>
      </c>
      <c r="E6" s="21">
        <f>Assumptions!$E$17</f>
        <v/>
      </c>
      <c r="F6" s="21">
        <f>Assumptions!$E$17</f>
        <v/>
      </c>
      <c r="G6" s="21">
        <f>Assumptions!$E$17</f>
        <v/>
      </c>
      <c r="H6" s="21">
        <f>Assumptions!$E$17</f>
        <v/>
      </c>
      <c r="I6" s="21">
        <f>Assumptions!$E$17</f>
        <v/>
      </c>
      <c r="J6" s="21">
        <f>Assumptions!$E$17</f>
        <v/>
      </c>
      <c r="K6" s="21">
        <f>Assumptions!$E$17</f>
        <v/>
      </c>
      <c r="L6" s="21">
        <f>Assumptions!$E$17</f>
        <v/>
      </c>
      <c r="M6" s="21">
        <f>Assumptions!$E$17</f>
        <v/>
      </c>
      <c r="N6" s="21">
        <f>Assumptions!$E$17</f>
        <v/>
      </c>
      <c r="O6" s="21">
        <f>Assumptions!$E$17</f>
        <v/>
      </c>
      <c r="P6" s="21">
        <f>Assumptions!$E$17</f>
        <v/>
      </c>
      <c r="Q6" s="21">
        <f>Assumptions!$E$17</f>
        <v/>
      </c>
      <c r="R6" s="21">
        <f>Assumptions!$E$17</f>
        <v/>
      </c>
      <c r="S6" s="21">
        <f>Assumptions!$E$17</f>
        <v/>
      </c>
      <c r="T6" s="21">
        <f>Assumptions!$E$17</f>
        <v/>
      </c>
      <c r="U6" s="21">
        <f>Assumptions!$E$17</f>
        <v/>
      </c>
      <c r="V6" s="21">
        <f>Assumptions!$E$17</f>
        <v/>
      </c>
      <c r="W6" s="21">
        <f>Assumptions!$E$17</f>
        <v/>
      </c>
      <c r="X6" s="21">
        <f>Assumptions!$E$17</f>
        <v/>
      </c>
      <c r="Y6" s="21">
        <f>Assumptions!$E$17</f>
        <v/>
      </c>
      <c r="Z6" s="21">
        <f>Assumptions!$E$17</f>
        <v/>
      </c>
    </row>
    <row r="7">
      <c r="B7" t="inlineStr">
        <is>
          <t>Senior interest coverage</t>
        </is>
      </c>
      <c r="C7" s="21">
        <f>IFERROR(Collateral!C12/Waterfall!C8,0)</f>
        <v/>
      </c>
      <c r="D7" s="21">
        <f>IFERROR(Collateral!D12/Waterfall!D8,0)</f>
        <v/>
      </c>
      <c r="E7" s="21">
        <f>IFERROR(Collateral!E12/Waterfall!E8,0)</f>
        <v/>
      </c>
      <c r="F7" s="21">
        <f>IFERROR(Collateral!F12/Waterfall!F8,0)</f>
        <v/>
      </c>
      <c r="G7" s="21">
        <f>IFERROR(Collateral!G12/Waterfall!G8,0)</f>
        <v/>
      </c>
      <c r="H7" s="21">
        <f>IFERROR(Collateral!H12/Waterfall!H8,0)</f>
        <v/>
      </c>
      <c r="I7" s="21">
        <f>IFERROR(Collateral!I12/Waterfall!I8,0)</f>
        <v/>
      </c>
      <c r="J7" s="21">
        <f>IFERROR(Collateral!J12/Waterfall!J8,0)</f>
        <v/>
      </c>
      <c r="K7" s="21">
        <f>IFERROR(Collateral!K12/Waterfall!K8,0)</f>
        <v/>
      </c>
      <c r="L7" s="21">
        <f>IFERROR(Collateral!L12/Waterfall!L8,0)</f>
        <v/>
      </c>
      <c r="M7" s="21">
        <f>IFERROR(Collateral!M12/Waterfall!M8,0)</f>
        <v/>
      </c>
      <c r="N7" s="21">
        <f>IFERROR(Collateral!N12/Waterfall!N8,0)</f>
        <v/>
      </c>
      <c r="O7" s="21">
        <f>IFERROR(Collateral!O12/Waterfall!O8,0)</f>
        <v/>
      </c>
      <c r="P7" s="21">
        <f>IFERROR(Collateral!P12/Waterfall!P8,0)</f>
        <v/>
      </c>
      <c r="Q7" s="21">
        <f>IFERROR(Collateral!Q12/Waterfall!Q8,0)</f>
        <v/>
      </c>
      <c r="R7" s="21">
        <f>IFERROR(Collateral!R12/Waterfall!R8,0)</f>
        <v/>
      </c>
      <c r="S7" s="21">
        <f>IFERROR(Collateral!S12/Waterfall!S8,0)</f>
        <v/>
      </c>
      <c r="T7" s="21">
        <f>IFERROR(Collateral!T12/Waterfall!T8,0)</f>
        <v/>
      </c>
      <c r="U7" s="21">
        <f>IFERROR(Collateral!U12/Waterfall!U8,0)</f>
        <v/>
      </c>
      <c r="V7" s="21">
        <f>IFERROR(Collateral!V12/Waterfall!V8,0)</f>
        <v/>
      </c>
      <c r="W7" s="21">
        <f>IFERROR(Collateral!W12/Waterfall!W8,0)</f>
        <v/>
      </c>
      <c r="X7" s="21">
        <f>IFERROR(Collateral!X12/Waterfall!X8,0)</f>
        <v/>
      </c>
      <c r="Y7" s="21">
        <f>IFERROR(Collateral!Y12/Waterfall!Y8,0)</f>
        <v/>
      </c>
      <c r="Z7" s="21">
        <f>IFERROR(Collateral!Z12/Waterfall!Z8,0)</f>
        <v/>
      </c>
    </row>
    <row r="8">
      <c r="B8" t="inlineStr">
        <is>
          <t>Minimum senior IC</t>
        </is>
      </c>
      <c r="C8" s="21">
        <f>Assumptions!$E$18</f>
        <v/>
      </c>
      <c r="D8" s="21">
        <f>Assumptions!$E$18</f>
        <v/>
      </c>
      <c r="E8" s="21">
        <f>Assumptions!$E$18</f>
        <v/>
      </c>
      <c r="F8" s="21">
        <f>Assumptions!$E$18</f>
        <v/>
      </c>
      <c r="G8" s="21">
        <f>Assumptions!$E$18</f>
        <v/>
      </c>
      <c r="H8" s="21">
        <f>Assumptions!$E$18</f>
        <v/>
      </c>
      <c r="I8" s="21">
        <f>Assumptions!$E$18</f>
        <v/>
      </c>
      <c r="J8" s="21">
        <f>Assumptions!$E$18</f>
        <v/>
      </c>
      <c r="K8" s="21">
        <f>Assumptions!$E$18</f>
        <v/>
      </c>
      <c r="L8" s="21">
        <f>Assumptions!$E$18</f>
        <v/>
      </c>
      <c r="M8" s="21">
        <f>Assumptions!$E$18</f>
        <v/>
      </c>
      <c r="N8" s="21">
        <f>Assumptions!$E$18</f>
        <v/>
      </c>
      <c r="O8" s="21">
        <f>Assumptions!$E$18</f>
        <v/>
      </c>
      <c r="P8" s="21">
        <f>Assumptions!$E$18</f>
        <v/>
      </c>
      <c r="Q8" s="21">
        <f>Assumptions!$E$18</f>
        <v/>
      </c>
      <c r="R8" s="21">
        <f>Assumptions!$E$18</f>
        <v/>
      </c>
      <c r="S8" s="21">
        <f>Assumptions!$E$18</f>
        <v/>
      </c>
      <c r="T8" s="21">
        <f>Assumptions!$E$18</f>
        <v/>
      </c>
      <c r="U8" s="21">
        <f>Assumptions!$E$18</f>
        <v/>
      </c>
      <c r="V8" s="21">
        <f>Assumptions!$E$18</f>
        <v/>
      </c>
      <c r="W8" s="21">
        <f>Assumptions!$E$18</f>
        <v/>
      </c>
      <c r="X8" s="21">
        <f>Assumptions!$E$18</f>
        <v/>
      </c>
      <c r="Y8" s="21">
        <f>Assumptions!$E$18</f>
        <v/>
      </c>
      <c r="Z8" s="21">
        <f>Assumptions!$E$18</f>
        <v/>
      </c>
    </row>
    <row r="9">
      <c r="B9" t="inlineStr">
        <is>
          <t>Mezz interest coverage</t>
        </is>
      </c>
      <c r="C9" s="21">
        <f>IFERROR(MAX(0,Collateral!C12-Waterfall!C8)/Waterfall!C14,0)</f>
        <v/>
      </c>
      <c r="D9" s="21">
        <f>IFERROR(MAX(0,Collateral!D12-Waterfall!D8)/Waterfall!D14,0)</f>
        <v/>
      </c>
      <c r="E9" s="21">
        <f>IFERROR(MAX(0,Collateral!E12-Waterfall!E8)/Waterfall!E14,0)</f>
        <v/>
      </c>
      <c r="F9" s="21">
        <f>IFERROR(MAX(0,Collateral!F12-Waterfall!F8)/Waterfall!F14,0)</f>
        <v/>
      </c>
      <c r="G9" s="21">
        <f>IFERROR(MAX(0,Collateral!G12-Waterfall!G8)/Waterfall!G14,0)</f>
        <v/>
      </c>
      <c r="H9" s="21">
        <f>IFERROR(MAX(0,Collateral!H12-Waterfall!H8)/Waterfall!H14,0)</f>
        <v/>
      </c>
      <c r="I9" s="21">
        <f>IFERROR(MAX(0,Collateral!I12-Waterfall!I8)/Waterfall!I14,0)</f>
        <v/>
      </c>
      <c r="J9" s="21">
        <f>IFERROR(MAX(0,Collateral!J12-Waterfall!J8)/Waterfall!J14,0)</f>
        <v/>
      </c>
      <c r="K9" s="21">
        <f>IFERROR(MAX(0,Collateral!K12-Waterfall!K8)/Waterfall!K14,0)</f>
        <v/>
      </c>
      <c r="L9" s="21">
        <f>IFERROR(MAX(0,Collateral!L12-Waterfall!L8)/Waterfall!L14,0)</f>
        <v/>
      </c>
      <c r="M9" s="21">
        <f>IFERROR(MAX(0,Collateral!M12-Waterfall!M8)/Waterfall!M14,0)</f>
        <v/>
      </c>
      <c r="N9" s="21">
        <f>IFERROR(MAX(0,Collateral!N12-Waterfall!N8)/Waterfall!N14,0)</f>
        <v/>
      </c>
      <c r="O9" s="21">
        <f>IFERROR(MAX(0,Collateral!O12-Waterfall!O8)/Waterfall!O14,0)</f>
        <v/>
      </c>
      <c r="P9" s="21">
        <f>IFERROR(MAX(0,Collateral!P12-Waterfall!P8)/Waterfall!P14,0)</f>
        <v/>
      </c>
      <c r="Q9" s="21">
        <f>IFERROR(MAX(0,Collateral!Q12-Waterfall!Q8)/Waterfall!Q14,0)</f>
        <v/>
      </c>
      <c r="R9" s="21">
        <f>IFERROR(MAX(0,Collateral!R12-Waterfall!R8)/Waterfall!R14,0)</f>
        <v/>
      </c>
      <c r="S9" s="21">
        <f>IFERROR(MAX(0,Collateral!S12-Waterfall!S8)/Waterfall!S14,0)</f>
        <v/>
      </c>
      <c r="T9" s="21">
        <f>IFERROR(MAX(0,Collateral!T12-Waterfall!T8)/Waterfall!T14,0)</f>
        <v/>
      </c>
      <c r="U9" s="21">
        <f>IFERROR(MAX(0,Collateral!U12-Waterfall!U8)/Waterfall!U14,0)</f>
        <v/>
      </c>
      <c r="V9" s="21">
        <f>IFERROR(MAX(0,Collateral!V12-Waterfall!V8)/Waterfall!V14,0)</f>
        <v/>
      </c>
      <c r="W9" s="21">
        <f>IFERROR(MAX(0,Collateral!W12-Waterfall!W8)/Waterfall!W14,0)</f>
        <v/>
      </c>
      <c r="X9" s="21">
        <f>IFERROR(MAX(0,Collateral!X12-Waterfall!X8)/Waterfall!X14,0)</f>
        <v/>
      </c>
      <c r="Y9" s="21">
        <f>IFERROR(MAX(0,Collateral!Y12-Waterfall!Y8)/Waterfall!Y14,0)</f>
        <v/>
      </c>
      <c r="Z9" s="21">
        <f>IFERROR(MAX(0,Collateral!Z12-Waterfall!Z8)/Waterfall!Z14,0)</f>
        <v/>
      </c>
    </row>
    <row r="10">
      <c r="B10" t="inlineStr">
        <is>
          <t>Minimum mezz IC</t>
        </is>
      </c>
      <c r="C10" s="21">
        <f>Assumptions!$E$19</f>
        <v/>
      </c>
      <c r="D10" s="21">
        <f>Assumptions!$E$19</f>
        <v/>
      </c>
      <c r="E10" s="21">
        <f>Assumptions!$E$19</f>
        <v/>
      </c>
      <c r="F10" s="21">
        <f>Assumptions!$E$19</f>
        <v/>
      </c>
      <c r="G10" s="21">
        <f>Assumptions!$E$19</f>
        <v/>
      </c>
      <c r="H10" s="21">
        <f>Assumptions!$E$19</f>
        <v/>
      </c>
      <c r="I10" s="21">
        <f>Assumptions!$E$19</f>
        <v/>
      </c>
      <c r="J10" s="21">
        <f>Assumptions!$E$19</f>
        <v/>
      </c>
      <c r="K10" s="21">
        <f>Assumptions!$E$19</f>
        <v/>
      </c>
      <c r="L10" s="21">
        <f>Assumptions!$E$19</f>
        <v/>
      </c>
      <c r="M10" s="21">
        <f>Assumptions!$E$19</f>
        <v/>
      </c>
      <c r="N10" s="21">
        <f>Assumptions!$E$19</f>
        <v/>
      </c>
      <c r="O10" s="21">
        <f>Assumptions!$E$19</f>
        <v/>
      </c>
      <c r="P10" s="21">
        <f>Assumptions!$E$19</f>
        <v/>
      </c>
      <c r="Q10" s="21">
        <f>Assumptions!$E$19</f>
        <v/>
      </c>
      <c r="R10" s="21">
        <f>Assumptions!$E$19</f>
        <v/>
      </c>
      <c r="S10" s="21">
        <f>Assumptions!$E$19</f>
        <v/>
      </c>
      <c r="T10" s="21">
        <f>Assumptions!$E$19</f>
        <v/>
      </c>
      <c r="U10" s="21">
        <f>Assumptions!$E$19</f>
        <v/>
      </c>
      <c r="V10" s="21">
        <f>Assumptions!$E$19</f>
        <v/>
      </c>
      <c r="W10" s="21">
        <f>Assumptions!$E$19</f>
        <v/>
      </c>
      <c r="X10" s="21">
        <f>Assumptions!$E$19</f>
        <v/>
      </c>
      <c r="Y10" s="21">
        <f>Assumptions!$E$19</f>
        <v/>
      </c>
      <c r="Z10" s="21">
        <f>Assumptions!$E$19</f>
        <v/>
      </c>
    </row>
    <row r="11">
      <c r="B11" t="inlineStr">
        <is>
          <t>Trigger status</t>
        </is>
      </c>
      <c r="C11">
        <f>IF(AND(C5&gt;=C6,C7&gt;=C8,C9&gt;=C10),"PASS","TRIGGER")</f>
        <v/>
      </c>
      <c r="D11">
        <f>IF(AND(D5&gt;=D6,D7&gt;=D8,D9&gt;=D10),"PASS","TRIGGER")</f>
        <v/>
      </c>
      <c r="E11">
        <f>IF(AND(E5&gt;=E6,E7&gt;=E8,E9&gt;=E10),"PASS","TRIGGER")</f>
        <v/>
      </c>
      <c r="F11">
        <f>IF(AND(F5&gt;=F6,F7&gt;=F8,F9&gt;=F10),"PASS","TRIGGER")</f>
        <v/>
      </c>
      <c r="G11">
        <f>IF(AND(G5&gt;=G6,G7&gt;=G8,G9&gt;=G10),"PASS","TRIGGER")</f>
        <v/>
      </c>
      <c r="H11">
        <f>IF(AND(H5&gt;=H6,H7&gt;=H8,H9&gt;=H10),"PASS","TRIGGER")</f>
        <v/>
      </c>
      <c r="I11">
        <f>IF(AND(I5&gt;=I6,I7&gt;=I8,I9&gt;=I10),"PASS","TRIGGER")</f>
        <v/>
      </c>
      <c r="J11">
        <f>IF(AND(J5&gt;=J6,J7&gt;=J8,J9&gt;=J10),"PASS","TRIGGER")</f>
        <v/>
      </c>
      <c r="K11">
        <f>IF(AND(K5&gt;=K6,K7&gt;=K8,K9&gt;=K10),"PASS","TRIGGER")</f>
        <v/>
      </c>
      <c r="L11">
        <f>IF(AND(L5&gt;=L6,L7&gt;=L8,L9&gt;=L10),"PASS","TRIGGER")</f>
        <v/>
      </c>
      <c r="M11">
        <f>IF(AND(M5&gt;=M6,M7&gt;=M8,M9&gt;=M10),"PASS","TRIGGER")</f>
        <v/>
      </c>
      <c r="N11">
        <f>IF(AND(N5&gt;=N6,N7&gt;=N8,N9&gt;=N10),"PASS","TRIGGER")</f>
        <v/>
      </c>
      <c r="O11">
        <f>IF(AND(O5&gt;=O6,O7&gt;=O8,O9&gt;=O10),"PASS","TRIGGER")</f>
        <v/>
      </c>
      <c r="P11">
        <f>IF(AND(P5&gt;=P6,P7&gt;=P8,P9&gt;=P10),"PASS","TRIGGER")</f>
        <v/>
      </c>
      <c r="Q11">
        <f>IF(AND(Q5&gt;=Q6,Q7&gt;=Q8,Q9&gt;=Q10),"PASS","TRIGGER")</f>
        <v/>
      </c>
      <c r="R11">
        <f>IF(AND(R5&gt;=R6,R7&gt;=R8,R9&gt;=R10),"PASS","TRIGGER")</f>
        <v/>
      </c>
      <c r="S11">
        <f>IF(AND(S5&gt;=S6,S7&gt;=S8,S9&gt;=S10),"PASS","TRIGGER")</f>
        <v/>
      </c>
      <c r="T11">
        <f>IF(AND(T5&gt;=T6,T7&gt;=T8,T9&gt;=T10),"PASS","TRIGGER")</f>
        <v/>
      </c>
      <c r="U11">
        <f>IF(AND(U5&gt;=U6,U7&gt;=U8,U9&gt;=U10),"PASS","TRIGGER")</f>
        <v/>
      </c>
      <c r="V11">
        <f>IF(AND(V5&gt;=V6,V7&gt;=V8,V9&gt;=V10),"PASS","TRIGGER")</f>
        <v/>
      </c>
      <c r="W11">
        <f>IF(AND(W5&gt;=W6,W7&gt;=W8,W9&gt;=W10),"PASS","TRIGGER")</f>
        <v/>
      </c>
      <c r="X11">
        <f>IF(AND(X5&gt;=X6,X7&gt;=X8,X9&gt;=X10),"PASS","TRIGGER")</f>
        <v/>
      </c>
      <c r="Y11">
        <f>IF(AND(Y5&gt;=Y6,Y7&gt;=Y8,Y9&gt;=Y10),"PASS","TRIGGER")</f>
        <v/>
      </c>
      <c r="Z11">
        <f>IF(AND(Z5&gt;=Z6,Z7&gt;=Z8,Z9&gt;=Z10),"PASS","TRIGGER")</f>
        <v/>
      </c>
    </row>
  </sheetData>
  <mergeCells count="1">
    <mergeCell ref="B2:Z2"/>
  </mergeCells>
  <conditionalFormatting sqref="C11:Z11">
    <cfRule type="expression" priority="1" dxfId="0">
      <formula>C11="PASS"</formula>
    </cfRule>
    <cfRule type="expression" priority="2" dxfId="1">
      <formula>C11="FAIL"</formula>
    </cfRule>
    <cfRule type="expression" priority="3" dxfId="2">
      <formula>C11="REVIEW"</formula>
    </cfRule>
    <cfRule type="expression" priority="4" dxfId="1">
      <formula>C11="BREACH"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8" customWidth="1" min="4" max="4"/>
    <col width="18" customWidth="1" min="5" max="5"/>
    <col width="38" customWidth="1" min="6" max="6"/>
  </cols>
  <sheetData>
    <row r="2" ht="28" customHeight="1">
      <c r="B2" s="1" t="inlineStr">
        <is>
          <t>Tranche Yield, WAL, and Loss Analytics</t>
        </is>
      </c>
    </row>
    <row r="4">
      <c r="B4" s="8" t="inlineStr">
        <is>
          <t>Metric</t>
        </is>
      </c>
      <c r="C4" s="8" t="inlineStr">
        <is>
          <t>Senior</t>
        </is>
      </c>
      <c r="D4" s="8" t="inlineStr">
        <is>
          <t>Mezz</t>
        </is>
      </c>
      <c r="E4" s="8" t="inlineStr">
        <is>
          <t>Residual</t>
        </is>
      </c>
      <c r="F4" s="8" t="inlineStr">
        <is>
          <t>Notes</t>
        </is>
      </c>
    </row>
    <row r="5">
      <c r="B5" t="inlineStr">
        <is>
          <t>Opening balance</t>
        </is>
      </c>
      <c r="C5" s="17">
        <f>Assumptions!E12</f>
        <v/>
      </c>
      <c r="D5" s="17">
        <f>Assumptions!E14</f>
        <v/>
      </c>
      <c r="E5" s="17">
        <f>Assumptions!E5-Assumptions!E12-Assumptions!E14</f>
        <v/>
      </c>
      <c r="F5" t="inlineStr">
        <is>
          <t>capital structure</t>
        </is>
      </c>
    </row>
    <row r="6">
      <c r="B6" t="inlineStr">
        <is>
          <t>Ending balance</t>
        </is>
      </c>
      <c r="C6" s="17">
        <f>Waterfall!Z12</f>
        <v/>
      </c>
      <c r="D6" s="17">
        <f>Waterfall!Z18</f>
        <v/>
      </c>
      <c r="E6" s="17">
        <f>0</f>
        <v/>
      </c>
      <c r="F6" t="inlineStr">
        <is>
          <t>modeled horizon</t>
        </is>
      </c>
    </row>
    <row r="7">
      <c r="B7" t="inlineStr">
        <is>
          <t>Principal paid</t>
        </is>
      </c>
      <c r="C7" s="17">
        <f>SUM(Waterfall!C11:Z11)</f>
        <v/>
      </c>
      <c r="D7" s="17">
        <f>SUM(Waterfall!C17:Z17)</f>
        <v/>
      </c>
      <c r="E7" s="17">
        <f>0</f>
        <v/>
      </c>
      <c r="F7" t="inlineStr">
        <is>
          <t>cash principal</t>
        </is>
      </c>
    </row>
    <row r="8">
      <c r="B8" t="inlineStr">
        <is>
          <t>Interest paid</t>
        </is>
      </c>
      <c r="C8" s="17">
        <f>SUM(Waterfall!C9:Z9)</f>
        <v/>
      </c>
      <c r="D8" s="17">
        <f>SUM(Waterfall!C15:Z15)</f>
        <v/>
      </c>
      <c r="E8" s="17">
        <f>SUM(Waterfall!C19:Z19)</f>
        <v/>
      </c>
      <c r="F8" t="inlineStr">
        <is>
          <t>cash interest / residual</t>
        </is>
      </c>
    </row>
    <row r="9">
      <c r="B9" t="inlineStr">
        <is>
          <t>WAL</t>
        </is>
      </c>
      <c r="C9" s="21">
        <f>SUMPRODUCT(COLUMN(Waterfall!C11:Z11)-COLUMN(Waterfall!B11),Waterfall!C11:Z11)/Assumptions!E20/SUM(Waterfall!C11:Z11)</f>
        <v/>
      </c>
      <c r="D9" s="21">
        <f>SUMPRODUCT(COLUMN(Waterfall!C17:Z17)-COLUMN(Waterfall!B17),Waterfall!C17:Z17)/Assumptions!E20/SUM(Waterfall!C17:Z17)</f>
        <v/>
      </c>
      <c r="E9" s="21">
        <f>0</f>
        <v/>
      </c>
      <c r="F9" t="inlineStr">
        <is>
          <t>years</t>
        </is>
      </c>
    </row>
    <row r="10">
      <c r="B10" t="inlineStr">
        <is>
          <t>Interest shortfall</t>
        </is>
      </c>
      <c r="C10" s="17">
        <f>SUM(Waterfall!C10:Z10)</f>
        <v/>
      </c>
      <c r="D10" s="17">
        <f>SUM(Waterfall!C16:Z16)</f>
        <v/>
      </c>
      <c r="E10" s="17">
        <f>0</f>
        <v/>
      </c>
      <c r="F10" t="inlineStr">
        <is>
          <t>cumulative</t>
        </is>
      </c>
    </row>
    <row r="11">
      <c r="B11" t="inlineStr">
        <is>
          <t>Principal loss / unpaid balance</t>
        </is>
      </c>
      <c r="C11" s="17">
        <f>Waterfall!Z12</f>
        <v/>
      </c>
      <c r="D11" s="17">
        <f>Waterfall!Z18</f>
        <v/>
      </c>
      <c r="E11" s="17">
        <f>MAX(0,Collateral!Z14-Waterfall!Z12-Waterfall!Z18)</f>
        <v/>
      </c>
      <c r="F11" t="inlineStr">
        <is>
          <t>end-horizon exposure</t>
        </is>
      </c>
    </row>
  </sheetData>
  <mergeCells count="1">
    <mergeCell ref="B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Senior Ending Balance Sensitivity</t>
        </is>
      </c>
    </row>
    <row r="4">
      <c r="B4" s="8" t="inlineStr">
        <is>
          <t>CDR / CPR</t>
        </is>
      </c>
      <c r="C4" s="22" t="n">
        <v>0</v>
      </c>
      <c r="D4" s="22" t="n">
        <v>0.06</v>
      </c>
      <c r="E4" s="22" t="n">
        <v>0.12</v>
      </c>
      <c r="F4" s="22" t="n">
        <v>0.18</v>
      </c>
      <c r="G4" s="22" t="n">
        <v>0.24</v>
      </c>
    </row>
    <row r="5">
      <c r="B5" s="23" t="n">
        <v>0</v>
      </c>
      <c r="C5" s="17">
        <f>MAX(0,Assumptions!$E$12-Assumptions!$E$5*(1-(1-$B5)^(2))*(1-Assumptions!$E$9)-Assumptions!$E$5*(1-(1-C$4)^2))</f>
        <v/>
      </c>
      <c r="D5" s="17">
        <f>MAX(0,Assumptions!$E$12-Assumptions!$E$5*(1-(1-$B5)^(2))*(1-Assumptions!$E$9)-Assumptions!$E$5*(1-(1-D$4)^2))</f>
        <v/>
      </c>
      <c r="E5" s="17">
        <f>MAX(0,Assumptions!$E$12-Assumptions!$E$5*(1-(1-$B5)^(2))*(1-Assumptions!$E$9)-Assumptions!$E$5*(1-(1-E$4)^2))</f>
        <v/>
      </c>
      <c r="F5" s="17">
        <f>MAX(0,Assumptions!$E$12-Assumptions!$E$5*(1-(1-$B5)^(2))*(1-Assumptions!$E$9)-Assumptions!$E$5*(1-(1-F$4)^2))</f>
        <v/>
      </c>
      <c r="G5" s="17">
        <f>MAX(0,Assumptions!$E$12-Assumptions!$E$5*(1-(1-$B5)^(2))*(1-Assumptions!$E$9)-Assumptions!$E$5*(1-(1-G$4)^2))</f>
        <v/>
      </c>
    </row>
    <row r="6">
      <c r="B6" s="23" t="n">
        <v>0.03</v>
      </c>
      <c r="C6" s="17">
        <f>MAX(0,Assumptions!$E$12-Assumptions!$E$5*(1-(1-$B6)^(2))*(1-Assumptions!$E$9)-Assumptions!$E$5*(1-(1-C$4)^2))</f>
        <v/>
      </c>
      <c r="D6" s="17">
        <f>MAX(0,Assumptions!$E$12-Assumptions!$E$5*(1-(1-$B6)^(2))*(1-Assumptions!$E$9)-Assumptions!$E$5*(1-(1-D$4)^2))</f>
        <v/>
      </c>
      <c r="E6" s="17">
        <f>MAX(0,Assumptions!$E$12-Assumptions!$E$5*(1-(1-$B6)^(2))*(1-Assumptions!$E$9)-Assumptions!$E$5*(1-(1-E$4)^2))</f>
        <v/>
      </c>
      <c r="F6" s="17">
        <f>MAX(0,Assumptions!$E$12-Assumptions!$E$5*(1-(1-$B6)^(2))*(1-Assumptions!$E$9)-Assumptions!$E$5*(1-(1-F$4)^2))</f>
        <v/>
      </c>
      <c r="G6" s="17">
        <f>MAX(0,Assumptions!$E$12-Assumptions!$E$5*(1-(1-$B6)^(2))*(1-Assumptions!$E$9)-Assumptions!$E$5*(1-(1-G$4)^2))</f>
        <v/>
      </c>
    </row>
    <row r="7">
      <c r="B7" s="23" t="n">
        <v>0.06</v>
      </c>
      <c r="C7" s="17">
        <f>MAX(0,Assumptions!$E$12-Assumptions!$E$5*(1-(1-$B7)^(2))*(1-Assumptions!$E$9)-Assumptions!$E$5*(1-(1-C$4)^2))</f>
        <v/>
      </c>
      <c r="D7" s="17">
        <f>MAX(0,Assumptions!$E$12-Assumptions!$E$5*(1-(1-$B7)^(2))*(1-Assumptions!$E$9)-Assumptions!$E$5*(1-(1-D$4)^2))</f>
        <v/>
      </c>
      <c r="E7" s="17">
        <f>MAX(0,Assumptions!$E$12-Assumptions!$E$5*(1-(1-$B7)^(2))*(1-Assumptions!$E$9)-Assumptions!$E$5*(1-(1-E$4)^2))</f>
        <v/>
      </c>
      <c r="F7" s="17">
        <f>MAX(0,Assumptions!$E$12-Assumptions!$E$5*(1-(1-$B7)^(2))*(1-Assumptions!$E$9)-Assumptions!$E$5*(1-(1-F$4)^2))</f>
        <v/>
      </c>
      <c r="G7" s="17">
        <f>MAX(0,Assumptions!$E$12-Assumptions!$E$5*(1-(1-$B7)^(2))*(1-Assumptions!$E$9)-Assumptions!$E$5*(1-(1-G$4)^2))</f>
        <v/>
      </c>
    </row>
    <row r="8">
      <c r="B8" s="23" t="n">
        <v>0.09</v>
      </c>
      <c r="C8" s="17">
        <f>MAX(0,Assumptions!$E$12-Assumptions!$E$5*(1-(1-$B8)^(2))*(1-Assumptions!$E$9)-Assumptions!$E$5*(1-(1-C$4)^2))</f>
        <v/>
      </c>
      <c r="D8" s="17">
        <f>MAX(0,Assumptions!$E$12-Assumptions!$E$5*(1-(1-$B8)^(2))*(1-Assumptions!$E$9)-Assumptions!$E$5*(1-(1-D$4)^2))</f>
        <v/>
      </c>
      <c r="E8" s="17">
        <f>MAX(0,Assumptions!$E$12-Assumptions!$E$5*(1-(1-$B8)^(2))*(1-Assumptions!$E$9)-Assumptions!$E$5*(1-(1-E$4)^2))</f>
        <v/>
      </c>
      <c r="F8" s="17">
        <f>MAX(0,Assumptions!$E$12-Assumptions!$E$5*(1-(1-$B8)^(2))*(1-Assumptions!$E$9)-Assumptions!$E$5*(1-(1-F$4)^2))</f>
        <v/>
      </c>
      <c r="G8" s="17">
        <f>MAX(0,Assumptions!$E$12-Assumptions!$E$5*(1-(1-$B8)^(2))*(1-Assumptions!$E$9)-Assumptions!$E$5*(1-(1-G$4)^2))</f>
        <v/>
      </c>
    </row>
    <row r="9">
      <c r="B9" s="23" t="n">
        <v>0.12</v>
      </c>
      <c r="C9" s="17">
        <f>MAX(0,Assumptions!$E$12-Assumptions!$E$5*(1-(1-$B9)^(2))*(1-Assumptions!$E$9)-Assumptions!$E$5*(1-(1-C$4)^2))</f>
        <v/>
      </c>
      <c r="D9" s="17">
        <f>MAX(0,Assumptions!$E$12-Assumptions!$E$5*(1-(1-$B9)^(2))*(1-Assumptions!$E$9)-Assumptions!$E$5*(1-(1-D$4)^2))</f>
        <v/>
      </c>
      <c r="E9" s="17">
        <f>MAX(0,Assumptions!$E$12-Assumptions!$E$5*(1-(1-$B9)^(2))*(1-Assumptions!$E$9)-Assumptions!$E$5*(1-(1-E$4)^2))</f>
        <v/>
      </c>
      <c r="F9" s="17">
        <f>MAX(0,Assumptions!$E$12-Assumptions!$E$5*(1-(1-$B9)^(2))*(1-Assumptions!$E$9)-Assumptions!$E$5*(1-(1-F$4)^2))</f>
        <v/>
      </c>
      <c r="G9" s="17">
        <f>MAX(0,Assumptions!$E$12-Assumptions!$E$5*(1-(1-$B9)^(2))*(1-Assumptions!$E$9)-Assumptions!$E$5*(1-(1-G$4)^2))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E2F0D9"/>
        <color rgb="00FFF2CC"/>
        <color rgb="00FCE4D6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8" customWidth="1" min="3" max="3"/>
  </cols>
  <sheetData>
    <row r="2" ht="28" customHeight="1">
      <c r="B2" s="1" t="inlineStr">
        <is>
          <t>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Collateral balance nonnegative</t>
        </is>
      </c>
      <c r="C5">
        <f>IF(MIN(Collateral!C14:Z14)&gt;=0,"PASS","FAIL")</f>
        <v/>
      </c>
    </row>
    <row r="6">
      <c r="B6" t="inlineStr">
        <is>
          <t>Senior balance nonnegative</t>
        </is>
      </c>
      <c r="C6">
        <f>IF(MIN(Waterfall!C12:Z12)&gt;=0,"PASS","FAIL")</f>
        <v/>
      </c>
    </row>
    <row r="7">
      <c r="B7" t="inlineStr">
        <is>
          <t>Mezz balance nonnegative</t>
        </is>
      </c>
      <c r="C7">
        <f>IF(MIN(Waterfall!C18:Z18)&gt;=0,"PASS","FAIL")</f>
        <v/>
      </c>
    </row>
    <row r="8">
      <c r="B8" t="inlineStr">
        <is>
          <t>Collateral roll-forward</t>
        </is>
      </c>
      <c r="C8">
        <f>IF(MAX(ABS(Collateral!C5:Z5-Collateral!C6:Z6-Collateral!C7:Z7-Collateral!C9:Z9-Collateral!C14:Z14))&lt;0.000001,"PASS","FAIL")</f>
        <v/>
      </c>
    </row>
    <row r="9">
      <c r="B9" t="inlineStr">
        <is>
          <t>Interest waterfall conserved</t>
        </is>
      </c>
      <c r="C9">
        <f>IF(MAX(ABS(Collateral!C12:Z12+Collateral!C8:Z8-Waterfall!C9:Z9-Waterfall!C15:Z15-(Waterfall!C19:Z19-MAX(0,Waterfall!C6:Z6-Waterfall!C11:Z11-Waterfall!C17:Z17))))&lt;0.000001,"PASS","REVIEW")</f>
        <v/>
      </c>
    </row>
    <row r="10">
      <c r="B10" t="inlineStr">
        <is>
          <t>No trigger breach</t>
        </is>
      </c>
      <c r="C10">
        <f>IF(COUNTIF(Triggers!C11:Z11,"TRIGGER")=0,"PASS","REVIEW")</f>
        <v/>
      </c>
    </row>
    <row r="11">
      <c r="B11" t="inlineStr">
        <is>
          <t>Recovery and loss rates bounded</t>
        </is>
      </c>
      <c r="C11">
        <f>IF(AND(MIN('Loss Curves'!C7:Z9)&gt;=0,MAX('Loss Curves'!C7:Z9)&lt;=1),"PASS","FAIL")</f>
        <v/>
      </c>
    </row>
    <row r="12">
      <c r="B12" t="inlineStr">
        <is>
          <t>Overall</t>
        </is>
      </c>
      <c r="C12">
        <f>IF(COUNTIF(C5:C11,"FAIL")=0,"PASS","FAIL")</f>
        <v/>
      </c>
    </row>
  </sheetData>
  <mergeCells count="1">
    <mergeCell ref="B2:C2"/>
  </mergeCells>
  <conditionalFormatting sqref="C5:C12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4" t="inlineStr">
        <is>
          <t>Offering memorandum / indenture</t>
        </is>
      </c>
      <c r="C5" s="24" t="inlineStr">
        <is>
          <t>[public filing / data room URL]</t>
        </is>
      </c>
      <c r="D5" s="24" t="inlineStr">
        <is>
          <t>[date]</t>
        </is>
      </c>
      <c r="E5" s="24" t="inlineStr">
        <is>
          <t>Capital structure, priority of payments, triggers</t>
        </is>
      </c>
    </row>
    <row r="6">
      <c r="B6" s="24" t="inlineStr">
        <is>
          <t>Servicer report</t>
        </is>
      </c>
      <c r="C6" s="24" t="inlineStr">
        <is>
          <t>[trustee / servicer URL]</t>
        </is>
      </c>
      <c r="D6" s="24" t="inlineStr">
        <is>
          <t>[payment date]</t>
        </is>
      </c>
      <c r="E6" s="24" t="inlineStr">
        <is>
          <t>Pool balance, delinquencies, defaults, recoveries</t>
        </is>
      </c>
    </row>
    <row r="7">
      <c r="B7" s="24" t="inlineStr">
        <is>
          <t>Collateral data tape</t>
        </is>
      </c>
      <c r="C7" s="24" t="inlineStr">
        <is>
          <t>[restricted source]</t>
        </is>
      </c>
      <c r="D7" s="24" t="inlineStr">
        <is>
          <t>[cut-off date]</t>
        </is>
      </c>
      <c r="E7" s="24" t="inlineStr">
        <is>
          <t>Loan-level fields and transformations</t>
        </is>
      </c>
    </row>
    <row r="8">
      <c r="B8" s="24" t="inlineStr">
        <is>
          <t>Rating methodology</t>
        </is>
      </c>
      <c r="C8" s="24" t="inlineStr">
        <is>
          <t>[agency methodology URL]</t>
        </is>
      </c>
      <c r="D8" s="24" t="inlineStr">
        <is>
          <t>[date]</t>
        </is>
      </c>
      <c r="E8" s="24" t="inlineStr">
        <is>
          <t>Stress assumptions and legal criteria</t>
        </is>
      </c>
    </row>
    <row r="9">
      <c r="B9" s="24" t="inlineStr">
        <is>
          <t>Market benchmarks</t>
        </is>
      </c>
      <c r="C9" s="24" t="inlineStr">
        <is>
          <t>[market data URL]</t>
        </is>
      </c>
      <c r="D9" s="24" t="inlineStr">
        <is>
          <t>[date]</t>
        </is>
      </c>
      <c r="E9" s="24" t="inlineStr">
        <is>
          <t>Spreads, CPR/CDR expectations, relative value</t>
        </is>
      </c>
    </row>
  </sheetData>
  <mergeCells count="1"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5" t="n"/>
      <c r="C5" s="25" t="n"/>
      <c r="D5" s="25" t="n"/>
      <c r="E5" s="25" t="n"/>
      <c r="F5" s="25" t="n"/>
      <c r="G5" s="25" t="n"/>
    </row>
    <row r="6">
      <c r="B6" s="25" t="n"/>
      <c r="C6" s="25" t="n"/>
      <c r="D6" s="25" t="n"/>
      <c r="E6" s="25" t="n"/>
      <c r="F6" s="25" t="n"/>
      <c r="G6" s="25" t="n"/>
    </row>
    <row r="7">
      <c r="B7" s="25" t="n"/>
      <c r="C7" s="25" t="n"/>
      <c r="D7" s="25" t="n"/>
      <c r="E7" s="25" t="n"/>
      <c r="F7" s="25" t="n"/>
      <c r="G7" s="25" t="n"/>
    </row>
    <row r="8">
      <c r="B8" s="25" t="n"/>
      <c r="C8" s="25" t="n"/>
      <c r="D8" s="25" t="n"/>
      <c r="E8" s="25" t="n"/>
      <c r="F8" s="25" t="n"/>
      <c r="G8" s="25" t="n"/>
    </row>
    <row r="9">
      <c r="B9" s="25" t="n"/>
      <c r="C9" s="25" t="n"/>
      <c r="D9" s="25" t="n"/>
      <c r="E9" s="25" t="n"/>
      <c r="F9" s="25" t="n"/>
      <c r="G9" s="25" t="n"/>
    </row>
    <row r="10">
      <c r="B10" s="25" t="n"/>
      <c r="C10" s="25" t="n"/>
      <c r="D10" s="25" t="n"/>
      <c r="E10" s="25" t="n"/>
      <c r="F10" s="25" t="n"/>
      <c r="G10" s="25" t="n"/>
    </row>
    <row r="11">
      <c r="B11" s="25" t="n"/>
      <c r="C11" s="25" t="n"/>
      <c r="D11" s="25" t="n"/>
      <c r="E11" s="25" t="n"/>
      <c r="F11" s="25" t="n"/>
      <c r="G11" s="25" t="n"/>
    </row>
    <row r="12">
      <c r="B12" s="25" t="n"/>
      <c r="C12" s="25" t="n"/>
      <c r="D12" s="25" t="n"/>
      <c r="E12" s="25" t="n"/>
      <c r="F12" s="25" t="n"/>
      <c r="G12" s="25" t="n"/>
    </row>
    <row r="13">
      <c r="B13" s="25" t="n"/>
      <c r="C13" s="25" t="n"/>
      <c r="D13" s="25" t="n"/>
      <c r="E13" s="25" t="n"/>
      <c r="F13" s="25" t="n"/>
      <c r="G13" s="25" t="n"/>
    </row>
    <row r="14">
      <c r="B14" s="25" t="n"/>
      <c r="C14" s="25" t="n"/>
      <c r="D14" s="25" t="n"/>
      <c r="E14" s="25" t="n"/>
      <c r="F14" s="25" t="n"/>
      <c r="G14" s="25" t="n"/>
    </row>
    <row r="15">
      <c r="B15" s="25" t="n"/>
      <c r="C15" s="25" t="n"/>
      <c r="D15" s="25" t="n"/>
      <c r="E15" s="25" t="n"/>
      <c r="F15" s="25" t="n"/>
      <c r="G15" s="25" t="n"/>
    </row>
    <row r="16">
      <c r="B16" s="25" t="n"/>
      <c r="C16" s="25" t="n"/>
      <c r="D16" s="25" t="n"/>
      <c r="E16" s="25" t="n"/>
      <c r="F16" s="25" t="n"/>
      <c r="G16" s="25" t="n"/>
    </row>
    <row r="17">
      <c r="B17" s="25" t="n"/>
      <c r="C17" s="25" t="n"/>
      <c r="D17" s="25" t="n"/>
      <c r="E17" s="25" t="n"/>
      <c r="F17" s="25" t="n"/>
      <c r="G17" s="25" t="n"/>
    </row>
    <row r="18">
      <c r="B18" s="25" t="n"/>
      <c r="C18" s="25" t="n"/>
      <c r="D18" s="25" t="n"/>
      <c r="E18" s="25" t="n"/>
      <c r="F18" s="25" t="n"/>
      <c r="G18" s="25" t="n"/>
    </row>
    <row r="19">
      <c r="B19" s="25" t="n"/>
      <c r="C19" s="25" t="n"/>
      <c r="D19" s="25" t="n"/>
      <c r="E19" s="25" t="n"/>
      <c r="F19" s="25" t="n"/>
      <c r="G19" s="25" t="n"/>
    </row>
    <row r="20">
      <c r="B20" s="25" t="n"/>
      <c r="C20" s="25" t="n"/>
      <c r="D20" s="25" t="n"/>
      <c r="E20" s="25" t="n"/>
      <c r="F20" s="25" t="n"/>
      <c r="G20" s="25" t="n"/>
    </row>
    <row r="21">
      <c r="B21" s="25" t="n"/>
      <c r="C21" s="25" t="n"/>
      <c r="D21" s="25" t="n"/>
      <c r="E21" s="25" t="n"/>
      <c r="F21" s="25" t="n"/>
      <c r="G21" s="25" t="n"/>
    </row>
    <row r="22">
      <c r="B22" s="25" t="n"/>
      <c r="C22" s="25" t="n"/>
      <c r="D22" s="25" t="n"/>
      <c r="E22" s="25" t="n"/>
      <c r="F22" s="25" t="n"/>
      <c r="G22" s="25" t="n"/>
    </row>
    <row r="23">
      <c r="B23" s="25" t="n"/>
      <c r="C23" s="25" t="n"/>
      <c r="D23" s="25" t="n"/>
      <c r="E23" s="25" t="n"/>
      <c r="F23" s="25" t="n"/>
      <c r="G23" s="25" t="n"/>
    </row>
    <row r="24">
      <c r="B24" s="25" t="n"/>
      <c r="C24" s="25" t="n"/>
      <c r="D24" s="25" t="n"/>
      <c r="E24" s="25" t="n"/>
      <c r="F24" s="25" t="n"/>
      <c r="G24" s="25" t="n"/>
    </row>
    <row r="25">
      <c r="B25" s="25" t="n"/>
      <c r="C25" s="25" t="n"/>
      <c r="D25" s="25" t="n"/>
      <c r="E25" s="25" t="n"/>
      <c r="F25" s="25" t="n"/>
      <c r="G25" s="25" t="n"/>
    </row>
    <row r="26">
      <c r="B26" s="25" t="n"/>
      <c r="C26" s="25" t="n"/>
      <c r="D26" s="25" t="n"/>
      <c r="E26" s="25" t="n"/>
      <c r="F26" s="25" t="n"/>
      <c r="G26" s="25" t="n"/>
    </row>
    <row r="27">
      <c r="B27" s="25" t="n"/>
      <c r="C27" s="25" t="n"/>
      <c r="D27" s="25" t="n"/>
      <c r="E27" s="25" t="n"/>
      <c r="F27" s="25" t="n"/>
      <c r="G27" s="25" t="n"/>
    </row>
    <row r="28">
      <c r="B28" s="25" t="n"/>
      <c r="C28" s="25" t="n"/>
      <c r="D28" s="25" t="n"/>
      <c r="E28" s="25" t="n"/>
      <c r="F28" s="25" t="n"/>
      <c r="G28" s="25" t="n"/>
    </row>
    <row r="29">
      <c r="B29" s="25" t="n"/>
      <c r="C29" s="25" t="n"/>
      <c r="D29" s="25" t="n"/>
      <c r="E29" s="25" t="n"/>
      <c r="F29" s="25" t="n"/>
      <c r="G29" s="25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2026-08-05T22:48:49Z</dcterms:created>
  <dcterms:modified xmlns:dcterms="http://purl.org/dc/terms/" xmlns:xsi="http://www.w3.org/2001/XMLSchema-instance" xsi:type="dcterms:W3CDTF">2026-08-05T22:48:49Z</dcterms:modified>
</cp:coreProperties>
</file>