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Cap Table" sheetId="5" state="visible" r:id="rId5"/>
    <sheet xmlns:r="http://schemas.openxmlformats.org/officeDocument/2006/relationships" name="Round Modeling" sheetId="6" state="visible" r:id="rId6"/>
    <sheet xmlns:r="http://schemas.openxmlformats.org/officeDocument/2006/relationships" name="SAFE Conversion" sheetId="7" state="visible" r:id="rId7"/>
    <sheet xmlns:r="http://schemas.openxmlformats.org/officeDocument/2006/relationships" name="Comparable Financings" sheetId="8" state="visible" r:id="rId8"/>
    <sheet xmlns:r="http://schemas.openxmlformats.org/officeDocument/2006/relationships" name="RefreshLog" sheetId="9" state="visible" r:id="rId9"/>
    <sheet xmlns:r="http://schemas.openxmlformats.org/officeDocument/2006/relationships" name="Ownership &amp; Dilution" sheetId="10" state="visible" r:id="rId10"/>
    <sheet xmlns:r="http://schemas.openxmlformats.org/officeDocument/2006/relationships" name="Reserves &amp; Follow-ons" sheetId="11" state="visible" r:id="rId11"/>
    <sheet xmlns:r="http://schemas.openxmlformats.org/officeDocument/2006/relationships" name="Exit Waterfall" sheetId="12" state="visible" r:id="rId12"/>
    <sheet xmlns:r="http://schemas.openxmlformats.org/officeDocument/2006/relationships" name="Decision &amp; Checks" sheetId="13" state="visible" r:id="rId13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.00;($#,##0.00);&quot;-&quot;"/>
    <numFmt numFmtId="167" formatCode="$#,##0;($#,##0);&quot;-&quot;"/>
    <numFmt numFmtId="168" formatCode="0.0x"/>
    <numFmt numFmtId="169" formatCode="0.00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5" fontId="0" fillId="0" borderId="0" pivotButton="0" quotePrefix="0" xfId="0"/>
    <xf numFmtId="166" fontId="3" fillId="0" borderId="1" pivotButton="0" quotePrefix="0" xfId="0"/>
    <xf numFmtId="167" fontId="0" fillId="0" borderId="1" pivotButton="0" quotePrefix="0" xfId="0"/>
    <xf numFmtId="0" fontId="3" fillId="3" borderId="1" pivotButton="0" quotePrefix="0" xfId="0"/>
    <xf numFmtId="168" fontId="3" fillId="3" borderId="1" pivotButton="0" quotePrefix="0" xfId="0"/>
    <xf numFmtId="169" fontId="3" fillId="3" borderId="1" pivotButton="0" quotePrefix="0" xfId="0"/>
    <xf numFmtId="164" fontId="0" fillId="0" borderId="1" pivotButton="0" quotePrefix="0" xfId="0"/>
    <xf numFmtId="164" fontId="2" fillId="0" borderId="0" pivotButton="0" quotePrefix="0" xfId="0"/>
    <xf numFmtId="167" fontId="2" fillId="0" borderId="0" pivotButton="0" quotePrefix="0" xfId="0"/>
    <xf numFmtId="0" fontId="2" fillId="4" borderId="0" pivotButton="0" quotePrefix="0" xfId="0"/>
    <xf numFmtId="167" fontId="3" fillId="3" borderId="1" pivotButton="0" quotePrefix="0" xfId="0"/>
    <xf numFmtId="166" fontId="0" fillId="0" borderId="1" pivotButton="0" quotePrefix="0" xfId="0"/>
    <xf numFmtId="165" fontId="3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6" fillId="0" borderId="1" pivotButton="0" quotePrefix="0" xfId="0"/>
    <xf numFmtId="166" fontId="2" fillId="0" borderId="1" pivotButton="0" quotePrefix="0" xfId="0"/>
    <xf numFmtId="0" fontId="7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7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165" fontId="0" fillId="0" borderId="0" pivotButton="0" quotePrefix="0" xfId="0"/>
    <xf numFmtId="166" fontId="3" fillId="0" borderId="1" pivotButton="0" quotePrefix="0" xfId="0"/>
    <xf numFmtId="167" fontId="0" fillId="0" borderId="1" pivotButton="0" quotePrefix="0" xfId="0"/>
    <xf numFmtId="168" fontId="3" fillId="3" borderId="1" pivotButton="0" quotePrefix="0" xfId="0"/>
    <xf numFmtId="169" fontId="3" fillId="3" borderId="1" pivotButton="0" quotePrefix="0" xfId="0"/>
    <xf numFmtId="167" fontId="2" fillId="0" borderId="0" pivotButton="0" quotePrefix="0" xfId="0"/>
    <xf numFmtId="167" fontId="3" fillId="3" borderId="1" pivotButton="0" quotePrefix="0" xfId="0"/>
    <xf numFmtId="166" fontId="0" fillId="0" borderId="1" pivotButton="0" quotePrefix="0" xfId="0"/>
    <xf numFmtId="165" fontId="3" fillId="3" borderId="1" pivotButton="0" quotePrefix="0" xfId="0"/>
    <xf numFmtId="165" fontId="0" fillId="0" borderId="1" pivotButton="0" quotePrefix="0" xfId="0"/>
    <xf numFmtId="166" fontId="6" fillId="0" borderId="1" pivotButton="0" quotePrefix="0" xfId="0"/>
    <xf numFmtId="166" fontId="2" fillId="0" borderId="1" pivotButton="0" quotePrefix="0" xfId="0"/>
    <xf numFmtId="167" fontId="3" fillId="0" borderId="1" pivotButton="0" quotePrefix="0" xfId="0"/>
    <xf numFmtId="168" fontId="0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7" fontId="2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[COMPANY] — Venture Capital Model</t>
        </is>
      </c>
    </row>
    <row r="4">
      <c r="B4" s="2" t="inlineStr">
        <is>
          <t>Sector:</t>
        </is>
      </c>
      <c r="C4" s="3" t="inlineStr">
        <is>
          <t>[fill in]</t>
        </is>
      </c>
    </row>
    <row r="5">
      <c r="B5" s="2" t="inlineStr">
        <is>
          <t>Current stage:</t>
        </is>
      </c>
      <c r="C5" s="3" t="inlineStr">
        <is>
          <t>Seed / A / B / C / Growth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round expected: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52" t="inlineStr">
        <is>
          <t>Venture Capital — Institutional Decision Surface</t>
        </is>
      </c>
    </row>
    <row r="4">
      <c r="B4" s="53" t="inlineStr">
        <is>
          <t>Model ID</t>
        </is>
      </c>
      <c r="C4" s="54" t="inlineStr">
        <is>
          <t>13</t>
        </is>
      </c>
    </row>
    <row r="5">
      <c r="B5" s="53" t="inlineStr">
        <is>
          <t>Domain</t>
        </is>
      </c>
      <c r="C5" s="54" t="inlineStr">
        <is>
          <t>Venture Capital</t>
        </is>
      </c>
    </row>
    <row r="6">
      <c r="B6" s="53" t="inlineStr">
        <is>
          <t>Declared maturity</t>
        </is>
      </c>
      <c r="C6" s="54" t="inlineStr">
        <is>
          <t>M2</t>
        </is>
      </c>
    </row>
    <row r="7">
      <c r="B7" s="53" t="inlineStr">
        <is>
          <t>Canonical builder</t>
        </is>
      </c>
      <c r="C7" s="54" t="inlineStr">
        <is>
          <t>tools/builders/build_venture_capital_release.py</t>
        </is>
      </c>
    </row>
    <row r="8">
      <c r="B8" s="53" t="inlineStr">
        <is>
          <t>Decision arena</t>
        </is>
      </c>
      <c r="C8" s="54" t="inlineStr">
        <is>
          <t>investment team, partnership IC, board and portfolio finance</t>
        </is>
      </c>
    </row>
    <row r="9">
      <c r="B9" s="53" t="inlineStr">
        <is>
          <t>Committee artifact</t>
        </is>
      </c>
      <c r="C9" s="54" t="inlineStr">
        <is>
          <t>investment and reserve-allocation memo</t>
        </is>
      </c>
    </row>
    <row r="10">
      <c r="B10" s="53" t="inlineStr">
        <is>
          <t>Operating cadence</t>
        </is>
      </c>
      <c r="C10" s="54" t="inlineStr">
        <is>
          <t>monthly portfolio; event-driven financings; quarterly IC</t>
        </is>
      </c>
    </row>
    <row r="12">
      <c r="B12" s="55" t="inlineStr">
        <is>
          <t>Key decision outputs</t>
        </is>
      </c>
    </row>
    <row r="13">
      <c r="B13" s="56" t="inlineStr">
        <is>
          <t>#</t>
        </is>
      </c>
      <c r="C13" s="56" t="inlineStr">
        <is>
          <t>Requirement</t>
        </is>
      </c>
      <c r="D13" s="56" t="inlineStr">
        <is>
          <t>Owner</t>
        </is>
      </c>
      <c r="E13" s="56" t="inlineStr">
        <is>
          <t>Evidence / location</t>
        </is>
      </c>
      <c r="F13" s="56" t="inlineStr">
        <is>
          <t>Status</t>
        </is>
      </c>
    </row>
    <row r="14">
      <c r="B14" t="n">
        <v>1</v>
      </c>
      <c r="C14" t="inlineStr">
        <is>
          <t>post-money ownership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SAFE / note conversion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preference and participation waterfall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55" t="inlineStr">
        <is>
          <t>Insider questions</t>
        </is>
      </c>
    </row>
    <row r="21">
      <c r="B21" s="56" t="inlineStr">
        <is>
          <t>#</t>
        </is>
      </c>
      <c r="C21" s="56" t="inlineStr">
        <is>
          <t>Requirement</t>
        </is>
      </c>
      <c r="D21" s="56" t="inlineStr">
        <is>
          <t>Owner</t>
        </is>
      </c>
      <c r="E21" s="56" t="inlineStr">
        <is>
          <t>Evidence / location</t>
        </is>
      </c>
      <c r="F21" s="56" t="inlineStr">
        <is>
          <t>Status</t>
        </is>
      </c>
    </row>
    <row r="22">
      <c r="B22" t="n">
        <v>1</v>
      </c>
      <c r="C22" t="inlineStr">
        <is>
          <t>Which security is actually senior?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Who can block the next financing?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converts before the option-pool top-up?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55" t="inlineStr">
        <is>
          <t>Scenario families</t>
        </is>
      </c>
    </row>
    <row r="29">
      <c r="B29" s="56" t="inlineStr">
        <is>
          <t>#</t>
        </is>
      </c>
      <c r="C29" s="56" t="inlineStr">
        <is>
          <t>Requirement</t>
        </is>
      </c>
      <c r="D29" s="56" t="inlineStr">
        <is>
          <t>Owner</t>
        </is>
      </c>
      <c r="E29" s="56" t="inlineStr">
        <is>
          <t>Evidence / location</t>
        </is>
      </c>
      <c r="F29" s="56" t="inlineStr">
        <is>
          <t>Status</t>
        </is>
      </c>
    </row>
    <row r="30">
      <c r="B30" t="n">
        <v>1</v>
      </c>
      <c r="C30" t="inlineStr">
        <is>
          <t>down round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bridge with seniority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flat exit preference stack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55" t="inlineStr">
        <is>
          <t>Primary diligence documents</t>
        </is>
      </c>
    </row>
    <row r="37">
      <c r="B37" s="56" t="inlineStr">
        <is>
          <t>#</t>
        </is>
      </c>
      <c r="C37" s="56" t="inlineStr">
        <is>
          <t>Requirement</t>
        </is>
      </c>
      <c r="D37" s="56" t="inlineStr">
        <is>
          <t>Owner</t>
        </is>
      </c>
      <c r="E37" s="56" t="inlineStr">
        <is>
          <t>Evidence / location</t>
        </is>
      </c>
      <c r="F37" s="56" t="inlineStr">
        <is>
          <t>Status</t>
        </is>
      </c>
    </row>
    <row r="38">
      <c r="B38" t="n">
        <v>1</v>
      </c>
      <c r="C38" t="inlineStr">
        <is>
          <t>charter and cap table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SAFE / note instruments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stock purchase agreement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55" t="inlineStr">
        <is>
          <t>Challenge tests</t>
        </is>
      </c>
    </row>
    <row r="45">
      <c r="B45" s="56" t="inlineStr">
        <is>
          <t>#</t>
        </is>
      </c>
      <c r="C45" s="56" t="inlineStr">
        <is>
          <t>Requirement</t>
        </is>
      </c>
      <c r="D45" s="56" t="inlineStr">
        <is>
          <t>Owner</t>
        </is>
      </c>
      <c r="E45" s="56" t="inlineStr">
        <is>
          <t>Evidence / location</t>
        </is>
      </c>
      <c r="F45" s="56" t="inlineStr">
        <is>
          <t>Status</t>
        </is>
      </c>
    </row>
    <row r="46">
      <c r="B46" t="n">
        <v>1</v>
      </c>
      <c r="C46" t="inlineStr">
        <is>
          <t>waterfall conserves proceeds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share count reconciles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SAFE conversion follows instrument terms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55" t="inlineStr">
        <is>
          <t>Known failure modes</t>
        </is>
      </c>
    </row>
    <row r="53">
      <c r="B53" s="56" t="inlineStr">
        <is>
          <t>#</t>
        </is>
      </c>
      <c r="C53" s="56" t="inlineStr">
        <is>
          <t>Requirement</t>
        </is>
      </c>
      <c r="D53" s="56" t="inlineStr">
        <is>
          <t>Owner</t>
        </is>
      </c>
      <c r="E53" s="56" t="inlineStr">
        <is>
          <t>Evidence / location</t>
        </is>
      </c>
      <c r="F53" s="56" t="inlineStr">
        <is>
          <t>Status</t>
        </is>
      </c>
    </row>
    <row r="54">
      <c r="B54" t="n">
        <v>1</v>
      </c>
      <c r="C54" t="inlineStr">
        <is>
          <t>mixing pre- and post-money SAFEs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accrued interest and discount interactions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double-counting option pool shuffle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55" t="inlineStr">
        <is>
          <t>Regulatory / methodological anchors</t>
        </is>
      </c>
    </row>
    <row r="61">
      <c r="B61" s="56" t="inlineStr">
        <is>
          <t>Standard</t>
        </is>
      </c>
      <c r="C61" s="56" t="inlineStr">
        <is>
          <t>Scope</t>
        </is>
      </c>
      <c r="D61" s="56" t="inlineStr">
        <is>
          <t>Source URL</t>
        </is>
      </c>
      <c r="E61" s="56" t="inlineStr">
        <is>
          <t>Applicability</t>
        </is>
      </c>
      <c r="F61" s="56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52" t="inlineStr">
        <is>
          <t>Independent Challenge, Override and Closure Log</t>
        </is>
      </c>
    </row>
    <row r="4">
      <c r="B4" s="56" t="inlineStr">
        <is>
          <t>Date</t>
        </is>
      </c>
      <c r="C4" s="56" t="inlineStr">
        <is>
          <t>Reviewer</t>
        </is>
      </c>
      <c r="D4" s="56" t="inlineStr">
        <is>
          <t>Challenge</t>
        </is>
      </c>
      <c r="E4" s="56" t="inlineStr">
        <is>
          <t>Owner response</t>
        </is>
      </c>
      <c r="F4" s="56" t="inlineStr">
        <is>
          <t>Evidence</t>
        </is>
      </c>
      <c r="G4" s="56" t="inlineStr">
        <is>
          <t>Impact</t>
        </is>
      </c>
      <c r="H4" s="56" t="inlineStr">
        <is>
          <t>Status</t>
        </is>
      </c>
      <c r="I4" s="56" t="inlineStr">
        <is>
          <t>Closure</t>
        </is>
      </c>
    </row>
    <row r="5">
      <c r="B5" t="inlineStr"/>
      <c r="C5" t="inlineStr"/>
      <c r="D5" t="inlineStr">
        <is>
          <t>waterfall conserves proceeds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share count reconciles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SAFE conversion follows instrument terms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52" t="inlineStr">
        <is>
          <t>Source, Transformation, Ownership and Refresh Map</t>
        </is>
      </c>
    </row>
    <row r="4">
      <c r="B4" s="56" t="inlineStr">
        <is>
          <t>Source class</t>
        </is>
      </c>
      <c r="C4" s="56" t="inlineStr">
        <is>
          <t>Cadence</t>
        </is>
      </c>
      <c r="D4" s="56" t="inlineStr">
        <is>
          <t>Control</t>
        </is>
      </c>
      <c r="E4" s="56" t="inlineStr">
        <is>
          <t>System / provider</t>
        </is>
      </c>
      <c r="F4" s="56" t="inlineStr">
        <is>
          <t>As-of</t>
        </is>
      </c>
      <c r="G4" s="56" t="inlineStr">
        <is>
          <t>Owner</t>
        </is>
      </c>
      <c r="H4" s="56" t="inlineStr">
        <is>
          <t>Transform</t>
        </is>
      </c>
      <c r="I4" s="56" t="inlineStr">
        <is>
          <t>Downstream</t>
        </is>
      </c>
      <c r="J4" s="56" t="inlineStr">
        <is>
          <t>Status</t>
        </is>
      </c>
    </row>
    <row r="5">
      <c r="B5" t="inlineStr">
        <is>
          <t>cap table</t>
        </is>
      </c>
      <c r="C5" t="inlineStr">
        <is>
          <t>event-driven</t>
        </is>
      </c>
      <c r="D5" t="inlineStr">
        <is>
          <t>fully diluted share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financing instruments</t>
        </is>
      </c>
      <c r="C6" t="inlineStr">
        <is>
          <t>event-driven</t>
        </is>
      </c>
      <c r="D6" t="inlineStr">
        <is>
          <t>conversion and seniority map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20" customWidth="1" min="9" max="9"/>
    <col width="16" customWidth="1" min="10" max="10"/>
    <col width="12" customWidth="1" min="11" max="11"/>
    <col width="16" customWidth="1" min="12" max="12"/>
    <col width="18" customWidth="1" min="13" max="13"/>
  </cols>
  <sheetData>
    <row r="2">
      <c r="B2" s="1" t="inlineStr">
        <is>
          <t>Capitalization Table</t>
        </is>
      </c>
    </row>
    <row r="4">
      <c r="A4" s="4" t="inlineStr"/>
      <c r="B4" s="4" t="inlineStr">
        <is>
          <t>Holder / Class</t>
        </is>
      </c>
      <c r="C4" s="4" t="inlineStr">
        <is>
          <t>Shares</t>
        </is>
      </c>
      <c r="D4" s="4" t="inlineStr">
        <is>
          <t>% Fully Diluted</t>
        </is>
      </c>
      <c r="E4" s="4" t="inlineStr">
        <is>
          <t>Price paid/sh</t>
        </is>
      </c>
      <c r="F4" s="4" t="inlineStr">
        <is>
          <t>Invested $</t>
        </is>
      </c>
      <c r="G4" s="4" t="inlineStr">
        <is>
          <t>Security type</t>
        </is>
      </c>
      <c r="H4" s="4" t="inlineStr">
        <is>
          <t>Liq. pref (x)</t>
        </is>
      </c>
      <c r="I4" s="4" t="inlineStr">
        <is>
          <t>Participation</t>
        </is>
      </c>
      <c r="J4" s="4" t="inlineStr">
        <is>
          <t>Participation cap (x)</t>
        </is>
      </c>
      <c r="K4" s="4" t="inlineStr">
        <is>
          <t>Seniority</t>
        </is>
      </c>
      <c r="L4" s="4" t="inlineStr">
        <is>
          <t>Conversion ratio</t>
        </is>
      </c>
      <c r="M4" s="4" t="inlineStr">
        <is>
          <t>As-converted shares</t>
        </is>
      </c>
    </row>
    <row r="5">
      <c r="B5" s="5" t="inlineStr">
        <is>
          <t>Founders (common)</t>
        </is>
      </c>
      <c r="C5" s="6" t="n">
        <v>0</v>
      </c>
      <c r="D5" s="34">
        <f>IFERROR(M5/$M$11,"-")</f>
        <v/>
      </c>
      <c r="E5" s="35" t="n">
        <v>0</v>
      </c>
      <c r="F5" s="36">
        <f>C5*E5</f>
        <v/>
      </c>
      <c r="G5" s="10" t="inlineStr">
        <is>
          <t>Common</t>
        </is>
      </c>
      <c r="H5" s="37" t="n">
        <v>0</v>
      </c>
      <c r="I5" s="10" t="inlineStr">
        <is>
          <t>N/A</t>
        </is>
      </c>
      <c r="J5" s="37" t="n">
        <v>0</v>
      </c>
      <c r="K5" s="10" t="n">
        <v>0</v>
      </c>
      <c r="L5" s="38" t="n">
        <v>1</v>
      </c>
      <c r="M5" s="13">
        <f>C5*L5</f>
        <v/>
      </c>
    </row>
    <row r="6">
      <c r="B6" s="5" t="inlineStr">
        <is>
          <t>Employee option pool</t>
        </is>
      </c>
      <c r="C6" s="6" t="n">
        <v>0</v>
      </c>
      <c r="D6" s="34">
        <f>IFERROR(M6/$M$11,"-")</f>
        <v/>
      </c>
      <c r="E6" s="35" t="n">
        <v>0</v>
      </c>
      <c r="F6" s="36">
        <f>C6*E6</f>
        <v/>
      </c>
      <c r="G6" s="10" t="inlineStr">
        <is>
          <t>Common</t>
        </is>
      </c>
      <c r="H6" s="37" t="n">
        <v>0</v>
      </c>
      <c r="I6" s="10" t="inlineStr">
        <is>
          <t>N/A</t>
        </is>
      </c>
      <c r="J6" s="37" t="n">
        <v>0</v>
      </c>
      <c r="K6" s="10" t="n">
        <v>0</v>
      </c>
      <c r="L6" s="38" t="n">
        <v>1</v>
      </c>
      <c r="M6" s="13">
        <f>C6*L6</f>
        <v/>
      </c>
    </row>
    <row r="7">
      <c r="B7" s="5" t="inlineStr">
        <is>
          <t>SAFE holders (pre-conversion)</t>
        </is>
      </c>
      <c r="C7" s="6" t="n">
        <v>0</v>
      </c>
      <c r="D7" s="34">
        <f>IFERROR(M7/$M$11,"-")</f>
        <v/>
      </c>
      <c r="E7" s="35" t="n">
        <v>0</v>
      </c>
      <c r="F7" s="36">
        <f>C7*E7</f>
        <v/>
      </c>
      <c r="G7" s="10" t="inlineStr">
        <is>
          <t>SAFE — deal-specific</t>
        </is>
      </c>
      <c r="H7" s="37" t="n">
        <v>0</v>
      </c>
      <c r="I7" s="10" t="inlineStr">
        <is>
          <t>Deal-specific</t>
        </is>
      </c>
      <c r="J7" s="37" t="n">
        <v>0</v>
      </c>
      <c r="K7" s="10" t="n">
        <v>0</v>
      </c>
      <c r="L7" s="38" t="n">
        <v>0</v>
      </c>
      <c r="M7" s="13">
        <f>C7*L7</f>
        <v/>
      </c>
    </row>
    <row r="8">
      <c r="B8" s="5" t="inlineStr">
        <is>
          <t>Seed preferred</t>
        </is>
      </c>
      <c r="C8" s="6" t="n">
        <v>0</v>
      </c>
      <c r="D8" s="34">
        <f>IFERROR(M8/$M$11,"-")</f>
        <v/>
      </c>
      <c r="E8" s="35" t="n">
        <v>0</v>
      </c>
      <c r="F8" s="36">
        <f>C8*E8</f>
        <v/>
      </c>
      <c r="G8" s="10" t="inlineStr">
        <is>
          <t>Preferred</t>
        </is>
      </c>
      <c r="H8" s="37" t="n">
        <v>1</v>
      </c>
      <c r="I8" s="10" t="inlineStr">
        <is>
          <t>Non-participating</t>
        </is>
      </c>
      <c r="J8" s="37" t="n">
        <v>0</v>
      </c>
      <c r="K8" s="10" t="n">
        <v>1</v>
      </c>
      <c r="L8" s="38" t="n">
        <v>1</v>
      </c>
      <c r="M8" s="13">
        <f>C8*L8</f>
        <v/>
      </c>
    </row>
    <row r="9">
      <c r="B9" s="5" t="inlineStr">
        <is>
          <t>Series A preferred</t>
        </is>
      </c>
      <c r="C9" s="6" t="n">
        <v>0</v>
      </c>
      <c r="D9" s="34">
        <f>IFERROR(M9/$M$11,"-")</f>
        <v/>
      </c>
      <c r="E9" s="35" t="n">
        <v>0</v>
      </c>
      <c r="F9" s="36">
        <f>C9*E9</f>
        <v/>
      </c>
      <c r="G9" s="10" t="inlineStr">
        <is>
          <t>Preferred</t>
        </is>
      </c>
      <c r="H9" s="37" t="n">
        <v>1</v>
      </c>
      <c r="I9" s="10" t="inlineStr">
        <is>
          <t>Non-participating</t>
        </is>
      </c>
      <c r="J9" s="37" t="n">
        <v>0</v>
      </c>
      <c r="K9" s="10" t="n">
        <v>2</v>
      </c>
      <c r="L9" s="38" t="n">
        <v>1</v>
      </c>
      <c r="M9" s="13">
        <f>C9*L9</f>
        <v/>
      </c>
    </row>
    <row r="10">
      <c r="B10" s="5" t="inlineStr">
        <is>
          <t>Series B preferred</t>
        </is>
      </c>
      <c r="C10" s="6" t="n">
        <v>0</v>
      </c>
      <c r="D10" s="34">
        <f>IFERROR(M10/$M$11,"-")</f>
        <v/>
      </c>
      <c r="E10" s="35" t="n">
        <v>0</v>
      </c>
      <c r="F10" s="36">
        <f>C10*E10</f>
        <v/>
      </c>
      <c r="G10" s="10" t="inlineStr">
        <is>
          <t>Preferred</t>
        </is>
      </c>
      <c r="H10" s="37" t="n">
        <v>1</v>
      </c>
      <c r="I10" s="10" t="inlineStr">
        <is>
          <t>Non-participating</t>
        </is>
      </c>
      <c r="J10" s="37" t="n">
        <v>0</v>
      </c>
      <c r="K10" s="10" t="n">
        <v>3</v>
      </c>
      <c r="L10" s="38" t="n">
        <v>1</v>
      </c>
      <c r="M10" s="13">
        <f>C10*L10</f>
        <v/>
      </c>
    </row>
    <row r="11">
      <c r="B11" s="2" t="inlineStr">
        <is>
          <t>Total</t>
        </is>
      </c>
      <c r="C11" s="14">
        <f>SUM(C5:C10)</f>
        <v/>
      </c>
      <c r="F11" s="39">
        <f>SUM(F5:F10)</f>
        <v/>
      </c>
      <c r="M11" s="14">
        <f>SUM(M5:M10)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4" customWidth="1" min="4" max="4"/>
    <col width="26" customWidth="1" min="5" max="5"/>
    <col width="16" customWidth="1" min="6" max="6"/>
  </cols>
  <sheetData>
    <row r="2">
      <c r="B2" s="1" t="inlineStr">
        <is>
          <t>New Round Modeling</t>
        </is>
      </c>
    </row>
    <row r="4">
      <c r="B4" s="16" t="inlineStr">
        <is>
          <t>Inputs</t>
        </is>
      </c>
      <c r="E4" s="16" t="inlineStr">
        <is>
          <t>Outputs</t>
        </is>
      </c>
    </row>
    <row r="5">
      <c r="B5" s="5" t="inlineStr">
        <is>
          <t>Pre-money valuation</t>
        </is>
      </c>
      <c r="C5" s="40" t="n">
        <v>0</v>
      </c>
      <c r="E5" t="inlineStr">
        <is>
          <t>Post-money valuation</t>
        </is>
      </c>
      <c r="F5" s="36">
        <f>C5+C6</f>
        <v/>
      </c>
    </row>
    <row r="6">
      <c r="B6" s="5" t="inlineStr">
        <is>
          <t>New money raised</t>
        </is>
      </c>
      <c r="C6" s="40" t="n">
        <v>0</v>
      </c>
      <c r="E6" t="inlineStr">
        <is>
          <t>Price per share</t>
        </is>
      </c>
      <c r="F6" s="41">
        <f>IFERROR(C5/C8,"-")</f>
        <v/>
      </c>
    </row>
    <row r="7">
      <c r="B7" s="5" t="inlineStr">
        <is>
          <t>New option pool top-up %</t>
        </is>
      </c>
      <c r="C7" s="42" t="n">
        <v>0</v>
      </c>
      <c r="E7" t="inlineStr">
        <is>
          <t>New shares issued (investor)</t>
        </is>
      </c>
      <c r="F7" s="13">
        <f>IFERROR(C6/F6,"-")</f>
        <v/>
      </c>
    </row>
    <row r="8">
      <c r="B8" s="5" t="inlineStr">
        <is>
          <t>Existing fully diluted shares</t>
        </is>
      </c>
      <c r="C8" s="20" t="n">
        <v>0</v>
      </c>
      <c r="E8" t="inlineStr">
        <is>
          <t>New pool shares (top-up)</t>
        </is>
      </c>
      <c r="F8" s="13">
        <f>IFERROR(C7*(C8+F7),"-")</f>
        <v/>
      </c>
    </row>
    <row r="9">
      <c r="E9" t="inlineStr">
        <is>
          <t>Total post-round shares</t>
        </is>
      </c>
      <c r="F9" s="21">
        <f>IFERROR(C8+F7+F8,"-")</f>
        <v/>
      </c>
    </row>
    <row r="10">
      <c r="E10" t="inlineStr">
        <is>
          <t>New investor ownership %</t>
        </is>
      </c>
      <c r="F10" s="43">
        <f>IFERROR(F7/F9,"-")</f>
        <v/>
      </c>
    </row>
    <row r="11">
      <c r="E11" t="inlineStr">
        <is>
          <t>Existing holder dilution %</t>
        </is>
      </c>
      <c r="F11" s="43">
        <f>IFERROR(1-C8/F9,"-")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4" customWidth="1" min="4" max="4"/>
    <col width="28" customWidth="1" min="5" max="5"/>
    <col width="16" customWidth="1" min="6" max="6"/>
  </cols>
  <sheetData>
    <row r="2">
      <c r="B2" s="1" t="inlineStr">
        <is>
          <t>SAFE / Convertible Note Conversion</t>
        </is>
      </c>
    </row>
    <row r="4">
      <c r="B4" s="16" t="inlineStr">
        <is>
          <t>SAFE Terms</t>
        </is>
      </c>
      <c r="E4" s="16" t="inlineStr">
        <is>
          <t>At Priced Round</t>
        </is>
      </c>
    </row>
    <row r="5">
      <c r="B5" s="5" t="inlineStr">
        <is>
          <t>SAFE investment amount</t>
        </is>
      </c>
      <c r="C5" s="40" t="n">
        <v>0</v>
      </c>
      <c r="E5" t="inlineStr">
        <is>
          <t>Priced round price/share</t>
        </is>
      </c>
      <c r="F5" s="44">
        <f>'Round Modeling'!F6</f>
        <v/>
      </c>
    </row>
    <row r="6">
      <c r="B6" s="5" t="inlineStr">
        <is>
          <t>Valuation cap</t>
        </is>
      </c>
      <c r="C6" s="40" t="n">
        <v>0</v>
      </c>
      <c r="E6" t="inlineStr">
        <is>
          <t>Cap price/share (cap / pre-round FD shares)</t>
        </is>
      </c>
      <c r="F6" s="41">
        <f>IFERROR(C6/'Round Modeling'!C8,"-")</f>
        <v/>
      </c>
    </row>
    <row r="7">
      <c r="B7" s="5" t="inlineStr">
        <is>
          <t>Discount %</t>
        </is>
      </c>
      <c r="C7" s="42" t="n">
        <v>0</v>
      </c>
      <c r="E7" t="inlineStr">
        <is>
          <t>Discount price/share</t>
        </is>
      </c>
      <c r="F7" s="41">
        <f>IFERROR(F5*(1-C7),"-")</f>
        <v/>
      </c>
    </row>
    <row r="8">
      <c r="E8" t="inlineStr">
        <is>
          <t>SAFE conversion price (lower of cap/discount/round)</t>
        </is>
      </c>
      <c r="F8" s="45">
        <f>IFERROR(MIN(IF(ISNUMBER(F5),F5,9E99),IF(ISNUMBER(F6),F6,9E99),IF(ISNUMBER(F7),F7,9E99)),"-")</f>
        <v/>
      </c>
    </row>
    <row r="9">
      <c r="E9" t="inlineStr">
        <is>
          <t>SAFE shares issued</t>
        </is>
      </c>
      <c r="F9" s="21">
        <f>IFERROR(C5/F8,"-")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Comparable Financings</t>
        </is>
      </c>
    </row>
    <row r="4">
      <c r="A4" s="4" t="inlineStr"/>
      <c r="B4" s="4" t="inlineStr">
        <is>
          <t>Company</t>
        </is>
      </c>
      <c r="C4" s="4" t="inlineStr">
        <is>
          <t>Round</t>
        </is>
      </c>
      <c r="D4" s="4" t="inlineStr">
        <is>
          <t>Date</t>
        </is>
      </c>
      <c r="E4" s="4" t="inlineStr">
        <is>
          <t>Pre-money</t>
        </is>
      </c>
      <c r="F4" s="4" t="inlineStr">
        <is>
          <t>Amount raised</t>
        </is>
      </c>
      <c r="G4" t="inlineStr">
        <is>
          <t>Lead investor</t>
        </is>
      </c>
    </row>
    <row r="5">
      <c r="B5" s="32" t="inlineStr">
        <is>
          <t>[fill in]</t>
        </is>
      </c>
      <c r="C5" s="32" t="inlineStr">
        <is>
          <t>[fill in]</t>
        </is>
      </c>
      <c r="D5" s="32" t="inlineStr">
        <is>
          <t>[fill in]</t>
        </is>
      </c>
      <c r="E5" s="46" t="n">
        <v>0</v>
      </c>
      <c r="F5" s="46" t="n">
        <v>0</v>
      </c>
      <c r="G5" s="32" t="inlineStr">
        <is>
          <t>[fill in]</t>
        </is>
      </c>
    </row>
    <row r="6">
      <c r="B6" s="32" t="inlineStr">
        <is>
          <t>[fill in]</t>
        </is>
      </c>
      <c r="C6" s="32" t="inlineStr">
        <is>
          <t>[fill in]</t>
        </is>
      </c>
      <c r="D6" s="32" t="inlineStr">
        <is>
          <t>[fill in]</t>
        </is>
      </c>
      <c r="E6" s="46" t="n">
        <v>0</v>
      </c>
      <c r="F6" s="46" t="n">
        <v>0</v>
      </c>
      <c r="G6" s="32" t="inlineStr">
        <is>
          <t>[fill in]</t>
        </is>
      </c>
    </row>
    <row r="7">
      <c r="B7" s="32" t="inlineStr">
        <is>
          <t>[fill in]</t>
        </is>
      </c>
      <c r="C7" s="32" t="inlineStr">
        <is>
          <t>[fill in]</t>
        </is>
      </c>
      <c r="D7" s="32" t="inlineStr">
        <is>
          <t>[fill in]</t>
        </is>
      </c>
      <c r="E7" s="46" t="n">
        <v>0</v>
      </c>
      <c r="F7" s="46" t="n">
        <v>0</v>
      </c>
      <c r="G7" s="32" t="inlineStr">
        <is>
          <t>[fill in]</t>
        </is>
      </c>
    </row>
    <row r="8">
      <c r="B8" s="32" t="inlineStr">
        <is>
          <t>[fill in]</t>
        </is>
      </c>
      <c r="C8" s="32" t="inlineStr">
        <is>
          <t>[fill in]</t>
        </is>
      </c>
      <c r="D8" s="32" t="inlineStr">
        <is>
          <t>[fill in]</t>
        </is>
      </c>
      <c r="E8" s="46" t="n">
        <v>0</v>
      </c>
      <c r="F8" s="46" t="n">
        <v>0</v>
      </c>
      <c r="G8" s="32" t="inlineStr">
        <is>
          <t>[fill in]</t>
        </is>
      </c>
    </row>
    <row r="9">
      <c r="B9" s="32" t="inlineStr">
        <is>
          <t>[fill in]</t>
        </is>
      </c>
      <c r="C9" s="32" t="inlineStr">
        <is>
          <t>[fill in]</t>
        </is>
      </c>
      <c r="D9" s="32" t="inlineStr">
        <is>
          <t>[fill in]</t>
        </is>
      </c>
      <c r="E9" s="46" t="n">
        <v>0</v>
      </c>
      <c r="F9" s="46" t="n">
        <v>0</v>
      </c>
      <c r="G9" s="32" t="inlineStr">
        <is>
          <t>[fill in]</t>
        </is>
      </c>
    </row>
    <row r="10">
      <c r="B10" s="32" t="inlineStr">
        <is>
          <t>[fill in]</t>
        </is>
      </c>
      <c r="C10" s="32" t="inlineStr">
        <is>
          <t>[fill in]</t>
        </is>
      </c>
      <c r="D10" s="32" t="inlineStr">
        <is>
          <t>[fill in]</t>
        </is>
      </c>
      <c r="E10" s="46" t="n">
        <v>0</v>
      </c>
      <c r="F10" s="46" t="n">
        <v>0</v>
      </c>
      <c r="G10" s="32" t="inlineStr">
        <is>
          <t>[fill in]</t>
        </is>
      </c>
    </row>
    <row r="11">
      <c r="B11" s="32" t="inlineStr">
        <is>
          <t>[fill in]</t>
        </is>
      </c>
      <c r="C11" s="32" t="inlineStr">
        <is>
          <t>[fill in]</t>
        </is>
      </c>
      <c r="D11" s="32" t="inlineStr">
        <is>
          <t>[fill in]</t>
        </is>
      </c>
      <c r="E11" s="46" t="n">
        <v>0</v>
      </c>
      <c r="F11" s="46" t="n">
        <v>0</v>
      </c>
      <c r="G11" s="32" t="inlineStr">
        <is>
          <t>[fill in]</t>
        </is>
      </c>
    </row>
    <row r="12">
      <c r="B12" s="32" t="inlineStr">
        <is>
          <t>[fill in]</t>
        </is>
      </c>
      <c r="C12" s="32" t="inlineStr">
        <is>
          <t>[fill in]</t>
        </is>
      </c>
      <c r="D12" s="32" t="inlineStr">
        <is>
          <t>[fill in]</t>
        </is>
      </c>
      <c r="E12" s="46" t="n">
        <v>0</v>
      </c>
      <c r="F12" s="46" t="n">
        <v>0</v>
      </c>
      <c r="G12" s="32" t="inlineStr">
        <is>
          <t>[fill in]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31" t="n"/>
      <c r="C5" s="31" t="n"/>
      <c r="D5" s="31" t="n"/>
      <c r="E5" s="31" t="n"/>
      <c r="F5" s="31" t="n"/>
    </row>
    <row r="6">
      <c r="B6" s="31" t="n"/>
      <c r="C6" s="31" t="n"/>
      <c r="D6" s="31" t="n"/>
      <c r="E6" s="31" t="n"/>
      <c r="F6" s="31" t="n"/>
    </row>
    <row r="7">
      <c r="B7" s="31" t="n"/>
      <c r="C7" s="31" t="n"/>
      <c r="D7" s="31" t="n"/>
      <c r="E7" s="31" t="n"/>
      <c r="F7" s="31" t="n"/>
    </row>
    <row r="8">
      <c r="B8" s="31" t="n"/>
      <c r="C8" s="31" t="n"/>
      <c r="D8" s="31" t="n"/>
      <c r="E8" s="31" t="n"/>
      <c r="F8" s="31" t="n"/>
    </row>
    <row r="9">
      <c r="B9" s="31" t="n"/>
      <c r="C9" s="31" t="n"/>
      <c r="D9" s="31" t="n"/>
      <c r="E9" s="31" t="n"/>
      <c r="F9" s="31" t="n"/>
    </row>
    <row r="10">
      <c r="B10" s="31" t="n"/>
      <c r="C10" s="31" t="n"/>
      <c r="D10" s="31" t="n"/>
      <c r="E10" s="31" t="n"/>
      <c r="F10" s="31" t="n"/>
    </row>
    <row r="11">
      <c r="B11" s="31" t="n"/>
      <c r="C11" s="31" t="n"/>
      <c r="D11" s="31" t="n"/>
      <c r="E11" s="31" t="n"/>
      <c r="F11" s="31" t="n"/>
    </row>
    <row r="12">
      <c r="B12" s="31" t="n"/>
      <c r="C12" s="31" t="n"/>
      <c r="D12" s="31" t="n"/>
      <c r="E12" s="31" t="n"/>
      <c r="F12" s="31" t="n"/>
    </row>
    <row r="13">
      <c r="B13" s="31" t="n"/>
      <c r="C13" s="31" t="n"/>
      <c r="D13" s="31" t="n"/>
      <c r="E13" s="31" t="n"/>
      <c r="F13" s="31" t="n"/>
    </row>
    <row r="14">
      <c r="B14" s="31" t="n"/>
      <c r="C14" s="31" t="n"/>
      <c r="D14" s="31" t="n"/>
      <c r="E14" s="31" t="n"/>
      <c r="F14" s="3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Post-Money Ownership, Option Pool, and Round Pricing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Adversarial</t>
        </is>
      </c>
      <c r="E4" s="4" t="inlineStr">
        <is>
          <t>Units / control</t>
        </is>
      </c>
    </row>
    <row r="5">
      <c r="B5" t="inlineStr">
        <is>
          <t>Pre-money value</t>
        </is>
      </c>
      <c r="C5" s="40" t="n">
        <v>80</v>
      </c>
      <c r="D5" s="40" t="n">
        <v>100</v>
      </c>
    </row>
    <row r="6">
      <c r="B6" t="inlineStr">
        <is>
          <t>Investment</t>
        </is>
      </c>
      <c r="C6" s="40" t="n">
        <v>20</v>
      </c>
      <c r="D6" s="40" t="n">
        <v>20</v>
      </c>
    </row>
    <row r="7">
      <c r="B7" t="inlineStr">
        <is>
          <t>Existing shares</t>
        </is>
      </c>
      <c r="C7" s="20" t="n">
        <v>8</v>
      </c>
      <c r="D7" s="20" t="n">
        <v>10</v>
      </c>
    </row>
    <row r="8">
      <c r="B8" t="inlineStr">
        <is>
          <t>New investor shares</t>
        </is>
      </c>
      <c r="C8" s="20" t="n">
        <v>2</v>
      </c>
      <c r="D8" s="20" t="n">
        <v>4</v>
      </c>
    </row>
    <row r="9">
      <c r="B9" t="inlineStr">
        <is>
          <t>Option-pool expansion</t>
        </is>
      </c>
      <c r="C9" s="20" t="n">
        <v>0</v>
      </c>
      <c r="D9" s="20" t="n">
        <v>5</v>
      </c>
    </row>
    <row r="10">
      <c r="B10" t="inlineStr">
        <is>
          <t>Maximum investor ownership</t>
        </is>
      </c>
      <c r="C10" s="42" t="n">
        <v>0.4</v>
      </c>
      <c r="D10" s="42" t="n">
        <v>0.4</v>
      </c>
    </row>
    <row r="11">
      <c r="B11" t="inlineStr">
        <is>
          <t>Maximum option-pool dilution</t>
        </is>
      </c>
      <c r="C11" s="42" t="n">
        <v>0.2</v>
      </c>
      <c r="D11" s="42" t="n">
        <v>0.2</v>
      </c>
    </row>
    <row r="15">
      <c r="B15" t="inlineStr">
        <is>
          <t>Post-money value</t>
        </is>
      </c>
      <c r="C15" s="36">
        <f>C5+C6</f>
        <v/>
      </c>
      <c r="D15" s="36">
        <f>D5+D6</f>
        <v/>
      </c>
    </row>
    <row r="16">
      <c r="B16" t="inlineStr">
        <is>
          <t>Total post-money shares</t>
        </is>
      </c>
      <c r="C16" s="36">
        <f>C7+C8+C9</f>
        <v/>
      </c>
      <c r="D16" s="36">
        <f>D7+D8+D9</f>
        <v/>
      </c>
    </row>
    <row r="17">
      <c r="B17" t="inlineStr">
        <is>
          <t>Investor ownership</t>
        </is>
      </c>
      <c r="C17" s="43">
        <f>IFERROR(C8/C16,0)</f>
        <v/>
      </c>
      <c r="D17" s="43">
        <f>IFERROR(D8/D16,0)</f>
        <v/>
      </c>
    </row>
    <row r="18">
      <c r="B18" t="inlineStr">
        <is>
          <t>Founder ownership</t>
        </is>
      </c>
      <c r="C18" s="43">
        <f>IFERROR(C7/C16,0)</f>
        <v/>
      </c>
      <c r="D18" s="43">
        <f>IFERROR(D7/D16,0)</f>
        <v/>
      </c>
    </row>
    <row r="19">
      <c r="B19" t="inlineStr">
        <is>
          <t>Option-pool ownership</t>
        </is>
      </c>
      <c r="C19" s="43">
        <f>IFERROR(C9/C16,0)</f>
        <v/>
      </c>
      <c r="D19" s="43">
        <f>IFERROR(D9/D16,0)</f>
        <v/>
      </c>
    </row>
    <row r="20">
      <c r="B20" t="inlineStr">
        <is>
          <t>Round price / share</t>
        </is>
      </c>
      <c r="C20" s="36">
        <f>IFERROR(C6/C8,0)</f>
        <v/>
      </c>
      <c r="D20" s="36">
        <f>IFERROR(D6/D8,0)</f>
        <v/>
      </c>
    </row>
    <row r="21">
      <c r="B21" t="inlineStr">
        <is>
          <t>Pre-money implied price / share</t>
        </is>
      </c>
      <c r="C21" s="36">
        <f>IFERROR(C5/C7,0)</f>
        <v/>
      </c>
      <c r="D21" s="36">
        <f>IFERROR(D5/D7,0)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Follow-On Requirements, Reserves, and Ownership Defense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Adversarial</t>
        </is>
      </c>
      <c r="E4" s="4" t="inlineStr">
        <is>
          <t>Units / control</t>
        </is>
      </c>
    </row>
    <row r="5">
      <c r="B5" t="inlineStr">
        <is>
          <t>Follow-on required</t>
        </is>
      </c>
      <c r="C5" s="40" t="n">
        <v>10</v>
      </c>
      <c r="D5" s="40" t="n">
        <v>30</v>
      </c>
    </row>
    <row r="6">
      <c r="B6" t="inlineStr">
        <is>
          <t>Available reserves</t>
        </is>
      </c>
      <c r="C6" s="40" t="n">
        <v>15</v>
      </c>
      <c r="D6" s="40" t="n">
        <v>5</v>
      </c>
    </row>
    <row r="7">
      <c r="B7" t="inlineStr">
        <is>
          <t>Pro rata ownership target</t>
        </is>
      </c>
      <c r="C7" s="42" t="n">
        <v>0.2</v>
      </c>
      <c r="D7" s="42" t="n">
        <v>0.2</v>
      </c>
    </row>
    <row r="8">
      <c r="B8" t="inlineStr">
        <is>
          <t>Next-round size</t>
        </is>
      </c>
      <c r="C8" s="40" t="n">
        <v>40</v>
      </c>
      <c r="D8" s="40" t="n">
        <v>60</v>
      </c>
    </row>
    <row r="11">
      <c r="B11" t="inlineStr">
        <is>
          <t>Reserve gap</t>
        </is>
      </c>
      <c r="C11" s="36">
        <f>MAX(0,C5-C6)</f>
        <v/>
      </c>
      <c r="D11" s="36">
        <f>MAX(0,D5-D6)</f>
        <v/>
      </c>
    </row>
    <row r="12">
      <c r="B12" t="inlineStr">
        <is>
          <t>Pro rata capital required</t>
        </is>
      </c>
      <c r="C12" s="36">
        <f>C7*C8</f>
        <v/>
      </c>
      <c r="D12" s="36">
        <f>D7*D8</f>
        <v/>
      </c>
    </row>
    <row r="13">
      <c r="B13" t="inlineStr">
        <is>
          <t>Ownership-defense shortfall</t>
        </is>
      </c>
      <c r="C13" s="36">
        <f>MAX(0,C12-C6)</f>
        <v/>
      </c>
      <c r="D13" s="36">
        <f>MAX(0,D12-D6)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4" customWidth="1" min="14" max="14"/>
    <col width="14" customWidth="1" min="15" max="15"/>
    <col width="16" customWidth="1" min="16" max="16"/>
    <col width="18" customWidth="1" min="17" max="17"/>
  </cols>
  <sheetData>
    <row r="2">
      <c r="B2" s="1" t="inlineStr">
        <is>
          <t>Exit Proceeds, Investor MOIC, and Return Thresholds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Adversarial</t>
        </is>
      </c>
      <c r="E4" s="4" t="inlineStr">
        <is>
          <t>Units / control</t>
        </is>
      </c>
    </row>
    <row r="5">
      <c r="B5" t="inlineStr">
        <is>
          <t>Exit equity value</t>
        </is>
      </c>
      <c r="C5" s="40" t="n">
        <v>500</v>
      </c>
      <c r="D5" s="40" t="n">
        <v>80</v>
      </c>
    </row>
    <row r="6">
      <c r="B6" t="inlineStr">
        <is>
          <t>Investment cost</t>
        </is>
      </c>
      <c r="C6" s="40" t="n">
        <v>20</v>
      </c>
      <c r="D6" s="40" t="n">
        <v>20</v>
      </c>
    </row>
    <row r="7">
      <c r="B7" t="inlineStr">
        <is>
          <t>Minimum gross MOIC</t>
        </is>
      </c>
      <c r="C7" s="37" t="n">
        <v>3</v>
      </c>
      <c r="D7" s="37" t="n">
        <v>3</v>
      </c>
    </row>
    <row r="11">
      <c r="B11" t="inlineStr">
        <is>
          <t>Investor ownership</t>
        </is>
      </c>
      <c r="C11" s="43">
        <f>'Ownership &amp; Dilution'!C17</f>
        <v/>
      </c>
      <c r="D11" s="43">
        <f>'Ownership &amp; Dilution'!D17</f>
        <v/>
      </c>
    </row>
    <row r="12">
      <c r="B12" t="inlineStr">
        <is>
          <t>Investor exit proceeds</t>
        </is>
      </c>
      <c r="C12" s="36">
        <f>C5*C11</f>
        <v/>
      </c>
      <c r="D12" s="36">
        <f>D5*D11</f>
        <v/>
      </c>
    </row>
    <row r="13">
      <c r="B13" t="inlineStr">
        <is>
          <t>Gross MOIC</t>
        </is>
      </c>
      <c r="C13" s="47">
        <f>IFERROR(C12/C6,0)</f>
        <v/>
      </c>
      <c r="D13" s="47">
        <f>IFERROR(D12/D6,0)</f>
        <v/>
      </c>
    </row>
    <row r="16">
      <c r="B16" s="16" t="inlineStr">
        <is>
          <t>Liquidation Preference Waterfall — Holder Elections</t>
        </is>
      </c>
    </row>
    <row r="17">
      <c r="B17" t="inlineStr">
        <is>
          <t>Terms / solver status</t>
        </is>
      </c>
      <c r="C17" s="2">
        <f>IF(AND(COUNT(C21:C24)=4,MIN(C21:C24)&gt;=0,COUNT(D21:D23)=3,MIN(D21:D23)&gt;=0,COUNT(E21:E23)=3,MIN(E21:E23)&gt;0,E21&lt;&gt;E22,E21&lt;&gt;E23,E22&lt;&gt;E23,COUNTIF(F21:F23,"Non-participating")=3,COUNT(G21:G23)=3,MIN(G21:G23)=0,MAX(G21:G23)=0,COUNTIF('Cap Table'!G8:G10,"Preferred")=3,MIN('Cap Table'!L8:L10)&gt;0,'Cap Table'!M7=0),"SUPPORTED","UNSUPPORTED / INCOMPLETE")</f>
        <v/>
      </c>
    </row>
    <row r="18">
      <c r="B18" s="25" t="inlineStr">
        <is>
          <t>Each preferred class independently retains its preference or converts. The selected state conserves proceeds and admits no profitable unilateral election change. Participating preferred, non-zero participation caps, duplicate seniority, and unconverted SAFEs fail closed for legal review.</t>
        </is>
      </c>
    </row>
    <row r="20">
      <c r="B20" s="4" t="inlineStr">
        <is>
          <t>Class</t>
        </is>
      </c>
      <c r="C20" s="4" t="inlineStr">
        <is>
          <t>As-converted shares</t>
        </is>
      </c>
      <c r="D20" s="4" t="inlineStr">
        <is>
          <t>Preference claim</t>
        </is>
      </c>
      <c r="E20" s="4" t="inlineStr">
        <is>
          <t>Seniority</t>
        </is>
      </c>
      <c r="F20" s="4" t="inlineStr">
        <is>
          <t>Participation</t>
        </is>
      </c>
      <c r="G20" s="4" t="inlineStr">
        <is>
          <t>Cap (x)</t>
        </is>
      </c>
      <c r="H20" s="4" t="inlineStr">
        <is>
          <t>Base election</t>
        </is>
      </c>
      <c r="I20" s="4" t="inlineStr">
        <is>
          <t>Base payout</t>
        </is>
      </c>
      <c r="J20" s="4" t="inlineStr">
        <is>
          <t>Adverse election</t>
        </is>
      </c>
      <c r="K20" s="4" t="inlineStr">
        <is>
          <t>Adverse payout</t>
        </is>
      </c>
    </row>
    <row r="21">
      <c r="B21" s="26" t="inlineStr">
        <is>
          <t>Series B preferred</t>
        </is>
      </c>
      <c r="C21" s="27">
        <f>IFERROR('Cap Table'!M10,0)</f>
        <v/>
      </c>
      <c r="D21" s="48">
        <f>MAX(0,'Cap Table'!F10*'Cap Table'!H10)</f>
        <v/>
      </c>
      <c r="E21" s="26">
        <f>'Cap Table'!K10</f>
        <v/>
      </c>
      <c r="F21" s="26">
        <f>'Cap Table'!I10</f>
        <v/>
      </c>
      <c r="G21" s="49">
        <f>'Cap Table'!J10</f>
        <v/>
      </c>
      <c r="H21" s="26">
        <f>IFERROR(IF(INDEX($C$32:$C$39,MATCH(1,$V$32:$V$39,0))=1,"CONVERT","PREFERENCE"),"NO EQUILIBRIUM")</f>
        <v/>
      </c>
      <c r="I21" s="48">
        <f>IFERROR(INDEX($K$32:$K$39,MATCH(1,$V$32:$V$39,0)),0)</f>
        <v/>
      </c>
      <c r="J21" s="26">
        <f>IFERROR(IF(INDEX($C$43:$C$50,MATCH(1,$V$43:$V$50,0))=1,"CONVERT","PREFERENCE"),"NO EQUILIBRIUM")</f>
        <v/>
      </c>
      <c r="K21" s="48">
        <f>IFERROR(INDEX($K$43:$K$50,MATCH(1,$V$43:$V$50,0)),0)</f>
        <v/>
      </c>
    </row>
    <row r="22">
      <c r="B22" s="26" t="inlineStr">
        <is>
          <t>Series A preferred</t>
        </is>
      </c>
      <c r="C22" s="27">
        <f>IFERROR('Cap Table'!M9,0)</f>
        <v/>
      </c>
      <c r="D22" s="48">
        <f>MAX(0,'Cap Table'!F9*'Cap Table'!H9)</f>
        <v/>
      </c>
      <c r="E22" s="26">
        <f>'Cap Table'!K9</f>
        <v/>
      </c>
      <c r="F22" s="26">
        <f>'Cap Table'!I9</f>
        <v/>
      </c>
      <c r="G22" s="49">
        <f>'Cap Table'!J9</f>
        <v/>
      </c>
      <c r="H22" s="26">
        <f>IFERROR(IF(INDEX($D$32:$D$39,MATCH(1,$V$32:$V$39,0))=1,"CONVERT","PREFERENCE"),"NO EQUILIBRIUM")</f>
        <v/>
      </c>
      <c r="I22" s="48">
        <f>IFERROR(INDEX($L$32:$L$39,MATCH(1,$V$32:$V$39,0)),0)</f>
        <v/>
      </c>
      <c r="J22" s="26">
        <f>IFERROR(IF(INDEX($D$43:$D$50,MATCH(1,$V$43:$V$50,0))=1,"CONVERT","PREFERENCE"),"NO EQUILIBRIUM")</f>
        <v/>
      </c>
      <c r="K22" s="48">
        <f>IFERROR(INDEX($L$43:$L$50,MATCH(1,$V$43:$V$50,0)),0)</f>
        <v/>
      </c>
    </row>
    <row r="23">
      <c r="B23" s="26" t="inlineStr">
        <is>
          <t>Seed preferred</t>
        </is>
      </c>
      <c r="C23" s="27">
        <f>IFERROR('Cap Table'!M8,0)</f>
        <v/>
      </c>
      <c r="D23" s="48">
        <f>MAX(0,'Cap Table'!F8*'Cap Table'!H8)</f>
        <v/>
      </c>
      <c r="E23" s="26">
        <f>'Cap Table'!K8</f>
        <v/>
      </c>
      <c r="F23" s="26">
        <f>'Cap Table'!I8</f>
        <v/>
      </c>
      <c r="G23" s="49">
        <f>'Cap Table'!J8</f>
        <v/>
      </c>
      <c r="H23" s="26">
        <f>IFERROR(IF(INDEX($E$32:$E$39,MATCH(1,$V$32:$V$39,0))=1,"CONVERT","PREFERENCE"),"NO EQUILIBRIUM")</f>
        <v/>
      </c>
      <c r="I23" s="48">
        <f>IFERROR(INDEX($M$32:$M$39,MATCH(1,$V$32:$V$39,0)),0)</f>
        <v/>
      </c>
      <c r="J23" s="26">
        <f>IFERROR(IF(INDEX($E$43:$E$50,MATCH(1,$V$43:$V$50,0))=1,"CONVERT","PREFERENCE"),"NO EQUILIBRIUM")</f>
        <v/>
      </c>
      <c r="K23" s="48">
        <f>IFERROR(INDEX($M$43:$M$50,MATCH(1,$V$43:$V$50,0)),0)</f>
        <v/>
      </c>
    </row>
    <row r="24">
      <c r="B24" s="26" t="inlineStr">
        <is>
          <t>Common (founders + option pool)</t>
        </is>
      </c>
      <c r="C24" s="27">
        <f>IFERROR('Cap Table'!M5+'Cap Table'!M6,0)</f>
        <v/>
      </c>
      <c r="D24" s="48" t="n">
        <v>0</v>
      </c>
      <c r="E24" s="26" t="n">
        <v>0</v>
      </c>
      <c r="F24" s="26" t="inlineStr">
        <is>
          <t>N/A</t>
        </is>
      </c>
      <c r="G24" s="49" t="n">
        <v>0</v>
      </c>
      <c r="H24" s="26" t="inlineStr">
        <is>
          <t>COMMON</t>
        </is>
      </c>
      <c r="I24" s="48">
        <f>IFERROR(INDEX($N$32:$N$39,MATCH(1,$V$32:$V$39,0)),0)</f>
        <v/>
      </c>
      <c r="J24" s="26" t="inlineStr">
        <is>
          <t>COMMON</t>
        </is>
      </c>
      <c r="K24" s="48">
        <f>IFERROR(INDEX($N$43:$N$50,MATCH(1,$V$43:$V$50,0)),0)</f>
        <v/>
      </c>
    </row>
    <row r="26">
      <c r="B26" t="inlineStr">
        <is>
          <t>Total distributed</t>
        </is>
      </c>
      <c r="I26" s="50">
        <f>SUM(I21:I24)</f>
        <v/>
      </c>
      <c r="K26" s="50">
        <f>SUM(K21:K24)</f>
        <v/>
      </c>
    </row>
    <row r="27">
      <c r="B27" t="inlineStr">
        <is>
          <t>Conservation residual</t>
        </is>
      </c>
      <c r="I27" s="50">
        <f>I26-$C$5</f>
        <v/>
      </c>
      <c r="K27" s="50">
        <f>K26-$D$5</f>
        <v/>
      </c>
    </row>
    <row r="28">
      <c r="B28" t="inlineStr">
        <is>
          <t>Selected stable election mask</t>
        </is>
      </c>
      <c r="I28">
        <f>IFERROR(INDEX($B$32:$B$39,MATCH(1,$V$32:$V$39,0)),"NONE")</f>
        <v/>
      </c>
      <c r="K28">
        <f>IFERROR(INDEX($B$43:$B$50,MATCH(1,$V$43:$V$50,0)),"NONE")</f>
        <v/>
      </c>
    </row>
    <row r="30">
      <c r="B30" s="2" t="inlineStr">
        <is>
          <t>Base — exhaustive holder-election candidates</t>
        </is>
      </c>
    </row>
    <row r="31">
      <c r="B31" s="4" t="inlineStr">
        <is>
          <t>Mask</t>
        </is>
      </c>
      <c r="C31" s="4" t="inlineStr">
        <is>
          <t>B converts</t>
        </is>
      </c>
      <c r="D31" s="4" t="inlineStr">
        <is>
          <t>A converts</t>
        </is>
      </c>
      <c r="E31" s="4" t="inlineStr">
        <is>
          <t>Seed converts</t>
        </is>
      </c>
      <c r="F31" s="4" t="inlineStr">
        <is>
          <t>B pref pay</t>
        </is>
      </c>
      <c r="G31" s="4" t="inlineStr">
        <is>
          <t>A pref pay</t>
        </is>
      </c>
      <c r="H31" s="4" t="inlineStr">
        <is>
          <t>Seed pref pay</t>
        </is>
      </c>
      <c r="I31" s="4" t="inlineStr">
        <is>
          <t>Residual</t>
        </is>
      </c>
      <c r="J31" s="4" t="inlineStr">
        <is>
          <t>Common-pool shares</t>
        </is>
      </c>
      <c r="K31" s="4" t="inlineStr">
        <is>
          <t>B payout</t>
        </is>
      </c>
      <c r="L31" s="4" t="inlineStr">
        <is>
          <t>A payout</t>
        </is>
      </c>
      <c r="M31" s="4" t="inlineStr">
        <is>
          <t>Seed payout</t>
        </is>
      </c>
      <c r="N31" s="4" t="inlineStr">
        <is>
          <t>Common payout</t>
        </is>
      </c>
      <c r="O31" s="4" t="inlineStr">
        <is>
          <t>Total</t>
        </is>
      </c>
      <c r="P31" s="4" t="inlineStr">
        <is>
          <t>B alt payout</t>
        </is>
      </c>
      <c r="Q31" s="4" t="inlineStr">
        <is>
          <t>A alt payout</t>
        </is>
      </c>
      <c r="R31" s="4" t="inlineStr">
        <is>
          <t>Seed alt payout</t>
        </is>
      </c>
      <c r="S31" s="4" t="inlineStr">
        <is>
          <t>B stable</t>
        </is>
      </c>
      <c r="T31" s="4" t="inlineStr">
        <is>
          <t>A stable</t>
        </is>
      </c>
      <c r="U31" s="4" t="inlineStr">
        <is>
          <t>Seed stable</t>
        </is>
      </c>
      <c r="V31" s="4" t="inlineStr">
        <is>
          <t>Stable candidate</t>
        </is>
      </c>
    </row>
    <row r="32">
      <c r="B32" s="31" t="n">
        <v>0</v>
      </c>
      <c r="C32" s="31" t="n">
        <v>0</v>
      </c>
      <c r="D32" s="31" t="n">
        <v>0</v>
      </c>
      <c r="E32" s="31" t="n">
        <v>0</v>
      </c>
      <c r="F32" s="36">
        <f>IF(($C32)=1,0,MIN($D$21,MAX(0,$C$5-(IF($E$21&gt;$E$21,(1-($C32))*$D$21,0)+IF($E$22&gt;$E$21,(1-($D32))*$D$22,0)+IF($E$23&gt;$E$21,(1-($E32))*$D$23,0)))))</f>
        <v/>
      </c>
      <c r="G32" s="36">
        <f>IF(($D32)=1,0,MIN($D$22,MAX(0,$C$5-(IF($E$21&gt;$E$22,(1-($C32))*$D$21,0)+IF($E$22&gt;$E$22,(1-($D32))*$D$22,0)+IF($E$23&gt;$E$22,(1-($E32))*$D$23,0)))))</f>
        <v/>
      </c>
      <c r="H32" s="36">
        <f>IF(($E32)=1,0,MIN($D$23,MAX(0,$C$5-(IF($E$21&gt;$E$23,(1-($C32))*$D$21,0)+IF($E$22&gt;$E$23,(1-($D32))*$D$22,0)+IF($E$23&gt;$E$23,(1-($E32))*$D$23,0)))))</f>
        <v/>
      </c>
      <c r="I32" s="36">
        <f>MAX(0,$C$5-SUM(F32:H32))</f>
        <v/>
      </c>
      <c r="J32" s="36">
        <f>$C$24+C32*$C$21+D32*$C$22+E32*$C$23</f>
        <v/>
      </c>
      <c r="K32" s="36">
        <f>IF(C32=1,IFERROR(I32*$C$21/J32,0),F32)</f>
        <v/>
      </c>
      <c r="L32" s="36">
        <f>IF(D32=1,IFERROR(I32*$C$22/J32,0),G32)</f>
        <v/>
      </c>
      <c r="M32" s="36">
        <f>IF(E32=1,IFERROR(I32*$C$23/J32,0),H32)</f>
        <v/>
      </c>
      <c r="N32" s="36">
        <f>IFERROR(I32*$C$24/J32,0)</f>
        <v/>
      </c>
      <c r="O32" s="36">
        <f>SUM(K32:N32)</f>
        <v/>
      </c>
      <c r="P32" s="36">
        <f>INDEX($K$32:$K$39,MATCH(IF(C32=1,B32-4,B32+4),$B$32:$B$39,0))</f>
        <v/>
      </c>
      <c r="Q32" s="36">
        <f>INDEX($L$32:$L$39,MATCH(IF(D32=1,B32-2,B32+2),$B$32:$B$39,0))</f>
        <v/>
      </c>
      <c r="R32" s="36">
        <f>INDEX($M$32:$M$39,MATCH(IF(E32=1,B32-1,B32+1),$B$32:$B$39,0))</f>
        <v/>
      </c>
      <c r="S32" s="31">
        <f>--(K32+0.000001&gt;=P32)</f>
        <v/>
      </c>
      <c r="T32" s="31">
        <f>--(L32+0.000001&gt;=Q32)</f>
        <v/>
      </c>
      <c r="U32" s="31">
        <f>--(M32+0.000001&gt;=R32)</f>
        <v/>
      </c>
      <c r="V32" s="31">
        <f>IFERROR(--(AND($C$17="SUPPORTED",S32=1,T32=1,U32=1,ABS(O32-$C$5)&lt;=0.01)),0)</f>
        <v/>
      </c>
    </row>
    <row r="33">
      <c r="B33" s="31" t="n">
        <v>1</v>
      </c>
      <c r="C33" s="31" t="n">
        <v>0</v>
      </c>
      <c r="D33" s="31" t="n">
        <v>0</v>
      </c>
      <c r="E33" s="31" t="n">
        <v>1</v>
      </c>
      <c r="F33" s="36">
        <f>IF(($C33)=1,0,MIN($D$21,MAX(0,$C$5-(IF($E$21&gt;$E$21,(1-($C33))*$D$21,0)+IF($E$22&gt;$E$21,(1-($D33))*$D$22,0)+IF($E$23&gt;$E$21,(1-($E33))*$D$23,0)))))</f>
        <v/>
      </c>
      <c r="G33" s="36">
        <f>IF(($D33)=1,0,MIN($D$22,MAX(0,$C$5-(IF($E$21&gt;$E$22,(1-($C33))*$D$21,0)+IF($E$22&gt;$E$22,(1-($D33))*$D$22,0)+IF($E$23&gt;$E$22,(1-($E33))*$D$23,0)))))</f>
        <v/>
      </c>
      <c r="H33" s="36">
        <f>IF(($E33)=1,0,MIN($D$23,MAX(0,$C$5-(IF($E$21&gt;$E$23,(1-($C33))*$D$21,0)+IF($E$22&gt;$E$23,(1-($D33))*$D$22,0)+IF($E$23&gt;$E$23,(1-($E33))*$D$23,0)))))</f>
        <v/>
      </c>
      <c r="I33" s="36">
        <f>MAX(0,$C$5-SUM(F33:H33))</f>
        <v/>
      </c>
      <c r="J33" s="36">
        <f>$C$24+C33*$C$21+D33*$C$22+E33*$C$23</f>
        <v/>
      </c>
      <c r="K33" s="36">
        <f>IF(C33=1,IFERROR(I33*$C$21/J33,0),F33)</f>
        <v/>
      </c>
      <c r="L33" s="36">
        <f>IF(D33=1,IFERROR(I33*$C$22/J33,0),G33)</f>
        <v/>
      </c>
      <c r="M33" s="36">
        <f>IF(E33=1,IFERROR(I33*$C$23/J33,0),H33)</f>
        <v/>
      </c>
      <c r="N33" s="36">
        <f>IFERROR(I33*$C$24/J33,0)</f>
        <v/>
      </c>
      <c r="O33" s="36">
        <f>SUM(K33:N33)</f>
        <v/>
      </c>
      <c r="P33" s="36">
        <f>INDEX($K$32:$K$39,MATCH(IF(C33=1,B33-4,B33+4),$B$32:$B$39,0))</f>
        <v/>
      </c>
      <c r="Q33" s="36">
        <f>INDEX($L$32:$L$39,MATCH(IF(D33=1,B33-2,B33+2),$B$32:$B$39,0))</f>
        <v/>
      </c>
      <c r="R33" s="36">
        <f>INDEX($M$32:$M$39,MATCH(IF(E33=1,B33-1,B33+1),$B$32:$B$39,0))</f>
        <v/>
      </c>
      <c r="S33" s="31">
        <f>--(K33+0.000001&gt;=P33)</f>
        <v/>
      </c>
      <c r="T33" s="31">
        <f>--(L33+0.000001&gt;=Q33)</f>
        <v/>
      </c>
      <c r="U33" s="31">
        <f>--(M33+0.000001&gt;=R33)</f>
        <v/>
      </c>
      <c r="V33" s="31">
        <f>IFERROR(--(AND($C$17="SUPPORTED",S33=1,T33=1,U33=1,ABS(O33-$C$5)&lt;=0.01)),0)</f>
        <v/>
      </c>
    </row>
    <row r="34">
      <c r="B34" s="31" t="n">
        <v>2</v>
      </c>
      <c r="C34" s="31" t="n">
        <v>0</v>
      </c>
      <c r="D34" s="31" t="n">
        <v>1</v>
      </c>
      <c r="E34" s="31" t="n">
        <v>0</v>
      </c>
      <c r="F34" s="36">
        <f>IF(($C34)=1,0,MIN($D$21,MAX(0,$C$5-(IF($E$21&gt;$E$21,(1-($C34))*$D$21,0)+IF($E$22&gt;$E$21,(1-($D34))*$D$22,0)+IF($E$23&gt;$E$21,(1-($E34))*$D$23,0)))))</f>
        <v/>
      </c>
      <c r="G34" s="36">
        <f>IF(($D34)=1,0,MIN($D$22,MAX(0,$C$5-(IF($E$21&gt;$E$22,(1-($C34))*$D$21,0)+IF($E$22&gt;$E$22,(1-($D34))*$D$22,0)+IF($E$23&gt;$E$22,(1-($E34))*$D$23,0)))))</f>
        <v/>
      </c>
      <c r="H34" s="36">
        <f>IF(($E34)=1,0,MIN($D$23,MAX(0,$C$5-(IF($E$21&gt;$E$23,(1-($C34))*$D$21,0)+IF($E$22&gt;$E$23,(1-($D34))*$D$22,0)+IF($E$23&gt;$E$23,(1-($E34))*$D$23,0)))))</f>
        <v/>
      </c>
      <c r="I34" s="36">
        <f>MAX(0,$C$5-SUM(F34:H34))</f>
        <v/>
      </c>
      <c r="J34" s="36">
        <f>$C$24+C34*$C$21+D34*$C$22+E34*$C$23</f>
        <v/>
      </c>
      <c r="K34" s="36">
        <f>IF(C34=1,IFERROR(I34*$C$21/J34,0),F34)</f>
        <v/>
      </c>
      <c r="L34" s="36">
        <f>IF(D34=1,IFERROR(I34*$C$22/J34,0),G34)</f>
        <v/>
      </c>
      <c r="M34" s="36">
        <f>IF(E34=1,IFERROR(I34*$C$23/J34,0),H34)</f>
        <v/>
      </c>
      <c r="N34" s="36">
        <f>IFERROR(I34*$C$24/J34,0)</f>
        <v/>
      </c>
      <c r="O34" s="36">
        <f>SUM(K34:N34)</f>
        <v/>
      </c>
      <c r="P34" s="36">
        <f>INDEX($K$32:$K$39,MATCH(IF(C34=1,B34-4,B34+4),$B$32:$B$39,0))</f>
        <v/>
      </c>
      <c r="Q34" s="36">
        <f>INDEX($L$32:$L$39,MATCH(IF(D34=1,B34-2,B34+2),$B$32:$B$39,0))</f>
        <v/>
      </c>
      <c r="R34" s="36">
        <f>INDEX($M$32:$M$39,MATCH(IF(E34=1,B34-1,B34+1),$B$32:$B$39,0))</f>
        <v/>
      </c>
      <c r="S34" s="31">
        <f>--(K34+0.000001&gt;=P34)</f>
        <v/>
      </c>
      <c r="T34" s="31">
        <f>--(L34+0.000001&gt;=Q34)</f>
        <v/>
      </c>
      <c r="U34" s="31">
        <f>--(M34+0.000001&gt;=R34)</f>
        <v/>
      </c>
      <c r="V34" s="31">
        <f>IFERROR(--(AND($C$17="SUPPORTED",S34=1,T34=1,U34=1,ABS(O34-$C$5)&lt;=0.01)),0)</f>
        <v/>
      </c>
    </row>
    <row r="35">
      <c r="B35" s="31" t="n">
        <v>3</v>
      </c>
      <c r="C35" s="31" t="n">
        <v>0</v>
      </c>
      <c r="D35" s="31" t="n">
        <v>1</v>
      </c>
      <c r="E35" s="31" t="n">
        <v>1</v>
      </c>
      <c r="F35" s="36">
        <f>IF(($C35)=1,0,MIN($D$21,MAX(0,$C$5-(IF($E$21&gt;$E$21,(1-($C35))*$D$21,0)+IF($E$22&gt;$E$21,(1-($D35))*$D$22,0)+IF($E$23&gt;$E$21,(1-($E35))*$D$23,0)))))</f>
        <v/>
      </c>
      <c r="G35" s="36">
        <f>IF(($D35)=1,0,MIN($D$22,MAX(0,$C$5-(IF($E$21&gt;$E$22,(1-($C35))*$D$21,0)+IF($E$22&gt;$E$22,(1-($D35))*$D$22,0)+IF($E$23&gt;$E$22,(1-($E35))*$D$23,0)))))</f>
        <v/>
      </c>
      <c r="H35" s="36">
        <f>IF(($E35)=1,0,MIN($D$23,MAX(0,$C$5-(IF($E$21&gt;$E$23,(1-($C35))*$D$21,0)+IF($E$22&gt;$E$23,(1-($D35))*$D$22,0)+IF($E$23&gt;$E$23,(1-($E35))*$D$23,0)))))</f>
        <v/>
      </c>
      <c r="I35" s="36">
        <f>MAX(0,$C$5-SUM(F35:H35))</f>
        <v/>
      </c>
      <c r="J35" s="36">
        <f>$C$24+C35*$C$21+D35*$C$22+E35*$C$23</f>
        <v/>
      </c>
      <c r="K35" s="36">
        <f>IF(C35=1,IFERROR(I35*$C$21/J35,0),F35)</f>
        <v/>
      </c>
      <c r="L35" s="36">
        <f>IF(D35=1,IFERROR(I35*$C$22/J35,0),G35)</f>
        <v/>
      </c>
      <c r="M35" s="36">
        <f>IF(E35=1,IFERROR(I35*$C$23/J35,0),H35)</f>
        <v/>
      </c>
      <c r="N35" s="36">
        <f>IFERROR(I35*$C$24/J35,0)</f>
        <v/>
      </c>
      <c r="O35" s="36">
        <f>SUM(K35:N35)</f>
        <v/>
      </c>
      <c r="P35" s="36">
        <f>INDEX($K$32:$K$39,MATCH(IF(C35=1,B35-4,B35+4),$B$32:$B$39,0))</f>
        <v/>
      </c>
      <c r="Q35" s="36">
        <f>INDEX($L$32:$L$39,MATCH(IF(D35=1,B35-2,B35+2),$B$32:$B$39,0))</f>
        <v/>
      </c>
      <c r="R35" s="36">
        <f>INDEX($M$32:$M$39,MATCH(IF(E35=1,B35-1,B35+1),$B$32:$B$39,0))</f>
        <v/>
      </c>
      <c r="S35" s="31">
        <f>--(K35+0.000001&gt;=P35)</f>
        <v/>
      </c>
      <c r="T35" s="31">
        <f>--(L35+0.000001&gt;=Q35)</f>
        <v/>
      </c>
      <c r="U35" s="31">
        <f>--(M35+0.000001&gt;=R35)</f>
        <v/>
      </c>
      <c r="V35" s="31">
        <f>IFERROR(--(AND($C$17="SUPPORTED",S35=1,T35=1,U35=1,ABS(O35-$C$5)&lt;=0.01)),0)</f>
        <v/>
      </c>
    </row>
    <row r="36">
      <c r="B36" s="31" t="n">
        <v>4</v>
      </c>
      <c r="C36" s="31" t="n">
        <v>1</v>
      </c>
      <c r="D36" s="31" t="n">
        <v>0</v>
      </c>
      <c r="E36" s="31" t="n">
        <v>0</v>
      </c>
      <c r="F36" s="36">
        <f>IF(($C36)=1,0,MIN($D$21,MAX(0,$C$5-(IF($E$21&gt;$E$21,(1-($C36))*$D$21,0)+IF($E$22&gt;$E$21,(1-($D36))*$D$22,0)+IF($E$23&gt;$E$21,(1-($E36))*$D$23,0)))))</f>
        <v/>
      </c>
      <c r="G36" s="36">
        <f>IF(($D36)=1,0,MIN($D$22,MAX(0,$C$5-(IF($E$21&gt;$E$22,(1-($C36))*$D$21,0)+IF($E$22&gt;$E$22,(1-($D36))*$D$22,0)+IF($E$23&gt;$E$22,(1-($E36))*$D$23,0)))))</f>
        <v/>
      </c>
      <c r="H36" s="36">
        <f>IF(($E36)=1,0,MIN($D$23,MAX(0,$C$5-(IF($E$21&gt;$E$23,(1-($C36))*$D$21,0)+IF($E$22&gt;$E$23,(1-($D36))*$D$22,0)+IF($E$23&gt;$E$23,(1-($E36))*$D$23,0)))))</f>
        <v/>
      </c>
      <c r="I36" s="36">
        <f>MAX(0,$C$5-SUM(F36:H36))</f>
        <v/>
      </c>
      <c r="J36" s="36">
        <f>$C$24+C36*$C$21+D36*$C$22+E36*$C$23</f>
        <v/>
      </c>
      <c r="K36" s="36">
        <f>IF(C36=1,IFERROR(I36*$C$21/J36,0),F36)</f>
        <v/>
      </c>
      <c r="L36" s="36">
        <f>IF(D36=1,IFERROR(I36*$C$22/J36,0),G36)</f>
        <v/>
      </c>
      <c r="M36" s="36">
        <f>IF(E36=1,IFERROR(I36*$C$23/J36,0),H36)</f>
        <v/>
      </c>
      <c r="N36" s="36">
        <f>IFERROR(I36*$C$24/J36,0)</f>
        <v/>
      </c>
      <c r="O36" s="36">
        <f>SUM(K36:N36)</f>
        <v/>
      </c>
      <c r="P36" s="36">
        <f>INDEX($K$32:$K$39,MATCH(IF(C36=1,B36-4,B36+4),$B$32:$B$39,0))</f>
        <v/>
      </c>
      <c r="Q36" s="36">
        <f>INDEX($L$32:$L$39,MATCH(IF(D36=1,B36-2,B36+2),$B$32:$B$39,0))</f>
        <v/>
      </c>
      <c r="R36" s="36">
        <f>INDEX($M$32:$M$39,MATCH(IF(E36=1,B36-1,B36+1),$B$32:$B$39,0))</f>
        <v/>
      </c>
      <c r="S36" s="31">
        <f>--(K36+0.000001&gt;=P36)</f>
        <v/>
      </c>
      <c r="T36" s="31">
        <f>--(L36+0.000001&gt;=Q36)</f>
        <v/>
      </c>
      <c r="U36" s="31">
        <f>--(M36+0.000001&gt;=R36)</f>
        <v/>
      </c>
      <c r="V36" s="31">
        <f>IFERROR(--(AND($C$17="SUPPORTED",S36=1,T36=1,U36=1,ABS(O36-$C$5)&lt;=0.01)),0)</f>
        <v/>
      </c>
    </row>
    <row r="37">
      <c r="B37" s="31" t="n">
        <v>5</v>
      </c>
      <c r="C37" s="31" t="n">
        <v>1</v>
      </c>
      <c r="D37" s="31" t="n">
        <v>0</v>
      </c>
      <c r="E37" s="31" t="n">
        <v>1</v>
      </c>
      <c r="F37" s="36">
        <f>IF(($C37)=1,0,MIN($D$21,MAX(0,$C$5-(IF($E$21&gt;$E$21,(1-($C37))*$D$21,0)+IF($E$22&gt;$E$21,(1-($D37))*$D$22,0)+IF($E$23&gt;$E$21,(1-($E37))*$D$23,0)))))</f>
        <v/>
      </c>
      <c r="G37" s="36">
        <f>IF(($D37)=1,0,MIN($D$22,MAX(0,$C$5-(IF($E$21&gt;$E$22,(1-($C37))*$D$21,0)+IF($E$22&gt;$E$22,(1-($D37))*$D$22,0)+IF($E$23&gt;$E$22,(1-($E37))*$D$23,0)))))</f>
        <v/>
      </c>
      <c r="H37" s="36">
        <f>IF(($E37)=1,0,MIN($D$23,MAX(0,$C$5-(IF($E$21&gt;$E$23,(1-($C37))*$D$21,0)+IF($E$22&gt;$E$23,(1-($D37))*$D$22,0)+IF($E$23&gt;$E$23,(1-($E37))*$D$23,0)))))</f>
        <v/>
      </c>
      <c r="I37" s="36">
        <f>MAX(0,$C$5-SUM(F37:H37))</f>
        <v/>
      </c>
      <c r="J37" s="36">
        <f>$C$24+C37*$C$21+D37*$C$22+E37*$C$23</f>
        <v/>
      </c>
      <c r="K37" s="36">
        <f>IF(C37=1,IFERROR(I37*$C$21/J37,0),F37)</f>
        <v/>
      </c>
      <c r="L37" s="36">
        <f>IF(D37=1,IFERROR(I37*$C$22/J37,0),G37)</f>
        <v/>
      </c>
      <c r="M37" s="36">
        <f>IF(E37=1,IFERROR(I37*$C$23/J37,0),H37)</f>
        <v/>
      </c>
      <c r="N37" s="36">
        <f>IFERROR(I37*$C$24/J37,0)</f>
        <v/>
      </c>
      <c r="O37" s="36">
        <f>SUM(K37:N37)</f>
        <v/>
      </c>
      <c r="P37" s="36">
        <f>INDEX($K$32:$K$39,MATCH(IF(C37=1,B37-4,B37+4),$B$32:$B$39,0))</f>
        <v/>
      </c>
      <c r="Q37" s="36">
        <f>INDEX($L$32:$L$39,MATCH(IF(D37=1,B37-2,B37+2),$B$32:$B$39,0))</f>
        <v/>
      </c>
      <c r="R37" s="36">
        <f>INDEX($M$32:$M$39,MATCH(IF(E37=1,B37-1,B37+1),$B$32:$B$39,0))</f>
        <v/>
      </c>
      <c r="S37" s="31">
        <f>--(K37+0.000001&gt;=P37)</f>
        <v/>
      </c>
      <c r="T37" s="31">
        <f>--(L37+0.000001&gt;=Q37)</f>
        <v/>
      </c>
      <c r="U37" s="31">
        <f>--(M37+0.000001&gt;=R37)</f>
        <v/>
      </c>
      <c r="V37" s="31">
        <f>IFERROR(--(AND($C$17="SUPPORTED",S37=1,T37=1,U37=1,ABS(O37-$C$5)&lt;=0.01)),0)</f>
        <v/>
      </c>
    </row>
    <row r="38">
      <c r="B38" s="31" t="n">
        <v>6</v>
      </c>
      <c r="C38" s="31" t="n">
        <v>1</v>
      </c>
      <c r="D38" s="31" t="n">
        <v>1</v>
      </c>
      <c r="E38" s="31" t="n">
        <v>0</v>
      </c>
      <c r="F38" s="36">
        <f>IF(($C38)=1,0,MIN($D$21,MAX(0,$C$5-(IF($E$21&gt;$E$21,(1-($C38))*$D$21,0)+IF($E$22&gt;$E$21,(1-($D38))*$D$22,0)+IF($E$23&gt;$E$21,(1-($E38))*$D$23,0)))))</f>
        <v/>
      </c>
      <c r="G38" s="36">
        <f>IF(($D38)=1,0,MIN($D$22,MAX(0,$C$5-(IF($E$21&gt;$E$22,(1-($C38))*$D$21,0)+IF($E$22&gt;$E$22,(1-($D38))*$D$22,0)+IF($E$23&gt;$E$22,(1-($E38))*$D$23,0)))))</f>
        <v/>
      </c>
      <c r="H38" s="36">
        <f>IF(($E38)=1,0,MIN($D$23,MAX(0,$C$5-(IF($E$21&gt;$E$23,(1-($C38))*$D$21,0)+IF($E$22&gt;$E$23,(1-($D38))*$D$22,0)+IF($E$23&gt;$E$23,(1-($E38))*$D$23,0)))))</f>
        <v/>
      </c>
      <c r="I38" s="36">
        <f>MAX(0,$C$5-SUM(F38:H38))</f>
        <v/>
      </c>
      <c r="J38" s="36">
        <f>$C$24+C38*$C$21+D38*$C$22+E38*$C$23</f>
        <v/>
      </c>
      <c r="K38" s="36">
        <f>IF(C38=1,IFERROR(I38*$C$21/J38,0),F38)</f>
        <v/>
      </c>
      <c r="L38" s="36">
        <f>IF(D38=1,IFERROR(I38*$C$22/J38,0),G38)</f>
        <v/>
      </c>
      <c r="M38" s="36">
        <f>IF(E38=1,IFERROR(I38*$C$23/J38,0),H38)</f>
        <v/>
      </c>
      <c r="N38" s="36">
        <f>IFERROR(I38*$C$24/J38,0)</f>
        <v/>
      </c>
      <c r="O38" s="36">
        <f>SUM(K38:N38)</f>
        <v/>
      </c>
      <c r="P38" s="36">
        <f>INDEX($K$32:$K$39,MATCH(IF(C38=1,B38-4,B38+4),$B$32:$B$39,0))</f>
        <v/>
      </c>
      <c r="Q38" s="36">
        <f>INDEX($L$32:$L$39,MATCH(IF(D38=1,B38-2,B38+2),$B$32:$B$39,0))</f>
        <v/>
      </c>
      <c r="R38" s="36">
        <f>INDEX($M$32:$M$39,MATCH(IF(E38=1,B38-1,B38+1),$B$32:$B$39,0))</f>
        <v/>
      </c>
      <c r="S38" s="31">
        <f>--(K38+0.000001&gt;=P38)</f>
        <v/>
      </c>
      <c r="T38" s="31">
        <f>--(L38+0.000001&gt;=Q38)</f>
        <v/>
      </c>
      <c r="U38" s="31">
        <f>--(M38+0.000001&gt;=R38)</f>
        <v/>
      </c>
      <c r="V38" s="31">
        <f>IFERROR(--(AND($C$17="SUPPORTED",S38=1,T38=1,U38=1,ABS(O38-$C$5)&lt;=0.01)),0)</f>
        <v/>
      </c>
    </row>
    <row r="39">
      <c r="B39" s="31" t="n">
        <v>7</v>
      </c>
      <c r="C39" s="31" t="n">
        <v>1</v>
      </c>
      <c r="D39" s="31" t="n">
        <v>1</v>
      </c>
      <c r="E39" s="31" t="n">
        <v>1</v>
      </c>
      <c r="F39" s="36">
        <f>IF(($C39)=1,0,MIN($D$21,MAX(0,$C$5-(IF($E$21&gt;$E$21,(1-($C39))*$D$21,0)+IF($E$22&gt;$E$21,(1-($D39))*$D$22,0)+IF($E$23&gt;$E$21,(1-($E39))*$D$23,0)))))</f>
        <v/>
      </c>
      <c r="G39" s="36">
        <f>IF(($D39)=1,0,MIN($D$22,MAX(0,$C$5-(IF($E$21&gt;$E$22,(1-($C39))*$D$21,0)+IF($E$22&gt;$E$22,(1-($D39))*$D$22,0)+IF($E$23&gt;$E$22,(1-($E39))*$D$23,0)))))</f>
        <v/>
      </c>
      <c r="H39" s="36">
        <f>IF(($E39)=1,0,MIN($D$23,MAX(0,$C$5-(IF($E$21&gt;$E$23,(1-($C39))*$D$21,0)+IF($E$22&gt;$E$23,(1-($D39))*$D$22,0)+IF($E$23&gt;$E$23,(1-($E39))*$D$23,0)))))</f>
        <v/>
      </c>
      <c r="I39" s="36">
        <f>MAX(0,$C$5-SUM(F39:H39))</f>
        <v/>
      </c>
      <c r="J39" s="36">
        <f>$C$24+C39*$C$21+D39*$C$22+E39*$C$23</f>
        <v/>
      </c>
      <c r="K39" s="36">
        <f>IF(C39=1,IFERROR(I39*$C$21/J39,0),F39)</f>
        <v/>
      </c>
      <c r="L39" s="36">
        <f>IF(D39=1,IFERROR(I39*$C$22/J39,0),G39)</f>
        <v/>
      </c>
      <c r="M39" s="36">
        <f>IF(E39=1,IFERROR(I39*$C$23/J39,0),H39)</f>
        <v/>
      </c>
      <c r="N39" s="36">
        <f>IFERROR(I39*$C$24/J39,0)</f>
        <v/>
      </c>
      <c r="O39" s="36">
        <f>SUM(K39:N39)</f>
        <v/>
      </c>
      <c r="P39" s="36">
        <f>INDEX($K$32:$K$39,MATCH(IF(C39=1,B39-4,B39+4),$B$32:$B$39,0))</f>
        <v/>
      </c>
      <c r="Q39" s="36">
        <f>INDEX($L$32:$L$39,MATCH(IF(D39=1,B39-2,B39+2),$B$32:$B$39,0))</f>
        <v/>
      </c>
      <c r="R39" s="36">
        <f>INDEX($M$32:$M$39,MATCH(IF(E39=1,B39-1,B39+1),$B$32:$B$39,0))</f>
        <v/>
      </c>
      <c r="S39" s="31">
        <f>--(K39+0.000001&gt;=P39)</f>
        <v/>
      </c>
      <c r="T39" s="31">
        <f>--(L39+0.000001&gt;=Q39)</f>
        <v/>
      </c>
      <c r="U39" s="31">
        <f>--(M39+0.000001&gt;=R39)</f>
        <v/>
      </c>
      <c r="V39" s="31">
        <f>IFERROR(--(AND($C$17="SUPPORTED",S39=1,T39=1,U39=1,ABS(O39-$C$5)&lt;=0.01)),0)</f>
        <v/>
      </c>
    </row>
    <row r="41">
      <c r="B41" s="2" t="inlineStr">
        <is>
          <t>Adverse — exhaustive holder-election candidates</t>
        </is>
      </c>
    </row>
    <row r="42">
      <c r="B42" s="4" t="inlineStr">
        <is>
          <t>Mask</t>
        </is>
      </c>
      <c r="C42" s="4" t="inlineStr">
        <is>
          <t>B converts</t>
        </is>
      </c>
      <c r="D42" s="4" t="inlineStr">
        <is>
          <t>A converts</t>
        </is>
      </c>
      <c r="E42" s="4" t="inlineStr">
        <is>
          <t>Seed converts</t>
        </is>
      </c>
      <c r="F42" s="4" t="inlineStr">
        <is>
          <t>B pref pay</t>
        </is>
      </c>
      <c r="G42" s="4" t="inlineStr">
        <is>
          <t>A pref pay</t>
        </is>
      </c>
      <c r="H42" s="4" t="inlineStr">
        <is>
          <t>Seed pref pay</t>
        </is>
      </c>
      <c r="I42" s="4" t="inlineStr">
        <is>
          <t>Residual</t>
        </is>
      </c>
      <c r="J42" s="4" t="inlineStr">
        <is>
          <t>Common-pool shares</t>
        </is>
      </c>
      <c r="K42" s="4" t="inlineStr">
        <is>
          <t>B payout</t>
        </is>
      </c>
      <c r="L42" s="4" t="inlineStr">
        <is>
          <t>A payout</t>
        </is>
      </c>
      <c r="M42" s="4" t="inlineStr">
        <is>
          <t>Seed payout</t>
        </is>
      </c>
      <c r="N42" s="4" t="inlineStr">
        <is>
          <t>Common payout</t>
        </is>
      </c>
      <c r="O42" s="4" t="inlineStr">
        <is>
          <t>Total</t>
        </is>
      </c>
      <c r="P42" s="4" t="inlineStr">
        <is>
          <t>B alt payout</t>
        </is>
      </c>
      <c r="Q42" s="4" t="inlineStr">
        <is>
          <t>A alt payout</t>
        </is>
      </c>
      <c r="R42" s="4" t="inlineStr">
        <is>
          <t>Seed alt payout</t>
        </is>
      </c>
      <c r="S42" s="4" t="inlineStr">
        <is>
          <t>B stable</t>
        </is>
      </c>
      <c r="T42" s="4" t="inlineStr">
        <is>
          <t>A stable</t>
        </is>
      </c>
      <c r="U42" s="4" t="inlineStr">
        <is>
          <t>Seed stable</t>
        </is>
      </c>
      <c r="V42" s="4" t="inlineStr">
        <is>
          <t>Stable candidate</t>
        </is>
      </c>
    </row>
    <row r="43">
      <c r="B43" s="31" t="n">
        <v>0</v>
      </c>
      <c r="C43" s="31" t="n">
        <v>0</v>
      </c>
      <c r="D43" s="31" t="n">
        <v>0</v>
      </c>
      <c r="E43" s="31" t="n">
        <v>0</v>
      </c>
      <c r="F43" s="36">
        <f>IF(($C43)=1,0,MIN($D$21,MAX(0,$D$5-(IF($E$21&gt;$E$21,(1-($C43))*$D$21,0)+IF($E$22&gt;$E$21,(1-($D43))*$D$22,0)+IF($E$23&gt;$E$21,(1-($E43))*$D$23,0)))))</f>
        <v/>
      </c>
      <c r="G43" s="36">
        <f>IF(($D43)=1,0,MIN($D$22,MAX(0,$D$5-(IF($E$21&gt;$E$22,(1-($C43))*$D$21,0)+IF($E$22&gt;$E$22,(1-($D43))*$D$22,0)+IF($E$23&gt;$E$22,(1-($E43))*$D$23,0)))))</f>
        <v/>
      </c>
      <c r="H43" s="36">
        <f>IF(($E43)=1,0,MIN($D$23,MAX(0,$D$5-(IF($E$21&gt;$E$23,(1-($C43))*$D$21,0)+IF($E$22&gt;$E$23,(1-($D43))*$D$22,0)+IF($E$23&gt;$E$23,(1-($E43))*$D$23,0)))))</f>
        <v/>
      </c>
      <c r="I43" s="36">
        <f>MAX(0,$D$5-SUM(F43:H43))</f>
        <v/>
      </c>
      <c r="J43" s="36">
        <f>$C$24+C43*$C$21+D43*$C$22+E43*$C$23</f>
        <v/>
      </c>
      <c r="K43" s="36">
        <f>IF(C43=1,IFERROR(I43*$C$21/J43,0),F43)</f>
        <v/>
      </c>
      <c r="L43" s="36">
        <f>IF(D43=1,IFERROR(I43*$C$22/J43,0),G43)</f>
        <v/>
      </c>
      <c r="M43" s="36">
        <f>IF(E43=1,IFERROR(I43*$C$23/J43,0),H43)</f>
        <v/>
      </c>
      <c r="N43" s="36">
        <f>IFERROR(I43*$C$24/J43,0)</f>
        <v/>
      </c>
      <c r="O43" s="36">
        <f>SUM(K43:N43)</f>
        <v/>
      </c>
      <c r="P43" s="36">
        <f>INDEX($K$43:$K$50,MATCH(IF(C43=1,B43-4,B43+4),$B$43:$B$50,0))</f>
        <v/>
      </c>
      <c r="Q43" s="36">
        <f>INDEX($L$43:$L$50,MATCH(IF(D43=1,B43-2,B43+2),$B$43:$B$50,0))</f>
        <v/>
      </c>
      <c r="R43" s="36">
        <f>INDEX($M$43:$M$50,MATCH(IF(E43=1,B43-1,B43+1),$B$43:$B$50,0))</f>
        <v/>
      </c>
      <c r="S43" s="31">
        <f>--(K43+0.000001&gt;=P43)</f>
        <v/>
      </c>
      <c r="T43" s="31">
        <f>--(L43+0.000001&gt;=Q43)</f>
        <v/>
      </c>
      <c r="U43" s="31">
        <f>--(M43+0.000001&gt;=R43)</f>
        <v/>
      </c>
      <c r="V43" s="31">
        <f>IFERROR(--(AND($C$17="SUPPORTED",S43=1,T43=1,U43=1,ABS(O43-$D$5)&lt;=0.01)),0)</f>
        <v/>
      </c>
    </row>
    <row r="44">
      <c r="B44" s="31" t="n">
        <v>1</v>
      </c>
      <c r="C44" s="31" t="n">
        <v>0</v>
      </c>
      <c r="D44" s="31" t="n">
        <v>0</v>
      </c>
      <c r="E44" s="31" t="n">
        <v>1</v>
      </c>
      <c r="F44" s="36">
        <f>IF(($C44)=1,0,MIN($D$21,MAX(0,$D$5-(IF($E$21&gt;$E$21,(1-($C44))*$D$21,0)+IF($E$22&gt;$E$21,(1-($D44))*$D$22,0)+IF($E$23&gt;$E$21,(1-($E44))*$D$23,0)))))</f>
        <v/>
      </c>
      <c r="G44" s="36">
        <f>IF(($D44)=1,0,MIN($D$22,MAX(0,$D$5-(IF($E$21&gt;$E$22,(1-($C44))*$D$21,0)+IF($E$22&gt;$E$22,(1-($D44))*$D$22,0)+IF($E$23&gt;$E$22,(1-($E44))*$D$23,0)))))</f>
        <v/>
      </c>
      <c r="H44" s="36">
        <f>IF(($E44)=1,0,MIN($D$23,MAX(0,$D$5-(IF($E$21&gt;$E$23,(1-($C44))*$D$21,0)+IF($E$22&gt;$E$23,(1-($D44))*$D$22,0)+IF($E$23&gt;$E$23,(1-($E44))*$D$23,0)))))</f>
        <v/>
      </c>
      <c r="I44" s="36">
        <f>MAX(0,$D$5-SUM(F44:H44))</f>
        <v/>
      </c>
      <c r="J44" s="36">
        <f>$C$24+C44*$C$21+D44*$C$22+E44*$C$23</f>
        <v/>
      </c>
      <c r="K44" s="36">
        <f>IF(C44=1,IFERROR(I44*$C$21/J44,0),F44)</f>
        <v/>
      </c>
      <c r="L44" s="36">
        <f>IF(D44=1,IFERROR(I44*$C$22/J44,0),G44)</f>
        <v/>
      </c>
      <c r="M44" s="36">
        <f>IF(E44=1,IFERROR(I44*$C$23/J44,0),H44)</f>
        <v/>
      </c>
      <c r="N44" s="36">
        <f>IFERROR(I44*$C$24/J44,0)</f>
        <v/>
      </c>
      <c r="O44" s="36">
        <f>SUM(K44:N44)</f>
        <v/>
      </c>
      <c r="P44" s="36">
        <f>INDEX($K$43:$K$50,MATCH(IF(C44=1,B44-4,B44+4),$B$43:$B$50,0))</f>
        <v/>
      </c>
      <c r="Q44" s="36">
        <f>INDEX($L$43:$L$50,MATCH(IF(D44=1,B44-2,B44+2),$B$43:$B$50,0))</f>
        <v/>
      </c>
      <c r="R44" s="36">
        <f>INDEX($M$43:$M$50,MATCH(IF(E44=1,B44-1,B44+1),$B$43:$B$50,0))</f>
        <v/>
      </c>
      <c r="S44" s="31">
        <f>--(K44+0.000001&gt;=P44)</f>
        <v/>
      </c>
      <c r="T44" s="31">
        <f>--(L44+0.000001&gt;=Q44)</f>
        <v/>
      </c>
      <c r="U44" s="31">
        <f>--(M44+0.000001&gt;=R44)</f>
        <v/>
      </c>
      <c r="V44" s="31">
        <f>IFERROR(--(AND($C$17="SUPPORTED",S44=1,T44=1,U44=1,ABS(O44-$D$5)&lt;=0.01)),0)</f>
        <v/>
      </c>
    </row>
    <row r="45">
      <c r="B45" s="31" t="n">
        <v>2</v>
      </c>
      <c r="C45" s="31" t="n">
        <v>0</v>
      </c>
      <c r="D45" s="31" t="n">
        <v>1</v>
      </c>
      <c r="E45" s="31" t="n">
        <v>0</v>
      </c>
      <c r="F45" s="36">
        <f>IF(($C45)=1,0,MIN($D$21,MAX(0,$D$5-(IF($E$21&gt;$E$21,(1-($C45))*$D$21,0)+IF($E$22&gt;$E$21,(1-($D45))*$D$22,0)+IF($E$23&gt;$E$21,(1-($E45))*$D$23,0)))))</f>
        <v/>
      </c>
      <c r="G45" s="36">
        <f>IF(($D45)=1,0,MIN($D$22,MAX(0,$D$5-(IF($E$21&gt;$E$22,(1-($C45))*$D$21,0)+IF($E$22&gt;$E$22,(1-($D45))*$D$22,0)+IF($E$23&gt;$E$22,(1-($E45))*$D$23,0)))))</f>
        <v/>
      </c>
      <c r="H45" s="36">
        <f>IF(($E45)=1,0,MIN($D$23,MAX(0,$D$5-(IF($E$21&gt;$E$23,(1-($C45))*$D$21,0)+IF($E$22&gt;$E$23,(1-($D45))*$D$22,0)+IF($E$23&gt;$E$23,(1-($E45))*$D$23,0)))))</f>
        <v/>
      </c>
      <c r="I45" s="36">
        <f>MAX(0,$D$5-SUM(F45:H45))</f>
        <v/>
      </c>
      <c r="J45" s="36">
        <f>$C$24+C45*$C$21+D45*$C$22+E45*$C$23</f>
        <v/>
      </c>
      <c r="K45" s="36">
        <f>IF(C45=1,IFERROR(I45*$C$21/J45,0),F45)</f>
        <v/>
      </c>
      <c r="L45" s="36">
        <f>IF(D45=1,IFERROR(I45*$C$22/J45,0),G45)</f>
        <v/>
      </c>
      <c r="M45" s="36">
        <f>IF(E45=1,IFERROR(I45*$C$23/J45,0),H45)</f>
        <v/>
      </c>
      <c r="N45" s="36">
        <f>IFERROR(I45*$C$24/J45,0)</f>
        <v/>
      </c>
      <c r="O45" s="36">
        <f>SUM(K45:N45)</f>
        <v/>
      </c>
      <c r="P45" s="36">
        <f>INDEX($K$43:$K$50,MATCH(IF(C45=1,B45-4,B45+4),$B$43:$B$50,0))</f>
        <v/>
      </c>
      <c r="Q45" s="36">
        <f>INDEX($L$43:$L$50,MATCH(IF(D45=1,B45-2,B45+2),$B$43:$B$50,0))</f>
        <v/>
      </c>
      <c r="R45" s="36">
        <f>INDEX($M$43:$M$50,MATCH(IF(E45=1,B45-1,B45+1),$B$43:$B$50,0))</f>
        <v/>
      </c>
      <c r="S45" s="31">
        <f>--(K45+0.000001&gt;=P45)</f>
        <v/>
      </c>
      <c r="T45" s="31">
        <f>--(L45+0.000001&gt;=Q45)</f>
        <v/>
      </c>
      <c r="U45" s="31">
        <f>--(M45+0.000001&gt;=R45)</f>
        <v/>
      </c>
      <c r="V45" s="31">
        <f>IFERROR(--(AND($C$17="SUPPORTED",S45=1,T45=1,U45=1,ABS(O45-$D$5)&lt;=0.01)),0)</f>
        <v/>
      </c>
    </row>
    <row r="46">
      <c r="B46" s="31" t="n">
        <v>3</v>
      </c>
      <c r="C46" s="31" t="n">
        <v>0</v>
      </c>
      <c r="D46" s="31" t="n">
        <v>1</v>
      </c>
      <c r="E46" s="31" t="n">
        <v>1</v>
      </c>
      <c r="F46" s="36">
        <f>IF(($C46)=1,0,MIN($D$21,MAX(0,$D$5-(IF($E$21&gt;$E$21,(1-($C46))*$D$21,0)+IF($E$22&gt;$E$21,(1-($D46))*$D$22,0)+IF($E$23&gt;$E$21,(1-($E46))*$D$23,0)))))</f>
        <v/>
      </c>
      <c r="G46" s="36">
        <f>IF(($D46)=1,0,MIN($D$22,MAX(0,$D$5-(IF($E$21&gt;$E$22,(1-($C46))*$D$21,0)+IF($E$22&gt;$E$22,(1-($D46))*$D$22,0)+IF($E$23&gt;$E$22,(1-($E46))*$D$23,0)))))</f>
        <v/>
      </c>
      <c r="H46" s="36">
        <f>IF(($E46)=1,0,MIN($D$23,MAX(0,$D$5-(IF($E$21&gt;$E$23,(1-($C46))*$D$21,0)+IF($E$22&gt;$E$23,(1-($D46))*$D$22,0)+IF($E$23&gt;$E$23,(1-($E46))*$D$23,0)))))</f>
        <v/>
      </c>
      <c r="I46" s="36">
        <f>MAX(0,$D$5-SUM(F46:H46))</f>
        <v/>
      </c>
      <c r="J46" s="36">
        <f>$C$24+C46*$C$21+D46*$C$22+E46*$C$23</f>
        <v/>
      </c>
      <c r="K46" s="36">
        <f>IF(C46=1,IFERROR(I46*$C$21/J46,0),F46)</f>
        <v/>
      </c>
      <c r="L46" s="36">
        <f>IF(D46=1,IFERROR(I46*$C$22/J46,0),G46)</f>
        <v/>
      </c>
      <c r="M46" s="36">
        <f>IF(E46=1,IFERROR(I46*$C$23/J46,0),H46)</f>
        <v/>
      </c>
      <c r="N46" s="36">
        <f>IFERROR(I46*$C$24/J46,0)</f>
        <v/>
      </c>
      <c r="O46" s="36">
        <f>SUM(K46:N46)</f>
        <v/>
      </c>
      <c r="P46" s="36">
        <f>INDEX($K$43:$K$50,MATCH(IF(C46=1,B46-4,B46+4),$B$43:$B$50,0))</f>
        <v/>
      </c>
      <c r="Q46" s="36">
        <f>INDEX($L$43:$L$50,MATCH(IF(D46=1,B46-2,B46+2),$B$43:$B$50,0))</f>
        <v/>
      </c>
      <c r="R46" s="36">
        <f>INDEX($M$43:$M$50,MATCH(IF(E46=1,B46-1,B46+1),$B$43:$B$50,0))</f>
        <v/>
      </c>
      <c r="S46" s="31">
        <f>--(K46+0.000001&gt;=P46)</f>
        <v/>
      </c>
      <c r="T46" s="31">
        <f>--(L46+0.000001&gt;=Q46)</f>
        <v/>
      </c>
      <c r="U46" s="31">
        <f>--(M46+0.000001&gt;=R46)</f>
        <v/>
      </c>
      <c r="V46" s="31">
        <f>IFERROR(--(AND($C$17="SUPPORTED",S46=1,T46=1,U46=1,ABS(O46-$D$5)&lt;=0.01)),0)</f>
        <v/>
      </c>
    </row>
    <row r="47">
      <c r="B47" s="31" t="n">
        <v>4</v>
      </c>
      <c r="C47" s="31" t="n">
        <v>1</v>
      </c>
      <c r="D47" s="31" t="n">
        <v>0</v>
      </c>
      <c r="E47" s="31" t="n">
        <v>0</v>
      </c>
      <c r="F47" s="36">
        <f>IF(($C47)=1,0,MIN($D$21,MAX(0,$D$5-(IF($E$21&gt;$E$21,(1-($C47))*$D$21,0)+IF($E$22&gt;$E$21,(1-($D47))*$D$22,0)+IF($E$23&gt;$E$21,(1-($E47))*$D$23,0)))))</f>
        <v/>
      </c>
      <c r="G47" s="36">
        <f>IF(($D47)=1,0,MIN($D$22,MAX(0,$D$5-(IF($E$21&gt;$E$22,(1-($C47))*$D$21,0)+IF($E$22&gt;$E$22,(1-($D47))*$D$22,0)+IF($E$23&gt;$E$22,(1-($E47))*$D$23,0)))))</f>
        <v/>
      </c>
      <c r="H47" s="36">
        <f>IF(($E47)=1,0,MIN($D$23,MAX(0,$D$5-(IF($E$21&gt;$E$23,(1-($C47))*$D$21,0)+IF($E$22&gt;$E$23,(1-($D47))*$D$22,0)+IF($E$23&gt;$E$23,(1-($E47))*$D$23,0)))))</f>
        <v/>
      </c>
      <c r="I47" s="36">
        <f>MAX(0,$D$5-SUM(F47:H47))</f>
        <v/>
      </c>
      <c r="J47" s="36">
        <f>$C$24+C47*$C$21+D47*$C$22+E47*$C$23</f>
        <v/>
      </c>
      <c r="K47" s="36">
        <f>IF(C47=1,IFERROR(I47*$C$21/J47,0),F47)</f>
        <v/>
      </c>
      <c r="L47" s="36">
        <f>IF(D47=1,IFERROR(I47*$C$22/J47,0),G47)</f>
        <v/>
      </c>
      <c r="M47" s="36">
        <f>IF(E47=1,IFERROR(I47*$C$23/J47,0),H47)</f>
        <v/>
      </c>
      <c r="N47" s="36">
        <f>IFERROR(I47*$C$24/J47,0)</f>
        <v/>
      </c>
      <c r="O47" s="36">
        <f>SUM(K47:N47)</f>
        <v/>
      </c>
      <c r="P47" s="36">
        <f>INDEX($K$43:$K$50,MATCH(IF(C47=1,B47-4,B47+4),$B$43:$B$50,0))</f>
        <v/>
      </c>
      <c r="Q47" s="36">
        <f>INDEX($L$43:$L$50,MATCH(IF(D47=1,B47-2,B47+2),$B$43:$B$50,0))</f>
        <v/>
      </c>
      <c r="R47" s="36">
        <f>INDEX($M$43:$M$50,MATCH(IF(E47=1,B47-1,B47+1),$B$43:$B$50,0))</f>
        <v/>
      </c>
      <c r="S47" s="31">
        <f>--(K47+0.000001&gt;=P47)</f>
        <v/>
      </c>
      <c r="T47" s="31">
        <f>--(L47+0.000001&gt;=Q47)</f>
        <v/>
      </c>
      <c r="U47" s="31">
        <f>--(M47+0.000001&gt;=R47)</f>
        <v/>
      </c>
      <c r="V47" s="31">
        <f>IFERROR(--(AND($C$17="SUPPORTED",S47=1,T47=1,U47=1,ABS(O47-$D$5)&lt;=0.01)),0)</f>
        <v/>
      </c>
    </row>
    <row r="48">
      <c r="B48" s="31" t="n">
        <v>5</v>
      </c>
      <c r="C48" s="31" t="n">
        <v>1</v>
      </c>
      <c r="D48" s="31" t="n">
        <v>0</v>
      </c>
      <c r="E48" s="31" t="n">
        <v>1</v>
      </c>
      <c r="F48" s="36">
        <f>IF(($C48)=1,0,MIN($D$21,MAX(0,$D$5-(IF($E$21&gt;$E$21,(1-($C48))*$D$21,0)+IF($E$22&gt;$E$21,(1-($D48))*$D$22,0)+IF($E$23&gt;$E$21,(1-($E48))*$D$23,0)))))</f>
        <v/>
      </c>
      <c r="G48" s="36">
        <f>IF(($D48)=1,0,MIN($D$22,MAX(0,$D$5-(IF($E$21&gt;$E$22,(1-($C48))*$D$21,0)+IF($E$22&gt;$E$22,(1-($D48))*$D$22,0)+IF($E$23&gt;$E$22,(1-($E48))*$D$23,0)))))</f>
        <v/>
      </c>
      <c r="H48" s="36">
        <f>IF(($E48)=1,0,MIN($D$23,MAX(0,$D$5-(IF($E$21&gt;$E$23,(1-($C48))*$D$21,0)+IF($E$22&gt;$E$23,(1-($D48))*$D$22,0)+IF($E$23&gt;$E$23,(1-($E48))*$D$23,0)))))</f>
        <v/>
      </c>
      <c r="I48" s="36">
        <f>MAX(0,$D$5-SUM(F48:H48))</f>
        <v/>
      </c>
      <c r="J48" s="36">
        <f>$C$24+C48*$C$21+D48*$C$22+E48*$C$23</f>
        <v/>
      </c>
      <c r="K48" s="36">
        <f>IF(C48=1,IFERROR(I48*$C$21/J48,0),F48)</f>
        <v/>
      </c>
      <c r="L48" s="36">
        <f>IF(D48=1,IFERROR(I48*$C$22/J48,0),G48)</f>
        <v/>
      </c>
      <c r="M48" s="36">
        <f>IF(E48=1,IFERROR(I48*$C$23/J48,0),H48)</f>
        <v/>
      </c>
      <c r="N48" s="36">
        <f>IFERROR(I48*$C$24/J48,0)</f>
        <v/>
      </c>
      <c r="O48" s="36">
        <f>SUM(K48:N48)</f>
        <v/>
      </c>
      <c r="P48" s="36">
        <f>INDEX($K$43:$K$50,MATCH(IF(C48=1,B48-4,B48+4),$B$43:$B$50,0))</f>
        <v/>
      </c>
      <c r="Q48" s="36">
        <f>INDEX($L$43:$L$50,MATCH(IF(D48=1,B48-2,B48+2),$B$43:$B$50,0))</f>
        <v/>
      </c>
      <c r="R48" s="36">
        <f>INDEX($M$43:$M$50,MATCH(IF(E48=1,B48-1,B48+1),$B$43:$B$50,0))</f>
        <v/>
      </c>
      <c r="S48" s="31">
        <f>--(K48+0.000001&gt;=P48)</f>
        <v/>
      </c>
      <c r="T48" s="31">
        <f>--(L48+0.000001&gt;=Q48)</f>
        <v/>
      </c>
      <c r="U48" s="31">
        <f>--(M48+0.000001&gt;=R48)</f>
        <v/>
      </c>
      <c r="V48" s="31">
        <f>IFERROR(--(AND($C$17="SUPPORTED",S48=1,T48=1,U48=1,ABS(O48-$D$5)&lt;=0.01)),0)</f>
        <v/>
      </c>
    </row>
    <row r="49">
      <c r="B49" s="31" t="n">
        <v>6</v>
      </c>
      <c r="C49" s="31" t="n">
        <v>1</v>
      </c>
      <c r="D49" s="31" t="n">
        <v>1</v>
      </c>
      <c r="E49" s="31" t="n">
        <v>0</v>
      </c>
      <c r="F49" s="36">
        <f>IF(($C49)=1,0,MIN($D$21,MAX(0,$D$5-(IF($E$21&gt;$E$21,(1-($C49))*$D$21,0)+IF($E$22&gt;$E$21,(1-($D49))*$D$22,0)+IF($E$23&gt;$E$21,(1-($E49))*$D$23,0)))))</f>
        <v/>
      </c>
      <c r="G49" s="36">
        <f>IF(($D49)=1,0,MIN($D$22,MAX(0,$D$5-(IF($E$21&gt;$E$22,(1-($C49))*$D$21,0)+IF($E$22&gt;$E$22,(1-($D49))*$D$22,0)+IF($E$23&gt;$E$22,(1-($E49))*$D$23,0)))))</f>
        <v/>
      </c>
      <c r="H49" s="36">
        <f>IF(($E49)=1,0,MIN($D$23,MAX(0,$D$5-(IF($E$21&gt;$E$23,(1-($C49))*$D$21,0)+IF($E$22&gt;$E$23,(1-($D49))*$D$22,0)+IF($E$23&gt;$E$23,(1-($E49))*$D$23,0)))))</f>
        <v/>
      </c>
      <c r="I49" s="36">
        <f>MAX(0,$D$5-SUM(F49:H49))</f>
        <v/>
      </c>
      <c r="J49" s="36">
        <f>$C$24+C49*$C$21+D49*$C$22+E49*$C$23</f>
        <v/>
      </c>
      <c r="K49" s="36">
        <f>IF(C49=1,IFERROR(I49*$C$21/J49,0),F49)</f>
        <v/>
      </c>
      <c r="L49" s="36">
        <f>IF(D49=1,IFERROR(I49*$C$22/J49,0),G49)</f>
        <v/>
      </c>
      <c r="M49" s="36">
        <f>IF(E49=1,IFERROR(I49*$C$23/J49,0),H49)</f>
        <v/>
      </c>
      <c r="N49" s="36">
        <f>IFERROR(I49*$C$24/J49,0)</f>
        <v/>
      </c>
      <c r="O49" s="36">
        <f>SUM(K49:N49)</f>
        <v/>
      </c>
      <c r="P49" s="36">
        <f>INDEX($K$43:$K$50,MATCH(IF(C49=1,B49-4,B49+4),$B$43:$B$50,0))</f>
        <v/>
      </c>
      <c r="Q49" s="36">
        <f>INDEX($L$43:$L$50,MATCH(IF(D49=1,B49-2,B49+2),$B$43:$B$50,0))</f>
        <v/>
      </c>
      <c r="R49" s="36">
        <f>INDEX($M$43:$M$50,MATCH(IF(E49=1,B49-1,B49+1),$B$43:$B$50,0))</f>
        <v/>
      </c>
      <c r="S49" s="31">
        <f>--(K49+0.000001&gt;=P49)</f>
        <v/>
      </c>
      <c r="T49" s="31">
        <f>--(L49+0.000001&gt;=Q49)</f>
        <v/>
      </c>
      <c r="U49" s="31">
        <f>--(M49+0.000001&gt;=R49)</f>
        <v/>
      </c>
      <c r="V49" s="31">
        <f>IFERROR(--(AND($C$17="SUPPORTED",S49=1,T49=1,U49=1,ABS(O49-$D$5)&lt;=0.01)),0)</f>
        <v/>
      </c>
    </row>
    <row r="50">
      <c r="B50" s="31" t="n">
        <v>7</v>
      </c>
      <c r="C50" s="31" t="n">
        <v>1</v>
      </c>
      <c r="D50" s="31" t="n">
        <v>1</v>
      </c>
      <c r="E50" s="31" t="n">
        <v>1</v>
      </c>
      <c r="F50" s="36">
        <f>IF(($C50)=1,0,MIN($D$21,MAX(0,$D$5-(IF($E$21&gt;$E$21,(1-($C50))*$D$21,0)+IF($E$22&gt;$E$21,(1-($D50))*$D$22,0)+IF($E$23&gt;$E$21,(1-($E50))*$D$23,0)))))</f>
        <v/>
      </c>
      <c r="G50" s="36">
        <f>IF(($D50)=1,0,MIN($D$22,MAX(0,$D$5-(IF($E$21&gt;$E$22,(1-($C50))*$D$21,0)+IF($E$22&gt;$E$22,(1-($D50))*$D$22,0)+IF($E$23&gt;$E$22,(1-($E50))*$D$23,0)))))</f>
        <v/>
      </c>
      <c r="H50" s="36">
        <f>IF(($E50)=1,0,MIN($D$23,MAX(0,$D$5-(IF($E$21&gt;$E$23,(1-($C50))*$D$21,0)+IF($E$22&gt;$E$23,(1-($D50))*$D$22,0)+IF($E$23&gt;$E$23,(1-($E50))*$D$23,0)))))</f>
        <v/>
      </c>
      <c r="I50" s="36">
        <f>MAX(0,$D$5-SUM(F50:H50))</f>
        <v/>
      </c>
      <c r="J50" s="36">
        <f>$C$24+C50*$C$21+D50*$C$22+E50*$C$23</f>
        <v/>
      </c>
      <c r="K50" s="36">
        <f>IF(C50=1,IFERROR(I50*$C$21/J50,0),F50)</f>
        <v/>
      </c>
      <c r="L50" s="36">
        <f>IF(D50=1,IFERROR(I50*$C$22/J50,0),G50)</f>
        <v/>
      </c>
      <c r="M50" s="36">
        <f>IF(E50=1,IFERROR(I50*$C$23/J50,0),H50)</f>
        <v/>
      </c>
      <c r="N50" s="36">
        <f>IFERROR(I50*$C$24/J50,0)</f>
        <v/>
      </c>
      <c r="O50" s="36">
        <f>SUM(K50:N50)</f>
        <v/>
      </c>
      <c r="P50" s="36">
        <f>INDEX($K$43:$K$50,MATCH(IF(C50=1,B50-4,B50+4),$B$43:$B$50,0))</f>
        <v/>
      </c>
      <c r="Q50" s="36">
        <f>INDEX($L$43:$L$50,MATCH(IF(D50=1,B50-2,B50+2),$B$43:$B$50,0))</f>
        <v/>
      </c>
      <c r="R50" s="36">
        <f>INDEX($M$43:$M$50,MATCH(IF(E50=1,B50-1,B50+1),$B$43:$B$50,0))</f>
        <v/>
      </c>
      <c r="S50" s="31">
        <f>--(K50+0.000001&gt;=P50)</f>
        <v/>
      </c>
      <c r="T50" s="31">
        <f>--(L50+0.000001&gt;=Q50)</f>
        <v/>
      </c>
      <c r="U50" s="31">
        <f>--(M50+0.000001&gt;=R50)</f>
        <v/>
      </c>
      <c r="V50" s="31">
        <f>IFERROR(--(AND($C$17="SUPPORTED",S50=1,T50=1,U50=1,ABS(O50-$D$5)&lt;=0.01)),0)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1" t="inlineStr">
        <is>
          <t>Venture Capital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Post-money identity residual</t>
        </is>
      </c>
      <c r="C5" s="13">
        <f>'Ownership &amp; Dilution'!D15-'Ownership &amp; Dilution'!D5-'Ownership &amp; Dilution'!D6</f>
        <v/>
      </c>
      <c r="D5" s="31">
        <f>IF(ABS(C5)&lt;0.01,"PASS","FAIL")</f>
        <v/>
      </c>
      <c r="E5" t="inlineStr">
        <is>
          <t>Post-money value must equal pre-money value plus new investment.</t>
        </is>
      </c>
    </row>
    <row r="6">
      <c r="B6" t="inlineStr">
        <is>
          <t>Ownership conservation residual</t>
        </is>
      </c>
      <c r="C6" s="13">
        <f>'Ownership &amp; Dilution'!D17+'Ownership &amp; Dilution'!D18+'Ownership &amp; Dilution'!D19-1</f>
        <v/>
      </c>
      <c r="D6" s="31">
        <f>IF(ABS(C6)&lt;0.000001,"PASS","FAIL")</f>
        <v/>
      </c>
      <c r="E6" t="inlineStr">
        <is>
          <t>Investor, founder, and option-pool ownership must sum to one.</t>
        </is>
      </c>
    </row>
    <row r="7">
      <c r="B7" t="inlineStr">
        <is>
          <t>Follow-on reserve gap</t>
        </is>
      </c>
      <c r="C7" s="13">
        <f>'Reserves &amp; Follow-ons'!D11</f>
        <v/>
      </c>
      <c r="D7" s="31">
        <f>IF(C7=0,"PASS","BREACH")</f>
        <v/>
      </c>
      <c r="E7" t="inlineStr">
        <is>
          <t>Reserves must cover approved follow-on requirements.</t>
        </is>
      </c>
    </row>
    <row r="8">
      <c r="B8" t="inlineStr">
        <is>
          <t>Investor ownership</t>
        </is>
      </c>
      <c r="C8" s="13">
        <f>'Ownership &amp; Dilution'!D17</f>
        <v/>
      </c>
      <c r="D8" s="31">
        <f>IF(C8&lt;='Ownership &amp; Dilution'!D10,"PASS","BREACH")</f>
        <v/>
      </c>
      <c r="E8" t="inlineStr">
        <is>
          <t>Escalate ownership concentration and governance terms.</t>
        </is>
      </c>
    </row>
    <row r="9">
      <c r="B9" t="inlineStr">
        <is>
          <t>Option-pool dilution</t>
        </is>
      </c>
      <c r="C9" s="13">
        <f>'Ownership &amp; Dilution'!D19</f>
        <v/>
      </c>
      <c r="D9" s="31">
        <f>IF(C9&lt;='Ownership &amp; Dilution'!D11,"PASS","BREACH")</f>
        <v/>
      </c>
      <c r="E9" t="inlineStr">
        <is>
          <t>Pool expansion must remain within the approved dilution boundary.</t>
        </is>
      </c>
    </row>
    <row r="10">
      <c r="B10" t="inlineStr">
        <is>
          <t>Round pricing</t>
        </is>
      </c>
      <c r="C10" s="13">
        <f>'Ownership &amp; Dilution'!D20-'Ownership &amp; Dilution'!D21</f>
        <v/>
      </c>
      <c r="D10" s="31">
        <f>IF(C10&gt;=0,"PASS","BREACH")</f>
        <v/>
      </c>
      <c r="E10" t="inlineStr">
        <is>
          <t>A negative price delta indicates a down round.</t>
        </is>
      </c>
    </row>
    <row r="11">
      <c r="B11" t="inlineStr">
        <is>
          <t>Gross MOIC</t>
        </is>
      </c>
      <c r="C11" s="13">
        <f>'Exit Waterfall'!D13</f>
        <v/>
      </c>
      <c r="D11" s="31">
        <f>IF(C11&gt;='Exit Waterfall'!D7,"PASS","BREACH")</f>
        <v/>
      </c>
      <c r="E11" t="inlineStr">
        <is>
          <t>Exit proceeds must clear the approved return threshold.</t>
        </is>
      </c>
    </row>
    <row r="12">
      <c r="B12" t="inlineStr">
        <is>
          <t>Liquidation terms supported</t>
        </is>
      </c>
      <c r="C12" s="13">
        <f>'Exit Waterfall'!C17</f>
        <v/>
      </c>
      <c r="D12" s="31">
        <f>IF(C12="SUPPORTED","PASS","REVIEW")</f>
        <v/>
      </c>
      <c r="E12" t="inlineStr">
        <is>
          <t>Participating preferred, caps, duplicate seniority, or incomplete conversion terms require a dedicated legal waterfall.</t>
        </is>
      </c>
    </row>
    <row r="13">
      <c r="B13" t="inlineStr">
        <is>
          <t>Base holder-election equilibrium</t>
        </is>
      </c>
      <c r="C13" s="13">
        <f>'Exit Waterfall'!I28</f>
        <v/>
      </c>
      <c r="D13" s="31">
        <f>IF(C13="NONE","FAIL","PASS")</f>
        <v/>
      </c>
      <c r="E13" t="inlineStr">
        <is>
          <t>The selected base election must admit no profitable unilateral conversion change.</t>
        </is>
      </c>
    </row>
    <row r="14">
      <c r="B14" t="inlineStr">
        <is>
          <t>Adverse holder-election equilibrium</t>
        </is>
      </c>
      <c r="C14" s="13">
        <f>'Exit Waterfall'!K28</f>
        <v/>
      </c>
      <c r="D14" s="31">
        <f>IF(C14="NONE","FAIL","PASS")</f>
        <v/>
      </c>
      <c r="E14" t="inlineStr">
        <is>
          <t>The selected adverse election must admit no profitable unilateral conversion change.</t>
        </is>
      </c>
    </row>
    <row r="15">
      <c r="B15" t="inlineStr">
        <is>
          <t>Base liquidation conservation</t>
        </is>
      </c>
      <c r="C15" s="13">
        <f>'Exit Waterfall'!I27</f>
        <v/>
      </c>
      <c r="D15" s="31">
        <f>IF(ABS(C15)&lt;0.01,"PASS","FAIL")</f>
        <v/>
      </c>
      <c r="E15" t="inlineStr">
        <is>
          <t>Base preferred and common payouts must equal total exit proceeds.</t>
        </is>
      </c>
    </row>
    <row r="16">
      <c r="B16" t="inlineStr">
        <is>
          <t>Adverse liquidation conservation</t>
        </is>
      </c>
      <c r="C16" s="13">
        <f>'Exit Waterfall'!K27</f>
        <v/>
      </c>
      <c r="D16" s="31">
        <f>IF(ABS(C16)&lt;0.01,"PASS","FAIL")</f>
        <v/>
      </c>
      <c r="E16" t="inlineStr">
        <is>
          <t>Adverse preferred and common payouts must equal total exit proceeds.</t>
        </is>
      </c>
    </row>
    <row r="18">
      <c r="B18" s="2" t="inlineStr">
        <is>
          <t>Overall model status</t>
        </is>
      </c>
      <c r="C18" s="51">
        <f>IF(COUNTIF(D5:D16,"FAIL")+COUNTIF(D5:D16,"BREACH")&gt;0,"BREACH",IF(COUNTIF(D5:D16,"REVIEW")&gt;0,"REVIEW","PASS"))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2026-08-05T22:48:49Z</dcterms:created>
  <dcterms:modified xmlns:dcterms="http://purl.org/dc/terms/" xmlns:xsi="http://www.w3.org/2001/XMLSchema-instance" xsi:type="dcterms:W3CDTF">2026-08-05T22:48:49Z</dcterms:modified>
</cp:coreProperties>
</file>