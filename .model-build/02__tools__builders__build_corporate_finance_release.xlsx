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IS" sheetId="6" state="visible" r:id="rId6"/>
    <sheet xmlns:r="http://schemas.openxmlformats.org/officeDocument/2006/relationships" name="BS" sheetId="7" state="visible" r:id="rId7"/>
    <sheet xmlns:r="http://schemas.openxmlformats.org/officeDocument/2006/relationships" name="CF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RefreshLog" sheetId="12" state="visible" r:id="rId12"/>
    <sheet xmlns:r="http://schemas.openxmlformats.org/officeDocument/2006/relationships" name="Treasury &amp; Liquidity" sheetId="13" state="visible" r:id="rId13"/>
    <sheet xmlns:r="http://schemas.openxmlformats.org/officeDocument/2006/relationships" name="Capital Allocation" sheetId="14" state="visible" r:id="rId14"/>
    <sheet xmlns:r="http://schemas.openxmlformats.org/officeDocument/2006/relationships" name="Credit Metrics" sheetId="15" state="visible" r:id="rId15"/>
    <sheet xmlns:r="http://schemas.openxmlformats.org/officeDocument/2006/relationships" name="Decision &amp; Checks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;(0.0%);&quot;-&quot;"/>
    <numFmt numFmtId="165" formatCode="$#,##0;($#,##0);&quot;-&quot;"/>
    <numFmt numFmtId="166" formatCode="0.000"/>
    <numFmt numFmtId="167" formatCode="0.0x"/>
    <numFmt numFmtId="168" formatCode="#,##0;(#,##0);&quot;-&quot;"/>
  </numFmts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i val="1"/>
      <color rgb="00808080"/>
      <sz val="9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3" borderId="0" applyAlignment="1" pivotButton="0" quotePrefix="0" xfId="0">
      <alignment horizontal="center"/>
    </xf>
    <xf numFmtId="164" fontId="3" fillId="2" borderId="1" pivotButton="0" quotePrefix="0" xfId="0"/>
    <xf numFmtId="0" fontId="7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8" fillId="0" borderId="0" pivotButton="0" quotePrefix="0" xfId="0"/>
    <xf numFmtId="165" fontId="0" fillId="0" borderId="1" pivotButton="0" quotePrefix="0" xfId="0"/>
    <xf numFmtId="165" fontId="5" fillId="0" borderId="1" pivotButton="0" quotePrefix="0" xfId="0"/>
    <xf numFmtId="165" fontId="5" fillId="0" borderId="0" pivotButton="0" quotePrefix="0" xfId="0"/>
    <xf numFmtId="164" fontId="3" fillId="2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167" fontId="3" fillId="0" borderId="1" pivotButton="0" quotePrefix="0" xfId="0"/>
    <xf numFmtId="167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0" fillId="0" borderId="1" pivotButton="0" quotePrefix="0" xfId="0"/>
    <xf numFmtId="165" fontId="3" fillId="2" borderId="1" pivotButton="0" quotePrefix="0" xfId="0"/>
    <xf numFmtId="167" fontId="3" fillId="2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0" fontId="9" fillId="5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5" borderId="0" pivotButton="0" quotePrefix="0" xfId="0"/>
    <xf numFmtId="0" fontId="10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[TICKER] — Company Name</t>
        </is>
      </c>
    </row>
    <row r="4">
      <c r="B4" s="2" t="inlineStr">
        <is>
          <t>Sector:</t>
        </is>
      </c>
      <c r="C4" s="3" t="inlineStr">
        <is>
          <t>[fill in]</t>
        </is>
      </c>
    </row>
    <row r="5">
      <c r="B5" s="2" t="inlineStr">
        <is>
          <t>Coverage started: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earnings date: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4" t="inlineStr">
        <is>
          <t>Weekly</t>
        </is>
      </c>
    </row>
    <row r="10">
      <c r="B10" s="2" t="inlineStr">
        <is>
          <t>Thesis (2-3 sentences):</t>
        </is>
      </c>
    </row>
    <row r="11">
      <c r="B11" s="3" t="inlineStr">
        <is>
          <t>[fill in]</t>
        </is>
      </c>
    </row>
    <row r="12"/>
    <row r="13"/>
    <row r="14"/>
    <row r="16">
      <c r="B16" s="2" t="inlineStr">
        <is>
          <t>COLOR LEGEND</t>
        </is>
      </c>
    </row>
    <row r="17">
      <c r="B17" s="3" t="inlineStr">
        <is>
          <t>Blue text</t>
        </is>
      </c>
      <c r="C17" s="4" t="inlineStr">
        <is>
          <t>Hardcoded input / scenario lever — edit freely</t>
        </is>
      </c>
    </row>
    <row r="18">
      <c r="B18" s="4" t="inlineStr">
        <is>
          <t>Black text</t>
        </is>
      </c>
      <c r="C18" s="4" t="inlineStr">
        <is>
          <t>Formula — do not overwrite</t>
        </is>
      </c>
    </row>
    <row r="19">
      <c r="B19" s="5" t="inlineStr">
        <is>
          <t>Green text</t>
        </is>
      </c>
      <c r="C19" s="4" t="inlineStr">
        <is>
          <t>Link to another sheet in this workbook</t>
        </is>
      </c>
    </row>
    <row r="20">
      <c r="B20" s="6" t="inlineStr">
        <is>
          <t>Yellow fill</t>
        </is>
      </c>
      <c r="C20" s="4" t="inlineStr">
        <is>
          <t>Key assumption — review every refresh</t>
        </is>
      </c>
    </row>
  </sheetData>
  <mergeCells count="1">
    <mergeCell ref="B11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3" t="inlineStr">
        <is>
          <t>Corporate Finance — Institutional Decision Surface</t>
        </is>
      </c>
    </row>
    <row r="4">
      <c r="B4" s="34" t="inlineStr">
        <is>
          <t>Model ID</t>
        </is>
      </c>
      <c r="C4" s="35" t="inlineStr">
        <is>
          <t>02</t>
        </is>
      </c>
    </row>
    <row r="5">
      <c r="B5" s="34" t="inlineStr">
        <is>
          <t>Domain</t>
        </is>
      </c>
      <c r="C5" s="35" t="inlineStr">
        <is>
          <t>Corporate Finance</t>
        </is>
      </c>
    </row>
    <row r="6">
      <c r="B6" s="34" t="inlineStr">
        <is>
          <t>Declared maturity</t>
        </is>
      </c>
      <c r="C6" s="35" t="inlineStr">
        <is>
          <t>M2</t>
        </is>
      </c>
    </row>
    <row r="7">
      <c r="B7" s="34" t="inlineStr">
        <is>
          <t>Canonical builder</t>
        </is>
      </c>
      <c r="C7" s="35" t="inlineStr">
        <is>
          <t>tools/builders/build_corporate_finance_release.py</t>
        </is>
      </c>
    </row>
    <row r="8">
      <c r="B8" s="34" t="inlineStr">
        <is>
          <t>Decision arena</t>
        </is>
      </c>
      <c r="C8" s="35" t="inlineStr">
        <is>
          <t>treasury, CFO staff, ALCO and board finance committee</t>
        </is>
      </c>
    </row>
    <row r="9">
      <c r="B9" s="34" t="inlineStr">
        <is>
          <t>Committee artifact</t>
        </is>
      </c>
      <c r="C9" s="35" t="inlineStr">
        <is>
          <t>liquidity and capital-allocation pack</t>
        </is>
      </c>
    </row>
    <row r="10">
      <c r="B10" s="34" t="inlineStr">
        <is>
          <t>Operating cadence</t>
        </is>
      </c>
      <c r="C10" s="35" t="inlineStr">
        <is>
          <t>weekly treasury; monthly ALCO; quarterly board</t>
        </is>
      </c>
    </row>
    <row r="12">
      <c r="B12" s="36" t="inlineStr">
        <is>
          <t>Key decision outputs</t>
        </is>
      </c>
    </row>
    <row r="13">
      <c r="B13" s="37" t="inlineStr">
        <is>
          <t>#</t>
        </is>
      </c>
      <c r="C13" s="37" t="inlineStr">
        <is>
          <t>Requirement</t>
        </is>
      </c>
      <c r="D13" s="37" t="inlineStr">
        <is>
          <t>Owner</t>
        </is>
      </c>
      <c r="E13" s="37" t="inlineStr">
        <is>
          <t>Evidence / location</t>
        </is>
      </c>
      <c r="F13" s="37" t="inlineStr">
        <is>
          <t>Status</t>
        </is>
      </c>
    </row>
    <row r="14">
      <c r="B14" t="n">
        <v>1</v>
      </c>
      <c r="C14" t="inlineStr">
        <is>
          <t>cash runway and minimum liquidity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debt maturity wall and refinancing need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WACC and hurdle rates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6" t="inlineStr">
        <is>
          <t>Insider questions</t>
        </is>
      </c>
    </row>
    <row r="21">
      <c r="B21" s="37" t="inlineStr">
        <is>
          <t>#</t>
        </is>
      </c>
      <c r="C21" s="37" t="inlineStr">
        <is>
          <t>Requirement</t>
        </is>
      </c>
      <c r="D21" s="37" t="inlineStr">
        <is>
          <t>Owner</t>
        </is>
      </c>
      <c r="E21" s="37" t="inlineStr">
        <is>
          <t>Evidence / location</t>
        </is>
      </c>
      <c r="F21" s="37" t="inlineStr">
        <is>
          <t>Status</t>
        </is>
      </c>
    </row>
    <row r="22">
      <c r="B22" t="n">
        <v>1</v>
      </c>
      <c r="C22" t="inlineStr">
        <is>
          <t>What cash is actually fungible?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covenant becomes binding before headline leverage?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How much capacity survives a closed market?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6" t="inlineStr">
        <is>
          <t>Scenario families</t>
        </is>
      </c>
    </row>
    <row r="29">
      <c r="B29" s="37" t="inlineStr">
        <is>
          <t>#</t>
        </is>
      </c>
      <c r="C29" s="37" t="inlineStr">
        <is>
          <t>Requirement</t>
        </is>
      </c>
      <c r="D29" s="37" t="inlineStr">
        <is>
          <t>Owner</t>
        </is>
      </c>
      <c r="E29" s="37" t="inlineStr">
        <is>
          <t>Evidence / location</t>
        </is>
      </c>
      <c r="F29" s="37" t="inlineStr">
        <is>
          <t>Status</t>
        </is>
      </c>
    </row>
    <row r="30">
      <c r="B30" t="n">
        <v>1</v>
      </c>
      <c r="C30" t="inlineStr">
        <is>
          <t>rate shocks and basis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revenue/margin downturn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working-capital draw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6" t="inlineStr">
        <is>
          <t>Primary diligence documents</t>
        </is>
      </c>
    </row>
    <row r="37">
      <c r="B37" s="37" t="inlineStr">
        <is>
          <t>#</t>
        </is>
      </c>
      <c r="C37" s="37" t="inlineStr">
        <is>
          <t>Requirement</t>
        </is>
      </c>
      <c r="D37" s="37" t="inlineStr">
        <is>
          <t>Owner</t>
        </is>
      </c>
      <c r="E37" s="37" t="inlineStr">
        <is>
          <t>Evidence / location</t>
        </is>
      </c>
      <c r="F37" s="37" t="inlineStr">
        <is>
          <t>Status</t>
        </is>
      </c>
    </row>
    <row r="38">
      <c r="B38" t="n">
        <v>1</v>
      </c>
      <c r="C38" t="inlineStr">
        <is>
          <t>treasury policy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credit agreements and indentures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rating-agency reports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6" t="inlineStr">
        <is>
          <t>Challenge tests</t>
        </is>
      </c>
    </row>
    <row r="45">
      <c r="B45" s="37" t="inlineStr">
        <is>
          <t>#</t>
        </is>
      </c>
      <c r="C45" s="37" t="inlineStr">
        <is>
          <t>Requirement</t>
        </is>
      </c>
      <c r="D45" s="37" t="inlineStr">
        <is>
          <t>Owner</t>
        </is>
      </c>
      <c r="E45" s="37" t="inlineStr">
        <is>
          <t>Evidence / location</t>
        </is>
      </c>
      <c r="F45" s="37" t="inlineStr">
        <is>
          <t>Status</t>
        </is>
      </c>
    </row>
    <row r="46">
      <c r="B46" t="n">
        <v>1</v>
      </c>
      <c r="C46" t="inlineStr">
        <is>
          <t>cash roll-forward balances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maturity ladder equals debt ledger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interest expense ties to debt schedule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6" t="inlineStr">
        <is>
          <t>Known failure modes</t>
        </is>
      </c>
    </row>
    <row r="53">
      <c r="B53" s="37" t="inlineStr">
        <is>
          <t>#</t>
        </is>
      </c>
      <c r="C53" s="37" t="inlineStr">
        <is>
          <t>Requirement</t>
        </is>
      </c>
      <c r="D53" s="37" t="inlineStr">
        <is>
          <t>Owner</t>
        </is>
      </c>
      <c r="E53" s="37" t="inlineStr">
        <is>
          <t>Evidence / location</t>
        </is>
      </c>
      <c r="F53" s="37" t="inlineStr">
        <is>
          <t>Status</t>
        </is>
      </c>
    </row>
    <row r="54">
      <c r="B54" t="n">
        <v>1</v>
      </c>
      <c r="C54" t="inlineStr">
        <is>
          <t>netting restricted cash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assuming revolver availability without covenant test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trapped cash and tax leakage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6" t="inlineStr">
        <is>
          <t>Regulatory / methodological anchors</t>
        </is>
      </c>
    </row>
    <row r="61">
      <c r="B61" s="37" t="inlineStr">
        <is>
          <t>Standard</t>
        </is>
      </c>
      <c r="C61" s="37" t="inlineStr">
        <is>
          <t>Scope</t>
        </is>
      </c>
      <c r="D61" s="37" t="inlineStr">
        <is>
          <t>Source URL</t>
        </is>
      </c>
      <c r="E61" s="37" t="inlineStr">
        <is>
          <t>Applicability</t>
        </is>
      </c>
      <c r="F61" s="37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SRP31 IRRBB</t>
        </is>
      </c>
      <c r="C63" t="inlineStr">
        <is>
          <t>EVE/NII, basis and option risk</t>
        </is>
      </c>
      <c r="D63" t="inlineStr">
        <is>
          <t>https://www.bis.org/basel_framework/chapter/SRP/31.htm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3" t="inlineStr">
        <is>
          <t>Independent Challenge, Override and Closure Log</t>
        </is>
      </c>
    </row>
    <row r="4">
      <c r="B4" s="37" t="inlineStr">
        <is>
          <t>Date</t>
        </is>
      </c>
      <c r="C4" s="37" t="inlineStr">
        <is>
          <t>Reviewer</t>
        </is>
      </c>
      <c r="D4" s="37" t="inlineStr">
        <is>
          <t>Challenge</t>
        </is>
      </c>
      <c r="E4" s="37" t="inlineStr">
        <is>
          <t>Owner response</t>
        </is>
      </c>
      <c r="F4" s="37" t="inlineStr">
        <is>
          <t>Evidence</t>
        </is>
      </c>
      <c r="G4" s="37" t="inlineStr">
        <is>
          <t>Impact</t>
        </is>
      </c>
      <c r="H4" s="37" t="inlineStr">
        <is>
          <t>Status</t>
        </is>
      </c>
      <c r="I4" s="37" t="inlineStr">
        <is>
          <t>Closure</t>
        </is>
      </c>
    </row>
    <row r="5">
      <c r="B5" t="inlineStr"/>
      <c r="C5" t="inlineStr"/>
      <c r="D5" t="inlineStr">
        <is>
          <t>cash roll-forward balances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maturity ladder equals debt ledger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interest expense ties to debt schedule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3" t="inlineStr">
        <is>
          <t>Source, Transformation, Ownership and Refresh Map</t>
        </is>
      </c>
    </row>
    <row r="4">
      <c r="B4" s="37" t="inlineStr">
        <is>
          <t>Source class</t>
        </is>
      </c>
      <c r="C4" s="37" t="inlineStr">
        <is>
          <t>Cadence</t>
        </is>
      </c>
      <c r="D4" s="37" t="inlineStr">
        <is>
          <t>Control</t>
        </is>
      </c>
      <c r="E4" s="37" t="inlineStr">
        <is>
          <t>System / provider</t>
        </is>
      </c>
      <c r="F4" s="37" t="inlineStr">
        <is>
          <t>As-of</t>
        </is>
      </c>
      <c r="G4" s="37" t="inlineStr">
        <is>
          <t>Owner</t>
        </is>
      </c>
      <c r="H4" s="37" t="inlineStr">
        <is>
          <t>Transform</t>
        </is>
      </c>
      <c r="I4" s="37" t="inlineStr">
        <is>
          <t>Downstream</t>
        </is>
      </c>
      <c r="J4" s="37" t="inlineStr">
        <is>
          <t>Status</t>
        </is>
      </c>
    </row>
    <row r="5">
      <c r="B5" t="inlineStr">
        <is>
          <t>cash and debt positions</t>
        </is>
      </c>
      <c r="C5" t="inlineStr">
        <is>
          <t>daily/weekly</t>
        </is>
      </c>
      <c r="D5" t="inlineStr">
        <is>
          <t>bank and trustee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forecast</t>
        </is>
      </c>
      <c r="C6" t="inlineStr">
        <is>
          <t>monthly</t>
        </is>
      </c>
      <c r="D6" t="inlineStr">
        <is>
          <t>actual-to-forecast bridge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Assumptions</t>
        </is>
      </c>
    </row>
    <row r="4">
      <c r="A4" s="7" t="inlineStr"/>
      <c r="B4" s="7" t="inlineStr">
        <is>
          <t>Driver</t>
        </is>
      </c>
      <c r="C4" s="7" t="inlineStr">
        <is>
          <t>FY1</t>
        </is>
      </c>
      <c r="D4" s="7" t="inlineStr">
        <is>
          <t>FY2</t>
        </is>
      </c>
      <c r="E4" s="7" t="inlineStr">
        <is>
          <t>FY3</t>
        </is>
      </c>
      <c r="F4" s="7" t="inlineStr">
        <is>
          <t>FY4</t>
        </is>
      </c>
      <c r="G4" s="7" t="inlineStr">
        <is>
          <t>FY5</t>
        </is>
      </c>
      <c r="H4" s="7" t="inlineStr">
        <is>
          <t>Source / notes</t>
        </is>
      </c>
    </row>
    <row r="5">
      <c r="B5" s="4" t="inlineStr">
        <is>
          <t>Revenue growth %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9" t="inlineStr">
        <is>
          <t>Source: [10-K/10-Q cite or user estimate]</t>
        </is>
      </c>
    </row>
    <row r="6">
      <c r="B6" s="4" t="inlineStr">
        <is>
          <t>Gross margin %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9" t="inlineStr">
        <is>
          <t>Source: [10-K/10-Q cite or user estimate]</t>
        </is>
      </c>
    </row>
    <row r="7">
      <c r="B7" s="4" t="inlineStr">
        <is>
          <t>Opex % of revenue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9" t="inlineStr">
        <is>
          <t>Source: [10-K/10-Q cite or user estimate]</t>
        </is>
      </c>
    </row>
    <row r="8">
      <c r="B8" s="4" t="inlineStr">
        <is>
          <t>Tax rate %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9" t="inlineStr">
        <is>
          <t>Source: [10-K/10-Q cite or user estimate]</t>
        </is>
      </c>
    </row>
    <row r="9">
      <c r="B9" s="4" t="inlineStr">
        <is>
          <t>D&amp;A % of capex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9" t="inlineStr">
        <is>
          <t>Source: [10-K/10-Q cite or user estimate]</t>
        </is>
      </c>
    </row>
    <row r="10">
      <c r="B10" s="4" t="inlineStr">
        <is>
          <t>Capex % of revenue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9" t="inlineStr">
        <is>
          <t>Source: [10-K/10-Q cite or user estimate]</t>
        </is>
      </c>
    </row>
    <row r="11">
      <c r="B11" s="4" t="inlineStr">
        <is>
          <t>NWC % of revenue chg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9" t="inlineStr">
        <is>
          <t>Source: [10-K/10-Q cite or user estimate]</t>
        </is>
      </c>
    </row>
    <row r="12">
      <c r="B12" s="4" t="inlineStr">
        <is>
          <t>Shares outstanding (mm)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9" t="inlineStr">
        <is>
          <t>Source: [10-K/10-Q cite or user estimate]</t>
        </is>
      </c>
    </row>
    <row r="13">
      <c r="B13" s="4" t="inlineStr">
        <is>
          <t>WACC %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9" t="inlineStr">
        <is>
          <t>Source: [10-K/10-Q cite or user estimate]</t>
        </is>
      </c>
    </row>
    <row r="14">
      <c r="B14" s="4" t="inlineStr">
        <is>
          <t>Terminal growth %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9" t="inlineStr">
        <is>
          <t>Source: [10-K/10-Q cite or user estimate]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Income Statement ($mm)</t>
        </is>
      </c>
    </row>
    <row r="4">
      <c r="A4" s="7" t="inlineStr"/>
      <c r="B4" s="7" t="inlineStr">
        <is>
          <t>Line item</t>
        </is>
      </c>
      <c r="C4" s="7" t="inlineStr">
        <is>
          <t>FY-2A</t>
        </is>
      </c>
      <c r="D4" s="7" t="inlineStr">
        <is>
          <t>FY-1A</t>
        </is>
      </c>
      <c r="E4" s="7" t="inlineStr">
        <is>
          <t>FY0A</t>
        </is>
      </c>
      <c r="F4" s="7" t="inlineStr">
        <is>
          <t>FY1E</t>
        </is>
      </c>
      <c r="G4" s="7" t="inlineStr">
        <is>
          <t>FY2E</t>
        </is>
      </c>
      <c r="H4" s="7" t="inlineStr">
        <is>
          <t>FY3E</t>
        </is>
      </c>
      <c r="I4" s="7" t="inlineStr">
        <is>
          <t>FY4E</t>
        </is>
      </c>
    </row>
    <row r="5">
      <c r="B5" s="2" t="inlineStr">
        <is>
          <t>Revenue</t>
        </is>
      </c>
      <c r="C5" s="12" t="n"/>
      <c r="D5" s="12" t="n"/>
      <c r="E5" s="12" t="n"/>
      <c r="F5" s="12">
        <f>E5*(1+Assumptions!C5)</f>
        <v/>
      </c>
      <c r="G5" s="12">
        <f>F5*(1+Assumptions!D5)</f>
        <v/>
      </c>
      <c r="H5" s="12">
        <f>G5*(1+Assumptions!E5)</f>
        <v/>
      </c>
      <c r="I5" s="12">
        <f>H5*(1+Assumptions!F5)</f>
        <v/>
      </c>
    </row>
    <row r="6">
      <c r="B6" s="4" t="inlineStr">
        <is>
          <t>Revenue growth %</t>
        </is>
      </c>
      <c r="C6" s="13" t="n"/>
      <c r="D6" s="13">
        <f>IFERROR(D5/C5-1,"-")</f>
        <v/>
      </c>
      <c r="E6" s="13">
        <f>IFERROR(E5/D5-1,"-")</f>
        <v/>
      </c>
      <c r="F6" s="13">
        <f>IFERROR(F5/E5-1,"-")</f>
        <v/>
      </c>
      <c r="G6" s="13">
        <f>IFERROR(G5/F5-1,"-")</f>
        <v/>
      </c>
      <c r="H6" s="13">
        <f>IFERROR(H5/G5-1,"-")</f>
        <v/>
      </c>
      <c r="I6" s="13">
        <f>IFERROR(I5/H5-1,"-")</f>
        <v/>
      </c>
    </row>
    <row r="7">
      <c r="B7" s="4" t="inlineStr">
        <is>
          <t>COGS</t>
        </is>
      </c>
      <c r="C7" s="12" t="n"/>
      <c r="D7" s="12" t="n"/>
      <c r="E7" s="12" t="n"/>
      <c r="F7" s="12">
        <f>F5*(1-Assumptions!C6)</f>
        <v/>
      </c>
      <c r="G7" s="12">
        <f>G5*(1-Assumptions!D6)</f>
        <v/>
      </c>
      <c r="H7" s="12">
        <f>H5*(1-Assumptions!E6)</f>
        <v/>
      </c>
      <c r="I7" s="12">
        <f>I5*(1-Assumptions!F6)</f>
        <v/>
      </c>
    </row>
    <row r="8">
      <c r="B8" s="2" t="inlineStr">
        <is>
          <t>Gross profit</t>
        </is>
      </c>
      <c r="C8" s="12" t="n"/>
      <c r="D8" s="12">
        <f>D5-D7</f>
        <v/>
      </c>
      <c r="E8" s="12">
        <f>E5-E7</f>
        <v/>
      </c>
      <c r="F8" s="12">
        <f>F5-F7</f>
        <v/>
      </c>
      <c r="G8" s="12">
        <f>G5-G7</f>
        <v/>
      </c>
      <c r="H8" s="12">
        <f>H5-H7</f>
        <v/>
      </c>
      <c r="I8" s="12">
        <f>I5-I7</f>
        <v/>
      </c>
    </row>
    <row r="9">
      <c r="B9" s="4" t="inlineStr">
        <is>
          <t>Gross margin %</t>
        </is>
      </c>
      <c r="C9" s="13" t="n"/>
      <c r="D9" s="13">
        <f>IFERROR(D8/D5,"-")</f>
        <v/>
      </c>
      <c r="E9" s="13">
        <f>IFERROR(E8/E5,"-")</f>
        <v/>
      </c>
      <c r="F9" s="13">
        <f>IFERROR(F8/F5,"-")</f>
        <v/>
      </c>
      <c r="G9" s="13">
        <f>IFERROR(G8/G5,"-")</f>
        <v/>
      </c>
      <c r="H9" s="13">
        <f>IFERROR(H8/H5,"-")</f>
        <v/>
      </c>
      <c r="I9" s="13">
        <f>IFERROR(I8/I5,"-")</f>
        <v/>
      </c>
    </row>
    <row r="10">
      <c r="B10" s="4" t="inlineStr">
        <is>
          <t>Opex</t>
        </is>
      </c>
      <c r="C10" s="12" t="n"/>
      <c r="D10" s="12" t="n"/>
      <c r="E10" s="12" t="n"/>
      <c r="F10" s="12">
        <f>F5*Assumptions!C7</f>
        <v/>
      </c>
      <c r="G10" s="12">
        <f>G5*Assumptions!D7</f>
        <v/>
      </c>
      <c r="H10" s="12">
        <f>H5*Assumptions!E7</f>
        <v/>
      </c>
      <c r="I10" s="12">
        <f>I5*Assumptions!F7</f>
        <v/>
      </c>
    </row>
    <row r="11">
      <c r="B11" s="2" t="inlineStr">
        <is>
          <t>EBITDA</t>
        </is>
      </c>
      <c r="C11" s="12" t="n"/>
      <c r="D11" s="12" t="n"/>
      <c r="E11" s="12" t="n"/>
      <c r="F11" s="12">
        <f>F8-F10</f>
        <v/>
      </c>
      <c r="G11" s="12">
        <f>G8-G10</f>
        <v/>
      </c>
      <c r="H11" s="12">
        <f>H8-H10</f>
        <v/>
      </c>
      <c r="I11" s="12">
        <f>I8-I10</f>
        <v/>
      </c>
    </row>
    <row r="12">
      <c r="B12" s="4" t="inlineStr">
        <is>
          <t>EBITDA margin %</t>
        </is>
      </c>
      <c r="C12" s="13" t="n"/>
      <c r="D12" s="13" t="n"/>
      <c r="E12" s="13" t="n"/>
      <c r="F12" s="13">
        <f>IFERROR(F11/F5,"-")</f>
        <v/>
      </c>
      <c r="G12" s="13">
        <f>IFERROR(G11/G5,"-")</f>
        <v/>
      </c>
      <c r="H12" s="13">
        <f>IFERROR(H11/H5,"-")</f>
        <v/>
      </c>
      <c r="I12" s="13">
        <f>IFERROR(I11/I5,"-")</f>
        <v/>
      </c>
    </row>
    <row r="13">
      <c r="B13" s="4" t="inlineStr">
        <is>
          <t>D&amp;A</t>
        </is>
      </c>
      <c r="C13" s="12" t="n"/>
      <c r="D13" s="12" t="n"/>
      <c r="E13" s="12" t="n"/>
      <c r="F13" s="12">
        <f>F5*Assumptions!C10*Assumptions!C9</f>
        <v/>
      </c>
      <c r="G13" s="12">
        <f>G5*Assumptions!D10*Assumptions!D9</f>
        <v/>
      </c>
      <c r="H13" s="12">
        <f>H5*Assumptions!E10*Assumptions!E9</f>
        <v/>
      </c>
      <c r="I13" s="12">
        <f>I5*Assumptions!F10*Assumptions!F9</f>
        <v/>
      </c>
    </row>
    <row r="14">
      <c r="B14" s="2" t="inlineStr">
        <is>
          <t>EBIT</t>
        </is>
      </c>
      <c r="C14" s="12" t="n"/>
      <c r="D14" s="12" t="n"/>
      <c r="E14" s="12" t="n"/>
      <c r="F14" s="12">
        <f>F11-F13</f>
        <v/>
      </c>
      <c r="G14" s="12">
        <f>G11-G13</f>
        <v/>
      </c>
      <c r="H14" s="12">
        <f>H11-H13</f>
        <v/>
      </c>
      <c r="I14" s="12">
        <f>I11-I13</f>
        <v/>
      </c>
    </row>
    <row r="15">
      <c r="B15" s="4" t="inlineStr">
        <is>
          <t>Interest expense</t>
        </is>
      </c>
      <c r="C15" s="12" t="n"/>
      <c r="D15" s="12" t="n"/>
      <c r="E15" s="12" t="n"/>
      <c r="F15" s="12">
        <f>$E$15</f>
        <v/>
      </c>
      <c r="G15" s="12">
        <f>$E$15</f>
        <v/>
      </c>
      <c r="H15" s="12">
        <f>$E$15</f>
        <v/>
      </c>
      <c r="I15" s="12">
        <f>$E$15</f>
        <v/>
      </c>
    </row>
    <row r="16">
      <c r="B16" s="4" t="inlineStr">
        <is>
          <t>Pre-tax income</t>
        </is>
      </c>
      <c r="C16" s="12" t="n"/>
      <c r="D16" s="12" t="n"/>
      <c r="E16" s="12" t="n"/>
      <c r="F16" s="12">
        <f>F14-F15</f>
        <v/>
      </c>
      <c r="G16" s="12">
        <f>G14-G15</f>
        <v/>
      </c>
      <c r="H16" s="12">
        <f>H14-H15</f>
        <v/>
      </c>
      <c r="I16" s="12">
        <f>I14-I15</f>
        <v/>
      </c>
    </row>
    <row r="17">
      <c r="B17" s="4" t="inlineStr">
        <is>
          <t>Tax</t>
        </is>
      </c>
      <c r="C17" s="12" t="n"/>
      <c r="D17" s="12" t="n"/>
      <c r="E17" s="12" t="n"/>
      <c r="F17" s="12">
        <f>F16*Assumptions!C8</f>
        <v/>
      </c>
      <c r="G17" s="12">
        <f>G16*Assumptions!D8</f>
        <v/>
      </c>
      <c r="H17" s="12">
        <f>H16*Assumptions!E8</f>
        <v/>
      </c>
      <c r="I17" s="12">
        <f>I16*Assumptions!F8</f>
        <v/>
      </c>
    </row>
    <row r="18">
      <c r="B18" s="2" t="inlineStr">
        <is>
          <t>Net income</t>
        </is>
      </c>
      <c r="C18" s="12" t="n"/>
      <c r="D18" s="12" t="n"/>
      <c r="E18" s="12" t="n"/>
      <c r="F18" s="12">
        <f>F16-F17</f>
        <v/>
      </c>
      <c r="G18" s="12">
        <f>G16-G17</f>
        <v/>
      </c>
      <c r="H18" s="12">
        <f>H16-H17</f>
        <v/>
      </c>
      <c r="I18" s="12">
        <f>I16-I17</f>
        <v/>
      </c>
    </row>
    <row r="19">
      <c r="B19" s="4" t="inlineStr">
        <is>
          <t>Diluted shares</t>
        </is>
      </c>
      <c r="C19" s="12" t="n"/>
      <c r="D19" s="12" t="n"/>
      <c r="E19" s="12" t="n"/>
      <c r="F19" s="12">
        <f>Assumptions!C12</f>
        <v/>
      </c>
      <c r="G19" s="12">
        <f>Assumptions!D12</f>
        <v/>
      </c>
      <c r="H19" s="12">
        <f>Assumptions!E12</f>
        <v/>
      </c>
      <c r="I19" s="12">
        <f>Assumptions!F12</f>
        <v/>
      </c>
    </row>
    <row r="20">
      <c r="B20" s="4" t="inlineStr">
        <is>
          <t>Diluted EPS</t>
        </is>
      </c>
      <c r="C20" s="12" t="n"/>
      <c r="D20" s="12" t="n"/>
      <c r="E20" s="12" t="n"/>
      <c r="F20" s="12">
        <f>IFERROR(F18/F19,"-")</f>
        <v/>
      </c>
      <c r="G20" s="12">
        <f>IFERROR(G18/G19,"-")</f>
        <v/>
      </c>
      <c r="H20" s="12">
        <f>IFERROR(H18/H19,"-")</f>
        <v/>
      </c>
      <c r="I20" s="12">
        <f>IFERROR(I18/I19,"-")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Balance Sheet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Cash &amp; equivalents</t>
        </is>
      </c>
      <c r="C5" s="12" t="n"/>
      <c r="D5" s="12" t="n"/>
      <c r="E5" s="12" t="n"/>
      <c r="F5" s="12" t="n"/>
      <c r="G5" s="12" t="n"/>
    </row>
    <row r="6">
      <c r="B6" s="4" t="inlineStr">
        <is>
          <t>Accounts receivable</t>
        </is>
      </c>
      <c r="C6" s="12" t="n"/>
      <c r="D6" s="12" t="n"/>
      <c r="E6" s="12" t="n"/>
      <c r="F6" s="12" t="n"/>
      <c r="G6" s="12" t="n"/>
    </row>
    <row r="7">
      <c r="B7" s="4" t="inlineStr">
        <is>
          <t>Inventory</t>
        </is>
      </c>
      <c r="C7" s="12" t="n"/>
      <c r="D7" s="12" t="n"/>
      <c r="E7" s="12" t="n"/>
      <c r="F7" s="12" t="n"/>
      <c r="G7" s="12" t="n"/>
    </row>
    <row r="8">
      <c r="B8" s="2" t="inlineStr">
        <is>
          <t>Total current assets</t>
        </is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</row>
    <row r="9">
      <c r="B9" s="4" t="inlineStr">
        <is>
          <t>PP&amp;E net</t>
        </is>
      </c>
      <c r="C9" s="12" t="n"/>
      <c r="D9" s="12" t="n"/>
      <c r="E9" s="12" t="n"/>
      <c r="F9" s="12" t="n"/>
      <c r="G9" s="12" t="n"/>
    </row>
    <row r="10">
      <c r="B10" s="4" t="inlineStr">
        <is>
          <t>Goodwill &amp; intangibles</t>
        </is>
      </c>
      <c r="C10" s="12" t="n"/>
      <c r="D10" s="12" t="n"/>
      <c r="E10" s="12" t="n"/>
      <c r="F10" s="12" t="n"/>
      <c r="G10" s="12" t="n"/>
    </row>
    <row r="11">
      <c r="B11" s="2" t="inlineStr">
        <is>
          <t>Total assets</t>
        </is>
      </c>
      <c r="C11" s="12">
        <f>C8+C9+C10</f>
        <v/>
      </c>
      <c r="D11" s="12">
        <f>D8+D9+D10</f>
        <v/>
      </c>
      <c r="E11" s="12">
        <f>E8+E9+E10</f>
        <v/>
      </c>
      <c r="F11" s="12">
        <f>F8+F9+F10</f>
        <v/>
      </c>
      <c r="G11" s="12">
        <f>G8+G9+G10</f>
        <v/>
      </c>
    </row>
    <row r="12">
      <c r="B12" s="4" t="inlineStr">
        <is>
          <t>Accounts payable</t>
        </is>
      </c>
      <c r="C12" s="12" t="n"/>
      <c r="D12" s="12" t="n"/>
      <c r="E12" s="12" t="n"/>
      <c r="F12" s="12" t="n"/>
      <c r="G12" s="12" t="n"/>
    </row>
    <row r="13">
      <c r="B13" s="4" t="inlineStr">
        <is>
          <t>Debt (current)</t>
        </is>
      </c>
      <c r="C13" s="12" t="n"/>
      <c r="D13" s="12" t="n"/>
      <c r="E13" s="12" t="n"/>
      <c r="F13" s="12" t="n"/>
      <c r="G13" s="12" t="n"/>
    </row>
    <row r="14">
      <c r="B14" s="2" t="inlineStr">
        <is>
          <t>Total current liabilities</t>
        </is>
      </c>
      <c r="C14" s="12">
        <f>C12+C13</f>
        <v/>
      </c>
      <c r="D14" s="12">
        <f>D12+D13</f>
        <v/>
      </c>
      <c r="E14" s="12">
        <f>E12+E13</f>
        <v/>
      </c>
      <c r="F14" s="12">
        <f>F12+F13</f>
        <v/>
      </c>
      <c r="G14" s="12">
        <f>G12+G13</f>
        <v/>
      </c>
    </row>
    <row r="15">
      <c r="B15" s="4" t="inlineStr">
        <is>
          <t>Long-term debt</t>
        </is>
      </c>
      <c r="C15" s="12" t="n"/>
      <c r="D15" s="12" t="n"/>
      <c r="E15" s="12" t="n"/>
      <c r="F15" s="12" t="n"/>
      <c r="G15" s="12" t="n"/>
    </row>
    <row r="16">
      <c r="B16" s="2" t="inlineStr">
        <is>
          <t>Total liabilities</t>
        </is>
      </c>
      <c r="C16" s="12">
        <f>C14+C15</f>
        <v/>
      </c>
      <c r="D16" s="12">
        <f>D14+D15</f>
        <v/>
      </c>
      <c r="E16" s="12">
        <f>E14+E15</f>
        <v/>
      </c>
      <c r="F16" s="12">
        <f>F14+F15</f>
        <v/>
      </c>
      <c r="G16" s="12">
        <f>G14+G15</f>
        <v/>
      </c>
    </row>
    <row r="17">
      <c r="B17" s="2" t="inlineStr">
        <is>
          <t>Total equity</t>
        </is>
      </c>
      <c r="C17" s="12" t="n"/>
      <c r="D17" s="12" t="n"/>
      <c r="E17" s="12" t="n"/>
      <c r="F17" s="12" t="n"/>
      <c r="G17" s="12" t="n"/>
    </row>
    <row r="19">
      <c r="B19" s="14" t="inlineStr">
        <is>
          <t>Balance check (Total assets - Total liabilities - Total equity, should = 0)</t>
        </is>
      </c>
      <c r="C19" s="15">
        <f>C11-C16-C17</f>
        <v/>
      </c>
      <c r="D19" s="15">
        <f>D11-D16-D17</f>
        <v/>
      </c>
      <c r="E19" s="15">
        <f>E11-E16-E17</f>
        <v/>
      </c>
      <c r="F19" s="15">
        <f>F11-F16-F17</f>
        <v/>
      </c>
      <c r="G19" s="15">
        <f>G11-G16-G17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Cash Flow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Net income</t>
        </is>
      </c>
      <c r="C5" s="12" t="n"/>
      <c r="D5" s="12" t="n"/>
      <c r="E5" s="16">
        <f>IS!F18</f>
        <v/>
      </c>
      <c r="F5" s="16">
        <f>IS!G18</f>
        <v/>
      </c>
      <c r="G5" s="16">
        <f>IS!H18</f>
        <v/>
      </c>
    </row>
    <row r="6">
      <c r="B6" s="4" t="inlineStr">
        <is>
          <t>+ D&amp;A</t>
        </is>
      </c>
      <c r="C6" s="12" t="n"/>
      <c r="D6" s="12" t="n"/>
      <c r="E6" s="16">
        <f>IS!F13</f>
        <v/>
      </c>
      <c r="F6" s="16">
        <f>IS!G13</f>
        <v/>
      </c>
      <c r="G6" s="16">
        <f>IS!H13</f>
        <v/>
      </c>
    </row>
    <row r="7">
      <c r="B7" s="4" t="inlineStr">
        <is>
          <t>+/- Change in NWC</t>
        </is>
      </c>
      <c r="C7" s="12" t="n"/>
      <c r="D7" s="12" t="n"/>
      <c r="E7" s="12" t="n"/>
      <c r="F7" s="12" t="n"/>
      <c r="G7" s="12" t="n"/>
    </row>
    <row r="8">
      <c r="B8" s="2" t="inlineStr">
        <is>
          <t>Cash flow from operations</t>
        </is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</row>
    <row r="9">
      <c r="B9" s="4" t="inlineStr">
        <is>
          <t>Capex</t>
        </is>
      </c>
      <c r="C9" s="12" t="n"/>
      <c r="D9" s="12" t="n"/>
      <c r="E9" s="12" t="n"/>
      <c r="F9" s="12" t="n"/>
      <c r="G9" s="12" t="n"/>
    </row>
    <row r="10">
      <c r="B10" s="2" t="inlineStr">
        <is>
          <t>Free cash flow</t>
        </is>
      </c>
      <c r="C10" s="12">
        <f>C8+C9</f>
        <v/>
      </c>
      <c r="D10" s="12">
        <f>D8+D9</f>
        <v/>
      </c>
      <c r="E10" s="12">
        <f>E8+E9</f>
        <v/>
      </c>
      <c r="F10" s="12">
        <f>F8+F9</f>
        <v/>
      </c>
      <c r="G10" s="12">
        <f>G8+G9</f>
        <v/>
      </c>
    </row>
    <row r="11">
      <c r="B11" s="4" t="inlineStr">
        <is>
          <t>Debt issuance/(repayment)</t>
        </is>
      </c>
      <c r="C11" s="12" t="n"/>
      <c r="D11" s="12" t="n"/>
      <c r="E11" s="12" t="n"/>
      <c r="F11" s="12" t="n"/>
      <c r="G11" s="12" t="n"/>
    </row>
    <row r="12">
      <c r="B12" s="4" t="inlineStr">
        <is>
          <t>Dividends/buybacks</t>
        </is>
      </c>
      <c r="C12" s="12" t="n"/>
      <c r="D12" s="12" t="n"/>
      <c r="E12" s="12" t="n"/>
      <c r="F12" s="12" t="n"/>
      <c r="G12" s="12" t="n"/>
    </row>
    <row r="13">
      <c r="B13" s="4" t="inlineStr">
        <is>
          <t>Net change in cash</t>
        </is>
      </c>
      <c r="C13" s="12">
        <f>C10+C11+C12</f>
        <v/>
      </c>
      <c r="D13" s="12">
        <f>D10+D11+D12</f>
        <v/>
      </c>
      <c r="E13" s="12">
        <f>E10+E11+E12</f>
        <v/>
      </c>
      <c r="F13" s="12">
        <f>F10+F11+F12</f>
        <v/>
      </c>
      <c r="G13" s="12">
        <f>G10+G11+G12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22" customWidth="1" min="9" max="9"/>
    <col width="14" customWidth="1" min="10" max="10"/>
  </cols>
  <sheetData>
    <row r="2">
      <c r="B2" s="1" t="inlineStr">
        <is>
          <t>DCF Valuation</t>
        </is>
      </c>
    </row>
    <row r="4">
      <c r="C4" s="7" t="inlineStr">
        <is>
          <t>FY1E</t>
        </is>
      </c>
      <c r="D4" s="7" t="inlineStr">
        <is>
          <t>FY2E</t>
        </is>
      </c>
      <c r="E4" s="7" t="inlineStr">
        <is>
          <t>FY3E</t>
        </is>
      </c>
      <c r="F4" s="7" t="inlineStr">
        <is>
          <t>FY4E</t>
        </is>
      </c>
      <c r="G4" s="7" t="inlineStr">
        <is>
          <t>FY5E</t>
        </is>
      </c>
      <c r="H4" s="2" t="inlineStr">
        <is>
          <t>Key outputs</t>
        </is>
      </c>
    </row>
    <row r="5">
      <c r="B5" t="inlineStr">
        <is>
          <t>Unlevered FCF</t>
        </is>
      </c>
      <c r="C5" s="17">
        <f>IS!F14*(1-Assumptions!C8)+IS!F13-IS!F5*Assumptions!C10</f>
        <v/>
      </c>
      <c r="D5" s="17">
        <f>IS!G14*(1-Assumptions!D8)+IS!G13-IS!G5*Assumptions!D10</f>
        <v/>
      </c>
      <c r="E5" s="17">
        <f>IS!H14*(1-Assumptions!E8)+IS!H13-IS!H5*Assumptions!E10</f>
        <v/>
      </c>
      <c r="F5" s="17">
        <f>IS!I14*(1-Assumptions!F8)+IS!I13-IS!I5*Assumptions!F10</f>
        <v/>
      </c>
      <c r="G5" s="17">
        <f>F5*(1+Assumptions!G5)</f>
        <v/>
      </c>
      <c r="H5" t="inlineStr">
        <is>
          <t>WACC</t>
        </is>
      </c>
      <c r="I5" s="18" t="n">
        <v>0.1</v>
      </c>
    </row>
    <row r="6">
      <c r="B6" t="inlineStr">
        <is>
          <t>Discount factor</t>
        </is>
      </c>
      <c r="C6" s="19">
        <f>1/(1+$I$5)^(1)</f>
        <v/>
      </c>
      <c r="D6" s="19">
        <f>1/(1+$I$5)^(2)</f>
        <v/>
      </c>
      <c r="E6" s="19">
        <f>1/(1+$I$5)^(3)</f>
        <v/>
      </c>
      <c r="F6" s="19">
        <f>1/(1+$I$5)^(4)</f>
        <v/>
      </c>
      <c r="G6" s="19">
        <f>1/(1+$I$5)^(5)</f>
        <v/>
      </c>
      <c r="H6" t="inlineStr">
        <is>
          <t>Terminal growth</t>
        </is>
      </c>
      <c r="I6" s="18" t="n">
        <v>0.025</v>
      </c>
    </row>
    <row r="7">
      <c r="B7" t="inlineStr">
        <is>
          <t>PV of FCF</t>
        </is>
      </c>
      <c r="C7" s="20">
        <f>C5*C6</f>
        <v/>
      </c>
      <c r="D7" s="20">
        <f>D5*D6</f>
        <v/>
      </c>
      <c r="E7" s="20">
        <f>E5*E6</f>
        <v/>
      </c>
      <c r="F7" s="20">
        <f>F5*F6</f>
        <v/>
      </c>
      <c r="G7" s="20">
        <f>G5*G6</f>
        <v/>
      </c>
      <c r="H7" t="inlineStr">
        <is>
          <t>Terminal value</t>
        </is>
      </c>
      <c r="I7" s="20">
        <f>G5*(1+I6)/(I5-I6)</f>
        <v/>
      </c>
    </row>
    <row r="8">
      <c r="H8" t="inlineStr">
        <is>
          <t>PV of terminal value</t>
        </is>
      </c>
      <c r="I8" s="20">
        <f>I7*G6</f>
        <v/>
      </c>
    </row>
    <row r="9">
      <c r="H9" t="inlineStr">
        <is>
          <t>Sum PV of FCF</t>
        </is>
      </c>
      <c r="I9" s="20">
        <f>SUM(C7:G7)</f>
        <v/>
      </c>
    </row>
    <row r="10">
      <c r="H10" t="inlineStr">
        <is>
          <t>Enterprise value</t>
        </is>
      </c>
      <c r="I10" s="21">
        <f>I8+I9</f>
        <v/>
      </c>
    </row>
    <row r="11">
      <c r="H11" t="inlineStr">
        <is>
          <t>Less: net debt</t>
        </is>
      </c>
      <c r="I11" s="22" t="n">
        <v>0</v>
      </c>
    </row>
    <row r="12">
      <c r="H12" t="inlineStr">
        <is>
          <t>Equity value</t>
        </is>
      </c>
      <c r="I12" s="21">
        <f>I10-I11</f>
        <v/>
      </c>
    </row>
    <row r="13">
      <c r="H13" t="inlineStr">
        <is>
          <t>Diluted shares (mm)</t>
        </is>
      </c>
      <c r="I13" s="22" t="n">
        <v>1</v>
      </c>
    </row>
    <row r="14">
      <c r="H14" t="inlineStr">
        <is>
          <t>Implied value/share</t>
        </is>
      </c>
      <c r="I14" s="21">
        <f>I12/I13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Comparable Companies</t>
        </is>
      </c>
    </row>
    <row r="4">
      <c r="A4" s="7" t="inlineStr"/>
      <c r="B4" s="7" t="inlineStr">
        <is>
          <t>Ticker</t>
        </is>
      </c>
      <c r="C4" s="7" t="inlineStr">
        <is>
          <t>Price</t>
        </is>
      </c>
      <c r="D4" s="7" t="inlineStr">
        <is>
          <t>Mkt Cap</t>
        </is>
      </c>
      <c r="E4" s="7" t="inlineStr">
        <is>
          <t>EV</t>
        </is>
      </c>
      <c r="F4" s="7" t="inlineStr">
        <is>
          <t>EV/Rev</t>
        </is>
      </c>
      <c r="G4" s="7" t="inlineStr">
        <is>
          <t>EV/EBITDA</t>
        </is>
      </c>
      <c r="H4" s="7" t="inlineStr">
        <is>
          <t>P/E</t>
        </is>
      </c>
    </row>
    <row r="5">
      <c r="B5" s="3" t="inlineStr">
        <is>
          <t>[TICKER]</t>
        </is>
      </c>
      <c r="C5" s="11" t="n">
        <v>0</v>
      </c>
      <c r="D5" s="11" t="n">
        <v>0</v>
      </c>
      <c r="E5" s="11" t="n">
        <v>0</v>
      </c>
      <c r="F5" s="23" t="n">
        <v>0</v>
      </c>
      <c r="G5" s="23" t="n">
        <v>0</v>
      </c>
      <c r="H5" s="23" t="n">
        <v>0</v>
      </c>
    </row>
    <row r="6">
      <c r="B6" s="3" t="inlineStr">
        <is>
          <t>[TICKER]</t>
        </is>
      </c>
      <c r="C6" s="11" t="n">
        <v>0</v>
      </c>
      <c r="D6" s="11" t="n">
        <v>0</v>
      </c>
      <c r="E6" s="11" t="n">
        <v>0</v>
      </c>
      <c r="F6" s="23" t="n">
        <v>0</v>
      </c>
      <c r="G6" s="23" t="n">
        <v>0</v>
      </c>
      <c r="H6" s="23" t="n">
        <v>0</v>
      </c>
    </row>
    <row r="7">
      <c r="B7" s="3" t="inlineStr">
        <is>
          <t>[TICKER]</t>
        </is>
      </c>
      <c r="C7" s="11" t="n">
        <v>0</v>
      </c>
      <c r="D7" s="11" t="n">
        <v>0</v>
      </c>
      <c r="E7" s="11" t="n">
        <v>0</v>
      </c>
      <c r="F7" s="23" t="n">
        <v>0</v>
      </c>
      <c r="G7" s="23" t="n">
        <v>0</v>
      </c>
      <c r="H7" s="23" t="n">
        <v>0</v>
      </c>
    </row>
    <row r="8">
      <c r="B8" s="3" t="inlineStr">
        <is>
          <t>[TICKER]</t>
        </is>
      </c>
      <c r="C8" s="11" t="n">
        <v>0</v>
      </c>
      <c r="D8" s="11" t="n">
        <v>0</v>
      </c>
      <c r="E8" s="11" t="n">
        <v>0</v>
      </c>
      <c r="F8" s="23" t="n">
        <v>0</v>
      </c>
      <c r="G8" s="23" t="n">
        <v>0</v>
      </c>
      <c r="H8" s="23" t="n">
        <v>0</v>
      </c>
    </row>
    <row r="9">
      <c r="B9" s="3" t="inlineStr">
        <is>
          <t>[TICKER]</t>
        </is>
      </c>
      <c r="C9" s="11" t="n">
        <v>0</v>
      </c>
      <c r="D9" s="11" t="n">
        <v>0</v>
      </c>
      <c r="E9" s="11" t="n">
        <v>0</v>
      </c>
      <c r="F9" s="23" t="n">
        <v>0</v>
      </c>
      <c r="G9" s="23" t="n">
        <v>0</v>
      </c>
      <c r="H9" s="23" t="n">
        <v>0</v>
      </c>
    </row>
    <row r="10">
      <c r="B10" s="3" t="inlineStr">
        <is>
          <t>[TICKER]</t>
        </is>
      </c>
      <c r="C10" s="11" t="n">
        <v>0</v>
      </c>
      <c r="D10" s="11" t="n">
        <v>0</v>
      </c>
      <c r="E10" s="11" t="n">
        <v>0</v>
      </c>
      <c r="F10" s="23" t="n">
        <v>0</v>
      </c>
      <c r="G10" s="23" t="n">
        <v>0</v>
      </c>
      <c r="H10" s="23" t="n">
        <v>0</v>
      </c>
    </row>
    <row r="11">
      <c r="B11" s="3" t="inlineStr">
        <is>
          <t>[TICKER]</t>
        </is>
      </c>
      <c r="C11" s="11" t="n">
        <v>0</v>
      </c>
      <c r="D11" s="11" t="n">
        <v>0</v>
      </c>
      <c r="E11" s="11" t="n">
        <v>0</v>
      </c>
      <c r="F11" s="23" t="n">
        <v>0</v>
      </c>
      <c r="G11" s="23" t="n">
        <v>0</v>
      </c>
      <c r="H11" s="23" t="n">
        <v>0</v>
      </c>
    </row>
    <row r="13">
      <c r="B13" s="2" t="inlineStr">
        <is>
          <t>Median</t>
        </is>
      </c>
      <c r="C13" s="21">
        <f>MEDIAN(C5:C12)</f>
        <v/>
      </c>
      <c r="D13" s="21">
        <f>MEDIAN(D5:D12)</f>
        <v/>
      </c>
      <c r="E13" s="21">
        <f>MEDIAN(E5:E12)</f>
        <v/>
      </c>
      <c r="F13" s="24">
        <f>MEDIAN(F5:F12)</f>
        <v/>
      </c>
      <c r="G13" s="24">
        <f>MEDIAN(G5:G12)</f>
        <v/>
      </c>
      <c r="H13" s="24">
        <f>MEDIAN(H5:H12)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Sensitivity — Implied Value/Share</t>
        </is>
      </c>
    </row>
    <row r="4">
      <c r="B4" s="25" t="inlineStr">
        <is>
          <t>WACC \ Term. growth</t>
        </is>
      </c>
      <c r="C4" s="26" t="n">
        <v>0.015</v>
      </c>
      <c r="D4" s="26" t="n">
        <v>0.02</v>
      </c>
      <c r="E4" s="26" t="n">
        <v>0.025</v>
      </c>
      <c r="F4" s="26" t="n">
        <v>0.03</v>
      </c>
      <c r="G4" s="26" t="n">
        <v>0.035</v>
      </c>
    </row>
    <row r="5">
      <c r="B5" s="26" t="n">
        <v>0.08</v>
      </c>
      <c r="C5" s="14" t="inlineStr">
        <is>
          <t>[data table — Excel What-If Analysis]</t>
        </is>
      </c>
      <c r="D5" s="14" t="inlineStr">
        <is>
          <t>[data table — Excel What-If Analysis]</t>
        </is>
      </c>
      <c r="E5" s="14" t="inlineStr">
        <is>
          <t>[data table — Excel What-If Analysis]</t>
        </is>
      </c>
      <c r="F5" s="14" t="inlineStr">
        <is>
          <t>[data table — Excel What-If Analysis]</t>
        </is>
      </c>
      <c r="G5" s="14" t="inlineStr">
        <is>
          <t>[data table — Excel What-If Analysis]</t>
        </is>
      </c>
    </row>
    <row r="6">
      <c r="B6" s="26" t="n">
        <v>0.09</v>
      </c>
      <c r="C6" s="14" t="inlineStr">
        <is>
          <t>[data table — Excel What-If Analysis]</t>
        </is>
      </c>
      <c r="D6" s="14" t="inlineStr">
        <is>
          <t>[data table — Excel What-If Analysis]</t>
        </is>
      </c>
      <c r="E6" s="14" t="inlineStr">
        <is>
          <t>[data table — Excel What-If Analysis]</t>
        </is>
      </c>
      <c r="F6" s="14" t="inlineStr">
        <is>
          <t>[data table — Excel What-If Analysis]</t>
        </is>
      </c>
      <c r="G6" s="14" t="inlineStr">
        <is>
          <t>[data table — Excel What-If Analysis]</t>
        </is>
      </c>
    </row>
    <row r="7">
      <c r="B7" s="26" t="n">
        <v>0.1</v>
      </c>
      <c r="C7" s="14" t="inlineStr">
        <is>
          <t>[data table — Excel What-If Analysis]</t>
        </is>
      </c>
      <c r="D7" s="14" t="inlineStr">
        <is>
          <t>[data table — Excel What-If Analysis]</t>
        </is>
      </c>
      <c r="E7" s="14" t="inlineStr">
        <is>
          <t>[data table — Excel What-If Analysis]</t>
        </is>
      </c>
      <c r="F7" s="14" t="inlineStr">
        <is>
          <t>[data table — Excel What-If Analysis]</t>
        </is>
      </c>
      <c r="G7" s="14" t="inlineStr">
        <is>
          <t>[data table — Excel What-If Analysis]</t>
        </is>
      </c>
    </row>
    <row r="8">
      <c r="B8" s="26" t="n">
        <v>0.11</v>
      </c>
      <c r="C8" s="14" t="inlineStr">
        <is>
          <t>[data table — Excel What-If Analysis]</t>
        </is>
      </c>
      <c r="D8" s="14" t="inlineStr">
        <is>
          <t>[data table — Excel What-If Analysis]</t>
        </is>
      </c>
      <c r="E8" s="14" t="inlineStr">
        <is>
          <t>[data table — Excel What-If Analysis]</t>
        </is>
      </c>
      <c r="F8" s="14" t="inlineStr">
        <is>
          <t>[data table — Excel What-If Analysis]</t>
        </is>
      </c>
      <c r="G8" s="14" t="inlineStr">
        <is>
          <t>[data table — Excel What-If Analysis]</t>
        </is>
      </c>
    </row>
    <row r="9">
      <c r="B9" s="26" t="n">
        <v>0.12</v>
      </c>
      <c r="C9" s="14" t="inlineStr">
        <is>
          <t>[data table — Excel What-If Analysis]</t>
        </is>
      </c>
      <c r="D9" s="14" t="inlineStr">
        <is>
          <t>[data table — Excel What-If Analysis]</t>
        </is>
      </c>
      <c r="E9" s="14" t="inlineStr">
        <is>
          <t>[data table — Excel What-If Analysis]</t>
        </is>
      </c>
      <c r="F9" s="14" t="inlineStr">
        <is>
          <t>[data table — Excel What-If Analysis]</t>
        </is>
      </c>
      <c r="G9" s="14" t="inlineStr">
        <is>
          <t>[data table — Excel What-If Analysis]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A4" s="7" t="inlineStr"/>
      <c r="B4" s="7" t="inlineStr">
        <is>
          <t>Date</t>
        </is>
      </c>
      <c r="C4" s="7" t="inlineStr">
        <is>
          <t>Trigger</t>
        </is>
      </c>
      <c r="D4" s="7" t="inlineStr">
        <is>
          <t>What changed</t>
        </is>
      </c>
      <c r="E4" s="7" t="inlineStr">
        <is>
          <t>Reviewer notes</t>
        </is>
      </c>
      <c r="F4" s="7" t="inlineStr">
        <is>
          <t>Next check</t>
        </is>
      </c>
    </row>
    <row r="5">
      <c r="B5" s="27" t="n"/>
      <c r="C5" s="27" t="n"/>
      <c r="D5" s="27" t="n"/>
      <c r="E5" s="27" t="n"/>
      <c r="F5" s="27" t="n"/>
    </row>
    <row r="6">
      <c r="B6" s="27" t="n"/>
      <c r="C6" s="27" t="n"/>
      <c r="D6" s="27" t="n"/>
      <c r="E6" s="27" t="n"/>
      <c r="F6" s="27" t="n"/>
    </row>
    <row r="7">
      <c r="B7" s="27" t="n"/>
      <c r="C7" s="27" t="n"/>
      <c r="D7" s="27" t="n"/>
      <c r="E7" s="27" t="n"/>
      <c r="F7" s="27" t="n"/>
    </row>
    <row r="8">
      <c r="B8" s="27" t="n"/>
      <c r="C8" s="27" t="n"/>
      <c r="D8" s="27" t="n"/>
      <c r="E8" s="27" t="n"/>
      <c r="F8" s="27" t="n"/>
    </row>
    <row r="9">
      <c r="B9" s="27" t="n"/>
      <c r="C9" s="27" t="n"/>
      <c r="D9" s="27" t="n"/>
      <c r="E9" s="27" t="n"/>
      <c r="F9" s="27" t="n"/>
    </row>
    <row r="10">
      <c r="B10" s="27" t="n"/>
      <c r="C10" s="27" t="n"/>
      <c r="D10" s="27" t="n"/>
      <c r="E10" s="27" t="n"/>
      <c r="F10" s="27" t="n"/>
    </row>
    <row r="11">
      <c r="B11" s="27" t="n"/>
      <c r="C11" s="27" t="n"/>
      <c r="D11" s="27" t="n"/>
      <c r="E11" s="27" t="n"/>
      <c r="F11" s="27" t="n"/>
    </row>
    <row r="12">
      <c r="B12" s="27" t="n"/>
      <c r="C12" s="27" t="n"/>
      <c r="D12" s="27" t="n"/>
      <c r="E12" s="27" t="n"/>
      <c r="F12" s="27" t="n"/>
    </row>
    <row r="13">
      <c r="B13" s="27" t="n"/>
      <c r="C13" s="27" t="n"/>
      <c r="D13" s="27" t="n"/>
      <c r="E13" s="27" t="n"/>
      <c r="F13" s="27" t="n"/>
    </row>
    <row r="14">
      <c r="B14" s="27" t="n"/>
      <c r="C14" s="27" t="n"/>
      <c r="D14" s="27" t="n"/>
      <c r="E14" s="27" t="n"/>
      <c r="F14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Cash, Debt, Minimum Liquidity, and Financing Capacity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Units / control</t>
        </is>
      </c>
    </row>
    <row r="5">
      <c r="B5" t="inlineStr">
        <is>
          <t>Opening cash</t>
        </is>
      </c>
      <c r="C5" s="28" t="n">
        <v>100</v>
      </c>
      <c r="D5" s="28" t="n">
        <v>50</v>
      </c>
    </row>
    <row r="6">
      <c r="B6" t="inlineStr">
        <is>
          <t>Operating cash flow</t>
        </is>
      </c>
      <c r="C6" s="28" t="n">
        <v>150</v>
      </c>
      <c r="D6" s="28" t="n">
        <v>30</v>
      </c>
    </row>
    <row r="7">
      <c r="B7" t="inlineStr">
        <is>
          <t>Capital expenditure</t>
        </is>
      </c>
      <c r="C7" s="28" t="n">
        <v>50</v>
      </c>
      <c r="D7" s="28" t="n">
        <v>60</v>
      </c>
    </row>
    <row r="8">
      <c r="B8" t="inlineStr">
        <is>
          <t>Dividends</t>
        </is>
      </c>
      <c r="C8" s="28" t="n">
        <v>20</v>
      </c>
      <c r="D8" s="28" t="n">
        <v>20</v>
      </c>
    </row>
    <row r="9">
      <c r="B9" t="inlineStr">
        <is>
          <t>Buybacks</t>
        </is>
      </c>
      <c r="C9" s="28" t="n">
        <v>10</v>
      </c>
      <c r="D9" s="28" t="n">
        <v>30</v>
      </c>
    </row>
    <row r="10">
      <c r="B10" t="inlineStr">
        <is>
          <t>Debt issuance</t>
        </is>
      </c>
      <c r="C10" s="28" t="n">
        <v>0</v>
      </c>
      <c r="D10" s="28" t="n">
        <v>80</v>
      </c>
    </row>
    <row r="11">
      <c r="B11" t="inlineStr">
        <is>
          <t>Debt repayment</t>
        </is>
      </c>
      <c r="C11" s="28" t="n">
        <v>30</v>
      </c>
      <c r="D11" s="28" t="n">
        <v>0</v>
      </c>
    </row>
    <row r="12">
      <c r="B12" t="inlineStr">
        <is>
          <t>Opening debt</t>
        </is>
      </c>
      <c r="C12" s="28" t="n">
        <v>200</v>
      </c>
      <c r="D12" s="28" t="n">
        <v>300</v>
      </c>
    </row>
    <row r="13">
      <c r="B13" t="inlineStr">
        <is>
          <t>EBITDA</t>
        </is>
      </c>
      <c r="C13" s="28" t="n">
        <v>120</v>
      </c>
      <c r="D13" s="28" t="n">
        <v>60</v>
      </c>
    </row>
    <row r="14">
      <c r="B14" t="inlineStr">
        <is>
          <t>Cash interest</t>
        </is>
      </c>
      <c r="C14" s="28" t="n">
        <v>10</v>
      </c>
      <c r="D14" s="28" t="n">
        <v>40</v>
      </c>
    </row>
    <row r="15">
      <c r="B15" t="inlineStr">
        <is>
          <t>Minimum cash</t>
        </is>
      </c>
      <c r="C15" s="28" t="n">
        <v>50</v>
      </c>
      <c r="D15" s="28" t="n">
        <v>80</v>
      </c>
    </row>
    <row r="16">
      <c r="B16" t="inlineStr">
        <is>
          <t>Maximum net leverage</t>
        </is>
      </c>
      <c r="C16" s="29" t="n">
        <v>3.5</v>
      </c>
      <c r="D16" s="29" t="n">
        <v>3.5</v>
      </c>
    </row>
    <row r="17">
      <c r="B17" t="inlineStr">
        <is>
          <t>Minimum interest coverage</t>
        </is>
      </c>
      <c r="C17" s="29" t="n">
        <v>2</v>
      </c>
      <c r="D17" s="29" t="n">
        <v>2</v>
      </c>
    </row>
    <row r="21">
      <c r="B21" t="inlineStr">
        <is>
          <t>Ending cash</t>
        </is>
      </c>
      <c r="C21" s="15">
        <f>C5+C6-C7-C8-C9+C10-C11</f>
        <v/>
      </c>
      <c r="D21" s="15">
        <f>D5+D6-D7-D8-D9+D10-D11</f>
        <v/>
      </c>
    </row>
    <row r="22">
      <c r="B22" t="inlineStr">
        <is>
          <t>Ending debt</t>
        </is>
      </c>
      <c r="C22" s="15">
        <f>C12+C10-C11</f>
        <v/>
      </c>
      <c r="D22" s="15">
        <f>D12+D10-D11</f>
        <v/>
      </c>
    </row>
    <row r="23">
      <c r="B23" t="inlineStr">
        <is>
          <t>Net debt</t>
        </is>
      </c>
      <c r="C23" s="15">
        <f>C22-C21</f>
        <v/>
      </c>
      <c r="D23" s="15">
        <f>D22-D21</f>
        <v/>
      </c>
    </row>
    <row r="24">
      <c r="B24" t="inlineStr">
        <is>
          <t>Net leverage</t>
        </is>
      </c>
      <c r="C24" s="30">
        <f>IFERROR(C23/C13,0)</f>
        <v/>
      </c>
      <c r="D24" s="30">
        <f>IFERROR(D23/D13,0)</f>
        <v/>
      </c>
    </row>
    <row r="25">
      <c r="B25" t="inlineStr">
        <is>
          <t>Interest coverage</t>
        </is>
      </c>
      <c r="C25" s="30">
        <f>IFERROR(C13/C14,0)</f>
        <v/>
      </c>
      <c r="D25" s="30">
        <f>IFERROR(D13/D14,0)</f>
        <v/>
      </c>
    </row>
    <row r="26">
      <c r="B26" t="inlineStr">
        <is>
          <t>Financing gap</t>
        </is>
      </c>
      <c r="C26" s="15">
        <f>MAX(0,C15-C21)</f>
        <v/>
      </c>
      <c r="D26" s="15">
        <f>MAX(0,D15-D21)</f>
        <v/>
      </c>
    </row>
    <row r="27">
      <c r="B27" t="inlineStr">
        <is>
          <t>Post-capex free cash flow</t>
        </is>
      </c>
      <c r="C27" s="15">
        <f>C6-C7</f>
        <v/>
      </c>
      <c r="D27" s="15">
        <f>D6-D7</f>
        <v/>
      </c>
    </row>
    <row r="28">
      <c r="B28" t="inlineStr">
        <is>
          <t>Shareholder distributions</t>
        </is>
      </c>
      <c r="C28" s="15">
        <f>C8+C9</f>
        <v/>
      </c>
      <c r="D28" s="15">
        <f>D8+D9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Capital Allocation Sources, Uses, and Distribution Funding</t>
        </is>
      </c>
    </row>
    <row r="4">
      <c r="B4" s="7" t="inlineStr">
        <is>
          <t>Capital use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Decision rule</t>
        </is>
      </c>
    </row>
    <row r="5">
      <c r="B5" t="inlineStr">
        <is>
          <t>Operating cash flow</t>
        </is>
      </c>
      <c r="C5" s="15">
        <f>'Treasury &amp; Liquidity'!C6</f>
        <v/>
      </c>
      <c r="D5" s="15">
        <f>'Treasury &amp; Liquidity'!D6</f>
        <v/>
      </c>
      <c r="E5" t="inlineStr">
        <is>
          <t>internal funding source</t>
        </is>
      </c>
    </row>
    <row r="6">
      <c r="B6" t="inlineStr">
        <is>
          <t>Capital expenditure</t>
        </is>
      </c>
      <c r="C6" s="15">
        <f>'Treasury &amp; Liquidity'!C7</f>
        <v/>
      </c>
      <c r="D6" s="15">
        <f>'Treasury &amp; Liquidity'!D7</f>
        <v/>
      </c>
      <c r="E6" t="inlineStr">
        <is>
          <t>maintenance and growth investment</t>
        </is>
      </c>
    </row>
    <row r="7">
      <c r="B7" t="inlineStr">
        <is>
          <t>Dividends</t>
        </is>
      </c>
      <c r="C7" s="15">
        <f>'Treasury &amp; Liquidity'!C8</f>
        <v/>
      </c>
      <c r="D7" s="15">
        <f>'Treasury &amp; Liquidity'!D8</f>
        <v/>
      </c>
      <c r="E7" t="inlineStr">
        <is>
          <t>fund only after minimum liquidity</t>
        </is>
      </c>
    </row>
    <row r="8">
      <c r="B8" t="inlineStr">
        <is>
          <t>Buybacks</t>
        </is>
      </c>
      <c r="C8" s="15">
        <f>'Treasury &amp; Liquidity'!C9</f>
        <v/>
      </c>
      <c r="D8" s="15">
        <f>'Treasury &amp; Liquidity'!D9</f>
        <v/>
      </c>
      <c r="E8" t="inlineStr">
        <is>
          <t>fund only after minimum liquidity</t>
        </is>
      </c>
    </row>
    <row r="9">
      <c r="B9" t="inlineStr">
        <is>
          <t>Debt repayment</t>
        </is>
      </c>
      <c r="C9" s="15">
        <f>'Treasury &amp; Liquidity'!C11</f>
        <v/>
      </c>
      <c r="D9" s="15">
        <f>'Treasury &amp; Liquidity'!D11</f>
        <v/>
      </c>
      <c r="E9" t="inlineStr">
        <is>
          <t>deleveraging use</t>
        </is>
      </c>
    </row>
    <row r="10">
      <c r="B10" t="inlineStr">
        <is>
          <t>Debt issuance</t>
        </is>
      </c>
      <c r="C10" s="15">
        <f>'Treasury &amp; Liquidity'!C10</f>
        <v/>
      </c>
      <c r="D10" s="15">
        <f>'Treasury &amp; Liquidity'!D10</f>
        <v/>
      </c>
      <c r="E10" t="inlineStr">
        <is>
          <t>external funding source</t>
        </is>
      </c>
    </row>
    <row r="13">
      <c r="B13" t="inlineStr">
        <is>
          <t>Distribution funding residual</t>
        </is>
      </c>
      <c r="C13" s="15">
        <f>MAX(0,C7+C8-C5+C6)</f>
        <v/>
      </c>
      <c r="D13" s="15">
        <f>MAX(0,D7+D8-D5+D6)</f>
        <v/>
      </c>
    </row>
    <row r="14">
      <c r="B14" t="inlineStr">
        <is>
          <t>Cash rollforward residual</t>
        </is>
      </c>
      <c r="C14" s="15">
        <f>'Treasury &amp; Liquidity'!C21-('Treasury &amp; Liquidity'!C5+'Treasury &amp; Liquidity'!C6-'Treasury &amp; Liquidity'!C7-'Treasury &amp; Liquidity'!C8-'Treasury &amp; Liquidity'!C9+'Treasury &amp; Liquidity'!C10-'Treasury &amp; Liquidity'!C11)</f>
        <v/>
      </c>
      <c r="D14" s="15">
        <f>'Treasury &amp; Liquidity'!D21-('Treasury &amp; Liquidity'!D5+'Treasury &amp; Liquidity'!D6-'Treasury &amp; Liquidity'!D7-'Treasury &amp; Liquidity'!D8-'Treasury &amp; Liquidity'!D9+'Treasury &amp; Liquidity'!D10-'Treasury &amp; Liquidity'!D11)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Leverage, Coverage, Liquidity, and Distribution Capacity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Threshold / interpretation</t>
        </is>
      </c>
    </row>
    <row r="5">
      <c r="B5" t="inlineStr">
        <is>
          <t>Ending cash</t>
        </is>
      </c>
      <c r="C5" s="15">
        <f>'Treasury &amp; Liquidity'!C21</f>
        <v/>
      </c>
      <c r="D5" s="15">
        <f>'Treasury &amp; Liquidity'!D21</f>
        <v/>
      </c>
      <c r="E5" t="inlineStr">
        <is>
          <t>must exceed minimum cash</t>
        </is>
      </c>
    </row>
    <row r="6">
      <c r="B6" t="inlineStr">
        <is>
          <t>Net leverage</t>
        </is>
      </c>
      <c r="C6" s="30">
        <f>'Treasury &amp; Liquidity'!C24</f>
        <v/>
      </c>
      <c r="D6" s="30">
        <f>'Treasury &amp; Liquidity'!D24</f>
        <v/>
      </c>
      <c r="E6" t="inlineStr">
        <is>
          <t>must remain below maximum</t>
        </is>
      </c>
    </row>
    <row r="7">
      <c r="B7" t="inlineStr">
        <is>
          <t>Interest coverage</t>
        </is>
      </c>
      <c r="C7" s="30">
        <f>'Treasury &amp; Liquidity'!C25</f>
        <v/>
      </c>
      <c r="D7" s="30">
        <f>'Treasury &amp; Liquidity'!D25</f>
        <v/>
      </c>
      <c r="E7" t="inlineStr">
        <is>
          <t>must remain above minimum</t>
        </is>
      </c>
    </row>
    <row r="8">
      <c r="B8" t="inlineStr">
        <is>
          <t>Financing gap</t>
        </is>
      </c>
      <c r="C8" s="15">
        <f>'Treasury &amp; Liquidity'!C26</f>
        <v/>
      </c>
      <c r="D8" s="15">
        <f>'Treasury &amp; Liquidity'!D26</f>
        <v/>
      </c>
      <c r="E8" t="inlineStr">
        <is>
          <t>must equal zero</t>
        </is>
      </c>
    </row>
    <row r="9">
      <c r="B9" t="inlineStr">
        <is>
          <t>Distribution funding residual</t>
        </is>
      </c>
      <c r="C9" s="15">
        <f>'Capital Allocation'!C13</f>
        <v/>
      </c>
      <c r="D9" s="15">
        <f>'Capital Allocation'!D13</f>
        <v/>
      </c>
      <c r="E9" t="inlineStr">
        <is>
          <t>must equal zero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1" t="inlineStr">
        <is>
          <t>Corporate Finance Decision Dashboard and Independent Checks</t>
        </is>
      </c>
    </row>
    <row r="4">
      <c r="B4" s="7" t="inlineStr">
        <is>
          <t>Check / decision</t>
        </is>
      </c>
      <c r="C4" s="7" t="inlineStr">
        <is>
          <t>Metric</t>
        </is>
      </c>
      <c r="D4" s="7" t="inlineStr">
        <is>
          <t>Status</t>
        </is>
      </c>
      <c r="E4" s="7" t="inlineStr">
        <is>
          <t>Interpretation / action</t>
        </is>
      </c>
    </row>
    <row r="5">
      <c r="B5" t="inlineStr">
        <is>
          <t>Cash rollforward residual</t>
        </is>
      </c>
      <c r="C5" s="31">
        <f>'Capital Allocation'!D14</f>
        <v/>
      </c>
      <c r="D5" s="27">
        <f>IF(ABS(C5)&lt;0.01,"PASS","FAIL")</f>
        <v/>
      </c>
      <c r="E5" t="inlineStr">
        <is>
          <t>Cash sources and uses must conserve.</t>
        </is>
      </c>
    </row>
    <row r="6">
      <c r="B6" t="inlineStr">
        <is>
          <t>Debt rollforward residual</t>
        </is>
      </c>
      <c r="C6" s="31">
        <f>'Treasury &amp; Liquidity'!D22-('Treasury &amp; Liquidity'!D12+'Treasury &amp; Liquidity'!D10-'Treasury &amp; Liquidity'!D11)</f>
        <v/>
      </c>
      <c r="D6" s="27">
        <f>IF(ABS(C6)&lt;0.01,"PASS","FAIL")</f>
        <v/>
      </c>
      <c r="E6" t="inlineStr">
        <is>
          <t>Ending debt must reconcile to issuance and repayment.</t>
        </is>
      </c>
    </row>
    <row r="7">
      <c r="B7" t="inlineStr">
        <is>
          <t>Minimum cash</t>
        </is>
      </c>
      <c r="C7" s="31">
        <f>'Treasury &amp; Liquidity'!D21-'Treasury &amp; Liquidity'!D15</f>
        <v/>
      </c>
      <c r="D7" s="27">
        <f>IF(C7&gt;=0,"PASS","BREACH")</f>
        <v/>
      </c>
      <c r="E7" t="inlineStr">
        <is>
          <t>Escalate funding if ending cash falls below the minimum buffer.</t>
        </is>
      </c>
    </row>
    <row r="8">
      <c r="B8" t="inlineStr">
        <is>
          <t>Net leverage</t>
        </is>
      </c>
      <c r="C8" s="31">
        <f>'Treasury &amp; Liquidity'!D24</f>
        <v/>
      </c>
      <c r="D8" s="27">
        <f>IF(C8&lt;='Treasury &amp; Liquidity'!D16,"PASS","BREACH")</f>
        <v/>
      </c>
      <c r="E8" t="inlineStr">
        <is>
          <t>Leverage must remain within the approved capital-structure limit.</t>
        </is>
      </c>
    </row>
    <row r="9">
      <c r="B9" t="inlineStr">
        <is>
          <t>Interest coverage</t>
        </is>
      </c>
      <c r="C9" s="31">
        <f>'Treasury &amp; Liquidity'!D25</f>
        <v/>
      </c>
      <c r="D9" s="27">
        <f>IF(C9&gt;='Treasury &amp; Liquidity'!D17,"PASS","BREACH")</f>
        <v/>
      </c>
      <c r="E9" t="inlineStr">
        <is>
          <t>Cash interest must remain covered by operating earnings.</t>
        </is>
      </c>
    </row>
    <row r="10">
      <c r="B10" t="inlineStr">
        <is>
          <t>Distribution funding</t>
        </is>
      </c>
      <c r="C10" s="31">
        <f>'Capital Allocation'!D13</f>
        <v/>
      </c>
      <c r="D10" s="27">
        <f>IF(C10&lt;0.01,"PASS","BREACH")</f>
        <v/>
      </c>
      <c r="E10" t="inlineStr">
        <is>
          <t>Dividends and buybacks cannot rely on uncovered liquidity.</t>
        </is>
      </c>
    </row>
    <row r="12">
      <c r="B12" s="2" t="inlineStr">
        <is>
          <t>Overall model status</t>
        </is>
      </c>
      <c r="C12" s="32">
        <f>IF(COUNTIF(D5:D10,"FAIL")+COUNTIF(D5:D10,"BREACH")&gt;0,"BREACH",IF(COUNTIF(D5:D10,"REVIEW")&gt;0,"REVIEW","PASS"))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2026-08-05T22:48:45Z</dcterms:created>
  <dcterms:modified xmlns:dcterms="http://purl.org/dc/terms/" xmlns:xsi="http://www.w3.org/2001/XMLSchema-instance" xsi:type="dcterms:W3CDTF">2026-08-05T22:48:45Z</dcterms:modified>
</cp:coreProperties>
</file>