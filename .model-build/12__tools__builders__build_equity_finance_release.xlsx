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ap Table &amp; Dilution" sheetId="6" state="visible" r:id="rId6"/>
    <sheet xmlns:r="http://schemas.openxmlformats.org/officeDocument/2006/relationships" name="Rights Offering" sheetId="7" state="visible" r:id="rId7"/>
    <sheet xmlns:r="http://schemas.openxmlformats.org/officeDocument/2006/relationships" name="Convertible Securities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IS" sheetId="10" state="visible" r:id="rId10"/>
    <sheet xmlns:r="http://schemas.openxmlformats.org/officeDocument/2006/relationships" name="BS" sheetId="11" state="visible" r:id="rId11"/>
    <sheet xmlns:r="http://schemas.openxmlformats.org/officeDocument/2006/relationships" name="CF" sheetId="12" state="visible" r:id="rId12"/>
    <sheet xmlns:r="http://schemas.openxmlformats.org/officeDocument/2006/relationships" name="DCF" sheetId="13" state="visible" r:id="rId13"/>
    <sheet xmlns:r="http://schemas.openxmlformats.org/officeDocument/2006/relationships" name="Comps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RefreshLog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%;(0.0%);&quot;-&quot;"/>
    <numFmt numFmtId="165" formatCode="$#,##0;($#,##0);&quot;-&quot;"/>
    <numFmt numFmtId="166" formatCode="0.000"/>
    <numFmt numFmtId="167" formatCode="0.0x"/>
    <numFmt numFmtId="168" formatCode="#,##0;(#,##0);&quot;-&quot;"/>
    <numFmt numFmtId="169" formatCode="$#,##0.00;($#,##0.00);&quot;-&quot;"/>
    <numFmt numFmtId="170" formatCode="0.0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7" fontId="3" fillId="0" borderId="1" pivotButton="0" quotePrefix="0" xfId="0"/>
    <xf numFmtId="167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8" fontId="3" fillId="0" borderId="1" pivotButton="0" quotePrefix="0" xfId="0"/>
    <xf numFmtId="0" fontId="3" fillId="2" borderId="1" pivotButton="0" quotePrefix="0" xfId="0"/>
    <xf numFmtId="168" fontId="3" fillId="2" borderId="1" pivotButton="0" quotePrefix="0" xfId="0"/>
    <xf numFmtId="168" fontId="0" fillId="0" borderId="1" pivotButton="0" quotePrefix="0" xfId="0"/>
    <xf numFmtId="165" fontId="3" fillId="2" borderId="1" pivotButton="0" quotePrefix="0" xfId="0"/>
    <xf numFmtId="169" fontId="3" fillId="2" borderId="1" pivotButton="0" quotePrefix="0" xfId="0"/>
    <xf numFmtId="169" fontId="0" fillId="0" borderId="1" pivotButton="0" quotePrefix="0" xfId="0"/>
    <xf numFmtId="164" fontId="0" fillId="0" borderId="1" pivotButton="0" quotePrefix="0" xfId="0"/>
    <xf numFmtId="170" fontId="3" fillId="2" borderId="1" pivotButton="0" quotePrefix="0" xfId="0"/>
    <xf numFmtId="167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[ISSUER] — Equity Finance, Dilution, and Capital Structure</t>
        </is>
      </c>
    </row>
    <row r="4">
      <c r="B4" s="2" t="inlineStr">
        <is>
          <t>Issuer / security: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financing / shareholder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9" t="inlineStr">
        <is>
          <t>Equity Finance — Institutional Decision Surface</t>
        </is>
      </c>
    </row>
    <row r="4">
      <c r="B4" s="40" t="inlineStr">
        <is>
          <t>Model ID</t>
        </is>
      </c>
      <c r="C4" s="41" t="inlineStr">
        <is>
          <t>12</t>
        </is>
      </c>
    </row>
    <row r="5">
      <c r="B5" s="40" t="inlineStr">
        <is>
          <t>Domain</t>
        </is>
      </c>
      <c r="C5" s="41" t="inlineStr">
        <is>
          <t>Equity Finance</t>
        </is>
      </c>
    </row>
    <row r="6">
      <c r="B6" s="40" t="inlineStr">
        <is>
          <t>Declared maturity</t>
        </is>
      </c>
      <c r="C6" s="41" t="inlineStr">
        <is>
          <t>M2</t>
        </is>
      </c>
    </row>
    <row r="7">
      <c r="B7" s="40" t="inlineStr">
        <is>
          <t>Canonical builder</t>
        </is>
      </c>
      <c r="C7" s="41" t="inlineStr">
        <is>
          <t>tools/builders/build_equity_finance_release.py</t>
        </is>
      </c>
    </row>
    <row r="8">
      <c r="B8" s="40" t="inlineStr">
        <is>
          <t>Decision arena</t>
        </is>
      </c>
      <c r="C8" s="41" t="inlineStr">
        <is>
          <t>issuer board, ECM, shareholders, counsel and exchange</t>
        </is>
      </c>
    </row>
    <row r="9">
      <c r="B9" s="40" t="inlineStr">
        <is>
          <t>Committee artifact</t>
        </is>
      </c>
      <c r="C9" s="41" t="inlineStr">
        <is>
          <t>capital raise and dilution memo</t>
        </is>
      </c>
    </row>
    <row r="10">
      <c r="B10" s="40" t="inlineStr">
        <is>
          <t>Operating cadence</t>
        </is>
      </c>
      <c r="C10" s="41" t="inlineStr">
        <is>
          <t>daily during offering; quarterly cap table</t>
        </is>
      </c>
    </row>
    <row r="12">
      <c r="B12" s="42" t="inlineStr">
        <is>
          <t>Key decision outputs</t>
        </is>
      </c>
    </row>
    <row r="13">
      <c r="B13" s="43" t="inlineStr">
        <is>
          <t>#</t>
        </is>
      </c>
      <c r="C13" s="43" t="inlineStr">
        <is>
          <t>Requirement</t>
        </is>
      </c>
      <c r="D13" s="43" t="inlineStr">
        <is>
          <t>Owner</t>
        </is>
      </c>
      <c r="E13" s="43" t="inlineStr">
        <is>
          <t>Evidence / location</t>
        </is>
      </c>
      <c r="F13" s="43" t="inlineStr">
        <is>
          <t>Status</t>
        </is>
      </c>
    </row>
    <row r="14">
      <c r="B14" t="n">
        <v>1</v>
      </c>
      <c r="C14" t="inlineStr">
        <is>
          <t>gross and net proceeds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pro forma ownership and dilution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rights take-up / backstop need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2" t="inlineStr">
        <is>
          <t>Insider questions</t>
        </is>
      </c>
    </row>
    <row r="21">
      <c r="B21" s="43" t="inlineStr">
        <is>
          <t>#</t>
        </is>
      </c>
      <c r="C21" s="43" t="inlineStr">
        <is>
          <t>Requirement</t>
        </is>
      </c>
      <c r="D21" s="43" t="inlineStr">
        <is>
          <t>Owner</t>
        </is>
      </c>
      <c r="E21" s="43" t="inlineStr">
        <is>
          <t>Evidence / location</t>
        </is>
      </c>
      <c r="F21" s="43" t="inlineStr">
        <is>
          <t>Status</t>
        </is>
      </c>
    </row>
    <row r="22">
      <c r="B22" t="n">
        <v>1</v>
      </c>
      <c r="C22" t="inlineStr">
        <is>
          <t>What is the real free float after locks?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Who is economically short through hedges?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break price after fees?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2" t="inlineStr">
        <is>
          <t>Scenario families</t>
        </is>
      </c>
    </row>
    <row r="29">
      <c r="B29" s="43" t="inlineStr">
        <is>
          <t>#</t>
        </is>
      </c>
      <c r="C29" s="43" t="inlineStr">
        <is>
          <t>Requirement</t>
        </is>
      </c>
      <c r="D29" s="43" t="inlineStr">
        <is>
          <t>Owner</t>
        </is>
      </c>
      <c r="E29" s="43" t="inlineStr">
        <is>
          <t>Evidence / location</t>
        </is>
      </c>
      <c r="F29" s="43" t="inlineStr">
        <is>
          <t>Status</t>
        </is>
      </c>
    </row>
    <row r="30">
      <c r="B30" t="n">
        <v>1</v>
      </c>
      <c r="C30" t="inlineStr">
        <is>
          <t>discount and market break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rights under-subscription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convertible dilution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2" t="inlineStr">
        <is>
          <t>Primary diligence documents</t>
        </is>
      </c>
    </row>
    <row r="37">
      <c r="B37" s="43" t="inlineStr">
        <is>
          <t>#</t>
        </is>
      </c>
      <c r="C37" s="43" t="inlineStr">
        <is>
          <t>Requirement</t>
        </is>
      </c>
      <c r="D37" s="43" t="inlineStr">
        <is>
          <t>Owner</t>
        </is>
      </c>
      <c r="E37" s="43" t="inlineStr">
        <is>
          <t>Evidence / location</t>
        </is>
      </c>
      <c r="F37" s="43" t="inlineStr">
        <is>
          <t>Status</t>
        </is>
      </c>
    </row>
    <row r="38">
      <c r="B38" t="n">
        <v>1</v>
      </c>
      <c r="C38" t="inlineStr">
        <is>
          <t>registration statement / prospectus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underwriting agreement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shareholder register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2" t="inlineStr">
        <is>
          <t>Challenge tests</t>
        </is>
      </c>
    </row>
    <row r="45">
      <c r="B45" s="43" t="inlineStr">
        <is>
          <t>#</t>
        </is>
      </c>
      <c r="C45" s="43" t="inlineStr">
        <is>
          <t>Requirement</t>
        </is>
      </c>
      <c r="D45" s="43" t="inlineStr">
        <is>
          <t>Owner</t>
        </is>
      </c>
      <c r="E45" s="43" t="inlineStr">
        <is>
          <t>Evidence / location</t>
        </is>
      </c>
      <c r="F45" s="43" t="inlineStr">
        <is>
          <t>Status</t>
        </is>
      </c>
    </row>
    <row r="46">
      <c r="B46" t="n">
        <v>1</v>
      </c>
      <c r="C46" t="inlineStr">
        <is>
          <t>proceeds reconcile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ownership sums to 100%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dilution includes options and convertibles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2" t="inlineStr">
        <is>
          <t>Known failure modes</t>
        </is>
      </c>
    </row>
    <row r="53">
      <c r="B53" s="43" t="inlineStr">
        <is>
          <t>#</t>
        </is>
      </c>
      <c r="C53" s="43" t="inlineStr">
        <is>
          <t>Requirement</t>
        </is>
      </c>
      <c r="D53" s="43" t="inlineStr">
        <is>
          <t>Owner</t>
        </is>
      </c>
      <c r="E53" s="43" t="inlineStr">
        <is>
          <t>Evidence / location</t>
        </is>
      </c>
      <c r="F53" s="43" t="inlineStr">
        <is>
          <t>Status</t>
        </is>
      </c>
    </row>
    <row r="54">
      <c r="B54" t="n">
        <v>1</v>
      </c>
      <c r="C54" t="inlineStr">
        <is>
          <t>using basic shares for valuation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greenshoe and warrants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treating convertibles as debt or equity in all cases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2" t="inlineStr">
        <is>
          <t>Regulatory / methodological anchors</t>
        </is>
      </c>
    </row>
    <row r="61">
      <c r="B61" s="43" t="inlineStr">
        <is>
          <t>Standard</t>
        </is>
      </c>
      <c r="C61" s="43" t="inlineStr">
        <is>
          <t>Scope</t>
        </is>
      </c>
      <c r="D61" s="43" t="inlineStr">
        <is>
          <t>Source URL</t>
        </is>
      </c>
      <c r="E61" s="43" t="inlineStr">
        <is>
          <t>Applicability</t>
        </is>
      </c>
      <c r="F61" s="43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9" t="inlineStr">
        <is>
          <t>Independent Challenge, Override and Closure Log</t>
        </is>
      </c>
    </row>
    <row r="4">
      <c r="B4" s="43" t="inlineStr">
        <is>
          <t>Date</t>
        </is>
      </c>
      <c r="C4" s="43" t="inlineStr">
        <is>
          <t>Reviewer</t>
        </is>
      </c>
      <c r="D4" s="43" t="inlineStr">
        <is>
          <t>Challenge</t>
        </is>
      </c>
      <c r="E4" s="43" t="inlineStr">
        <is>
          <t>Owner response</t>
        </is>
      </c>
      <c r="F4" s="43" t="inlineStr">
        <is>
          <t>Evidence</t>
        </is>
      </c>
      <c r="G4" s="43" t="inlineStr">
        <is>
          <t>Impact</t>
        </is>
      </c>
      <c r="H4" s="43" t="inlineStr">
        <is>
          <t>Status</t>
        </is>
      </c>
      <c r="I4" s="43" t="inlineStr">
        <is>
          <t>Closure</t>
        </is>
      </c>
    </row>
    <row r="5">
      <c r="B5" t="inlineStr"/>
      <c r="C5" t="inlineStr"/>
      <c r="D5" t="inlineStr">
        <is>
          <t>proceeds reconcile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ownership sums to 100%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dilution includes options and convertibles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9" t="inlineStr">
        <is>
          <t>Source, Transformation, Ownership and Refresh Map</t>
        </is>
      </c>
    </row>
    <row r="4">
      <c r="B4" s="43" t="inlineStr">
        <is>
          <t>Source class</t>
        </is>
      </c>
      <c r="C4" s="43" t="inlineStr">
        <is>
          <t>Cadence</t>
        </is>
      </c>
      <c r="D4" s="43" t="inlineStr">
        <is>
          <t>Control</t>
        </is>
      </c>
      <c r="E4" s="43" t="inlineStr">
        <is>
          <t>System / provider</t>
        </is>
      </c>
      <c r="F4" s="43" t="inlineStr">
        <is>
          <t>As-of</t>
        </is>
      </c>
      <c r="G4" s="43" t="inlineStr">
        <is>
          <t>Owner</t>
        </is>
      </c>
      <c r="H4" s="43" t="inlineStr">
        <is>
          <t>Transform</t>
        </is>
      </c>
      <c r="I4" s="43" t="inlineStr">
        <is>
          <t>Downstream</t>
        </is>
      </c>
      <c r="J4" s="43" t="inlineStr">
        <is>
          <t>Status</t>
        </is>
      </c>
    </row>
    <row r="5">
      <c r="B5" t="inlineStr">
        <is>
          <t>share count</t>
        </is>
      </c>
      <c r="C5" t="inlineStr">
        <is>
          <t>event-driven</t>
        </is>
      </c>
      <c r="D5" t="inlineStr">
        <is>
          <t>basic, diluted and treasury-stock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price and volume</t>
        </is>
      </c>
      <c r="C6" t="inlineStr">
        <is>
          <t>daily</t>
        </is>
      </c>
      <c r="D6" t="inlineStr">
        <is>
          <t>unaffected and VWAP windows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28">
        <f>'Cap Table &amp; Dilution'!E19</f>
        <v/>
      </c>
      <c r="D12" s="28">
        <f>'Cap Table &amp; Dilution'!E19</f>
        <v/>
      </c>
      <c r="E12" s="28">
        <f>'Cap Table &amp; Dilution'!E19</f>
        <v/>
      </c>
      <c r="F12" s="28">
        <f>'Cap Table &amp; Dilution'!E19</f>
        <v/>
      </c>
      <c r="G12" s="28">
        <f>'Cap Table &amp; Dilution'!E19</f>
        <v/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2">
      <c r="B2" s="1" t="inlineStr">
        <is>
          <t>Fully Diluted Cap Table and Ownership Attribution</t>
        </is>
      </c>
    </row>
    <row r="3">
      <c r="B3" t="inlineStr">
        <is>
          <t>Active scenario</t>
        </is>
      </c>
      <c r="C3" s="29" t="inlineStr">
        <is>
          <t>Base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Active</t>
        </is>
      </c>
      <c r="F4" s="7" t="inlineStr">
        <is>
          <t>Owner / interpretation</t>
        </is>
      </c>
    </row>
    <row r="5">
      <c r="B5" t="inlineStr">
        <is>
          <t>Existing common shares</t>
        </is>
      </c>
      <c r="C5" s="30" t="n">
        <v>100</v>
      </c>
      <c r="D5" s="30" t="n">
        <v>100</v>
      </c>
      <c r="E5" s="31">
        <f>IF($C$3="Adversarial",D5,C5)</f>
        <v/>
      </c>
      <c r="F5" t="inlineStr">
        <is>
          <t>pre-transaction issued common</t>
        </is>
      </c>
    </row>
    <row r="6">
      <c r="B6" t="inlineStr">
        <is>
          <t>In-the-money options / RSUs</t>
        </is>
      </c>
      <c r="C6" s="30" t="n">
        <v>5</v>
      </c>
      <c r="D6" s="30" t="n">
        <v>20</v>
      </c>
      <c r="E6" s="31">
        <f>IF($C$3="Adversarial",D6,C6)</f>
        <v/>
      </c>
      <c r="F6" t="inlineStr">
        <is>
          <t>treasury-stock or approved dilution method</t>
        </is>
      </c>
    </row>
    <row r="7">
      <c r="B7" t="inlineStr">
        <is>
          <t>Primary shares issued</t>
        </is>
      </c>
      <c r="C7" s="30" t="n">
        <v>20</v>
      </c>
      <c r="D7" s="30" t="n">
        <v>150</v>
      </c>
      <c r="E7" s="31">
        <f>IF($C$3="Adversarial",D7,C7)</f>
        <v/>
      </c>
      <c r="F7" t="inlineStr">
        <is>
          <t>new-money common issuance</t>
        </is>
      </c>
    </row>
    <row r="8">
      <c r="B8" t="inlineStr">
        <is>
          <t>Rights shares issued</t>
        </is>
      </c>
      <c r="C8" s="30" t="n">
        <v>25</v>
      </c>
      <c r="D8" s="30" t="n">
        <v>100</v>
      </c>
      <c r="E8" s="31">
        <f>IF($C$3="Adversarial",D8,C8)</f>
        <v/>
      </c>
      <c r="F8" t="inlineStr">
        <is>
          <t>shares issued under rights offering</t>
        </is>
      </c>
    </row>
    <row r="9">
      <c r="B9" t="inlineStr">
        <is>
          <t>Convertible principal</t>
        </is>
      </c>
      <c r="C9" s="32" t="n">
        <v>100</v>
      </c>
      <c r="D9" s="32" t="n">
        <v>500</v>
      </c>
      <c r="E9" s="15">
        <f>IF($C$3="Adversarial",D9,C9)</f>
        <v/>
      </c>
      <c r="F9" t="inlineStr">
        <is>
          <t>principal subject to conversion</t>
        </is>
      </c>
    </row>
    <row r="10">
      <c r="B10" t="inlineStr">
        <is>
          <t>Conversion price</t>
        </is>
      </c>
      <c r="C10" s="33" t="n">
        <v>10</v>
      </c>
      <c r="D10" s="33" t="n">
        <v>5</v>
      </c>
      <c r="E10" s="34">
        <f>IF($C$3="Adversarial",D10,C10)</f>
        <v/>
      </c>
      <c r="F10" t="inlineStr">
        <is>
          <t>contractual or adjusted conversion price</t>
        </is>
      </c>
    </row>
    <row r="11">
      <c r="B11" t="inlineStr">
        <is>
          <t>Primary issue price</t>
        </is>
      </c>
      <c r="C11" s="33" t="n">
        <v>11</v>
      </c>
      <c r="D11" s="33" t="n">
        <v>4</v>
      </c>
      <c r="E11" s="34">
        <f>IF($C$3="Adversarial",D11,C11)</f>
        <v/>
      </c>
      <c r="F11" t="inlineStr">
        <is>
          <t>gross primary price per share</t>
        </is>
      </c>
    </row>
    <row r="12">
      <c r="B12" t="inlineStr">
        <is>
          <t>Transaction fees</t>
        </is>
      </c>
      <c r="C12" s="32" t="n">
        <v>5</v>
      </c>
      <c r="D12" s="32" t="n">
        <v>20</v>
      </c>
      <c r="E12" s="15">
        <f>IF($C$3="Adversarial",D12,C12)</f>
        <v/>
      </c>
      <c r="F12" t="inlineStr">
        <is>
          <t>underwriting, legal, exchange, and other costs</t>
        </is>
      </c>
    </row>
    <row r="13">
      <c r="B13" t="inlineStr">
        <is>
          <t>Maximum existing-holder dilution</t>
        </is>
      </c>
      <c r="C13" s="8" t="n">
        <v>0.35</v>
      </c>
      <c r="D13" s="8" t="n">
        <v>0.35</v>
      </c>
      <c r="E13" s="35">
        <f>IF($C$3="Adversarial",D13,C13)</f>
        <v/>
      </c>
      <c r="F13" t="inlineStr">
        <is>
          <t>approved decision threshold</t>
        </is>
      </c>
    </row>
    <row r="14">
      <c r="B14" t="inlineStr">
        <is>
          <t>Maximum option / RSU overhang</t>
        </is>
      </c>
      <c r="C14" s="8" t="n">
        <v>0.1</v>
      </c>
      <c r="D14" s="8" t="n">
        <v>0.1</v>
      </c>
      <c r="E14" s="35">
        <f>IF($C$3="Adversarial",D14,C14)</f>
        <v/>
      </c>
      <c r="F14" t="inlineStr">
        <is>
          <t>options and RSUs / fully diluted shares</t>
        </is>
      </c>
    </row>
    <row r="17">
      <c r="B17" s="25" t="inlineStr">
        <is>
          <t>Derived outputs</t>
        </is>
      </c>
    </row>
    <row r="18">
      <c r="B18" t="inlineStr">
        <is>
          <t>Converted shares</t>
        </is>
      </c>
      <c r="C18" s="31">
        <f>IFERROR(C9/C10,0)</f>
        <v/>
      </c>
      <c r="D18" s="31">
        <f>IFERROR(D9/D10,0)</f>
        <v/>
      </c>
      <c r="E18" s="31">
        <f>IFERROR(E9/E10,0)</f>
        <v/>
      </c>
    </row>
    <row r="19">
      <c r="B19" t="inlineStr">
        <is>
          <t>Fully diluted post-money shares</t>
        </is>
      </c>
      <c r="C19" s="31">
        <f>SUM(C5:C8)+C18</f>
        <v/>
      </c>
      <c r="D19" s="31">
        <f>SUM(D5:D8)+D18</f>
        <v/>
      </c>
      <c r="E19" s="31">
        <f>SUM(E5:E8)+E18</f>
        <v/>
      </c>
    </row>
    <row r="20">
      <c r="B20" t="inlineStr">
        <is>
          <t>Existing common ownership</t>
        </is>
      </c>
      <c r="C20" s="35">
        <f>IFERROR(C5/C19,0)</f>
        <v/>
      </c>
      <c r="D20" s="35">
        <f>IFERROR(D5/D19,0)</f>
        <v/>
      </c>
      <c r="E20" s="35">
        <f>IFERROR(E5/E19,0)</f>
        <v/>
      </c>
    </row>
    <row r="21">
      <c r="B21" t="inlineStr">
        <is>
          <t>Existing-holder dilution</t>
        </is>
      </c>
      <c r="C21" s="35">
        <f>1-C20</f>
        <v/>
      </c>
      <c r="D21" s="35">
        <f>1-D20</f>
        <v/>
      </c>
      <c r="E21" s="35">
        <f>1-E20</f>
        <v/>
      </c>
    </row>
    <row r="22">
      <c r="B22" t="inlineStr">
        <is>
          <t>Option / RSU overhang</t>
        </is>
      </c>
      <c r="C22" s="35">
        <f>IFERROR(C6/C19,0)</f>
        <v/>
      </c>
      <c r="D22" s="35">
        <f>IFERROR(D6/D19,0)</f>
        <v/>
      </c>
      <c r="E22" s="35">
        <f>IFERROR(E6/E19,0)</f>
        <v/>
      </c>
    </row>
    <row r="23">
      <c r="B23" t="inlineStr">
        <is>
          <t>Gross primary proceeds</t>
        </is>
      </c>
      <c r="C23" s="15">
        <f>C7*C11</f>
        <v/>
      </c>
      <c r="D23" s="15">
        <f>D7*D11</f>
        <v/>
      </c>
      <c r="E23" s="15">
        <f>E7*E11</f>
        <v/>
      </c>
    </row>
    <row r="24">
      <c r="B24" t="inlineStr">
        <is>
          <t>Net primary proceeds</t>
        </is>
      </c>
      <c r="C24" s="15">
        <f>C23-C12</f>
        <v/>
      </c>
      <c r="D24" s="15">
        <f>D23-D12</f>
        <v/>
      </c>
      <c r="E24" s="15">
        <f>E23-E12</f>
        <v/>
      </c>
    </row>
    <row r="25">
      <c r="B25" t="inlineStr">
        <is>
          <t>Share-conservation residual</t>
        </is>
      </c>
      <c r="C25" s="31">
        <f>C19-C5-C6-C7-C8-C18</f>
        <v/>
      </c>
      <c r="D25" s="31">
        <f>D19-D5-D6-D7-D8-D18</f>
        <v/>
      </c>
      <c r="E25" s="31">
        <f>E19-E5-E6-E7-E8-E18</f>
        <v/>
      </c>
    </row>
    <row r="27">
      <c r="B27" s="14" t="inlineStr">
        <is>
          <t>The fully diluted denominator must use the security-specific treasury-stock, if-converted, contingently issuable, and anti-dilution conventions approved for the analysis.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Rights Offering Economics and Holder Choices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Interpretation</t>
        </is>
      </c>
    </row>
    <row r="5">
      <c r="B5" t="inlineStr">
        <is>
          <t>Existing shares entitled</t>
        </is>
      </c>
      <c r="C5" s="31">
        <f>'Cap Table &amp; Dilution'!C5</f>
        <v/>
      </c>
      <c r="D5" s="31">
        <f>'Cap Table &amp; Dilution'!D5</f>
        <v/>
      </c>
      <c r="E5" t="inlineStr">
        <is>
          <t>record-date eligible shares</t>
        </is>
      </c>
    </row>
    <row r="6">
      <c r="B6" t="inlineStr">
        <is>
          <t>Rights shares offered</t>
        </is>
      </c>
      <c r="C6" s="31">
        <f>'Cap Table &amp; Dilution'!C8</f>
        <v/>
      </c>
      <c r="D6" s="31">
        <f>'Cap Table &amp; Dilution'!D8</f>
        <v/>
      </c>
      <c r="E6" t="inlineStr">
        <is>
          <t>new shares available through rights</t>
        </is>
      </c>
    </row>
    <row r="7">
      <c r="B7" t="inlineStr">
        <is>
          <t>Cum-rights market price</t>
        </is>
      </c>
      <c r="C7" s="33" t="n">
        <v>12</v>
      </c>
      <c r="D7" s="33" t="n">
        <v>10</v>
      </c>
      <c r="E7" t="inlineStr">
        <is>
          <t>unaffected reference price</t>
        </is>
      </c>
    </row>
    <row r="8">
      <c r="B8" t="inlineStr">
        <is>
          <t>Subscription price</t>
        </is>
      </c>
      <c r="C8" s="33" t="n">
        <v>9</v>
      </c>
      <c r="D8" s="33" t="n">
        <v>3</v>
      </c>
      <c r="E8" t="inlineStr">
        <is>
          <t>cash exercise price</t>
        </is>
      </c>
    </row>
    <row r="9">
      <c r="B9" t="inlineStr">
        <is>
          <t>Expected participation</t>
        </is>
      </c>
      <c r="C9" s="8" t="n">
        <v>0.9</v>
      </c>
      <c r="D9" s="8" t="n">
        <v>0.45</v>
      </c>
      <c r="E9" t="inlineStr">
        <is>
          <t>take-up before standby / rump placement</t>
        </is>
      </c>
    </row>
    <row r="10">
      <c r="B10" t="inlineStr">
        <is>
          <t>Standby / backstop fee</t>
        </is>
      </c>
      <c r="C10" s="8" t="n">
        <v>0.02</v>
      </c>
      <c r="D10" s="8" t="n">
        <v>0.08</v>
      </c>
      <c r="E10" t="inlineStr">
        <is>
          <t>% of underwritten proceeds</t>
        </is>
      </c>
    </row>
    <row r="13">
      <c r="B13" t="inlineStr">
        <is>
          <t>Theoretical ex-rights price</t>
        </is>
      </c>
      <c r="C13" s="15">
        <f>IFERROR((C5*C7+C6*C8)/(C5+C6),0)</f>
        <v/>
      </c>
      <c r="D13" s="15">
        <f>IFERROR((D5*D7+D6*D8)/(D5+D6),0)</f>
        <v/>
      </c>
    </row>
    <row r="14">
      <c r="B14" t="inlineStr">
        <is>
          <t>Theoretical value per right / existing share</t>
        </is>
      </c>
      <c r="C14" s="15">
        <f>C7-C13</f>
        <v/>
      </c>
      <c r="D14" s="15">
        <f>D7-D13</f>
        <v/>
      </c>
    </row>
    <row r="15">
      <c r="B15" t="inlineStr">
        <is>
          <t>Subscription discount</t>
        </is>
      </c>
      <c r="C15" s="35">
        <f>IFERROR(1-C8/C7,0)</f>
        <v/>
      </c>
      <c r="D15" s="35">
        <f>IFERROR(1-D8/D7,0)</f>
        <v/>
      </c>
    </row>
    <row r="16">
      <c r="B16" t="inlineStr">
        <is>
          <t>Expected subscribed shares</t>
        </is>
      </c>
      <c r="C16" s="31">
        <f>C6*C9</f>
        <v/>
      </c>
      <c r="D16" s="31">
        <f>D6*D9</f>
        <v/>
      </c>
    </row>
    <row r="17">
      <c r="B17" t="inlineStr">
        <is>
          <t>Expected gross proceeds</t>
        </is>
      </c>
      <c r="C17" s="15">
        <f>C16*C8</f>
        <v/>
      </c>
      <c r="D17" s="15">
        <f>D16*D8</f>
        <v/>
      </c>
    </row>
    <row r="18">
      <c r="B18" t="inlineStr">
        <is>
          <t>Expected standby fee</t>
        </is>
      </c>
      <c r="C18" s="15">
        <f>(C6-C16)*C8*C10</f>
        <v/>
      </c>
      <c r="D18" s="15">
        <f>(D6-D16)*D8*D10</f>
        <v/>
      </c>
    </row>
    <row r="19">
      <c r="B19" t="inlineStr">
        <is>
          <t>Expected net rights proceeds</t>
        </is>
      </c>
      <c r="C19" s="15">
        <f>C17-C18</f>
        <v/>
      </c>
      <c r="D19" s="15">
        <f>D17-D18</f>
        <v/>
      </c>
    </row>
    <row r="21">
      <c r="B21" s="14" t="inlineStr">
        <is>
          <t>TERP is a frictionless reference. Actual value depends on trading, eligibility, taxes, participation, backstop terms, execution leakage, and the use of proceeds.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Convertible Security Economics and If-Converted Dilution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Interpretation</t>
        </is>
      </c>
    </row>
    <row r="5">
      <c r="B5" t="inlineStr">
        <is>
          <t>Principal</t>
        </is>
      </c>
      <c r="C5" s="15">
        <f>'Cap Table &amp; Dilution'!C9</f>
        <v/>
      </c>
      <c r="D5" s="15">
        <f>'Cap Table &amp; Dilution'!D9</f>
        <v/>
      </c>
      <c r="E5" t="inlineStr">
        <is>
          <t>outstanding principal</t>
        </is>
      </c>
    </row>
    <row r="6">
      <c r="B6" t="inlineStr">
        <is>
          <t>Conversion price</t>
        </is>
      </c>
      <c r="C6" s="34">
        <f>'Cap Table &amp; Dilution'!C10</f>
        <v/>
      </c>
      <c r="D6" s="34">
        <f>'Cap Table &amp; Dilution'!D10</f>
        <v/>
      </c>
      <c r="E6" t="inlineStr">
        <is>
          <t>post-adjustment conversion price</t>
        </is>
      </c>
    </row>
    <row r="7">
      <c r="B7" t="inlineStr">
        <is>
          <t>Current share price</t>
        </is>
      </c>
      <c r="C7" s="33" t="n">
        <v>12</v>
      </c>
      <c r="D7" s="33" t="n">
        <v>4</v>
      </c>
      <c r="E7" t="inlineStr">
        <is>
          <t>market reference</t>
        </is>
      </c>
    </row>
    <row r="8">
      <c r="B8" t="inlineStr">
        <is>
          <t>Cash coupon</t>
        </is>
      </c>
      <c r="C8" s="8" t="n">
        <v>0.04</v>
      </c>
      <c r="D8" s="8" t="n">
        <v>0.08</v>
      </c>
      <c r="E8" t="inlineStr">
        <is>
          <t>annual cash interest</t>
        </is>
      </c>
    </row>
    <row r="9">
      <c r="B9" t="inlineStr">
        <is>
          <t>Remaining tenor</t>
        </is>
      </c>
      <c r="C9" s="36" t="n">
        <v>3</v>
      </c>
      <c r="D9" s="36" t="n">
        <v>1</v>
      </c>
      <c r="E9" t="inlineStr">
        <is>
          <t>years</t>
        </is>
      </c>
    </row>
    <row r="10">
      <c r="B10" t="inlineStr">
        <is>
          <t>Redemption premium</t>
        </is>
      </c>
      <c r="C10" s="8" t="n">
        <v>0.05</v>
      </c>
      <c r="D10" s="8" t="n">
        <v>0.15</v>
      </c>
      <c r="E10" t="inlineStr">
        <is>
          <t>premium to principal at maturity / redemption</t>
        </is>
      </c>
    </row>
    <row r="11">
      <c r="B11" t="inlineStr">
        <is>
          <t>Anti-dilution adjusted price</t>
        </is>
      </c>
      <c r="C11" s="33" t="n">
        <v>9.5</v>
      </c>
      <c r="D11" s="33" t="n">
        <v>3.5</v>
      </c>
      <c r="E11" t="inlineStr">
        <is>
          <t>approved modeled adjustment</t>
        </is>
      </c>
    </row>
    <row r="14">
      <c r="B14" t="inlineStr">
        <is>
          <t>Contractual converted shares</t>
        </is>
      </c>
      <c r="C14" s="31">
        <f>IFERROR(C5/C6,0)</f>
        <v/>
      </c>
      <c r="D14" s="31">
        <f>IFERROR(D5/D6,0)</f>
        <v/>
      </c>
    </row>
    <row r="15">
      <c r="B15" t="inlineStr">
        <is>
          <t>Anti-dilution adjusted shares</t>
        </is>
      </c>
      <c r="C15" s="31">
        <f>IFERROR(C5/C11,0)</f>
        <v/>
      </c>
      <c r="D15" s="31">
        <f>IFERROR(D5/D11,0)</f>
        <v/>
      </c>
    </row>
    <row r="16">
      <c r="B16" t="inlineStr">
        <is>
          <t>Conversion value</t>
        </is>
      </c>
      <c r="C16" s="15">
        <f>C14*C7</f>
        <v/>
      </c>
      <c r="D16" s="15">
        <f>D14*D7</f>
        <v/>
      </c>
    </row>
    <row r="17">
      <c r="B17" t="inlineStr">
        <is>
          <t>Redemption value</t>
        </is>
      </c>
      <c r="C17" s="15">
        <f>C5*(1+C10)</f>
        <v/>
      </c>
      <c r="D17" s="15">
        <f>D5*(1+D10)</f>
        <v/>
      </c>
    </row>
    <row r="18">
      <c r="B18" t="inlineStr">
        <is>
          <t>Conversion parity</t>
        </is>
      </c>
      <c r="C18" s="37">
        <f>IFERROR(C16/C5,0)</f>
        <v/>
      </c>
      <c r="D18" s="37">
        <f>IFERROR(D16/D5,0)</f>
        <v/>
      </c>
    </row>
    <row r="19">
      <c r="B19" t="inlineStr">
        <is>
          <t>Incremental anti-dilution shares</t>
        </is>
      </c>
      <c r="C19" s="31">
        <f>C15-C14</f>
        <v/>
      </c>
      <c r="D19" s="31">
        <f>D15-D14</f>
        <v/>
      </c>
    </row>
    <row r="20">
      <c r="B20" t="inlineStr">
        <is>
          <t>Annual cash coupon</t>
        </is>
      </c>
      <c r="C20" s="15">
        <f>C5*C8</f>
        <v/>
      </c>
      <c r="D20" s="15">
        <f>D5*D8</f>
        <v/>
      </c>
    </row>
    <row r="22">
      <c r="B22" s="14" t="inlineStr">
        <is>
          <t>This sheet models if-converted economics, not the full value of optionality. Call features, soft calls, resets, make-wholes, caps, floors, and settlement elections require explicit terms.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8" customWidth="1" min="4" max="4"/>
    <col width="52" customWidth="1" min="5" max="5"/>
  </cols>
  <sheetData>
    <row r="2">
      <c r="B2" s="1" t="inlineStr">
        <is>
          <t>Equity Finance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Share-conservation residual</t>
        </is>
      </c>
      <c r="C5" s="27">
        <f>'Cap Table &amp; Dilution'!E25</f>
        <v/>
      </c>
      <c r="D5" s="27">
        <f>IF(ABS(C5)&lt;0.000001,"PASS","FAIL")</f>
        <v/>
      </c>
      <c r="E5" t="inlineStr">
        <is>
          <t>Fully diluted shares must reconcile to every issued and contingently issuable security.</t>
        </is>
      </c>
    </row>
    <row r="6">
      <c r="B6" t="inlineStr">
        <is>
          <t>Ownership / dilution identity</t>
        </is>
      </c>
      <c r="C6" s="27">
        <f>'Cap Table &amp; Dilution'!E20+'Cap Table &amp; Dilution'!E21-1</f>
        <v/>
      </c>
      <c r="D6" s="27">
        <f>IF(ABS(C6)&lt;0.000001,"PASS","FAIL")</f>
        <v/>
      </c>
      <c r="E6" t="inlineStr">
        <is>
          <t>Existing ownership plus dilution must equal one.</t>
        </is>
      </c>
    </row>
    <row r="7">
      <c r="B7" t="inlineStr">
        <is>
          <t>Existing-holder dilution</t>
        </is>
      </c>
      <c r="C7" s="27">
        <f>'Cap Table &amp; Dilution'!E21</f>
        <v/>
      </c>
      <c r="D7" s="27">
        <f>IF(C7&lt;='Cap Table &amp; Dilution'!E13,"PASS","BREACH")</f>
        <v/>
      </c>
      <c r="E7" t="inlineStr">
        <is>
          <t>A financing that exceeds approved dilution requires explicit board and shareholder analysis.</t>
        </is>
      </c>
    </row>
    <row r="8">
      <c r="B8" t="inlineStr">
        <is>
          <t>Option / RSU overhang</t>
        </is>
      </c>
      <c r="C8" s="27">
        <f>'Cap Table &amp; Dilution'!E22</f>
        <v/>
      </c>
      <c r="D8" s="27">
        <f>IF(C8&lt;='Cap Table &amp; Dilution'!E14,"PASS","REVIEW")</f>
        <v/>
      </c>
      <c r="E8" t="inlineStr">
        <is>
          <t>Track employee, acquisition, and contingent-equity dilution separately.</t>
        </is>
      </c>
    </row>
    <row r="9">
      <c r="B9" t="inlineStr">
        <is>
          <t>Net primary proceeds</t>
        </is>
      </c>
      <c r="C9" s="27">
        <f>'Cap Table &amp; Dilution'!E24</f>
        <v/>
      </c>
      <c r="D9" s="27">
        <f>IF(C9&gt;=0,"PASS","BREACH")</f>
        <v/>
      </c>
      <c r="E9" t="inlineStr">
        <is>
          <t>Fees and discounts may not exceed gross proceeds.</t>
        </is>
      </c>
    </row>
    <row r="10">
      <c r="B10" t="inlineStr">
        <is>
          <t>Rights TERP residual</t>
        </is>
      </c>
      <c r="C10" s="27">
        <f>'Rights Offering'!C13-(('Rights Offering'!C5*'Rights Offering'!C7+'Rights Offering'!C6*'Rights Offering'!C8)/('Rights Offering'!C5+'Rights Offering'!C6))</f>
        <v/>
      </c>
      <c r="D10" s="27">
        <f>IF(ABS(C10)&lt;0.000001,"PASS","FAIL")</f>
        <v/>
      </c>
      <c r="E10" t="inlineStr">
        <is>
          <t>TERP must reconcile from old and new shares and their respective prices.</t>
        </is>
      </c>
    </row>
    <row r="11">
      <c r="B11" t="inlineStr">
        <is>
          <t>Rights value</t>
        </is>
      </c>
      <c r="C11" s="27">
        <f>'Rights Offering'!C14</f>
        <v/>
      </c>
      <c r="D11" s="27">
        <f>IF(C11&gt;=0,"PASS","REVIEW")</f>
        <v/>
      </c>
      <c r="E11" t="inlineStr">
        <is>
          <t>Negative theoretical right value indicates inconsistent market or subscription inputs.</t>
        </is>
      </c>
    </row>
    <row r="12">
      <c r="B12" t="inlineStr">
        <is>
          <t>Adversarial rights participation</t>
        </is>
      </c>
      <c r="C12" s="27">
        <f>'Rights Offering'!D9</f>
        <v/>
      </c>
      <c r="D12" s="27">
        <f>IF(C12&gt;=0.75,"PASS",IF(C12&gt;=0.50,"REVIEW","BREACH"))</f>
        <v/>
      </c>
      <c r="E12" t="inlineStr">
        <is>
          <t>Low participation creates rump-placement, backstop, execution, and control risk.</t>
        </is>
      </c>
    </row>
    <row r="13">
      <c r="B13" t="inlineStr">
        <is>
          <t>Converted-share reconciliation</t>
        </is>
      </c>
      <c r="C13" s="27">
        <f>'Convertible Securities'!C14-'Cap Table &amp; Dilution'!C18</f>
        <v/>
      </c>
      <c r="D13" s="27">
        <f>IF(ABS(C13)&lt;0.000001,"PASS","FAIL")</f>
        <v/>
      </c>
      <c r="E13" t="inlineStr">
        <is>
          <t>Cap table and convertible schedule must use the same principal and conversion price.</t>
        </is>
      </c>
    </row>
    <row r="14">
      <c r="B14" t="inlineStr">
        <is>
          <t>Incremental anti-dilution shares</t>
        </is>
      </c>
      <c r="C14" s="27">
        <f>'Convertible Securities'!D19</f>
        <v/>
      </c>
      <c r="D14" s="27">
        <f>IF(C14&lt;=0,"PASS","REVIEW")</f>
        <v/>
      </c>
      <c r="E14" t="inlineStr">
        <is>
          <t>Reset and anti-dilution provisions can materially expand fully diluted shares in downside cases.</t>
        </is>
      </c>
    </row>
    <row r="16">
      <c r="B16" s="2" t="inlineStr">
        <is>
          <t>Overall model status</t>
        </is>
      </c>
      <c r="C16" s="38">
        <f>IF(COUNTIF(D5:D14,"FAIL")+COUNTIF(D5:D14,"BREACH")&gt;0,"BREACH",IF(COUNTIF(D5:D14,"REVIEW")&gt;0,"REVIEW","PASS"))</f>
        <v/>
      </c>
    </row>
    <row r="18">
      <c r="B18" s="25" t="inlineStr">
        <is>
          <t>Primary decision outputs</t>
        </is>
      </c>
    </row>
    <row r="19">
      <c r="B19" t="inlineStr">
        <is>
          <t>Fully diluted shares</t>
        </is>
      </c>
      <c r="C19" s="31">
        <f>'Cap Table &amp; Dilution'!E19</f>
        <v/>
      </c>
    </row>
    <row r="20">
      <c r="B20" t="inlineStr">
        <is>
          <t>Existing-holder dilution</t>
        </is>
      </c>
      <c r="C20" s="35">
        <f>'Cap Table &amp; Dilution'!E21</f>
        <v/>
      </c>
    </row>
    <row r="21">
      <c r="B21" t="inlineStr">
        <is>
          <t>Net primary proceeds</t>
        </is>
      </c>
      <c r="C21" s="15">
        <f>'Cap Table &amp; Dilution'!E24</f>
        <v/>
      </c>
    </row>
    <row r="22">
      <c r="B22" t="inlineStr">
        <is>
          <t>Base TERP</t>
        </is>
      </c>
      <c r="C22" s="34">
        <f>'Rights Offering'!C13</f>
        <v/>
      </c>
    </row>
    <row r="23">
      <c r="B23" t="inlineStr">
        <is>
          <t>Expected net rights proceeds</t>
        </is>
      </c>
      <c r="C23" s="15">
        <f>'Rights Offering'!C19</f>
        <v/>
      </c>
    </row>
    <row r="24">
      <c r="B24" t="inlineStr">
        <is>
          <t>Contractual converted shares</t>
        </is>
      </c>
      <c r="C24" s="31">
        <f>'Convertible Securities'!C14</f>
        <v/>
      </c>
    </row>
    <row r="25">
      <c r="B25" t="inlineStr">
        <is>
          <t>Adversarial anti-dilution shares</t>
        </is>
      </c>
      <c r="C25" s="31">
        <f>'Convertible Securities'!D15</f>
        <v/>
      </c>
    </row>
    <row r="26">
      <c r="B26" t="inlineStr">
        <is>
          <t>Adversarial redemption value</t>
        </is>
      </c>
      <c r="C26" s="15">
        <f>'Convertible Securities'!D17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2">
        <f>E5*(1+Assumptions!C5)</f>
        <v/>
      </c>
      <c r="G5" s="12">
        <f>F5*(1+Assumptions!D5)</f>
        <v/>
      </c>
      <c r="H5" s="12">
        <f>G5*(1+Assumptions!E5)</f>
        <v/>
      </c>
      <c r="I5" s="12">
        <f>H5*(1+Assumptions!F5)</f>
        <v/>
      </c>
    </row>
    <row r="6">
      <c r="B6" s="4" t="inlineStr">
        <is>
          <t>Revenue growth %</t>
        </is>
      </c>
      <c r="C6" s="13" t="n"/>
      <c r="D6" s="13">
        <f>IFERROR(D5/C5-1,"-")</f>
        <v/>
      </c>
      <c r="E6" s="13">
        <f>IFERROR(E5/D5-1,"-")</f>
        <v/>
      </c>
      <c r="F6" s="13">
        <f>IFERROR(F5/E5-1,"-")</f>
        <v/>
      </c>
      <c r="G6" s="13">
        <f>IFERROR(G5/F5-1,"-")</f>
        <v/>
      </c>
      <c r="H6" s="13">
        <f>IFERROR(H5/G5-1,"-")</f>
        <v/>
      </c>
      <c r="I6" s="13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2">
        <f>F5*(1-Assumptions!C6)</f>
        <v/>
      </c>
      <c r="G7" s="12">
        <f>G5*(1-Assumptions!D6)</f>
        <v/>
      </c>
      <c r="H7" s="12">
        <f>H5*(1-Assumptions!E6)</f>
        <v/>
      </c>
      <c r="I7" s="12">
        <f>I5*(1-Assumptions!F6)</f>
        <v/>
      </c>
    </row>
    <row r="8">
      <c r="B8" s="2" t="inlineStr">
        <is>
          <t>Gross profit</t>
        </is>
      </c>
      <c r="C8" s="12" t="n"/>
      <c r="D8" s="12">
        <f>D5-D7</f>
        <v/>
      </c>
      <c r="E8" s="12">
        <f>E5-E7</f>
        <v/>
      </c>
      <c r="F8" s="12">
        <f>F5-F7</f>
        <v/>
      </c>
      <c r="G8" s="12">
        <f>G5-G7</f>
        <v/>
      </c>
      <c r="H8" s="12">
        <f>H5-H7</f>
        <v/>
      </c>
      <c r="I8" s="12">
        <f>I5-I7</f>
        <v/>
      </c>
    </row>
    <row r="9">
      <c r="B9" s="4" t="inlineStr">
        <is>
          <t>Gross margin %</t>
        </is>
      </c>
      <c r="C9" s="13" t="n"/>
      <c r="D9" s="13">
        <f>IFERROR(D8/D5,"-")</f>
        <v/>
      </c>
      <c r="E9" s="13">
        <f>IFERROR(E8/E5,"-")</f>
        <v/>
      </c>
      <c r="F9" s="13">
        <f>IFERROR(F8/F5,"-")</f>
        <v/>
      </c>
      <c r="G9" s="13">
        <f>IFERROR(G8/G5,"-")</f>
        <v/>
      </c>
      <c r="H9" s="13">
        <f>IFERROR(H8/H5,"-")</f>
        <v/>
      </c>
      <c r="I9" s="13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2">
        <f>F5*Assumptions!C7</f>
        <v/>
      </c>
      <c r="G10" s="12">
        <f>G5*Assumptions!D7</f>
        <v/>
      </c>
      <c r="H10" s="12">
        <f>H5*Assumptions!E7</f>
        <v/>
      </c>
      <c r="I10" s="12">
        <f>I5*Assumptions!F7</f>
        <v/>
      </c>
    </row>
    <row r="11">
      <c r="B11" s="2" t="inlineStr">
        <is>
          <t>EBITDA</t>
        </is>
      </c>
      <c r="C11" s="12" t="n"/>
      <c r="D11" s="12" t="n"/>
      <c r="E11" s="12" t="n"/>
      <c r="F11" s="12">
        <f>F8-F10</f>
        <v/>
      </c>
      <c r="G11" s="12">
        <f>G8-G10</f>
        <v/>
      </c>
      <c r="H11" s="12">
        <f>H8-H10</f>
        <v/>
      </c>
      <c r="I11" s="12">
        <f>I8-I10</f>
        <v/>
      </c>
    </row>
    <row r="12">
      <c r="B12" s="4" t="inlineStr">
        <is>
          <t>EBITDA margin %</t>
        </is>
      </c>
      <c r="C12" s="13" t="n"/>
      <c r="D12" s="13" t="n"/>
      <c r="E12" s="13" t="n"/>
      <c r="F12" s="13">
        <f>IFERROR(F11/F5,"-")</f>
        <v/>
      </c>
      <c r="G12" s="13">
        <f>IFERROR(G11/G5,"-")</f>
        <v/>
      </c>
      <c r="H12" s="13">
        <f>IFERROR(H11/H5,"-")</f>
        <v/>
      </c>
      <c r="I12" s="13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2">
        <f>F5*Assumptions!C10*Assumptions!C9</f>
        <v/>
      </c>
      <c r="G13" s="12">
        <f>G5*Assumptions!D10*Assumptions!D9</f>
        <v/>
      </c>
      <c r="H13" s="12">
        <f>H5*Assumptions!E10*Assumptions!E9</f>
        <v/>
      </c>
      <c r="I13" s="12">
        <f>I5*Assumptions!F10*Assumptions!F9</f>
        <v/>
      </c>
    </row>
    <row r="14">
      <c r="B14" s="2" t="inlineStr">
        <is>
          <t>EBIT</t>
        </is>
      </c>
      <c r="C14" s="12" t="n"/>
      <c r="D14" s="12" t="n"/>
      <c r="E14" s="12" t="n"/>
      <c r="F14" s="12">
        <f>F11-F13</f>
        <v/>
      </c>
      <c r="G14" s="12">
        <f>G11-G13</f>
        <v/>
      </c>
      <c r="H14" s="12">
        <f>H11-H13</f>
        <v/>
      </c>
      <c r="I14" s="12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2">
        <f>$E$15</f>
        <v/>
      </c>
      <c r="G15" s="12">
        <f>$E$15</f>
        <v/>
      </c>
      <c r="H15" s="12">
        <f>$E$15</f>
        <v/>
      </c>
      <c r="I15" s="12">
        <f>$E$15</f>
        <v/>
      </c>
    </row>
    <row r="16">
      <c r="B16" s="4" t="inlineStr">
        <is>
          <t>Pre-tax income</t>
        </is>
      </c>
      <c r="C16" s="12" t="n"/>
      <c r="D16" s="12" t="n"/>
      <c r="E16" s="12" t="n"/>
      <c r="F16" s="12">
        <f>F14-F15</f>
        <v/>
      </c>
      <c r="G16" s="12">
        <f>G14-G15</f>
        <v/>
      </c>
      <c r="H16" s="12">
        <f>H14-H15</f>
        <v/>
      </c>
      <c r="I16" s="12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2">
        <f>F16*Assumptions!C8</f>
        <v/>
      </c>
      <c r="G17" s="12">
        <f>G16*Assumptions!D8</f>
        <v/>
      </c>
      <c r="H17" s="12">
        <f>H16*Assumptions!E8</f>
        <v/>
      </c>
      <c r="I17" s="12">
        <f>I16*Assumptions!F8</f>
        <v/>
      </c>
    </row>
    <row r="18">
      <c r="B18" s="2" t="inlineStr">
        <is>
          <t>Net income</t>
        </is>
      </c>
      <c r="C18" s="12" t="n"/>
      <c r="D18" s="12" t="n"/>
      <c r="E18" s="12" t="n"/>
      <c r="F18" s="12">
        <f>F16-F17</f>
        <v/>
      </c>
      <c r="G18" s="12">
        <f>G16-G17</f>
        <v/>
      </c>
      <c r="H18" s="12">
        <f>H16-H17</f>
        <v/>
      </c>
      <c r="I18" s="12">
        <f>I16-I17</f>
        <v/>
      </c>
    </row>
    <row r="19">
      <c r="B19" s="4" t="inlineStr">
        <is>
          <t>Diluted shares</t>
        </is>
      </c>
      <c r="C19" s="12" t="n"/>
      <c r="D19" s="12" t="n"/>
      <c r="E19" s="12" t="n"/>
      <c r="F19" s="12">
        <f>Assumptions!C12</f>
        <v/>
      </c>
      <c r="G19" s="12">
        <f>Assumptions!D12</f>
        <v/>
      </c>
      <c r="H19" s="12">
        <f>Assumptions!E12</f>
        <v/>
      </c>
      <c r="I19" s="12">
        <f>Assumptions!F12</f>
        <v/>
      </c>
    </row>
    <row r="20">
      <c r="B20" s="4" t="inlineStr">
        <is>
          <t>Diluted EPS</t>
        </is>
      </c>
      <c r="C20" s="12" t="n"/>
      <c r="D20" s="12" t="n"/>
      <c r="E20" s="12" t="n"/>
      <c r="F20" s="12">
        <f>IFERROR(F18/F19,"-")</f>
        <v/>
      </c>
      <c r="G20" s="12">
        <f>IFERROR(G18/G19,"-")</f>
        <v/>
      </c>
      <c r="H20" s="12">
        <f>IFERROR(H18/H19,"-")</f>
        <v/>
      </c>
      <c r="I20" s="12">
        <f>IFERROR(I18/I19,"-")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2" t="n"/>
      <c r="D5" s="12" t="n"/>
      <c r="E5" s="12" t="n"/>
      <c r="F5" s="12" t="n"/>
      <c r="G5" s="12" t="n"/>
    </row>
    <row r="6">
      <c r="B6" s="4" t="inlineStr">
        <is>
          <t>Accounts receivable</t>
        </is>
      </c>
      <c r="C6" s="12" t="n"/>
      <c r="D6" s="12" t="n"/>
      <c r="E6" s="12" t="n"/>
      <c r="F6" s="12" t="n"/>
      <c r="G6" s="12" t="n"/>
    </row>
    <row r="7">
      <c r="B7" s="4" t="inlineStr">
        <is>
          <t>Inventory</t>
        </is>
      </c>
      <c r="C7" s="12" t="n"/>
      <c r="D7" s="12" t="n"/>
      <c r="E7" s="12" t="n"/>
      <c r="F7" s="12" t="n"/>
      <c r="G7" s="12" t="n"/>
    </row>
    <row r="8">
      <c r="B8" s="2" t="inlineStr">
        <is>
          <t>Total current assets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PP&amp;E net</t>
        </is>
      </c>
      <c r="C9" s="12" t="n"/>
      <c r="D9" s="12" t="n"/>
      <c r="E9" s="12" t="n"/>
      <c r="F9" s="12" t="n"/>
      <c r="G9" s="12" t="n"/>
    </row>
    <row r="10">
      <c r="B10" s="4" t="inlineStr">
        <is>
          <t>Goodwill &amp; intangibles</t>
        </is>
      </c>
      <c r="C10" s="12" t="n"/>
      <c r="D10" s="12" t="n"/>
      <c r="E10" s="12" t="n"/>
      <c r="F10" s="12" t="n"/>
      <c r="G10" s="12" t="n"/>
    </row>
    <row r="11">
      <c r="B11" s="2" t="inlineStr">
        <is>
          <t>Total assets</t>
        </is>
      </c>
      <c r="C11" s="12">
        <f>C8+C9+C10</f>
        <v/>
      </c>
      <c r="D11" s="12">
        <f>D8+D9+D10</f>
        <v/>
      </c>
      <c r="E11" s="12">
        <f>E8+E9+E10</f>
        <v/>
      </c>
      <c r="F11" s="12">
        <f>F8+F9+F10</f>
        <v/>
      </c>
      <c r="G11" s="12">
        <f>G8+G9+G10</f>
        <v/>
      </c>
    </row>
    <row r="12">
      <c r="B12" s="4" t="inlineStr">
        <is>
          <t>Accounts payable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Debt (current)</t>
        </is>
      </c>
      <c r="C13" s="12" t="n"/>
      <c r="D13" s="12" t="n"/>
      <c r="E13" s="12" t="n"/>
      <c r="F13" s="12" t="n"/>
      <c r="G13" s="12" t="n"/>
    </row>
    <row r="14">
      <c r="B14" s="2" t="inlineStr">
        <is>
          <t>Total current liabilities</t>
        </is>
      </c>
      <c r="C14" s="12">
        <f>C12+C13</f>
        <v/>
      </c>
      <c r="D14" s="12">
        <f>D12+D13</f>
        <v/>
      </c>
      <c r="E14" s="12">
        <f>E12+E13</f>
        <v/>
      </c>
      <c r="F14" s="12">
        <f>F12+F13</f>
        <v/>
      </c>
      <c r="G14" s="12">
        <f>G12+G13</f>
        <v/>
      </c>
    </row>
    <row r="15">
      <c r="B15" s="4" t="inlineStr">
        <is>
          <t>Long-term debt</t>
        </is>
      </c>
      <c r="C15" s="12" t="n"/>
      <c r="D15" s="12" t="n"/>
      <c r="E15" s="12" t="n"/>
      <c r="F15" s="12" t="n"/>
      <c r="G15" s="12" t="n"/>
    </row>
    <row r="16">
      <c r="B16" s="2" t="inlineStr">
        <is>
          <t>Total liabilities</t>
        </is>
      </c>
      <c r="C16" s="12">
        <f>C14+C15</f>
        <v/>
      </c>
      <c r="D16" s="12">
        <f>D14+D15</f>
        <v/>
      </c>
      <c r="E16" s="12">
        <f>E14+E15</f>
        <v/>
      </c>
      <c r="F16" s="12">
        <f>F14+F15</f>
        <v/>
      </c>
      <c r="G16" s="12">
        <f>G14+G15</f>
        <v/>
      </c>
    </row>
    <row r="17">
      <c r="B17" s="2" t="inlineStr">
        <is>
          <t>Total equity</t>
        </is>
      </c>
      <c r="C17" s="12" t="n"/>
      <c r="D17" s="12" t="n"/>
      <c r="E17" s="12" t="n"/>
      <c r="F17" s="12" t="n"/>
      <c r="G17" s="12" t="n"/>
    </row>
    <row r="19">
      <c r="B19" s="14" t="inlineStr">
        <is>
          <t>Balance check (Total assets - Total liabilities - Total equity, should = 0)</t>
        </is>
      </c>
      <c r="C19" s="15">
        <f>C11-C16-C17</f>
        <v/>
      </c>
      <c r="D19" s="15">
        <f>D11-D16-D17</f>
        <v/>
      </c>
      <c r="E19" s="15">
        <f>E11-E16-E17</f>
        <v/>
      </c>
      <c r="F19" s="15">
        <f>F11-F16-F17</f>
        <v/>
      </c>
      <c r="G19" s="15">
        <f>G11-G16-G17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2" t="n"/>
      <c r="D5" s="12" t="n"/>
      <c r="E5" s="16">
        <f>IS!F18</f>
        <v/>
      </c>
      <c r="F5" s="16">
        <f>IS!G18</f>
        <v/>
      </c>
      <c r="G5" s="16">
        <f>IS!H18</f>
        <v/>
      </c>
    </row>
    <row r="6">
      <c r="B6" s="4" t="inlineStr">
        <is>
          <t>+ D&amp;A</t>
        </is>
      </c>
      <c r="C6" s="12" t="n"/>
      <c r="D6" s="12" t="n"/>
      <c r="E6" s="16">
        <f>IS!F13</f>
        <v/>
      </c>
      <c r="F6" s="16">
        <f>IS!G13</f>
        <v/>
      </c>
      <c r="G6" s="16">
        <f>IS!H13</f>
        <v/>
      </c>
    </row>
    <row r="7">
      <c r="B7" s="4" t="inlineStr">
        <is>
          <t>+/- Change in NWC</t>
        </is>
      </c>
      <c r="C7" s="12" t="n"/>
      <c r="D7" s="12" t="n"/>
      <c r="E7" s="12" t="n"/>
      <c r="F7" s="12" t="n"/>
      <c r="G7" s="12" t="n"/>
    </row>
    <row r="8">
      <c r="B8" s="2" t="inlineStr">
        <is>
          <t>Cash flow from operations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Capex</t>
        </is>
      </c>
      <c r="C9" s="12" t="n"/>
      <c r="D9" s="12" t="n"/>
      <c r="E9" s="12" t="n"/>
      <c r="F9" s="12" t="n"/>
      <c r="G9" s="12" t="n"/>
    </row>
    <row r="10">
      <c r="B10" s="2" t="inlineStr">
        <is>
          <t>Free cash flow</t>
        </is>
      </c>
      <c r="C10" s="12">
        <f>C8+C9</f>
        <v/>
      </c>
      <c r="D10" s="12">
        <f>D8+D9</f>
        <v/>
      </c>
      <c r="E10" s="12">
        <f>E8+E9</f>
        <v/>
      </c>
      <c r="F10" s="12">
        <f>F8+F9</f>
        <v/>
      </c>
      <c r="G10" s="12">
        <f>G8+G9</f>
        <v/>
      </c>
    </row>
    <row r="11">
      <c r="B11" s="4" t="inlineStr">
        <is>
          <t>Debt issuance/(repayment)</t>
        </is>
      </c>
      <c r="C11" s="12" t="n"/>
      <c r="D11" s="12" t="n"/>
      <c r="E11" s="12" t="n"/>
      <c r="F11" s="12" t="n"/>
      <c r="G11" s="12" t="n"/>
    </row>
    <row r="12">
      <c r="B12" s="4" t="inlineStr">
        <is>
          <t>Dividends/buybacks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Net change in cash</t>
        </is>
      </c>
      <c r="C13" s="12">
        <f>C10+C11+C12</f>
        <v/>
      </c>
      <c r="D13" s="12">
        <f>D10+D11+D12</f>
        <v/>
      </c>
      <c r="E13" s="12">
        <f>E10+E11+E12</f>
        <v/>
      </c>
      <c r="F13" s="12">
        <f>F10+F11+F12</f>
        <v/>
      </c>
      <c r="G13" s="12">
        <f>G10+G11+G12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7">
        <f>IS!F14*(1-Assumptions!C8)+IS!F13-IS!F5*Assumptions!C10</f>
        <v/>
      </c>
      <c r="D5" s="17">
        <f>IS!G14*(1-Assumptions!D8)+IS!G13-IS!G5*Assumptions!D10</f>
        <v/>
      </c>
      <c r="E5" s="17">
        <f>IS!H14*(1-Assumptions!E8)+IS!H13-IS!H5*Assumptions!E10</f>
        <v/>
      </c>
      <c r="F5" s="17">
        <f>IS!I14*(1-Assumptions!F8)+IS!I13-IS!I5*Assumptions!F10</f>
        <v/>
      </c>
      <c r="G5" s="17">
        <f>F5*(1+Assumptions!G5)</f>
        <v/>
      </c>
      <c r="H5" t="inlineStr">
        <is>
          <t>WACC</t>
        </is>
      </c>
      <c r="I5" s="18" t="n">
        <v>0.1</v>
      </c>
    </row>
    <row r="6">
      <c r="B6" t="inlineStr">
        <is>
          <t>Discount factor</t>
        </is>
      </c>
      <c r="C6" s="19">
        <f>1/(1+$I$5)^(1)</f>
        <v/>
      </c>
      <c r="D6" s="19">
        <f>1/(1+$I$5)^(2)</f>
        <v/>
      </c>
      <c r="E6" s="19">
        <f>1/(1+$I$5)^(3)</f>
        <v/>
      </c>
      <c r="F6" s="19">
        <f>1/(1+$I$5)^(4)</f>
        <v/>
      </c>
      <c r="G6" s="19">
        <f>1/(1+$I$5)^(5)</f>
        <v/>
      </c>
      <c r="H6" t="inlineStr">
        <is>
          <t>Terminal growth</t>
        </is>
      </c>
      <c r="I6" s="18" t="n">
        <v>0.025</v>
      </c>
    </row>
    <row r="7">
      <c r="B7" t="inlineStr">
        <is>
          <t>PV of FCF</t>
        </is>
      </c>
      <c r="C7" s="20">
        <f>C5*C6</f>
        <v/>
      </c>
      <c r="D7" s="20">
        <f>D5*D6</f>
        <v/>
      </c>
      <c r="E7" s="20">
        <f>E5*E6</f>
        <v/>
      </c>
      <c r="F7" s="20">
        <f>F5*F6</f>
        <v/>
      </c>
      <c r="G7" s="20">
        <f>G5*G6</f>
        <v/>
      </c>
      <c r="H7" t="inlineStr">
        <is>
          <t>Terminal value</t>
        </is>
      </c>
      <c r="I7" s="20">
        <f>G5*(1+I6)/(I5-I6)</f>
        <v/>
      </c>
    </row>
    <row r="8">
      <c r="H8" t="inlineStr">
        <is>
          <t>PV of terminal value</t>
        </is>
      </c>
      <c r="I8" s="20">
        <f>I7*G6</f>
        <v/>
      </c>
    </row>
    <row r="9">
      <c r="H9" t="inlineStr">
        <is>
          <t>Sum PV of FCF</t>
        </is>
      </c>
      <c r="I9" s="20">
        <f>SUM(C7:G7)</f>
        <v/>
      </c>
    </row>
    <row r="10">
      <c r="H10" t="inlineStr">
        <is>
          <t>Enterprise value</t>
        </is>
      </c>
      <c r="I10" s="21">
        <f>I8+I9</f>
        <v/>
      </c>
    </row>
    <row r="11">
      <c r="H11" t="inlineStr">
        <is>
          <t>Less: net debt</t>
        </is>
      </c>
      <c r="I11" s="22" t="n">
        <v>0</v>
      </c>
    </row>
    <row r="12">
      <c r="H12" t="inlineStr">
        <is>
          <t>Equity value</t>
        </is>
      </c>
      <c r="I12" s="21">
        <f>I10-I11</f>
        <v/>
      </c>
    </row>
    <row r="13">
      <c r="H13" t="inlineStr">
        <is>
          <t>Diluted shares (mm)</t>
        </is>
      </c>
      <c r="I13" s="22" t="n">
        <v>1</v>
      </c>
    </row>
    <row r="14">
      <c r="H14" t="inlineStr">
        <is>
          <t>Implied value/share</t>
        </is>
      </c>
      <c r="I14" s="21">
        <f>I12/I13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3" t="n">
        <v>0</v>
      </c>
      <c r="G5" s="23" t="n">
        <v>0</v>
      </c>
      <c r="H5" s="23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3" t="n">
        <v>0</v>
      </c>
      <c r="G6" s="23" t="n">
        <v>0</v>
      </c>
      <c r="H6" s="23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3" t="n">
        <v>0</v>
      </c>
      <c r="G7" s="23" t="n">
        <v>0</v>
      </c>
      <c r="H7" s="23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3" t="n">
        <v>0</v>
      </c>
      <c r="G8" s="23" t="n">
        <v>0</v>
      </c>
      <c r="H8" s="23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3" t="n">
        <v>0</v>
      </c>
      <c r="G9" s="23" t="n">
        <v>0</v>
      </c>
      <c r="H9" s="23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3" t="n">
        <v>0</v>
      </c>
      <c r="G10" s="23" t="n">
        <v>0</v>
      </c>
      <c r="H10" s="23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3" t="n">
        <v>0</v>
      </c>
      <c r="G11" s="23" t="n">
        <v>0</v>
      </c>
      <c r="H11" s="23" t="n">
        <v>0</v>
      </c>
    </row>
    <row r="13">
      <c r="B13" s="2" t="inlineStr">
        <is>
          <t>Median</t>
        </is>
      </c>
      <c r="C13" s="21">
        <f>MEDIAN(C5:C12)</f>
        <v/>
      </c>
      <c r="D13" s="21">
        <f>MEDIAN(D5:D12)</f>
        <v/>
      </c>
      <c r="E13" s="21">
        <f>MEDIAN(E5:E12)</f>
        <v/>
      </c>
      <c r="F13" s="24">
        <f>MEDIAN(F5:F12)</f>
        <v/>
      </c>
      <c r="G13" s="24">
        <f>MEDIAN(G5:G12)</f>
        <v/>
      </c>
      <c r="H13" s="24">
        <f>MEDIAN(H5:H12)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5" t="inlineStr">
        <is>
          <t>WACC \ Term. growth</t>
        </is>
      </c>
      <c r="C4" s="26" t="n">
        <v>0.015</v>
      </c>
      <c r="D4" s="26" t="n">
        <v>0.02</v>
      </c>
      <c r="E4" s="26" t="n">
        <v>0.025</v>
      </c>
      <c r="F4" s="26" t="n">
        <v>0.03</v>
      </c>
      <c r="G4" s="26" t="n">
        <v>0.035</v>
      </c>
    </row>
    <row r="5">
      <c r="B5" s="26" t="n">
        <v>0.08</v>
      </c>
      <c r="C5" s="14" t="inlineStr">
        <is>
          <t>[data table — Excel What-If Analysis]</t>
        </is>
      </c>
      <c r="D5" s="14" t="inlineStr">
        <is>
          <t>[data table — Excel What-If Analysis]</t>
        </is>
      </c>
      <c r="E5" s="14" t="inlineStr">
        <is>
          <t>[data table — Excel What-If Analysis]</t>
        </is>
      </c>
      <c r="F5" s="14" t="inlineStr">
        <is>
          <t>[data table — Excel What-If Analysis]</t>
        </is>
      </c>
      <c r="G5" s="14" t="inlineStr">
        <is>
          <t>[data table — Excel What-If Analysis]</t>
        </is>
      </c>
    </row>
    <row r="6">
      <c r="B6" s="26" t="n">
        <v>0.09</v>
      </c>
      <c r="C6" s="14" t="inlineStr">
        <is>
          <t>[data table — Excel What-If Analysis]</t>
        </is>
      </c>
      <c r="D6" s="14" t="inlineStr">
        <is>
          <t>[data table — Excel What-If Analysis]</t>
        </is>
      </c>
      <c r="E6" s="14" t="inlineStr">
        <is>
          <t>[data table — Excel What-If Analysis]</t>
        </is>
      </c>
      <c r="F6" s="14" t="inlineStr">
        <is>
          <t>[data table — Excel What-If Analysis]</t>
        </is>
      </c>
      <c r="G6" s="14" t="inlineStr">
        <is>
          <t>[data table — Excel What-If Analysis]</t>
        </is>
      </c>
    </row>
    <row r="7">
      <c r="B7" s="26" t="n">
        <v>0.1</v>
      </c>
      <c r="C7" s="14" t="inlineStr">
        <is>
          <t>[data table — Excel What-If Analysis]</t>
        </is>
      </c>
      <c r="D7" s="14" t="inlineStr">
        <is>
          <t>[data table — Excel What-If Analysis]</t>
        </is>
      </c>
      <c r="E7" s="14" t="inlineStr">
        <is>
          <t>[data table — Excel What-If Analysis]</t>
        </is>
      </c>
      <c r="F7" s="14" t="inlineStr">
        <is>
          <t>[data table — Excel What-If Analysis]</t>
        </is>
      </c>
      <c r="G7" s="14" t="inlineStr">
        <is>
          <t>[data table — Excel What-If Analysis]</t>
        </is>
      </c>
    </row>
    <row r="8">
      <c r="B8" s="26" t="n">
        <v>0.11</v>
      </c>
      <c r="C8" s="14" t="inlineStr">
        <is>
          <t>[data table — Excel What-If Analysis]</t>
        </is>
      </c>
      <c r="D8" s="14" t="inlineStr">
        <is>
          <t>[data table — Excel What-If Analysis]</t>
        </is>
      </c>
      <c r="E8" s="14" t="inlineStr">
        <is>
          <t>[data table — Excel What-If Analysis]</t>
        </is>
      </c>
      <c r="F8" s="14" t="inlineStr">
        <is>
          <t>[data table — Excel What-If Analysis]</t>
        </is>
      </c>
      <c r="G8" s="14" t="inlineStr">
        <is>
          <t>[data table — Excel What-If Analysis]</t>
        </is>
      </c>
    </row>
    <row r="9">
      <c r="B9" s="26" t="n">
        <v>0.12</v>
      </c>
      <c r="C9" s="14" t="inlineStr">
        <is>
          <t>[data table — Excel What-If Analysis]</t>
        </is>
      </c>
      <c r="D9" s="14" t="inlineStr">
        <is>
          <t>[data table — Excel What-If Analysis]</t>
        </is>
      </c>
      <c r="E9" s="14" t="inlineStr">
        <is>
          <t>[data table — Excel What-If Analysis]</t>
        </is>
      </c>
      <c r="F9" s="14" t="inlineStr">
        <is>
          <t>[data table — Excel What-If Analysis]</t>
        </is>
      </c>
      <c r="G9" s="14" t="inlineStr">
        <is>
          <t>[data table — Excel What-If Analysis]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7" t="n"/>
      <c r="C5" s="27" t="n"/>
      <c r="D5" s="27" t="n"/>
      <c r="E5" s="27" t="n"/>
      <c r="F5" s="27" t="n"/>
    </row>
    <row r="6">
      <c r="B6" s="27" t="n"/>
      <c r="C6" s="27" t="n"/>
      <c r="D6" s="27" t="n"/>
      <c r="E6" s="27" t="n"/>
      <c r="F6" s="27" t="n"/>
    </row>
    <row r="7">
      <c r="B7" s="27" t="n"/>
      <c r="C7" s="27" t="n"/>
      <c r="D7" s="27" t="n"/>
      <c r="E7" s="27" t="n"/>
      <c r="F7" s="27" t="n"/>
    </row>
    <row r="8">
      <c r="B8" s="27" t="n"/>
      <c r="C8" s="27" t="n"/>
      <c r="D8" s="27" t="n"/>
      <c r="E8" s="27" t="n"/>
      <c r="F8" s="27" t="n"/>
    </row>
    <row r="9">
      <c r="B9" s="27" t="n"/>
      <c r="C9" s="27" t="n"/>
      <c r="D9" s="27" t="n"/>
      <c r="E9" s="27" t="n"/>
      <c r="F9" s="27" t="n"/>
    </row>
    <row r="10">
      <c r="B10" s="27" t="n"/>
      <c r="C10" s="27" t="n"/>
      <c r="D10" s="27" t="n"/>
      <c r="E10" s="27" t="n"/>
      <c r="F10" s="27" t="n"/>
    </row>
    <row r="11">
      <c r="B11" s="27" t="n"/>
      <c r="C11" s="27" t="n"/>
      <c r="D11" s="27" t="n"/>
      <c r="E11" s="27" t="n"/>
      <c r="F11" s="27" t="n"/>
    </row>
    <row r="12">
      <c r="B12" s="27" t="n"/>
      <c r="C12" s="27" t="n"/>
      <c r="D12" s="27" t="n"/>
      <c r="E12" s="27" t="n"/>
      <c r="F12" s="27" t="n"/>
    </row>
    <row r="13">
      <c r="B13" s="27" t="n"/>
      <c r="C13" s="27" t="n"/>
      <c r="D13" s="27" t="n"/>
      <c r="E13" s="27" t="n"/>
      <c r="F13" s="27" t="n"/>
    </row>
    <row r="14">
      <c r="B14" s="27" t="n"/>
      <c r="C14" s="27" t="n"/>
      <c r="D14" s="27" t="n"/>
      <c r="E14" s="27" t="n"/>
      <c r="F14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2026-08-05T22:48:46Z</dcterms:modified>
</cp:coreProperties>
</file>