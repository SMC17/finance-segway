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Loan Portfolio" sheetId="5" state="visible" r:id="rId5"/>
    <sheet xmlns:r="http://schemas.openxmlformats.org/officeDocument/2006/relationships" name="Portfolio Rollforward" sheetId="6" state="visible" r:id="rId6"/>
    <sheet xmlns:r="http://schemas.openxmlformats.org/officeDocument/2006/relationships" name="Sustainability" sheetId="7" state="visible" r:id="rId7"/>
    <sheet xmlns:r="http://schemas.openxmlformats.org/officeDocument/2006/relationships" name="Funding &amp; Liquidity" sheetId="8" state="visible" r:id="rId8"/>
    <sheet xmlns:r="http://schemas.openxmlformats.org/officeDocument/2006/relationships" name="Client &amp; Conduct" sheetId="9" state="visible" r:id="rId9"/>
    <sheet xmlns:r="http://schemas.openxmlformats.org/officeDocument/2006/relationships" name="Decision &amp; Checks" sheetId="10" state="visible" r:id="rId10"/>
    <sheet xmlns:r="http://schemas.openxmlformats.org/officeDocument/2006/relationships" name="Provisioning" sheetId="11" state="visible" r:id="rId11"/>
    <sheet xmlns:r="http://schemas.openxmlformats.org/officeDocument/2006/relationships" name="Growth &amp; Productivity" sheetId="12" state="visible" r:id="rId12"/>
    <sheet xmlns:r="http://schemas.openxmlformats.org/officeDocument/2006/relationships" name="RefreshLog" sheetId="13" state="visible" r:id="rId13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#,##0;(#,##0);&quot;-&quot;"/>
    <numFmt numFmtId="166" formatCode="0.0%;(0.0%);&quot;-&quot;"/>
    <numFmt numFmtId="167" formatCode="0.0x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808080"/>
      <sz val="8"/>
    </font>
    <font>
      <name val="Arial"/>
      <b val="1"/>
      <color rgb="00FFFFFF"/>
      <sz val="11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1" pivotButton="0" quotePrefix="0" xfId="0"/>
    <xf numFmtId="165" fontId="3" fillId="2" borderId="1" pivotButton="0" quotePrefix="0" xfId="0"/>
    <xf numFmtId="0" fontId="2" fillId="3" borderId="0" pivotButton="0" quotePrefix="0" xfId="0"/>
    <xf numFmtId="166" fontId="0" fillId="0" borderId="1" pivotButton="0" quotePrefix="0" xfId="0"/>
    <xf numFmtId="164" fontId="0" fillId="0" borderId="1" pivotButton="0" quotePrefix="0" xfId="0"/>
    <xf numFmtId="166" fontId="2" fillId="0" borderId="1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166" fontId="3" fillId="0" borderId="1" pivotButton="0" quotePrefix="0" xfId="0"/>
    <xf numFmtId="164" fontId="2" fillId="0" borderId="1" pivotButton="0" quotePrefix="0" xfId="0"/>
    <xf numFmtId="166" fontId="2" fillId="2" borderId="1" pivotButton="0" quotePrefix="0" xfId="0"/>
    <xf numFmtId="164" fontId="7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166" fontId="3" fillId="2" borderId="1" pivotButton="0" quotePrefix="0" xfId="0"/>
    <xf numFmtId="167" fontId="3" fillId="2" borderId="1" pivotButton="0" quotePrefix="0" xfId="0"/>
    <xf numFmtId="167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[MFI] — Microfinance Model</t>
        </is>
      </c>
    </row>
    <row r="4">
      <c r="B4" s="2" t="inlineStr">
        <is>
          <t>Institution:</t>
        </is>
      </c>
      <c r="C4" s="3" t="inlineStr">
        <is>
          <t>[fill in]</t>
        </is>
      </c>
    </row>
    <row r="5">
      <c r="B5" s="2" t="inlineStr">
        <is>
          <t>Region:</t>
        </is>
      </c>
      <c r="C5" s="3" t="inlineStr">
        <is>
          <t>[fill in]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Refresh cadence:</t>
        </is>
      </c>
      <c r="C7" s="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4" t="inlineStr">
        <is>
          <t>Microfinance — Institutional Decision Surface</t>
        </is>
      </c>
    </row>
    <row r="4">
      <c r="B4" s="25" t="inlineStr">
        <is>
          <t>Model ID</t>
        </is>
      </c>
      <c r="C4" s="26" t="inlineStr">
        <is>
          <t>11</t>
        </is>
      </c>
    </row>
    <row r="5">
      <c r="B5" s="25" t="inlineStr">
        <is>
          <t>Domain</t>
        </is>
      </c>
      <c r="C5" s="26" t="inlineStr">
        <is>
          <t>Microfinance</t>
        </is>
      </c>
    </row>
    <row r="6">
      <c r="B6" s="25" t="inlineStr">
        <is>
          <t>Declared maturity</t>
        </is>
      </c>
      <c r="C6" s="26" t="inlineStr">
        <is>
          <t>M2</t>
        </is>
      </c>
    </row>
    <row r="7">
      <c r="B7" s="25" t="inlineStr">
        <is>
          <t>Canonical builder</t>
        </is>
      </c>
      <c r="C7" s="26" t="inlineStr">
        <is>
          <t>tools/builders/build_microfinance_release.py</t>
        </is>
      </c>
    </row>
    <row r="8">
      <c r="B8" s="25" t="inlineStr">
        <is>
          <t>Decision arena</t>
        </is>
      </c>
      <c r="C8" s="26" t="inlineStr">
        <is>
          <t>credit, field operations, treasury, social-performance committee and regulator</t>
        </is>
      </c>
    </row>
    <row r="9">
      <c r="B9" s="25" t="inlineStr">
        <is>
          <t>Committee artifact</t>
        </is>
      </c>
      <c r="C9" s="26" t="inlineStr">
        <is>
          <t>portfolio quality and sustainability pack</t>
        </is>
      </c>
    </row>
    <row r="10">
      <c r="B10" s="25" t="inlineStr">
        <is>
          <t>Operating cadence</t>
        </is>
      </c>
      <c r="C10" s="26" t="inlineStr">
        <is>
          <t>weekly collections; monthly portfolio; quarterly board</t>
        </is>
      </c>
    </row>
    <row r="12">
      <c r="B12" s="27" t="inlineStr">
        <is>
          <t>Key decision outputs</t>
        </is>
      </c>
    </row>
    <row r="13">
      <c r="B13" s="28" t="inlineStr">
        <is>
          <t>#</t>
        </is>
      </c>
      <c r="C13" s="28" t="inlineStr">
        <is>
          <t>Requirement</t>
        </is>
      </c>
      <c r="D13" s="28" t="inlineStr">
        <is>
          <t>Owner</t>
        </is>
      </c>
      <c r="E13" s="28" t="inlineStr">
        <is>
          <t>Evidence / location</t>
        </is>
      </c>
      <c r="F13" s="28" t="inlineStr">
        <is>
          <t>Status</t>
        </is>
      </c>
    </row>
    <row r="14">
      <c r="B14" t="n">
        <v>1</v>
      </c>
      <c r="C14" t="inlineStr">
        <is>
          <t>PAR30 / PAR90 and vintage loss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roll rates and cure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operational and financial self-sufficiency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7" t="inlineStr">
        <is>
          <t>Insider questions</t>
        </is>
      </c>
    </row>
    <row r="21">
      <c r="B21" s="28" t="inlineStr">
        <is>
          <t>#</t>
        </is>
      </c>
      <c r="C21" s="28" t="inlineStr">
        <is>
          <t>Requirement</t>
        </is>
      </c>
      <c r="D21" s="28" t="inlineStr">
        <is>
          <t>Owner</t>
        </is>
      </c>
      <c r="E21" s="28" t="inlineStr">
        <is>
          <t>Evidence / location</t>
        </is>
      </c>
      <c r="F21" s="28" t="inlineStr">
        <is>
          <t>Status</t>
        </is>
      </c>
    </row>
    <row r="22">
      <c r="B22" t="n">
        <v>1</v>
      </c>
      <c r="C22" t="inlineStr">
        <is>
          <t>What behavior signals rescheduling versus cure?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branches are growing faster than controls?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How much borrower debt sits outside the institution?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7" t="inlineStr">
        <is>
          <t>Scenario families</t>
        </is>
      </c>
    </row>
    <row r="29">
      <c r="B29" s="28" t="inlineStr">
        <is>
          <t>#</t>
        </is>
      </c>
      <c r="C29" s="28" t="inlineStr">
        <is>
          <t>Requirement</t>
        </is>
      </c>
      <c r="D29" s="28" t="inlineStr">
        <is>
          <t>Owner</t>
        </is>
      </c>
      <c r="E29" s="28" t="inlineStr">
        <is>
          <t>Evidence / location</t>
        </is>
      </c>
      <c r="F29" s="28" t="inlineStr">
        <is>
          <t>Status</t>
        </is>
      </c>
    </row>
    <row r="30">
      <c r="B30" t="n">
        <v>1</v>
      </c>
      <c r="C30" t="inlineStr">
        <is>
          <t>delinquency migration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collection disruption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currency devaluation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7" t="inlineStr">
        <is>
          <t>Primary diligence documents</t>
        </is>
      </c>
    </row>
    <row r="37">
      <c r="B37" s="28" t="inlineStr">
        <is>
          <t>#</t>
        </is>
      </c>
      <c r="C37" s="28" t="inlineStr">
        <is>
          <t>Requirement</t>
        </is>
      </c>
      <c r="D37" s="28" t="inlineStr">
        <is>
          <t>Owner</t>
        </is>
      </c>
      <c r="E37" s="28" t="inlineStr">
        <is>
          <t>Evidence / location</t>
        </is>
      </c>
      <c r="F37" s="28" t="inlineStr">
        <is>
          <t>Status</t>
        </is>
      </c>
    </row>
    <row r="38">
      <c r="B38" t="n">
        <v>1</v>
      </c>
      <c r="C38" t="inlineStr">
        <is>
          <t>loan tape and repayment schedule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branch / officer performance reports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funding agreements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7" t="inlineStr">
        <is>
          <t>Challenge tests</t>
        </is>
      </c>
    </row>
    <row r="45">
      <c r="B45" s="28" t="inlineStr">
        <is>
          <t>#</t>
        </is>
      </c>
      <c r="C45" s="28" t="inlineStr">
        <is>
          <t>Requirement</t>
        </is>
      </c>
      <c r="D45" s="28" t="inlineStr">
        <is>
          <t>Owner</t>
        </is>
      </c>
      <c r="E45" s="28" t="inlineStr">
        <is>
          <t>Evidence / location</t>
        </is>
      </c>
      <c r="F45" s="28" t="inlineStr">
        <is>
          <t>Status</t>
        </is>
      </c>
    </row>
    <row r="46">
      <c r="B46" t="n">
        <v>1</v>
      </c>
      <c r="C46" t="inlineStr">
        <is>
          <t>portfolio roll-forward balances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PAR denominators consistent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write-offs do not erase vintage history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7" t="inlineStr">
        <is>
          <t>Known failure modes</t>
        </is>
      </c>
    </row>
    <row r="53">
      <c r="B53" s="28" t="inlineStr">
        <is>
          <t>#</t>
        </is>
      </c>
      <c r="C53" s="28" t="inlineStr">
        <is>
          <t>Requirement</t>
        </is>
      </c>
      <c r="D53" s="28" t="inlineStr">
        <is>
          <t>Owner</t>
        </is>
      </c>
      <c r="E53" s="28" t="inlineStr">
        <is>
          <t>Evidence / location</t>
        </is>
      </c>
      <c r="F53" s="28" t="inlineStr">
        <is>
          <t>Status</t>
        </is>
      </c>
    </row>
    <row r="54">
      <c r="B54" t="n">
        <v>1</v>
      </c>
      <c r="C54" t="inlineStr">
        <is>
          <t>evergreening delinquent loans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portfolio yield without cash realization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masking officer / branch concentration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7" t="inlineStr">
        <is>
          <t>Regulatory / methodological anchors</t>
        </is>
      </c>
    </row>
    <row r="61">
      <c r="B61" s="28" t="inlineStr">
        <is>
          <t>Standard</t>
        </is>
      </c>
      <c r="C61" s="28" t="inlineStr">
        <is>
          <t>Scope</t>
        </is>
      </c>
      <c r="D61" s="28" t="inlineStr">
        <is>
          <t>Source URL</t>
        </is>
      </c>
      <c r="E61" s="28" t="inlineStr">
        <is>
          <t>Applicability</t>
        </is>
      </c>
      <c r="F61" s="2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FASB CECL</t>
        </is>
      </c>
      <c r="C63" t="inlineStr">
        <is>
          <t>lifetime expected credit loss</t>
        </is>
      </c>
      <c r="D63" t="inlineStr">
        <is>
          <t>https://www.fasb.org/page/PageContent?pageId=/projects/recentlycompleted/credit-losses.html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4" t="inlineStr">
        <is>
          <t>Independent Challenge, Override and Closure Log</t>
        </is>
      </c>
    </row>
    <row r="4">
      <c r="B4" s="28" t="inlineStr">
        <is>
          <t>Date</t>
        </is>
      </c>
      <c r="C4" s="28" t="inlineStr">
        <is>
          <t>Reviewer</t>
        </is>
      </c>
      <c r="D4" s="28" t="inlineStr">
        <is>
          <t>Challenge</t>
        </is>
      </c>
      <c r="E4" s="28" t="inlineStr">
        <is>
          <t>Owner response</t>
        </is>
      </c>
      <c r="F4" s="28" t="inlineStr">
        <is>
          <t>Evidence</t>
        </is>
      </c>
      <c r="G4" s="28" t="inlineStr">
        <is>
          <t>Impact</t>
        </is>
      </c>
      <c r="H4" s="28" t="inlineStr">
        <is>
          <t>Status</t>
        </is>
      </c>
      <c r="I4" s="28" t="inlineStr">
        <is>
          <t>Closure</t>
        </is>
      </c>
    </row>
    <row r="5">
      <c r="B5" t="inlineStr"/>
      <c r="C5" t="inlineStr"/>
      <c r="D5" t="inlineStr">
        <is>
          <t>portfolio roll-forward balances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PAR denominators consistent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write-offs do not erase vintage history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4" t="inlineStr">
        <is>
          <t>Source, Transformation, Ownership and Refresh Map</t>
        </is>
      </c>
    </row>
    <row r="4">
      <c r="B4" s="28" t="inlineStr">
        <is>
          <t>Source class</t>
        </is>
      </c>
      <c r="C4" s="28" t="inlineStr">
        <is>
          <t>Cadence</t>
        </is>
      </c>
      <c r="D4" s="28" t="inlineStr">
        <is>
          <t>Control</t>
        </is>
      </c>
      <c r="E4" s="28" t="inlineStr">
        <is>
          <t>System / provider</t>
        </is>
      </c>
      <c r="F4" s="28" t="inlineStr">
        <is>
          <t>As-of</t>
        </is>
      </c>
      <c r="G4" s="28" t="inlineStr">
        <is>
          <t>Owner</t>
        </is>
      </c>
      <c r="H4" s="28" t="inlineStr">
        <is>
          <t>Transform</t>
        </is>
      </c>
      <c r="I4" s="28" t="inlineStr">
        <is>
          <t>Downstream</t>
        </is>
      </c>
      <c r="J4" s="28" t="inlineStr">
        <is>
          <t>Status</t>
        </is>
      </c>
    </row>
    <row r="5">
      <c r="B5" t="inlineStr">
        <is>
          <t>loan-level collections</t>
        </is>
      </c>
      <c r="C5" t="inlineStr">
        <is>
          <t>daily/weekly</t>
        </is>
      </c>
      <c r="D5" t="inlineStr">
        <is>
          <t>cash and mobile-money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portfolio tape</t>
        </is>
      </c>
      <c r="C6" t="inlineStr">
        <is>
          <t>monthly</t>
        </is>
      </c>
      <c r="D6" t="inlineStr">
        <is>
          <t>borrower and group identifiers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Loan Portfolio Overview</t>
        </is>
      </c>
    </row>
    <row r="5">
      <c r="B5" s="4" t="inlineStr">
        <is>
          <t>Gross loan portfolio (GLP, $)</t>
        </is>
      </c>
      <c r="C5" s="5" t="n">
        <v>0</v>
      </c>
    </row>
    <row r="6">
      <c r="B6" s="4" t="inlineStr">
        <is>
          <t>Number of active borrowers</t>
        </is>
      </c>
      <c r="C6" s="6" t="n">
        <v>0</v>
      </c>
    </row>
    <row r="7">
      <c r="B7" s="4" t="inlineStr">
        <is>
          <t>Portfolio at risk &gt;30 days ($)</t>
        </is>
      </c>
      <c r="C7" s="5" t="n">
        <v>0</v>
      </c>
    </row>
    <row r="8">
      <c r="B8" s="4" t="inlineStr">
        <is>
          <t>Portfolio at risk &gt;90 days ($)</t>
        </is>
      </c>
      <c r="C8" s="5" t="n">
        <v>0</v>
      </c>
    </row>
    <row r="9">
      <c r="B9" s="4" t="inlineStr">
        <is>
          <t>Write-offs this period ($)</t>
        </is>
      </c>
      <c r="C9" s="5" t="n">
        <v>0</v>
      </c>
    </row>
    <row r="10">
      <c r="B10" s="4" t="inlineStr">
        <is>
          <t>Average loan balance ($)</t>
        </is>
      </c>
      <c r="C10" s="5" t="n">
        <v>0</v>
      </c>
    </row>
    <row r="12">
      <c r="B12" s="7" t="inlineStr">
        <is>
          <t>Portfolio Quality</t>
        </is>
      </c>
    </row>
    <row r="13">
      <c r="B13" t="inlineStr">
        <is>
          <t>PAR 30 %</t>
        </is>
      </c>
      <c r="C13" s="8">
        <f>IFERROR(C7/C5,"-")</f>
        <v/>
      </c>
    </row>
    <row r="14">
      <c r="B14" t="inlineStr">
        <is>
          <t>PAR 90 %</t>
        </is>
      </c>
      <c r="C14" s="8">
        <f>IFERROR(C8/C5,"-")</f>
        <v/>
      </c>
    </row>
    <row r="15">
      <c r="B15" t="inlineStr">
        <is>
          <t>Write-off ratio (period)</t>
        </is>
      </c>
      <c r="C15" s="8">
        <f>IFERROR(C9/C5,"-")</f>
        <v/>
      </c>
    </row>
    <row r="16">
      <c r="B16" t="inlineStr">
        <is>
          <t>Avg loan / borrower check</t>
        </is>
      </c>
      <c r="C16" s="9">
        <f>IFERROR(C5/C6,"-")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2">
      <c r="B2" s="1" t="inlineStr">
        <is>
          <t>Gross Loan Portfolio Rollforward and Restructuring</t>
        </is>
      </c>
    </row>
    <row r="3">
      <c r="B3" t="inlineStr">
        <is>
          <t>Active scenario</t>
        </is>
      </c>
      <c r="C3" s="19" t="inlineStr">
        <is>
          <t>Base</t>
        </is>
      </c>
    </row>
    <row r="4">
      <c r="B4" s="12" t="inlineStr">
        <is>
          <t>Metric</t>
        </is>
      </c>
      <c r="C4" s="12" t="inlineStr">
        <is>
          <t>Base</t>
        </is>
      </c>
      <c r="D4" s="12" t="inlineStr">
        <is>
          <t>Downside</t>
        </is>
      </c>
      <c r="E4" s="12" t="inlineStr">
        <is>
          <t>Active</t>
        </is>
      </c>
      <c r="F4" s="12" t="inlineStr">
        <is>
          <t>Interpretation</t>
        </is>
      </c>
    </row>
    <row r="5">
      <c r="B5" t="inlineStr">
        <is>
          <t>Beginning gross loan portfolio</t>
        </is>
      </c>
      <c r="C5" s="5" t="n">
        <v>100</v>
      </c>
      <c r="D5" s="5" t="n">
        <v>100</v>
      </c>
      <c r="E5" s="9">
        <f>IF($C$3="Downside",D5,C5)</f>
        <v/>
      </c>
      <c r="F5" t="inlineStr">
        <is>
          <t>opening principal balance</t>
        </is>
      </c>
    </row>
    <row r="6">
      <c r="B6" t="inlineStr">
        <is>
          <t>Disbursements</t>
        </is>
      </c>
      <c r="C6" s="5" t="n">
        <v>50</v>
      </c>
      <c r="D6" s="5" t="n">
        <v>10</v>
      </c>
      <c r="E6" s="9">
        <f>IF($C$3="Downside",D6,C6)</f>
        <v/>
      </c>
      <c r="F6" t="inlineStr">
        <is>
          <t>new principal advanced</t>
        </is>
      </c>
    </row>
    <row r="7">
      <c r="B7" t="inlineStr">
        <is>
          <t>Principal collections</t>
        </is>
      </c>
      <c r="C7" s="5" t="n">
        <v>45</v>
      </c>
      <c r="D7" s="5" t="n">
        <v>20</v>
      </c>
      <c r="E7" s="9">
        <f>IF($C$3="Downside",D7,C7)</f>
        <v/>
      </c>
      <c r="F7" t="inlineStr">
        <is>
          <t>cash principal received</t>
        </is>
      </c>
    </row>
    <row r="8">
      <c r="B8" t="inlineStr">
        <is>
          <t>Write-offs</t>
        </is>
      </c>
      <c r="C8" s="5" t="n">
        <v>2</v>
      </c>
      <c r="D8" s="5" t="n">
        <v>8</v>
      </c>
      <c r="E8" s="9">
        <f>IF($C$3="Downside",D8,C8)</f>
        <v/>
      </c>
      <c r="F8" t="inlineStr">
        <is>
          <t>principal removed under policy</t>
        </is>
      </c>
    </row>
    <row r="9">
      <c r="B9" t="inlineStr">
        <is>
          <t>PAR &gt;30 balance</t>
        </is>
      </c>
      <c r="C9" s="5" t="n">
        <v>5</v>
      </c>
      <c r="D9" s="5" t="n">
        <v>35</v>
      </c>
      <c r="E9" s="9">
        <f>IF($C$3="Downside",D9,C9)</f>
        <v/>
      </c>
      <c r="F9" t="inlineStr">
        <is>
          <t>outstanding balance past due over 30 days</t>
        </is>
      </c>
    </row>
    <row r="10">
      <c r="B10" t="inlineStr">
        <is>
          <t>PAR &gt;90 balance</t>
        </is>
      </c>
      <c r="C10" s="5" t="n">
        <v>2</v>
      </c>
      <c r="D10" s="5" t="n">
        <v>20</v>
      </c>
      <c r="E10" s="9">
        <f>IF($C$3="Downside",D10,C10)</f>
        <v/>
      </c>
      <c r="F10" t="inlineStr">
        <is>
          <t>subset past due over 90 days</t>
        </is>
      </c>
    </row>
    <row r="11">
      <c r="B11" t="inlineStr">
        <is>
          <t>Restructured / rescheduled balance</t>
        </is>
      </c>
      <c r="C11" s="5" t="n">
        <v>1</v>
      </c>
      <c r="D11" s="5" t="n">
        <v>15</v>
      </c>
      <c r="E11" s="9">
        <f>IF($C$3="Downside",D11,C11)</f>
        <v/>
      </c>
      <c r="F11" t="inlineStr">
        <is>
          <t>modified loans tracked separately</t>
        </is>
      </c>
    </row>
    <row r="12">
      <c r="B12" t="inlineStr">
        <is>
          <t>Credit-risk warning ratio</t>
        </is>
      </c>
      <c r="C12" s="20" t="n">
        <v>0.15</v>
      </c>
      <c r="D12" s="20" t="n">
        <v>0.15</v>
      </c>
      <c r="E12" s="8">
        <f>IF($C$3="Downside",D12,C12)</f>
        <v/>
      </c>
      <c r="F12" t="inlineStr">
        <is>
          <t>PAR30 + write-offs + restructures / portfolio</t>
        </is>
      </c>
    </row>
    <row r="15">
      <c r="B15" s="7" t="inlineStr">
        <is>
          <t>Derived outputs</t>
        </is>
      </c>
    </row>
    <row r="16">
      <c r="B16" t="inlineStr">
        <is>
          <t>Ending gross loan portfolio</t>
        </is>
      </c>
      <c r="E16" s="9">
        <f>E5+E6-E7-E8</f>
        <v/>
      </c>
    </row>
    <row r="17">
      <c r="B17" t="inlineStr">
        <is>
          <t>PAR 30</t>
        </is>
      </c>
      <c r="E17" s="8">
        <f>IFERROR(E9/E16,0)</f>
        <v/>
      </c>
    </row>
    <row r="18">
      <c r="B18" t="inlineStr">
        <is>
          <t>PAR 90</t>
        </is>
      </c>
      <c r="E18" s="8">
        <f>IFERROR(E10/E16,0)</f>
        <v/>
      </c>
    </row>
    <row r="19">
      <c r="B19" t="inlineStr">
        <is>
          <t>Write-off ratio</t>
        </is>
      </c>
      <c r="E19" s="8">
        <f>IFERROR(E8/AVERAGE(E5,E16),0)</f>
        <v/>
      </c>
    </row>
    <row r="20">
      <c r="B20" t="inlineStr">
        <is>
          <t>Restructured ratio</t>
        </is>
      </c>
      <c r="E20" s="8">
        <f>IFERROR(E11/E16,0)</f>
        <v/>
      </c>
    </row>
    <row r="21">
      <c r="B21" t="inlineStr">
        <is>
          <t>Composite credit-risk ratio</t>
        </is>
      </c>
      <c r="E21" s="8">
        <f>E17+E19+E20</f>
        <v/>
      </c>
    </row>
    <row r="23">
      <c r="B23" s="11" t="inlineStr">
        <is>
          <t>PAR and write-offs use outstanding balances and policy definitions; restructures remain visible rather than being treated as cured delinquency.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0" customWidth="1" min="4" max="4"/>
  </cols>
  <sheetData>
    <row r="2">
      <c r="B2" s="1" t="inlineStr">
        <is>
          <t>Operational &amp; Financial Self-Sufficiency (OSS/FSS)</t>
        </is>
      </c>
    </row>
    <row r="4">
      <c r="B4" s="7" t="inlineStr">
        <is>
          <t>Inputs</t>
        </is>
      </c>
    </row>
    <row r="5">
      <c r="B5" s="4" t="inlineStr">
        <is>
          <t>Financial revenue (interest + fees, $)</t>
        </is>
      </c>
      <c r="C5" s="5" t="n">
        <v>0</v>
      </c>
    </row>
    <row r="6">
      <c r="B6" s="4" t="inlineStr">
        <is>
          <t>Financial expense (cost of funds, $)</t>
        </is>
      </c>
      <c r="C6" s="5" t="n">
        <v>0</v>
      </c>
    </row>
    <row r="7">
      <c r="B7" s="4" t="inlineStr">
        <is>
          <t>Loan loss provision expense ($)</t>
        </is>
      </c>
      <c r="C7" s="5" t="n">
        <v>0</v>
      </c>
    </row>
    <row r="8">
      <c r="B8" s="4" t="inlineStr">
        <is>
          <t>Operating expense ($)</t>
        </is>
      </c>
      <c r="C8" s="5" t="n">
        <v>0</v>
      </c>
    </row>
    <row r="9">
      <c r="B9" s="4" t="inlineStr">
        <is>
          <t>Cost of capital at market rate (imputed, $)</t>
        </is>
      </c>
      <c r="C9" s="5" t="n">
        <v>0</v>
      </c>
    </row>
    <row r="11">
      <c r="B11" s="7" t="inlineStr">
        <is>
          <t>Outputs</t>
        </is>
      </c>
    </row>
    <row r="12">
      <c r="B12" t="inlineStr">
        <is>
          <t>Operational Self-Sufficiency (OSS) = Rev / (Fin exp + Loss prov + Opex)</t>
        </is>
      </c>
      <c r="C12" s="10">
        <f>IFERROR(C5/(C6+C7+C8),"-")</f>
        <v/>
      </c>
      <c r="D12" s="11" t="inlineStr">
        <is>
          <t>&gt;100% = covering costs from operations, not subsidy-dependent</t>
        </is>
      </c>
    </row>
    <row r="13">
      <c r="B13" t="inlineStr">
        <is>
          <t>Financial Self-Sufficiency (FSS) = Rev / (Fin exp + Loss prov + Opex + imputed cost of capital)</t>
        </is>
      </c>
      <c r="C13" s="10">
        <f>IFERROR(C5/(C6+C7+C8+C9),"-")</f>
        <v/>
      </c>
      <c r="D13" s="11" t="inlineStr">
        <is>
          <t>Stricter than OSS — adjusts for subsidized funding cost vs. commercial rate</t>
        </is>
      </c>
    </row>
    <row r="14">
      <c r="B14" t="inlineStr">
        <is>
          <t>Portfolio yield (Rev / avg GLP)</t>
        </is>
      </c>
      <c r="C14" s="8">
        <f>IFERROR(C5/'Loan Portfolio'!C5,"-")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Funding Concentration, Maturity, and 30-Day Liquidity</t>
        </is>
      </c>
    </row>
    <row r="4">
      <c r="B4" s="12" t="inlineStr">
        <is>
          <t>Metric</t>
        </is>
      </c>
      <c r="C4" s="12" t="inlineStr">
        <is>
          <t>Base</t>
        </is>
      </c>
      <c r="D4" s="12" t="inlineStr">
        <is>
          <t>Downside</t>
        </is>
      </c>
      <c r="E4" s="12" t="inlineStr">
        <is>
          <t>Control / interpretation</t>
        </is>
      </c>
    </row>
    <row r="5">
      <c r="B5" t="inlineStr">
        <is>
          <t>Liquid assets</t>
        </is>
      </c>
      <c r="C5" s="5" t="n">
        <v>12</v>
      </c>
      <c r="D5" s="5" t="n">
        <v>4</v>
      </c>
      <c r="E5" t="inlineStr">
        <is>
          <t>unrestricted cash and near-cash assets</t>
        </is>
      </c>
    </row>
    <row r="6">
      <c r="B6" t="inlineStr">
        <is>
          <t>Committed undrawn funding</t>
        </is>
      </c>
      <c r="C6" s="5" t="n">
        <v>8</v>
      </c>
      <c r="D6" s="5" t="n">
        <v>2</v>
      </c>
      <c r="E6" t="inlineStr">
        <is>
          <t>available under enforceable facilities</t>
        </is>
      </c>
    </row>
    <row r="7">
      <c r="B7" t="inlineStr">
        <is>
          <t>Thirty-day contractual outflows</t>
        </is>
      </c>
      <c r="C7" s="5" t="n">
        <v>15</v>
      </c>
      <c r="D7" s="5" t="n">
        <v>18</v>
      </c>
      <c r="E7" t="inlineStr">
        <is>
          <t>debt, operating, and disbursement obligations</t>
        </is>
      </c>
    </row>
    <row r="8">
      <c r="B8" t="inlineStr">
        <is>
          <t>Largest funding provider balance</t>
        </is>
      </c>
      <c r="C8" s="5" t="n">
        <v>20</v>
      </c>
      <c r="D8" s="5" t="n">
        <v>35</v>
      </c>
      <c r="E8" t="inlineStr">
        <is>
          <t>single-provider exposure</t>
        </is>
      </c>
    </row>
    <row r="9">
      <c r="B9" t="inlineStr">
        <is>
          <t>Total wholesale / institutional funding</t>
        </is>
      </c>
      <c r="C9" s="5" t="n">
        <v>80</v>
      </c>
      <c r="D9" s="5" t="n">
        <v>70</v>
      </c>
      <c r="E9" t="inlineStr">
        <is>
          <t>denominator for concentration</t>
        </is>
      </c>
    </row>
    <row r="10">
      <c r="B10" t="inlineStr">
        <is>
          <t>Minimum liquidity coverage</t>
        </is>
      </c>
      <c r="C10" s="21" t="n">
        <v>1.1</v>
      </c>
      <c r="D10" s="21" t="n">
        <v>1.1</v>
      </c>
      <c r="E10" t="inlineStr">
        <is>
          <t>liquid assets plus committed funding / outflows</t>
        </is>
      </c>
    </row>
    <row r="11">
      <c r="B11" t="inlineStr">
        <is>
          <t>Maximum provider concentration</t>
        </is>
      </c>
      <c r="C11" s="20" t="n">
        <v>0.3</v>
      </c>
      <c r="D11" s="20" t="n">
        <v>0.3</v>
      </c>
      <c r="E11" t="inlineStr">
        <is>
          <t>largest provider / total institutional funding</t>
        </is>
      </c>
    </row>
    <row r="14">
      <c r="B14" t="inlineStr">
        <is>
          <t>Liquidity coverage</t>
        </is>
      </c>
      <c r="C14" s="22">
        <f>IFERROR((C5+C6)/C7,0)</f>
        <v/>
      </c>
      <c r="D14" s="22">
        <f>IFERROR((D5+D6)/D7,0)</f>
        <v/>
      </c>
    </row>
    <row r="15">
      <c r="B15" t="inlineStr">
        <is>
          <t>Funding gap</t>
        </is>
      </c>
      <c r="C15" s="9">
        <f>C5+C6-C7</f>
        <v/>
      </c>
      <c r="D15" s="9">
        <f>D5+D6-D7</f>
        <v/>
      </c>
    </row>
    <row r="16">
      <c r="B16" t="inlineStr">
        <is>
          <t>Largest provider concentration</t>
        </is>
      </c>
      <c r="C16" s="8">
        <f>IFERROR(C8/C9,0)</f>
        <v/>
      </c>
      <c r="D16" s="8">
        <f>IFERROR(D8/D9,0)</f>
        <v/>
      </c>
    </row>
    <row r="17">
      <c r="B17" t="inlineStr">
        <is>
          <t>Base status</t>
        </is>
      </c>
      <c r="C17" s="18">
        <f>IF(AND(C14&gt;=C10,C16&lt;=C11),"PASS","BREACH")</f>
        <v/>
      </c>
      <c r="D17" s="18" t="n"/>
    </row>
    <row r="18">
      <c r="B18" t="inlineStr">
        <is>
          <t>Downside status</t>
        </is>
      </c>
      <c r="C18" s="18">
        <f>IF(AND(D14&gt;=D10,D16&lt;=D11),"PASS","BREACH")</f>
        <v/>
      </c>
      <c r="D18" s="1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Client Affordability, Pricing Transparency, and Conduct Controls</t>
        </is>
      </c>
    </row>
    <row r="4">
      <c r="B4" s="12" t="inlineStr">
        <is>
          <t>Metric / control</t>
        </is>
      </c>
      <c r="C4" s="12" t="inlineStr">
        <is>
          <t>Input</t>
        </is>
      </c>
      <c r="D4" s="12" t="inlineStr">
        <is>
          <t>Status</t>
        </is>
      </c>
      <c r="E4" s="12" t="inlineStr">
        <is>
          <t>Evidence / action</t>
        </is>
      </c>
    </row>
    <row r="5">
      <c r="B5" t="inlineStr">
        <is>
          <t>Median borrower monthly income</t>
        </is>
      </c>
      <c r="C5" s="5" t="n">
        <v>250</v>
      </c>
      <c r="D5" s="18">
        <f>IF(C5&gt;0,"PASS","BREACH")</f>
        <v/>
      </c>
      <c r="E5" t="inlineStr">
        <is>
          <t>document source and update cadence</t>
        </is>
      </c>
    </row>
    <row r="6">
      <c r="B6" t="inlineStr">
        <is>
          <t>Median monthly debt service</t>
        </is>
      </c>
      <c r="C6" s="5" t="n">
        <v>35</v>
      </c>
      <c r="D6" s="18">
        <f>IF(C6/C5&lt;=0.30,"PASS","REVIEW")</f>
        <v/>
      </c>
      <c r="E6" t="inlineStr">
        <is>
          <t>review repayment capacity and household cash-flow volatility</t>
        </is>
      </c>
    </row>
    <row r="7">
      <c r="B7" t="inlineStr">
        <is>
          <t>Effective annualized borrower cost</t>
        </is>
      </c>
      <c r="C7" s="20" t="n">
        <v>0.28</v>
      </c>
      <c r="D7" s="18">
        <f>IF(C7&lt;=0.40,"PASS","REVIEW")</f>
        <v/>
      </c>
      <c r="E7" t="inlineStr">
        <is>
          <t>include interest, compulsory savings, fees, insurance, and transaction costs</t>
        </is>
      </c>
    </row>
    <row r="8">
      <c r="B8" t="inlineStr">
        <is>
          <t>Clients with multiple active lenders (%)</t>
        </is>
      </c>
      <c r="C8" s="20" t="n">
        <v>0.15</v>
      </c>
      <c r="D8" s="18">
        <f>IF(C8&lt;=0.25,"PASS","REVIEW")</f>
        <v/>
      </c>
      <c r="E8" t="inlineStr">
        <is>
          <t>monitor over-indebtedness and bureau/data limitations</t>
        </is>
      </c>
    </row>
    <row r="9">
      <c r="B9" t="inlineStr">
        <is>
          <t>Complaints closed within approved SLA (%)</t>
        </is>
      </c>
      <c r="C9" s="20" t="n">
        <v>0.95</v>
      </c>
      <c r="D9" s="18">
        <f>IF(C9&gt;=0.90,"PASS","REVIEW")</f>
        <v/>
      </c>
      <c r="E9" t="inlineStr">
        <is>
          <t>retain complaint taxonomy, root cause, and remediation</t>
        </is>
      </c>
    </row>
    <row r="10">
      <c r="B10" t="inlineStr">
        <is>
          <t>Restructures receiving affordability reassessment (%)</t>
        </is>
      </c>
      <c r="C10" s="20" t="n">
        <v>1</v>
      </c>
      <c r="D10" s="18">
        <f>IF(C10=1,"PASS","BREACH")</f>
        <v/>
      </c>
      <c r="E10" t="inlineStr">
        <is>
          <t>1.0 means every restructure is reassessed and documented</t>
        </is>
      </c>
    </row>
    <row r="12">
      <c r="B12" s="11" t="inlineStr">
        <is>
          <t>These controls expose borrower harm and conduct risk; they are not a claim that a single universal affordability or pricing threshold applies across jurisdictions.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Microfinance Decision Dashboard and Independent Checks</t>
        </is>
      </c>
    </row>
    <row r="4">
      <c r="B4" s="12" t="inlineStr">
        <is>
          <t>Check / decision</t>
        </is>
      </c>
      <c r="C4" s="12" t="inlineStr">
        <is>
          <t>Metric</t>
        </is>
      </c>
      <c r="D4" s="12" t="inlineStr">
        <is>
          <t>Status</t>
        </is>
      </c>
      <c r="E4" s="12" t="inlineStr">
        <is>
          <t>Interpretation / action</t>
        </is>
      </c>
    </row>
    <row r="5">
      <c r="B5" t="inlineStr">
        <is>
          <t>Portfolio rollforward residual</t>
        </is>
      </c>
      <c r="C5" s="18">
        <f>'Portfolio Rollforward'!E16-('Portfolio Rollforward'!E5+'Portfolio Rollforward'!E6-'Portfolio Rollforward'!E7-'Portfolio Rollforward'!E8)</f>
        <v/>
      </c>
      <c r="D5" s="18">
        <f>IF(ABS(C5)&lt;0.01,"PASS","FAIL")</f>
        <v/>
      </c>
      <c r="E5" t="inlineStr">
        <is>
          <t>Ending portfolio must conserve across disbursements, collections, and write-offs.</t>
        </is>
      </c>
    </row>
    <row r="6">
      <c r="B6" t="inlineStr">
        <is>
          <t>PAR ordering</t>
        </is>
      </c>
      <c r="C6" s="18">
        <f>'Portfolio Rollforward'!E17-'Portfolio Rollforward'!E18</f>
        <v/>
      </c>
      <c r="D6" s="18">
        <f>IF(C6&gt;=-0.000001,"PASS","FAIL")</f>
        <v/>
      </c>
      <c r="E6" t="inlineStr">
        <is>
          <t>PAR90 must remain a subset of PAR30.</t>
        </is>
      </c>
    </row>
    <row r="7">
      <c r="B7" t="inlineStr">
        <is>
          <t>Composite credit-risk ratio</t>
        </is>
      </c>
      <c r="C7" s="18">
        <f>'Portfolio Rollforward'!E21</f>
        <v/>
      </c>
      <c r="D7" s="18">
        <f>IF(C7&lt;='Portfolio Rollforward'!E12,"PASS","BREACH")</f>
        <v/>
      </c>
      <c r="E7" t="inlineStr">
        <is>
          <t>Escalate delinquency, restructures, and write-offs together rather than separately.</t>
        </is>
      </c>
    </row>
    <row r="8">
      <c r="B8" t="inlineStr">
        <is>
          <t>Reserve tie residual</t>
        </is>
      </c>
      <c r="C8" s="18">
        <f>'Provisioning'!C9-'Loan Portfolio'!C5</f>
        <v/>
      </c>
      <c r="D8" s="18">
        <f>IF(OR(NOT(ISNUMBER(C8)),ABS(C8)&lt;0.01),"PASS","FAIL")</f>
        <v/>
      </c>
      <c r="E8" t="inlineStr">
        <is>
          <t>Aging buckets must tie to the reported gross loan portfolio.</t>
        </is>
      </c>
    </row>
    <row r="9">
      <c r="B9" t="inlineStr">
        <is>
          <t>Reserve adequacy</t>
        </is>
      </c>
      <c r="C9" s="18">
        <f>'Provisioning'!C13</f>
        <v/>
      </c>
      <c r="D9" s="18">
        <f>IF(NOT(ISNUMBER(C9)),"REVIEW",IF(C9&gt;=1,"PASS","BREACH"))</f>
        <v/>
      </c>
      <c r="E9" t="inlineStr">
        <is>
          <t>Actual reserves must cover the modeled policy requirement.</t>
        </is>
      </c>
    </row>
    <row r="10">
      <c r="B10" t="inlineStr">
        <is>
          <t>Operational self-sufficiency</t>
        </is>
      </c>
      <c r="C10" s="18">
        <f>'Sustainability'!C12</f>
        <v/>
      </c>
      <c r="D10" s="18">
        <f>IF(NOT(ISNUMBER(C10)),"REVIEW",IF(C10&gt;=1,"PASS","BREACH"))</f>
        <v/>
      </c>
      <c r="E10" t="inlineStr">
        <is>
          <t>OSS below 100% indicates operating dependence on subsidy or capital support.</t>
        </is>
      </c>
    </row>
    <row r="11">
      <c r="B11" t="inlineStr">
        <is>
          <t>Financial self-sufficiency</t>
        </is>
      </c>
      <c r="C11" s="18">
        <f>'Sustainability'!C13</f>
        <v/>
      </c>
      <c r="D11" s="18">
        <f>IF(NOT(ISNUMBER(C11)),"REVIEW",IF(C11&gt;=1,"PASS","BREACH"))</f>
        <v/>
      </c>
      <c r="E11" t="inlineStr">
        <is>
          <t>FSS also adjusts for subsidized funding and capital costs.</t>
        </is>
      </c>
    </row>
    <row r="12">
      <c r="B12" t="inlineStr">
        <is>
          <t>Downside funding gap</t>
        </is>
      </c>
      <c r="C12" s="18">
        <f>'Funding &amp; Liquidity'!D15</f>
        <v/>
      </c>
      <c r="D12" s="18">
        <f>IF(C12&gt;=0,"PASS","BREACH")</f>
        <v/>
      </c>
      <c r="E12" t="inlineStr">
        <is>
          <t>A negative 30-day gap requires committed funding, slower disbursement, or contingency liquidity.</t>
        </is>
      </c>
    </row>
    <row r="13">
      <c r="B13" t="inlineStr">
        <is>
          <t>Conduct-control exceptions</t>
        </is>
      </c>
      <c r="C13" s="18">
        <f>COUNTIF('Client &amp; Conduct'!D5:D10,"&lt;&gt;PASS")</f>
        <v/>
      </c>
      <c r="D13" s="18">
        <f>IF(C13=0,"PASS","REVIEW")</f>
        <v/>
      </c>
      <c r="E13" t="inlineStr">
        <is>
          <t>Growth and sustainability do not override affordability or conduct failures.</t>
        </is>
      </c>
    </row>
    <row r="15">
      <c r="B15" s="2" t="inlineStr">
        <is>
          <t>Overall model status</t>
        </is>
      </c>
      <c r="C15" s="23">
        <f>IF(COUNTIF(D5:D13,"FAIL")+COUNTIF(D5:D13,"BREACH")&gt;0,"BREACH",IF(COUNTIF(D5:D13,"REVIEW")&gt;0,"REVIEW","PASS"))</f>
        <v/>
      </c>
    </row>
    <row r="17">
      <c r="B17" s="7" t="inlineStr">
        <is>
          <t>Primary decision outputs</t>
        </is>
      </c>
    </row>
    <row r="18">
      <c r="B18" t="inlineStr">
        <is>
          <t>Ending gross loan portfolio</t>
        </is>
      </c>
      <c r="C18" s="9">
        <f>'Portfolio Rollforward'!E16</f>
        <v/>
      </c>
    </row>
    <row r="19">
      <c r="B19" t="inlineStr">
        <is>
          <t>PAR 30</t>
        </is>
      </c>
      <c r="C19" s="8">
        <f>'Portfolio Rollforward'!E17</f>
        <v/>
      </c>
    </row>
    <row r="20">
      <c r="B20" t="inlineStr">
        <is>
          <t>Write-off ratio</t>
        </is>
      </c>
      <c r="C20" s="8">
        <f>'Portfolio Rollforward'!E19</f>
        <v/>
      </c>
    </row>
    <row r="21">
      <c r="B21" t="inlineStr">
        <is>
          <t>OSS</t>
        </is>
      </c>
      <c r="C21" s="8">
        <f>'Sustainability'!C12</f>
        <v/>
      </c>
    </row>
    <row r="22">
      <c r="B22" t="inlineStr">
        <is>
          <t>FSS</t>
        </is>
      </c>
      <c r="C22" s="8">
        <f>'Sustainability'!C13</f>
        <v/>
      </c>
    </row>
    <row r="23">
      <c r="B23" t="inlineStr">
        <is>
          <t>Downside funding gap</t>
        </is>
      </c>
      <c r="C23" s="9">
        <f>'Funding &amp; Liquidity'!D15</f>
        <v/>
      </c>
    </row>
    <row r="24">
      <c r="B24" t="inlineStr">
        <is>
          <t>Reserve adequacy</t>
        </is>
      </c>
      <c r="C24" s="8">
        <f>'Provisioning'!C13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4" customWidth="1" min="4" max="4"/>
    <col width="16" customWidth="1" min="5" max="5"/>
    <col width="40" customWidth="1" min="6" max="6"/>
  </cols>
  <sheetData>
    <row r="2">
      <c r="B2" s="1" t="inlineStr">
        <is>
          <t>Loan Loss Reserve Adequacy (days-past-due tiering)</t>
        </is>
      </c>
    </row>
    <row r="4">
      <c r="B4" s="12" t="inlineStr">
        <is>
          <t>Aging bucket</t>
        </is>
      </c>
      <c r="C4" s="12" t="inlineStr">
        <is>
          <t>Outstanding balance ($)</t>
        </is>
      </c>
      <c r="D4" s="12" t="inlineStr">
        <is>
          <t>Reserve rate</t>
        </is>
      </c>
      <c r="E4" s="12" t="inlineStr">
        <is>
          <t>Required reserve ($)</t>
        </is>
      </c>
    </row>
    <row r="5">
      <c r="B5" s="4" t="inlineStr">
        <is>
          <t>Current (0-30 days)</t>
        </is>
      </c>
      <c r="C5" s="5" t="n">
        <v>0</v>
      </c>
      <c r="D5" s="13" t="n">
        <v>0.01</v>
      </c>
      <c r="E5" s="9">
        <f>C5*D5</f>
        <v/>
      </c>
    </row>
    <row r="6">
      <c r="B6" s="4" t="inlineStr">
        <is>
          <t>31-90 days</t>
        </is>
      </c>
      <c r="C6" s="5" t="n">
        <v>0</v>
      </c>
      <c r="D6" s="13" t="n">
        <v>0.1</v>
      </c>
      <c r="E6" s="9">
        <f>C6*D6</f>
        <v/>
      </c>
    </row>
    <row r="7">
      <c r="B7" s="4" t="inlineStr">
        <is>
          <t>91-180 days</t>
        </is>
      </c>
      <c r="C7" s="5" t="n">
        <v>0</v>
      </c>
      <c r="D7" s="13" t="n">
        <v>0.5</v>
      </c>
      <c r="E7" s="9">
        <f>C7*D7</f>
        <v/>
      </c>
    </row>
    <row r="8">
      <c r="B8" s="4" t="inlineStr">
        <is>
          <t>180+ days / written off pending</t>
        </is>
      </c>
      <c r="C8" s="5" t="n">
        <v>0</v>
      </c>
      <c r="D8" s="13" t="n">
        <v>1</v>
      </c>
      <c r="E8" s="9">
        <f>C8*D8</f>
        <v/>
      </c>
    </row>
    <row r="9">
      <c r="B9" s="2" t="inlineStr">
        <is>
          <t>Total outstanding portfolio</t>
        </is>
      </c>
      <c r="C9" s="14">
        <f>SUM(C5:C8)</f>
        <v/>
      </c>
    </row>
    <row r="10">
      <c r="B10" s="2" t="inlineStr">
        <is>
          <t>Total required reserve (sum of tiers)</t>
        </is>
      </c>
      <c r="E10" s="14">
        <f>SUM(E5:E8)</f>
        <v/>
      </c>
    </row>
    <row r="12">
      <c r="B12" t="inlineStr">
        <is>
          <t>Actual reserve held ($)</t>
        </is>
      </c>
      <c r="C12" s="5" t="n">
        <v>0</v>
      </c>
    </row>
    <row r="13">
      <c r="B13" t="inlineStr">
        <is>
          <t>Reserve adequacy (actual / required)</t>
        </is>
      </c>
      <c r="C13" s="15">
        <f>IFERROR(C12/E10,"-")</f>
        <v/>
      </c>
      <c r="D13" s="11" t="inlineStr">
        <is>
          <t>&lt;100% = under-reserved relative to portfolio risk profile — review provisioning policy</t>
        </is>
      </c>
    </row>
    <row r="14">
      <c r="B14" t="inlineStr">
        <is>
          <t>Cross-check vs Loan Portfolio tab (should tie to GLP)</t>
        </is>
      </c>
      <c r="C14" s="16">
        <f>IFERROR(C9-'Loan Portfolio'!C5,"-")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40" customWidth="1" min="4" max="4"/>
  </cols>
  <sheetData>
    <row r="2">
      <c r="B2" s="1" t="inlineStr">
        <is>
          <t>Growth &amp; Loan Officer Productivity</t>
        </is>
      </c>
    </row>
    <row r="4">
      <c r="B4" s="7" t="inlineStr">
        <is>
          <t>Inputs</t>
        </is>
      </c>
    </row>
    <row r="5">
      <c r="B5" s="4" t="inlineStr">
        <is>
          <t>Active borrowers — prior period</t>
        </is>
      </c>
      <c r="C5" s="6" t="n">
        <v>0</v>
      </c>
    </row>
    <row r="6">
      <c r="B6" s="4" t="inlineStr">
        <is>
          <t>Active borrowers — current period</t>
        </is>
      </c>
      <c r="C6" s="6" t="n">
        <v>0</v>
      </c>
    </row>
    <row r="7">
      <c r="B7" s="4" t="inlineStr">
        <is>
          <t>New disbursements this period ($)</t>
        </is>
      </c>
      <c r="C7" s="5" t="n">
        <v>0</v>
      </c>
    </row>
    <row r="8">
      <c r="B8" s="4" t="inlineStr">
        <is>
          <t>Number of loan officers</t>
        </is>
      </c>
      <c r="C8" s="6" t="n">
        <v>0</v>
      </c>
    </row>
    <row r="10">
      <c r="B10" s="7" t="inlineStr">
        <is>
          <t>Outputs</t>
        </is>
      </c>
    </row>
    <row r="11">
      <c r="B11" t="inlineStr">
        <is>
          <t>Borrower growth rate (period over period)</t>
        </is>
      </c>
      <c r="C11" s="8">
        <f>IFERROR((C6-C5)/C5,"-")</f>
        <v/>
      </c>
    </row>
    <row r="12">
      <c r="B12" t="inlineStr">
        <is>
          <t>Borrowers per loan officer (caseload)</t>
        </is>
      </c>
      <c r="C12" s="17">
        <f>IFERROR(C6/C8,"-")</f>
        <v/>
      </c>
      <c r="D12" s="11" t="inlineStr">
        <is>
          <t>Typical sustainable caseload benchmark: 250-400 borrowers/officer, group-lending-dependent</t>
        </is>
      </c>
    </row>
    <row r="13">
      <c r="B13" t="inlineStr">
        <is>
          <t>Disbursement per active borrower ($, avg)</t>
        </is>
      </c>
      <c r="C13" s="9">
        <f>IFERROR(C7/C6,"-")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12" t="inlineStr">
        <is>
          <t>Date</t>
        </is>
      </c>
      <c r="C4" s="12" t="inlineStr">
        <is>
          <t>Trigger</t>
        </is>
      </c>
      <c r="D4" s="12" t="inlineStr">
        <is>
          <t>What changed</t>
        </is>
      </c>
      <c r="E4" s="12" t="inlineStr">
        <is>
          <t>Reviewer notes</t>
        </is>
      </c>
      <c r="F4" s="12" t="inlineStr">
        <is>
          <t>Next check</t>
        </is>
      </c>
    </row>
    <row r="5">
      <c r="B5" s="18" t="n"/>
      <c r="C5" s="18" t="n"/>
      <c r="D5" s="18" t="n"/>
      <c r="E5" s="18" t="n"/>
      <c r="F5" s="18" t="n"/>
    </row>
    <row r="6">
      <c r="B6" s="18" t="n"/>
      <c r="C6" s="18" t="n"/>
      <c r="D6" s="18" t="n"/>
      <c r="E6" s="18" t="n"/>
      <c r="F6" s="18" t="n"/>
    </row>
    <row r="7">
      <c r="B7" s="18" t="n"/>
      <c r="C7" s="18" t="n"/>
      <c r="D7" s="18" t="n"/>
      <c r="E7" s="18" t="n"/>
      <c r="F7" s="18" t="n"/>
    </row>
    <row r="8">
      <c r="B8" s="18" t="n"/>
      <c r="C8" s="18" t="n"/>
      <c r="D8" s="18" t="n"/>
      <c r="E8" s="18" t="n"/>
      <c r="F8" s="18" t="n"/>
    </row>
    <row r="9">
      <c r="B9" s="18" t="n"/>
      <c r="C9" s="18" t="n"/>
      <c r="D9" s="18" t="n"/>
      <c r="E9" s="18" t="n"/>
      <c r="F9" s="18" t="n"/>
    </row>
    <row r="10">
      <c r="B10" s="18" t="n"/>
      <c r="C10" s="18" t="n"/>
      <c r="D10" s="18" t="n"/>
      <c r="E10" s="18" t="n"/>
      <c r="F10" s="18" t="n"/>
    </row>
    <row r="11">
      <c r="B11" s="18" t="n"/>
      <c r="C11" s="18" t="n"/>
      <c r="D11" s="18" t="n"/>
      <c r="E11" s="18" t="n"/>
      <c r="F11" s="18" t="n"/>
    </row>
    <row r="12">
      <c r="B12" s="18" t="n"/>
      <c r="C12" s="18" t="n"/>
      <c r="D12" s="18" t="n"/>
      <c r="E12" s="18" t="n"/>
      <c r="F12" s="18" t="n"/>
    </row>
    <row r="13">
      <c r="B13" s="18" t="n"/>
      <c r="C13" s="18" t="n"/>
      <c r="D13" s="18" t="n"/>
      <c r="E13" s="18" t="n"/>
      <c r="F13" s="18" t="n"/>
    </row>
    <row r="14">
      <c r="B14" s="18" t="n"/>
      <c r="C14" s="18" t="n"/>
      <c r="D14" s="18" t="n"/>
      <c r="E14" s="18" t="n"/>
      <c r="F1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2026-08-05T22:48:47Z</dcterms:created>
  <dcterms:modified xmlns:dcterms="http://purl.org/dc/terms/" xmlns:xsi="http://www.w3.org/2001/XMLSchema-instance" xsi:type="dcterms:W3CDTF">2026-08-05T22:48:47Z</dcterms:modified>
</cp:coreProperties>
</file>