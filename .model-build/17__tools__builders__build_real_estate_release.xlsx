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Property Pro Forma" sheetId="5" state="visible" r:id="rId5"/>
    <sheet xmlns:r="http://schemas.openxmlformats.org/officeDocument/2006/relationships" name="Lease Roll" sheetId="6" state="visible" r:id="rId6"/>
    <sheet xmlns:r="http://schemas.openxmlformats.org/officeDocument/2006/relationships" name="Cap Rate &amp; Valuation" sheetId="7" state="visible" r:id="rId7"/>
    <sheet xmlns:r="http://schemas.openxmlformats.org/officeDocument/2006/relationships" name="Debt Schedule" sheetId="8" state="visible" r:id="rId8"/>
    <sheet xmlns:r="http://schemas.openxmlformats.org/officeDocument/2006/relationships" name="REIT FFO-AFFO" sheetId="9" state="visible" r:id="rId9"/>
    <sheet xmlns:r="http://schemas.openxmlformats.org/officeDocument/2006/relationships" name="Decision &amp; Checks" sheetId="10" state="visible" r:id="rId10"/>
    <sheet xmlns:r="http://schemas.openxmlformats.org/officeDocument/2006/relationships" name="5-Year Hold &amp; IRR" sheetId="11" state="visible" r:id="rId11"/>
    <sheet xmlns:r="http://schemas.openxmlformats.org/officeDocument/2006/relationships" name="RefreshLog" sheetId="12" state="visible" r:id="rId12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;($#,##0);&quot;-&quot;"/>
    <numFmt numFmtId="165" formatCode="0.0%;(0.0%);&quot;-&quot;"/>
    <numFmt numFmtId="166" formatCode="#,##0;(#,##0);&quot;-&quot;"/>
    <numFmt numFmtId="167" formatCode="$#,##0.00;($#,##0.00);&quot;-&quot;"/>
    <numFmt numFmtId="168" formatCode="0.0x"/>
    <numFmt numFmtId="169" formatCode="0.0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1" pivotButton="0" quotePrefix="0" xfId="0"/>
    <xf numFmtId="164" fontId="4" fillId="0" borderId="1" pivotButton="0" quotePrefix="0" xfId="0"/>
    <xf numFmtId="164" fontId="2" fillId="0" borderId="1" pivotButton="0" quotePrefix="0" xfId="0"/>
    <xf numFmtId="164" fontId="5" fillId="0" borderId="1" pivotButton="0" quotePrefix="0" xfId="0"/>
    <xf numFmtId="165" fontId="3" fillId="2" borderId="1" pivotButton="0" quotePrefix="0" xfId="0"/>
    <xf numFmtId="165" fontId="0" fillId="0" borderId="1" pivotButton="0" quotePrefix="0" xfId="0"/>
    <xf numFmtId="0" fontId="6" fillId="0" borderId="0" pivotButton="0" quotePrefix="0" xfId="0"/>
    <xf numFmtId="166" fontId="3" fillId="0" borderId="1" pivotButton="0" quotePrefix="0" xfId="0"/>
    <xf numFmtId="167" fontId="0" fillId="0" borderId="1" pivotButton="0" quotePrefix="0" xfId="0"/>
    <xf numFmtId="0" fontId="2" fillId="3" borderId="0" pivotButton="0" quotePrefix="0" xfId="0"/>
    <xf numFmtId="165" fontId="3" fillId="0" borderId="1" pivotButton="0" quotePrefix="0" xfId="0"/>
    <xf numFmtId="0" fontId="7" fillId="4" borderId="0" applyAlignment="1" pivotButton="0" quotePrefix="0" xfId="0">
      <alignment horizontal="center"/>
    </xf>
    <xf numFmtId="164" fontId="0" fillId="0" borderId="1" pivotButton="0" quotePrefix="0" xfId="0"/>
    <xf numFmtId="168" fontId="0" fillId="2" borderId="1" pivotButton="0" quotePrefix="0" xfId="0"/>
    <xf numFmtId="165" fontId="2" fillId="2" borderId="1" pivotButton="0" quotePrefix="0" xfId="0"/>
    <xf numFmtId="168" fontId="2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9" fontId="3" fillId="2" borderId="1" pivotButton="0" quotePrefix="0" xfId="0"/>
    <xf numFmtId="166" fontId="3" fillId="2" borderId="1" pivotButton="0" quotePrefix="0" xfId="0"/>
    <xf numFmtId="168" fontId="3" fillId="2" borderId="1" pivotButton="0" quotePrefix="0" xfId="0"/>
    <xf numFmtId="168" fontId="0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[PROPERTY/REIT] — Real Estate Model</t>
        </is>
      </c>
    </row>
    <row r="4">
      <c r="B4" s="2" t="inlineStr">
        <is>
          <t>Property type:</t>
        </is>
      </c>
      <c r="C4" s="3" t="inlineStr">
        <is>
          <t>Office / Multifamily / Industrial / Retail</t>
        </is>
      </c>
    </row>
    <row r="5">
      <c r="B5" s="2" t="inlineStr">
        <is>
          <t>Location:</t>
        </is>
      </c>
      <c r="C5" s="3" t="inlineStr">
        <is>
          <t>[fill in]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Refresh cadence:</t>
        </is>
      </c>
      <c r="C7" s="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8" t="inlineStr">
        <is>
          <t>Real Estate &amp; REIT — Institutional Decision Surface</t>
        </is>
      </c>
    </row>
    <row r="4">
      <c r="B4" s="29" t="inlineStr">
        <is>
          <t>Model ID</t>
        </is>
      </c>
      <c r="C4" s="30" t="inlineStr">
        <is>
          <t>17</t>
        </is>
      </c>
    </row>
    <row r="5">
      <c r="B5" s="29" t="inlineStr">
        <is>
          <t>Domain</t>
        </is>
      </c>
      <c r="C5" s="30" t="inlineStr">
        <is>
          <t>Real Estate &amp; REIT</t>
        </is>
      </c>
    </row>
    <row r="6">
      <c r="B6" s="29" t="inlineStr">
        <is>
          <t>Declared maturity</t>
        </is>
      </c>
      <c r="C6" s="30" t="inlineStr">
        <is>
          <t>M2</t>
        </is>
      </c>
    </row>
    <row r="7">
      <c r="B7" s="29" t="inlineStr">
        <is>
          <t>Canonical builder</t>
        </is>
      </c>
      <c r="C7" s="30" t="inlineStr">
        <is>
          <t>tools/builders/build_real_estate_release.py</t>
        </is>
      </c>
    </row>
    <row r="8">
      <c r="B8" s="29" t="inlineStr">
        <is>
          <t>Decision arena</t>
        </is>
      </c>
      <c r="C8" s="30" t="inlineStr">
        <is>
          <t>acquisitions, asset management, leasing, lender and investment committee</t>
        </is>
      </c>
    </row>
    <row r="9">
      <c r="B9" s="29" t="inlineStr">
        <is>
          <t>Committee artifact</t>
        </is>
      </c>
      <c r="C9" s="30" t="inlineStr">
        <is>
          <t>asset underwriting and business-plan pack</t>
        </is>
      </c>
    </row>
    <row r="10">
      <c r="B10" s="29" t="inlineStr">
        <is>
          <t>Operating cadence</t>
        </is>
      </c>
      <c r="C10" s="30" t="inlineStr">
        <is>
          <t>monthly asset management; quarterly valuation; annual plan</t>
        </is>
      </c>
    </row>
    <row r="12">
      <c r="B12" s="31" t="inlineStr">
        <is>
          <t>Key decision outputs</t>
        </is>
      </c>
    </row>
    <row r="13">
      <c r="B13" s="32" t="inlineStr">
        <is>
          <t>#</t>
        </is>
      </c>
      <c r="C13" s="32" t="inlineStr">
        <is>
          <t>Requirement</t>
        </is>
      </c>
      <c r="D13" s="32" t="inlineStr">
        <is>
          <t>Owner</t>
        </is>
      </c>
      <c r="E13" s="32" t="inlineStr">
        <is>
          <t>Evidence / location</t>
        </is>
      </c>
      <c r="F13" s="32" t="inlineStr">
        <is>
          <t>Status</t>
        </is>
      </c>
    </row>
    <row r="14">
      <c r="B14" t="n">
        <v>1</v>
      </c>
      <c r="C14" t="inlineStr">
        <is>
          <t>NOI and cash flow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lease rollover and mark-to-market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tenant improvements / leasing commissions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1" t="inlineStr">
        <is>
          <t>Insider questions</t>
        </is>
      </c>
    </row>
    <row r="21">
      <c r="B21" s="32" t="inlineStr">
        <is>
          <t>#</t>
        </is>
      </c>
      <c r="C21" s="32" t="inlineStr">
        <is>
          <t>Requirement</t>
        </is>
      </c>
      <c r="D21" s="32" t="inlineStr">
        <is>
          <t>Owner</t>
        </is>
      </c>
      <c r="E21" s="32" t="inlineStr">
        <is>
          <t>Evidence / location</t>
        </is>
      </c>
      <c r="F21" s="32" t="inlineStr">
        <is>
          <t>Status</t>
        </is>
      </c>
    </row>
    <row r="22">
      <c r="B22" t="n">
        <v>1</v>
      </c>
      <c r="C22" t="inlineStr">
        <is>
          <t>Which leases drive the next two years of cash?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downtime and TI/LC are required to re-lease?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NOI is truly stabilized?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1" t="inlineStr">
        <is>
          <t>Scenario families</t>
        </is>
      </c>
    </row>
    <row r="29">
      <c r="B29" s="32" t="inlineStr">
        <is>
          <t>#</t>
        </is>
      </c>
      <c r="C29" s="32" t="inlineStr">
        <is>
          <t>Requirement</t>
        </is>
      </c>
      <c r="D29" s="32" t="inlineStr">
        <is>
          <t>Owner</t>
        </is>
      </c>
      <c r="E29" s="32" t="inlineStr">
        <is>
          <t>Evidence / location</t>
        </is>
      </c>
      <c r="F29" s="32" t="inlineStr">
        <is>
          <t>Status</t>
        </is>
      </c>
    </row>
    <row r="30">
      <c r="B30" t="n">
        <v>1</v>
      </c>
      <c r="C30" t="inlineStr">
        <is>
          <t>occupancy and rent decline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lease rollover concentration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cap-rate expansion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1" t="inlineStr">
        <is>
          <t>Primary diligence documents</t>
        </is>
      </c>
    </row>
    <row r="37">
      <c r="B37" s="32" t="inlineStr">
        <is>
          <t>#</t>
        </is>
      </c>
      <c r="C37" s="32" t="inlineStr">
        <is>
          <t>Requirement</t>
        </is>
      </c>
      <c r="D37" s="32" t="inlineStr">
        <is>
          <t>Owner</t>
        </is>
      </c>
      <c r="E37" s="32" t="inlineStr">
        <is>
          <t>Evidence / location</t>
        </is>
      </c>
      <c r="F37" s="32" t="inlineStr">
        <is>
          <t>Status</t>
        </is>
      </c>
    </row>
    <row r="38">
      <c r="B38" t="n">
        <v>1</v>
      </c>
      <c r="C38" t="inlineStr">
        <is>
          <t>rent roll and leases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property operating statements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engineering / PCA report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1" t="inlineStr">
        <is>
          <t>Challenge tests</t>
        </is>
      </c>
    </row>
    <row r="45">
      <c r="B45" s="32" t="inlineStr">
        <is>
          <t>#</t>
        </is>
      </c>
      <c r="C45" s="32" t="inlineStr">
        <is>
          <t>Requirement</t>
        </is>
      </c>
      <c r="D45" s="32" t="inlineStr">
        <is>
          <t>Owner</t>
        </is>
      </c>
      <c r="E45" s="32" t="inlineStr">
        <is>
          <t>Evidence / location</t>
        </is>
      </c>
      <c r="F45" s="32" t="inlineStr">
        <is>
          <t>Status</t>
        </is>
      </c>
    </row>
    <row r="46">
      <c r="B46" t="n">
        <v>1</v>
      </c>
      <c r="C46" t="inlineStr">
        <is>
          <t>rent roll ties to revenue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lease expirations reconcile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NOI excludes capital items consistently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1" t="inlineStr">
        <is>
          <t>Known failure modes</t>
        </is>
      </c>
    </row>
    <row r="53">
      <c r="B53" s="32" t="inlineStr">
        <is>
          <t>#</t>
        </is>
      </c>
      <c r="C53" s="32" t="inlineStr">
        <is>
          <t>Requirement</t>
        </is>
      </c>
      <c r="D53" s="32" t="inlineStr">
        <is>
          <t>Owner</t>
        </is>
      </c>
      <c r="E53" s="32" t="inlineStr">
        <is>
          <t>Evidence / location</t>
        </is>
      </c>
      <c r="F53" s="32" t="inlineStr">
        <is>
          <t>Status</t>
        </is>
      </c>
    </row>
    <row r="54">
      <c r="B54" t="n">
        <v>1</v>
      </c>
      <c r="C54" t="inlineStr">
        <is>
          <t>using average occupancy through a known rollover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free rent and concessions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capitalizing recurring operating costs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1" t="inlineStr">
        <is>
          <t>Regulatory / methodological anchors</t>
        </is>
      </c>
    </row>
    <row r="61">
      <c r="B61" s="32" t="inlineStr">
        <is>
          <t>Standard</t>
        </is>
      </c>
      <c r="C61" s="32" t="inlineStr">
        <is>
          <t>Scope</t>
        </is>
      </c>
      <c r="D61" s="32" t="inlineStr">
        <is>
          <t>Source URL</t>
        </is>
      </c>
      <c r="E61" s="32" t="inlineStr">
        <is>
          <t>Applicability</t>
        </is>
      </c>
      <c r="F61" s="32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8" t="inlineStr">
        <is>
          <t>Independent Challenge, Override and Closure Log</t>
        </is>
      </c>
    </row>
    <row r="4">
      <c r="B4" s="32" t="inlineStr">
        <is>
          <t>Date</t>
        </is>
      </c>
      <c r="C4" s="32" t="inlineStr">
        <is>
          <t>Reviewer</t>
        </is>
      </c>
      <c r="D4" s="32" t="inlineStr">
        <is>
          <t>Challenge</t>
        </is>
      </c>
      <c r="E4" s="32" t="inlineStr">
        <is>
          <t>Owner response</t>
        </is>
      </c>
      <c r="F4" s="32" t="inlineStr">
        <is>
          <t>Evidence</t>
        </is>
      </c>
      <c r="G4" s="32" t="inlineStr">
        <is>
          <t>Impact</t>
        </is>
      </c>
      <c r="H4" s="32" t="inlineStr">
        <is>
          <t>Status</t>
        </is>
      </c>
      <c r="I4" s="32" t="inlineStr">
        <is>
          <t>Closure</t>
        </is>
      </c>
    </row>
    <row r="5">
      <c r="B5" t="inlineStr"/>
      <c r="C5" t="inlineStr"/>
      <c r="D5" t="inlineStr">
        <is>
          <t>rent roll ties to revenue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lease expirations reconcile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NOI excludes capital items consistently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8" t="inlineStr">
        <is>
          <t>Source, Transformation, Ownership and Refresh Map</t>
        </is>
      </c>
    </row>
    <row r="4">
      <c r="B4" s="32" t="inlineStr">
        <is>
          <t>Source class</t>
        </is>
      </c>
      <c r="C4" s="32" t="inlineStr">
        <is>
          <t>Cadence</t>
        </is>
      </c>
      <c r="D4" s="32" t="inlineStr">
        <is>
          <t>Control</t>
        </is>
      </c>
      <c r="E4" s="32" t="inlineStr">
        <is>
          <t>System / provider</t>
        </is>
      </c>
      <c r="F4" s="32" t="inlineStr">
        <is>
          <t>As-of</t>
        </is>
      </c>
      <c r="G4" s="32" t="inlineStr">
        <is>
          <t>Owner</t>
        </is>
      </c>
      <c r="H4" s="32" t="inlineStr">
        <is>
          <t>Transform</t>
        </is>
      </c>
      <c r="I4" s="32" t="inlineStr">
        <is>
          <t>Downstream</t>
        </is>
      </c>
      <c r="J4" s="32" t="inlineStr">
        <is>
          <t>Status</t>
        </is>
      </c>
    </row>
    <row r="5">
      <c r="B5" t="inlineStr">
        <is>
          <t>rent roll</t>
        </is>
      </c>
      <c r="C5" t="inlineStr">
        <is>
          <t>monthly</t>
        </is>
      </c>
      <c r="D5" t="inlineStr">
        <is>
          <t>lease-to-ledger tie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operating actuals</t>
        </is>
      </c>
      <c r="C6" t="inlineStr">
        <is>
          <t>monthly</t>
        </is>
      </c>
      <c r="D6" t="inlineStr">
        <is>
          <t>property and GL mapping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2">
      <c r="B2" s="1" t="inlineStr">
        <is>
          <t>Property Pro Forma (annual, $)</t>
        </is>
      </c>
    </row>
    <row r="5">
      <c r="B5" s="4" t="inlineStr">
        <is>
          <t>Gross potential rent</t>
        </is>
      </c>
      <c r="C5" s="5" t="n">
        <v>0</v>
      </c>
    </row>
    <row r="6">
      <c r="B6" s="4" t="inlineStr">
        <is>
          <t>Vacancy &amp; credit loss</t>
        </is>
      </c>
      <c r="C6" s="5" t="n">
        <v>0</v>
      </c>
    </row>
    <row r="7">
      <c r="B7" s="4" t="inlineStr">
        <is>
          <t>Effective gross income</t>
        </is>
      </c>
      <c r="C7" s="6">
        <f>C5-C6</f>
        <v/>
      </c>
    </row>
    <row r="8">
      <c r="B8" s="4" t="inlineStr">
        <is>
          <t>+ Other income (parking, fees)</t>
        </is>
      </c>
      <c r="C8" s="5" t="n">
        <v>0</v>
      </c>
    </row>
    <row r="9">
      <c r="B9" s="2" t="inlineStr">
        <is>
          <t>Total revenue</t>
        </is>
      </c>
      <c r="C9" s="7">
        <f>C7+C8</f>
        <v/>
      </c>
    </row>
    <row r="10">
      <c r="B10" s="4" t="inlineStr">
        <is>
          <t>Operating expenses (taxes, insurance, management, R&amp;M)</t>
        </is>
      </c>
      <c r="C10" s="5" t="n">
        <v>0</v>
      </c>
    </row>
    <row r="11">
      <c r="B11" s="2" t="inlineStr">
        <is>
          <t>Net Operating Income (NOI)</t>
        </is>
      </c>
      <c r="C11" s="7">
        <f>C9-C10</f>
        <v/>
      </c>
    </row>
    <row r="12">
      <c r="B12" s="4" t="inlineStr">
        <is>
          <t>Recurring capex reserve</t>
        </is>
      </c>
      <c r="C12" s="5" t="n">
        <v>0</v>
      </c>
    </row>
    <row r="13">
      <c r="B13" s="4" t="inlineStr">
        <is>
          <t>Debt service (P&amp;I)</t>
        </is>
      </c>
      <c r="C13" s="8">
        <f>'Debt Schedule'!E8</f>
        <v/>
      </c>
    </row>
    <row r="14">
      <c r="B14" s="2" t="inlineStr">
        <is>
          <t>Cash flow before tax</t>
        </is>
      </c>
      <c r="C14" s="7">
        <f>C11-C12-C13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5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4" customWidth="1" min="11" max="11"/>
  </cols>
  <sheetData>
    <row r="2">
      <c r="B2" s="1" t="inlineStr">
        <is>
          <t>Lease Expiration, Renewal, Downtime, and Occupancy Roll</t>
        </is>
      </c>
    </row>
    <row r="4">
      <c r="B4" s="16" t="inlineStr">
        <is>
          <t>Year</t>
        </is>
      </c>
      <c r="C4" s="16" t="inlineStr">
        <is>
          <t>Beginning annual rent</t>
        </is>
      </c>
      <c r="D4" s="16" t="inlineStr">
        <is>
          <t>Expiring rent %</t>
        </is>
      </c>
      <c r="E4" s="16" t="inlineStr">
        <is>
          <t>Renewal probability</t>
        </is>
      </c>
      <c r="F4" s="16" t="inlineStr">
        <is>
          <t>Renewal spread</t>
        </is>
      </c>
      <c r="G4" s="16" t="inlineStr">
        <is>
          <t>Downtime months</t>
        </is>
      </c>
      <c r="H4" s="16" t="inlineStr">
        <is>
          <t>Lost rent</t>
        </is>
      </c>
      <c r="I4" s="16" t="inlineStr">
        <is>
          <t>Renewed rent</t>
        </is>
      </c>
      <c r="J4" s="16" t="inlineStr">
        <is>
          <t>Ending annual rent</t>
        </is>
      </c>
      <c r="K4" s="16" t="inlineStr">
        <is>
          <t>Economic occupancy</t>
        </is>
      </c>
    </row>
    <row r="5">
      <c r="B5" t="n">
        <v>1</v>
      </c>
      <c r="C5" s="22">
        <f>'Property Pro Forma'!C5</f>
        <v/>
      </c>
      <c r="D5" s="9" t="n">
        <v>0.18</v>
      </c>
      <c r="E5" s="9" t="n">
        <v>0.75</v>
      </c>
      <c r="F5" s="9" t="n">
        <v>0.03</v>
      </c>
      <c r="G5" s="23" t="n">
        <v>3</v>
      </c>
      <c r="H5" s="17">
        <f>C5*D5*(1-E5)*G5/12</f>
        <v/>
      </c>
      <c r="I5" s="17">
        <f>C5*D5*E5*(1+F5)</f>
        <v/>
      </c>
      <c r="J5" s="17">
        <f>C5*(1-D5)+I5</f>
        <v/>
      </c>
      <c r="K5" s="10">
        <f>IFERROR(1-H5/C5,0)</f>
        <v/>
      </c>
    </row>
    <row r="6">
      <c r="B6" t="n">
        <v>2</v>
      </c>
      <c r="C6" s="22">
        <f>J5</f>
        <v/>
      </c>
      <c r="D6" s="9" t="n">
        <v>0.2</v>
      </c>
      <c r="E6" s="9" t="n">
        <v>0.72</v>
      </c>
      <c r="F6" s="9" t="n">
        <v>0.03</v>
      </c>
      <c r="G6" s="23" t="n">
        <v>3</v>
      </c>
      <c r="H6" s="17">
        <f>C6*D6*(1-E6)*G6/12</f>
        <v/>
      </c>
      <c r="I6" s="17">
        <f>C6*D6*E6*(1+F6)</f>
        <v/>
      </c>
      <c r="J6" s="17">
        <f>C6*(1-D6)+I6</f>
        <v/>
      </c>
      <c r="K6" s="10">
        <f>IFERROR(1-H6/C6,0)</f>
        <v/>
      </c>
    </row>
    <row r="7">
      <c r="B7" t="n">
        <v>3</v>
      </c>
      <c r="C7" s="22">
        <f>J6</f>
        <v/>
      </c>
      <c r="D7" s="9" t="n">
        <v>0.22</v>
      </c>
      <c r="E7" s="9" t="n">
        <v>0.7</v>
      </c>
      <c r="F7" s="9" t="n">
        <v>0.025</v>
      </c>
      <c r="G7" s="23" t="n">
        <v>4</v>
      </c>
      <c r="H7" s="17">
        <f>C7*D7*(1-E7)*G7/12</f>
        <v/>
      </c>
      <c r="I7" s="17">
        <f>C7*D7*E7*(1+F7)</f>
        <v/>
      </c>
      <c r="J7" s="17">
        <f>C7*(1-D7)+I7</f>
        <v/>
      </c>
      <c r="K7" s="10">
        <f>IFERROR(1-H7/C7,0)</f>
        <v/>
      </c>
    </row>
    <row r="8">
      <c r="B8" t="n">
        <v>4</v>
      </c>
      <c r="C8" s="22">
        <f>J7</f>
        <v/>
      </c>
      <c r="D8" s="9" t="n">
        <v>0.18</v>
      </c>
      <c r="E8" s="9" t="n">
        <v>0.68</v>
      </c>
      <c r="F8" s="9" t="n">
        <v>0.02</v>
      </c>
      <c r="G8" s="23" t="n">
        <v>4</v>
      </c>
      <c r="H8" s="17">
        <f>C8*D8*(1-E8)*G8/12</f>
        <v/>
      </c>
      <c r="I8" s="17">
        <f>C8*D8*E8*(1+F8)</f>
        <v/>
      </c>
      <c r="J8" s="17">
        <f>C8*(1-D8)+I8</f>
        <v/>
      </c>
      <c r="K8" s="10">
        <f>IFERROR(1-H8/C8,0)</f>
        <v/>
      </c>
    </row>
    <row r="9">
      <c r="B9" t="n">
        <v>5</v>
      </c>
      <c r="C9" s="22">
        <f>J8</f>
        <v/>
      </c>
      <c r="D9" s="9" t="n">
        <v>0.25</v>
      </c>
      <c r="E9" s="9" t="n">
        <v>0.65</v>
      </c>
      <c r="F9" s="9" t="n">
        <v>0.02</v>
      </c>
      <c r="G9" s="23" t="n">
        <v>5</v>
      </c>
      <c r="H9" s="17">
        <f>C9*D9*(1-E9)*G9/12</f>
        <v/>
      </c>
      <c r="I9" s="17">
        <f>C9*D9*E9*(1+F9)</f>
        <v/>
      </c>
      <c r="J9" s="17">
        <f>C9*(1-D9)+I9</f>
        <v/>
      </c>
      <c r="K9" s="10">
        <f>IFERROR(1-H9/C9,0)</f>
        <v/>
      </c>
    </row>
    <row r="12">
      <c r="B12" s="11" t="inlineStr">
        <is>
          <t>This roll deliberately separates contractual expiration, renewal probability, spread, and downtime; new-leasing assumptions must be added explicitly rather than hidden in rent growth.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Cap Rate Valuation</t>
        </is>
      </c>
    </row>
    <row r="4">
      <c r="B4" t="inlineStr">
        <is>
          <t>NOI (from pro forma)</t>
        </is>
      </c>
      <c r="C4" s="8">
        <f>'Property Pro Forma'!C11</f>
        <v/>
      </c>
    </row>
    <row r="5">
      <c r="B5" t="inlineStr">
        <is>
          <t>Market cap rate %</t>
        </is>
      </c>
      <c r="C5" s="9" t="n">
        <v>0.06</v>
      </c>
    </row>
    <row r="6">
      <c r="B6" t="inlineStr">
        <is>
          <t>Implied value (NOI / cap rate)</t>
        </is>
      </c>
      <c r="C6" s="7">
        <f>IFERROR(C4/C5,"-")</f>
        <v/>
      </c>
    </row>
    <row r="8">
      <c r="B8" t="inlineStr">
        <is>
          <t>Purchase price ($)</t>
        </is>
      </c>
      <c r="C8" s="5" t="n">
        <v>0</v>
      </c>
    </row>
    <row r="9">
      <c r="B9" t="inlineStr">
        <is>
          <t>Going-in cap rate (NOI / price)</t>
        </is>
      </c>
      <c r="C9" s="10">
        <f>IFERROR(C4/C8,"-")</f>
        <v/>
      </c>
    </row>
    <row r="10">
      <c r="B10" t="inlineStr">
        <is>
          <t>Debt amount</t>
        </is>
      </c>
      <c r="C10" s="5" t="n">
        <v>0</v>
      </c>
    </row>
    <row r="11">
      <c r="B11" t="inlineStr">
        <is>
          <t>Cash-on-cash return</t>
        </is>
      </c>
      <c r="C11" s="10">
        <f>IFERROR('Property Pro Forma'!C14/(C8-C10),"-")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Property Debt Amortization and Coverage</t>
        </is>
      </c>
    </row>
    <row r="3">
      <c r="B3" t="inlineStr">
        <is>
          <t>Interest rate</t>
        </is>
      </c>
      <c r="C3" s="9" t="n">
        <v>0.06</v>
      </c>
    </row>
    <row r="4">
      <c r="B4" t="inlineStr">
        <is>
          <t>Amortization term (years)</t>
        </is>
      </c>
      <c r="C4" s="24" t="n">
        <v>25</v>
      </c>
    </row>
    <row r="5">
      <c r="B5" t="inlineStr">
        <is>
          <t>Minimum DSCR</t>
        </is>
      </c>
      <c r="C5" s="25" t="n">
        <v>1.25</v>
      </c>
    </row>
    <row r="7">
      <c r="B7" s="16" t="inlineStr">
        <is>
          <t>Year</t>
        </is>
      </c>
      <c r="C7" s="16" t="inlineStr">
        <is>
          <t>Beginning debt</t>
        </is>
      </c>
      <c r="D7" s="16" t="inlineStr">
        <is>
          <t>Interest</t>
        </is>
      </c>
      <c r="E7" s="16" t="inlineStr">
        <is>
          <t>Principal</t>
        </is>
      </c>
      <c r="F7" s="16" t="inlineStr">
        <is>
          <t>Debt service</t>
        </is>
      </c>
      <c r="G7" s="16" t="inlineStr">
        <is>
          <t>Ending debt</t>
        </is>
      </c>
      <c r="H7" s="16" t="inlineStr">
        <is>
          <t>NOI</t>
        </is>
      </c>
      <c r="I7" s="16" t="inlineStr">
        <is>
          <t>DSCR</t>
        </is>
      </c>
      <c r="J7" s="16" t="inlineStr">
        <is>
          <t>Headroom</t>
        </is>
      </c>
    </row>
    <row r="8">
      <c r="B8" t="n">
        <v>1</v>
      </c>
      <c r="C8" s="17">
        <f>'Cap Rate &amp; Valuation'!C10</f>
        <v/>
      </c>
      <c r="D8" s="17">
        <f>C8*$C$3</f>
        <v/>
      </c>
      <c r="E8" s="17">
        <f>D8+F8</f>
        <v/>
      </c>
      <c r="F8" s="17">
        <f>MIN(C8,MAX(0,-PMT($C$3,$C$4,'Cap Rate &amp; Valuation'!$C$10)-D8))</f>
        <v/>
      </c>
      <c r="G8" s="17">
        <f>MAX(0,C8-F8)</f>
        <v/>
      </c>
      <c r="H8" s="17">
        <f>'5-Year Hold &amp; IRR'!C13</f>
        <v/>
      </c>
      <c r="I8" s="26">
        <f>IFERROR(H8/E8,0)</f>
        <v/>
      </c>
      <c r="J8" s="26">
        <f>I8-$C$5</f>
        <v/>
      </c>
    </row>
    <row r="9">
      <c r="B9" t="n">
        <v>2</v>
      </c>
      <c r="C9" s="17">
        <f>G8</f>
        <v/>
      </c>
      <c r="D9" s="17">
        <f>C9*$C$3</f>
        <v/>
      </c>
      <c r="E9" s="17">
        <f>D9+F9</f>
        <v/>
      </c>
      <c r="F9" s="17">
        <f>MIN(C9,MAX(0,-PMT($C$3,$C$4,'Cap Rate &amp; Valuation'!$C$10)-D9))</f>
        <v/>
      </c>
      <c r="G9" s="17">
        <f>MAX(0,C9-F9)</f>
        <v/>
      </c>
      <c r="H9" s="17">
        <f>'5-Year Hold &amp; IRR'!D13</f>
        <v/>
      </c>
      <c r="I9" s="26">
        <f>IFERROR(H9/E9,0)</f>
        <v/>
      </c>
      <c r="J9" s="26">
        <f>I9-$C$5</f>
        <v/>
      </c>
    </row>
    <row r="10">
      <c r="B10" t="n">
        <v>3</v>
      </c>
      <c r="C10" s="17">
        <f>G9</f>
        <v/>
      </c>
      <c r="D10" s="17">
        <f>C10*$C$3</f>
        <v/>
      </c>
      <c r="E10" s="17">
        <f>D10+F10</f>
        <v/>
      </c>
      <c r="F10" s="17">
        <f>MIN(C10,MAX(0,-PMT($C$3,$C$4,'Cap Rate &amp; Valuation'!$C$10)-D10))</f>
        <v/>
      </c>
      <c r="G10" s="17">
        <f>MAX(0,C10-F10)</f>
        <v/>
      </c>
      <c r="H10" s="17">
        <f>'5-Year Hold &amp; IRR'!E13</f>
        <v/>
      </c>
      <c r="I10" s="26">
        <f>IFERROR(H10/E10,0)</f>
        <v/>
      </c>
      <c r="J10" s="26">
        <f>I10-$C$5</f>
        <v/>
      </c>
    </row>
    <row r="11">
      <c r="B11" t="n">
        <v>4</v>
      </c>
      <c r="C11" s="17">
        <f>G10</f>
        <v/>
      </c>
      <c r="D11" s="17">
        <f>C11*$C$3</f>
        <v/>
      </c>
      <c r="E11" s="17">
        <f>D11+F11</f>
        <v/>
      </c>
      <c r="F11" s="17">
        <f>MIN(C11,MAX(0,-PMT($C$3,$C$4,'Cap Rate &amp; Valuation'!$C$10)-D11))</f>
        <v/>
      </c>
      <c r="G11" s="17">
        <f>MAX(0,C11-F11)</f>
        <v/>
      </c>
      <c r="H11" s="17">
        <f>'5-Year Hold &amp; IRR'!F13</f>
        <v/>
      </c>
      <c r="I11" s="26">
        <f>IFERROR(H11/E11,0)</f>
        <v/>
      </c>
      <c r="J11" s="26">
        <f>I11-$C$5</f>
        <v/>
      </c>
    </row>
    <row r="12">
      <c r="B12" t="n">
        <v>5</v>
      </c>
      <c r="C12" s="17">
        <f>G11</f>
        <v/>
      </c>
      <c r="D12" s="17">
        <f>C12*$C$3</f>
        <v/>
      </c>
      <c r="E12" s="17">
        <f>D12+F12</f>
        <v/>
      </c>
      <c r="F12" s="17">
        <f>MIN(C12,MAX(0,-PMT($C$3,$C$4,'Cap Rate &amp; Valuation'!$C$10)-D12))</f>
        <v/>
      </c>
      <c r="G12" s="17">
        <f>MAX(0,C12-F12)</f>
        <v/>
      </c>
      <c r="H12" s="17">
        <f>'5-Year Hold &amp; IRR'!G13</f>
        <v/>
      </c>
      <c r="I12" s="26">
        <f>IFERROR(H12/E12,0)</f>
        <v/>
      </c>
      <c r="J12" s="26">
        <f>I12-$C$5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0" customWidth="1" min="4" max="4"/>
  </cols>
  <sheetData>
    <row r="2">
      <c r="B2" s="1" t="inlineStr">
        <is>
          <t>REIT FFO / AFFO</t>
        </is>
      </c>
    </row>
    <row r="4">
      <c r="B4" t="inlineStr">
        <is>
          <t>Net income (GAAP)</t>
        </is>
      </c>
      <c r="C4" s="5" t="n">
        <v>0</v>
      </c>
    </row>
    <row r="5">
      <c r="B5" t="inlineStr">
        <is>
          <t>+ Real estate depreciation &amp; amortization</t>
        </is>
      </c>
      <c r="C5" s="5" t="n">
        <v>0</v>
      </c>
    </row>
    <row r="6">
      <c r="B6" t="inlineStr">
        <is>
          <t>Gains on property sales</t>
        </is>
      </c>
      <c r="C6" s="5" t="n">
        <v>0</v>
      </c>
    </row>
    <row r="7">
      <c r="B7" t="inlineStr">
        <is>
          <t>FFO (Funds From Operations)</t>
        </is>
      </c>
      <c r="C7" s="7">
        <f>C4+C5-C6</f>
        <v/>
      </c>
    </row>
    <row r="9">
      <c r="B9" t="inlineStr">
        <is>
          <t>Recurring capex / leasing costs</t>
        </is>
      </c>
      <c r="C9" s="5" t="n">
        <v>0</v>
      </c>
    </row>
    <row r="10">
      <c r="B10" t="inlineStr">
        <is>
          <t>Straight-line rent adjustment</t>
        </is>
      </c>
      <c r="C10" s="5" t="n">
        <v>0</v>
      </c>
    </row>
    <row r="11">
      <c r="B11" t="inlineStr">
        <is>
          <t>AFFO (Adjusted FFO)</t>
        </is>
      </c>
      <c r="C11" s="7">
        <f>C7-C9-C10</f>
        <v/>
      </c>
      <c r="D11" s="11" t="inlineStr">
        <is>
          <t>AFFO is non-GAAP and must disclose its definition and reconciliation; this implementation deducts recurring capex and straight-line rent.</t>
        </is>
      </c>
    </row>
    <row r="13">
      <c r="B13" t="inlineStr">
        <is>
          <t>Shares/units outstanding</t>
        </is>
      </c>
      <c r="C13" s="12" t="n">
        <v>1</v>
      </c>
    </row>
    <row r="14">
      <c r="B14" t="inlineStr">
        <is>
          <t>FFO / share</t>
        </is>
      </c>
      <c r="C14" s="13">
        <f>IFERROR(C7/C13,"-")</f>
        <v/>
      </c>
    </row>
    <row r="15">
      <c r="B15" t="inlineStr">
        <is>
          <t>AFFO / share</t>
        </is>
      </c>
      <c r="C15" s="13">
        <f>IFERROR(C11/C13,"-")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Real Estate / REIT Decision Dashboard and Independent Checks</t>
        </is>
      </c>
    </row>
    <row r="4">
      <c r="B4" s="16" t="inlineStr">
        <is>
          <t>Check / decision</t>
        </is>
      </c>
      <c r="C4" s="16" t="inlineStr">
        <is>
          <t>Metric</t>
        </is>
      </c>
      <c r="D4" s="16" t="inlineStr">
        <is>
          <t>Status</t>
        </is>
      </c>
      <c r="E4" s="16" t="inlineStr">
        <is>
          <t>Interpretation / action</t>
        </is>
      </c>
    </row>
    <row r="5">
      <c r="B5" t="inlineStr">
        <is>
          <t>NOI identity residual</t>
        </is>
      </c>
      <c r="C5" s="21">
        <f>'Property Pro Forma'!C11-('Property Pro Forma'!C5-'Property Pro Forma'!C6+'Property Pro Forma'!C8-'Property Pro Forma'!C10)</f>
        <v/>
      </c>
      <c r="D5" s="21">
        <f>IF(ABS(C5)&lt;0.01,"PASS","FAIL")</f>
        <v/>
      </c>
      <c r="E5" t="inlineStr">
        <is>
          <t>NOI must reconcile from gross rent through vacancy, other income, and operating expenses.</t>
        </is>
      </c>
    </row>
    <row r="6">
      <c r="B6" t="inlineStr">
        <is>
          <t>FFO bridge residual</t>
        </is>
      </c>
      <c r="C6" s="21">
        <f>'REIT FFO-AFFO'!C7-('REIT FFO-AFFO'!C4+'REIT FFO-AFFO'!C5-'REIT FFO-AFFO'!C6)</f>
        <v/>
      </c>
      <c r="D6" s="21">
        <f>IF(ABS(C6)&lt;0.01,"PASS","FAIL")</f>
        <v/>
      </c>
      <c r="E6" t="inlineStr">
        <is>
          <t>FFO must reconcile from GAAP net income under the disclosed Nareit-style definition.</t>
        </is>
      </c>
    </row>
    <row r="7">
      <c r="B7" t="inlineStr">
        <is>
          <t>AFFO bridge residual</t>
        </is>
      </c>
      <c r="C7" s="21">
        <f>'REIT FFO-AFFO'!C11-('REIT FFO-AFFO'!C7-'REIT FFO-AFFO'!C9-'REIT FFO-AFFO'!C10)</f>
        <v/>
      </c>
      <c r="D7" s="21">
        <f>IF(ABS(C7)&lt;0.01,"PASS","FAIL")</f>
        <v/>
      </c>
      <c r="E7" t="inlineStr">
        <is>
          <t>AFFO is non-GAAP; recurring capex and straight-line rent adjustments must be explicit.</t>
        </is>
      </c>
    </row>
    <row r="8">
      <c r="B8" t="inlineStr">
        <is>
          <t>Minimum five-year DSCR</t>
        </is>
      </c>
      <c r="C8" s="21">
        <f>MIN('Debt Schedule'!I8:I12)</f>
        <v/>
      </c>
      <c r="D8" s="21">
        <f>IF(C8&gt;='Debt Schedule'!C5,"PASS",IF(C8&gt;=1,"REVIEW","BREACH"))</f>
        <v/>
      </c>
      <c r="E8" t="inlineStr">
        <is>
          <t>Escalate covenant pressure and refinance dependency.</t>
        </is>
      </c>
    </row>
    <row r="9">
      <c r="B9" t="inlineStr">
        <is>
          <t>Loan-to-value</t>
        </is>
      </c>
      <c r="C9" s="21">
        <f>IFERROR('Cap Rate &amp; Valuation'!C10/'Cap Rate &amp; Valuation'!C8,0)</f>
        <v/>
      </c>
      <c r="D9" s="21">
        <f>IF(C9&lt;=0.75,"PASS",IF(C9&lt;=0.85,"REVIEW","BREACH"))</f>
        <v/>
      </c>
      <c r="E9" t="inlineStr">
        <is>
          <t>High leverage magnifies cap-rate and NOI shocks.</t>
        </is>
      </c>
    </row>
    <row r="10">
      <c r="B10" t="inlineStr">
        <is>
          <t>Minimum economic occupancy</t>
        </is>
      </c>
      <c r="C10" s="21">
        <f>MIN('Lease Roll'!K5:K9)</f>
        <v/>
      </c>
      <c r="D10" s="21">
        <f>IF(C10&gt;=0.90,"PASS",IF(C10&gt;=0.80,"REVIEW","BREACH"))</f>
        <v/>
      </c>
      <c r="E10" t="inlineStr">
        <is>
          <t>Review tenant rollover, downtime, leasing costs, and concentration.</t>
        </is>
      </c>
    </row>
    <row r="11">
      <c r="B11" t="inlineStr">
        <is>
          <t>Year-one levered cash flow</t>
        </is>
      </c>
      <c r="C11" s="21">
        <f>'Property Pro Forma'!C14</f>
        <v/>
      </c>
      <c r="D11" s="21">
        <f>IF(C11&gt;=0,"PASS","BREACH")</f>
        <v/>
      </c>
      <c r="E11" t="inlineStr">
        <is>
          <t>Negative cash flow requires funded reserves or a restructuring plan.</t>
        </is>
      </c>
    </row>
    <row r="12">
      <c r="B12" t="inlineStr">
        <is>
          <t>Exit cap spread vs going-in</t>
        </is>
      </c>
      <c r="C12" s="21">
        <f>IF(AND(ISNUMBER('5-Year Hold &amp; IRR'!C6),ISNUMBER('Cap Rate &amp; Valuation'!C9)),'5-Year Hold &amp; IRR'!C6-'Cap Rate &amp; Valuation'!C9,0)</f>
        <v/>
      </c>
      <c r="D12" s="21">
        <f>IF(AND(ISNUMBER('5-Year Hold &amp; IRR'!C6),ISNUMBER('Cap Rate &amp; Valuation'!C9)),IF(C12&gt;=0,"PASS","REVIEW"),"REVIEW")</f>
        <v/>
      </c>
      <c r="E12" t="inlineStr">
        <is>
          <t>Cap-rate compression should never be an unchallenged base-case return driver.</t>
        </is>
      </c>
    </row>
    <row r="14">
      <c r="B14" s="2" t="inlineStr">
        <is>
          <t>Overall model status</t>
        </is>
      </c>
      <c r="C14" s="27">
        <f>IF(COUNTIF(D5:D12,"FAIL")+COUNTIF(D5:D12,"BREACH")&gt;0,"BREACH",IF(COUNTIF(D5:D12,"REVIEW")&gt;0,"REVIEW","PASS"))</f>
        <v/>
      </c>
    </row>
    <row r="16">
      <c r="B16" s="14" t="inlineStr">
        <is>
          <t>Primary decision outputs</t>
        </is>
      </c>
    </row>
    <row r="17">
      <c r="B17" t="inlineStr">
        <is>
          <t>NOI</t>
        </is>
      </c>
      <c r="C17" s="17">
        <f>'Property Pro Forma'!C11</f>
        <v/>
      </c>
    </row>
    <row r="18">
      <c r="B18" t="inlineStr">
        <is>
          <t>Going-in cap rate</t>
        </is>
      </c>
      <c r="C18" s="10">
        <f>'Cap Rate &amp; Valuation'!C9</f>
        <v/>
      </c>
    </row>
    <row r="19">
      <c r="B19" t="inlineStr">
        <is>
          <t>Levered IRR</t>
        </is>
      </c>
      <c r="C19" s="10">
        <f>'5-Year Hold &amp; IRR'!C27</f>
        <v/>
      </c>
    </row>
    <row r="20">
      <c r="B20" t="inlineStr">
        <is>
          <t>Equity MOIC</t>
        </is>
      </c>
      <c r="C20" s="26">
        <f>'5-Year Hold &amp; IRR'!C28</f>
        <v/>
      </c>
    </row>
    <row r="21">
      <c r="B21" t="inlineStr">
        <is>
          <t>FFO</t>
        </is>
      </c>
      <c r="C21" s="17">
        <f>'REIT FFO-AFFO'!C7</f>
        <v/>
      </c>
    </row>
    <row r="22">
      <c r="B22" t="inlineStr">
        <is>
          <t>AFFO</t>
        </is>
      </c>
      <c r="C22" s="17">
        <f>'REIT FFO-AFFO'!C11</f>
        <v/>
      </c>
    </row>
    <row r="23">
      <c r="B23" t="inlineStr">
        <is>
          <t>Ending debt</t>
        </is>
      </c>
      <c r="C23" s="17">
        <f>'Debt Schedule'!G12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5-Year Hold — Levered Cash Flow &amp; IRR</t>
        </is>
      </c>
    </row>
    <row r="4">
      <c r="B4" s="14" t="inlineStr">
        <is>
          <t>Assumptions</t>
        </is>
      </c>
    </row>
    <row r="5">
      <c r="B5" t="inlineStr">
        <is>
          <t>NOI growth rate (%/yr)</t>
        </is>
      </c>
      <c r="C5" s="9" t="n">
        <v>0.02</v>
      </c>
    </row>
    <row r="6">
      <c r="B6" t="inlineStr">
        <is>
          <t>Exit cap rate (%)</t>
        </is>
      </c>
      <c r="C6" s="9" t="n">
        <v>0.065</v>
      </c>
    </row>
    <row r="7">
      <c r="B7" t="inlineStr">
        <is>
          <t>Selling costs (% of exit value)</t>
        </is>
      </c>
      <c r="C7" s="15" t="n">
        <v>0.02</v>
      </c>
    </row>
    <row r="8">
      <c r="B8" t="inlineStr">
        <is>
          <t>Annual debt service ($, assumed constant / interest-only)</t>
        </is>
      </c>
      <c r="C8" s="8">
        <f>IFERROR(ABS('Property Pro Forma'!C13),"-")</f>
        <v/>
      </c>
    </row>
    <row r="9">
      <c r="B9" t="inlineStr">
        <is>
          <t>Initial equity (purchase price - debt)</t>
        </is>
      </c>
      <c r="C9" s="8">
        <f>IFERROR('Cap Rate &amp; Valuation'!C8-'Cap Rate &amp; Valuation'!C10,"-")</f>
        <v/>
      </c>
    </row>
    <row r="12">
      <c r="C12" s="16" t="inlineStr">
        <is>
          <t>Yr1</t>
        </is>
      </c>
      <c r="D12" s="16" t="inlineStr">
        <is>
          <t>Yr2</t>
        </is>
      </c>
      <c r="E12" s="16" t="inlineStr">
        <is>
          <t>Yr3</t>
        </is>
      </c>
      <c r="F12" s="16" t="inlineStr">
        <is>
          <t>Yr4</t>
        </is>
      </c>
      <c r="G12" s="16" t="inlineStr">
        <is>
          <t>Yr5</t>
        </is>
      </c>
    </row>
    <row r="13">
      <c r="B13" t="inlineStr">
        <is>
          <t>NOI</t>
        </is>
      </c>
      <c r="C13" s="8">
        <f>'Property Pro Forma'!C11</f>
        <v/>
      </c>
      <c r="D13" s="17">
        <f>C13*(1+$C$5)</f>
        <v/>
      </c>
      <c r="E13" s="17">
        <f>D13*(1+$C$5)</f>
        <v/>
      </c>
      <c r="F13" s="17">
        <f>E13*(1+$C$5)</f>
        <v/>
      </c>
      <c r="G13" s="17">
        <f>F13*(1+$C$5)</f>
        <v/>
      </c>
    </row>
    <row r="14">
      <c r="B14" t="inlineStr">
        <is>
          <t>Debt service</t>
        </is>
      </c>
      <c r="C14" s="17">
        <f>'Debt Schedule'!E8</f>
        <v/>
      </c>
      <c r="D14" s="17">
        <f>'Debt Schedule'!E9</f>
        <v/>
      </c>
      <c r="E14" s="17">
        <f>'Debt Schedule'!E10</f>
        <v/>
      </c>
      <c r="F14" s="17">
        <f>'Debt Schedule'!E11</f>
        <v/>
      </c>
      <c r="G14" s="17">
        <f>'Debt Schedule'!E12</f>
        <v/>
      </c>
    </row>
    <row r="15">
      <c r="B15" t="inlineStr">
        <is>
          <t>Levered cash flow</t>
        </is>
      </c>
      <c r="C15" s="17">
        <f>C13-C14</f>
        <v/>
      </c>
      <c r="D15" s="17">
        <f>D13-D14</f>
        <v/>
      </c>
      <c r="E15" s="17">
        <f>E13-E14</f>
        <v/>
      </c>
      <c r="F15" s="17">
        <f>F13-F14</f>
        <v/>
      </c>
      <c r="G15" s="17">
        <f>G13-G14</f>
        <v/>
      </c>
    </row>
    <row r="16">
      <c r="B16" t="inlineStr">
        <is>
          <t>DSCR (NOI / debt service)</t>
        </is>
      </c>
      <c r="C16" s="18">
        <f>IFERROR(C13/C14,0)</f>
        <v/>
      </c>
      <c r="D16" s="18">
        <f>IFERROR(D13/D14,0)</f>
        <v/>
      </c>
      <c r="E16" s="18">
        <f>IFERROR(E13/E14,0)</f>
        <v/>
      </c>
      <c r="F16" s="18">
        <f>IFERROR(F13/F14,0)</f>
        <v/>
      </c>
      <c r="G16" s="18">
        <f>IFERROR(G13/G14,0)</f>
        <v/>
      </c>
    </row>
    <row r="18">
      <c r="B18" s="14" t="inlineStr">
        <is>
          <t>Exit (end of Yr5)</t>
        </is>
      </c>
    </row>
    <row r="19">
      <c r="B19" t="inlineStr">
        <is>
          <t>Forward NOI (Yr6, for exit cap)</t>
        </is>
      </c>
      <c r="C19" s="17">
        <f>G13*(1+$C$5)</f>
        <v/>
      </c>
    </row>
    <row r="20">
      <c r="B20" t="inlineStr">
        <is>
          <t>Exit value (forward NOI / exit cap rate)</t>
        </is>
      </c>
      <c r="C20" s="17">
        <f>IFERROR(C19/C6,"-")</f>
        <v/>
      </c>
    </row>
    <row r="21">
      <c r="B21" t="inlineStr">
        <is>
          <t>Less: selling costs</t>
        </is>
      </c>
      <c r="C21" s="17">
        <f>-C20*C7</f>
        <v/>
      </c>
    </row>
    <row r="22">
      <c r="B22" t="inlineStr">
        <is>
          <t>Less: debt payoff (assumed interest-only, balance unchanged)</t>
        </is>
      </c>
      <c r="C22" s="8">
        <f>-'Debt Schedule'!G12</f>
        <v/>
      </c>
    </row>
    <row r="23">
      <c r="B23" t="inlineStr">
        <is>
          <t>Net exit equity proceeds</t>
        </is>
      </c>
      <c r="C23" s="7">
        <f>C20+C21+C22</f>
        <v/>
      </c>
    </row>
    <row r="25">
      <c r="B25" s="14" t="inlineStr"/>
      <c r="C25" s="16" t="inlineStr">
        <is>
          <t>Yr0</t>
        </is>
      </c>
      <c r="D25" s="16" t="inlineStr">
        <is>
          <t>Yr1</t>
        </is>
      </c>
      <c r="E25" s="16" t="inlineStr">
        <is>
          <t>Yr2</t>
        </is>
      </c>
      <c r="F25" s="16" t="inlineStr">
        <is>
          <t>Yr3</t>
        </is>
      </c>
      <c r="G25" s="16" t="inlineStr">
        <is>
          <t>Yr4</t>
        </is>
      </c>
      <c r="H25" s="16" t="inlineStr">
        <is>
          <t>Yr5</t>
        </is>
      </c>
    </row>
    <row r="26">
      <c r="B26" t="inlineStr">
        <is>
          <t>Equity cash flow</t>
        </is>
      </c>
      <c r="C26" s="17">
        <f>-C9</f>
        <v/>
      </c>
      <c r="D26" s="17">
        <f>C15</f>
        <v/>
      </c>
      <c r="E26" s="17">
        <f>D15</f>
        <v/>
      </c>
      <c r="F26" s="17">
        <f>E15</f>
        <v/>
      </c>
      <c r="G26" s="17">
        <f>F15</f>
        <v/>
      </c>
      <c r="H26" s="17">
        <f>G15+C23</f>
        <v/>
      </c>
    </row>
    <row r="27">
      <c r="B27" t="inlineStr">
        <is>
          <t>Levered IRR</t>
        </is>
      </c>
      <c r="C27" s="19">
        <f>IFERROR(IRR(C26:H26),"-")</f>
        <v/>
      </c>
    </row>
    <row r="28">
      <c r="B28" t="inlineStr">
        <is>
          <t>Equity multiple (MOIC)</t>
        </is>
      </c>
      <c r="C28" s="20">
        <f>IFERROR(SUM(D26:H26)/C9,"-")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16" t="inlineStr">
        <is>
          <t>Date</t>
        </is>
      </c>
      <c r="C4" s="16" t="inlineStr">
        <is>
          <t>Trigger</t>
        </is>
      </c>
      <c r="D4" s="16" t="inlineStr">
        <is>
          <t>What changed</t>
        </is>
      </c>
      <c r="E4" s="16" t="inlineStr">
        <is>
          <t>Reviewer notes</t>
        </is>
      </c>
      <c r="F4" s="16" t="inlineStr">
        <is>
          <t>Next check</t>
        </is>
      </c>
    </row>
    <row r="5">
      <c r="B5" s="21" t="n"/>
      <c r="C5" s="21" t="n"/>
      <c r="D5" s="21" t="n"/>
      <c r="E5" s="21" t="n"/>
      <c r="F5" s="21" t="n"/>
    </row>
    <row r="6">
      <c r="B6" s="21" t="n"/>
      <c r="C6" s="21" t="n"/>
      <c r="D6" s="21" t="n"/>
      <c r="E6" s="21" t="n"/>
      <c r="F6" s="21" t="n"/>
    </row>
    <row r="7">
      <c r="B7" s="21" t="n"/>
      <c r="C7" s="21" t="n"/>
      <c r="D7" s="21" t="n"/>
      <c r="E7" s="21" t="n"/>
      <c r="F7" s="21" t="n"/>
    </row>
    <row r="8">
      <c r="B8" s="21" t="n"/>
      <c r="C8" s="21" t="n"/>
      <c r="D8" s="21" t="n"/>
      <c r="E8" s="21" t="n"/>
      <c r="F8" s="21" t="n"/>
    </row>
    <row r="9">
      <c r="B9" s="21" t="n"/>
      <c r="C9" s="21" t="n"/>
      <c r="D9" s="21" t="n"/>
      <c r="E9" s="21" t="n"/>
      <c r="F9" s="21" t="n"/>
    </row>
    <row r="10">
      <c r="B10" s="21" t="n"/>
      <c r="C10" s="21" t="n"/>
      <c r="D10" s="21" t="n"/>
      <c r="E10" s="21" t="n"/>
      <c r="F10" s="21" t="n"/>
    </row>
    <row r="11">
      <c r="B11" s="21" t="n"/>
      <c r="C11" s="21" t="n"/>
      <c r="D11" s="21" t="n"/>
      <c r="E11" s="21" t="n"/>
      <c r="F11" s="21" t="n"/>
    </row>
    <row r="12">
      <c r="B12" s="21" t="n"/>
      <c r="C12" s="21" t="n"/>
      <c r="D12" s="21" t="n"/>
      <c r="E12" s="21" t="n"/>
      <c r="F12" s="21" t="n"/>
    </row>
    <row r="13">
      <c r="B13" s="21" t="n"/>
      <c r="C13" s="21" t="n"/>
      <c r="D13" s="21" t="n"/>
      <c r="E13" s="21" t="n"/>
      <c r="F13" s="21" t="n"/>
    </row>
    <row r="14">
      <c r="B14" s="21" t="n"/>
      <c r="C14" s="21" t="n"/>
      <c r="D14" s="21" t="n"/>
      <c r="E14" s="21" t="n"/>
      <c r="F14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2026-08-05T22:48:48Z</dcterms:created>
  <dcterms:modified xmlns:dcterms="http://purl.org/dc/terms/" xmlns:xsi="http://www.w3.org/2001/XMLSchema-instance" xsi:type="dcterms:W3CDTF">2026-08-05T22:48:48Z</dcterms:modified>
</cp:coreProperties>
</file>