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Fund NAV" sheetId="5" state="visible" r:id="rId5"/>
    <sheet xmlns:r="http://schemas.openxmlformats.org/officeDocument/2006/relationships" name="Fee Waterfall" sheetId="6" state="visible" r:id="rId6"/>
    <sheet xmlns:r="http://schemas.openxmlformats.org/officeDocument/2006/relationships" name="Performance Attribution" sheetId="7" state="visible" r:id="rId7"/>
    <sheet xmlns:r="http://schemas.openxmlformats.org/officeDocument/2006/relationships" name="Fund Performance" sheetId="8" state="visible" r:id="rId8"/>
    <sheet xmlns:r="http://schemas.openxmlformats.org/officeDocument/2006/relationships" name="Return Measurement" sheetId="9" state="visible" r:id="rId9"/>
    <sheet xmlns:r="http://schemas.openxmlformats.org/officeDocument/2006/relationships" name="Exposure &amp; Liquidity" sheetId="10" state="visible" r:id="rId10"/>
    <sheet xmlns:r="http://schemas.openxmlformats.org/officeDocument/2006/relationships" name="Decision &amp; Checks" sheetId="11" state="visible" r:id="rId11"/>
    <sheet xmlns:r="http://schemas.openxmlformats.org/officeDocument/2006/relationships" name="RefreshLog" sheetId="12" state="visible" r:id="rId12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0.0%;(0.0%);&quot;-&quot;"/>
    <numFmt numFmtId="166" formatCode="0.0x"/>
  </numFmts>
  <fonts count="11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i val="1"/>
      <color rgb="00808080"/>
      <sz val="8"/>
    </font>
    <font>
      <name val="Arial"/>
      <color rgb="00008000"/>
      <sz val="10"/>
    </font>
    <font>
      <b val="1"/>
      <color rgb="00FFFFFF"/>
      <sz val="15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  <fill>
      <patternFill patternType="solid">
        <fgColor rgb="00FFFF00"/>
        <bgColor rgb="00FFFF00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4" fontId="3" fillId="0" borderId="1" pivotButton="0" quotePrefix="0" xfId="0"/>
    <xf numFmtId="164" fontId="5" fillId="0" borderId="1" pivotButton="0" quotePrefix="0" xfId="0"/>
    <xf numFmtId="0" fontId="5" fillId="0" borderId="0" pivotButton="0" quotePrefix="0" xfId="0"/>
    <xf numFmtId="164" fontId="2" fillId="0" borderId="1" pivotButton="0" quotePrefix="0" xfId="0"/>
    <xf numFmtId="0" fontId="2" fillId="3" borderId="0" pivotButton="0" quotePrefix="0" xfId="0"/>
    <xf numFmtId="164" fontId="3" fillId="4" borderId="1" pivotButton="0" quotePrefix="0" xfId="0"/>
    <xf numFmtId="165" fontId="3" fillId="4" borderId="1" pivotButton="0" quotePrefix="0" xfId="0"/>
    <xf numFmtId="164" fontId="0" fillId="0" borderId="1" pivotButton="0" quotePrefix="0" xfId="0"/>
    <xf numFmtId="165" fontId="3" fillId="0" borderId="1" pivotButton="0" quotePrefix="0" xfId="0"/>
    <xf numFmtId="164" fontId="2" fillId="0" borderId="0" pivotButton="0" quotePrefix="0" xfId="0"/>
    <xf numFmtId="0" fontId="6" fillId="0" borderId="0" pivotButton="0" quotePrefix="0" xfId="0"/>
    <xf numFmtId="164" fontId="7" fillId="0" borderId="1" pivotButton="0" quotePrefix="0" xfId="0"/>
    <xf numFmtId="166" fontId="2" fillId="0" borderId="1" pivotButton="0" quotePrefix="0" xfId="0"/>
    <xf numFmtId="165" fontId="2" fillId="4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3" fillId="4" borderId="1" pivotButton="0" quotePrefix="0" xfId="0"/>
    <xf numFmtId="166" fontId="0" fillId="0" borderId="1" pivotButton="0" quotePrefix="0" xfId="0"/>
    <xf numFmtId="0" fontId="2" fillId="0" borderId="1" pivotButton="0" quotePrefix="0" xfId="0"/>
    <xf numFmtId="0" fontId="8" fillId="5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0" fillId="5" borderId="0" pivotButton="0" quotePrefix="0" xfId="0"/>
    <xf numFmtId="0" fontId="9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" customWidth="1" min="4" max="4"/>
  </cols>
  <sheetData>
    <row r="2">
      <c r="B2" s="1" t="inlineStr">
        <is>
          <t>[FUND] — Asset Management Model</t>
        </is>
      </c>
    </row>
    <row r="4">
      <c r="B4" s="2" t="inlineStr">
        <is>
          <t>Fund structure:</t>
        </is>
      </c>
      <c r="C4" s="3" t="inlineStr">
        <is>
          <t>Hedge fund / PE fund / mutual fund</t>
        </is>
      </c>
    </row>
    <row r="5">
      <c r="B5" s="2" t="inlineStr">
        <is>
          <t>Vintage / inception:</t>
        </is>
      </c>
      <c r="C5" s="3" t="inlineStr">
        <is>
          <t>[date]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capital call/distribution: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Weekly (monthly NAV strike)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24" t="inlineStr">
        <is>
          <t>Asset Management — Institutional Decision Surface</t>
        </is>
      </c>
    </row>
    <row r="4">
      <c r="B4" s="25" t="inlineStr">
        <is>
          <t>Model ID</t>
        </is>
      </c>
      <c r="C4" s="26" t="inlineStr">
        <is>
          <t>08</t>
        </is>
      </c>
    </row>
    <row r="5">
      <c r="B5" s="25" t="inlineStr">
        <is>
          <t>Domain</t>
        </is>
      </c>
      <c r="C5" s="26" t="inlineStr">
        <is>
          <t>Asset Management</t>
        </is>
      </c>
    </row>
    <row r="6">
      <c r="B6" s="25" t="inlineStr">
        <is>
          <t>Declared maturity</t>
        </is>
      </c>
      <c r="C6" s="26" t="inlineStr">
        <is>
          <t>M2</t>
        </is>
      </c>
    </row>
    <row r="7">
      <c r="B7" s="25" t="inlineStr">
        <is>
          <t>Canonical builder</t>
        </is>
      </c>
      <c r="C7" s="26" t="inlineStr">
        <is>
          <t>tools/builders/build_asset_management_release.py</t>
        </is>
      </c>
    </row>
    <row r="8">
      <c r="B8" s="25" t="inlineStr">
        <is>
          <t>Decision arena</t>
        </is>
      </c>
      <c r="C8" s="26" t="inlineStr">
        <is>
          <t>portfolio manager, risk, valuation committee, operations and fund board</t>
        </is>
      </c>
    </row>
    <row r="9">
      <c r="B9" s="25" t="inlineStr">
        <is>
          <t>Committee artifact</t>
        </is>
      </c>
      <c r="C9" s="26" t="inlineStr">
        <is>
          <t>portfolio, liquidity and valuation committee pack</t>
        </is>
      </c>
    </row>
    <row r="10">
      <c r="B10" s="25" t="inlineStr">
        <is>
          <t>Operating cadence</t>
        </is>
      </c>
      <c r="C10" s="26" t="inlineStr">
        <is>
          <t>daily portfolio; weekly liquidity; monthly valuation</t>
        </is>
      </c>
    </row>
    <row r="12">
      <c r="B12" s="27" t="inlineStr">
        <is>
          <t>Key decision outputs</t>
        </is>
      </c>
    </row>
    <row r="13">
      <c r="B13" s="28" t="inlineStr">
        <is>
          <t>#</t>
        </is>
      </c>
      <c r="C13" s="28" t="inlineStr">
        <is>
          <t>Requirement</t>
        </is>
      </c>
      <c r="D13" s="28" t="inlineStr">
        <is>
          <t>Owner</t>
        </is>
      </c>
      <c r="E13" s="28" t="inlineStr">
        <is>
          <t>Evidence / location</t>
        </is>
      </c>
      <c r="F13" s="28" t="inlineStr">
        <is>
          <t>Status</t>
        </is>
      </c>
    </row>
    <row r="14">
      <c r="B14" t="n">
        <v>1</v>
      </c>
      <c r="C14" t="inlineStr">
        <is>
          <t>NAV and performance attribution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gross-to-net return bridge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liquidity buckets and redemption coverage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27" t="inlineStr">
        <is>
          <t>Insider questions</t>
        </is>
      </c>
    </row>
    <row r="21">
      <c r="B21" s="28" t="inlineStr">
        <is>
          <t>#</t>
        </is>
      </c>
      <c r="C21" s="28" t="inlineStr">
        <is>
          <t>Requirement</t>
        </is>
      </c>
      <c r="D21" s="28" t="inlineStr">
        <is>
          <t>Owner</t>
        </is>
      </c>
      <c r="E21" s="28" t="inlineStr">
        <is>
          <t>Evidence / location</t>
        </is>
      </c>
      <c r="F21" s="28" t="inlineStr">
        <is>
          <t>Status</t>
        </is>
      </c>
    </row>
    <row r="22">
      <c r="B22" t="n">
        <v>1</v>
      </c>
      <c r="C22" t="inlineStr">
        <is>
          <t>How much can be liquidated without moving the market?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Which investors have better liquidity terms?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What prices are model-based or challenged?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27" t="inlineStr">
        <is>
          <t>Scenario families</t>
        </is>
      </c>
    </row>
    <row r="29">
      <c r="B29" s="28" t="inlineStr">
        <is>
          <t>#</t>
        </is>
      </c>
      <c r="C29" s="28" t="inlineStr">
        <is>
          <t>Requirement</t>
        </is>
      </c>
      <c r="D29" s="28" t="inlineStr">
        <is>
          <t>Owner</t>
        </is>
      </c>
      <c r="E29" s="28" t="inlineStr">
        <is>
          <t>Evidence / location</t>
        </is>
      </c>
      <c r="F29" s="28" t="inlineStr">
        <is>
          <t>Status</t>
        </is>
      </c>
    </row>
    <row r="30">
      <c r="B30" t="n">
        <v>1</v>
      </c>
      <c r="C30" t="inlineStr">
        <is>
          <t>redemption wave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market gap and liquidity haircut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stale or challenged valuation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27" t="inlineStr">
        <is>
          <t>Primary diligence documents</t>
        </is>
      </c>
    </row>
    <row r="37">
      <c r="B37" s="28" t="inlineStr">
        <is>
          <t>#</t>
        </is>
      </c>
      <c r="C37" s="28" t="inlineStr">
        <is>
          <t>Requirement</t>
        </is>
      </c>
      <c r="D37" s="28" t="inlineStr">
        <is>
          <t>Owner</t>
        </is>
      </c>
      <c r="E37" s="28" t="inlineStr">
        <is>
          <t>Evidence / location</t>
        </is>
      </c>
      <c r="F37" s="28" t="inlineStr">
        <is>
          <t>Status</t>
        </is>
      </c>
    </row>
    <row r="38">
      <c r="B38" t="n">
        <v>1</v>
      </c>
      <c r="C38" t="inlineStr">
        <is>
          <t>investment management agreement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valuation policy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administrator NAV package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27" t="inlineStr">
        <is>
          <t>Challenge tests</t>
        </is>
      </c>
    </row>
    <row r="45">
      <c r="B45" s="28" t="inlineStr">
        <is>
          <t>#</t>
        </is>
      </c>
      <c r="C45" s="28" t="inlineStr">
        <is>
          <t>Requirement</t>
        </is>
      </c>
      <c r="D45" s="28" t="inlineStr">
        <is>
          <t>Owner</t>
        </is>
      </c>
      <c r="E45" s="28" t="inlineStr">
        <is>
          <t>Evidence / location</t>
        </is>
      </c>
      <c r="F45" s="28" t="inlineStr">
        <is>
          <t>Status</t>
        </is>
      </c>
    </row>
    <row r="46">
      <c r="B46" t="n">
        <v>1</v>
      </c>
      <c r="C46" t="inlineStr">
        <is>
          <t>NAV roll-forward reconciles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fees follow governing documents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liquidity buckets reflect time-to-cash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27" t="inlineStr">
        <is>
          <t>Known failure modes</t>
        </is>
      </c>
    </row>
    <row r="53">
      <c r="B53" s="28" t="inlineStr">
        <is>
          <t>#</t>
        </is>
      </c>
      <c r="C53" s="28" t="inlineStr">
        <is>
          <t>Requirement</t>
        </is>
      </c>
      <c r="D53" s="28" t="inlineStr">
        <is>
          <t>Owner</t>
        </is>
      </c>
      <c r="E53" s="28" t="inlineStr">
        <is>
          <t>Evidence / location</t>
        </is>
      </c>
      <c r="F53" s="28" t="inlineStr">
        <is>
          <t>Status</t>
        </is>
      </c>
    </row>
    <row r="54">
      <c r="B54" t="n">
        <v>1</v>
      </c>
      <c r="C54" t="inlineStr">
        <is>
          <t>classifying quoted but non-executable prices as liquid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netting investor flows against portfolio liquidity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missing side-letter economics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27" t="inlineStr">
        <is>
          <t>Regulatory / methodological anchors</t>
        </is>
      </c>
    </row>
    <row r="61">
      <c r="B61" s="28" t="inlineStr">
        <is>
          <t>Standard</t>
        </is>
      </c>
      <c r="C61" s="28" t="inlineStr">
        <is>
          <t>Scope</t>
        </is>
      </c>
      <c r="D61" s="28" t="inlineStr">
        <is>
          <t>Source URL</t>
        </is>
      </c>
      <c r="E61" s="28" t="inlineStr">
        <is>
          <t>Applicability</t>
        </is>
      </c>
      <c r="F61" s="28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SEC Rule 2a-5</t>
        </is>
      </c>
      <c r="C63" t="inlineStr">
        <is>
          <t>fair-value governance and testing</t>
        </is>
      </c>
      <c r="D63" t="inlineStr">
        <is>
          <t>https://www.sec.gov/files/rules/final/2020/ic-34128.pdf</t>
        </is>
      </c>
      <c r="E63" t="inlineStr">
        <is>
          <t>Map explicitly</t>
        </is>
      </c>
      <c r="F63" t="inlineStr"/>
    </row>
    <row r="64">
      <c r="B64" t="inlineStr">
        <is>
          <t>IOSCO Liquidity Risk Recommendations</t>
        </is>
      </c>
      <c r="C64" t="inlineStr">
        <is>
          <t>fund liquidity and stress testing</t>
        </is>
      </c>
      <c r="D64" t="inlineStr">
        <is>
          <t>https://www.iosco.org/library/pubdocs/pdf/IOSCOPD590.pdf</t>
        </is>
      </c>
      <c r="E64" t="inlineStr">
        <is>
          <t>Map explicitly</t>
        </is>
      </c>
      <c r="F64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24" t="inlineStr">
        <is>
          <t>Independent Challenge, Override and Closure Log</t>
        </is>
      </c>
    </row>
    <row r="4">
      <c r="B4" s="28" t="inlineStr">
        <is>
          <t>Date</t>
        </is>
      </c>
      <c r="C4" s="28" t="inlineStr">
        <is>
          <t>Reviewer</t>
        </is>
      </c>
      <c r="D4" s="28" t="inlineStr">
        <is>
          <t>Challenge</t>
        </is>
      </c>
      <c r="E4" s="28" t="inlineStr">
        <is>
          <t>Owner response</t>
        </is>
      </c>
      <c r="F4" s="28" t="inlineStr">
        <is>
          <t>Evidence</t>
        </is>
      </c>
      <c r="G4" s="28" t="inlineStr">
        <is>
          <t>Impact</t>
        </is>
      </c>
      <c r="H4" s="28" t="inlineStr">
        <is>
          <t>Status</t>
        </is>
      </c>
      <c r="I4" s="28" t="inlineStr">
        <is>
          <t>Closure</t>
        </is>
      </c>
    </row>
    <row r="5">
      <c r="B5" t="inlineStr"/>
      <c r="C5" t="inlineStr"/>
      <c r="D5" t="inlineStr">
        <is>
          <t>NAV roll-forward reconciles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fees follow governing documents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liquidity buckets reflect time-to-cash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24" t="inlineStr">
        <is>
          <t>Source, Transformation, Ownership and Refresh Map</t>
        </is>
      </c>
    </row>
    <row r="4">
      <c r="B4" s="28" t="inlineStr">
        <is>
          <t>Source class</t>
        </is>
      </c>
      <c r="C4" s="28" t="inlineStr">
        <is>
          <t>Cadence</t>
        </is>
      </c>
      <c r="D4" s="28" t="inlineStr">
        <is>
          <t>Control</t>
        </is>
      </c>
      <c r="E4" s="28" t="inlineStr">
        <is>
          <t>System / provider</t>
        </is>
      </c>
      <c r="F4" s="28" t="inlineStr">
        <is>
          <t>As-of</t>
        </is>
      </c>
      <c r="G4" s="28" t="inlineStr">
        <is>
          <t>Owner</t>
        </is>
      </c>
      <c r="H4" s="28" t="inlineStr">
        <is>
          <t>Transform</t>
        </is>
      </c>
      <c r="I4" s="28" t="inlineStr">
        <is>
          <t>Downstream</t>
        </is>
      </c>
      <c r="J4" s="28" t="inlineStr">
        <is>
          <t>Status</t>
        </is>
      </c>
    </row>
    <row r="5">
      <c r="B5" t="inlineStr">
        <is>
          <t>positions and cash</t>
        </is>
      </c>
      <c r="C5" t="inlineStr">
        <is>
          <t>daily</t>
        </is>
      </c>
      <c r="D5" t="inlineStr">
        <is>
          <t>custodian and administrator reconciliation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prices</t>
        </is>
      </c>
      <c r="C6" t="inlineStr">
        <is>
          <t>daily</t>
        </is>
      </c>
      <c r="D6" t="inlineStr">
        <is>
          <t>source hierarchy and stale-price controls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Fund NAV Build</t>
        </is>
      </c>
    </row>
    <row r="4">
      <c r="C4" s="4" t="inlineStr">
        <is>
          <t>Period 0</t>
        </is>
      </c>
      <c r="D4" s="4" t="inlineStr">
        <is>
          <t>Period 1</t>
        </is>
      </c>
      <c r="E4" s="4" t="inlineStr">
        <is>
          <t>Period 2</t>
        </is>
      </c>
      <c r="F4" s="4" t="inlineStr">
        <is>
          <t>Period 3</t>
        </is>
      </c>
    </row>
    <row r="5">
      <c r="B5" s="2" t="inlineStr">
        <is>
          <t>Beginning NAV</t>
        </is>
      </c>
      <c r="C5" s="5" t="n">
        <v>0</v>
      </c>
      <c r="D5" s="6">
        <f>C10</f>
        <v/>
      </c>
      <c r="E5" s="6">
        <f>D10</f>
        <v/>
      </c>
      <c r="F5" s="6">
        <f>E10</f>
        <v/>
      </c>
    </row>
    <row r="6">
      <c r="B6" s="7" t="inlineStr">
        <is>
          <t>+ Capital contributions</t>
        </is>
      </c>
      <c r="C6" s="5" t="n">
        <v>0</v>
      </c>
      <c r="D6" s="5" t="n">
        <v>0</v>
      </c>
      <c r="E6" s="5" t="n">
        <v>0</v>
      </c>
      <c r="F6" s="5" t="n">
        <v>0</v>
      </c>
    </row>
    <row r="7">
      <c r="B7" s="7" t="inlineStr">
        <is>
          <t>+ Realized/unrealized gains</t>
        </is>
      </c>
      <c r="C7" s="5" t="n">
        <v>0</v>
      </c>
      <c r="D7" s="5" t="n">
        <v>0</v>
      </c>
      <c r="E7" s="5" t="n">
        <v>0</v>
      </c>
      <c r="F7" s="5" t="n">
        <v>0</v>
      </c>
    </row>
    <row r="8">
      <c r="B8" s="7" t="inlineStr">
        <is>
          <t>- Fees &amp; expenses</t>
        </is>
      </c>
      <c r="C8" s="5" t="n">
        <v>0</v>
      </c>
      <c r="D8" s="5" t="n">
        <v>0</v>
      </c>
      <c r="E8" s="5" t="n">
        <v>0</v>
      </c>
      <c r="F8" s="5" t="n">
        <v>0</v>
      </c>
    </row>
    <row r="9">
      <c r="B9" s="7" t="inlineStr">
        <is>
          <t>- Distributions</t>
        </is>
      </c>
      <c r="C9" s="5" t="n">
        <v>0</v>
      </c>
      <c r="D9" s="5" t="n">
        <v>0</v>
      </c>
      <c r="E9" s="5" t="n">
        <v>0</v>
      </c>
      <c r="F9" s="5" t="n">
        <v>0</v>
      </c>
    </row>
    <row r="10">
      <c r="B10" s="2" t="inlineStr">
        <is>
          <t>Ending NAV</t>
        </is>
      </c>
      <c r="C10" s="8">
        <f>C5+C6+C7-C8-C9</f>
        <v/>
      </c>
      <c r="D10" s="8">
        <f>D5+D6+D7-D8-D9</f>
        <v/>
      </c>
      <c r="E10" s="8">
        <f>E5+E6+E7-E8-E9</f>
        <v/>
      </c>
      <c r="F10" s="8">
        <f>F5+F6+F7-F8-F9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40" customWidth="1" min="4" max="4"/>
  </cols>
  <sheetData>
    <row r="2">
      <c r="B2" s="1" t="inlineStr">
        <is>
          <t>Fee Waterfall — Mgmt Fee + Carry w/ Hurdle</t>
        </is>
      </c>
    </row>
    <row r="4">
      <c r="B4" s="9" t="inlineStr">
        <is>
          <t>Inputs</t>
        </is>
      </c>
    </row>
    <row r="5">
      <c r="B5" s="7" t="inlineStr">
        <is>
          <t>Committed capital</t>
        </is>
      </c>
      <c r="C5" s="10" t="n">
        <v>0</v>
      </c>
    </row>
    <row r="6">
      <c r="B6" s="7" t="inlineStr">
        <is>
          <t>Management fee %</t>
        </is>
      </c>
      <c r="C6" s="11" t="n">
        <v>0.02</v>
      </c>
    </row>
    <row r="7">
      <c r="B7" s="7" t="inlineStr">
        <is>
          <t>Preferred return / hurdle %</t>
        </is>
      </c>
      <c r="C7" s="11" t="n">
        <v>0.08</v>
      </c>
    </row>
    <row r="8">
      <c r="B8" s="7" t="inlineStr">
        <is>
          <t>Carry / promote %</t>
        </is>
      </c>
      <c r="C8" s="11" t="n">
        <v>0.2</v>
      </c>
    </row>
    <row r="9">
      <c r="B9" s="7" t="inlineStr">
        <is>
          <t>GP catch-up %</t>
        </is>
      </c>
      <c r="C9" s="11" t="n">
        <v>1</v>
      </c>
    </row>
    <row r="10">
      <c r="B10" s="7" t="inlineStr">
        <is>
          <t>Gross fund profit (this period)</t>
        </is>
      </c>
      <c r="C10" s="10" t="n">
        <v>0</v>
      </c>
    </row>
    <row r="11">
      <c r="B11" s="7" t="inlineStr">
        <is>
          <t>Capital invested (basis for hurdle)</t>
        </is>
      </c>
      <c r="C11" s="10" t="n">
        <v>0</v>
      </c>
    </row>
    <row r="13">
      <c r="B13" s="9" t="inlineStr">
        <is>
          <t>Waterfall</t>
        </is>
      </c>
    </row>
    <row r="14">
      <c r="B14" t="inlineStr">
        <is>
          <t>1. Return of capital</t>
        </is>
      </c>
      <c r="C14" s="12">
        <f>MIN(C10,C11)</f>
        <v/>
      </c>
    </row>
    <row r="15">
      <c r="B15" t="inlineStr">
        <is>
          <t>2. Preferred return (hurdle) to LPs</t>
        </is>
      </c>
      <c r="C15" s="12">
        <f>MIN(MAX(C10-C14,0),C11*C7)</f>
        <v/>
      </c>
    </row>
    <row r="16">
      <c r="B16" t="inlineStr">
        <is>
          <t>3. GP catch-up</t>
        </is>
      </c>
      <c r="C16" s="12">
        <f>MIN(MAX(C10-C14-C15,0),C15*C8/(1-C8)*C9)</f>
        <v/>
      </c>
    </row>
    <row r="17">
      <c r="B17" t="inlineStr">
        <is>
          <t>4. Remaining profit split (LP/GP per carry%)</t>
        </is>
      </c>
      <c r="C17" s="12">
        <f>MAX(C10-C14-C15-C16,0)</f>
        <v/>
      </c>
    </row>
    <row r="18">
      <c r="B18" t="inlineStr">
        <is>
          <t xml:space="preserve">   GP share of remainder</t>
        </is>
      </c>
      <c r="C18" s="12">
        <f>C17*C8</f>
        <v/>
      </c>
    </row>
    <row r="19">
      <c r="B19" t="inlineStr">
        <is>
          <t xml:space="preserve">   LP share of remainder</t>
        </is>
      </c>
      <c r="C19" s="12">
        <f>C17*(1-C8)</f>
        <v/>
      </c>
    </row>
    <row r="21">
      <c r="B21" t="inlineStr">
        <is>
          <t>Total GP take (carry + catch-up)</t>
        </is>
      </c>
      <c r="C21" s="8">
        <f>C16+C18</f>
        <v/>
      </c>
    </row>
    <row r="22">
      <c r="B22" t="inlineStr">
        <is>
          <t>Total LP take</t>
        </is>
      </c>
      <c r="C22" s="8">
        <f>C14+C15+C19</f>
        <v/>
      </c>
    </row>
    <row r="23">
      <c r="B23" t="inlineStr">
        <is>
          <t>Annual management fee (separate from carry)</t>
        </is>
      </c>
      <c r="C23" s="12">
        <f>C5*C6</f>
        <v/>
      </c>
    </row>
    <row r="24">
      <c r="B24" t="inlineStr">
        <is>
          <t>Waterfall conservation residual</t>
        </is>
      </c>
      <c r="C24" s="12">
        <f>C10-C21-C22</f>
        <v/>
      </c>
      <c r="D24" s="15" t="inlineStr">
        <is>
          <t>Gross profit must equal GP take plus LP take; management fee remains separate.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2">
      <c r="B2" s="1" t="inlineStr">
        <is>
          <t>Performance Attribution</t>
        </is>
      </c>
    </row>
    <row r="4">
      <c r="A4" s="4" t="inlineStr"/>
      <c r="B4" s="4" t="inlineStr">
        <is>
          <t>Position/Strategy</t>
        </is>
      </c>
      <c r="C4" s="4" t="inlineStr">
        <is>
          <t>Contribution ($)</t>
        </is>
      </c>
      <c r="D4" s="4" t="inlineStr">
        <is>
          <t>Contribution (%)</t>
        </is>
      </c>
      <c r="E4" s="4" t="inlineStr">
        <is>
          <t>Weight (%)</t>
        </is>
      </c>
      <c r="F4" t="inlineStr">
        <is>
          <t>Notes</t>
        </is>
      </c>
    </row>
    <row r="5">
      <c r="B5" s="3" t="inlineStr">
        <is>
          <t>[fill in]</t>
        </is>
      </c>
      <c r="C5" s="5" t="n">
        <v>0</v>
      </c>
      <c r="D5" s="13" t="n">
        <v>0</v>
      </c>
      <c r="E5" s="13" t="n">
        <v>0</v>
      </c>
    </row>
    <row r="6">
      <c r="B6" s="3" t="inlineStr">
        <is>
          <t>[fill in]</t>
        </is>
      </c>
      <c r="C6" s="5" t="n">
        <v>0</v>
      </c>
      <c r="D6" s="13" t="n">
        <v>0</v>
      </c>
      <c r="E6" s="13" t="n">
        <v>0</v>
      </c>
    </row>
    <row r="7">
      <c r="B7" s="3" t="inlineStr">
        <is>
          <t>[fill in]</t>
        </is>
      </c>
      <c r="C7" s="5" t="n">
        <v>0</v>
      </c>
      <c r="D7" s="13" t="n">
        <v>0</v>
      </c>
      <c r="E7" s="13" t="n">
        <v>0</v>
      </c>
    </row>
    <row r="8">
      <c r="B8" s="3" t="inlineStr">
        <is>
          <t>[fill in]</t>
        </is>
      </c>
      <c r="C8" s="5" t="n">
        <v>0</v>
      </c>
      <c r="D8" s="13" t="n">
        <v>0</v>
      </c>
      <c r="E8" s="13" t="n">
        <v>0</v>
      </c>
    </row>
    <row r="9">
      <c r="B9" s="3" t="inlineStr">
        <is>
          <t>[fill in]</t>
        </is>
      </c>
      <c r="C9" s="5" t="n">
        <v>0</v>
      </c>
      <c r="D9" s="13" t="n">
        <v>0</v>
      </c>
      <c r="E9" s="13" t="n">
        <v>0</v>
      </c>
    </row>
    <row r="10">
      <c r="B10" s="3" t="inlineStr">
        <is>
          <t>[fill in]</t>
        </is>
      </c>
      <c r="C10" s="5" t="n">
        <v>0</v>
      </c>
      <c r="D10" s="13" t="n">
        <v>0</v>
      </c>
      <c r="E10" s="13" t="n">
        <v>0</v>
      </c>
    </row>
    <row r="11">
      <c r="B11" s="3" t="inlineStr">
        <is>
          <t>[fill in]</t>
        </is>
      </c>
      <c r="C11" s="5" t="n">
        <v>0</v>
      </c>
      <c r="D11" s="13" t="n">
        <v>0</v>
      </c>
      <c r="E11" s="13" t="n">
        <v>0</v>
      </c>
    </row>
    <row r="12">
      <c r="B12" s="2" t="inlineStr">
        <is>
          <t>Total fund return</t>
        </is>
      </c>
      <c r="C12" s="14">
        <f>SUM(C5:C11)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40" customWidth="1" min="7" max="7"/>
  </cols>
  <sheetData>
    <row r="2">
      <c r="B2" s="1" t="inlineStr">
        <is>
          <t>Fund Performance — LP Reporting Metrics</t>
        </is>
      </c>
    </row>
    <row r="4">
      <c r="B4" s="15" t="inlineStr">
        <is>
          <t>Uses the period cash flows and ending NAV from the Fund NAV tab.</t>
        </is>
      </c>
    </row>
    <row r="6">
      <c r="C6" s="4" t="inlineStr">
        <is>
          <t>Period 0</t>
        </is>
      </c>
      <c r="D6" s="4" t="inlineStr">
        <is>
          <t>Period 1</t>
        </is>
      </c>
      <c r="E6" s="4" t="inlineStr">
        <is>
          <t>Period 2</t>
        </is>
      </c>
      <c r="F6" s="4" t="inlineStr">
        <is>
          <t>Period 3</t>
        </is>
      </c>
    </row>
    <row r="7">
      <c r="B7" t="inlineStr">
        <is>
          <t>LP net cash flow (distributions - contributions)</t>
        </is>
      </c>
      <c r="C7" s="12">
        <f>'Fund NAV'!C9-'Fund NAV'!C6</f>
        <v/>
      </c>
      <c r="D7" s="12">
        <f>'Fund NAV'!D9-'Fund NAV'!D6</f>
        <v/>
      </c>
      <c r="E7" s="12">
        <f>'Fund NAV'!E9-'Fund NAV'!E6</f>
        <v/>
      </c>
      <c r="F7" s="12">
        <f>'Fund NAV'!F9-'Fund NAV'!F6</f>
        <v/>
      </c>
    </row>
    <row r="8">
      <c r="B8" t="inlineStr">
        <is>
          <t xml:space="preserve">  + terminal NAV added to final period</t>
        </is>
      </c>
      <c r="C8" s="16">
        <f>'Fund NAV'!F10</f>
        <v/>
      </c>
    </row>
    <row r="9">
      <c r="B9" t="inlineStr">
        <is>
          <t>LP cash flow incl. terminal value (for IRR)</t>
        </is>
      </c>
      <c r="C9" s="12">
        <f>C7</f>
        <v/>
      </c>
      <c r="D9" s="12">
        <f>D7</f>
        <v/>
      </c>
      <c r="E9" s="12">
        <f>E7</f>
        <v/>
      </c>
      <c r="F9" s="12">
        <f>F7+C8</f>
        <v/>
      </c>
    </row>
    <row r="12">
      <c r="B12" s="9" t="inlineStr">
        <is>
          <t>Outputs</t>
        </is>
      </c>
    </row>
    <row r="13">
      <c r="B13" t="inlineStr">
        <is>
          <t>Cumulative capital called</t>
        </is>
      </c>
      <c r="C13" s="16">
        <f>SUM('Fund NAV'!C6:F6)</f>
        <v/>
      </c>
    </row>
    <row r="14">
      <c r="B14" t="inlineStr">
        <is>
          <t>Cumulative distributions</t>
        </is>
      </c>
      <c r="C14" s="16">
        <f>SUM('Fund NAV'!C9:F9)</f>
        <v/>
      </c>
    </row>
    <row r="15">
      <c r="B15" t="inlineStr">
        <is>
          <t>Current NAV (residual value)</t>
        </is>
      </c>
      <c r="C15" s="16">
        <f>'Fund NAV'!F10</f>
        <v/>
      </c>
    </row>
    <row r="16">
      <c r="B16" t="inlineStr">
        <is>
          <t>DPI (Distributions to Paid-In)</t>
        </is>
      </c>
      <c r="C16" s="17">
        <f>IFERROR(C14/C13,"-")</f>
        <v/>
      </c>
    </row>
    <row r="17">
      <c r="B17" t="inlineStr">
        <is>
          <t>RVPI (Residual Value to Paid-In)</t>
        </is>
      </c>
      <c r="C17" s="17">
        <f>IFERROR(C15/C13,"-")</f>
        <v/>
      </c>
    </row>
    <row r="18">
      <c r="B18" t="inlineStr">
        <is>
          <t>TVPI (Total Value to Paid-In = DPI + RVPI)</t>
        </is>
      </c>
      <c r="C18" s="17">
        <f>IFERROR(C16+C17,"-")</f>
        <v/>
      </c>
      <c r="D18" s="15" t="inlineStr">
        <is>
          <t>Headline LP metric — total value (realized + unrealized) per dollar called</t>
        </is>
      </c>
    </row>
    <row r="19">
      <c r="B19" t="inlineStr">
        <is>
          <t>Net IRR to LPs (periodic, undated)</t>
        </is>
      </c>
      <c r="C19" s="18">
        <f>IFERROR(IRR(C9:F9),"-")</f>
        <v/>
      </c>
      <c r="D19" s="15" t="inlineStr">
        <is>
          <t>Treats each period as evenly spaced — use XIRR with real dates for called capital at irregular intervals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16" customWidth="1" min="4" max="4"/>
    <col width="16" customWidth="1" min="5" max="5"/>
    <col width="16" customWidth="1" min="6" max="6"/>
    <col width="44" customWidth="1" min="7" max="7"/>
  </cols>
  <sheetData>
    <row r="2">
      <c r="B2" s="1" t="inlineStr">
        <is>
          <t>Time-Weighted, Money-Weighted, and Benchmark Return Controls</t>
        </is>
      </c>
    </row>
    <row r="4">
      <c r="B4" s="4" t="inlineStr">
        <is>
          <t>Metric</t>
        </is>
      </c>
      <c r="C4" s="4" t="inlineStr">
        <is>
          <t>Period 0</t>
        </is>
      </c>
      <c r="D4" s="4" t="inlineStr">
        <is>
          <t>Period 1</t>
        </is>
      </c>
      <c r="E4" s="4" t="inlineStr">
        <is>
          <t>Period 2</t>
        </is>
      </c>
      <c r="F4" s="4" t="inlineStr">
        <is>
          <t>Period 3</t>
        </is>
      </c>
      <c r="G4" s="4" t="inlineStr">
        <is>
          <t>Interpretation</t>
        </is>
      </c>
    </row>
    <row r="5">
      <c r="B5" t="inlineStr">
        <is>
          <t>Beginning NAV</t>
        </is>
      </c>
      <c r="C5" s="12">
        <f>'Fund NAV'!C5</f>
        <v/>
      </c>
      <c r="D5" s="12">
        <f>'Fund NAV'!D5</f>
        <v/>
      </c>
      <c r="E5" s="12">
        <f>'Fund NAV'!E5</f>
        <v/>
      </c>
      <c r="F5" s="12">
        <f>'Fund NAV'!F5</f>
        <v/>
      </c>
    </row>
    <row r="6">
      <c r="B6" t="inlineStr">
        <is>
          <t>Contributions</t>
        </is>
      </c>
      <c r="C6" s="12">
        <f>'Fund NAV'!C6</f>
        <v/>
      </c>
      <c r="D6" s="12">
        <f>'Fund NAV'!D6</f>
        <v/>
      </c>
      <c r="E6" s="12">
        <f>'Fund NAV'!E6</f>
        <v/>
      </c>
      <c r="F6" s="12">
        <f>'Fund NAV'!F6</f>
        <v/>
      </c>
    </row>
    <row r="7">
      <c r="B7" t="inlineStr">
        <is>
          <t>Distributions</t>
        </is>
      </c>
      <c r="C7" s="12">
        <f>'Fund NAV'!C9</f>
        <v/>
      </c>
      <c r="D7" s="12">
        <f>'Fund NAV'!D9</f>
        <v/>
      </c>
      <c r="E7" s="12">
        <f>'Fund NAV'!E9</f>
        <v/>
      </c>
      <c r="F7" s="12">
        <f>'Fund NAV'!F9</f>
        <v/>
      </c>
    </row>
    <row r="8">
      <c r="B8" t="inlineStr">
        <is>
          <t>Ending NAV</t>
        </is>
      </c>
      <c r="C8" s="12">
        <f>'Fund NAV'!C10</f>
        <v/>
      </c>
      <c r="D8" s="12">
        <f>'Fund NAV'!D10</f>
        <v/>
      </c>
      <c r="E8" s="12">
        <f>'Fund NAV'!E10</f>
        <v/>
      </c>
      <c r="F8" s="12">
        <f>'Fund NAV'!F10</f>
        <v/>
      </c>
    </row>
    <row r="9">
      <c r="B9" t="inlineStr">
        <is>
          <t>Subperiod return</t>
        </is>
      </c>
      <c r="C9" s="20">
        <f>IFERROR((C8+C7-C6)/C5-1,"-")</f>
        <v/>
      </c>
      <c r="D9" s="20">
        <f>IFERROR((D8+D7-D6)/D5-1,"-")</f>
        <v/>
      </c>
      <c r="E9" s="20">
        <f>IFERROR((E8+E7-E6)/E5-1,"-")</f>
        <v/>
      </c>
      <c r="F9" s="20">
        <f>IFERROR((F8+F7-F6)/F5-1,"-")</f>
        <v/>
      </c>
    </row>
    <row r="12">
      <c r="B12" t="inlineStr">
        <is>
          <t>Time-weighted return</t>
        </is>
      </c>
      <c r="C12" s="20">
        <f>IF(COUNT(C9:F9)&lt;4,"-",PRODUCT(1+C9:F9)-1)</f>
        <v/>
      </c>
    </row>
    <row r="13">
      <c r="B13" t="inlineStr">
        <is>
          <t>Money-weighted return / IRR</t>
        </is>
      </c>
      <c r="C13" s="20">
        <f>'Fund Performance'!C19</f>
        <v/>
      </c>
    </row>
    <row r="14">
      <c r="B14" t="inlineStr">
        <is>
          <t>Benchmark return</t>
        </is>
      </c>
      <c r="C14" s="11" t="n">
        <v>0</v>
      </c>
    </row>
    <row r="15">
      <c r="B15" t="inlineStr">
        <is>
          <t>Excess return</t>
        </is>
      </c>
      <c r="C15" s="20">
        <f>IF(AND(ISNUMBER(C12),ISNUMBER(C14)),C12-C14,"-")</f>
        <v/>
      </c>
    </row>
    <row r="17">
      <c r="B17" s="15" t="inlineStr">
        <is>
          <t>Time-weighted return neutralizes external cash flows at each subperiod boundary; irregular intra-period flows require dated or daily valuation methods.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8" customWidth="1" min="4" max="4"/>
    <col width="44" customWidth="1" min="5" max="5"/>
  </cols>
  <sheetData>
    <row r="2">
      <c r="B2" s="1" t="inlineStr">
        <is>
          <t>Exposure, Concentration, Redemptions, and Liquidity Coverage</t>
        </is>
      </c>
    </row>
    <row r="4">
      <c r="B4" s="4" t="inlineStr">
        <is>
          <t>Metric</t>
        </is>
      </c>
      <c r="C4" s="4" t="inlineStr">
        <is>
          <t>Base</t>
        </is>
      </c>
      <c r="D4" s="4" t="inlineStr">
        <is>
          <t>Downside</t>
        </is>
      </c>
      <c r="E4" s="4" t="inlineStr">
        <is>
          <t>Control / interpretation</t>
        </is>
      </c>
    </row>
    <row r="5">
      <c r="B5" t="inlineStr">
        <is>
          <t>Gross exposure</t>
        </is>
      </c>
      <c r="C5" s="10" t="n">
        <v>150</v>
      </c>
      <c r="D5" s="10" t="n">
        <v>180</v>
      </c>
      <c r="E5" t="inlineStr">
        <is>
          <t>sum of absolute long and short market exposures</t>
        </is>
      </c>
    </row>
    <row r="6">
      <c r="B6" t="inlineStr">
        <is>
          <t>Net exposure</t>
        </is>
      </c>
      <c r="C6" s="10" t="n">
        <v>60</v>
      </c>
      <c r="D6" s="10" t="n">
        <v>100</v>
      </c>
      <c r="E6" t="inlineStr">
        <is>
          <t>long less short exposure</t>
        </is>
      </c>
    </row>
    <row r="7">
      <c r="B7" t="inlineStr">
        <is>
          <t>Current NAV</t>
        </is>
      </c>
      <c r="C7" s="12">
        <f>'Fund NAV'!F10</f>
        <v/>
      </c>
      <c r="D7" s="12">
        <f>'Fund NAV'!F10</f>
        <v/>
      </c>
      <c r="E7" t="inlineStr">
        <is>
          <t>linked to current residual value</t>
        </is>
      </c>
    </row>
    <row r="8">
      <c r="B8" t="inlineStr">
        <is>
          <t>Top-10 position exposure</t>
        </is>
      </c>
      <c r="C8" s="10" t="n">
        <v>35</v>
      </c>
      <c r="D8" s="10" t="n">
        <v>55</v>
      </c>
      <c r="E8" t="inlineStr">
        <is>
          <t>concentration numerator</t>
        </is>
      </c>
    </row>
    <row r="9">
      <c r="B9" t="inlineStr">
        <is>
          <t>Illiquid / gated NAV</t>
        </is>
      </c>
      <c r="C9" s="10" t="n">
        <v>15</v>
      </c>
      <c r="D9" s="10" t="n">
        <v>35</v>
      </c>
      <c r="E9" t="inlineStr">
        <is>
          <t>assets not monetizable inside the review horizon</t>
        </is>
      </c>
    </row>
    <row r="10">
      <c r="B10" t="inlineStr">
        <is>
          <t>Thirty-day redemption / distribution demand</t>
        </is>
      </c>
      <c r="C10" s="10" t="n">
        <v>12</v>
      </c>
      <c r="D10" s="10" t="n">
        <v>40</v>
      </c>
      <c r="E10" t="inlineStr">
        <is>
          <t>expected cash demand</t>
        </is>
      </c>
    </row>
    <row r="11">
      <c r="B11" t="inlineStr">
        <is>
          <t>Unfunded commitments</t>
        </is>
      </c>
      <c r="C11" s="10" t="n">
        <v>8</v>
      </c>
      <c r="D11" s="10" t="n">
        <v>20</v>
      </c>
      <c r="E11" t="inlineStr">
        <is>
          <t>contractual capital-call exposure</t>
        </is>
      </c>
    </row>
    <row r="12">
      <c r="B12" t="inlineStr">
        <is>
          <t>Unrestricted liquid assets</t>
        </is>
      </c>
      <c r="C12" s="10" t="n">
        <v>30</v>
      </c>
      <c r="D12" s="10" t="n">
        <v>15</v>
      </c>
      <c r="E12" t="inlineStr">
        <is>
          <t>cash plus assets monetizable inside thirty days</t>
        </is>
      </c>
    </row>
    <row r="13">
      <c r="B13" t="inlineStr">
        <is>
          <t>Maximum top-10 concentration</t>
        </is>
      </c>
      <c r="C13" s="11" t="n">
        <v>0.4</v>
      </c>
      <c r="D13" s="11" t="n">
        <v>0.4</v>
      </c>
      <c r="E13" t="inlineStr">
        <is>
          <t>approved limit</t>
        </is>
      </c>
    </row>
    <row r="14">
      <c r="B14" t="inlineStr">
        <is>
          <t>Maximum illiquid NAV</t>
        </is>
      </c>
      <c r="C14" s="11" t="n">
        <v>0.25</v>
      </c>
      <c r="D14" s="11" t="n">
        <v>0.25</v>
      </c>
      <c r="E14" t="inlineStr">
        <is>
          <t>approved limit</t>
        </is>
      </c>
    </row>
    <row r="15">
      <c r="B15" t="inlineStr">
        <is>
          <t>Minimum liquidity coverage</t>
        </is>
      </c>
      <c r="C15" s="21" t="n">
        <v>1.2</v>
      </c>
      <c r="D15" s="21" t="n">
        <v>1.2</v>
      </c>
      <c r="E15" t="inlineStr">
        <is>
          <t>liquid assets / redemption plus commitments</t>
        </is>
      </c>
    </row>
    <row r="18">
      <c r="B18" t="inlineStr">
        <is>
          <t>Gross leverage</t>
        </is>
      </c>
      <c r="C18" s="22">
        <f>IFERROR(C5/C7,0)</f>
        <v/>
      </c>
      <c r="D18" s="22">
        <f>IFERROR(D5/D7,0)</f>
        <v/>
      </c>
    </row>
    <row r="19">
      <c r="B19" t="inlineStr">
        <is>
          <t>Net exposure / NAV</t>
        </is>
      </c>
      <c r="C19" s="22">
        <f>IFERROR(C6/C7,0)</f>
        <v/>
      </c>
      <c r="D19" s="22">
        <f>IFERROR(D6/D7,0)</f>
        <v/>
      </c>
    </row>
    <row r="20">
      <c r="B20" t="inlineStr">
        <is>
          <t>Top-10 concentration</t>
        </is>
      </c>
      <c r="C20" s="20">
        <f>IFERROR(C8/C7,0)</f>
        <v/>
      </c>
      <c r="D20" s="20">
        <f>IFERROR(D8/D7,0)</f>
        <v/>
      </c>
    </row>
    <row r="21">
      <c r="B21" t="inlineStr">
        <is>
          <t>Illiquid NAV</t>
        </is>
      </c>
      <c r="C21" s="20">
        <f>IFERROR(C9/C7,0)</f>
        <v/>
      </c>
      <c r="D21" s="20">
        <f>IFERROR(D9/D7,0)</f>
        <v/>
      </c>
    </row>
    <row r="22">
      <c r="B22" t="inlineStr">
        <is>
          <t>Liquidity coverage</t>
        </is>
      </c>
      <c r="C22" s="22">
        <f>IFERROR(C12/(C10+C11),0)</f>
        <v/>
      </c>
      <c r="D22" s="22">
        <f>IFERROR(D12/(D10+D11),0)</f>
        <v/>
      </c>
    </row>
    <row r="23">
      <c r="B23" t="inlineStr">
        <is>
          <t>Downside status</t>
        </is>
      </c>
      <c r="C23" s="19">
        <f>IF(AND(D20&lt;=D13,D21&lt;=D14,D22&gt;=D15),"PASS","BREACH")</f>
        <v/>
      </c>
      <c r="D23" s="1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50" customWidth="1" min="5" max="5"/>
  </cols>
  <sheetData>
    <row r="2">
      <c r="B2" s="1" t="inlineStr">
        <is>
          <t>Asset Management Decision Dashboard and Independent Checks</t>
        </is>
      </c>
    </row>
    <row r="4">
      <c r="B4" s="4" t="inlineStr">
        <is>
          <t>Check / decision</t>
        </is>
      </c>
      <c r="C4" s="4" t="inlineStr">
        <is>
          <t>Metric</t>
        </is>
      </c>
      <c r="D4" s="4" t="inlineStr">
        <is>
          <t>Status</t>
        </is>
      </c>
      <c r="E4" s="4" t="inlineStr">
        <is>
          <t>Interpretation / action</t>
        </is>
      </c>
    </row>
    <row r="5">
      <c r="B5" t="inlineStr">
        <is>
          <t>NAV rollforward residual</t>
        </is>
      </c>
      <c r="C5" s="19">
        <f>'Fund NAV'!F10-('Fund NAV'!F5+'Fund NAV'!F6+'Fund NAV'!F7-'Fund NAV'!F8-'Fund NAV'!F9)</f>
        <v/>
      </c>
      <c r="D5" s="19">
        <f>IF(ABS(C5)&lt;0.01,"PASS","FAIL")</f>
        <v/>
      </c>
      <c r="E5" t="inlineStr">
        <is>
          <t>Ending NAV must conserve beginning NAV, flows, gains, fees, and distributions.</t>
        </is>
      </c>
    </row>
    <row r="6">
      <c r="B6" t="inlineStr">
        <is>
          <t>TVPI identity residual</t>
        </is>
      </c>
      <c r="C6" s="19">
        <f>IF(AND(ISNUMBER('Fund Performance'!C18),ISNUMBER('Fund Performance'!C16),ISNUMBER('Fund Performance'!C17)),'Fund Performance'!C18-'Fund Performance'!C16-'Fund Performance'!C17,0)</f>
        <v/>
      </c>
      <c r="D6" s="19">
        <f>IF(AND(ISNUMBER('Fund Performance'!C18),ISNUMBER('Fund Performance'!C16),ISNUMBER('Fund Performance'!C17)),IF(ABS(C6)&lt;0.000001,"PASS","FAIL"),"REVIEW")</f>
        <v/>
      </c>
      <c r="E6" t="inlineStr">
        <is>
          <t>TVPI must equal DPI plus RVPI.</t>
        </is>
      </c>
    </row>
    <row r="7">
      <c r="B7" t="inlineStr">
        <is>
          <t>Waterfall conservation residual</t>
        </is>
      </c>
      <c r="C7" s="19">
        <f>'Fee Waterfall'!C24</f>
        <v/>
      </c>
      <c r="D7" s="19">
        <f>IF(ABS(C7)&lt;0.01,"PASS","FAIL")</f>
        <v/>
      </c>
      <c r="E7" t="inlineStr">
        <is>
          <t>Gross profit must reconcile between LP and GP allocations.</t>
        </is>
      </c>
    </row>
    <row r="8">
      <c r="B8" t="inlineStr">
        <is>
          <t>Carry-rate bounds</t>
        </is>
      </c>
      <c r="C8" s="19">
        <f>'Fee Waterfall'!C8</f>
        <v/>
      </c>
      <c r="D8" s="19">
        <f>IF(AND(C8&gt;=0,C8&lt;1),"PASS","FAIL")</f>
        <v/>
      </c>
      <c r="E8" t="inlineStr">
        <is>
          <t>Carry outside zero to one invalidates the waterfall.</t>
        </is>
      </c>
    </row>
    <row r="9">
      <c r="B9" t="inlineStr">
        <is>
          <t>Time-weighted return</t>
        </is>
      </c>
      <c r="C9" s="19">
        <f>'Return Measurement'!C12</f>
        <v/>
      </c>
      <c r="D9" s="19">
        <f>IF(ISNUMBER(C9),"PASS","REVIEW")</f>
        <v/>
      </c>
      <c r="E9" t="inlineStr">
        <is>
          <t>Use valuation-consistent subperiods and disclose benchmark and composite policy.</t>
        </is>
      </c>
    </row>
    <row r="10">
      <c r="B10" t="inlineStr">
        <is>
          <t>Excess return</t>
        </is>
      </c>
      <c r="C10" s="19">
        <f>'Return Measurement'!C15</f>
        <v/>
      </c>
      <c r="D10" s="19">
        <f>IF(ISNUMBER(C10),"PASS","REVIEW")</f>
        <v/>
      </c>
      <c r="E10" t="inlineStr">
        <is>
          <t>Benchmark-relative performance must use a documented and appropriate comparison.</t>
        </is>
      </c>
    </row>
    <row r="11">
      <c r="B11" t="inlineStr">
        <is>
          <t>Downside top-10 concentration</t>
        </is>
      </c>
      <c r="C11" s="19">
        <f>'Exposure &amp; Liquidity'!D20</f>
        <v/>
      </c>
      <c r="D11" s="19">
        <f>IF(C11&lt;='Exposure &amp; Liquidity'!D13,"PASS","BREACH")</f>
        <v/>
      </c>
      <c r="E11" t="inlineStr">
        <is>
          <t>Escalate concentration and correlated exit risk.</t>
        </is>
      </c>
    </row>
    <row r="12">
      <c r="B12" t="inlineStr">
        <is>
          <t>Downside illiquid NAV</t>
        </is>
      </c>
      <c r="C12" s="19">
        <f>'Exposure &amp; Liquidity'!D21</f>
        <v/>
      </c>
      <c r="D12" s="19">
        <f>IF(C12&lt;='Exposure &amp; Liquidity'!D14,"PASS","BREACH")</f>
        <v/>
      </c>
      <c r="E12" t="inlineStr">
        <is>
          <t>Illiquidity must be reconciled against gates, notice periods, and unfunded obligations.</t>
        </is>
      </c>
    </row>
    <row r="13">
      <c r="B13" t="inlineStr">
        <is>
          <t>Downside liquidity coverage</t>
        </is>
      </c>
      <c r="C13" s="19">
        <f>'Exposure &amp; Liquidity'!D22</f>
        <v/>
      </c>
      <c r="D13" s="19">
        <f>IF(C13&gt;='Exposure &amp; Liquidity'!D15,"PASS","BREACH")</f>
        <v/>
      </c>
      <c r="E13" t="inlineStr">
        <is>
          <t>Liquid resources must cover modeled redemptions, distributions, and capital calls.</t>
        </is>
      </c>
    </row>
    <row r="15">
      <c r="B15" s="2" t="inlineStr">
        <is>
          <t>Overall model status</t>
        </is>
      </c>
      <c r="C15" s="23">
        <f>IF(COUNTIF(D5:D13,"FAIL")+COUNTIF(D5:D13,"BREACH")&gt;0,"BREACH",IF(COUNTIF(D5:D13,"REVIEW")&gt;0,"REVIEW","PASS"))</f>
        <v/>
      </c>
    </row>
    <row r="17">
      <c r="B17" s="9" t="inlineStr">
        <is>
          <t>Primary decision outputs</t>
        </is>
      </c>
    </row>
    <row r="18">
      <c r="B18" t="inlineStr">
        <is>
          <t>Ending NAV</t>
        </is>
      </c>
      <c r="C18" s="12">
        <f>'Fund NAV'!F10</f>
        <v/>
      </c>
    </row>
    <row r="19">
      <c r="B19" t="inlineStr">
        <is>
          <t>DPI</t>
        </is>
      </c>
      <c r="C19" s="22">
        <f>'Fund Performance'!C16</f>
        <v/>
      </c>
    </row>
    <row r="20">
      <c r="B20" t="inlineStr">
        <is>
          <t>RVPI</t>
        </is>
      </c>
      <c r="C20" s="22">
        <f>'Fund Performance'!C17</f>
        <v/>
      </c>
    </row>
    <row r="21">
      <c r="B21" t="inlineStr">
        <is>
          <t>TVPI</t>
        </is>
      </c>
      <c r="C21" s="22">
        <f>'Fund Performance'!C18</f>
        <v/>
      </c>
    </row>
    <row r="22">
      <c r="B22" t="inlineStr">
        <is>
          <t>Net IRR</t>
        </is>
      </c>
      <c r="C22" s="20">
        <f>'Fund Performance'!C19</f>
        <v/>
      </c>
    </row>
    <row r="23">
      <c r="B23" t="inlineStr">
        <is>
          <t>Time-weighted return</t>
        </is>
      </c>
      <c r="C23" s="20">
        <f>'Return Measurement'!C12</f>
        <v/>
      </c>
    </row>
    <row r="24">
      <c r="B24" t="inlineStr">
        <is>
          <t>Downside liquidity coverage</t>
        </is>
      </c>
      <c r="C24" s="22">
        <f>'Exposure &amp; Liquidity'!D22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Refresh Log</t>
        </is>
      </c>
    </row>
    <row r="4">
      <c r="B4" s="4" t="inlineStr">
        <is>
          <t>Date</t>
        </is>
      </c>
      <c r="C4" s="4" t="inlineStr">
        <is>
          <t>Trigger</t>
        </is>
      </c>
      <c r="D4" s="4" t="inlineStr">
        <is>
          <t>What changed</t>
        </is>
      </c>
      <c r="E4" s="4" t="inlineStr">
        <is>
          <t>Reviewer notes</t>
        </is>
      </c>
      <c r="F4" s="4" t="inlineStr">
        <is>
          <t>Next check</t>
        </is>
      </c>
    </row>
    <row r="5">
      <c r="B5" s="19" t="n"/>
      <c r="C5" s="19" t="n"/>
      <c r="D5" s="19" t="n"/>
      <c r="E5" s="19" t="n"/>
      <c r="F5" s="19" t="n"/>
    </row>
    <row r="6">
      <c r="B6" s="19" t="n"/>
      <c r="C6" s="19" t="n"/>
      <c r="D6" s="19" t="n"/>
      <c r="E6" s="19" t="n"/>
      <c r="F6" s="19" t="n"/>
    </row>
    <row r="7">
      <c r="B7" s="19" t="n"/>
      <c r="C7" s="19" t="n"/>
      <c r="D7" s="19" t="n"/>
      <c r="E7" s="19" t="n"/>
      <c r="F7" s="19" t="n"/>
    </row>
    <row r="8">
      <c r="B8" s="19" t="n"/>
      <c r="C8" s="19" t="n"/>
      <c r="D8" s="19" t="n"/>
      <c r="E8" s="19" t="n"/>
      <c r="F8" s="19" t="n"/>
    </row>
    <row r="9">
      <c r="B9" s="19" t="n"/>
      <c r="C9" s="19" t="n"/>
      <c r="D9" s="19" t="n"/>
      <c r="E9" s="19" t="n"/>
      <c r="F9" s="19" t="n"/>
    </row>
    <row r="10">
      <c r="B10" s="19" t="n"/>
      <c r="C10" s="19" t="n"/>
      <c r="D10" s="19" t="n"/>
      <c r="E10" s="19" t="n"/>
      <c r="F10" s="19" t="n"/>
    </row>
    <row r="11">
      <c r="B11" s="19" t="n"/>
      <c r="C11" s="19" t="n"/>
      <c r="D11" s="19" t="n"/>
      <c r="E11" s="19" t="n"/>
      <c r="F11" s="19" t="n"/>
    </row>
    <row r="12">
      <c r="B12" s="19" t="n"/>
      <c r="C12" s="19" t="n"/>
      <c r="D12" s="19" t="n"/>
      <c r="E12" s="19" t="n"/>
      <c r="F12" s="19" t="n"/>
    </row>
    <row r="13">
      <c r="B13" s="19" t="n"/>
      <c r="C13" s="19" t="n"/>
      <c r="D13" s="19" t="n"/>
      <c r="E13" s="19" t="n"/>
      <c r="F13" s="19" t="n"/>
    </row>
    <row r="14">
      <c r="B14" s="19" t="n"/>
      <c r="C14" s="19" t="n"/>
      <c r="D14" s="19" t="n"/>
      <c r="E14" s="19" t="n"/>
      <c r="F14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2026-08-05T22:48:45Z</dcterms:created>
  <dcterms:modified xmlns:dcterms="http://purl.org/dc/terms/" xmlns:xsi="http://www.w3.org/2001/XMLSchema-instance" xsi:type="dcterms:W3CDTF">2026-08-05T22:48:45Z</dcterms:modified>
</cp:coreProperties>
</file>