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European Pricer" sheetId="6" state="visible" r:id="rId6"/>
    <sheet xmlns:r="http://schemas.openxmlformats.org/officeDocument/2006/relationships" name="Implied Vol" sheetId="7" state="visible" r:id="rId7"/>
    <sheet xmlns:r="http://schemas.openxmlformats.org/officeDocument/2006/relationships" name="Greeks" sheetId="8" state="visible" r:id="rId8"/>
    <sheet xmlns:r="http://schemas.openxmlformats.org/officeDocument/2006/relationships" name="Vol Surface" sheetId="9" state="visible" r:id="rId9"/>
    <sheet xmlns:r="http://schemas.openxmlformats.org/officeDocument/2006/relationships" name="Portfolio" sheetId="10" state="visible" r:id="rId10"/>
    <sheet xmlns:r="http://schemas.openxmlformats.org/officeDocument/2006/relationships" name="Scenario P&amp;L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$#,##0.00;[Red]($#,##0.00);-"/>
    <numFmt numFmtId="165" formatCode="0.0000"/>
    <numFmt numFmtId="166" formatCode="0.00%;[Red](0.00%);-"/>
    <numFmt numFmtId="167" formatCode="0.000"/>
    <numFmt numFmtId="168" formatCode="0.000000"/>
    <numFmt numFmtId="169" formatCode="$#,##0.0;[Red]($#,##0.0);-"/>
    <numFmt numFmtId="170" formatCode="0.0%;[Red](0.0%)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" fontId="3" fillId="3" borderId="1" pivotButton="0" quotePrefix="0" xfId="0"/>
    <xf numFmtId="1" fontId="8" fillId="0" borderId="0" pivotButton="0" quotePrefix="0" xfId="0"/>
    <xf numFmtId="167" fontId="3" fillId="3" borderId="1" pivotButton="0" quotePrefix="0" xfId="0"/>
    <xf numFmtId="167" fontId="8" fillId="0" borderId="0" pivotButton="0" quotePrefix="0" xfId="0"/>
    <xf numFmtId="168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2" fontId="3" fillId="3" borderId="1" pivotButton="0" quotePrefix="0" xfId="0"/>
    <xf numFmtId="169" fontId="0" fillId="0" borderId="0" pivotButton="0" quotePrefix="0" xfId="0"/>
    <xf numFmtId="0" fontId="2" fillId="0" borderId="2" pivotButton="0" quotePrefix="0" xfId="0"/>
    <xf numFmtId="168" fontId="2" fillId="0" borderId="2" pivotButton="0" quotePrefix="0" xfId="0"/>
    <xf numFmtId="169" fontId="2" fillId="0" borderId="2" pivotButton="0" quotePrefix="0" xfId="0"/>
    <xf numFmtId="170" fontId="4" fillId="2" borderId="1" applyAlignment="1" pivotButton="0" quotePrefix="0" xfId="0">
      <alignment horizontal="center" vertical="center" wrapText="1"/>
    </xf>
    <xf numFmtId="17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9" fillId="4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4" borderId="0" pivotButton="0" quotePrefix="0" xfId="0"/>
    <xf numFmtId="0" fontId="10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[UNDERLYING] — Options &amp; Derivatives Model</t>
        </is>
      </c>
    </row>
    <row r="4">
      <c r="B4" s="2" t="inlineStr">
        <is>
          <t>Underlying:</t>
        </is>
      </c>
      <c r="C4" s="3" t="inlineStr">
        <is>
          <t>[Ticker / index / FX / commodity]</t>
        </is>
      </c>
    </row>
    <row r="5">
      <c r="B5" s="2" t="inlineStr">
        <is>
          <t>Use case:</t>
        </is>
      </c>
      <c r="C5" s="3" t="inlineStr">
        <is>
          <t>Pricing / volatility / portfolio risk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expiry / event: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Daily near expiry; weekly otherwise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Per option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4" t="inlineStr">
        <is>
          <t>Options &amp; Derivatives — Institutional Decision Surface</t>
        </is>
      </c>
    </row>
    <row r="4">
      <c r="B4" s="35" t="inlineStr">
        <is>
          <t>Model ID</t>
        </is>
      </c>
      <c r="C4" s="36" t="inlineStr">
        <is>
          <t>14</t>
        </is>
      </c>
    </row>
    <row r="5">
      <c r="B5" s="35" t="inlineStr">
        <is>
          <t>Domain</t>
        </is>
      </c>
      <c r="C5" s="36" t="inlineStr">
        <is>
          <t>Options &amp; Derivatives</t>
        </is>
      </c>
    </row>
    <row r="6">
      <c r="B6" s="35" t="inlineStr">
        <is>
          <t>Declared maturity</t>
        </is>
      </c>
      <c r="C6" s="36" t="inlineStr">
        <is>
          <t>M2</t>
        </is>
      </c>
    </row>
    <row r="7">
      <c r="B7" s="35" t="inlineStr">
        <is>
          <t>Canonical builder</t>
        </is>
      </c>
      <c r="C7" s="36" t="inlineStr">
        <is>
          <t>tools/builders/build_options_release.py</t>
        </is>
      </c>
    </row>
    <row r="8">
      <c r="B8" s="35" t="inlineStr">
        <is>
          <t>Decision arena</t>
        </is>
      </c>
      <c r="C8" s="36" t="inlineStr">
        <is>
          <t>trading desk, market making, independent risk and model validation</t>
        </is>
      </c>
    </row>
    <row r="9">
      <c r="B9" s="35" t="inlineStr">
        <is>
          <t>Committee artifact</t>
        </is>
      </c>
      <c r="C9" s="36" t="inlineStr">
        <is>
          <t>volatility and Greeks risk pack</t>
        </is>
      </c>
    </row>
    <row r="10">
      <c r="B10" s="35" t="inlineStr">
        <is>
          <t>Operating cadence</t>
        </is>
      </c>
      <c r="C10" s="36" t="inlineStr">
        <is>
          <t>intraday desk; daily risk and margin</t>
        </is>
      </c>
    </row>
    <row r="12">
      <c r="B12" s="37" t="inlineStr">
        <is>
          <t>Key decision outputs</t>
        </is>
      </c>
    </row>
    <row r="13">
      <c r="B13" s="38" t="inlineStr">
        <is>
          <t>#</t>
        </is>
      </c>
      <c r="C13" s="38" t="inlineStr">
        <is>
          <t>Requirement</t>
        </is>
      </c>
      <c r="D13" s="38" t="inlineStr">
        <is>
          <t>Owner</t>
        </is>
      </c>
      <c r="E13" s="38" t="inlineStr">
        <is>
          <t>Evidence / location</t>
        </is>
      </c>
      <c r="F13" s="38" t="inlineStr">
        <is>
          <t>Status</t>
        </is>
      </c>
    </row>
    <row r="14">
      <c r="B14" t="n">
        <v>1</v>
      </c>
      <c r="C14" t="inlineStr">
        <is>
          <t>fair value and implied volatility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surface and skew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portfolio Greeks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7" t="inlineStr">
        <is>
          <t>Insider questions</t>
        </is>
      </c>
    </row>
    <row r="21">
      <c r="B21" s="38" t="inlineStr">
        <is>
          <t>#</t>
        </is>
      </c>
      <c r="C21" s="38" t="inlineStr">
        <is>
          <t>Requirement</t>
        </is>
      </c>
      <c r="D21" s="38" t="inlineStr">
        <is>
          <t>Owner</t>
        </is>
      </c>
      <c r="E21" s="38" t="inlineStr">
        <is>
          <t>Evidence / location</t>
        </is>
      </c>
      <c r="F21" s="38" t="inlineStr">
        <is>
          <t>Status</t>
        </is>
      </c>
    </row>
    <row r="22">
      <c r="B22" t="n">
        <v>1</v>
      </c>
      <c r="C22" t="inlineStr">
        <is>
          <t>What surface convention drives the hedge?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Where is the wing marked by model, not market?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Greeks are unstable near expiry?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7" t="inlineStr">
        <is>
          <t>Scenario families</t>
        </is>
      </c>
    </row>
    <row r="29">
      <c r="B29" s="38" t="inlineStr">
        <is>
          <t>#</t>
        </is>
      </c>
      <c r="C29" s="38" t="inlineStr">
        <is>
          <t>Requirement</t>
        </is>
      </c>
      <c r="D29" s="38" t="inlineStr">
        <is>
          <t>Owner</t>
        </is>
      </c>
      <c r="E29" s="38" t="inlineStr">
        <is>
          <t>Evidence / location</t>
        </is>
      </c>
      <c r="F29" s="38" t="inlineStr">
        <is>
          <t>Status</t>
        </is>
      </c>
    </row>
    <row r="30">
      <c r="B30" t="n">
        <v>1</v>
      </c>
      <c r="C30" t="inlineStr">
        <is>
          <t>spot jump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parallel and localized vol shock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skew twist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7" t="inlineStr">
        <is>
          <t>Primary diligence documents</t>
        </is>
      </c>
    </row>
    <row r="37">
      <c r="B37" s="38" t="inlineStr">
        <is>
          <t>#</t>
        </is>
      </c>
      <c r="C37" s="38" t="inlineStr">
        <is>
          <t>Requirement</t>
        </is>
      </c>
      <c r="D37" s="38" t="inlineStr">
        <is>
          <t>Owner</t>
        </is>
      </c>
      <c r="E37" s="38" t="inlineStr">
        <is>
          <t>Evidence / location</t>
        </is>
      </c>
      <c r="F37" s="38" t="inlineStr">
        <is>
          <t>Status</t>
        </is>
      </c>
    </row>
    <row r="38">
      <c r="B38" t="n">
        <v>1</v>
      </c>
      <c r="C38" t="inlineStr">
        <is>
          <t>confirmations and master agreements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exchange specifications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volatility and market-data policy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7" t="inlineStr">
        <is>
          <t>Challenge tests</t>
        </is>
      </c>
    </row>
    <row r="45">
      <c r="B45" s="38" t="inlineStr">
        <is>
          <t>#</t>
        </is>
      </c>
      <c r="C45" s="38" t="inlineStr">
        <is>
          <t>Requirement</t>
        </is>
      </c>
      <c r="D45" s="38" t="inlineStr">
        <is>
          <t>Owner</t>
        </is>
      </c>
      <c r="E45" s="38" t="inlineStr">
        <is>
          <t>Evidence / location</t>
        </is>
      </c>
      <c r="F45" s="38" t="inlineStr">
        <is>
          <t>Status</t>
        </is>
      </c>
    </row>
    <row r="46">
      <c r="B46" t="n">
        <v>1</v>
      </c>
      <c r="C46" t="inlineStr">
        <is>
          <t>put-call parity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price bounds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surface calendar and butterfly arbitrage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7" t="inlineStr">
        <is>
          <t>Known failure modes</t>
        </is>
      </c>
    </row>
    <row r="53">
      <c r="B53" s="38" t="inlineStr">
        <is>
          <t>#</t>
        </is>
      </c>
      <c r="C53" s="38" t="inlineStr">
        <is>
          <t>Requirement</t>
        </is>
      </c>
      <c r="D53" s="38" t="inlineStr">
        <is>
          <t>Owner</t>
        </is>
      </c>
      <c r="E53" s="38" t="inlineStr">
        <is>
          <t>Evidence / location</t>
        </is>
      </c>
      <c r="F53" s="38" t="inlineStr">
        <is>
          <t>Status</t>
        </is>
      </c>
    </row>
    <row r="54">
      <c r="B54" t="n">
        <v>1</v>
      </c>
      <c r="C54" t="inlineStr">
        <is>
          <t>marking off mid in illiquid wings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interpolating through arbitrage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using sticky-strike when sticky-delta is required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7" t="inlineStr">
        <is>
          <t>Regulatory / methodological anchors</t>
        </is>
      </c>
    </row>
    <row r="61">
      <c r="B61" s="38" t="inlineStr">
        <is>
          <t>Standard</t>
        </is>
      </c>
      <c r="C61" s="38" t="inlineStr">
        <is>
          <t>Scope</t>
        </is>
      </c>
      <c r="D61" s="38" t="inlineStr">
        <is>
          <t>Source URL</t>
        </is>
      </c>
      <c r="E61" s="38" t="inlineStr">
        <is>
          <t>Applicability</t>
        </is>
      </c>
      <c r="F61" s="38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MAR21 Sensitivities-Based Method</t>
        </is>
      </c>
      <c r="C63" t="inlineStr">
        <is>
          <t>market-risk factors and aggregation</t>
        </is>
      </c>
      <c r="D63" t="inlineStr">
        <is>
          <t>https://www.bis.org/basel_framework/chapter/MAR/21.htm</t>
        </is>
      </c>
      <c r="E63" t="inlineStr">
        <is>
          <t>Map explicitly</t>
        </is>
      </c>
      <c r="F63" t="inlineStr"/>
    </row>
    <row r="64">
      <c r="B64" t="inlineStr">
        <is>
          <t>CFTC Uncleared Swap Margin</t>
        </is>
      </c>
      <c r="C64" t="inlineStr">
        <is>
          <t>initial and variation margin</t>
        </is>
      </c>
      <c r="D64" t="inlineStr">
        <is>
          <t>https://www.cftc.gov/LawRegulation/FederalRegister/FinalRules/2015-32320.html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4" t="inlineStr">
        <is>
          <t>Independent Challenge, Override and Closure Log</t>
        </is>
      </c>
    </row>
    <row r="4">
      <c r="B4" s="38" t="inlineStr">
        <is>
          <t>Date</t>
        </is>
      </c>
      <c r="C4" s="38" t="inlineStr">
        <is>
          <t>Reviewer</t>
        </is>
      </c>
      <c r="D4" s="38" t="inlineStr">
        <is>
          <t>Challenge</t>
        </is>
      </c>
      <c r="E4" s="38" t="inlineStr">
        <is>
          <t>Owner response</t>
        </is>
      </c>
      <c r="F4" s="38" t="inlineStr">
        <is>
          <t>Evidence</t>
        </is>
      </c>
      <c r="G4" s="38" t="inlineStr">
        <is>
          <t>Impact</t>
        </is>
      </c>
      <c r="H4" s="38" t="inlineStr">
        <is>
          <t>Status</t>
        </is>
      </c>
      <c r="I4" s="38" t="inlineStr">
        <is>
          <t>Closure</t>
        </is>
      </c>
    </row>
    <row r="5">
      <c r="B5" t="inlineStr"/>
      <c r="C5" t="inlineStr"/>
      <c r="D5" t="inlineStr">
        <is>
          <t>put-call parity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price bounds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surface calendar and butterfly arbitrage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4" t="inlineStr">
        <is>
          <t>Source, Transformation, Ownership and Refresh Map</t>
        </is>
      </c>
    </row>
    <row r="4">
      <c r="B4" s="38" t="inlineStr">
        <is>
          <t>Source class</t>
        </is>
      </c>
      <c r="C4" s="38" t="inlineStr">
        <is>
          <t>Cadence</t>
        </is>
      </c>
      <c r="D4" s="38" t="inlineStr">
        <is>
          <t>Control</t>
        </is>
      </c>
      <c r="E4" s="38" t="inlineStr">
        <is>
          <t>System / provider</t>
        </is>
      </c>
      <c r="F4" s="38" t="inlineStr">
        <is>
          <t>As-of</t>
        </is>
      </c>
      <c r="G4" s="38" t="inlineStr">
        <is>
          <t>Owner</t>
        </is>
      </c>
      <c r="H4" s="38" t="inlineStr">
        <is>
          <t>Transform</t>
        </is>
      </c>
      <c r="I4" s="38" t="inlineStr">
        <is>
          <t>Downstream</t>
        </is>
      </c>
      <c r="J4" s="38" t="inlineStr">
        <is>
          <t>Status</t>
        </is>
      </c>
    </row>
    <row r="5">
      <c r="B5" t="inlineStr">
        <is>
          <t>spot / forwards / rates</t>
        </is>
      </c>
      <c r="C5" t="inlineStr">
        <is>
          <t>intraday</t>
        </is>
      </c>
      <c r="D5" t="inlineStr">
        <is>
          <t>timestamp and market hierarchy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volatility surface</t>
        </is>
      </c>
      <c r="C6" t="inlineStr">
        <is>
          <t>intraday/daily</t>
        </is>
      </c>
      <c r="D6" t="inlineStr">
        <is>
          <t>arbitrage and stale-point controls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Pricing and Risk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Spot price</t>
        </is>
      </c>
      <c r="C5" s="9" t="n">
        <v>100</v>
      </c>
      <c r="D5" s="9" t="n">
        <v>80</v>
      </c>
      <c r="E5" s="10">
        <f>IF(Cover!$C$9="Downside",D5,C5)</f>
        <v/>
      </c>
      <c r="F5" t="inlineStr">
        <is>
          <t>currency</t>
        </is>
      </c>
    </row>
    <row r="6">
      <c r="B6" t="inlineStr">
        <is>
          <t>Strike price</t>
        </is>
      </c>
      <c r="C6" s="9" t="n">
        <v>100</v>
      </c>
      <c r="D6" s="9" t="n">
        <v>100</v>
      </c>
      <c r="E6" s="10">
        <f>IF(Cover!$C$9="Downside",D6,C6)</f>
        <v/>
      </c>
      <c r="F6" t="inlineStr">
        <is>
          <t>currency</t>
        </is>
      </c>
    </row>
    <row r="7">
      <c r="B7" t="inlineStr">
        <is>
          <t>Time to expiry</t>
        </is>
      </c>
      <c r="C7" s="11" t="n">
        <v>0.5</v>
      </c>
      <c r="D7" s="11" t="n">
        <v>0.5</v>
      </c>
      <c r="E7" s="12">
        <f>IF(Cover!$C$9="Downside",D7,C7)</f>
        <v/>
      </c>
      <c r="F7" t="inlineStr">
        <is>
          <t>years</t>
        </is>
      </c>
    </row>
    <row r="8">
      <c r="B8" t="inlineStr">
        <is>
          <t>Risk-free rate</t>
        </is>
      </c>
      <c r="C8" s="13" t="n">
        <v>0.04</v>
      </c>
      <c r="D8" s="13" t="n">
        <v>0.03</v>
      </c>
      <c r="E8" s="14">
        <f>IF(Cover!$C$9="Downside",D8,C8)</f>
        <v/>
      </c>
      <c r="F8" t="inlineStr">
        <is>
          <t>%</t>
        </is>
      </c>
    </row>
    <row r="9">
      <c r="B9" t="inlineStr">
        <is>
          <t>Dividend yield</t>
        </is>
      </c>
      <c r="C9" s="13" t="n">
        <v>0.01</v>
      </c>
      <c r="D9" s="13" t="n">
        <v>0.01</v>
      </c>
      <c r="E9" s="14">
        <f>IF(Cover!$C$9="Downside",D9,C9)</f>
        <v/>
      </c>
      <c r="F9" t="inlineStr">
        <is>
          <t>%</t>
        </is>
      </c>
    </row>
    <row r="10">
      <c r="B10" t="inlineStr">
        <is>
          <t>Implied volatility</t>
        </is>
      </c>
      <c r="C10" s="13" t="n">
        <v>0.25</v>
      </c>
      <c r="D10" s="13" t="n">
        <v>0.45</v>
      </c>
      <c r="E10" s="14">
        <f>IF(Cover!$C$9="Downside",D10,C10)</f>
        <v/>
      </c>
      <c r="F10" t="inlineStr">
        <is>
          <t>%</t>
        </is>
      </c>
    </row>
    <row r="11">
      <c r="B11" t="inlineStr">
        <is>
          <t>Observed call price</t>
        </is>
      </c>
      <c r="C11" s="9" t="n">
        <v>8.25</v>
      </c>
      <c r="D11" s="9" t="n">
        <v>15</v>
      </c>
      <c r="E11" s="10">
        <f>IF(Cover!$C$9="Downside",D11,C11)</f>
        <v/>
      </c>
      <c r="F11" t="inlineStr">
        <is>
          <t>currency</t>
        </is>
      </c>
    </row>
    <row r="12">
      <c r="B12" t="inlineStr">
        <is>
          <t>Contract multiplier</t>
        </is>
      </c>
      <c r="C12" s="15" t="n">
        <v>100</v>
      </c>
      <c r="D12" s="15" t="n">
        <v>100</v>
      </c>
      <c r="E12" s="16">
        <f>IF(Cover!$C$9="Downside",D12,C12)</f>
        <v/>
      </c>
      <c r="F12" t="inlineStr">
        <is>
          <t>units</t>
        </is>
      </c>
    </row>
    <row r="13">
      <c r="B13" t="inlineStr">
        <is>
          <t>Position count</t>
        </is>
      </c>
      <c r="C13" s="15" t="n">
        <v>10</v>
      </c>
      <c r="D13" s="15" t="n">
        <v>10</v>
      </c>
      <c r="E13" s="16">
        <f>IF(Cover!$C$9="Downside",D13,C13)</f>
        <v/>
      </c>
      <c r="F13" t="inlineStr">
        <is>
          <t>contracts</t>
        </is>
      </c>
    </row>
    <row r="14">
      <c r="B14" t="inlineStr">
        <is>
          <t>Strike skew slope</t>
        </is>
      </c>
      <c r="C14" s="17" t="n">
        <v>-0.2</v>
      </c>
      <c r="D14" s="17" t="n">
        <v>-0.3</v>
      </c>
      <c r="E14" s="18">
        <f>IF(Cover!$C$9="Downside",D14,C14)</f>
        <v/>
      </c>
      <c r="F14" t="inlineStr">
        <is>
          <t>vol per moneyness</t>
        </is>
      </c>
    </row>
    <row r="15">
      <c r="B15" t="inlineStr">
        <is>
          <t>Term-vol slope</t>
        </is>
      </c>
      <c r="C15" s="17" t="n">
        <v>0.02</v>
      </c>
      <c r="D15" s="17" t="n">
        <v>0.04</v>
      </c>
      <c r="E15" s="18">
        <f>IF(Cover!$C$9="Downside",D15,C15)</f>
        <v/>
      </c>
      <c r="F15" t="inlineStr">
        <is>
          <t>vol per log-year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4" customWidth="1" min="4" max="4"/>
    <col width="36" customWidth="1" min="5" max="5"/>
    <col width="14" customWidth="1" min="6" max="6"/>
  </cols>
  <sheetData>
    <row r="2" ht="28" customHeight="1">
      <c r="B2" s="1" t="inlineStr">
        <is>
          <t>European Black-Scholes Pricer</t>
        </is>
      </c>
    </row>
    <row r="4">
      <c r="B4" s="8" t="inlineStr">
        <is>
          <t>Metric</t>
        </is>
      </c>
      <c r="C4" s="8" t="inlineStr">
        <is>
          <t>Value</t>
        </is>
      </c>
      <c r="D4" s="8" t="inlineStr">
        <is>
          <t>Units</t>
        </is>
      </c>
      <c r="E4" s="8" t="inlineStr">
        <is>
          <t>Formula role</t>
        </is>
      </c>
      <c r="F4" s="8" t="inlineStr">
        <is>
          <t>Control</t>
        </is>
      </c>
    </row>
    <row r="5">
      <c r="B5" t="inlineStr">
        <is>
          <t>d1</t>
        </is>
      </c>
      <c r="C5" s="19">
        <f>(LN(Assumptions!E5/Assumptions!E6)+(Assumptions!E8-Assumptions!E9+0.5*Assumptions!E10^2)*Assumptions!E7)/(Assumptions!E10*SQRT(Assumptions!E7))</f>
        <v/>
      </c>
      <c r="D5" t="inlineStr">
        <is>
          <t>z</t>
        </is>
      </c>
      <c r="E5" t="inlineStr">
        <is>
          <t>standardized moneyness</t>
        </is>
      </c>
    </row>
    <row r="6">
      <c r="B6" t="inlineStr">
        <is>
          <t>d2</t>
        </is>
      </c>
      <c r="C6" s="19">
        <f>C5-Assumptions!E10*SQRT(Assumptions!E7)</f>
        <v/>
      </c>
      <c r="D6" t="inlineStr">
        <is>
          <t>z</t>
        </is>
      </c>
      <c r="E6" t="inlineStr">
        <is>
          <t>d1 less volatility-time</t>
        </is>
      </c>
    </row>
    <row r="7">
      <c r="B7" t="inlineStr">
        <is>
          <t>Call price</t>
        </is>
      </c>
      <c r="C7" s="10">
        <f>Assumptions!E5*EXP(-Assumptions!E9*Assumptions!E7)*NORMSDIST(C5)-Assumptions!E6*EXP(-Assumptions!E8*Assumptions!E7)*NORMSDIST(C6)</f>
        <v/>
      </c>
      <c r="D7" t="inlineStr">
        <is>
          <t>currency</t>
        </is>
      </c>
      <c r="E7" t="inlineStr">
        <is>
          <t>discounted expected payoff</t>
        </is>
      </c>
    </row>
    <row r="8">
      <c r="B8" t="inlineStr">
        <is>
          <t>Put price</t>
        </is>
      </c>
      <c r="C8" s="10">
        <f>Assumptions!E6*EXP(-Assumptions!E8*Assumptions!E7)*NORMSDIST(-C6)-Assumptions!E5*EXP(-Assumptions!E9*Assumptions!E7)*NORMSDIST(-C5)</f>
        <v/>
      </c>
      <c r="D8" t="inlineStr">
        <is>
          <t>currency</t>
        </is>
      </c>
      <c r="E8" t="inlineStr">
        <is>
          <t>discounted expected payoff</t>
        </is>
      </c>
    </row>
    <row r="9">
      <c r="B9" t="inlineStr">
        <is>
          <t>Call intrinsic value</t>
        </is>
      </c>
      <c r="C9" s="10">
        <f>MAX(0,Assumptions!E5-Assumptions!E6)</f>
        <v/>
      </c>
      <c r="D9" t="inlineStr">
        <is>
          <t>currency</t>
        </is>
      </c>
      <c r="E9" t="inlineStr">
        <is>
          <t>spot intrinsic</t>
        </is>
      </c>
    </row>
    <row r="10">
      <c r="B10" t="inlineStr">
        <is>
          <t>Put intrinsic value</t>
        </is>
      </c>
      <c r="C10" s="10">
        <f>MAX(0,Assumptions!E6-Assumptions!E5)</f>
        <v/>
      </c>
      <c r="D10" t="inlineStr">
        <is>
          <t>currency</t>
        </is>
      </c>
      <c r="E10" t="inlineStr">
        <is>
          <t>spot intrinsic</t>
        </is>
      </c>
    </row>
    <row r="11">
      <c r="B11" t="inlineStr">
        <is>
          <t>Call time value</t>
        </is>
      </c>
      <c r="C11" s="10">
        <f>C7-C9</f>
        <v/>
      </c>
      <c r="D11" t="inlineStr">
        <is>
          <t>currency</t>
        </is>
      </c>
      <c r="E11" t="inlineStr">
        <is>
          <t>price less intrinsic</t>
        </is>
      </c>
    </row>
    <row r="12">
      <c r="B12" t="inlineStr">
        <is>
          <t>Put time value</t>
        </is>
      </c>
      <c r="C12" s="10">
        <f>C8-C10</f>
        <v/>
      </c>
      <c r="D12" t="inlineStr">
        <is>
          <t>currency</t>
        </is>
      </c>
      <c r="E12" t="inlineStr">
        <is>
          <t>price less intrinsic</t>
        </is>
      </c>
    </row>
    <row r="13">
      <c r="B13" t="inlineStr">
        <is>
          <t>Put-call parity residual</t>
        </is>
      </c>
      <c r="C13" s="19">
        <f>C7-C8-(Assumptions!E5*EXP(-Assumptions!E9*Assumptions!E7)-Assumptions!E6*EXP(-Assumptions!E8*Assumptions!E7))</f>
        <v/>
      </c>
      <c r="D13" t="inlineStr">
        <is>
          <t>currency</t>
        </is>
      </c>
      <c r="E13" t="inlineStr">
        <is>
          <t>must equal zero</t>
        </is>
      </c>
      <c r="F13">
        <f>IF(ABS(C13)&lt;0.000001,"PASS","FAIL")</f>
        <v/>
      </c>
    </row>
  </sheetData>
  <mergeCells count="1">
    <mergeCell ref="B2:F2"/>
  </mergeCells>
  <conditionalFormatting sqref="F13">
    <cfRule type="expression" priority="1" dxfId="0">
      <formula>F13="PASS"</formula>
    </cfRule>
    <cfRule type="expression" priority="2" dxfId="1">
      <formula>F13="FAIL"</formula>
    </cfRule>
    <cfRule type="expression" priority="3" dxfId="2">
      <formula>F13="REVIEW"</formula>
    </cfRule>
    <cfRule type="expression" priority="4" dxfId="1">
      <formula>F13="BREACH"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28" customHeight="1">
      <c r="B2" s="1" t="inlineStr">
        <is>
          <t>Newton-Raphson Implied Volatility</t>
        </is>
      </c>
    </row>
    <row r="4">
      <c r="B4" s="8" t="inlineStr">
        <is>
          <t>Iteration</t>
        </is>
      </c>
      <c r="C4" s="8" t="inlineStr">
        <is>
          <t>Volatility</t>
        </is>
      </c>
      <c r="D4" s="8" t="inlineStr">
        <is>
          <t>Model call</t>
        </is>
      </c>
      <c r="E4" s="8" t="inlineStr">
        <is>
          <t>Observed call</t>
        </is>
      </c>
      <c r="F4" s="8" t="inlineStr">
        <is>
          <t>Price error</t>
        </is>
      </c>
      <c r="G4" s="8" t="inlineStr">
        <is>
          <t>Vega</t>
        </is>
      </c>
    </row>
    <row r="5">
      <c r="B5" t="n">
        <v>0</v>
      </c>
      <c r="C5" s="13" t="n">
        <v>0.2</v>
      </c>
      <c r="D5" s="20">
        <f>Assumptions!$E$5*EXP(-Assumptions!$E$9*Assumptions!$E$7)*NORMSDIST((LN(Assumptions!$E$5/Assumptions!$E$6)+(Assumptions!$E$8-Assumptions!$E$9+0.5*C5^2)*Assumptions!$E$7)/(C5*SQRT(Assumptions!$E$7)))-Assumptions!$E$6*EXP(-Assumptions!$E$8*Assumptions!$E$7)*NORMSDIST(((LN(Assumptions!$E$5/Assumptions!$E$6)+(Assumptions!$E$8-Assumptions!$E$9+0.5*C5^2)*Assumptions!$E$7)/(C5*SQRT(Assumptions!$E$7)))-C5*SQRT(Assumptions!$E$7))</f>
        <v/>
      </c>
      <c r="E5" s="10">
        <f>Assumptions!$E$11</f>
        <v/>
      </c>
      <c r="F5" s="20">
        <f>D5-E5</f>
        <v/>
      </c>
      <c r="G5" s="21">
        <f>Assumptions!$E$5*EXP(-Assumptions!$E$9*Assumptions!$E$7)*(EXP(-(((LN(Assumptions!$E$5/Assumptions!$E$6)+(Assumptions!$E$8-Assumptions!$E$9+0.5*C5^2)*Assumptions!$E$7)/(C5*SQRT(Assumptions!$E$7)))^2)/2)/SQRT(2*PI()))*SQRT(Assumptions!$E$7)</f>
        <v/>
      </c>
    </row>
    <row r="6">
      <c r="B6" t="n">
        <v>1</v>
      </c>
      <c r="C6" s="22">
        <f>MAX(0.0001,C5-F5/MAX(0.000001,G5))</f>
        <v/>
      </c>
      <c r="D6" s="20">
        <f>Assumptions!$E$5*EXP(-Assumptions!$E$9*Assumptions!$E$7)*NORMSDIST((LN(Assumptions!$E$5/Assumptions!$E$6)+(Assumptions!$E$8-Assumptions!$E$9+0.5*C6^2)*Assumptions!$E$7)/(C6*SQRT(Assumptions!$E$7)))-Assumptions!$E$6*EXP(-Assumptions!$E$8*Assumptions!$E$7)*NORMSDIST(((LN(Assumptions!$E$5/Assumptions!$E$6)+(Assumptions!$E$8-Assumptions!$E$9+0.5*C6^2)*Assumptions!$E$7)/(C6*SQRT(Assumptions!$E$7)))-C6*SQRT(Assumptions!$E$7))</f>
        <v/>
      </c>
      <c r="E6" s="10">
        <f>Assumptions!$E$11</f>
        <v/>
      </c>
      <c r="F6" s="20">
        <f>D6-E6</f>
        <v/>
      </c>
      <c r="G6" s="21">
        <f>Assumptions!$E$5*EXP(-Assumptions!$E$9*Assumptions!$E$7)*(EXP(-(((LN(Assumptions!$E$5/Assumptions!$E$6)+(Assumptions!$E$8-Assumptions!$E$9+0.5*C6^2)*Assumptions!$E$7)/(C6*SQRT(Assumptions!$E$7)))^2)/2)/SQRT(2*PI()))*SQRT(Assumptions!$E$7)</f>
        <v/>
      </c>
    </row>
    <row r="7">
      <c r="B7" t="n">
        <v>2</v>
      </c>
      <c r="C7" s="22">
        <f>MAX(0.0001,C6-F6/MAX(0.000001,G6))</f>
        <v/>
      </c>
      <c r="D7" s="20">
        <f>Assumptions!$E$5*EXP(-Assumptions!$E$9*Assumptions!$E$7)*NORMSDIST((LN(Assumptions!$E$5/Assumptions!$E$6)+(Assumptions!$E$8-Assumptions!$E$9+0.5*C7^2)*Assumptions!$E$7)/(C7*SQRT(Assumptions!$E$7)))-Assumptions!$E$6*EXP(-Assumptions!$E$8*Assumptions!$E$7)*NORMSDIST(((LN(Assumptions!$E$5/Assumptions!$E$6)+(Assumptions!$E$8-Assumptions!$E$9+0.5*C7^2)*Assumptions!$E$7)/(C7*SQRT(Assumptions!$E$7)))-C7*SQRT(Assumptions!$E$7))</f>
        <v/>
      </c>
      <c r="E7" s="10">
        <f>Assumptions!$E$11</f>
        <v/>
      </c>
      <c r="F7" s="20">
        <f>D7-E7</f>
        <v/>
      </c>
      <c r="G7" s="21">
        <f>Assumptions!$E$5*EXP(-Assumptions!$E$9*Assumptions!$E$7)*(EXP(-(((LN(Assumptions!$E$5/Assumptions!$E$6)+(Assumptions!$E$8-Assumptions!$E$9+0.5*C7^2)*Assumptions!$E$7)/(C7*SQRT(Assumptions!$E$7)))^2)/2)/SQRT(2*PI()))*SQRT(Assumptions!$E$7)</f>
        <v/>
      </c>
    </row>
    <row r="8">
      <c r="B8" t="n">
        <v>3</v>
      </c>
      <c r="C8" s="22">
        <f>MAX(0.0001,C7-F7/MAX(0.000001,G7))</f>
        <v/>
      </c>
      <c r="D8" s="20">
        <f>Assumptions!$E$5*EXP(-Assumptions!$E$9*Assumptions!$E$7)*NORMSDIST((LN(Assumptions!$E$5/Assumptions!$E$6)+(Assumptions!$E$8-Assumptions!$E$9+0.5*C8^2)*Assumptions!$E$7)/(C8*SQRT(Assumptions!$E$7)))-Assumptions!$E$6*EXP(-Assumptions!$E$8*Assumptions!$E$7)*NORMSDIST(((LN(Assumptions!$E$5/Assumptions!$E$6)+(Assumptions!$E$8-Assumptions!$E$9+0.5*C8^2)*Assumptions!$E$7)/(C8*SQRT(Assumptions!$E$7)))-C8*SQRT(Assumptions!$E$7))</f>
        <v/>
      </c>
      <c r="E8" s="10">
        <f>Assumptions!$E$11</f>
        <v/>
      </c>
      <c r="F8" s="20">
        <f>D8-E8</f>
        <v/>
      </c>
      <c r="G8" s="21">
        <f>Assumptions!$E$5*EXP(-Assumptions!$E$9*Assumptions!$E$7)*(EXP(-(((LN(Assumptions!$E$5/Assumptions!$E$6)+(Assumptions!$E$8-Assumptions!$E$9+0.5*C8^2)*Assumptions!$E$7)/(C8*SQRT(Assumptions!$E$7)))^2)/2)/SQRT(2*PI()))*SQRT(Assumptions!$E$7)</f>
        <v/>
      </c>
    </row>
    <row r="9">
      <c r="B9" t="n">
        <v>4</v>
      </c>
      <c r="C9" s="22">
        <f>MAX(0.0001,C8-F8/MAX(0.000001,G8))</f>
        <v/>
      </c>
      <c r="D9" s="20">
        <f>Assumptions!$E$5*EXP(-Assumptions!$E$9*Assumptions!$E$7)*NORMSDIST((LN(Assumptions!$E$5/Assumptions!$E$6)+(Assumptions!$E$8-Assumptions!$E$9+0.5*C9^2)*Assumptions!$E$7)/(C9*SQRT(Assumptions!$E$7)))-Assumptions!$E$6*EXP(-Assumptions!$E$8*Assumptions!$E$7)*NORMSDIST(((LN(Assumptions!$E$5/Assumptions!$E$6)+(Assumptions!$E$8-Assumptions!$E$9+0.5*C9^2)*Assumptions!$E$7)/(C9*SQRT(Assumptions!$E$7)))-C9*SQRT(Assumptions!$E$7))</f>
        <v/>
      </c>
      <c r="E9" s="10">
        <f>Assumptions!$E$11</f>
        <v/>
      </c>
      <c r="F9" s="20">
        <f>D9-E9</f>
        <v/>
      </c>
      <c r="G9" s="21">
        <f>Assumptions!$E$5*EXP(-Assumptions!$E$9*Assumptions!$E$7)*(EXP(-(((LN(Assumptions!$E$5/Assumptions!$E$6)+(Assumptions!$E$8-Assumptions!$E$9+0.5*C9^2)*Assumptions!$E$7)/(C9*SQRT(Assumptions!$E$7)))^2)/2)/SQRT(2*PI()))*SQRT(Assumptions!$E$7)</f>
        <v/>
      </c>
    </row>
    <row r="10">
      <c r="B10" t="n">
        <v>5</v>
      </c>
      <c r="C10" s="22">
        <f>MAX(0.0001,C9-F9/MAX(0.000001,G9))</f>
        <v/>
      </c>
      <c r="D10" s="20">
        <f>Assumptions!$E$5*EXP(-Assumptions!$E$9*Assumptions!$E$7)*NORMSDIST((LN(Assumptions!$E$5/Assumptions!$E$6)+(Assumptions!$E$8-Assumptions!$E$9+0.5*C10^2)*Assumptions!$E$7)/(C10*SQRT(Assumptions!$E$7)))-Assumptions!$E$6*EXP(-Assumptions!$E$8*Assumptions!$E$7)*NORMSDIST(((LN(Assumptions!$E$5/Assumptions!$E$6)+(Assumptions!$E$8-Assumptions!$E$9+0.5*C10^2)*Assumptions!$E$7)/(C10*SQRT(Assumptions!$E$7)))-C10*SQRT(Assumptions!$E$7))</f>
        <v/>
      </c>
      <c r="E10" s="10">
        <f>Assumptions!$E$11</f>
        <v/>
      </c>
      <c r="F10" s="20">
        <f>D10-E10</f>
        <v/>
      </c>
      <c r="G10" s="21">
        <f>Assumptions!$E$5*EXP(-Assumptions!$E$9*Assumptions!$E$7)*(EXP(-(((LN(Assumptions!$E$5/Assumptions!$E$6)+(Assumptions!$E$8-Assumptions!$E$9+0.5*C10^2)*Assumptions!$E$7)/(C10*SQRT(Assumptions!$E$7)))^2)/2)/SQRT(2*PI()))*SQRT(Assumptions!$E$7)</f>
        <v/>
      </c>
    </row>
    <row r="11">
      <c r="B11" t="n">
        <v>6</v>
      </c>
      <c r="C11" s="22">
        <f>MAX(0.0001,C10-F10/MAX(0.000001,G10))</f>
        <v/>
      </c>
      <c r="D11" s="20">
        <f>Assumptions!$E$5*EXP(-Assumptions!$E$9*Assumptions!$E$7)*NORMSDIST((LN(Assumptions!$E$5/Assumptions!$E$6)+(Assumptions!$E$8-Assumptions!$E$9+0.5*C11^2)*Assumptions!$E$7)/(C11*SQRT(Assumptions!$E$7)))-Assumptions!$E$6*EXP(-Assumptions!$E$8*Assumptions!$E$7)*NORMSDIST(((LN(Assumptions!$E$5/Assumptions!$E$6)+(Assumptions!$E$8-Assumptions!$E$9+0.5*C11^2)*Assumptions!$E$7)/(C11*SQRT(Assumptions!$E$7)))-C11*SQRT(Assumptions!$E$7))</f>
        <v/>
      </c>
      <c r="E11" s="10">
        <f>Assumptions!$E$11</f>
        <v/>
      </c>
      <c r="F11" s="20">
        <f>D11-E11</f>
        <v/>
      </c>
      <c r="G11" s="21">
        <f>Assumptions!$E$5*EXP(-Assumptions!$E$9*Assumptions!$E$7)*(EXP(-(((LN(Assumptions!$E$5/Assumptions!$E$6)+(Assumptions!$E$8-Assumptions!$E$9+0.5*C11^2)*Assumptions!$E$7)/(C11*SQRT(Assumptions!$E$7)))^2)/2)/SQRT(2*PI()))*SQRT(Assumptions!$E$7)</f>
        <v/>
      </c>
    </row>
    <row r="12">
      <c r="B12" t="n">
        <v>7</v>
      </c>
      <c r="C12" s="22">
        <f>MAX(0.0001,C11-F11/MAX(0.000001,G11))</f>
        <v/>
      </c>
      <c r="D12" s="20">
        <f>Assumptions!$E$5*EXP(-Assumptions!$E$9*Assumptions!$E$7)*NORMSDIST((LN(Assumptions!$E$5/Assumptions!$E$6)+(Assumptions!$E$8-Assumptions!$E$9+0.5*C12^2)*Assumptions!$E$7)/(C12*SQRT(Assumptions!$E$7)))-Assumptions!$E$6*EXP(-Assumptions!$E$8*Assumptions!$E$7)*NORMSDIST(((LN(Assumptions!$E$5/Assumptions!$E$6)+(Assumptions!$E$8-Assumptions!$E$9+0.5*C12^2)*Assumptions!$E$7)/(C12*SQRT(Assumptions!$E$7)))-C12*SQRT(Assumptions!$E$7))</f>
        <v/>
      </c>
      <c r="E12" s="10">
        <f>Assumptions!$E$11</f>
        <v/>
      </c>
      <c r="F12" s="20">
        <f>D12-E12</f>
        <v/>
      </c>
      <c r="G12" s="21">
        <f>Assumptions!$E$5*EXP(-Assumptions!$E$9*Assumptions!$E$7)*(EXP(-(((LN(Assumptions!$E$5/Assumptions!$E$6)+(Assumptions!$E$8-Assumptions!$E$9+0.5*C12^2)*Assumptions!$E$7)/(C12*SQRT(Assumptions!$E$7)))^2)/2)/SQRT(2*PI()))*SQRT(Assumptions!$E$7)</f>
        <v/>
      </c>
    </row>
    <row r="13">
      <c r="B13" t="n">
        <v>8</v>
      </c>
      <c r="C13" s="22">
        <f>MAX(0.0001,C12-F12/MAX(0.000001,G12))</f>
        <v/>
      </c>
      <c r="D13" s="20">
        <f>Assumptions!$E$5*EXP(-Assumptions!$E$9*Assumptions!$E$7)*NORMSDIST((LN(Assumptions!$E$5/Assumptions!$E$6)+(Assumptions!$E$8-Assumptions!$E$9+0.5*C13^2)*Assumptions!$E$7)/(C13*SQRT(Assumptions!$E$7)))-Assumptions!$E$6*EXP(-Assumptions!$E$8*Assumptions!$E$7)*NORMSDIST(((LN(Assumptions!$E$5/Assumptions!$E$6)+(Assumptions!$E$8-Assumptions!$E$9+0.5*C13^2)*Assumptions!$E$7)/(C13*SQRT(Assumptions!$E$7)))-C13*SQRT(Assumptions!$E$7))</f>
        <v/>
      </c>
      <c r="E13" s="10">
        <f>Assumptions!$E$11</f>
        <v/>
      </c>
      <c r="F13" s="20">
        <f>D13-E13</f>
        <v/>
      </c>
      <c r="G13" s="21">
        <f>Assumptions!$E$5*EXP(-Assumptions!$E$9*Assumptions!$E$7)*(EXP(-(((LN(Assumptions!$E$5/Assumptions!$E$6)+(Assumptions!$E$8-Assumptions!$E$9+0.5*C13^2)*Assumptions!$E$7)/(C13*SQRT(Assumptions!$E$7)))^2)/2)/SQRT(2*PI()))*SQRT(Assumptions!$E$7)</f>
        <v/>
      </c>
    </row>
    <row r="14">
      <c r="B14" t="n">
        <v>9</v>
      </c>
      <c r="C14" s="22">
        <f>MAX(0.0001,C13-F13/MAX(0.000001,G13))</f>
        <v/>
      </c>
      <c r="D14" s="20">
        <f>Assumptions!$E$5*EXP(-Assumptions!$E$9*Assumptions!$E$7)*NORMSDIST((LN(Assumptions!$E$5/Assumptions!$E$6)+(Assumptions!$E$8-Assumptions!$E$9+0.5*C14^2)*Assumptions!$E$7)/(C14*SQRT(Assumptions!$E$7)))-Assumptions!$E$6*EXP(-Assumptions!$E$8*Assumptions!$E$7)*NORMSDIST(((LN(Assumptions!$E$5/Assumptions!$E$6)+(Assumptions!$E$8-Assumptions!$E$9+0.5*C14^2)*Assumptions!$E$7)/(C14*SQRT(Assumptions!$E$7)))-C14*SQRT(Assumptions!$E$7))</f>
        <v/>
      </c>
      <c r="E14" s="10">
        <f>Assumptions!$E$11</f>
        <v/>
      </c>
      <c r="F14" s="20">
        <f>D14-E14</f>
        <v/>
      </c>
      <c r="G14" s="21">
        <f>Assumptions!$E$5*EXP(-Assumptions!$E$9*Assumptions!$E$7)*(EXP(-(((LN(Assumptions!$E$5/Assumptions!$E$6)+(Assumptions!$E$8-Assumptions!$E$9+0.5*C14^2)*Assumptions!$E$7)/(C14*SQRT(Assumptions!$E$7)))^2)/2)/SQRT(2*PI()))*SQRT(Assumptions!$E$7)</f>
        <v/>
      </c>
    </row>
    <row r="17">
      <c r="B17" t="inlineStr">
        <is>
          <t>Converged implied volatility</t>
        </is>
      </c>
      <c r="C17" s="22">
        <f>C14</f>
        <v/>
      </c>
      <c r="D17" t="inlineStr">
        <is>
          <t>Final absolute price error</t>
        </is>
      </c>
      <c r="E17" s="20">
        <f>ABS(F14)</f>
        <v/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40" customWidth="1" min="5" max="5"/>
  </cols>
  <sheetData>
    <row r="2" ht="28" customHeight="1">
      <c r="B2" s="1" t="inlineStr">
        <is>
          <t>European Greeks</t>
        </is>
      </c>
    </row>
    <row r="4">
      <c r="B4" s="8" t="inlineStr">
        <is>
          <t>Greek</t>
        </is>
      </c>
      <c r="C4" s="8" t="inlineStr">
        <is>
          <t>Call</t>
        </is>
      </c>
      <c r="D4" s="8" t="inlineStr">
        <is>
          <t>Put</t>
        </is>
      </c>
      <c r="E4" s="8" t="inlineStr">
        <is>
          <t>Interpretation</t>
        </is>
      </c>
    </row>
    <row r="5">
      <c r="B5" t="inlineStr">
        <is>
          <t>Delta</t>
        </is>
      </c>
      <c r="C5" s="23">
        <f>EXP(-Assumptions!$E$9*Assumptions!$E$7)*NORMSDIST('European Pricer'!$C$5)</f>
        <v/>
      </c>
      <c r="D5" s="23">
        <f>EXP(-Assumptions!$E$9*Assumptions!$E$7)*(NORMSDIST('European Pricer'!$C$5)-1)</f>
        <v/>
      </c>
      <c r="E5" t="inlineStr">
        <is>
          <t>first-order spot exposure</t>
        </is>
      </c>
    </row>
    <row r="6">
      <c r="B6" t="inlineStr">
        <is>
          <t>Gamma</t>
        </is>
      </c>
      <c r="C6" s="23">
        <f>EXP(-Assumptions!$E$9*Assumptions!$E$7)*(EXP(-(('European Pricer'!$C$5)^2)/2)/SQRT(2*PI()))/(Assumptions!$E$5*Assumptions!$E$10*SQRT(Assumptions!$E$7))</f>
        <v/>
      </c>
      <c r="D6" s="23">
        <f>C6</f>
        <v/>
      </c>
      <c r="E6" t="inlineStr">
        <is>
          <t>delta curvature</t>
        </is>
      </c>
    </row>
    <row r="7">
      <c r="B7" t="inlineStr">
        <is>
          <t>Vega</t>
        </is>
      </c>
      <c r="C7" s="23">
        <f>Assumptions!$E$5*EXP(-Assumptions!$E$9*Assumptions!$E$7)*(EXP(-(('European Pricer'!$C$5)^2)/2)/SQRT(2*PI()))*SQRT(Assumptions!$E$7)</f>
        <v/>
      </c>
      <c r="D7" s="23">
        <f>C7</f>
        <v/>
      </c>
      <c r="E7" t="inlineStr">
        <is>
          <t>P&amp;L per 100 vol points</t>
        </is>
      </c>
    </row>
    <row r="8">
      <c r="B8" t="inlineStr">
        <is>
          <t>Theta / year</t>
        </is>
      </c>
      <c r="C8" s="23">
        <f>-Assumptions!$E$5*EXP(-Assumptions!$E$9*Assumptions!$E$7)*(EXP(-(('European Pricer'!$C$5)^2)/2)/SQRT(2*PI()))*Assumptions!$E$10/(2*SQRT(Assumptions!$E$7))-Assumptions!$E$8*Assumptions!$E$6*EXP(-Assumptions!$E$8*Assumptions!$E$7)*NORMSDIST('European Pricer'!$C$6)+Assumptions!$E$9*Assumptions!$E$5*EXP(-Assumptions!$E$9*Assumptions!$E$7)*NORMSDIST('European Pricer'!$C$5)</f>
        <v/>
      </c>
      <c r="D8" s="23">
        <f>-Assumptions!$E$5*EXP(-Assumptions!$E$9*Assumptions!$E$7)*(EXP(-(('European Pricer'!$C$5)^2)/2)/SQRT(2*PI()))*Assumptions!$E$10/(2*SQRT(Assumptions!$E$7))+Assumptions!$E$8*Assumptions!$E$6*EXP(-Assumptions!$E$8*Assumptions!$E$7)*NORMSDIST(-'European Pricer'!$C$6)-Assumptions!$E$9*Assumptions!$E$5*EXP(-Assumptions!$E$9*Assumptions!$E$7)*NORMSDIST(-'European Pricer'!$C$5)</f>
        <v/>
      </c>
      <c r="E8" t="inlineStr">
        <is>
          <t>annual time decay</t>
        </is>
      </c>
    </row>
    <row r="9">
      <c r="B9" t="inlineStr">
        <is>
          <t>Rho</t>
        </is>
      </c>
      <c r="C9" s="23">
        <f>Assumptions!$E$7*Assumptions!$E$6*EXP(-Assumptions!$E$8*Assumptions!$E$7)*NORMSDIST('European Pricer'!$C$6)</f>
        <v/>
      </c>
      <c r="D9" s="23">
        <f>-Assumptions!$E$7*Assumptions!$E$6*EXP(-Assumptions!$E$8*Assumptions!$E$7)*NORMSDIST(-'European Pricer'!$C$6)</f>
        <v/>
      </c>
      <c r="E9" t="inlineStr">
        <is>
          <t>rate exposure</t>
        </is>
      </c>
    </row>
  </sheetData>
  <mergeCells count="1"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 ht="28" customHeight="1">
      <c r="B2" s="1" t="inlineStr">
        <is>
          <t>Illustrative Volatility Surface</t>
        </is>
      </c>
    </row>
    <row r="4">
      <c r="B4" s="8" t="inlineStr">
        <is>
          <t>Maturity / Strike</t>
        </is>
      </c>
      <c r="C4" s="8" t="n">
        <v>80</v>
      </c>
      <c r="D4" s="8" t="n">
        <v>90</v>
      </c>
      <c r="E4" s="8" t="n">
        <v>100</v>
      </c>
      <c r="F4" s="8" t="n">
        <v>110</v>
      </c>
      <c r="G4" s="8" t="n">
        <v>120</v>
      </c>
    </row>
    <row r="5">
      <c r="B5" s="24" t="n">
        <v>0.25</v>
      </c>
      <c r="C5" s="22">
        <f>MAX(0.01,Assumptions!$E$10+Assumptions!$E$14*(C$4/Assumptions!$E$5-1)+Assumptions!$E$15*LN($B5/Assumptions!$E$7))</f>
        <v/>
      </c>
      <c r="D5" s="22">
        <f>MAX(0.01,Assumptions!$E$10+Assumptions!$E$14*(D$4/Assumptions!$E$5-1)+Assumptions!$E$15*LN($B5/Assumptions!$E$7))</f>
        <v/>
      </c>
      <c r="E5" s="22">
        <f>MAX(0.01,Assumptions!$E$10+Assumptions!$E$14*(E$4/Assumptions!$E$5-1)+Assumptions!$E$15*LN($B5/Assumptions!$E$7))</f>
        <v/>
      </c>
      <c r="F5" s="22">
        <f>MAX(0.01,Assumptions!$E$10+Assumptions!$E$14*(F$4/Assumptions!$E$5-1)+Assumptions!$E$15*LN($B5/Assumptions!$E$7))</f>
        <v/>
      </c>
      <c r="G5" s="22">
        <f>MAX(0.01,Assumptions!$E$10+Assumptions!$E$14*(G$4/Assumptions!$E$5-1)+Assumptions!$E$15*LN($B5/Assumptions!$E$7))</f>
        <v/>
      </c>
    </row>
    <row r="6">
      <c r="B6" s="24" t="n">
        <v>0.5</v>
      </c>
      <c r="C6" s="22">
        <f>MAX(0.01,Assumptions!$E$10+Assumptions!$E$14*(C$4/Assumptions!$E$5-1)+Assumptions!$E$15*LN($B6/Assumptions!$E$7))</f>
        <v/>
      </c>
      <c r="D6" s="22">
        <f>MAX(0.01,Assumptions!$E$10+Assumptions!$E$14*(D$4/Assumptions!$E$5-1)+Assumptions!$E$15*LN($B6/Assumptions!$E$7))</f>
        <v/>
      </c>
      <c r="E6" s="22">
        <f>MAX(0.01,Assumptions!$E$10+Assumptions!$E$14*(E$4/Assumptions!$E$5-1)+Assumptions!$E$15*LN($B6/Assumptions!$E$7))</f>
        <v/>
      </c>
      <c r="F6" s="22">
        <f>MAX(0.01,Assumptions!$E$10+Assumptions!$E$14*(F$4/Assumptions!$E$5-1)+Assumptions!$E$15*LN($B6/Assumptions!$E$7))</f>
        <v/>
      </c>
      <c r="G6" s="22">
        <f>MAX(0.01,Assumptions!$E$10+Assumptions!$E$14*(G$4/Assumptions!$E$5-1)+Assumptions!$E$15*LN($B6/Assumptions!$E$7))</f>
        <v/>
      </c>
    </row>
    <row r="7">
      <c r="B7" s="24" t="n">
        <v>1</v>
      </c>
      <c r="C7" s="22">
        <f>MAX(0.01,Assumptions!$E$10+Assumptions!$E$14*(C$4/Assumptions!$E$5-1)+Assumptions!$E$15*LN($B7/Assumptions!$E$7))</f>
        <v/>
      </c>
      <c r="D7" s="22">
        <f>MAX(0.01,Assumptions!$E$10+Assumptions!$E$14*(D$4/Assumptions!$E$5-1)+Assumptions!$E$15*LN($B7/Assumptions!$E$7))</f>
        <v/>
      </c>
      <c r="E7" s="22">
        <f>MAX(0.01,Assumptions!$E$10+Assumptions!$E$14*(E$4/Assumptions!$E$5-1)+Assumptions!$E$15*LN($B7/Assumptions!$E$7))</f>
        <v/>
      </c>
      <c r="F7" s="22">
        <f>MAX(0.01,Assumptions!$E$10+Assumptions!$E$14*(F$4/Assumptions!$E$5-1)+Assumptions!$E$15*LN($B7/Assumptions!$E$7))</f>
        <v/>
      </c>
      <c r="G7" s="22">
        <f>MAX(0.01,Assumptions!$E$10+Assumptions!$E$14*(G$4/Assumptions!$E$5-1)+Assumptions!$E$15*LN($B7/Assumptions!$E$7))</f>
        <v/>
      </c>
    </row>
    <row r="8">
      <c r="B8" s="24" t="n">
        <v>2</v>
      </c>
      <c r="C8" s="22">
        <f>MAX(0.01,Assumptions!$E$10+Assumptions!$E$14*(C$4/Assumptions!$E$5-1)+Assumptions!$E$15*LN($B8/Assumptions!$E$7))</f>
        <v/>
      </c>
      <c r="D8" s="22">
        <f>MAX(0.01,Assumptions!$E$10+Assumptions!$E$14*(D$4/Assumptions!$E$5-1)+Assumptions!$E$15*LN($B8/Assumptions!$E$7))</f>
        <v/>
      </c>
      <c r="E8" s="22">
        <f>MAX(0.01,Assumptions!$E$10+Assumptions!$E$14*(E$4/Assumptions!$E$5-1)+Assumptions!$E$15*LN($B8/Assumptions!$E$7))</f>
        <v/>
      </c>
      <c r="F8" s="22">
        <f>MAX(0.01,Assumptions!$E$10+Assumptions!$E$14*(F$4/Assumptions!$E$5-1)+Assumptions!$E$15*LN($B8/Assumptions!$E$7))</f>
        <v/>
      </c>
      <c r="G8" s="22">
        <f>MAX(0.01,Assumptions!$E$10+Assumptions!$E$14*(G$4/Assumptions!$E$5-1)+Assumptions!$E$15*LN($B8/Assumptions!$E$7))</f>
        <v/>
      </c>
    </row>
  </sheetData>
  <mergeCells count="1">
    <mergeCell ref="B2:G2"/>
  </mergeCells>
  <conditionalFormatting sqref="C5:G8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2" ht="28" customHeight="1">
      <c r="B2" s="1" t="inlineStr">
        <is>
          <t>Options Portfolio Greeks</t>
        </is>
      </c>
    </row>
    <row r="4">
      <c r="B4" s="8" t="inlineStr">
        <is>
          <t>Leg</t>
        </is>
      </c>
      <c r="C4" s="8" t="inlineStr">
        <is>
          <t>Type</t>
        </is>
      </c>
      <c r="D4" s="8" t="inlineStr">
        <is>
          <t>Quantity</t>
        </is>
      </c>
      <c r="E4" s="8" t="inlineStr">
        <is>
          <t>Strike</t>
        </is>
      </c>
      <c r="F4" s="8" t="inlineStr">
        <is>
          <t>Maturity</t>
        </is>
      </c>
      <c r="G4" s="8" t="inlineStr">
        <is>
          <t>Vol</t>
        </is>
      </c>
      <c r="H4" s="8" t="inlineStr">
        <is>
          <t>Price</t>
        </is>
      </c>
      <c r="I4" s="8" t="inlineStr">
        <is>
          <t>Delta</t>
        </is>
      </c>
      <c r="J4" s="8" t="inlineStr">
        <is>
          <t>Gamma</t>
        </is>
      </c>
      <c r="K4" s="8" t="inlineStr">
        <is>
          <t>Vega</t>
        </is>
      </c>
      <c r="L4" s="8" t="inlineStr">
        <is>
          <t>Theta</t>
        </is>
      </c>
      <c r="M4" s="8" t="inlineStr">
        <is>
          <t>Market value</t>
        </is>
      </c>
    </row>
    <row r="5">
      <c r="B5" t="inlineStr">
        <is>
          <t>Core call</t>
        </is>
      </c>
      <c r="C5" t="inlineStr">
        <is>
          <t>Call</t>
        </is>
      </c>
      <c r="D5" s="25" t="n">
        <v>10</v>
      </c>
      <c r="E5" s="9" t="n">
        <v>100</v>
      </c>
      <c r="F5" s="25" t="n">
        <v>0.5</v>
      </c>
      <c r="G5" s="13" t="n">
        <v>0.25</v>
      </c>
      <c r="H5" s="20">
        <f>IF($C5="Call",Assumptions!$E$5*EXP(-Assumptions!$E$9*F5)*NORMSDIST((LN(Assumptions!$E$5/E5)+(Assumptions!$E$8-Assumptions!$E$9+0.5*G5^2)*F5)/(G5*SQRT(F5)))-E5*EXP(-Assumptions!$E$8*F5)*NORMSDIST(((LN(Assumptions!$E$5/E5)+(Assumptions!$E$8-Assumptions!$E$9+0.5*G5^2)*F5)/(G5*SQRT(F5)))-G5*SQRT(F5)),E5*EXP(-Assumptions!$E$8*F5)*NORMSDIST(-(((LN(Assumptions!$E$5/E5)+(Assumptions!$E$8-Assumptions!$E$9+0.5*G5^2)*F5)/(G5*SQRT(F5)))-G5*SQRT(F5)))-Assumptions!$E$5*EXP(-Assumptions!$E$9*F5)*NORMSDIST(-((LN(Assumptions!$E$5/E5)+(Assumptions!$E$8-Assumptions!$E$9+0.5*G5^2)*F5)/(G5*SQRT(F5)))))</f>
        <v/>
      </c>
      <c r="I5">
        <f>IF($C5="Call",EXP(-Assumptions!$E$9*F5)*NORMSDIST((LN(Assumptions!$E$5/E5)+(Assumptions!$E$8-Assumptions!$E$9+0.5*G5^2)*F5)/(G5*SQRT(F5))),EXP(-Assumptions!$E$9*F5)*(NORMSDIST((LN(Assumptions!$E$5/E5)+(Assumptions!$E$8-Assumptions!$E$9+0.5*G5^2)*F5)/(G5*SQRT(F5)))-1))*D5</f>
        <v/>
      </c>
      <c r="J5">
        <f>EXP(-Assumptions!$E$9*F5)*(EXP(-(((LN(Assumptions!$E$5/E5)+(Assumptions!$E$8-Assumptions!$E$9+0.5*G5^2)*F5)/(G5*SQRT(F5)))^2)/2)/SQRT(2*PI()))/(Assumptions!$E$5*G5*SQRT(F5))*D5</f>
        <v/>
      </c>
      <c r="K5">
        <f>Assumptions!$E$5*EXP(-Assumptions!$E$9*F5)*(EXP(-(((LN(Assumptions!$E$5/E5)+(Assumptions!$E$8-Assumptions!$E$9+0.5*G5^2)*F5)/(G5*SQRT(F5)))^2)/2)/SQRT(2*PI()))*SQRT(F5)*D5</f>
        <v/>
      </c>
      <c r="L5">
        <f>-Assumptions!$E$5*EXP(-Assumptions!$E$9*F5)*(EXP(-(((LN(Assumptions!$E$5/E5)+(Assumptions!$E$8-Assumptions!$E$9+0.5*G5^2)*F5)/(G5*SQRT(F5)))^2)/2)/SQRT(2*PI()))*G5/(2*SQRT(F5))*D5</f>
        <v/>
      </c>
      <c r="M5" s="26">
        <f>H5*D5*Assumptions!$E$12</f>
        <v/>
      </c>
    </row>
    <row r="6">
      <c r="B6" t="inlineStr">
        <is>
          <t>Protective put</t>
        </is>
      </c>
      <c r="C6" t="inlineStr">
        <is>
          <t>Put</t>
        </is>
      </c>
      <c r="D6" s="25" t="n">
        <v>10</v>
      </c>
      <c r="E6" s="9" t="n">
        <v>90</v>
      </c>
      <c r="F6" s="25" t="n">
        <v>0.5</v>
      </c>
      <c r="G6" s="13" t="n">
        <v>0.3</v>
      </c>
      <c r="H6" s="20">
        <f>IF($C6="Call",Assumptions!$E$5*EXP(-Assumptions!$E$9*F6)*NORMSDIST((LN(Assumptions!$E$5/E6)+(Assumptions!$E$8-Assumptions!$E$9+0.5*G6^2)*F6)/(G6*SQRT(F6)))-E6*EXP(-Assumptions!$E$8*F6)*NORMSDIST(((LN(Assumptions!$E$5/E6)+(Assumptions!$E$8-Assumptions!$E$9+0.5*G6^2)*F6)/(G6*SQRT(F6)))-G6*SQRT(F6)),E6*EXP(-Assumptions!$E$8*F6)*NORMSDIST(-(((LN(Assumptions!$E$5/E6)+(Assumptions!$E$8-Assumptions!$E$9+0.5*G6^2)*F6)/(G6*SQRT(F6)))-G6*SQRT(F6)))-Assumptions!$E$5*EXP(-Assumptions!$E$9*F6)*NORMSDIST(-((LN(Assumptions!$E$5/E6)+(Assumptions!$E$8-Assumptions!$E$9+0.5*G6^2)*F6)/(G6*SQRT(F6)))))</f>
        <v/>
      </c>
      <c r="I6">
        <f>IF($C6="Call",EXP(-Assumptions!$E$9*F6)*NORMSDIST((LN(Assumptions!$E$5/E6)+(Assumptions!$E$8-Assumptions!$E$9+0.5*G6^2)*F6)/(G6*SQRT(F6))),EXP(-Assumptions!$E$9*F6)*(NORMSDIST((LN(Assumptions!$E$5/E6)+(Assumptions!$E$8-Assumptions!$E$9+0.5*G6^2)*F6)/(G6*SQRT(F6)))-1))*D6</f>
        <v/>
      </c>
      <c r="J6">
        <f>EXP(-Assumptions!$E$9*F6)*(EXP(-(((LN(Assumptions!$E$5/E6)+(Assumptions!$E$8-Assumptions!$E$9+0.5*G6^2)*F6)/(G6*SQRT(F6)))^2)/2)/SQRT(2*PI()))/(Assumptions!$E$5*G6*SQRT(F6))*D6</f>
        <v/>
      </c>
      <c r="K6">
        <f>Assumptions!$E$5*EXP(-Assumptions!$E$9*F6)*(EXP(-(((LN(Assumptions!$E$5/E6)+(Assumptions!$E$8-Assumptions!$E$9+0.5*G6^2)*F6)/(G6*SQRT(F6)))^2)/2)/SQRT(2*PI()))*SQRT(F6)*D6</f>
        <v/>
      </c>
      <c r="L6">
        <f>-Assumptions!$E$5*EXP(-Assumptions!$E$9*F6)*(EXP(-(((LN(Assumptions!$E$5/E6)+(Assumptions!$E$8-Assumptions!$E$9+0.5*G6^2)*F6)/(G6*SQRT(F6)))^2)/2)/SQRT(2*PI()))*G6/(2*SQRT(F6))*D6</f>
        <v/>
      </c>
      <c r="M6" s="26">
        <f>H6*D6*Assumptions!$E$12</f>
        <v/>
      </c>
    </row>
    <row r="7">
      <c r="B7" t="inlineStr">
        <is>
          <t>Short call</t>
        </is>
      </c>
      <c r="C7" t="inlineStr">
        <is>
          <t>Call</t>
        </is>
      </c>
      <c r="D7" s="25" t="n">
        <v>-5</v>
      </c>
      <c r="E7" s="9" t="n">
        <v>110</v>
      </c>
      <c r="F7" s="25" t="n">
        <v>0.5</v>
      </c>
      <c r="G7" s="13" t="n">
        <v>0.24</v>
      </c>
      <c r="H7" s="20">
        <f>IF($C7="Call",Assumptions!$E$5*EXP(-Assumptions!$E$9*F7)*NORMSDIST((LN(Assumptions!$E$5/E7)+(Assumptions!$E$8-Assumptions!$E$9+0.5*G7^2)*F7)/(G7*SQRT(F7)))-E7*EXP(-Assumptions!$E$8*F7)*NORMSDIST(((LN(Assumptions!$E$5/E7)+(Assumptions!$E$8-Assumptions!$E$9+0.5*G7^2)*F7)/(G7*SQRT(F7)))-G7*SQRT(F7)),E7*EXP(-Assumptions!$E$8*F7)*NORMSDIST(-(((LN(Assumptions!$E$5/E7)+(Assumptions!$E$8-Assumptions!$E$9+0.5*G7^2)*F7)/(G7*SQRT(F7)))-G7*SQRT(F7)))-Assumptions!$E$5*EXP(-Assumptions!$E$9*F7)*NORMSDIST(-((LN(Assumptions!$E$5/E7)+(Assumptions!$E$8-Assumptions!$E$9+0.5*G7^2)*F7)/(G7*SQRT(F7)))))</f>
        <v/>
      </c>
      <c r="I7">
        <f>IF($C7="Call",EXP(-Assumptions!$E$9*F7)*NORMSDIST((LN(Assumptions!$E$5/E7)+(Assumptions!$E$8-Assumptions!$E$9+0.5*G7^2)*F7)/(G7*SQRT(F7))),EXP(-Assumptions!$E$9*F7)*(NORMSDIST((LN(Assumptions!$E$5/E7)+(Assumptions!$E$8-Assumptions!$E$9+0.5*G7^2)*F7)/(G7*SQRT(F7)))-1))*D7</f>
        <v/>
      </c>
      <c r="J7">
        <f>EXP(-Assumptions!$E$9*F7)*(EXP(-(((LN(Assumptions!$E$5/E7)+(Assumptions!$E$8-Assumptions!$E$9+0.5*G7^2)*F7)/(G7*SQRT(F7)))^2)/2)/SQRT(2*PI()))/(Assumptions!$E$5*G7*SQRT(F7))*D7</f>
        <v/>
      </c>
      <c r="K7">
        <f>Assumptions!$E$5*EXP(-Assumptions!$E$9*F7)*(EXP(-(((LN(Assumptions!$E$5/E7)+(Assumptions!$E$8-Assumptions!$E$9+0.5*G7^2)*F7)/(G7*SQRT(F7)))^2)/2)/SQRT(2*PI()))*SQRT(F7)*D7</f>
        <v/>
      </c>
      <c r="L7">
        <f>-Assumptions!$E$5*EXP(-Assumptions!$E$9*F7)*(EXP(-(((LN(Assumptions!$E$5/E7)+(Assumptions!$E$8-Assumptions!$E$9+0.5*G7^2)*F7)/(G7*SQRT(F7)))^2)/2)/SQRT(2*PI()))*G7/(2*SQRT(F7))*D7</f>
        <v/>
      </c>
      <c r="M7" s="26">
        <f>H7*D7*Assumptions!$E$12</f>
        <v/>
      </c>
    </row>
    <row r="8">
      <c r="B8" t="inlineStr">
        <is>
          <t>Long-dated call</t>
        </is>
      </c>
      <c r="C8" t="inlineStr">
        <is>
          <t>Call</t>
        </is>
      </c>
      <c r="D8" s="25" t="n">
        <v>4</v>
      </c>
      <c r="E8" s="9" t="n">
        <v>105</v>
      </c>
      <c r="F8" s="25" t="n">
        <v>1</v>
      </c>
      <c r="G8" s="13" t="n">
        <v>0.27</v>
      </c>
      <c r="H8" s="20">
        <f>IF($C8="Call",Assumptions!$E$5*EXP(-Assumptions!$E$9*F8)*NORMSDIST((LN(Assumptions!$E$5/E8)+(Assumptions!$E$8-Assumptions!$E$9+0.5*G8^2)*F8)/(G8*SQRT(F8)))-E8*EXP(-Assumptions!$E$8*F8)*NORMSDIST(((LN(Assumptions!$E$5/E8)+(Assumptions!$E$8-Assumptions!$E$9+0.5*G8^2)*F8)/(G8*SQRT(F8)))-G8*SQRT(F8)),E8*EXP(-Assumptions!$E$8*F8)*NORMSDIST(-(((LN(Assumptions!$E$5/E8)+(Assumptions!$E$8-Assumptions!$E$9+0.5*G8^2)*F8)/(G8*SQRT(F8)))-G8*SQRT(F8)))-Assumptions!$E$5*EXP(-Assumptions!$E$9*F8)*NORMSDIST(-((LN(Assumptions!$E$5/E8)+(Assumptions!$E$8-Assumptions!$E$9+0.5*G8^2)*F8)/(G8*SQRT(F8)))))</f>
        <v/>
      </c>
      <c r="I8">
        <f>IF($C8="Call",EXP(-Assumptions!$E$9*F8)*NORMSDIST((LN(Assumptions!$E$5/E8)+(Assumptions!$E$8-Assumptions!$E$9+0.5*G8^2)*F8)/(G8*SQRT(F8))),EXP(-Assumptions!$E$9*F8)*(NORMSDIST((LN(Assumptions!$E$5/E8)+(Assumptions!$E$8-Assumptions!$E$9+0.5*G8^2)*F8)/(G8*SQRT(F8)))-1))*D8</f>
        <v/>
      </c>
      <c r="J8">
        <f>EXP(-Assumptions!$E$9*F8)*(EXP(-(((LN(Assumptions!$E$5/E8)+(Assumptions!$E$8-Assumptions!$E$9+0.5*G8^2)*F8)/(G8*SQRT(F8)))^2)/2)/SQRT(2*PI()))/(Assumptions!$E$5*G8*SQRT(F8))*D8</f>
        <v/>
      </c>
      <c r="K8">
        <f>Assumptions!$E$5*EXP(-Assumptions!$E$9*F8)*(EXP(-(((LN(Assumptions!$E$5/E8)+(Assumptions!$E$8-Assumptions!$E$9+0.5*G8^2)*F8)/(G8*SQRT(F8)))^2)/2)/SQRT(2*PI()))*SQRT(F8)*D8</f>
        <v/>
      </c>
      <c r="L8">
        <f>-Assumptions!$E$5*EXP(-Assumptions!$E$9*F8)*(EXP(-(((LN(Assumptions!$E$5/E8)+(Assumptions!$E$8-Assumptions!$E$9+0.5*G8^2)*F8)/(G8*SQRT(F8)))^2)/2)/SQRT(2*PI()))*G8/(2*SQRT(F8))*D8</f>
        <v/>
      </c>
      <c r="M8" s="26">
        <f>H8*D8*Assumptions!$E$12</f>
        <v/>
      </c>
    </row>
    <row r="10">
      <c r="B10" s="27" t="inlineStr">
        <is>
          <t>Portfolio total</t>
        </is>
      </c>
      <c r="C10" s="27" t="n"/>
      <c r="D10" s="27" t="n"/>
      <c r="E10" s="27" t="n"/>
      <c r="F10" s="27" t="n"/>
      <c r="G10" s="27" t="n"/>
      <c r="H10" s="27" t="n"/>
      <c r="I10" s="28">
        <f>SUM(I5:I8)</f>
        <v/>
      </c>
      <c r="J10" s="28">
        <f>SUM(J5:J8)</f>
        <v/>
      </c>
      <c r="K10" s="28">
        <f>SUM(K5:K8)</f>
        <v/>
      </c>
      <c r="L10" s="28">
        <f>SUM(L5:L8)</f>
        <v/>
      </c>
      <c r="M10" s="29">
        <f>SUM(M5:M8)</f>
        <v/>
      </c>
    </row>
  </sheetData>
  <mergeCells count="1">
    <mergeCell ref="B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Delta-Gamma-Vega Scenario P&amp;L</t>
        </is>
      </c>
    </row>
    <row r="4">
      <c r="B4" s="8" t="inlineStr">
        <is>
          <t>Spot shock / Vol shock</t>
        </is>
      </c>
      <c r="C4" s="30" t="n">
        <v>-0.1</v>
      </c>
      <c r="D4" s="30" t="n">
        <v>-0.05</v>
      </c>
      <c r="E4" s="30" t="n">
        <v>0</v>
      </c>
      <c r="F4" s="30" t="n">
        <v>0.05</v>
      </c>
      <c r="G4" s="30" t="n">
        <v>0.1</v>
      </c>
    </row>
    <row r="5">
      <c r="B5" s="31" t="n">
        <v>-0.2</v>
      </c>
      <c r="C5" s="26">
        <f>Portfolio!$I$10*(Assumptions!$E$5*$B5)+0.5*Portfolio!$J$10*(Assumptions!$E$5*$B5)^2+Portfolio!$K$10*C$4</f>
        <v/>
      </c>
      <c r="D5" s="26">
        <f>Portfolio!$I$10*(Assumptions!$E$5*$B5)+0.5*Portfolio!$J$10*(Assumptions!$E$5*$B5)^2+Portfolio!$K$10*D$4</f>
        <v/>
      </c>
      <c r="E5" s="26">
        <f>Portfolio!$I$10*(Assumptions!$E$5*$B5)+0.5*Portfolio!$J$10*(Assumptions!$E$5*$B5)^2+Portfolio!$K$10*E$4</f>
        <v/>
      </c>
      <c r="F5" s="26">
        <f>Portfolio!$I$10*(Assumptions!$E$5*$B5)+0.5*Portfolio!$J$10*(Assumptions!$E$5*$B5)^2+Portfolio!$K$10*F$4</f>
        <v/>
      </c>
      <c r="G5" s="26">
        <f>Portfolio!$I$10*(Assumptions!$E$5*$B5)+0.5*Portfolio!$J$10*(Assumptions!$E$5*$B5)^2+Portfolio!$K$10*G$4</f>
        <v/>
      </c>
    </row>
    <row r="6">
      <c r="B6" s="31" t="n">
        <v>-0.1</v>
      </c>
      <c r="C6" s="26">
        <f>Portfolio!$I$10*(Assumptions!$E$5*$B6)+0.5*Portfolio!$J$10*(Assumptions!$E$5*$B6)^2+Portfolio!$K$10*C$4</f>
        <v/>
      </c>
      <c r="D6" s="26">
        <f>Portfolio!$I$10*(Assumptions!$E$5*$B6)+0.5*Portfolio!$J$10*(Assumptions!$E$5*$B6)^2+Portfolio!$K$10*D$4</f>
        <v/>
      </c>
      <c r="E6" s="26">
        <f>Portfolio!$I$10*(Assumptions!$E$5*$B6)+0.5*Portfolio!$J$10*(Assumptions!$E$5*$B6)^2+Portfolio!$K$10*E$4</f>
        <v/>
      </c>
      <c r="F6" s="26">
        <f>Portfolio!$I$10*(Assumptions!$E$5*$B6)+0.5*Portfolio!$J$10*(Assumptions!$E$5*$B6)^2+Portfolio!$K$10*F$4</f>
        <v/>
      </c>
      <c r="G6" s="26">
        <f>Portfolio!$I$10*(Assumptions!$E$5*$B6)+0.5*Portfolio!$J$10*(Assumptions!$E$5*$B6)^2+Portfolio!$K$10*G$4</f>
        <v/>
      </c>
    </row>
    <row r="7">
      <c r="B7" s="31" t="n">
        <v>0</v>
      </c>
      <c r="C7" s="26">
        <f>Portfolio!$I$10*(Assumptions!$E$5*$B7)+0.5*Portfolio!$J$10*(Assumptions!$E$5*$B7)^2+Portfolio!$K$10*C$4</f>
        <v/>
      </c>
      <c r="D7" s="26">
        <f>Portfolio!$I$10*(Assumptions!$E$5*$B7)+0.5*Portfolio!$J$10*(Assumptions!$E$5*$B7)^2+Portfolio!$K$10*D$4</f>
        <v/>
      </c>
      <c r="E7" s="26">
        <f>Portfolio!$I$10*(Assumptions!$E$5*$B7)+0.5*Portfolio!$J$10*(Assumptions!$E$5*$B7)^2+Portfolio!$K$10*E$4</f>
        <v/>
      </c>
      <c r="F7" s="26">
        <f>Portfolio!$I$10*(Assumptions!$E$5*$B7)+0.5*Portfolio!$J$10*(Assumptions!$E$5*$B7)^2+Portfolio!$K$10*F$4</f>
        <v/>
      </c>
      <c r="G7" s="26">
        <f>Portfolio!$I$10*(Assumptions!$E$5*$B7)+0.5*Portfolio!$J$10*(Assumptions!$E$5*$B7)^2+Portfolio!$K$10*G$4</f>
        <v/>
      </c>
    </row>
    <row r="8">
      <c r="B8" s="31" t="n">
        <v>0.1</v>
      </c>
      <c r="C8" s="26">
        <f>Portfolio!$I$10*(Assumptions!$E$5*$B8)+0.5*Portfolio!$J$10*(Assumptions!$E$5*$B8)^2+Portfolio!$K$10*C$4</f>
        <v/>
      </c>
      <c r="D8" s="26">
        <f>Portfolio!$I$10*(Assumptions!$E$5*$B8)+0.5*Portfolio!$J$10*(Assumptions!$E$5*$B8)^2+Portfolio!$K$10*D$4</f>
        <v/>
      </c>
      <c r="E8" s="26">
        <f>Portfolio!$I$10*(Assumptions!$E$5*$B8)+0.5*Portfolio!$J$10*(Assumptions!$E$5*$B8)^2+Portfolio!$K$10*E$4</f>
        <v/>
      </c>
      <c r="F8" s="26">
        <f>Portfolio!$I$10*(Assumptions!$E$5*$B8)+0.5*Portfolio!$J$10*(Assumptions!$E$5*$B8)^2+Portfolio!$K$10*F$4</f>
        <v/>
      </c>
      <c r="G8" s="26">
        <f>Portfolio!$I$10*(Assumptions!$E$5*$B8)+0.5*Portfolio!$J$10*(Assumptions!$E$5*$B8)^2+Portfolio!$K$10*G$4</f>
        <v/>
      </c>
    </row>
    <row r="9">
      <c r="B9" s="31" t="n">
        <v>0.2</v>
      </c>
      <c r="C9" s="26">
        <f>Portfolio!$I$10*(Assumptions!$E$5*$B9)+0.5*Portfolio!$J$10*(Assumptions!$E$5*$B9)^2+Portfolio!$K$10*C$4</f>
        <v/>
      </c>
      <c r="D9" s="26">
        <f>Portfolio!$I$10*(Assumptions!$E$5*$B9)+0.5*Portfolio!$J$10*(Assumptions!$E$5*$B9)^2+Portfolio!$K$10*D$4</f>
        <v/>
      </c>
      <c r="E9" s="26">
        <f>Portfolio!$I$10*(Assumptions!$E$5*$B9)+0.5*Portfolio!$J$10*(Assumptions!$E$5*$B9)^2+Portfolio!$K$10*E$4</f>
        <v/>
      </c>
      <c r="F9" s="26">
        <f>Portfolio!$I$10*(Assumptions!$E$5*$B9)+0.5*Portfolio!$J$10*(Assumptions!$E$5*$B9)^2+Portfolio!$K$10*F$4</f>
        <v/>
      </c>
      <c r="G9" s="26">
        <f>Portfolio!$I$10*(Assumptions!$E$5*$B9)+0.5*Portfolio!$J$10*(Assumptions!$E$5*$B9)^2+Portfolio!$K$10*G$4</f>
        <v/>
      </c>
    </row>
  </sheetData>
  <mergeCells count="1">
    <mergeCell ref="B2:H2"/>
  </mergeCells>
  <conditionalFormatting sqref="C5:G9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</cols>
  <sheetData>
    <row r="2" ht="28" customHeight="1">
      <c r="B2" s="1" t="inlineStr">
        <is>
          <t>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Put-call parity</t>
        </is>
      </c>
      <c r="C5">
        <f>IF(ABS('European Pricer'!C13)&lt;0.000001,"PASS","FAIL")</f>
        <v/>
      </c>
    </row>
    <row r="6">
      <c r="B6" t="inlineStr">
        <is>
          <t>Implied volatility convergence</t>
        </is>
      </c>
      <c r="C6">
        <f>IF('Implied Vol'!E17&lt;0.0001,"PASS","REVIEW")</f>
        <v/>
      </c>
    </row>
    <row r="7">
      <c r="B7" t="inlineStr">
        <is>
          <t>Gamma positive</t>
        </is>
      </c>
      <c r="C7">
        <f>IF(AND(Greeks!C6&gt;0,Greeks!D6&gt;0),"PASS","FAIL")</f>
        <v/>
      </c>
    </row>
    <row r="8">
      <c r="B8" t="inlineStr">
        <is>
          <t>Call price within bounds</t>
        </is>
      </c>
      <c r="C8">
        <f>IF(AND('European Pricer'!C7&gt;=MAX(0,Assumptions!E5*EXP(-Assumptions!E9*Assumptions!E7)-Assumptions!E6*EXP(-Assumptions!E8*Assumptions!E7)),'European Pricer'!C7&lt;=Assumptions!E5*EXP(-Assumptions!E9*Assumptions!E7)),"PASS","FAIL")</f>
        <v/>
      </c>
    </row>
    <row r="9">
      <c r="B9" t="inlineStr">
        <is>
          <t>Portfolio formulas populated</t>
        </is>
      </c>
      <c r="C9">
        <f>IF(COUNT(Portfolio!H5:M8)=24,"PASS","FAIL")</f>
        <v/>
      </c>
    </row>
    <row r="10">
      <c r="B10" t="inlineStr">
        <is>
          <t>Overall</t>
        </is>
      </c>
      <c r="C10">
        <f>IF(COUNTIF(C5:C9,"FAIL")=0,"PASS","FAIL")</f>
        <v/>
      </c>
    </row>
  </sheetData>
  <mergeCells count="1">
    <mergeCell ref="B2:C2"/>
  </mergeCells>
  <conditionalFormatting sqref="C5:C10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32" t="inlineStr">
        <is>
          <t>Option contract specification</t>
        </is>
      </c>
      <c r="C5" s="32" t="inlineStr">
        <is>
          <t>[exchange / broker URL]</t>
        </is>
      </c>
      <c r="D5" s="32" t="inlineStr">
        <is>
          <t>[date]</t>
        </is>
      </c>
      <c r="E5" s="32" t="inlineStr">
        <is>
          <t>Multiplier, expiry, settlement, exercise style</t>
        </is>
      </c>
    </row>
    <row r="6">
      <c r="B6" s="32" t="inlineStr">
        <is>
          <t>Underlying and option market data</t>
        </is>
      </c>
      <c r="C6" s="32" t="inlineStr">
        <is>
          <t>[market data URL]</t>
        </is>
      </c>
      <c r="D6" s="32" t="inlineStr">
        <is>
          <t>[timestamp]</t>
        </is>
      </c>
      <c r="E6" s="32" t="inlineStr">
        <is>
          <t>Spot, bid/ask, implied volatility</t>
        </is>
      </c>
    </row>
    <row r="7">
      <c r="B7" s="32" t="inlineStr">
        <is>
          <t>Risk-free curve</t>
        </is>
      </c>
      <c r="C7" s="32" t="inlineStr">
        <is>
          <t>https://home.treasury.gov/resource-center/data-chart-center/interest-rates</t>
        </is>
      </c>
      <c r="D7" s="32" t="inlineStr">
        <is>
          <t>[date]</t>
        </is>
      </c>
      <c r="E7" s="32" t="inlineStr">
        <is>
          <t>Document interpolation and currency basis</t>
        </is>
      </c>
    </row>
    <row r="8">
      <c r="B8" s="32" t="inlineStr">
        <is>
          <t>Dividend / carry assumption</t>
        </is>
      </c>
      <c r="C8" s="32" t="inlineStr">
        <is>
          <t>[issuer or market source]</t>
        </is>
      </c>
      <c r="D8" s="32" t="inlineStr">
        <is>
          <t>[date]</t>
        </is>
      </c>
      <c r="E8" s="32" t="inlineStr">
        <is>
          <t>Expected dividends or foreign rates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33" t="n"/>
      <c r="C5" s="33" t="n"/>
      <c r="D5" s="33" t="n"/>
      <c r="E5" s="33" t="n"/>
      <c r="F5" s="33" t="n"/>
      <c r="G5" s="33" t="n"/>
    </row>
    <row r="6">
      <c r="B6" s="33" t="n"/>
      <c r="C6" s="33" t="n"/>
      <c r="D6" s="33" t="n"/>
      <c r="E6" s="33" t="n"/>
      <c r="F6" s="33" t="n"/>
      <c r="G6" s="33" t="n"/>
    </row>
    <row r="7">
      <c r="B7" s="33" t="n"/>
      <c r="C7" s="33" t="n"/>
      <c r="D7" s="33" t="n"/>
      <c r="E7" s="33" t="n"/>
      <c r="F7" s="33" t="n"/>
      <c r="G7" s="33" t="n"/>
    </row>
    <row r="8">
      <c r="B8" s="33" t="n"/>
      <c r="C8" s="33" t="n"/>
      <c r="D8" s="33" t="n"/>
      <c r="E8" s="33" t="n"/>
      <c r="F8" s="33" t="n"/>
      <c r="G8" s="33" t="n"/>
    </row>
    <row r="9">
      <c r="B9" s="33" t="n"/>
      <c r="C9" s="33" t="n"/>
      <c r="D9" s="33" t="n"/>
      <c r="E9" s="33" t="n"/>
      <c r="F9" s="33" t="n"/>
      <c r="G9" s="33" t="n"/>
    </row>
    <row r="10">
      <c r="B10" s="33" t="n"/>
      <c r="C10" s="33" t="n"/>
      <c r="D10" s="33" t="n"/>
      <c r="E10" s="33" t="n"/>
      <c r="F10" s="33" t="n"/>
      <c r="G10" s="33" t="n"/>
    </row>
    <row r="11">
      <c r="B11" s="33" t="n"/>
      <c r="C11" s="33" t="n"/>
      <c r="D11" s="33" t="n"/>
      <c r="E11" s="33" t="n"/>
      <c r="F11" s="33" t="n"/>
      <c r="G11" s="33" t="n"/>
    </row>
    <row r="12">
      <c r="B12" s="33" t="n"/>
      <c r="C12" s="33" t="n"/>
      <c r="D12" s="33" t="n"/>
      <c r="E12" s="33" t="n"/>
      <c r="F12" s="33" t="n"/>
      <c r="G12" s="33" t="n"/>
    </row>
    <row r="13">
      <c r="B13" s="33" t="n"/>
      <c r="C13" s="33" t="n"/>
      <c r="D13" s="33" t="n"/>
      <c r="E13" s="33" t="n"/>
      <c r="F13" s="33" t="n"/>
      <c r="G13" s="33" t="n"/>
    </row>
    <row r="14">
      <c r="B14" s="33" t="n"/>
      <c r="C14" s="33" t="n"/>
      <c r="D14" s="33" t="n"/>
      <c r="E14" s="33" t="n"/>
      <c r="F14" s="33" t="n"/>
      <c r="G14" s="33" t="n"/>
    </row>
    <row r="15">
      <c r="B15" s="33" t="n"/>
      <c r="C15" s="33" t="n"/>
      <c r="D15" s="33" t="n"/>
      <c r="E15" s="33" t="n"/>
      <c r="F15" s="33" t="n"/>
      <c r="G15" s="33" t="n"/>
    </row>
    <row r="16">
      <c r="B16" s="33" t="n"/>
      <c r="C16" s="33" t="n"/>
      <c r="D16" s="33" t="n"/>
      <c r="E16" s="33" t="n"/>
      <c r="F16" s="33" t="n"/>
      <c r="G16" s="33" t="n"/>
    </row>
    <row r="17">
      <c r="B17" s="33" t="n"/>
      <c r="C17" s="33" t="n"/>
      <c r="D17" s="33" t="n"/>
      <c r="E17" s="33" t="n"/>
      <c r="F17" s="33" t="n"/>
      <c r="G17" s="33" t="n"/>
    </row>
    <row r="18">
      <c r="B18" s="33" t="n"/>
      <c r="C18" s="33" t="n"/>
      <c r="D18" s="33" t="n"/>
      <c r="E18" s="33" t="n"/>
      <c r="F18" s="33" t="n"/>
      <c r="G18" s="33" t="n"/>
    </row>
    <row r="19">
      <c r="B19" s="33" t="n"/>
      <c r="C19" s="33" t="n"/>
      <c r="D19" s="33" t="n"/>
      <c r="E19" s="33" t="n"/>
      <c r="F19" s="33" t="n"/>
      <c r="G19" s="33" t="n"/>
    </row>
    <row r="20">
      <c r="B20" s="33" t="n"/>
      <c r="C20" s="33" t="n"/>
      <c r="D20" s="33" t="n"/>
      <c r="E20" s="33" t="n"/>
      <c r="F20" s="33" t="n"/>
      <c r="G20" s="33" t="n"/>
    </row>
    <row r="21">
      <c r="B21" s="33" t="n"/>
      <c r="C21" s="33" t="n"/>
      <c r="D21" s="33" t="n"/>
      <c r="E21" s="33" t="n"/>
      <c r="F21" s="33" t="n"/>
      <c r="G21" s="33" t="n"/>
    </row>
    <row r="22">
      <c r="B22" s="33" t="n"/>
      <c r="C22" s="33" t="n"/>
      <c r="D22" s="33" t="n"/>
      <c r="E22" s="33" t="n"/>
      <c r="F22" s="33" t="n"/>
      <c r="G22" s="33" t="n"/>
    </row>
    <row r="23">
      <c r="B23" s="33" t="n"/>
      <c r="C23" s="33" t="n"/>
      <c r="D23" s="33" t="n"/>
      <c r="E23" s="33" t="n"/>
      <c r="F23" s="33" t="n"/>
      <c r="G23" s="33" t="n"/>
    </row>
    <row r="24">
      <c r="B24" s="33" t="n"/>
      <c r="C24" s="33" t="n"/>
      <c r="D24" s="33" t="n"/>
      <c r="E24" s="33" t="n"/>
      <c r="F24" s="33" t="n"/>
      <c r="G24" s="33" t="n"/>
    </row>
    <row r="25">
      <c r="B25" s="33" t="n"/>
      <c r="C25" s="33" t="n"/>
      <c r="D25" s="33" t="n"/>
      <c r="E25" s="33" t="n"/>
      <c r="F25" s="33" t="n"/>
      <c r="G25" s="33" t="n"/>
    </row>
    <row r="26">
      <c r="B26" s="33" t="n"/>
      <c r="C26" s="33" t="n"/>
      <c r="D26" s="33" t="n"/>
      <c r="E26" s="33" t="n"/>
      <c r="F26" s="33" t="n"/>
      <c r="G26" s="33" t="n"/>
    </row>
    <row r="27">
      <c r="B27" s="33" t="n"/>
      <c r="C27" s="33" t="n"/>
      <c r="D27" s="33" t="n"/>
      <c r="E27" s="33" t="n"/>
      <c r="F27" s="33" t="n"/>
      <c r="G27" s="33" t="n"/>
    </row>
    <row r="28">
      <c r="B28" s="33" t="n"/>
      <c r="C28" s="33" t="n"/>
      <c r="D28" s="33" t="n"/>
      <c r="E28" s="33" t="n"/>
      <c r="F28" s="33" t="n"/>
      <c r="G28" s="33" t="n"/>
    </row>
    <row r="29">
      <c r="B29" s="33" t="n"/>
      <c r="C29" s="33" t="n"/>
      <c r="D29" s="33" t="n"/>
      <c r="E29" s="33" t="n"/>
      <c r="F29" s="33" t="n"/>
      <c r="G29" s="33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2026-08-05T22:48:47Z</dcterms:created>
  <dcterms:modified xmlns:dcterms="http://purl.org/dc/terms/" xmlns:xsi="http://www.w3.org/2001/XMLSchema-instance" xsi:type="dcterms:W3CDTF">2026-08-05T22:48:47Z</dcterms:modified>
</cp:coreProperties>
</file>