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Recovery Waterfall" sheetId="5" state="visible" r:id="rId5"/>
    <sheet xmlns:r="http://schemas.openxmlformats.org/officeDocument/2006/relationships" name="13-Week Liquidity" sheetId="6" state="visible" r:id="rId6"/>
    <sheet xmlns:r="http://schemas.openxmlformats.org/officeDocument/2006/relationships" name="New Money" sheetId="7" state="visible" r:id="rId7"/>
    <sheet xmlns:r="http://schemas.openxmlformats.org/officeDocument/2006/relationships" name="Liquidation vs Reorg" sheetId="8" state="visible" r:id="rId8"/>
    <sheet xmlns:r="http://schemas.openxmlformats.org/officeDocument/2006/relationships" name="Decision &amp; Checks" sheetId="9" state="visible" r:id="rId9"/>
    <sheet xmlns:r="http://schemas.openxmlformats.org/officeDocument/2006/relationships" name="RefreshLog" sheetId="10" state="visible" r:id="rId10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0.0%;(0.0%);&quot;-&quot;"/>
    <numFmt numFmtId="166" formatCode="#,##0;(#,##0);&quot;-&quot;"/>
    <numFmt numFmtId="167" formatCode="0.0"/>
    <numFmt numFmtId="168" formatCode="0.0x"/>
  </numFmts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808080"/>
      <sz val="8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3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4" fontId="3" fillId="3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0" fillId="0" borderId="1" pivotButton="0" quotePrefix="0" xfId="0"/>
    <xf numFmtId="166" fontId="3" fillId="0" borderId="1" pivotButton="0" quotePrefix="0" xfId="0"/>
    <xf numFmtId="165" fontId="3" fillId="3" borderId="1" pivotButton="0" quotePrefix="0" xfId="0"/>
    <xf numFmtId="164" fontId="2" fillId="0" borderId="1" pivotButton="0" quotePrefix="0" xfId="0"/>
    <xf numFmtId="164" fontId="3" fillId="3" borderId="1" pivotButton="0" quotePrefix="0" xfId="0"/>
    <xf numFmtId="167" fontId="3" fillId="3" borderId="1" pivotButton="0" quotePrefix="0" xfId="0"/>
    <xf numFmtId="168" fontId="3" fillId="3" borderId="1" pivotButton="0" quotePrefix="0" xfId="0"/>
    <xf numFmtId="166" fontId="0" fillId="0" borderId="1" pivotButton="0" quotePrefix="0" xfId="0"/>
    <xf numFmtId="0" fontId="7" fillId="5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5" borderId="0" pivotButton="0" quotePrefix="0" xfId="0"/>
    <xf numFmtId="0" fontId="8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[COMPANY] — Distressed / Restructuring Model</t>
        </is>
      </c>
    </row>
    <row r="4">
      <c r="B4" s="2" t="inlineStr">
        <is>
          <t>Situation type:</t>
        </is>
      </c>
      <c r="C4" s="3" t="inlineStr">
        <is>
          <t>Chapter 11 / Out-of-court / Chapter 7</t>
        </is>
      </c>
    </row>
    <row r="5">
      <c r="B5" s="2" t="inlineStr">
        <is>
          <t>Petition/filing date:</t>
        </is>
      </c>
      <c r="C5" s="3" t="inlineStr">
        <is>
          <t>[date]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Refresh cadence:</t>
        </is>
      </c>
      <c r="C7" s="3" t="inlineStr">
        <is>
          <t>Weekly (daily near key dates)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1" t="inlineStr">
        <is>
          <t>Distressed &amp; Restructuring — Institutional Decision Surface</t>
        </is>
      </c>
    </row>
    <row r="4">
      <c r="B4" s="22" t="inlineStr">
        <is>
          <t>Model ID</t>
        </is>
      </c>
      <c r="C4" s="23" t="inlineStr">
        <is>
          <t>24</t>
        </is>
      </c>
    </row>
    <row r="5">
      <c r="B5" s="22" t="inlineStr">
        <is>
          <t>Domain</t>
        </is>
      </c>
      <c r="C5" s="23" t="inlineStr">
        <is>
          <t>Distressed &amp; Restructuring</t>
        </is>
      </c>
    </row>
    <row r="6">
      <c r="B6" s="22" t="inlineStr">
        <is>
          <t>Declared maturity</t>
        </is>
      </c>
      <c r="C6" s="23" t="inlineStr">
        <is>
          <t>M2</t>
        </is>
      </c>
    </row>
    <row r="7">
      <c r="B7" s="22" t="inlineStr">
        <is>
          <t>Canonical builder</t>
        </is>
      </c>
      <c r="C7" s="23" t="inlineStr">
        <is>
          <t>tools/builders/build_restructuring_release.py</t>
        </is>
      </c>
    </row>
    <row r="8">
      <c r="B8" s="22" t="inlineStr">
        <is>
          <t>Decision arena</t>
        </is>
      </c>
      <c r="C8" s="23" t="inlineStr">
        <is>
          <t>debtor, creditor groups, advisors, court and new-money providers</t>
        </is>
      </c>
    </row>
    <row r="9">
      <c r="B9" s="22" t="inlineStr">
        <is>
          <t>Committee artifact</t>
        </is>
      </c>
      <c r="C9" s="23" t="inlineStr">
        <is>
          <t>13-week liquidity, recovery and plan-value pack</t>
        </is>
      </c>
    </row>
    <row r="10">
      <c r="B10" s="22" t="inlineStr">
        <is>
          <t>Operating cadence</t>
        </is>
      </c>
      <c r="C10" s="23" t="inlineStr">
        <is>
          <t>daily liquidity; weekly stakeholder; court-event driven</t>
        </is>
      </c>
    </row>
    <row r="12">
      <c r="B12" s="24" t="inlineStr">
        <is>
          <t>Key decision outputs</t>
        </is>
      </c>
    </row>
    <row r="13">
      <c r="B13" s="25" t="inlineStr">
        <is>
          <t>#</t>
        </is>
      </c>
      <c r="C13" s="25" t="inlineStr">
        <is>
          <t>Requirement</t>
        </is>
      </c>
      <c r="D13" s="25" t="inlineStr">
        <is>
          <t>Owner</t>
        </is>
      </c>
      <c r="E13" s="25" t="inlineStr">
        <is>
          <t>Evidence / location</t>
        </is>
      </c>
      <c r="F13" s="25" t="inlineStr">
        <is>
          <t>Status</t>
        </is>
      </c>
    </row>
    <row r="14">
      <c r="B14" t="n">
        <v>1</v>
      </c>
      <c r="C14" t="inlineStr">
        <is>
          <t>13-week liquidity and DIP need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enterprise / reorganization value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recovery by class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4" t="inlineStr">
        <is>
          <t>Insider questions</t>
        </is>
      </c>
    </row>
    <row r="21">
      <c r="B21" s="25" t="inlineStr">
        <is>
          <t>#</t>
        </is>
      </c>
      <c r="C21" s="25" t="inlineStr">
        <is>
          <t>Requirement</t>
        </is>
      </c>
      <c r="D21" s="25" t="inlineStr">
        <is>
          <t>Owner</t>
        </is>
      </c>
      <c r="E21" s="25" t="inlineStr">
        <is>
          <t>Evidence / location</t>
        </is>
      </c>
      <c r="F21" s="25" t="inlineStr">
        <is>
          <t>Status</t>
        </is>
      </c>
    </row>
    <row r="22">
      <c r="B22" t="n">
        <v>1</v>
      </c>
      <c r="C22" t="inlineStr">
        <is>
          <t>What is the first day cash goes negative?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creditor is the fulcrum under each value case?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collateral and priority actually support each claim?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4" t="inlineStr">
        <is>
          <t>Scenario families</t>
        </is>
      </c>
    </row>
    <row r="29">
      <c r="B29" s="25" t="inlineStr">
        <is>
          <t>#</t>
        </is>
      </c>
      <c r="C29" s="25" t="inlineStr">
        <is>
          <t>Requirement</t>
        </is>
      </c>
      <c r="D29" s="25" t="inlineStr">
        <is>
          <t>Owner</t>
        </is>
      </c>
      <c r="E29" s="25" t="inlineStr">
        <is>
          <t>Evidence / location</t>
        </is>
      </c>
      <c r="F29" s="25" t="inlineStr">
        <is>
          <t>Status</t>
        </is>
      </c>
    </row>
    <row r="30">
      <c r="B30" t="n">
        <v>1</v>
      </c>
      <c r="C30" t="inlineStr">
        <is>
          <t>liquidity miss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vendor tightening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priming and adequate protection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4" t="inlineStr">
        <is>
          <t>Primary diligence documents</t>
        </is>
      </c>
    </row>
    <row r="37">
      <c r="B37" s="25" t="inlineStr">
        <is>
          <t>#</t>
        </is>
      </c>
      <c r="C37" s="25" t="inlineStr">
        <is>
          <t>Requirement</t>
        </is>
      </c>
      <c r="D37" s="25" t="inlineStr">
        <is>
          <t>Owner</t>
        </is>
      </c>
      <c r="E37" s="25" t="inlineStr">
        <is>
          <t>Evidence / location</t>
        </is>
      </c>
      <c r="F37" s="25" t="inlineStr">
        <is>
          <t>Status</t>
        </is>
      </c>
    </row>
    <row r="38">
      <c r="B38" t="n">
        <v>1</v>
      </c>
      <c r="C38" t="inlineStr">
        <is>
          <t>13-week cash flow and variance report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credit agreements and intercreditor documents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claims register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4" t="inlineStr">
        <is>
          <t>Challenge tests</t>
        </is>
      </c>
    </row>
    <row r="45">
      <c r="B45" s="25" t="inlineStr">
        <is>
          <t>#</t>
        </is>
      </c>
      <c r="C45" s="25" t="inlineStr">
        <is>
          <t>Requirement</t>
        </is>
      </c>
      <c r="D45" s="25" t="inlineStr">
        <is>
          <t>Owner</t>
        </is>
      </c>
      <c r="E45" s="25" t="inlineStr">
        <is>
          <t>Evidence / location</t>
        </is>
      </c>
      <c r="F45" s="25" t="inlineStr">
        <is>
          <t>Status</t>
        </is>
      </c>
    </row>
    <row r="46">
      <c r="B46" t="n">
        <v>1</v>
      </c>
      <c r="C46" t="inlineStr">
        <is>
          <t>weekly cash roll-forward balances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claims map equals capital structure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recoveries conserve distributable value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4" t="inlineStr">
        <is>
          <t>Known failure modes</t>
        </is>
      </c>
    </row>
    <row r="53">
      <c r="B53" s="25" t="inlineStr">
        <is>
          <t>#</t>
        </is>
      </c>
      <c r="C53" s="25" t="inlineStr">
        <is>
          <t>Requirement</t>
        </is>
      </c>
      <c r="D53" s="25" t="inlineStr">
        <is>
          <t>Owner</t>
        </is>
      </c>
      <c r="E53" s="25" t="inlineStr">
        <is>
          <t>Evidence / location</t>
        </is>
      </c>
      <c r="F53" s="25" t="inlineStr">
        <is>
          <t>Status</t>
        </is>
      </c>
    </row>
    <row r="54">
      <c r="B54" t="n">
        <v>1</v>
      </c>
      <c r="C54" t="inlineStr">
        <is>
          <t>using EBITDA while cash burns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critical-vendor and professional fees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assuming par claims without disputes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4" t="inlineStr">
        <is>
          <t>Regulatory / methodological anchors</t>
        </is>
      </c>
    </row>
    <row r="61">
      <c r="B61" s="25" t="inlineStr">
        <is>
          <t>Standard</t>
        </is>
      </c>
      <c r="C61" s="25" t="inlineStr">
        <is>
          <t>Scope</t>
        </is>
      </c>
      <c r="D61" s="25" t="inlineStr">
        <is>
          <t>Source URL</t>
        </is>
      </c>
      <c r="E61" s="25" t="inlineStr">
        <is>
          <t>Applicability</t>
        </is>
      </c>
      <c r="F61" s="25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OCC Rating Credit Risk</t>
        </is>
      </c>
      <c r="C63" t="inlineStr">
        <is>
          <t>repayment capacity and risk rating</t>
        </is>
      </c>
      <c r="D63" t="inlineStr">
        <is>
          <t>https://www.occ.treas.gov/publications-and-resources/publications/comptrollers-handbook/files/rating-credit-risk/pub-ch-rating-credit-risk.pdf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1" t="inlineStr">
        <is>
          <t>Independent Challenge, Override and Closure Log</t>
        </is>
      </c>
    </row>
    <row r="4">
      <c r="B4" s="25" t="inlineStr">
        <is>
          <t>Date</t>
        </is>
      </c>
      <c r="C4" s="25" t="inlineStr">
        <is>
          <t>Reviewer</t>
        </is>
      </c>
      <c r="D4" s="25" t="inlineStr">
        <is>
          <t>Challenge</t>
        </is>
      </c>
      <c r="E4" s="25" t="inlineStr">
        <is>
          <t>Owner response</t>
        </is>
      </c>
      <c r="F4" s="25" t="inlineStr">
        <is>
          <t>Evidence</t>
        </is>
      </c>
      <c r="G4" s="25" t="inlineStr">
        <is>
          <t>Impact</t>
        </is>
      </c>
      <c r="H4" s="25" t="inlineStr">
        <is>
          <t>Status</t>
        </is>
      </c>
      <c r="I4" s="25" t="inlineStr">
        <is>
          <t>Closure</t>
        </is>
      </c>
    </row>
    <row r="5">
      <c r="B5" t="inlineStr"/>
      <c r="C5" t="inlineStr"/>
      <c r="D5" t="inlineStr">
        <is>
          <t>weekly cash roll-forward balances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claims map equals capital structure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recoveries conserve distributable value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1" t="inlineStr">
        <is>
          <t>Source, Transformation, Ownership and Refresh Map</t>
        </is>
      </c>
    </row>
    <row r="4">
      <c r="B4" s="25" t="inlineStr">
        <is>
          <t>Source class</t>
        </is>
      </c>
      <c r="C4" s="25" t="inlineStr">
        <is>
          <t>Cadence</t>
        </is>
      </c>
      <c r="D4" s="25" t="inlineStr">
        <is>
          <t>Control</t>
        </is>
      </c>
      <c r="E4" s="25" t="inlineStr">
        <is>
          <t>System / provider</t>
        </is>
      </c>
      <c r="F4" s="25" t="inlineStr">
        <is>
          <t>As-of</t>
        </is>
      </c>
      <c r="G4" s="25" t="inlineStr">
        <is>
          <t>Owner</t>
        </is>
      </c>
      <c r="H4" s="25" t="inlineStr">
        <is>
          <t>Transform</t>
        </is>
      </c>
      <c r="I4" s="25" t="inlineStr">
        <is>
          <t>Downstream</t>
        </is>
      </c>
      <c r="J4" s="25" t="inlineStr">
        <is>
          <t>Status</t>
        </is>
      </c>
    </row>
    <row r="5">
      <c r="B5" t="inlineStr">
        <is>
          <t>cash receipts/disbursements</t>
        </is>
      </c>
      <c r="C5" t="inlineStr">
        <is>
          <t>daily/weekly</t>
        </is>
      </c>
      <c r="D5" t="inlineStr">
        <is>
          <t>bank and AP/AR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claims and debt</t>
        </is>
      </c>
      <c r="C6" t="inlineStr">
        <is>
          <t>event-driven</t>
        </is>
      </c>
      <c r="D6" t="inlineStr">
        <is>
          <t>legal status and class mapping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2">
      <c r="B2" s="1" t="inlineStr">
        <is>
          <t>Capital Structure &amp; Recovery Waterfall</t>
        </is>
      </c>
    </row>
    <row r="4">
      <c r="A4" s="4" t="inlineStr"/>
      <c r="B4" s="4" t="inlineStr">
        <is>
          <t>Tranche</t>
        </is>
      </c>
      <c r="C4" s="4" t="inlineStr">
        <is>
          <t>Face claim ($)</t>
        </is>
      </c>
      <c r="D4" s="4" t="inlineStr">
        <is>
          <t>Seniority rank</t>
        </is>
      </c>
      <c r="E4" s="4" t="inlineStr">
        <is>
          <t>Recovery ($)</t>
        </is>
      </c>
      <c r="F4" s="4" t="inlineStr">
        <is>
          <t>Recovery %</t>
        </is>
      </c>
      <c r="G4" t="inlineStr">
        <is>
          <t>Fulcrum?</t>
        </is>
      </c>
    </row>
    <row r="5">
      <c r="B5" s="5" t="inlineStr">
        <is>
          <t>DIP / super-priority</t>
        </is>
      </c>
      <c r="C5" s="6" t="n">
        <v>0</v>
      </c>
      <c r="D5" s="3" t="n">
        <v>1</v>
      </c>
      <c r="E5" s="7">
        <f>MIN(C12,C5)</f>
        <v/>
      </c>
      <c r="F5" s="8">
        <f>IFERROR(E5/C5,"-")</f>
        <v/>
      </c>
      <c r="G5" s="9">
        <f>IF(AND(ISNUMBER(F5),F5&lt;1),"FULCRUM","")</f>
        <v/>
      </c>
    </row>
    <row r="6">
      <c r="B6" s="5" t="inlineStr">
        <is>
          <t>First lien secured</t>
        </is>
      </c>
      <c r="C6" s="6" t="n">
        <v>0</v>
      </c>
      <c r="D6" s="3" t="n">
        <v>2</v>
      </c>
      <c r="E6" s="7">
        <f>MIN(MAX(C12-SUM(E5:E5),0),C6)</f>
        <v/>
      </c>
      <c r="F6" s="8">
        <f>IFERROR(E6/C6,"-")</f>
        <v/>
      </c>
      <c r="G6" s="9">
        <f>IF(AND(ISNUMBER(F6),F6&lt;1,ISNUMBER(F5),F5&gt;=1),"FULCRUM","")</f>
        <v/>
      </c>
    </row>
    <row r="7">
      <c r="B7" s="5" t="inlineStr">
        <is>
          <t>Second lien secured</t>
        </is>
      </c>
      <c r="C7" s="6" t="n">
        <v>0</v>
      </c>
      <c r="D7" s="3" t="n">
        <v>3</v>
      </c>
      <c r="E7" s="7">
        <f>MIN(MAX(C12-SUM(E5:E6),0),C7)</f>
        <v/>
      </c>
      <c r="F7" s="8">
        <f>IFERROR(E7/C7,"-")</f>
        <v/>
      </c>
      <c r="G7" s="9">
        <f>IF(AND(ISNUMBER(F7),F7&lt;1,ISNUMBER(F6),F6&gt;=1),"FULCRUM","")</f>
        <v/>
      </c>
    </row>
    <row r="8">
      <c r="B8" s="5" t="inlineStr">
        <is>
          <t>Senior unsecured notes</t>
        </is>
      </c>
      <c r="C8" s="6" t="n">
        <v>0</v>
      </c>
      <c r="D8" s="3" t="n">
        <v>4</v>
      </c>
      <c r="E8" s="7">
        <f>MIN(MAX(C12-SUM(E5:E7),0),C8)</f>
        <v/>
      </c>
      <c r="F8" s="8">
        <f>IFERROR(E8/C8,"-")</f>
        <v/>
      </c>
      <c r="G8" s="9">
        <f>IF(AND(ISNUMBER(F8),F8&lt;1,ISNUMBER(F7),F7&gt;=1),"FULCRUM","")</f>
        <v/>
      </c>
    </row>
    <row r="9">
      <c r="B9" s="5" t="inlineStr">
        <is>
          <t>Subordinated debt</t>
        </is>
      </c>
      <c r="C9" s="6" t="n">
        <v>0</v>
      </c>
      <c r="D9" s="3" t="n">
        <v>5</v>
      </c>
      <c r="E9" s="7">
        <f>MIN(MAX(C12-SUM(E5:E8),0),C9)</f>
        <v/>
      </c>
      <c r="F9" s="8">
        <f>IFERROR(E9/C9,"-")</f>
        <v/>
      </c>
      <c r="G9" s="9">
        <f>IF(AND(ISNUMBER(F9),F9&lt;1,ISNUMBER(F8),F8&gt;=1),"FULCRUM","")</f>
        <v/>
      </c>
    </row>
    <row r="10">
      <c r="B10" s="5" t="inlineStr">
        <is>
          <t>Equity</t>
        </is>
      </c>
      <c r="C10" s="6" t="n">
        <v>0</v>
      </c>
      <c r="D10" s="3" t="n">
        <v>6</v>
      </c>
      <c r="E10" s="7">
        <f>MIN(MAX(C12-SUM(E5:E9),0),C10)</f>
        <v/>
      </c>
      <c r="F10" s="8">
        <f>IFERROR(E10/C10,"-")</f>
        <v/>
      </c>
      <c r="G10" s="9">
        <f>IF(AND(ISNUMBER(F10),F10&lt;1,ISNUMBER(F9),F9&gt;=1),"FULCRUM","")</f>
        <v/>
      </c>
    </row>
    <row r="12">
      <c r="B12" t="inlineStr">
        <is>
          <t>Total enterprise value available for distribution ($)</t>
        </is>
      </c>
      <c r="C12" s="10" t="n">
        <v>0</v>
      </c>
    </row>
    <row r="14">
      <c r="B14" s="11" t="inlineStr">
        <is>
          <t>Waterfall (senior to junior, absolute priority)</t>
        </is>
      </c>
    </row>
    <row r="20">
      <c r="B20" s="12" t="inlineStr">
        <is>
          <t>Fulcrum security = the tranche where recovery % first drops below 100% — that class controls the reorg (converts to new equity)</t>
        </is>
      </c>
    </row>
    <row r="21">
      <c r="B21" t="inlineStr">
        <is>
          <t>Fulcrum security</t>
        </is>
      </c>
      <c r="C21" s="9">
        <f>IFERROR(INDEX(B5:B10,MATCH("FULCRUM",G5:G10,0)),"-")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6" customWidth="1" min="4" max="4"/>
    <col width="18" customWidth="1" min="5" max="5"/>
    <col width="14" customWidth="1" min="6" max="6"/>
    <col width="18" customWidth="1" min="7" max="7"/>
    <col width="16" customWidth="1" min="8" max="8"/>
    <col width="16" customWidth="1" min="9" max="9"/>
    <col width="16" customWidth="1" min="10" max="10"/>
    <col width="14" customWidth="1" min="11" max="11"/>
  </cols>
  <sheetData>
    <row r="2">
      <c r="B2" s="1" t="inlineStr">
        <is>
          <t>13-Week Cash Flow, Minimum Liquidity, and Funding Need</t>
        </is>
      </c>
    </row>
    <row r="3">
      <c r="B3" t="inlineStr">
        <is>
          <t>Initial unrestricted liquidity</t>
        </is>
      </c>
      <c r="C3" s="17" t="n">
        <v>20</v>
      </c>
    </row>
    <row r="4">
      <c r="B4" t="inlineStr">
        <is>
          <t>Minimum operating liquidity</t>
        </is>
      </c>
      <c r="C4" s="17" t="n">
        <v>5</v>
      </c>
    </row>
    <row r="6">
      <c r="B6" s="4" t="inlineStr">
        <is>
          <t>Week</t>
        </is>
      </c>
      <c r="C6" s="4" t="inlineStr">
        <is>
          <t>Beginning cash</t>
        </is>
      </c>
      <c r="D6" s="4" t="inlineStr">
        <is>
          <t>Receipts</t>
        </is>
      </c>
      <c r="E6" s="4" t="inlineStr">
        <is>
          <t>Operating disbursements</t>
        </is>
      </c>
      <c r="F6" s="4" t="inlineStr">
        <is>
          <t>Interest</t>
        </is>
      </c>
      <c r="G6" s="4" t="inlineStr">
        <is>
          <t>Professional fees</t>
        </is>
      </c>
      <c r="H6" s="4" t="inlineStr">
        <is>
          <t>New money</t>
        </is>
      </c>
      <c r="I6" s="4" t="inlineStr">
        <is>
          <t>Ending cash</t>
        </is>
      </c>
      <c r="J6" s="4" t="inlineStr">
        <is>
          <t>Headroom</t>
        </is>
      </c>
      <c r="K6" s="4" t="inlineStr">
        <is>
          <t>Status</t>
        </is>
      </c>
    </row>
    <row r="7">
      <c r="B7" t="n">
        <v>1</v>
      </c>
      <c r="C7" s="7">
        <f>$C$3</f>
        <v/>
      </c>
      <c r="D7" s="17" t="n">
        <v>8</v>
      </c>
      <c r="E7" s="17" t="n">
        <v>7</v>
      </c>
      <c r="F7" s="17" t="n">
        <v>0.75</v>
      </c>
      <c r="G7" s="17" t="n">
        <v>0.5</v>
      </c>
      <c r="H7" s="17" t="n">
        <v>0</v>
      </c>
      <c r="I7" s="7">
        <f>C7+D7+H7-E7-F7-G7</f>
        <v/>
      </c>
      <c r="J7" s="7">
        <f>I7-$C$4</f>
        <v/>
      </c>
      <c r="K7" s="13">
        <f>IF(J7&gt;=0,"PASS","BREACH")</f>
        <v/>
      </c>
    </row>
    <row r="8">
      <c r="B8" t="n">
        <v>2</v>
      </c>
      <c r="C8" s="7">
        <f>I7</f>
        <v/>
      </c>
      <c r="D8" s="17" t="n">
        <v>8</v>
      </c>
      <c r="E8" s="17" t="n">
        <v>7</v>
      </c>
      <c r="F8" s="17" t="n">
        <v>0.75</v>
      </c>
      <c r="G8" s="17" t="n">
        <v>0.5</v>
      </c>
      <c r="H8" s="17" t="n">
        <v>0</v>
      </c>
      <c r="I8" s="7">
        <f>C8+D8+H8-E8-F8-G8</f>
        <v/>
      </c>
      <c r="J8" s="7">
        <f>I8-$C$4</f>
        <v/>
      </c>
      <c r="K8" s="13">
        <f>IF(J8&gt;=0,"PASS","BREACH")</f>
        <v/>
      </c>
    </row>
    <row r="9">
      <c r="B9" t="n">
        <v>3</v>
      </c>
      <c r="C9" s="7">
        <f>I8</f>
        <v/>
      </c>
      <c r="D9" s="17" t="n">
        <v>8</v>
      </c>
      <c r="E9" s="17" t="n">
        <v>7</v>
      </c>
      <c r="F9" s="17" t="n">
        <v>0.75</v>
      </c>
      <c r="G9" s="17" t="n">
        <v>0.5</v>
      </c>
      <c r="H9" s="17" t="n">
        <v>0</v>
      </c>
      <c r="I9" s="7">
        <f>C9+D9+H9-E9-F9-G9</f>
        <v/>
      </c>
      <c r="J9" s="7">
        <f>I9-$C$4</f>
        <v/>
      </c>
      <c r="K9" s="13">
        <f>IF(J9&gt;=0,"PASS","BREACH")</f>
        <v/>
      </c>
    </row>
    <row r="10">
      <c r="B10" t="n">
        <v>4</v>
      </c>
      <c r="C10" s="7">
        <f>I9</f>
        <v/>
      </c>
      <c r="D10" s="17" t="n">
        <v>8</v>
      </c>
      <c r="E10" s="17" t="n">
        <v>7</v>
      </c>
      <c r="F10" s="17" t="n">
        <v>0.75</v>
      </c>
      <c r="G10" s="17" t="n">
        <v>0.5</v>
      </c>
      <c r="H10" s="17" t="n">
        <v>0</v>
      </c>
      <c r="I10" s="7">
        <f>C10+D10+H10-E10-F10-G10</f>
        <v/>
      </c>
      <c r="J10" s="7">
        <f>I10-$C$4</f>
        <v/>
      </c>
      <c r="K10" s="13">
        <f>IF(J10&gt;=0,"PASS","BREACH")</f>
        <v/>
      </c>
    </row>
    <row r="11">
      <c r="B11" t="n">
        <v>5</v>
      </c>
      <c r="C11" s="7">
        <f>I10</f>
        <v/>
      </c>
      <c r="D11" s="17" t="n">
        <v>8</v>
      </c>
      <c r="E11" s="17" t="n">
        <v>7</v>
      </c>
      <c r="F11" s="17" t="n">
        <v>0.75</v>
      </c>
      <c r="G11" s="17" t="n">
        <v>0.5</v>
      </c>
      <c r="H11" s="17" t="n">
        <v>0</v>
      </c>
      <c r="I11" s="7">
        <f>C11+D11+H11-E11-F11-G11</f>
        <v/>
      </c>
      <c r="J11" s="7">
        <f>I11-$C$4</f>
        <v/>
      </c>
      <c r="K11" s="13">
        <f>IF(J11&gt;=0,"PASS","BREACH")</f>
        <v/>
      </c>
    </row>
    <row r="12">
      <c r="B12" t="n">
        <v>6</v>
      </c>
      <c r="C12" s="7">
        <f>I11</f>
        <v/>
      </c>
      <c r="D12" s="17" t="n">
        <v>8</v>
      </c>
      <c r="E12" s="17" t="n">
        <v>7</v>
      </c>
      <c r="F12" s="17" t="n">
        <v>0.75</v>
      </c>
      <c r="G12" s="17" t="n">
        <v>0.5</v>
      </c>
      <c r="H12" s="17" t="n">
        <v>0</v>
      </c>
      <c r="I12" s="7">
        <f>C12+D12+H12-E12-F12-G12</f>
        <v/>
      </c>
      <c r="J12" s="7">
        <f>I12-$C$4</f>
        <v/>
      </c>
      <c r="K12" s="13">
        <f>IF(J12&gt;=0,"PASS","BREACH")</f>
        <v/>
      </c>
    </row>
    <row r="13">
      <c r="B13" t="n">
        <v>7</v>
      </c>
      <c r="C13" s="7">
        <f>I12</f>
        <v/>
      </c>
      <c r="D13" s="17" t="n">
        <v>8</v>
      </c>
      <c r="E13" s="17" t="n">
        <v>7</v>
      </c>
      <c r="F13" s="17" t="n">
        <v>0.75</v>
      </c>
      <c r="G13" s="17" t="n">
        <v>0.5</v>
      </c>
      <c r="H13" s="17" t="n">
        <v>0</v>
      </c>
      <c r="I13" s="7">
        <f>C13+D13+H13-E13-F13-G13</f>
        <v/>
      </c>
      <c r="J13" s="7">
        <f>I13-$C$4</f>
        <v/>
      </c>
      <c r="K13" s="13">
        <f>IF(J13&gt;=0,"PASS","BREACH")</f>
        <v/>
      </c>
    </row>
    <row r="14">
      <c r="B14" t="n">
        <v>8</v>
      </c>
      <c r="C14" s="7">
        <f>I13</f>
        <v/>
      </c>
      <c r="D14" s="17" t="n">
        <v>8</v>
      </c>
      <c r="E14" s="17" t="n">
        <v>7</v>
      </c>
      <c r="F14" s="17" t="n">
        <v>0.75</v>
      </c>
      <c r="G14" s="17" t="n">
        <v>0.5</v>
      </c>
      <c r="H14" s="17" t="n">
        <v>0</v>
      </c>
      <c r="I14" s="7">
        <f>C14+D14+H14-E14-F14-G14</f>
        <v/>
      </c>
      <c r="J14" s="7">
        <f>I14-$C$4</f>
        <v/>
      </c>
      <c r="K14" s="13">
        <f>IF(J14&gt;=0,"PASS","BREACH")</f>
        <v/>
      </c>
    </row>
    <row r="15">
      <c r="B15" t="n">
        <v>9</v>
      </c>
      <c r="C15" s="7">
        <f>I14</f>
        <v/>
      </c>
      <c r="D15" s="17" t="n">
        <v>8</v>
      </c>
      <c r="E15" s="17" t="n">
        <v>7</v>
      </c>
      <c r="F15" s="17" t="n">
        <v>0.75</v>
      </c>
      <c r="G15" s="17" t="n">
        <v>0.5</v>
      </c>
      <c r="H15" s="17" t="n">
        <v>0</v>
      </c>
      <c r="I15" s="7">
        <f>C15+D15+H15-E15-F15-G15</f>
        <v/>
      </c>
      <c r="J15" s="7">
        <f>I15-$C$4</f>
        <v/>
      </c>
      <c r="K15" s="13">
        <f>IF(J15&gt;=0,"PASS","BREACH")</f>
        <v/>
      </c>
    </row>
    <row r="16">
      <c r="B16" t="n">
        <v>10</v>
      </c>
      <c r="C16" s="7">
        <f>I15</f>
        <v/>
      </c>
      <c r="D16" s="17" t="n">
        <v>8</v>
      </c>
      <c r="E16" s="17" t="n">
        <v>7</v>
      </c>
      <c r="F16" s="17" t="n">
        <v>0.75</v>
      </c>
      <c r="G16" s="17" t="n">
        <v>0.5</v>
      </c>
      <c r="H16" s="17" t="n">
        <v>0</v>
      </c>
      <c r="I16" s="7">
        <f>C16+D16+H16-E16-F16-G16</f>
        <v/>
      </c>
      <c r="J16" s="7">
        <f>I16-$C$4</f>
        <v/>
      </c>
      <c r="K16" s="13">
        <f>IF(J16&gt;=0,"PASS","BREACH")</f>
        <v/>
      </c>
    </row>
    <row r="17">
      <c r="B17" t="n">
        <v>11</v>
      </c>
      <c r="C17" s="7">
        <f>I16</f>
        <v/>
      </c>
      <c r="D17" s="17" t="n">
        <v>8</v>
      </c>
      <c r="E17" s="17" t="n">
        <v>7</v>
      </c>
      <c r="F17" s="17" t="n">
        <v>0.75</v>
      </c>
      <c r="G17" s="17" t="n">
        <v>0.5</v>
      </c>
      <c r="H17" s="17" t="n">
        <v>0</v>
      </c>
      <c r="I17" s="7">
        <f>C17+D17+H17-E17-F17-G17</f>
        <v/>
      </c>
      <c r="J17" s="7">
        <f>I17-$C$4</f>
        <v/>
      </c>
      <c r="K17" s="13">
        <f>IF(J17&gt;=0,"PASS","BREACH")</f>
        <v/>
      </c>
    </row>
    <row r="18">
      <c r="B18" t="n">
        <v>12</v>
      </c>
      <c r="C18" s="7">
        <f>I17</f>
        <v/>
      </c>
      <c r="D18" s="17" t="n">
        <v>8</v>
      </c>
      <c r="E18" s="17" t="n">
        <v>7</v>
      </c>
      <c r="F18" s="17" t="n">
        <v>0.75</v>
      </c>
      <c r="G18" s="17" t="n">
        <v>0.5</v>
      </c>
      <c r="H18" s="17" t="n">
        <v>0</v>
      </c>
      <c r="I18" s="7">
        <f>C18+D18+H18-E18-F18-G18</f>
        <v/>
      </c>
      <c r="J18" s="7">
        <f>I18-$C$4</f>
        <v/>
      </c>
      <c r="K18" s="13">
        <f>IF(J18&gt;=0,"PASS","BREACH")</f>
        <v/>
      </c>
    </row>
    <row r="19">
      <c r="B19" t="n">
        <v>13</v>
      </c>
      <c r="C19" s="7">
        <f>I18</f>
        <v/>
      </c>
      <c r="D19" s="17" t="n">
        <v>8</v>
      </c>
      <c r="E19" s="17" t="n">
        <v>7</v>
      </c>
      <c r="F19" s="17" t="n">
        <v>0.75</v>
      </c>
      <c r="G19" s="17" t="n">
        <v>0.5</v>
      </c>
      <c r="H19" s="17" t="n">
        <v>0</v>
      </c>
      <c r="I19" s="7">
        <f>C19+D19+H19-E19-F19-G19</f>
        <v/>
      </c>
      <c r="J19" s="7">
        <f>I19-$C$4</f>
        <v/>
      </c>
      <c r="K19" s="13">
        <f>IF(J19&gt;=0,"PASS","BREACH")</f>
        <v/>
      </c>
    </row>
    <row r="22">
      <c r="B22" t="inlineStr">
        <is>
          <t>Minimum ending cash</t>
        </is>
      </c>
      <c r="C22" s="7">
        <f>MIN(I7:I19)</f>
        <v/>
      </c>
    </row>
    <row r="23">
      <c r="B23" t="inlineStr">
        <is>
          <t>Peak funding need</t>
        </is>
      </c>
      <c r="C23" s="7">
        <f>MAX(0,-MIN(J7:J19))</f>
        <v/>
      </c>
    </row>
    <row r="24">
      <c r="B24" t="inlineStr">
        <is>
          <t>First breach week</t>
        </is>
      </c>
      <c r="C24" s="13">
        <f>IFERROR(MATCH("BREACH",K7:K19,0),"-")</f>
        <v/>
      </c>
    </row>
    <row r="26">
      <c r="B26" s="12" t="inlineStr">
        <is>
          <t>A 13-week schedule is an operating control: replace the illustrative weekly flows with treasury-owned receipts, disbursements, financing availability, and variance explanations.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44" customWidth="1" min="5" max="5"/>
  </cols>
  <sheetData>
    <row r="2">
      <c r="B2" s="1" t="inlineStr">
        <is>
          <t>DIP / Rescue Financing Economics and Priority</t>
        </is>
      </c>
    </row>
    <row r="5">
      <c r="B5" t="inlineStr">
        <is>
          <t>New-money commitment</t>
        </is>
      </c>
      <c r="C5" s="17" t="n">
        <v>25</v>
      </c>
      <c r="D5" t="inlineStr">
        <is>
          <t>committed financing</t>
        </is>
      </c>
    </row>
    <row r="6">
      <c r="B6" t="inlineStr">
        <is>
          <t>Expected draw</t>
        </is>
      </c>
      <c r="C6" s="7">
        <f>'13-Week Liquidity'!C23</f>
        <v/>
      </c>
      <c r="D6" t="inlineStr">
        <is>
          <t>peak funding need</t>
        </is>
      </c>
    </row>
    <row r="7">
      <c r="B7" t="inlineStr">
        <is>
          <t>Upfront fee</t>
        </is>
      </c>
      <c r="C7" s="15" t="n">
        <v>0.02</v>
      </c>
      <c r="D7" t="inlineStr">
        <is>
          <t>% of drawn amount</t>
        </is>
      </c>
    </row>
    <row r="8">
      <c r="B8" t="inlineStr">
        <is>
          <t>Annual cash interest rate</t>
        </is>
      </c>
      <c r="C8" s="15" t="n">
        <v>0.12</v>
      </c>
      <c r="D8" t="inlineStr">
        <is>
          <t>contractual cash coupon</t>
        </is>
      </c>
    </row>
    <row r="9">
      <c r="B9" t="inlineStr">
        <is>
          <t>Tenor</t>
        </is>
      </c>
      <c r="C9" s="18" t="n">
        <v>1</v>
      </c>
      <c r="D9" t="inlineStr">
        <is>
          <t>years</t>
        </is>
      </c>
    </row>
    <row r="10">
      <c r="B10" t="inlineStr">
        <is>
          <t>Exit fee</t>
        </is>
      </c>
      <c r="C10" s="15" t="n">
        <v>0.03</v>
      </c>
      <c r="D10" t="inlineStr">
        <is>
          <t>% of drawn amount</t>
        </is>
      </c>
    </row>
    <row r="11">
      <c r="B11" t="inlineStr">
        <is>
          <t>Super-priority / administrative claim</t>
        </is>
      </c>
      <c r="C11" s="19" t="n">
        <v>1</v>
      </c>
      <c r="D11" t="inlineStr">
        <is>
          <t>1.0x if fully senior to prepetition claims</t>
        </is>
      </c>
    </row>
    <row r="14">
      <c r="B14" t="inlineStr">
        <is>
          <t>Undrawn commitment</t>
        </is>
      </c>
      <c r="C14" s="7">
        <f>MAX(0,C5-C6)</f>
        <v/>
      </c>
    </row>
    <row r="15">
      <c r="B15" t="inlineStr">
        <is>
          <t>Upfront fee amount</t>
        </is>
      </c>
      <c r="C15" s="7">
        <f>C6*C7</f>
        <v/>
      </c>
    </row>
    <row r="16">
      <c r="B16" t="inlineStr">
        <is>
          <t>Cash interest</t>
        </is>
      </c>
      <c r="C16" s="7">
        <f>C6*C8*C9</f>
        <v/>
      </c>
    </row>
    <row r="17">
      <c r="B17" t="inlineStr">
        <is>
          <t>Exit fee amount</t>
        </is>
      </c>
      <c r="C17" s="7">
        <f>C6*C10</f>
        <v/>
      </c>
    </row>
    <row r="18">
      <c r="B18" t="inlineStr">
        <is>
          <t>Total new-money claim at exit</t>
        </is>
      </c>
      <c r="C18" s="7">
        <f>C6+C15+C16+C17</f>
        <v/>
      </c>
    </row>
    <row r="19">
      <c r="B19" t="inlineStr">
        <is>
          <t>Commitment sufficiency</t>
        </is>
      </c>
      <c r="C19" s="13">
        <f>IF(C5&gt;=C6,"PASS","BREACH")</f>
        <v/>
      </c>
    </row>
    <row r="21">
      <c r="B21" s="12" t="inlineStr">
        <is>
          <t>Priority, roll-up, milestones, collateral, avoidance risk, and adequate-protection terms require legal review and cannot be inferred from economic seniority alone.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40" customWidth="1" min="5" max="5"/>
  </cols>
  <sheetData>
    <row r="2">
      <c r="B2" s="1" t="inlineStr">
        <is>
          <t>Liquidation (Ch. 7) vs. Reorganization (Ch. 11) NPV</t>
        </is>
      </c>
    </row>
    <row r="4">
      <c r="C4" s="4" t="inlineStr">
        <is>
          <t>Liquidation</t>
        </is>
      </c>
      <c r="D4" s="4" t="inlineStr">
        <is>
          <t>Reorg</t>
        </is>
      </c>
      <c r="E4" s="4" t="inlineStr">
        <is>
          <t>Notes</t>
        </is>
      </c>
    </row>
    <row r="5">
      <c r="B5" t="inlineStr">
        <is>
          <t>Gross asset value / going-concern EV</t>
        </is>
      </c>
      <c r="C5" s="6" t="n">
        <v>0</v>
      </c>
      <c r="D5" s="6" t="n">
        <v>0</v>
      </c>
    </row>
    <row r="6">
      <c r="B6" t="inlineStr">
        <is>
          <t>Less: liquidation discount / distress costs</t>
        </is>
      </c>
      <c r="C6" s="6" t="n">
        <v>0</v>
      </c>
      <c r="D6" s="13" t="n"/>
    </row>
    <row r="7">
      <c r="B7" t="inlineStr">
        <is>
          <t>Less: administrative/professional fees</t>
        </is>
      </c>
      <c r="C7" s="6" t="n">
        <v>0</v>
      </c>
      <c r="D7" s="6" t="n">
        <v>0</v>
      </c>
    </row>
    <row r="8">
      <c r="B8" t="inlineStr">
        <is>
          <t>Time to distribution (months)</t>
        </is>
      </c>
      <c r="C8" s="14" t="n">
        <v>6</v>
      </c>
      <c r="D8" s="14" t="n">
        <v>18</v>
      </c>
    </row>
    <row r="9">
      <c r="B9" t="inlineStr">
        <is>
          <t>Discount rate (annual, for NPV of delayed recovery)</t>
        </is>
      </c>
      <c r="C9" s="15" t="n">
        <v>0.15</v>
      </c>
      <c r="D9" s="13" t="n"/>
    </row>
    <row r="10">
      <c r="C10" s="13" t="n"/>
      <c r="D10" s="13" t="n"/>
    </row>
    <row r="11">
      <c r="B11" t="inlineStr">
        <is>
          <t>Net proceeds</t>
        </is>
      </c>
      <c r="C11" s="7">
        <f>C5-C6-C7</f>
        <v/>
      </c>
      <c r="D11" s="7">
        <f>D5-D7</f>
        <v/>
      </c>
    </row>
    <row r="12">
      <c r="B12" t="inlineStr">
        <is>
          <t>NPV of proceeds (discounted for time to distribution)</t>
        </is>
      </c>
      <c r="C12" s="16">
        <f>C11/(1+$C$9)^(C8/12)</f>
        <v/>
      </c>
      <c r="D12" s="16">
        <f>D11/(1+$C$9)^(D8/12)</f>
        <v/>
      </c>
      <c r="E12" s="12" t="inlineStr">
        <is>
          <t>Compare NPVs — higher wins for creditors as a class, though individual tranche outcomes differ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50" customWidth="1" min="5" max="5"/>
  </cols>
  <sheetData>
    <row r="2">
      <c r="B2" s="1" t="inlineStr">
        <is>
          <t>Distressed / Restructuring Decision Dashboard and Independent Checks</t>
        </is>
      </c>
    </row>
    <row r="4">
      <c r="B4" s="4" t="inlineStr">
        <is>
          <t>Check / decision</t>
        </is>
      </c>
      <c r="C4" s="4" t="inlineStr">
        <is>
          <t>Metric</t>
        </is>
      </c>
      <c r="D4" s="4" t="inlineStr">
        <is>
          <t>Status</t>
        </is>
      </c>
      <c r="E4" s="4" t="inlineStr">
        <is>
          <t>Interpretation / action</t>
        </is>
      </c>
    </row>
    <row r="5">
      <c r="B5" t="inlineStr">
        <is>
          <t>Waterfall conservation residual</t>
        </is>
      </c>
      <c r="C5" s="13">
        <f>'Recovery Waterfall'!C12-SUM('Recovery Waterfall'!E5:E10)</f>
        <v/>
      </c>
      <c r="D5" s="13">
        <f>IF(ABS(C5)&lt;0.01,"PASS","FAIL")</f>
        <v/>
      </c>
      <c r="E5" t="inlineStr">
        <is>
          <t>Distributed value must equal enterprise value available under the modeled waterfall.</t>
        </is>
      </c>
    </row>
    <row r="6">
      <c r="B6" t="inlineStr">
        <is>
          <t>Priority ordering</t>
        </is>
      </c>
      <c r="C6" s="13">
        <f>MIN(IF(AND(ISNUMBER('Recovery Waterfall'!F5),ISNUMBER('Recovery Waterfall'!F6)),'Recovery Waterfall'!F5-'Recovery Waterfall'!F6,0),IF(AND(ISNUMBER('Recovery Waterfall'!F6),ISNUMBER('Recovery Waterfall'!F7)),'Recovery Waterfall'!F6-'Recovery Waterfall'!F7,0),IF(AND(ISNUMBER('Recovery Waterfall'!F7),ISNUMBER('Recovery Waterfall'!F8)),'Recovery Waterfall'!F7-'Recovery Waterfall'!F8,0),IF(AND(ISNUMBER('Recovery Waterfall'!F8),ISNUMBER('Recovery Waterfall'!F9)),'Recovery Waterfall'!F8-'Recovery Waterfall'!F9,0))</f>
        <v/>
      </c>
      <c r="D6" s="13">
        <f>IF(C6&gt;=-0.000001,"PASS","FAIL")</f>
        <v/>
      </c>
      <c r="E6" t="inlineStr">
        <is>
          <t>Junior recoveries may not exceed an impaired senior class under the absolute-priority model.</t>
        </is>
      </c>
    </row>
    <row r="7">
      <c r="B7" t="inlineStr">
        <is>
          <t>Fulcrum security</t>
        </is>
      </c>
      <c r="C7" s="13">
        <f>'Recovery Waterfall'!C21</f>
        <v/>
      </c>
      <c r="D7" s="13">
        <f>IF(C7="-","REVIEW","PASS")</f>
        <v/>
      </c>
      <c r="E7" t="inlineStr">
        <is>
          <t>The impaired class immediately below fully paid senior claims is the modeled fulcrum.</t>
        </is>
      </c>
    </row>
    <row r="8">
      <c r="B8" t="inlineStr">
        <is>
          <t>Minimum 13-week liquidity</t>
        </is>
      </c>
      <c r="C8" s="13">
        <f>'13-Week Liquidity'!C22</f>
        <v/>
      </c>
      <c r="D8" s="13">
        <f>IF(C8&gt;='13-Week Liquidity'!C4,"PASS","BREACH")</f>
        <v/>
      </c>
      <c r="E8" t="inlineStr">
        <is>
          <t>Escalate a minimum-liquidity breach before the modeled cash-out date.</t>
        </is>
      </c>
    </row>
    <row r="9">
      <c r="B9" t="inlineStr">
        <is>
          <t>Peak funding need</t>
        </is>
      </c>
      <c r="C9" s="13">
        <f>'13-Week Liquidity'!C23</f>
        <v/>
      </c>
      <c r="D9" s="13">
        <f>IF(C9&lt;='New Money'!C5,"PASS","BREACH")</f>
        <v/>
      </c>
      <c r="E9" t="inlineStr">
        <is>
          <t>New-money commitment must cover peak need plus execution contingency.</t>
        </is>
      </c>
    </row>
    <row r="10">
      <c r="B10" t="inlineStr">
        <is>
          <t>Reorganization NPV uplift</t>
        </is>
      </c>
      <c r="C10" s="13">
        <f>'Liquidation vs Reorg'!D12-'Liquidation vs Reorg'!C12</f>
        <v/>
      </c>
      <c r="D10" s="13">
        <f>IF(C10&gt;=0,"PASS","REVIEW")</f>
        <v/>
      </c>
      <c r="E10" t="inlineStr">
        <is>
          <t>Reorganization should not be preferred without a supportable value advantage and feasible plan.</t>
        </is>
      </c>
    </row>
    <row r="11">
      <c r="B11" t="inlineStr">
        <is>
          <t>New-money commitment status</t>
        </is>
      </c>
      <c r="C11" s="13">
        <f>'New Money'!C19</f>
        <v/>
      </c>
      <c r="D11" s="13">
        <f>IF(C11="PASS","PASS","BREACH")</f>
        <v/>
      </c>
      <c r="E11" t="inlineStr">
        <is>
          <t>Insufficient rescue financing requires a revised operating plan, asset sale, or liquidation path.</t>
        </is>
      </c>
    </row>
    <row r="12">
      <c r="B12" t="inlineStr">
        <is>
          <t>Equity recovery</t>
        </is>
      </c>
      <c r="C12" s="13">
        <f>'Recovery Waterfall'!E10</f>
        <v/>
      </c>
      <c r="D12" s="13">
        <f>IF(C12&gt;0,"REVIEW","PASS")</f>
        <v/>
      </c>
      <c r="E12" t="inlineStr">
        <is>
          <t>Equity value while a creditor class is impaired requires explicit exception analysis.</t>
        </is>
      </c>
    </row>
    <row r="14">
      <c r="B14" s="2" t="inlineStr">
        <is>
          <t>Overall model status</t>
        </is>
      </c>
      <c r="C14" s="9">
        <f>IF(COUNTIF(D5:D12,"FAIL")+COUNTIF(D5:D12,"BREACH")&gt;0,"BREACH",IF(COUNTIF(D5:D12,"REVIEW")&gt;0,"REVIEW","PASS"))</f>
        <v/>
      </c>
    </row>
    <row r="16">
      <c r="B16" s="11" t="inlineStr">
        <is>
          <t>Primary decision outputs</t>
        </is>
      </c>
    </row>
    <row r="17">
      <c r="B17" t="inlineStr">
        <is>
          <t>Enterprise value available</t>
        </is>
      </c>
      <c r="C17" s="7">
        <f>'Recovery Waterfall'!C12</f>
        <v/>
      </c>
    </row>
    <row r="18">
      <c r="B18" t="inlineStr">
        <is>
          <t>Fulcrum security</t>
        </is>
      </c>
      <c r="C18" s="13">
        <f>'Recovery Waterfall'!C21</f>
        <v/>
      </c>
    </row>
    <row r="19">
      <c r="B19" t="inlineStr">
        <is>
          <t>Liquidation NPV</t>
        </is>
      </c>
      <c r="C19" s="7">
        <f>'Liquidation vs Reorg'!C12</f>
        <v/>
      </c>
    </row>
    <row r="20">
      <c r="B20" t="inlineStr">
        <is>
          <t>Reorganization NPV</t>
        </is>
      </c>
      <c r="C20" s="7">
        <f>'Liquidation vs Reorg'!D12</f>
        <v/>
      </c>
    </row>
    <row r="21">
      <c r="B21" t="inlineStr">
        <is>
          <t>Peak funding need</t>
        </is>
      </c>
      <c r="C21" s="7">
        <f>'13-Week Liquidity'!C23</f>
        <v/>
      </c>
    </row>
    <row r="22">
      <c r="B22" t="inlineStr">
        <is>
          <t>Total new-money claim</t>
        </is>
      </c>
      <c r="C22" s="7">
        <f>'New Money'!C18</f>
        <v/>
      </c>
    </row>
    <row r="23">
      <c r="B23" t="inlineStr">
        <is>
          <t>First liquidity breach week</t>
        </is>
      </c>
      <c r="C23" s="20">
        <f>'13-Week Liquidity'!C24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4" t="inlineStr">
        <is>
          <t>Date</t>
        </is>
      </c>
      <c r="C4" s="4" t="inlineStr">
        <is>
          <t>Trigger</t>
        </is>
      </c>
      <c r="D4" s="4" t="inlineStr">
        <is>
          <t>What changed</t>
        </is>
      </c>
      <c r="E4" s="4" t="inlineStr">
        <is>
          <t>Reviewer notes</t>
        </is>
      </c>
      <c r="F4" s="4" t="inlineStr">
        <is>
          <t>Next check</t>
        </is>
      </c>
    </row>
    <row r="5">
      <c r="B5" s="13" t="n"/>
      <c r="C5" s="13" t="n"/>
      <c r="D5" s="13" t="n"/>
      <c r="E5" s="13" t="n"/>
      <c r="F5" s="13" t="n"/>
    </row>
    <row r="6">
      <c r="B6" s="13" t="n"/>
      <c r="C6" s="13" t="n"/>
      <c r="D6" s="13" t="n"/>
      <c r="E6" s="13" t="n"/>
      <c r="F6" s="13" t="n"/>
    </row>
    <row r="7">
      <c r="B7" s="13" t="n"/>
      <c r="C7" s="13" t="n"/>
      <c r="D7" s="13" t="n"/>
      <c r="E7" s="13" t="n"/>
      <c r="F7" s="13" t="n"/>
    </row>
    <row r="8">
      <c r="B8" s="13" t="n"/>
      <c r="C8" s="13" t="n"/>
      <c r="D8" s="13" t="n"/>
      <c r="E8" s="13" t="n"/>
      <c r="F8" s="13" t="n"/>
    </row>
    <row r="9">
      <c r="B9" s="13" t="n"/>
      <c r="C9" s="13" t="n"/>
      <c r="D9" s="13" t="n"/>
      <c r="E9" s="13" t="n"/>
      <c r="F9" s="13" t="n"/>
    </row>
    <row r="10">
      <c r="B10" s="13" t="n"/>
      <c r="C10" s="13" t="n"/>
      <c r="D10" s="13" t="n"/>
      <c r="E10" s="13" t="n"/>
      <c r="F10" s="13" t="n"/>
    </row>
    <row r="11">
      <c r="B11" s="13" t="n"/>
      <c r="C11" s="13" t="n"/>
      <c r="D11" s="13" t="n"/>
      <c r="E11" s="13" t="n"/>
      <c r="F11" s="13" t="n"/>
    </row>
    <row r="12">
      <c r="B12" s="13" t="n"/>
      <c r="C12" s="13" t="n"/>
      <c r="D12" s="13" t="n"/>
      <c r="E12" s="13" t="n"/>
      <c r="F12" s="13" t="n"/>
    </row>
    <row r="13">
      <c r="B13" s="13" t="n"/>
      <c r="C13" s="13" t="n"/>
      <c r="D13" s="13" t="n"/>
      <c r="E13" s="13" t="n"/>
      <c r="F13" s="13" t="n"/>
    </row>
    <row r="14">
      <c r="B14" s="13" t="n"/>
      <c r="C14" s="13" t="n"/>
      <c r="D14" s="13" t="n"/>
      <c r="E14" s="13" t="n"/>
      <c r="F1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2026-08-05T22:48:49Z</dcterms:created>
  <dcterms:modified xmlns:dcterms="http://purl.org/dc/terms/" xmlns:xsi="http://www.w3.org/2001/XMLSchema-instance" xsi:type="dcterms:W3CDTF">2026-08-05T22:48:49Z</dcterms:modified>
</cp:coreProperties>
</file>