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itutional Surface" sheetId="2" state="visible" r:id="rId2"/>
    <sheet xmlns:r="http://schemas.openxmlformats.org/officeDocument/2006/relationships" name="Challenge Log" sheetId="3" state="visible" r:id="rId3"/>
    <sheet xmlns:r="http://schemas.openxmlformats.org/officeDocument/2006/relationships" name="Lineage Map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Paid Triangle" sheetId="6" state="visible" r:id="rId6"/>
    <sheet xmlns:r="http://schemas.openxmlformats.org/officeDocument/2006/relationships" name="Chain Ladder" sheetId="7" state="visible" r:id="rId7"/>
    <sheet xmlns:r="http://schemas.openxmlformats.org/officeDocument/2006/relationships" name="Bornhuetter-Ferguson" sheetId="8" state="visible" r:id="rId8"/>
    <sheet xmlns:r="http://schemas.openxmlformats.org/officeDocument/2006/relationships" name="Underwriting" sheetId="9" state="visible" r:id="rId9"/>
    <sheet xmlns:r="http://schemas.openxmlformats.org/officeDocument/2006/relationships" name="Embedded Value" sheetId="10" state="visible" r:id="rId10"/>
    <sheet xmlns:r="http://schemas.openxmlformats.org/officeDocument/2006/relationships" name="Capital" sheetId="11" state="visible" r:id="rId11"/>
    <sheet xmlns:r="http://schemas.openxmlformats.org/officeDocument/2006/relationships" name="Stress" sheetId="12" state="visible" r:id="rId12"/>
    <sheet xmlns:r="http://schemas.openxmlformats.org/officeDocument/2006/relationships" name="Checks" sheetId="13" state="visible" r:id="rId13"/>
    <sheet xmlns:r="http://schemas.openxmlformats.org/officeDocument/2006/relationships" name="Sources" sheetId="14" state="visible" r:id="rId14"/>
    <sheet xmlns:r="http://schemas.openxmlformats.org/officeDocument/2006/relationships" name="RefreshLog" sheetId="15" state="visible" r:id="rId15"/>
  </sheets>
  <definedNames>
    <definedName name="FS_MODEL_ID">'Institutional Surface'!$C$4</definedName>
    <definedName name="FS_DOMAIN">'Institutional Surface'!$C$5</definedName>
    <definedName name="FS_MATURITY">'Institutional Surface'!$C$6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0.0%;[Red](0.0%);-"/>
    <numFmt numFmtId="165" formatCode="0.00%;[Red](0.00%);-"/>
    <numFmt numFmtId="166" formatCode="$#,##0.0;[Red]($#,##0.0);-"/>
    <numFmt numFmtId="167" formatCode="0.0x;[Red](0.0x);-"/>
    <numFmt numFmtId="168" formatCode="0.0000x"/>
    <numFmt numFmtId="169" formatCode="0.00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11827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0000FF"/>
      <sz val="10"/>
    </font>
    <font>
      <name val="Arial"/>
      <b val="1"/>
      <color rgb="00008000"/>
      <sz val="10"/>
    </font>
    <font>
      <b val="1"/>
      <color rgb="00FFFFFF"/>
      <sz val="15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4">
    <border>
      <left/>
      <right/>
      <top/>
      <bottom/>
      <diagonal/>
    </border>
    <border>
      <bottom style="thin">
        <color rgb="00BFBFBF"/>
      </bottom>
    </border>
    <border>
      <top style="thin">
        <color rgb="00111827"/>
      </top>
    </border>
    <border>
      <bottom style="thin">
        <color rgb="00B7B7B7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pivotButton="0" quotePrefix="0" xfId="0"/>
    <xf numFmtId="0" fontId="4" fillId="2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3" fillId="3" borderId="1" pivotButton="0" quotePrefix="0" xfId="0"/>
    <xf numFmtId="164" fontId="0" fillId="0" borderId="0" pivotButton="0" quotePrefix="0" xfId="0"/>
    <xf numFmtId="165" fontId="3" fillId="3" borderId="1" pivotButton="0" quotePrefix="0" xfId="0"/>
    <xf numFmtId="165" fontId="0" fillId="0" borderId="0" pivotButton="0" quotePrefix="0" xfId="0"/>
    <xf numFmtId="166" fontId="3" fillId="3" borderId="1" pivotButton="0" quotePrefix="0" xfId="0"/>
    <xf numFmtId="166" fontId="0" fillId="0" borderId="0" pivotButton="0" quotePrefix="0" xfId="0"/>
    <xf numFmtId="167" fontId="3" fillId="3" borderId="1" pivotButton="0" quotePrefix="0" xfId="0"/>
    <xf numFmtId="167" fontId="0" fillId="0" borderId="0" pivotButton="0" quotePrefix="0" xfId="0"/>
    <xf numFmtId="1" fontId="3" fillId="3" borderId="1" pivotButton="0" quotePrefix="0" xfId="0"/>
    <xf numFmtId="1" fontId="0" fillId="0" borderId="0" pivotButton="0" quotePrefix="0" xfId="0"/>
    <xf numFmtId="168" fontId="0" fillId="0" borderId="0" pivotButton="0" quotePrefix="0" xfId="0"/>
    <xf numFmtId="0" fontId="2" fillId="0" borderId="2" pivotButton="0" quotePrefix="0" xfId="0"/>
    <xf numFmtId="166" fontId="2" fillId="0" borderId="2" pivotButton="0" quotePrefix="0" xfId="0"/>
    <xf numFmtId="169" fontId="0" fillId="0" borderId="0" pivotButton="0" quotePrefix="0" xfId="0"/>
    <xf numFmtId="164" fontId="4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0" fontId="8" fillId="4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10" fillId="4" borderId="0" pivotButton="0" quotePrefix="0" xfId="0"/>
    <xf numFmtId="0" fontId="9" fillId="5" borderId="3" applyAlignment="1" pivotButton="0" quotePrefix="0" xfId="0">
      <alignment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6" customWidth="1" min="3" max="3"/>
    <col width="12" customWidth="1" min="4" max="4"/>
    <col width="12" customWidth="1" min="5" max="5"/>
    <col width="12" customWidth="1" min="6" max="6"/>
  </cols>
  <sheetData>
    <row r="2" ht="28" customHeight="1">
      <c r="B2" s="1" t="inlineStr">
        <is>
          <t>[INSURER / BOOK] — Insurance &amp; Actuarial Model</t>
        </is>
      </c>
    </row>
    <row r="4">
      <c r="B4" s="2" t="inlineStr">
        <is>
          <t>Entity / line of business:</t>
        </is>
      </c>
      <c r="C4" s="3" t="inlineStr">
        <is>
          <t>[Name / LOB]</t>
        </is>
      </c>
    </row>
    <row r="5">
      <c r="B5" s="2" t="inlineStr">
        <is>
          <t>Valuation date:</t>
        </is>
      </c>
      <c r="C5" s="3" t="inlineStr">
        <is>
          <t>[date]</t>
        </is>
      </c>
    </row>
    <row r="6">
      <c r="B6" s="2" t="inlineStr">
        <is>
          <t>Last refreshed:</t>
        </is>
      </c>
      <c r="C6" s="3" t="inlineStr">
        <is>
          <t>[date]</t>
        </is>
      </c>
    </row>
    <row r="7">
      <c r="B7" s="2" t="inlineStr">
        <is>
          <t>Next reserve / capital review:</t>
        </is>
      </c>
      <c r="C7" s="3" t="inlineStr">
        <is>
          <t>[date]</t>
        </is>
      </c>
    </row>
    <row r="8">
      <c r="B8" s="2" t="inlineStr">
        <is>
          <t>Refresh cadence:</t>
        </is>
      </c>
      <c r="C8" s="3" t="inlineStr">
        <is>
          <t>Quarterly and on material claims events</t>
        </is>
      </c>
    </row>
    <row r="9">
      <c r="B9" s="2" t="inlineStr">
        <is>
          <t>Active scenario:</t>
        </is>
      </c>
      <c r="C9" s="3" t="inlineStr">
        <is>
          <t>Base</t>
        </is>
      </c>
    </row>
    <row r="10">
      <c r="B10" s="2" t="inlineStr">
        <is>
          <t>Units:</t>
        </is>
      </c>
      <c r="C10" s="3" t="inlineStr">
        <is>
          <t>$ in millions unless noted</t>
        </is>
      </c>
    </row>
    <row r="13">
      <c r="B13" s="4" t="inlineStr">
        <is>
          <t>Modeling conventions</t>
        </is>
      </c>
    </row>
    <row r="14">
      <c r="B14" s="5" t="inlineStr">
        <is>
          <t>Blue text / yellow fill</t>
        </is>
      </c>
      <c r="C14" s="6" t="inlineStr">
        <is>
          <t>Hardcoded input or selected scenario</t>
        </is>
      </c>
    </row>
    <row r="15">
      <c r="B15" s="2" t="inlineStr">
        <is>
          <t>Black text</t>
        </is>
      </c>
      <c r="C15" s="6" t="inlineStr">
        <is>
          <t>Formula / same-sheet calculation</t>
        </is>
      </c>
    </row>
    <row r="16">
      <c r="B16" s="7" t="inlineStr">
        <is>
          <t>Green text</t>
        </is>
      </c>
      <c r="C16" s="6" t="inlineStr">
        <is>
          <t>Cross-sheet formula / link</t>
        </is>
      </c>
    </row>
    <row r="17">
      <c r="B17" s="2" t="inlineStr">
        <is>
          <t>Checks</t>
        </is>
      </c>
      <c r="C17" s="6" t="inlineStr">
        <is>
          <t>PASS / REVIEW / FAIL must remain visible</t>
        </is>
      </c>
    </row>
  </sheetData>
  <mergeCells count="2">
    <mergeCell ref="B2:F2"/>
    <mergeCell ref="B13:F13"/>
  </mergeCells>
  <dataValidations count="1">
    <dataValidation sqref="C9" showDropDown="0" showInputMessage="0" showErrorMessage="0" allowBlank="0" type="list">
      <formula1>"Base,Downside"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48" customWidth="1" min="3" max="3"/>
    <col width="24" customWidth="1" min="4" max="4"/>
    <col width="34" customWidth="1" min="5" max="5"/>
    <col width="20" customWidth="1" min="6" max="6"/>
  </cols>
  <sheetData>
    <row r="2">
      <c r="B2" s="26" t="inlineStr">
        <is>
          <t>Insurance &amp; Actuarial — Institutional Decision Surface</t>
        </is>
      </c>
    </row>
    <row r="4">
      <c r="B4" s="27" t="inlineStr">
        <is>
          <t>Model ID</t>
        </is>
      </c>
      <c r="C4" s="28" t="inlineStr">
        <is>
          <t>18</t>
        </is>
      </c>
    </row>
    <row r="5">
      <c r="B5" s="27" t="inlineStr">
        <is>
          <t>Domain</t>
        </is>
      </c>
      <c r="C5" s="28" t="inlineStr">
        <is>
          <t>Insurance &amp; Actuarial</t>
        </is>
      </c>
    </row>
    <row r="6">
      <c r="B6" s="27" t="inlineStr">
        <is>
          <t>Declared maturity</t>
        </is>
      </c>
      <c r="C6" s="28" t="inlineStr">
        <is>
          <t>M2</t>
        </is>
      </c>
    </row>
    <row r="7">
      <c r="B7" s="27" t="inlineStr">
        <is>
          <t>Canonical builder</t>
        </is>
      </c>
      <c r="C7" s="28" t="inlineStr">
        <is>
          <t>tools/builders/build_insurance_release.py</t>
        </is>
      </c>
    </row>
    <row r="8">
      <c r="B8" s="27" t="inlineStr">
        <is>
          <t>Decision arena</t>
        </is>
      </c>
      <c r="C8" s="28" t="inlineStr">
        <is>
          <t>actuarial, underwriting, finance, capital committee and regulator</t>
        </is>
      </c>
    </row>
    <row r="9">
      <c r="B9" s="27" t="inlineStr">
        <is>
          <t>Committee artifact</t>
        </is>
      </c>
      <c r="C9" s="28" t="inlineStr">
        <is>
          <t>reserve, profitability and capital pack</t>
        </is>
      </c>
    </row>
    <row r="10">
      <c r="B10" s="27" t="inlineStr">
        <is>
          <t>Operating cadence</t>
        </is>
      </c>
      <c r="C10" s="28" t="inlineStr">
        <is>
          <t>monthly reserve monitoring; quarterly close; annual assumption review</t>
        </is>
      </c>
    </row>
    <row r="12">
      <c r="B12" s="29" t="inlineStr">
        <is>
          <t>Key decision outputs</t>
        </is>
      </c>
    </row>
    <row r="13">
      <c r="B13" s="30" t="inlineStr">
        <is>
          <t>#</t>
        </is>
      </c>
      <c r="C13" s="30" t="inlineStr">
        <is>
          <t>Requirement</t>
        </is>
      </c>
      <c r="D13" s="30" t="inlineStr">
        <is>
          <t>Owner</t>
        </is>
      </c>
      <c r="E13" s="30" t="inlineStr">
        <is>
          <t>Evidence / location</t>
        </is>
      </c>
      <c r="F13" s="30" t="inlineStr">
        <is>
          <t>Status</t>
        </is>
      </c>
    </row>
    <row r="14">
      <c r="B14" t="n">
        <v>1</v>
      </c>
      <c r="C14" t="inlineStr">
        <is>
          <t>ultimate loss and reserve</t>
        </is>
      </c>
      <c r="D14" t="inlineStr"/>
      <c r="E14" t="inlineStr"/>
      <c r="F14" t="inlineStr">
        <is>
          <t>OPEN</t>
        </is>
      </c>
    </row>
    <row r="15">
      <c r="B15" t="n">
        <v>2</v>
      </c>
      <c r="C15" t="inlineStr">
        <is>
          <t>loss ratio and combined ratio</t>
        </is>
      </c>
      <c r="D15" t="inlineStr"/>
      <c r="E15" t="inlineStr"/>
      <c r="F15" t="inlineStr">
        <is>
          <t>OPEN</t>
        </is>
      </c>
    </row>
    <row r="16">
      <c r="B16" t="n">
        <v>3</v>
      </c>
      <c r="C16" t="inlineStr">
        <is>
          <t>new-business and embedded value</t>
        </is>
      </c>
      <c r="D16" t="inlineStr"/>
      <c r="E16" t="inlineStr"/>
      <c r="F16" t="inlineStr">
        <is>
          <t>OPEN</t>
        </is>
      </c>
    </row>
    <row r="17">
      <c r="B17" t="n">
        <v>4</v>
      </c>
      <c r="C17" t="inlineStr">
        <is>
          <t>base, downside and break-even outputs</t>
        </is>
      </c>
      <c r="D17" t="inlineStr"/>
      <c r="E17" t="inlineStr"/>
      <c r="F17" t="inlineStr">
        <is>
          <t>OPEN</t>
        </is>
      </c>
    </row>
    <row r="18">
      <c r="B18" t="n">
        <v>5</v>
      </c>
      <c r="C18" t="inlineStr">
        <is>
          <t>liquidity / funding requirement and binding constraint</t>
        </is>
      </c>
      <c r="D18" t="inlineStr"/>
      <c r="E18" t="inlineStr"/>
      <c r="F18" t="inlineStr">
        <is>
          <t>OPEN</t>
        </is>
      </c>
    </row>
    <row r="20">
      <c r="B20" s="29" t="inlineStr">
        <is>
          <t>Insider questions</t>
        </is>
      </c>
    </row>
    <row r="21">
      <c r="B21" s="30" t="inlineStr">
        <is>
          <t>#</t>
        </is>
      </c>
      <c r="C21" s="30" t="inlineStr">
        <is>
          <t>Requirement</t>
        </is>
      </c>
      <c r="D21" s="30" t="inlineStr">
        <is>
          <t>Owner</t>
        </is>
      </c>
      <c r="E21" s="30" t="inlineStr">
        <is>
          <t>Evidence / location</t>
        </is>
      </c>
      <c r="F21" s="30" t="inlineStr">
        <is>
          <t>Status</t>
        </is>
      </c>
    </row>
    <row r="22">
      <c r="B22" t="n">
        <v>1</v>
      </c>
      <c r="C22" t="inlineStr">
        <is>
          <t>Which accident years are driving development?</t>
        </is>
      </c>
      <c r="D22" t="inlineStr"/>
      <c r="E22" t="inlineStr"/>
      <c r="F22" t="inlineStr">
        <is>
          <t>OPEN</t>
        </is>
      </c>
    </row>
    <row r="23">
      <c r="B23" t="n">
        <v>2</v>
      </c>
      <c r="C23" t="inlineStr">
        <is>
          <t>What operational change broke historical comparability?</t>
        </is>
      </c>
      <c r="D23" t="inlineStr"/>
      <c r="E23" t="inlineStr"/>
      <c r="F23" t="inlineStr">
        <is>
          <t>OPEN</t>
        </is>
      </c>
    </row>
    <row r="24">
      <c r="B24" t="n">
        <v>3</v>
      </c>
      <c r="C24" t="inlineStr">
        <is>
          <t>How collectible are reinsurance balances?</t>
        </is>
      </c>
      <c r="D24" t="inlineStr"/>
      <c r="E24" t="inlineStr"/>
      <c r="F24" t="inlineStr">
        <is>
          <t>OPEN</t>
        </is>
      </c>
    </row>
    <row r="25">
      <c r="B25" t="n">
        <v>4</v>
      </c>
      <c r="C25" t="inlineStr">
        <is>
          <t>Which assumption is owner-approved versus modeler judgement?</t>
        </is>
      </c>
      <c r="D25" t="inlineStr"/>
      <c r="E25" t="inlineStr"/>
      <c r="F25" t="inlineStr">
        <is>
          <t>OPEN</t>
        </is>
      </c>
    </row>
    <row r="26">
      <c r="B26" t="n">
        <v>5</v>
      </c>
      <c r="C26" t="inlineStr">
        <is>
          <t>What fails first and who must act?</t>
        </is>
      </c>
      <c r="D26" t="inlineStr"/>
      <c r="E26" t="inlineStr"/>
      <c r="F26" t="inlineStr">
        <is>
          <t>OPEN</t>
        </is>
      </c>
    </row>
    <row r="28">
      <c r="B28" s="29" t="inlineStr">
        <is>
          <t>Scenario families</t>
        </is>
      </c>
    </row>
    <row r="29">
      <c r="B29" s="30" t="inlineStr">
        <is>
          <t>#</t>
        </is>
      </c>
      <c r="C29" s="30" t="inlineStr">
        <is>
          <t>Requirement</t>
        </is>
      </c>
      <c r="D29" s="30" t="inlineStr">
        <is>
          <t>Owner</t>
        </is>
      </c>
      <c r="E29" s="30" t="inlineStr">
        <is>
          <t>Evidence / location</t>
        </is>
      </c>
      <c r="F29" s="30" t="inlineStr">
        <is>
          <t>Status</t>
        </is>
      </c>
    </row>
    <row r="30">
      <c r="B30" t="n">
        <v>1</v>
      </c>
      <c r="C30" t="inlineStr">
        <is>
          <t>reserve deterioration</t>
        </is>
      </c>
      <c r="D30" t="inlineStr"/>
      <c r="E30" t="inlineStr"/>
      <c r="F30" t="inlineStr">
        <is>
          <t>OPEN</t>
        </is>
      </c>
    </row>
    <row r="31">
      <c r="B31" t="n">
        <v>2</v>
      </c>
      <c r="C31" t="inlineStr">
        <is>
          <t>frequency / severity inflation</t>
        </is>
      </c>
      <c r="D31" t="inlineStr"/>
      <c r="E31" t="inlineStr"/>
      <c r="F31" t="inlineStr">
        <is>
          <t>OPEN</t>
        </is>
      </c>
    </row>
    <row r="32">
      <c r="B32" t="n">
        <v>3</v>
      </c>
      <c r="C32" t="inlineStr">
        <is>
          <t>catastrophe event</t>
        </is>
      </c>
      <c r="D32" t="inlineStr"/>
      <c r="E32" t="inlineStr"/>
      <c r="F32" t="inlineStr">
        <is>
          <t>OPEN</t>
        </is>
      </c>
    </row>
    <row r="33">
      <c r="B33" t="n">
        <v>4</v>
      </c>
      <c r="C33" t="inlineStr">
        <is>
          <t>data freshness / source failure</t>
        </is>
      </c>
      <c r="D33" t="inlineStr"/>
      <c r="E33" t="inlineStr"/>
      <c r="F33" t="inlineStr">
        <is>
          <t>OPEN</t>
        </is>
      </c>
    </row>
    <row r="34">
      <c r="B34" t="n">
        <v>5</v>
      </c>
      <c r="C34" t="inlineStr">
        <is>
          <t>combined severe-but-plausible downside</t>
        </is>
      </c>
      <c r="D34" t="inlineStr"/>
      <c r="E34" t="inlineStr"/>
      <c r="F34" t="inlineStr">
        <is>
          <t>OPEN</t>
        </is>
      </c>
    </row>
    <row r="36">
      <c r="B36" s="29" t="inlineStr">
        <is>
          <t>Primary diligence documents</t>
        </is>
      </c>
    </row>
    <row r="37">
      <c r="B37" s="30" t="inlineStr">
        <is>
          <t>#</t>
        </is>
      </c>
      <c r="C37" s="30" t="inlineStr">
        <is>
          <t>Requirement</t>
        </is>
      </c>
      <c r="D37" s="30" t="inlineStr">
        <is>
          <t>Owner</t>
        </is>
      </c>
      <c r="E37" s="30" t="inlineStr">
        <is>
          <t>Evidence / location</t>
        </is>
      </c>
      <c r="F37" s="30" t="inlineStr">
        <is>
          <t>Status</t>
        </is>
      </c>
    </row>
    <row r="38">
      <c r="B38" t="n">
        <v>1</v>
      </c>
      <c r="C38" t="inlineStr">
        <is>
          <t>policy and claims triangles</t>
        </is>
      </c>
      <c r="D38" t="inlineStr"/>
      <c r="E38" t="inlineStr"/>
      <c r="F38" t="inlineStr">
        <is>
          <t>OPEN</t>
        </is>
      </c>
    </row>
    <row r="39">
      <c r="B39" t="n">
        <v>2</v>
      </c>
      <c r="C39" t="inlineStr">
        <is>
          <t>actuarial methods and assumptions</t>
        </is>
      </c>
      <c r="D39" t="inlineStr"/>
      <c r="E39" t="inlineStr"/>
      <c r="F39" t="inlineStr">
        <is>
          <t>OPEN</t>
        </is>
      </c>
    </row>
    <row r="40">
      <c r="B40" t="n">
        <v>3</v>
      </c>
      <c r="C40" t="inlineStr">
        <is>
          <t>reinsurance treaties</t>
        </is>
      </c>
      <c r="D40" t="inlineStr"/>
      <c r="E40" t="inlineStr"/>
      <c r="F40" t="inlineStr">
        <is>
          <t>OPEN</t>
        </is>
      </c>
    </row>
    <row r="41">
      <c r="B41" t="n">
        <v>4</v>
      </c>
      <c r="C41" t="inlineStr">
        <is>
          <t>approved model card and assumption register</t>
        </is>
      </c>
      <c r="D41" t="inlineStr"/>
      <c r="E41" t="inlineStr"/>
      <c r="F41" t="inlineStr">
        <is>
          <t>OPEN</t>
        </is>
      </c>
    </row>
    <row r="42">
      <c r="B42" t="n">
        <v>5</v>
      </c>
      <c r="C42" t="inlineStr">
        <is>
          <t>independent validation and challenge record</t>
        </is>
      </c>
      <c r="D42" t="inlineStr"/>
      <c r="E42" t="inlineStr"/>
      <c r="F42" t="inlineStr">
        <is>
          <t>OPEN</t>
        </is>
      </c>
    </row>
    <row r="44">
      <c r="B44" s="29" t="inlineStr">
        <is>
          <t>Challenge tests</t>
        </is>
      </c>
    </row>
    <row r="45">
      <c r="B45" s="30" t="inlineStr">
        <is>
          <t>#</t>
        </is>
      </c>
      <c r="C45" s="30" t="inlineStr">
        <is>
          <t>Requirement</t>
        </is>
      </c>
      <c r="D45" s="30" t="inlineStr">
        <is>
          <t>Owner</t>
        </is>
      </c>
      <c r="E45" s="30" t="inlineStr">
        <is>
          <t>Evidence / location</t>
        </is>
      </c>
      <c r="F45" s="30" t="inlineStr">
        <is>
          <t>Status</t>
        </is>
      </c>
    </row>
    <row r="46">
      <c r="B46" t="n">
        <v>1</v>
      </c>
      <c r="C46" t="inlineStr">
        <is>
          <t>triangle monotonicity where appropriate</t>
        </is>
      </c>
      <c r="D46" t="inlineStr"/>
      <c r="E46" t="inlineStr"/>
      <c r="F46" t="inlineStr">
        <is>
          <t>OPEN</t>
        </is>
      </c>
    </row>
    <row r="47">
      <c r="B47" t="n">
        <v>2</v>
      </c>
      <c r="C47" t="inlineStr">
        <is>
          <t>development factors bounded and explained</t>
        </is>
      </c>
      <c r="D47" t="inlineStr"/>
      <c r="E47" t="inlineStr"/>
      <c r="F47" t="inlineStr">
        <is>
          <t>OPEN</t>
        </is>
      </c>
    </row>
    <row r="48">
      <c r="B48" t="n">
        <v>3</v>
      </c>
      <c r="C48" t="inlineStr">
        <is>
          <t>reserve roll-forward reconciles</t>
        </is>
      </c>
      <c r="D48" t="inlineStr"/>
      <c r="E48" t="inlineStr"/>
      <c r="F48" t="inlineStr">
        <is>
          <t>OPEN</t>
        </is>
      </c>
    </row>
    <row r="49">
      <c r="B49" t="n">
        <v>4</v>
      </c>
      <c r="C49" t="inlineStr">
        <is>
          <t>source-to-model lineage is reproducible</t>
        </is>
      </c>
      <c r="D49" t="inlineStr"/>
      <c r="E49" t="inlineStr"/>
      <c r="F49" t="inlineStr">
        <is>
          <t>OPEN</t>
        </is>
      </c>
    </row>
    <row r="50">
      <c r="B50" t="n">
        <v>5</v>
      </c>
      <c r="C50" t="inlineStr">
        <is>
          <t>units, signs, dates and legal definitions reconcile</t>
        </is>
      </c>
      <c r="D50" t="inlineStr"/>
      <c r="E50" t="inlineStr"/>
      <c r="F50" t="inlineStr">
        <is>
          <t>OPEN</t>
        </is>
      </c>
    </row>
    <row r="52">
      <c r="B52" s="29" t="inlineStr">
        <is>
          <t>Known failure modes</t>
        </is>
      </c>
    </row>
    <row r="53">
      <c r="B53" s="30" t="inlineStr">
        <is>
          <t>#</t>
        </is>
      </c>
      <c r="C53" s="30" t="inlineStr">
        <is>
          <t>Requirement</t>
        </is>
      </c>
      <c r="D53" s="30" t="inlineStr">
        <is>
          <t>Owner</t>
        </is>
      </c>
      <c r="E53" s="30" t="inlineStr">
        <is>
          <t>Evidence / location</t>
        </is>
      </c>
      <c r="F53" s="30" t="inlineStr">
        <is>
          <t>Status</t>
        </is>
      </c>
    </row>
    <row r="54">
      <c r="B54" t="n">
        <v>1</v>
      </c>
      <c r="C54" t="inlineStr">
        <is>
          <t>blindly selecting latest link ratios</t>
        </is>
      </c>
      <c r="D54" t="inlineStr"/>
      <c r="E54" t="inlineStr"/>
      <c r="F54" t="inlineStr">
        <is>
          <t>OPEN</t>
        </is>
      </c>
    </row>
    <row r="55">
      <c r="B55" t="n">
        <v>2</v>
      </c>
      <c r="C55" t="inlineStr">
        <is>
          <t>mixing accident, report and policy year</t>
        </is>
      </c>
      <c r="D55" t="inlineStr"/>
      <c r="E55" t="inlineStr"/>
      <c r="F55" t="inlineStr">
        <is>
          <t>OPEN</t>
        </is>
      </c>
    </row>
    <row r="56">
      <c r="B56" t="n">
        <v>3</v>
      </c>
      <c r="C56" t="inlineStr">
        <is>
          <t>ignoring claims inflation regime change</t>
        </is>
      </c>
      <c r="D56" t="inlineStr"/>
      <c r="E56" t="inlineStr"/>
      <c r="F56" t="inlineStr">
        <is>
          <t>OPEN</t>
        </is>
      </c>
    </row>
    <row r="57">
      <c r="B57" t="n">
        <v>4</v>
      </c>
      <c r="C57" t="inlineStr">
        <is>
          <t>stale vintage presented as current</t>
        </is>
      </c>
      <c r="D57" t="inlineStr"/>
      <c r="E57" t="inlineStr"/>
      <c r="F57" t="inlineStr">
        <is>
          <t>OPEN</t>
        </is>
      </c>
    </row>
    <row r="58">
      <c r="B58" t="n">
        <v>5</v>
      </c>
      <c r="C58" t="inlineStr">
        <is>
          <t>decision output disconnected from a binding constraint</t>
        </is>
      </c>
      <c r="D58" t="inlineStr"/>
      <c r="E58" t="inlineStr"/>
      <c r="F58" t="inlineStr">
        <is>
          <t>OPEN</t>
        </is>
      </c>
    </row>
    <row r="60">
      <c r="B60" s="29" t="inlineStr">
        <is>
          <t>Regulatory / methodological anchors</t>
        </is>
      </c>
    </row>
    <row r="61">
      <c r="B61" s="30" t="inlineStr">
        <is>
          <t>Standard</t>
        </is>
      </c>
      <c r="C61" s="30" t="inlineStr">
        <is>
          <t>Scope</t>
        </is>
      </c>
      <c r="D61" s="30" t="inlineStr">
        <is>
          <t>Source URL</t>
        </is>
      </c>
      <c r="E61" s="30" t="inlineStr">
        <is>
          <t>Applicability</t>
        </is>
      </c>
      <c r="F61" s="30" t="inlineStr">
        <is>
          <t>Review note</t>
        </is>
      </c>
    </row>
    <row r="62">
      <c r="B62" t="inlineStr">
        <is>
          <t>Federal Reserve SR 26-2 Model Risk Management</t>
        </is>
      </c>
      <c r="C62" t="inlineStr">
        <is>
          <t>governance, validation, change control, monitoring</t>
        </is>
      </c>
      <c r="D62" t="inlineStr">
        <is>
          <t>https://www.federalreserve.gov/supervisionreg/srletters/SR2602.htm</t>
        </is>
      </c>
      <c r="E62" t="inlineStr">
        <is>
          <t>Map explicitly</t>
        </is>
      </c>
      <c r="F62" t="inlineStr"/>
    </row>
    <row r="63">
      <c r="B63" t="inlineStr">
        <is>
          <t>NAIC Risk-Based Capital</t>
        </is>
      </c>
      <c r="C63" t="inlineStr">
        <is>
          <t>risk-sensitive statutory capital</t>
        </is>
      </c>
      <c r="D63" t="inlineStr">
        <is>
          <t>https://content.naic.org/insurance-topics/risk-based-capital</t>
        </is>
      </c>
      <c r="E63" t="inlineStr">
        <is>
          <t>Map explicitly</t>
        </is>
      </c>
      <c r="F63" t="inlineStr"/>
    </row>
    <row r="64">
      <c r="B64" t="inlineStr">
        <is>
          <t>IFRS 17 Insurance Contracts</t>
        </is>
      </c>
      <c r="C64" t="inlineStr">
        <is>
          <t>insurance measurement and risk release</t>
        </is>
      </c>
      <c r="D64" t="inlineStr">
        <is>
          <t>https://www.ifrs.org/issued-standards/list-of-standards/ifrs-17-insurance-contracts/</t>
        </is>
      </c>
      <c r="E64" t="inlineStr">
        <is>
          <t>Map explicitly</t>
        </is>
      </c>
      <c r="F64" t="inlineStr"/>
    </row>
  </sheetData>
  <mergeCells count="15">
    <mergeCell ref="B44:F44"/>
    <mergeCell ref="C9:F9"/>
    <mergeCell ref="B12:F12"/>
    <mergeCell ref="B2:F2"/>
    <mergeCell ref="C8:F8"/>
    <mergeCell ref="C4:F4"/>
    <mergeCell ref="B20:F20"/>
    <mergeCell ref="B28:F28"/>
    <mergeCell ref="C6:F6"/>
    <mergeCell ref="C7:F7"/>
    <mergeCell ref="B60:F60"/>
    <mergeCell ref="B36:F36"/>
    <mergeCell ref="C10:F10"/>
    <mergeCell ref="C5:F5"/>
    <mergeCell ref="B52:F52"/>
  </mergeCells>
  <dataValidations count="6">
    <dataValidation sqref="F14:F18" showDropDown="0" showInputMessage="0" showErrorMessage="0" allowBlank="0" type="list">
      <formula1>"OPEN,IN REVIEW,CLOSED,NOT APPLICABLE"</formula1>
    </dataValidation>
    <dataValidation sqref="F22:F26" showDropDown="0" showInputMessage="0" showErrorMessage="0" allowBlank="0" type="list">
      <formula1>"OPEN,IN REVIEW,CLOSED,NOT APPLICABLE"</formula1>
    </dataValidation>
    <dataValidation sqref="F30:F34" showDropDown="0" showInputMessage="0" showErrorMessage="0" allowBlank="0" type="list">
      <formula1>"OPEN,IN REVIEW,CLOSED,NOT APPLICABLE"</formula1>
    </dataValidation>
    <dataValidation sqref="F38:F42" showDropDown="0" showInputMessage="0" showErrorMessage="0" allowBlank="0" type="list">
      <formula1>"OPEN,IN REVIEW,CLOSED,NOT APPLICABLE"</formula1>
    </dataValidation>
    <dataValidation sqref="F46:F50" showDropDown="0" showInputMessage="0" showErrorMessage="0" allowBlank="0" type="list">
      <formula1>"OPEN,IN REVIEW,CLOSED,NOT APPLICABLE"</formula1>
    </dataValidation>
    <dataValidation sqref="F54:F58" showDropDown="0" showInputMessage="0" showErrorMessage="0" allowBlank="0" type="list">
      <formula1>"OPEN,IN REVIEW,CLOSED,NOT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22" customWidth="1" min="3" max="3"/>
    <col width="52" customWidth="1" min="4" max="4"/>
    <col width="46" customWidth="1" min="5" max="5"/>
    <col width="36" customWidth="1" min="6" max="6"/>
    <col width="14" customWidth="1" min="7" max="7"/>
    <col width="18" customWidth="1" min="8" max="8"/>
    <col width="14" customWidth="1" min="9" max="9"/>
  </cols>
  <sheetData>
    <row r="2">
      <c r="B2" s="26" t="inlineStr">
        <is>
          <t>Independent Challenge, Override and Closure Log</t>
        </is>
      </c>
    </row>
    <row r="4">
      <c r="B4" s="30" t="inlineStr">
        <is>
          <t>Date</t>
        </is>
      </c>
      <c r="C4" s="30" t="inlineStr">
        <is>
          <t>Reviewer</t>
        </is>
      </c>
      <c r="D4" s="30" t="inlineStr">
        <is>
          <t>Challenge</t>
        </is>
      </c>
      <c r="E4" s="30" t="inlineStr">
        <is>
          <t>Owner response</t>
        </is>
      </c>
      <c r="F4" s="30" t="inlineStr">
        <is>
          <t>Evidence</t>
        </is>
      </c>
      <c r="G4" s="30" t="inlineStr">
        <is>
          <t>Impact</t>
        </is>
      </c>
      <c r="H4" s="30" t="inlineStr">
        <is>
          <t>Status</t>
        </is>
      </c>
      <c r="I4" s="30" t="inlineStr">
        <is>
          <t>Closure</t>
        </is>
      </c>
    </row>
    <row r="5">
      <c r="B5" t="inlineStr"/>
      <c r="C5" t="inlineStr"/>
      <c r="D5" t="inlineStr">
        <is>
          <t>triangle monotonicity where appropriate</t>
        </is>
      </c>
      <c r="E5" t="inlineStr"/>
      <c r="F5" t="inlineStr"/>
      <c r="G5" t="inlineStr"/>
      <c r="H5" t="inlineStr">
        <is>
          <t>OPEN</t>
        </is>
      </c>
      <c r="I5" t="inlineStr"/>
    </row>
    <row r="6">
      <c r="B6" t="inlineStr"/>
      <c r="C6" t="inlineStr"/>
      <c r="D6" t="inlineStr">
        <is>
          <t>development factors bounded and explained</t>
        </is>
      </c>
      <c r="E6" t="inlineStr"/>
      <c r="F6" t="inlineStr"/>
      <c r="G6" t="inlineStr"/>
      <c r="H6" t="inlineStr">
        <is>
          <t>OPEN</t>
        </is>
      </c>
      <c r="I6" t="inlineStr"/>
    </row>
    <row r="7">
      <c r="B7" t="inlineStr"/>
      <c r="C7" t="inlineStr"/>
      <c r="D7" t="inlineStr">
        <is>
          <t>reserve roll-forward reconciles</t>
        </is>
      </c>
      <c r="E7" t="inlineStr"/>
      <c r="F7" t="inlineStr"/>
      <c r="G7" t="inlineStr"/>
      <c r="H7" t="inlineStr">
        <is>
          <t>OPEN</t>
        </is>
      </c>
      <c r="I7" t="inlineStr"/>
    </row>
    <row r="8">
      <c r="B8" t="inlineStr"/>
      <c r="C8" t="inlineStr"/>
      <c r="D8" t="inlineStr">
        <is>
          <t>source-to-model lineage is reproducible</t>
        </is>
      </c>
      <c r="E8" t="inlineStr"/>
      <c r="F8" t="inlineStr"/>
      <c r="G8" t="inlineStr"/>
      <c r="H8" t="inlineStr">
        <is>
          <t>OPEN</t>
        </is>
      </c>
      <c r="I8" t="inlineStr"/>
    </row>
    <row r="9">
      <c r="B9" t="inlineStr"/>
      <c r="C9" t="inlineStr"/>
      <c r="D9" t="inlineStr">
        <is>
          <t>units, signs, dates and legal definitions reconcile</t>
        </is>
      </c>
      <c r="E9" t="inlineStr"/>
      <c r="F9" t="inlineStr"/>
      <c r="G9" t="inlineStr"/>
      <c r="H9" t="inlineStr">
        <is>
          <t>OPEN</t>
        </is>
      </c>
      <c r="I9" t="inlineStr"/>
    </row>
  </sheetData>
  <mergeCells count="1">
    <mergeCell ref="B2:I2"/>
  </mergeCells>
  <dataValidations count="2">
    <dataValidation sqref="H5:H54" showDropDown="0" showInputMessage="0" showErrorMessage="0" allowBlank="0" type="list">
      <formula1>"OPEN,IN REVIEW,REMEDIATED,ACCEPTED RISK,CLOSED"</formula1>
    </dataValidation>
    <dataValidation sqref="G5:G54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8" customWidth="1" min="3" max="3"/>
    <col width="42" customWidth="1" min="4" max="4"/>
    <col width="24" customWidth="1" min="5" max="5"/>
    <col width="18" customWidth="1" min="6" max="6"/>
    <col width="22" customWidth="1" min="7" max="7"/>
    <col width="42" customWidth="1" min="8" max="8"/>
    <col width="30" customWidth="1" min="9" max="9"/>
    <col width="15" customWidth="1" min="10" max="10"/>
  </cols>
  <sheetData>
    <row r="2">
      <c r="B2" s="26" t="inlineStr">
        <is>
          <t>Source, Transformation, Ownership and Refresh Map</t>
        </is>
      </c>
    </row>
    <row r="4">
      <c r="B4" s="30" t="inlineStr">
        <is>
          <t>Source class</t>
        </is>
      </c>
      <c r="C4" s="30" t="inlineStr">
        <is>
          <t>Cadence</t>
        </is>
      </c>
      <c r="D4" s="30" t="inlineStr">
        <is>
          <t>Control</t>
        </is>
      </c>
      <c r="E4" s="30" t="inlineStr">
        <is>
          <t>System / provider</t>
        </is>
      </c>
      <c r="F4" s="30" t="inlineStr">
        <is>
          <t>As-of</t>
        </is>
      </c>
      <c r="G4" s="30" t="inlineStr">
        <is>
          <t>Owner</t>
        </is>
      </c>
      <c r="H4" s="30" t="inlineStr">
        <is>
          <t>Transform</t>
        </is>
      </c>
      <c r="I4" s="30" t="inlineStr">
        <is>
          <t>Downstream</t>
        </is>
      </c>
      <c r="J4" s="30" t="inlineStr">
        <is>
          <t>Status</t>
        </is>
      </c>
    </row>
    <row r="5">
      <c r="B5" t="inlineStr">
        <is>
          <t>claims transactions</t>
        </is>
      </c>
      <c r="C5" t="inlineStr">
        <is>
          <t>monthly</t>
        </is>
      </c>
      <c r="D5" t="inlineStr">
        <is>
          <t>paid/incurred and claim-id reconciliation</t>
        </is>
      </c>
      <c r="E5" t="inlineStr"/>
      <c r="F5" t="inlineStr"/>
      <c r="G5" t="inlineStr"/>
      <c r="H5" t="inlineStr"/>
      <c r="I5" t="inlineStr"/>
      <c r="J5" t="inlineStr">
        <is>
          <t>TO MAP</t>
        </is>
      </c>
    </row>
    <row r="6">
      <c r="B6" t="inlineStr">
        <is>
          <t>exposure and premium</t>
        </is>
      </c>
      <c r="C6" t="inlineStr">
        <is>
          <t>monthly</t>
        </is>
      </c>
      <c r="D6" t="inlineStr">
        <is>
          <t>earned/written definition</t>
        </is>
      </c>
      <c r="E6" t="inlineStr"/>
      <c r="F6" t="inlineStr"/>
      <c r="G6" t="inlineStr"/>
      <c r="H6" t="inlineStr"/>
      <c r="I6" t="inlineStr"/>
      <c r="J6" t="inlineStr">
        <is>
          <t>TO MAP</t>
        </is>
      </c>
    </row>
    <row r="7">
      <c r="B7" t="inlineStr">
        <is>
          <t>model governance evidence</t>
        </is>
      </c>
      <c r="C7" t="inlineStr">
        <is>
          <t>per release</t>
        </is>
      </c>
      <c r="D7" t="inlineStr">
        <is>
          <t>version, reviewer, sign-off and change log</t>
        </is>
      </c>
      <c r="E7" t="inlineStr"/>
      <c r="F7" t="inlineStr"/>
      <c r="G7" t="inlineStr"/>
      <c r="H7" t="inlineStr"/>
      <c r="I7" t="inlineStr"/>
      <c r="J7" t="inlineStr">
        <is>
          <t>TO MAP</t>
        </is>
      </c>
    </row>
    <row r="8">
      <c r="B8" t="inlineStr">
        <is>
          <t>decision-use snapshot</t>
        </is>
      </c>
      <c r="C8" t="inlineStr">
        <is>
          <t>per decision</t>
        </is>
      </c>
      <c r="D8" t="inlineStr">
        <is>
          <t>immutable as-of date and source receipt</t>
        </is>
      </c>
      <c r="E8" t="inlineStr"/>
      <c r="F8" t="inlineStr"/>
      <c r="G8" t="inlineStr"/>
      <c r="H8" t="inlineStr"/>
      <c r="I8" t="inlineStr"/>
      <c r="J8" t="inlineStr">
        <is>
          <t>TO MAP</t>
        </is>
      </c>
    </row>
  </sheetData>
  <mergeCells count="1">
    <mergeCell ref="B2:J2"/>
  </mergeCells>
  <dataValidations count="1">
    <dataValidation sqref="J5:J40" showDropDown="0" showInputMessage="0" showErrorMessage="0" allowBlank="0" type="list">
      <formula1>"TO MAP,ACTIVE,STALE,EXCEPTION,RETIRED"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5" customWidth="1" min="3" max="3"/>
    <col width="15" customWidth="1" min="4" max="4"/>
    <col width="15" customWidth="1" min="5" max="5"/>
    <col width="30" customWidth="1" min="6" max="6"/>
  </cols>
  <sheetData>
    <row r="2" ht="28" customHeight="1">
      <c r="B2" s="1" t="inlineStr">
        <is>
          <t>Actuarial, Underwriting, and Capital Assumptions</t>
        </is>
      </c>
    </row>
    <row r="4">
      <c r="B4" s="8" t="inlineStr">
        <is>
          <t>Assumption</t>
        </is>
      </c>
      <c r="C4" s="8" t="inlineStr">
        <is>
          <t>Base</t>
        </is>
      </c>
      <c r="D4" s="8" t="inlineStr">
        <is>
          <t>Downside</t>
        </is>
      </c>
      <c r="E4" s="8" t="inlineStr">
        <is>
          <t>Active</t>
        </is>
      </c>
      <c r="F4" s="8" t="inlineStr">
        <is>
          <t>Units / note</t>
        </is>
      </c>
    </row>
    <row r="5">
      <c r="B5" t="inlineStr">
        <is>
          <t>Expected loss ratio</t>
        </is>
      </c>
      <c r="C5" s="9" t="n">
        <v>0.62</v>
      </c>
      <c r="D5" s="9" t="n">
        <v>0.78</v>
      </c>
      <c r="E5" s="10">
        <f>IF(Cover!$C$9="Downside",D5,C5)</f>
        <v/>
      </c>
      <c r="F5" t="inlineStr">
        <is>
          <t>%</t>
        </is>
      </c>
    </row>
    <row r="6">
      <c r="B6" t="inlineStr">
        <is>
          <t>Expense ratio</t>
        </is>
      </c>
      <c r="C6" s="9" t="n">
        <v>0.28</v>
      </c>
      <c r="D6" s="9" t="n">
        <v>0.32</v>
      </c>
      <c r="E6" s="10">
        <f>IF(Cover!$C$9="Downside",D6,C6)</f>
        <v/>
      </c>
      <c r="F6" t="inlineStr">
        <is>
          <t>%</t>
        </is>
      </c>
    </row>
    <row r="7">
      <c r="B7" t="inlineStr">
        <is>
          <t>Annual premium growth</t>
        </is>
      </c>
      <c r="C7" s="9" t="n">
        <v>0.05</v>
      </c>
      <c r="D7" s="9" t="n">
        <v>-0.05</v>
      </c>
      <c r="E7" s="10">
        <f>IF(Cover!$C$9="Downside",D7,C7)</f>
        <v/>
      </c>
      <c r="F7" t="inlineStr">
        <is>
          <t>%</t>
        </is>
      </c>
    </row>
    <row r="8">
      <c r="B8" t="inlineStr">
        <is>
          <t>Claims inflation</t>
        </is>
      </c>
      <c r="C8" s="9" t="n">
        <v>0.035</v>
      </c>
      <c r="D8" s="9" t="n">
        <v>0.075</v>
      </c>
      <c r="E8" s="10">
        <f>IF(Cover!$C$9="Downside",D8,C8)</f>
        <v/>
      </c>
      <c r="F8" t="inlineStr">
        <is>
          <t>%</t>
        </is>
      </c>
    </row>
    <row r="9">
      <c r="B9" t="inlineStr">
        <is>
          <t>Discount rate</t>
        </is>
      </c>
      <c r="C9" s="11" t="n">
        <v>0.045</v>
      </c>
      <c r="D9" s="11" t="n">
        <v>0.035</v>
      </c>
      <c r="E9" s="12">
        <f>IF(Cover!$C$9="Downside",D9,C9)</f>
        <v/>
      </c>
      <c r="F9" t="inlineStr">
        <is>
          <t>%</t>
        </is>
      </c>
    </row>
    <row r="10">
      <c r="B10" t="inlineStr">
        <is>
          <t>Risk margin / reserve</t>
        </is>
      </c>
      <c r="C10" s="9" t="n">
        <v>0.08</v>
      </c>
      <c r="D10" s="9" t="n">
        <v>0.15</v>
      </c>
      <c r="E10" s="10">
        <f>IF(Cover!$C$9="Downside",D10,C10)</f>
        <v/>
      </c>
      <c r="F10" t="inlineStr">
        <is>
          <t>%</t>
        </is>
      </c>
    </row>
    <row r="11">
      <c r="B11" t="inlineStr">
        <is>
          <t>Opening earned premium</t>
        </is>
      </c>
      <c r="C11" s="13" t="n">
        <v>500</v>
      </c>
      <c r="D11" s="13" t="n">
        <v>500</v>
      </c>
      <c r="E11" s="14">
        <f>IF(Cover!$C$9="Downside",D11,C11)</f>
        <v/>
      </c>
      <c r="F11" t="inlineStr">
        <is>
          <t>$mm</t>
        </is>
      </c>
    </row>
    <row r="12">
      <c r="B12" t="inlineStr">
        <is>
          <t>Opening invested assets</t>
        </is>
      </c>
      <c r="C12" s="13" t="n">
        <v>900</v>
      </c>
      <c r="D12" s="13" t="n">
        <v>900</v>
      </c>
      <c r="E12" s="14">
        <f>IF(Cover!$C$9="Downside",D12,C12)</f>
        <v/>
      </c>
      <c r="F12" t="inlineStr">
        <is>
          <t>$mm</t>
        </is>
      </c>
    </row>
    <row r="13">
      <c r="B13" t="inlineStr">
        <is>
          <t>Investment yield</t>
        </is>
      </c>
      <c r="C13" s="11" t="n">
        <v>0.04</v>
      </c>
      <c r="D13" s="11" t="n">
        <v>0.025</v>
      </c>
      <c r="E13" s="12">
        <f>IF(Cover!$C$9="Downside",D13,C13)</f>
        <v/>
      </c>
      <c r="F13" t="inlineStr">
        <is>
          <t>%</t>
        </is>
      </c>
    </row>
    <row r="14">
      <c r="B14" t="inlineStr">
        <is>
          <t>Opening available capital</t>
        </is>
      </c>
      <c r="C14" s="13" t="n">
        <v>350</v>
      </c>
      <c r="D14" s="13" t="n">
        <v>350</v>
      </c>
      <c r="E14" s="14">
        <f>IF(Cover!$C$9="Downside",D14,C14)</f>
        <v/>
      </c>
      <c r="F14" t="inlineStr">
        <is>
          <t>$mm</t>
        </is>
      </c>
    </row>
    <row r="15">
      <c r="B15" t="inlineStr">
        <is>
          <t>Premium risk factor</t>
        </is>
      </c>
      <c r="C15" s="9" t="n">
        <v>0.18</v>
      </c>
      <c r="D15" s="9" t="n">
        <v>0.24</v>
      </c>
      <c r="E15" s="10">
        <f>IF(Cover!$C$9="Downside",D15,C15)</f>
        <v/>
      </c>
      <c r="F15" t="inlineStr">
        <is>
          <t>% premium</t>
        </is>
      </c>
    </row>
    <row r="16">
      <c r="B16" t="inlineStr">
        <is>
          <t>Reserve risk factor</t>
        </is>
      </c>
      <c r="C16" s="9" t="n">
        <v>0.12</v>
      </c>
      <c r="D16" s="9" t="n">
        <v>0.18</v>
      </c>
      <c r="E16" s="10">
        <f>IF(Cover!$C$9="Downside",D16,C16)</f>
        <v/>
      </c>
      <c r="F16" t="inlineStr">
        <is>
          <t>% reserve</t>
        </is>
      </c>
    </row>
    <row r="17">
      <c r="B17" t="inlineStr">
        <is>
          <t>Asset risk factor</t>
        </is>
      </c>
      <c r="C17" s="9" t="n">
        <v>0.08</v>
      </c>
      <c r="D17" s="9" t="n">
        <v>0.14</v>
      </c>
      <c r="E17" s="10">
        <f>IF(Cover!$C$9="Downside",D17,C17)</f>
        <v/>
      </c>
      <c r="F17" t="inlineStr">
        <is>
          <t>% assets</t>
        </is>
      </c>
    </row>
    <row r="18">
      <c r="B18" t="inlineStr">
        <is>
          <t>Minimum capital coverage</t>
        </is>
      </c>
      <c r="C18" s="15" t="n">
        <v>1.5</v>
      </c>
      <c r="D18" s="15" t="n">
        <v>1.5</v>
      </c>
      <c r="E18" s="16">
        <f>IF(Cover!$C$9="Downside",D18,C18)</f>
        <v/>
      </c>
      <c r="F18" t="inlineStr">
        <is>
          <t>x</t>
        </is>
      </c>
    </row>
    <row r="19">
      <c r="B19" t="inlineStr">
        <is>
          <t>Cost of capital</t>
        </is>
      </c>
      <c r="C19" s="9" t="n">
        <v>0.1</v>
      </c>
      <c r="D19" s="9" t="n">
        <v>0.12</v>
      </c>
      <c r="E19" s="10">
        <f>IF(Cover!$C$9="Downside",D19,C19)</f>
        <v/>
      </c>
      <c r="F19" t="inlineStr">
        <is>
          <t>%</t>
        </is>
      </c>
    </row>
    <row r="20">
      <c r="B20" t="inlineStr">
        <is>
          <t>Projection horizon</t>
        </is>
      </c>
      <c r="C20" s="17" t="n">
        <v>5</v>
      </c>
      <c r="D20" s="17" t="n">
        <v>5</v>
      </c>
      <c r="E20" s="18">
        <f>IF(Cover!$C$9="Downside",D20,C20)</f>
        <v/>
      </c>
      <c r="F20" t="inlineStr">
        <is>
          <t>years</t>
        </is>
      </c>
    </row>
  </sheetData>
  <mergeCells count="1">
    <mergeCell ref="B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2" ht="28" customHeight="1">
      <c r="B2" s="1" t="inlineStr">
        <is>
          <t>Cumulative Paid Loss Triangle</t>
        </is>
      </c>
    </row>
    <row r="4">
      <c r="B4" s="8" t="inlineStr">
        <is>
          <t>Accident year</t>
        </is>
      </c>
      <c r="C4" s="8" t="inlineStr">
        <is>
          <t>12m</t>
        </is>
      </c>
      <c r="D4" s="8" t="inlineStr">
        <is>
          <t>24m</t>
        </is>
      </c>
      <c r="E4" s="8" t="inlineStr">
        <is>
          <t>36m</t>
        </is>
      </c>
      <c r="F4" s="8" t="inlineStr">
        <is>
          <t>48m</t>
        </is>
      </c>
      <c r="G4" s="8" t="inlineStr">
        <is>
          <t>60m</t>
        </is>
      </c>
      <c r="H4" s="8" t="inlineStr">
        <is>
          <t>72m</t>
        </is>
      </c>
      <c r="I4" s="8" t="inlineStr">
        <is>
          <t>84m</t>
        </is>
      </c>
      <c r="J4" s="8" t="inlineStr">
        <is>
          <t>96m</t>
        </is>
      </c>
      <c r="K4" s="8" t="inlineStr">
        <is>
          <t>108m</t>
        </is>
      </c>
      <c r="L4" s="8" t="inlineStr">
        <is>
          <t>120m</t>
        </is>
      </c>
    </row>
    <row r="5">
      <c r="B5" t="n">
        <v>2017</v>
      </c>
      <c r="C5" s="13" t="n">
        <v>64.40000000000001</v>
      </c>
      <c r="D5" s="13" t="n">
        <v>110.4</v>
      </c>
      <c r="E5" s="13" t="n">
        <v>144.9</v>
      </c>
      <c r="F5" s="13" t="n">
        <v>167.9</v>
      </c>
      <c r="G5" s="13" t="n">
        <v>186.3</v>
      </c>
      <c r="H5" s="13" t="n">
        <v>200.1</v>
      </c>
      <c r="I5" s="13" t="n">
        <v>209.3</v>
      </c>
      <c r="J5" s="13" t="n">
        <v>216.2</v>
      </c>
      <c r="K5" s="13" t="n">
        <v>223.1</v>
      </c>
      <c r="L5" s="13" t="n">
        <v>230</v>
      </c>
    </row>
    <row r="6">
      <c r="B6" t="n">
        <v>2018</v>
      </c>
      <c r="C6" s="13" t="n">
        <v>68.59999999999999</v>
      </c>
      <c r="D6" s="13" t="n">
        <v>117.6</v>
      </c>
      <c r="E6" s="13" t="n">
        <v>154.35</v>
      </c>
      <c r="F6" s="13" t="n">
        <v>178.85</v>
      </c>
      <c r="G6" s="13" t="n">
        <v>198.45</v>
      </c>
      <c r="H6" s="13" t="n">
        <v>213.15</v>
      </c>
      <c r="I6" s="13" t="n">
        <v>222.95</v>
      </c>
      <c r="J6" s="13" t="n">
        <v>230.3</v>
      </c>
      <c r="K6" s="13" t="n">
        <v>237.65</v>
      </c>
    </row>
    <row r="7">
      <c r="B7" t="n">
        <v>2019</v>
      </c>
      <c r="C7" s="13" t="n">
        <v>71.40000000000001</v>
      </c>
      <c r="D7" s="13" t="n">
        <v>122.4</v>
      </c>
      <c r="E7" s="13" t="n">
        <v>160.65</v>
      </c>
      <c r="F7" s="13" t="n">
        <v>186.15</v>
      </c>
      <c r="G7" s="13" t="n">
        <v>206.55</v>
      </c>
      <c r="H7" s="13" t="n">
        <v>221.85</v>
      </c>
      <c r="I7" s="13" t="n">
        <v>232.05</v>
      </c>
      <c r="J7" s="13" t="n">
        <v>239.7</v>
      </c>
    </row>
    <row r="8">
      <c r="B8" t="n">
        <v>2020</v>
      </c>
      <c r="C8" s="13" t="n">
        <v>75.59999999999999</v>
      </c>
      <c r="D8" s="13" t="n">
        <v>129.6</v>
      </c>
      <c r="E8" s="13" t="n">
        <v>170.1</v>
      </c>
      <c r="F8" s="13" t="n">
        <v>197.1</v>
      </c>
      <c r="G8" s="13" t="n">
        <v>218.7</v>
      </c>
      <c r="H8" s="13" t="n">
        <v>234.9</v>
      </c>
      <c r="I8" s="13" t="n">
        <v>245.7</v>
      </c>
    </row>
    <row r="9">
      <c r="B9" t="n">
        <v>2021</v>
      </c>
      <c r="C9" s="13" t="n">
        <v>79.8</v>
      </c>
      <c r="D9" s="13" t="n">
        <v>136.8</v>
      </c>
      <c r="E9" s="13" t="n">
        <v>179.55</v>
      </c>
      <c r="F9" s="13" t="n">
        <v>208.05</v>
      </c>
      <c r="G9" s="13" t="n">
        <v>230.85</v>
      </c>
      <c r="H9" s="13" t="n">
        <v>247.95</v>
      </c>
    </row>
    <row r="10">
      <c r="B10" t="n">
        <v>2022</v>
      </c>
      <c r="C10" s="13" t="n">
        <v>84</v>
      </c>
      <c r="D10" s="13" t="n">
        <v>144</v>
      </c>
      <c r="E10" s="13" t="n">
        <v>189</v>
      </c>
      <c r="F10" s="13" t="n">
        <v>219</v>
      </c>
      <c r="G10" s="13" t="n">
        <v>243</v>
      </c>
    </row>
    <row r="11">
      <c r="B11" t="n">
        <v>2023</v>
      </c>
      <c r="C11" s="13" t="n">
        <v>89.59999999999999</v>
      </c>
      <c r="D11" s="13" t="n">
        <v>153.6</v>
      </c>
      <c r="E11" s="13" t="n">
        <v>201.6</v>
      </c>
      <c r="F11" s="13" t="n">
        <v>233.6</v>
      </c>
    </row>
    <row r="12">
      <c r="B12" t="n">
        <v>2024</v>
      </c>
      <c r="C12" s="13" t="n">
        <v>93.8</v>
      </c>
      <c r="D12" s="13" t="n">
        <v>160.8</v>
      </c>
      <c r="E12" s="13" t="n">
        <v>211.05</v>
      </c>
    </row>
    <row r="13">
      <c r="B13" t="n">
        <v>2025</v>
      </c>
      <c r="C13" s="13" t="n">
        <v>99.40000000000001</v>
      </c>
      <c r="D13" s="13" t="n">
        <v>170.4</v>
      </c>
    </row>
    <row r="14">
      <c r="B14" t="n">
        <v>2026</v>
      </c>
      <c r="C14" s="13" t="n">
        <v>105</v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N18"/>
  <sheetViews>
    <sheetView showGridLines="0"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2" ht="28" customHeight="1">
      <c r="B2" s="1" t="inlineStr">
        <is>
          <t>Chain-Ladder Reserve Development</t>
        </is>
      </c>
    </row>
    <row r="4">
      <c r="B4" s="8" t="inlineStr">
        <is>
          <t>Metric</t>
        </is>
      </c>
      <c r="C4" s="8" t="inlineStr">
        <is>
          <t>12m</t>
        </is>
      </c>
      <c r="D4" s="8" t="inlineStr">
        <is>
          <t>24m</t>
        </is>
      </c>
      <c r="E4" s="8" t="inlineStr">
        <is>
          <t>36m</t>
        </is>
      </c>
      <c r="F4" s="8" t="inlineStr">
        <is>
          <t>48m</t>
        </is>
      </c>
      <c r="G4" s="8" t="inlineStr">
        <is>
          <t>60m</t>
        </is>
      </c>
      <c r="H4" s="8" t="inlineStr">
        <is>
          <t>72m</t>
        </is>
      </c>
      <c r="I4" s="8" t="inlineStr">
        <is>
          <t>84m</t>
        </is>
      </c>
      <c r="J4" s="8" t="inlineStr">
        <is>
          <t>96m</t>
        </is>
      </c>
      <c r="K4" s="8" t="inlineStr">
        <is>
          <t>108m</t>
        </is>
      </c>
      <c r="L4" s="8" t="inlineStr">
        <is>
          <t>120m</t>
        </is>
      </c>
      <c r="M4" s="8" t="inlineStr">
        <is>
          <t>Ultimate</t>
        </is>
      </c>
      <c r="N4" s="8" t="inlineStr">
        <is>
          <t>Reserve</t>
        </is>
      </c>
    </row>
    <row r="5">
      <c r="B5" t="inlineStr">
        <is>
          <t>Selected age-to-age factor</t>
        </is>
      </c>
      <c r="C5" s="19">
        <f>IFERROR(SUM('Paid Triangle'!D5:D13)/SUM('Paid Triangle'!C5:C13),1)</f>
        <v/>
      </c>
      <c r="D5" s="19">
        <f>IFERROR(SUM('Paid Triangle'!E5:E12)/SUM('Paid Triangle'!D5:D12),1)</f>
        <v/>
      </c>
      <c r="E5" s="19">
        <f>IFERROR(SUM('Paid Triangle'!F5:F11)/SUM('Paid Triangle'!E5:E11),1)</f>
        <v/>
      </c>
      <c r="F5" s="19">
        <f>IFERROR(SUM('Paid Triangle'!G5:G10)/SUM('Paid Triangle'!F5:F10),1)</f>
        <v/>
      </c>
      <c r="G5" s="19">
        <f>IFERROR(SUM('Paid Triangle'!H5:H9)/SUM('Paid Triangle'!G5:G9),1)</f>
        <v/>
      </c>
      <c r="H5" s="19">
        <f>IFERROR(SUM('Paid Triangle'!I5:I8)/SUM('Paid Triangle'!H5:H8),1)</f>
        <v/>
      </c>
      <c r="I5" s="19">
        <f>IFERROR(SUM('Paid Triangle'!J5:J7)/SUM('Paid Triangle'!I5:I7),1)</f>
        <v/>
      </c>
      <c r="J5" s="19">
        <f>IFERROR(SUM('Paid Triangle'!K5:K6)/SUM('Paid Triangle'!J5:J6),1)</f>
        <v/>
      </c>
      <c r="K5" s="19">
        <f>IFERROR(SUM('Paid Triangle'!L5:L5)/SUM('Paid Triangle'!K5:K5),1)</f>
        <v/>
      </c>
      <c r="L5" s="19" t="n">
        <v>1</v>
      </c>
    </row>
    <row r="6">
      <c r="B6" t="inlineStr">
        <is>
          <t>Cumulative development factor</t>
        </is>
      </c>
      <c r="C6" s="19">
        <f>PRODUCT(C$5:$K$5)</f>
        <v/>
      </c>
      <c r="D6" s="19">
        <f>PRODUCT(D$5:$K$5)</f>
        <v/>
      </c>
      <c r="E6" s="19">
        <f>PRODUCT(E$5:$K$5)</f>
        <v/>
      </c>
      <c r="F6" s="19">
        <f>PRODUCT(F$5:$K$5)</f>
        <v/>
      </c>
      <c r="G6" s="19">
        <f>PRODUCT(G$5:$K$5)</f>
        <v/>
      </c>
      <c r="H6" s="19">
        <f>PRODUCT(H$5:$K$5)</f>
        <v/>
      </c>
      <c r="I6" s="19">
        <f>PRODUCT(I$5:$K$5)</f>
        <v/>
      </c>
      <c r="J6" s="19">
        <f>PRODUCT(J$5:$K$5)</f>
        <v/>
      </c>
      <c r="K6" s="19">
        <f>PRODUCT(K$5:$K$5)</f>
        <v/>
      </c>
      <c r="L6" s="19" t="n">
        <v>1</v>
      </c>
    </row>
    <row r="8">
      <c r="B8">
        <f>'Paid Triangle'!B5</f>
        <v/>
      </c>
      <c r="C8" s="14">
        <f>'Paid Triangle'!C5</f>
        <v/>
      </c>
      <c r="D8" s="14">
        <f>'Paid Triangle'!D5</f>
        <v/>
      </c>
      <c r="E8" s="14">
        <f>'Paid Triangle'!E5</f>
        <v/>
      </c>
      <c r="F8" s="14">
        <f>'Paid Triangle'!F5</f>
        <v/>
      </c>
      <c r="G8" s="14">
        <f>'Paid Triangle'!G5</f>
        <v/>
      </c>
      <c r="H8" s="14">
        <f>'Paid Triangle'!H5</f>
        <v/>
      </c>
      <c r="I8" s="14">
        <f>'Paid Triangle'!I5</f>
        <v/>
      </c>
      <c r="J8" s="14">
        <f>'Paid Triangle'!J5</f>
        <v/>
      </c>
      <c r="K8" s="14">
        <f>'Paid Triangle'!K5</f>
        <v/>
      </c>
      <c r="L8" s="14">
        <f>'Paid Triangle'!L5</f>
        <v/>
      </c>
      <c r="M8" s="14">
        <f>'Paid Triangle'!L5*L$6</f>
        <v/>
      </c>
      <c r="N8" s="14">
        <f>M8-'Paid Triangle'!L5</f>
        <v/>
      </c>
    </row>
    <row r="9">
      <c r="B9">
        <f>'Paid Triangle'!B6</f>
        <v/>
      </c>
      <c r="C9" s="14">
        <f>'Paid Triangle'!C6</f>
        <v/>
      </c>
      <c r="D9" s="14">
        <f>'Paid Triangle'!D6</f>
        <v/>
      </c>
      <c r="E9" s="14">
        <f>'Paid Triangle'!E6</f>
        <v/>
      </c>
      <c r="F9" s="14">
        <f>'Paid Triangle'!F6</f>
        <v/>
      </c>
      <c r="G9" s="14">
        <f>'Paid Triangle'!G6</f>
        <v/>
      </c>
      <c r="H9" s="14">
        <f>'Paid Triangle'!H6</f>
        <v/>
      </c>
      <c r="I9" s="14">
        <f>'Paid Triangle'!I6</f>
        <v/>
      </c>
      <c r="J9" s="14">
        <f>'Paid Triangle'!J6</f>
        <v/>
      </c>
      <c r="K9" s="14">
        <f>'Paid Triangle'!K6</f>
        <v/>
      </c>
      <c r="M9" s="14">
        <f>'Paid Triangle'!K6*K$6</f>
        <v/>
      </c>
      <c r="N9" s="14">
        <f>M9-'Paid Triangle'!K6</f>
        <v/>
      </c>
    </row>
    <row r="10">
      <c r="B10">
        <f>'Paid Triangle'!B7</f>
        <v/>
      </c>
      <c r="C10" s="14">
        <f>'Paid Triangle'!C7</f>
        <v/>
      </c>
      <c r="D10" s="14">
        <f>'Paid Triangle'!D7</f>
        <v/>
      </c>
      <c r="E10" s="14">
        <f>'Paid Triangle'!E7</f>
        <v/>
      </c>
      <c r="F10" s="14">
        <f>'Paid Triangle'!F7</f>
        <v/>
      </c>
      <c r="G10" s="14">
        <f>'Paid Triangle'!G7</f>
        <v/>
      </c>
      <c r="H10" s="14">
        <f>'Paid Triangle'!H7</f>
        <v/>
      </c>
      <c r="I10" s="14">
        <f>'Paid Triangle'!I7</f>
        <v/>
      </c>
      <c r="J10" s="14">
        <f>'Paid Triangle'!J7</f>
        <v/>
      </c>
      <c r="M10" s="14">
        <f>'Paid Triangle'!J7*J$6</f>
        <v/>
      </c>
      <c r="N10" s="14">
        <f>M10-'Paid Triangle'!J7</f>
        <v/>
      </c>
    </row>
    <row r="11">
      <c r="B11">
        <f>'Paid Triangle'!B8</f>
        <v/>
      </c>
      <c r="C11" s="14">
        <f>'Paid Triangle'!C8</f>
        <v/>
      </c>
      <c r="D11" s="14">
        <f>'Paid Triangle'!D8</f>
        <v/>
      </c>
      <c r="E11" s="14">
        <f>'Paid Triangle'!E8</f>
        <v/>
      </c>
      <c r="F11" s="14">
        <f>'Paid Triangle'!F8</f>
        <v/>
      </c>
      <c r="G11" s="14">
        <f>'Paid Triangle'!G8</f>
        <v/>
      </c>
      <c r="H11" s="14">
        <f>'Paid Triangle'!H8</f>
        <v/>
      </c>
      <c r="I11" s="14">
        <f>'Paid Triangle'!I8</f>
        <v/>
      </c>
      <c r="M11" s="14">
        <f>'Paid Triangle'!I8*I$6</f>
        <v/>
      </c>
      <c r="N11" s="14">
        <f>M11-'Paid Triangle'!I8</f>
        <v/>
      </c>
    </row>
    <row r="12">
      <c r="B12">
        <f>'Paid Triangle'!B9</f>
        <v/>
      </c>
      <c r="C12" s="14">
        <f>'Paid Triangle'!C9</f>
        <v/>
      </c>
      <c r="D12" s="14">
        <f>'Paid Triangle'!D9</f>
        <v/>
      </c>
      <c r="E12" s="14">
        <f>'Paid Triangle'!E9</f>
        <v/>
      </c>
      <c r="F12" s="14">
        <f>'Paid Triangle'!F9</f>
        <v/>
      </c>
      <c r="G12" s="14">
        <f>'Paid Triangle'!G9</f>
        <v/>
      </c>
      <c r="H12" s="14">
        <f>'Paid Triangle'!H9</f>
        <v/>
      </c>
      <c r="M12" s="14">
        <f>'Paid Triangle'!H9*H$6</f>
        <v/>
      </c>
      <c r="N12" s="14">
        <f>M12-'Paid Triangle'!H9</f>
        <v/>
      </c>
    </row>
    <row r="13">
      <c r="B13">
        <f>'Paid Triangle'!B10</f>
        <v/>
      </c>
      <c r="C13" s="14">
        <f>'Paid Triangle'!C10</f>
        <v/>
      </c>
      <c r="D13" s="14">
        <f>'Paid Triangle'!D10</f>
        <v/>
      </c>
      <c r="E13" s="14">
        <f>'Paid Triangle'!E10</f>
        <v/>
      </c>
      <c r="F13" s="14">
        <f>'Paid Triangle'!F10</f>
        <v/>
      </c>
      <c r="G13" s="14">
        <f>'Paid Triangle'!G10</f>
        <v/>
      </c>
      <c r="M13" s="14">
        <f>'Paid Triangle'!G10*G$6</f>
        <v/>
      </c>
      <c r="N13" s="14">
        <f>M13-'Paid Triangle'!G10</f>
        <v/>
      </c>
    </row>
    <row r="14">
      <c r="B14">
        <f>'Paid Triangle'!B11</f>
        <v/>
      </c>
      <c r="C14" s="14">
        <f>'Paid Triangle'!C11</f>
        <v/>
      </c>
      <c r="D14" s="14">
        <f>'Paid Triangle'!D11</f>
        <v/>
      </c>
      <c r="E14" s="14">
        <f>'Paid Triangle'!E11</f>
        <v/>
      </c>
      <c r="F14" s="14">
        <f>'Paid Triangle'!F11</f>
        <v/>
      </c>
      <c r="M14" s="14">
        <f>'Paid Triangle'!F11*F$6</f>
        <v/>
      </c>
      <c r="N14" s="14">
        <f>M14-'Paid Triangle'!F11</f>
        <v/>
      </c>
    </row>
    <row r="15">
      <c r="B15">
        <f>'Paid Triangle'!B12</f>
        <v/>
      </c>
      <c r="C15" s="14">
        <f>'Paid Triangle'!C12</f>
        <v/>
      </c>
      <c r="D15" s="14">
        <f>'Paid Triangle'!D12</f>
        <v/>
      </c>
      <c r="E15" s="14">
        <f>'Paid Triangle'!E12</f>
        <v/>
      </c>
      <c r="M15" s="14">
        <f>'Paid Triangle'!E12*E$6</f>
        <v/>
      </c>
      <c r="N15" s="14">
        <f>M15-'Paid Triangle'!E12</f>
        <v/>
      </c>
    </row>
    <row r="16">
      <c r="B16">
        <f>'Paid Triangle'!B13</f>
        <v/>
      </c>
      <c r="C16" s="14">
        <f>'Paid Triangle'!C13</f>
        <v/>
      </c>
      <c r="D16" s="14">
        <f>'Paid Triangle'!D13</f>
        <v/>
      </c>
      <c r="M16" s="14">
        <f>'Paid Triangle'!D13*D$6</f>
        <v/>
      </c>
      <c r="N16" s="14">
        <f>M16-'Paid Triangle'!D13</f>
        <v/>
      </c>
    </row>
    <row r="17">
      <c r="B17">
        <f>'Paid Triangle'!B14</f>
        <v/>
      </c>
      <c r="C17" s="14">
        <f>'Paid Triangle'!C14</f>
        <v/>
      </c>
      <c r="M17" s="14">
        <f>'Paid Triangle'!C14*C$6</f>
        <v/>
      </c>
      <c r="N17" s="14">
        <f>M17-'Paid Triangle'!C14</f>
        <v/>
      </c>
    </row>
    <row r="18">
      <c r="B18" s="20" t="inlineStr">
        <is>
          <t>Total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>
        <f>SUM(M8:M17)</f>
        <v/>
      </c>
      <c r="N18" s="21">
        <f>SUM(N8:N17)</f>
        <v/>
      </c>
    </row>
  </sheetData>
  <mergeCells count="1"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8" customWidth="1" min="3" max="3"/>
    <col width="1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2" ht="28" customHeight="1">
      <c r="B2" s="1" t="inlineStr">
        <is>
          <t>Bornhuetter-Ferguson Reserve Estimate</t>
        </is>
      </c>
    </row>
    <row r="4">
      <c r="B4" s="8" t="inlineStr">
        <is>
          <t>Accident year</t>
        </is>
      </c>
      <c r="C4" s="8" t="inlineStr">
        <is>
          <t>Earned premium</t>
        </is>
      </c>
      <c r="D4" s="8" t="inlineStr">
        <is>
          <t>Expected loss</t>
        </is>
      </c>
      <c r="E4" s="8" t="inlineStr">
        <is>
          <t>% paid</t>
        </is>
      </c>
      <c r="F4" s="8" t="inlineStr">
        <is>
          <t>Paid to date</t>
        </is>
      </c>
      <c r="G4" s="8" t="inlineStr">
        <is>
          <t>BF ultimate</t>
        </is>
      </c>
      <c r="H4" s="8" t="inlineStr">
        <is>
          <t>BF reserve</t>
        </is>
      </c>
    </row>
    <row r="5">
      <c r="B5">
        <f>'Chain Ladder'!B8</f>
        <v/>
      </c>
      <c r="C5" s="13" t="n">
        <v>400</v>
      </c>
      <c r="D5" s="14">
        <f>C5*Assumptions!$E$5*(1+Assumptions!$E$8)^0</f>
        <v/>
      </c>
      <c r="E5" s="12">
        <f>1/'Chain Ladder'!L$6</f>
        <v/>
      </c>
      <c r="F5" s="14">
        <f>'Paid Triangle'!L5</f>
        <v/>
      </c>
      <c r="G5" s="14">
        <f>F5+D5*(1-E5)</f>
        <v/>
      </c>
      <c r="H5" s="14">
        <f>G5-F5</f>
        <v/>
      </c>
    </row>
    <row r="6">
      <c r="B6">
        <f>'Chain Ladder'!B9</f>
        <v/>
      </c>
      <c r="C6" s="13" t="n">
        <v>425</v>
      </c>
      <c r="D6" s="14">
        <f>C6*Assumptions!$E$5*(1+Assumptions!$E$8)^1</f>
        <v/>
      </c>
      <c r="E6" s="12">
        <f>1/'Chain Ladder'!K$6</f>
        <v/>
      </c>
      <c r="F6" s="14">
        <f>'Paid Triangle'!K6</f>
        <v/>
      </c>
      <c r="G6" s="14">
        <f>F6+D6*(1-E6)</f>
        <v/>
      </c>
      <c r="H6" s="14">
        <f>G6-F6</f>
        <v/>
      </c>
    </row>
    <row r="7">
      <c r="B7">
        <f>'Chain Ladder'!B10</f>
        <v/>
      </c>
      <c r="C7" s="13" t="n">
        <v>450</v>
      </c>
      <c r="D7" s="14">
        <f>C7*Assumptions!$E$5*(1+Assumptions!$E$8)^2</f>
        <v/>
      </c>
      <c r="E7" s="12">
        <f>1/'Chain Ladder'!J$6</f>
        <v/>
      </c>
      <c r="F7" s="14">
        <f>'Paid Triangle'!J7</f>
        <v/>
      </c>
      <c r="G7" s="14">
        <f>F7+D7*(1-E7)</f>
        <v/>
      </c>
      <c r="H7" s="14">
        <f>G7-F7</f>
        <v/>
      </c>
    </row>
    <row r="8">
      <c r="B8">
        <f>'Chain Ladder'!B11</f>
        <v/>
      </c>
      <c r="C8" s="13" t="n">
        <v>475</v>
      </c>
      <c r="D8" s="14">
        <f>C8*Assumptions!$E$5*(1+Assumptions!$E$8)^3</f>
        <v/>
      </c>
      <c r="E8" s="12">
        <f>1/'Chain Ladder'!I$6</f>
        <v/>
      </c>
      <c r="F8" s="14">
        <f>'Paid Triangle'!I8</f>
        <v/>
      </c>
      <c r="G8" s="14">
        <f>F8+D8*(1-E8)</f>
        <v/>
      </c>
      <c r="H8" s="14">
        <f>G8-F8</f>
        <v/>
      </c>
    </row>
    <row r="9">
      <c r="B9">
        <f>'Chain Ladder'!B12</f>
        <v/>
      </c>
      <c r="C9" s="13" t="n">
        <v>500</v>
      </c>
      <c r="D9" s="14">
        <f>C9*Assumptions!$E$5*(1+Assumptions!$E$8)^4</f>
        <v/>
      </c>
      <c r="E9" s="12">
        <f>1/'Chain Ladder'!H$6</f>
        <v/>
      </c>
      <c r="F9" s="14">
        <f>'Paid Triangle'!H9</f>
        <v/>
      </c>
      <c r="G9" s="14">
        <f>F9+D9*(1-E9)</f>
        <v/>
      </c>
      <c r="H9" s="14">
        <f>G9-F9</f>
        <v/>
      </c>
    </row>
    <row r="10">
      <c r="B10">
        <f>'Chain Ladder'!B13</f>
        <v/>
      </c>
      <c r="C10" s="13" t="n">
        <v>525</v>
      </c>
      <c r="D10" s="14">
        <f>C10*Assumptions!$E$5*(1+Assumptions!$E$8)^5</f>
        <v/>
      </c>
      <c r="E10" s="12">
        <f>1/'Chain Ladder'!G$6</f>
        <v/>
      </c>
      <c r="F10" s="14">
        <f>'Paid Triangle'!G10</f>
        <v/>
      </c>
      <c r="G10" s="14">
        <f>F10+D10*(1-E10)</f>
        <v/>
      </c>
      <c r="H10" s="14">
        <f>G10-F10</f>
        <v/>
      </c>
    </row>
    <row r="11">
      <c r="B11">
        <f>'Chain Ladder'!B14</f>
        <v/>
      </c>
      <c r="C11" s="13" t="n">
        <v>550</v>
      </c>
      <c r="D11" s="14">
        <f>C11*Assumptions!$E$5*(1+Assumptions!$E$8)^6</f>
        <v/>
      </c>
      <c r="E11" s="12">
        <f>1/'Chain Ladder'!F$6</f>
        <v/>
      </c>
      <c r="F11" s="14">
        <f>'Paid Triangle'!F11</f>
        <v/>
      </c>
      <c r="G11" s="14">
        <f>F11+D11*(1-E11)</f>
        <v/>
      </c>
      <c r="H11" s="14">
        <f>G11-F11</f>
        <v/>
      </c>
    </row>
    <row r="12">
      <c r="B12">
        <f>'Chain Ladder'!B15</f>
        <v/>
      </c>
      <c r="C12" s="13" t="n">
        <v>575</v>
      </c>
      <c r="D12" s="14">
        <f>C12*Assumptions!$E$5*(1+Assumptions!$E$8)^7</f>
        <v/>
      </c>
      <c r="E12" s="12">
        <f>1/'Chain Ladder'!E$6</f>
        <v/>
      </c>
      <c r="F12" s="14">
        <f>'Paid Triangle'!E12</f>
        <v/>
      </c>
      <c r="G12" s="14">
        <f>F12+D12*(1-E12)</f>
        <v/>
      </c>
      <c r="H12" s="14">
        <f>G12-F12</f>
        <v/>
      </c>
    </row>
    <row r="13">
      <c r="B13">
        <f>'Chain Ladder'!B16</f>
        <v/>
      </c>
      <c r="C13" s="13" t="n">
        <v>600</v>
      </c>
      <c r="D13" s="14">
        <f>C13*Assumptions!$E$5*(1+Assumptions!$E$8)^8</f>
        <v/>
      </c>
      <c r="E13" s="12">
        <f>1/'Chain Ladder'!D$6</f>
        <v/>
      </c>
      <c r="F13" s="14">
        <f>'Paid Triangle'!D13</f>
        <v/>
      </c>
      <c r="G13" s="14">
        <f>F13+D13*(1-E13)</f>
        <v/>
      </c>
      <c r="H13" s="14">
        <f>G13-F13</f>
        <v/>
      </c>
    </row>
    <row r="14">
      <c r="B14">
        <f>'Chain Ladder'!B17</f>
        <v/>
      </c>
      <c r="C14" s="13" t="n">
        <v>625</v>
      </c>
      <c r="D14" s="14">
        <f>C14*Assumptions!$E$5*(1+Assumptions!$E$8)^9</f>
        <v/>
      </c>
      <c r="E14" s="12">
        <f>1/'Chain Ladder'!C$6</f>
        <v/>
      </c>
      <c r="F14" s="14">
        <f>'Paid Triangle'!C14</f>
        <v/>
      </c>
      <c r="G14" s="14">
        <f>F14+D14*(1-E14)</f>
        <v/>
      </c>
      <c r="H14" s="14">
        <f>G14-F14</f>
        <v/>
      </c>
    </row>
    <row r="15">
      <c r="B15" s="20" t="inlineStr">
        <is>
          <t>Total</t>
        </is>
      </c>
      <c r="C15" s="21">
        <f>SUM(C5:C14)</f>
        <v/>
      </c>
      <c r="D15" s="21">
        <f>SUM(D5:D14)</f>
        <v/>
      </c>
      <c r="E15" s="21" t="n"/>
      <c r="F15" s="21">
        <f>SUM(F5:F14)</f>
        <v/>
      </c>
      <c r="G15" s="21">
        <f>SUM(G5:G14)</f>
        <v/>
      </c>
      <c r="H15" s="21">
        <f>SUM(H5:H14)</f>
        <v/>
      </c>
    </row>
  </sheetData>
  <mergeCells count="1">
    <mergeCell ref="B2:H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2" ht="28" customHeight="1">
      <c r="B2" s="1" t="inlineStr">
        <is>
          <t>Five-Year Underwriting Forecast</t>
        </is>
      </c>
    </row>
    <row r="4">
      <c r="B4" s="8" t="inlineStr">
        <is>
          <t>$mm / %</t>
        </is>
      </c>
      <c r="C4" s="8" t="inlineStr">
        <is>
          <t>Year 1</t>
        </is>
      </c>
      <c r="D4" s="8" t="inlineStr">
        <is>
          <t>Year 2</t>
        </is>
      </c>
      <c r="E4" s="8" t="inlineStr">
        <is>
          <t>Year 3</t>
        </is>
      </c>
      <c r="F4" s="8" t="inlineStr">
        <is>
          <t>Year 4</t>
        </is>
      </c>
      <c r="G4" s="8" t="inlineStr">
        <is>
          <t>Year 5</t>
        </is>
      </c>
    </row>
    <row r="5">
      <c r="B5" t="inlineStr">
        <is>
          <t>Earned premium</t>
        </is>
      </c>
      <c r="C5" s="14">
        <f>Assumptions!E11</f>
        <v/>
      </c>
      <c r="D5" s="14">
        <f>C5*(1+Assumptions!$E$7)</f>
        <v/>
      </c>
      <c r="E5" s="14">
        <f>D5*(1+Assumptions!$E$7)</f>
        <v/>
      </c>
      <c r="F5" s="14">
        <f>E5*(1+Assumptions!$E$7)</f>
        <v/>
      </c>
      <c r="G5" s="14">
        <f>F5*(1+Assumptions!$E$7)</f>
        <v/>
      </c>
    </row>
    <row r="6">
      <c r="B6" t="inlineStr">
        <is>
          <t>Incurred losses</t>
        </is>
      </c>
      <c r="C6" s="14">
        <f>C5*Assumptions!$E$5*(1+Assumptions!$E$8)^0</f>
        <v/>
      </c>
      <c r="D6" s="14">
        <f>D5*Assumptions!$E$5*(1+Assumptions!$E$8)^1</f>
        <v/>
      </c>
      <c r="E6" s="14">
        <f>E5*Assumptions!$E$5*(1+Assumptions!$E$8)^2</f>
        <v/>
      </c>
      <c r="F6" s="14">
        <f>F5*Assumptions!$E$5*(1+Assumptions!$E$8)^3</f>
        <v/>
      </c>
      <c r="G6" s="14">
        <f>G5*Assumptions!$E$5*(1+Assumptions!$E$8)^4</f>
        <v/>
      </c>
    </row>
    <row r="7">
      <c r="B7" t="inlineStr">
        <is>
          <t>Underwriting expenses</t>
        </is>
      </c>
      <c r="C7" s="14">
        <f>C5*Assumptions!$E$6</f>
        <v/>
      </c>
      <c r="D7" s="14">
        <f>D5*Assumptions!$E$6</f>
        <v/>
      </c>
      <c r="E7" s="14">
        <f>E5*Assumptions!$E$6</f>
        <v/>
      </c>
      <c r="F7" s="14">
        <f>F5*Assumptions!$E$6</f>
        <v/>
      </c>
      <c r="G7" s="14">
        <f>G5*Assumptions!$E$6</f>
        <v/>
      </c>
    </row>
    <row r="8">
      <c r="B8" s="20" t="inlineStr">
        <is>
          <t>Underwriting result</t>
        </is>
      </c>
      <c r="C8" s="21">
        <f>C5-C6-C7</f>
        <v/>
      </c>
      <c r="D8" s="21">
        <f>D5-D6-D7</f>
        <v/>
      </c>
      <c r="E8" s="21">
        <f>E5-E6-E7</f>
        <v/>
      </c>
      <c r="F8" s="21">
        <f>F5-F6-F7</f>
        <v/>
      </c>
      <c r="G8" s="21">
        <f>G5-G6-G7</f>
        <v/>
      </c>
    </row>
    <row r="9">
      <c r="B9" t="inlineStr">
        <is>
          <t>Loss ratio</t>
        </is>
      </c>
      <c r="C9" s="12">
        <f>IFERROR(C6/C5,0)</f>
        <v/>
      </c>
      <c r="D9" s="12">
        <f>IFERROR(D6/D5,0)</f>
        <v/>
      </c>
      <c r="E9" s="12">
        <f>IFERROR(E6/E5,0)</f>
        <v/>
      </c>
      <c r="F9" s="12">
        <f>IFERROR(F6/F5,0)</f>
        <v/>
      </c>
      <c r="G9" s="12">
        <f>IFERROR(G6/G5,0)</f>
        <v/>
      </c>
    </row>
    <row r="10">
      <c r="B10" t="inlineStr">
        <is>
          <t>Expense ratio</t>
        </is>
      </c>
      <c r="C10" s="12">
        <f>IFERROR(C7/C5,0)</f>
        <v/>
      </c>
      <c r="D10" s="12">
        <f>IFERROR(D7/D5,0)</f>
        <v/>
      </c>
      <c r="E10" s="12">
        <f>IFERROR(E7/E5,0)</f>
        <v/>
      </c>
      <c r="F10" s="12">
        <f>IFERROR(F7/F5,0)</f>
        <v/>
      </c>
      <c r="G10" s="12">
        <f>IFERROR(G7/G5,0)</f>
        <v/>
      </c>
    </row>
    <row r="11">
      <c r="B11" t="inlineStr">
        <is>
          <t>Combined ratio</t>
        </is>
      </c>
      <c r="C11" s="12">
        <f>C9+C10</f>
        <v/>
      </c>
      <c r="D11" s="12">
        <f>D9+D10</f>
        <v/>
      </c>
      <c r="E11" s="12">
        <f>E9+E10</f>
        <v/>
      </c>
      <c r="F11" s="12">
        <f>F9+F10</f>
        <v/>
      </c>
      <c r="G11" s="12">
        <f>G9+G10</f>
        <v/>
      </c>
    </row>
    <row r="12">
      <c r="B12" t="inlineStr">
        <is>
          <t>Investment income</t>
        </is>
      </c>
      <c r="C12" s="14">
        <f>Assumptions!$E$12*Assumptions!$E$13</f>
        <v/>
      </c>
      <c r="D12" s="14">
        <f>Assumptions!$E$12*Assumptions!$E$13</f>
        <v/>
      </c>
      <c r="E12" s="14">
        <f>Assumptions!$E$12*Assumptions!$E$13</f>
        <v/>
      </c>
      <c r="F12" s="14">
        <f>Assumptions!$E$12*Assumptions!$E$13</f>
        <v/>
      </c>
      <c r="G12" s="14">
        <f>Assumptions!$E$12*Assumptions!$E$13</f>
        <v/>
      </c>
    </row>
    <row r="13">
      <c r="B13" s="20" t="inlineStr">
        <is>
          <t>Pre-tax operating income</t>
        </is>
      </c>
      <c r="C13" s="21">
        <f>C8+C12</f>
        <v/>
      </c>
      <c r="D13" s="21">
        <f>D8+D12</f>
        <v/>
      </c>
      <c r="E13" s="21">
        <f>E8+E12</f>
        <v/>
      </c>
      <c r="F13" s="21">
        <f>F8+F12</f>
        <v/>
      </c>
      <c r="G13" s="21">
        <f>G8+G12</f>
        <v/>
      </c>
    </row>
  </sheetData>
  <mergeCells count="1">
    <mergeCell ref="B2:G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G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2" ht="28" customHeight="1">
      <c r="B2" s="1" t="inlineStr">
        <is>
          <t>Simplified Embedded Value</t>
        </is>
      </c>
    </row>
    <row r="4">
      <c r="B4" s="8" t="inlineStr">
        <is>
          <t>Metric</t>
        </is>
      </c>
      <c r="C4" s="8" t="inlineStr">
        <is>
          <t>Year 1</t>
        </is>
      </c>
      <c r="D4" s="8" t="inlineStr">
        <is>
          <t>Year 2</t>
        </is>
      </c>
      <c r="E4" s="8" t="inlineStr">
        <is>
          <t>Year 3</t>
        </is>
      </c>
      <c r="F4" s="8" t="inlineStr">
        <is>
          <t>Year 4</t>
        </is>
      </c>
      <c r="G4" s="8" t="inlineStr">
        <is>
          <t>Year 5</t>
        </is>
      </c>
    </row>
    <row r="5">
      <c r="B5" t="inlineStr">
        <is>
          <t>Pre-tax operating income</t>
        </is>
      </c>
      <c r="C5" s="14">
        <f>Underwriting!C13</f>
        <v/>
      </c>
      <c r="D5" s="14">
        <f>Underwriting!D13</f>
        <v/>
      </c>
      <c r="E5" s="14">
        <f>Underwriting!E13</f>
        <v/>
      </c>
      <c r="F5" s="14">
        <f>Underwriting!F13</f>
        <v/>
      </c>
      <c r="G5" s="14">
        <f>Underwriting!G13</f>
        <v/>
      </c>
    </row>
    <row r="6">
      <c r="B6" t="inlineStr">
        <is>
          <t>Tax at 25%</t>
        </is>
      </c>
      <c r="C6" s="14">
        <f>MAX(0,C5*0.25)</f>
        <v/>
      </c>
      <c r="D6" s="14">
        <f>MAX(0,D5*0.25)</f>
        <v/>
      </c>
      <c r="E6" s="14">
        <f>MAX(0,E5*0.25)</f>
        <v/>
      </c>
      <c r="F6" s="14">
        <f>MAX(0,F5*0.25)</f>
        <v/>
      </c>
      <c r="G6" s="14">
        <f>MAX(0,G5*0.25)</f>
        <v/>
      </c>
    </row>
    <row r="7">
      <c r="B7" t="inlineStr">
        <is>
          <t>After-tax distributable earnings</t>
        </is>
      </c>
      <c r="C7" s="14">
        <f>C5-C6</f>
        <v/>
      </c>
      <c r="D7" s="14">
        <f>D5-D6</f>
        <v/>
      </c>
      <c r="E7" s="14">
        <f>E5-E6</f>
        <v/>
      </c>
      <c r="F7" s="14">
        <f>F5-F6</f>
        <v/>
      </c>
      <c r="G7" s="14">
        <f>G5-G6</f>
        <v/>
      </c>
    </row>
    <row r="8">
      <c r="B8" t="inlineStr">
        <is>
          <t>Risk margin charge</t>
        </is>
      </c>
      <c r="C8" s="14">
        <f>'Bornhuetter-Ferguson'!$H$15*Assumptions!$E$10*Assumptions!$E$19</f>
        <v/>
      </c>
      <c r="D8" s="14">
        <f>'Bornhuetter-Ferguson'!$H$15*Assumptions!$E$10*Assumptions!$E$19</f>
        <v/>
      </c>
      <c r="E8" s="14">
        <f>'Bornhuetter-Ferguson'!$H$15*Assumptions!$E$10*Assumptions!$E$19</f>
        <v/>
      </c>
      <c r="F8" s="14">
        <f>'Bornhuetter-Ferguson'!$H$15*Assumptions!$E$10*Assumptions!$E$19</f>
        <v/>
      </c>
      <c r="G8" s="14">
        <f>'Bornhuetter-Ferguson'!$H$15*Assumptions!$E$10*Assumptions!$E$19</f>
        <v/>
      </c>
    </row>
    <row r="9">
      <c r="B9" t="inlineStr">
        <is>
          <t>Economic earnings</t>
        </is>
      </c>
      <c r="C9" s="14">
        <f>C7-C8</f>
        <v/>
      </c>
      <c r="D9" s="14">
        <f>D7-D8</f>
        <v/>
      </c>
      <c r="E9" s="14">
        <f>E7-E8</f>
        <v/>
      </c>
      <c r="F9" s="14">
        <f>F7-F8</f>
        <v/>
      </c>
      <c r="G9" s="14">
        <f>G7-G8</f>
        <v/>
      </c>
    </row>
    <row r="10">
      <c r="B10" t="inlineStr">
        <is>
          <t>Discount factor</t>
        </is>
      </c>
      <c r="C10" s="22">
        <f>1/(1+Assumptions!$E$9)^1</f>
        <v/>
      </c>
      <c r="D10" s="22">
        <f>1/(1+Assumptions!$E$9)^2</f>
        <v/>
      </c>
      <c r="E10" s="22">
        <f>1/(1+Assumptions!$E$9)^3</f>
        <v/>
      </c>
      <c r="F10" s="22">
        <f>1/(1+Assumptions!$E$9)^4</f>
        <v/>
      </c>
      <c r="G10" s="22">
        <f>1/(1+Assumptions!$E$9)^5</f>
        <v/>
      </c>
    </row>
    <row r="11">
      <c r="B11" t="inlineStr">
        <is>
          <t>PV economic earnings</t>
        </is>
      </c>
      <c r="C11" s="14">
        <f>C9*C10</f>
        <v/>
      </c>
      <c r="D11" s="14">
        <f>D9*D10</f>
        <v/>
      </c>
      <c r="E11" s="14">
        <f>E9*E10</f>
        <v/>
      </c>
      <c r="F11" s="14">
        <f>F9*F10</f>
        <v/>
      </c>
      <c r="G11" s="14">
        <f>G9*G10</f>
        <v/>
      </c>
    </row>
    <row r="13">
      <c r="B13" t="inlineStr">
        <is>
          <t>Adjusted net asset value</t>
        </is>
      </c>
      <c r="C13" s="14">
        <f>Assumptions!E14-'Bornhuetter-Ferguson'!H15*(1+Assumptions!E10)</f>
        <v/>
      </c>
    </row>
    <row r="14">
      <c r="B14" t="inlineStr">
        <is>
          <t>Present value of future economic earnings</t>
        </is>
      </c>
      <c r="C14" s="14">
        <f>SUM(C11:G11)</f>
        <v/>
      </c>
    </row>
    <row r="15">
      <c r="B15" t="inlineStr">
        <is>
          <t>Embedded value</t>
        </is>
      </c>
      <c r="C15" s="14">
        <f>C13+C14</f>
        <v/>
      </c>
    </row>
  </sheetData>
  <mergeCells count="1">
    <mergeCell ref="B2:G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8" customWidth="1" min="3" max="3"/>
    <col width="16" customWidth="1" min="4" max="4"/>
    <col width="18" customWidth="1" min="5" max="5"/>
  </cols>
  <sheetData>
    <row r="2" ht="28" customHeight="1">
      <c r="B2" s="1" t="inlineStr">
        <is>
          <t>Economic and Regulatory Capital Screen</t>
        </is>
      </c>
    </row>
    <row r="4">
      <c r="B4" s="8" t="inlineStr">
        <is>
          <t>Capital component</t>
        </is>
      </c>
      <c r="C4" s="8" t="inlineStr">
        <is>
          <t>Exposure</t>
        </is>
      </c>
      <c r="D4" s="8" t="inlineStr">
        <is>
          <t>Factor</t>
        </is>
      </c>
      <c r="E4" s="8" t="inlineStr">
        <is>
          <t>Requirement</t>
        </is>
      </c>
    </row>
    <row r="5">
      <c r="B5" t="inlineStr">
        <is>
          <t>Premium risk</t>
        </is>
      </c>
      <c r="C5" s="14">
        <f>Underwriting!C5</f>
        <v/>
      </c>
      <c r="D5" s="10">
        <f>Assumptions!E15</f>
        <v/>
      </c>
      <c r="E5" s="14">
        <f>C5*D5</f>
        <v/>
      </c>
    </row>
    <row r="6">
      <c r="B6" t="inlineStr">
        <is>
          <t>Reserve risk</t>
        </is>
      </c>
      <c r="C6" s="14">
        <f>'Bornhuetter-Ferguson'!H15</f>
        <v/>
      </c>
      <c r="D6" s="10">
        <f>Assumptions!E16</f>
        <v/>
      </c>
      <c r="E6" s="14">
        <f>C6*D6</f>
        <v/>
      </c>
    </row>
    <row r="7">
      <c r="B7" t="inlineStr">
        <is>
          <t>Asset risk</t>
        </is>
      </c>
      <c r="C7" s="14">
        <f>Assumptions!E12</f>
        <v/>
      </c>
      <c r="D7" s="10">
        <f>Assumptions!E17</f>
        <v/>
      </c>
      <c r="E7" s="14">
        <f>C7*D7</f>
        <v/>
      </c>
    </row>
    <row r="9">
      <c r="B9" t="inlineStr">
        <is>
          <t>Diversified capital requirement</t>
        </is>
      </c>
      <c r="E9" s="14">
        <f>SQRT(SUMSQ(E5:E7)+2*0.25*(E5*E6+E5*E7+E6*E7))</f>
        <v/>
      </c>
    </row>
    <row r="10">
      <c r="B10" t="inlineStr">
        <is>
          <t>Available capital</t>
        </is>
      </c>
      <c r="E10" s="14">
        <f>Assumptions!E14</f>
        <v/>
      </c>
    </row>
    <row r="11">
      <c r="B11" t="inlineStr">
        <is>
          <t>Capital coverage</t>
        </is>
      </c>
      <c r="E11" s="16">
        <f>IFERROR(E10/E9,0)</f>
        <v/>
      </c>
    </row>
    <row r="12">
      <c r="B12" t="inlineStr">
        <is>
          <t>Minimum coverage</t>
        </is>
      </c>
      <c r="E12" s="16">
        <f>Assumptions!E18</f>
        <v/>
      </c>
    </row>
    <row r="13">
      <c r="B13" t="inlineStr">
        <is>
          <t>Capital status</t>
        </is>
      </c>
      <c r="E13">
        <f>IF(E11&gt;=E12,"PASS","BREACH")</f>
        <v/>
      </c>
    </row>
  </sheetData>
  <mergeCells count="1">
    <mergeCell ref="B2:E2"/>
  </mergeCells>
  <conditionalFormatting sqref="E13">
    <cfRule type="expression" priority="1" dxfId="0">
      <formula>E13="PASS"</formula>
    </cfRule>
    <cfRule type="expression" priority="2" dxfId="1">
      <formula>E13="FAIL"</formula>
    </cfRule>
    <cfRule type="expression" priority="3" dxfId="2">
      <formula>E13="REVIEW"</formula>
    </cfRule>
    <cfRule type="expression" priority="4" dxfId="1">
      <formula>E13="BREACH"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G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 ht="28" customHeight="1">
      <c r="B2" s="1" t="inlineStr">
        <is>
          <t>Reserve and Capital Stress Matrix</t>
        </is>
      </c>
    </row>
    <row r="4">
      <c r="B4" s="8" t="inlineStr">
        <is>
          <t>Loss ratio / Asset shock</t>
        </is>
      </c>
      <c r="C4" s="23" t="n">
        <v>-0.2</v>
      </c>
      <c r="D4" s="23" t="n">
        <v>-0.1</v>
      </c>
      <c r="E4" s="23" t="n">
        <v>0</v>
      </c>
      <c r="F4" s="23" t="n">
        <v>0.1</v>
      </c>
      <c r="G4" s="23" t="n">
        <v>0.2</v>
      </c>
    </row>
    <row r="5">
      <c r="B5" s="10" t="n">
        <v>0</v>
      </c>
      <c r="C5" s="16">
        <f>(Assumptions!$E$14*(1+C$4)-'Bornhuetter-Ferguson'!$H$15*(1+$B5))/Capital!$E$9</f>
        <v/>
      </c>
      <c r="D5" s="16">
        <f>(Assumptions!$E$14*(1+D$4)-'Bornhuetter-Ferguson'!$H$15*(1+$B5))/Capital!$E$9</f>
        <v/>
      </c>
      <c r="E5" s="16">
        <f>(Assumptions!$E$14*(1+E$4)-'Bornhuetter-Ferguson'!$H$15*(1+$B5))/Capital!$E$9</f>
        <v/>
      </c>
      <c r="F5" s="16">
        <f>(Assumptions!$E$14*(1+F$4)-'Bornhuetter-Ferguson'!$H$15*(1+$B5))/Capital!$E$9</f>
        <v/>
      </c>
      <c r="G5" s="16">
        <f>(Assumptions!$E$14*(1+G$4)-'Bornhuetter-Ferguson'!$H$15*(1+$B5))/Capital!$E$9</f>
        <v/>
      </c>
    </row>
    <row r="6">
      <c r="B6" s="10" t="n">
        <v>0.05</v>
      </c>
      <c r="C6" s="16">
        <f>(Assumptions!$E$14*(1+C$4)-'Bornhuetter-Ferguson'!$H$15*(1+$B6))/Capital!$E$9</f>
        <v/>
      </c>
      <c r="D6" s="16">
        <f>(Assumptions!$E$14*(1+D$4)-'Bornhuetter-Ferguson'!$H$15*(1+$B6))/Capital!$E$9</f>
        <v/>
      </c>
      <c r="E6" s="16">
        <f>(Assumptions!$E$14*(1+E$4)-'Bornhuetter-Ferguson'!$H$15*(1+$B6))/Capital!$E$9</f>
        <v/>
      </c>
      <c r="F6" s="16">
        <f>(Assumptions!$E$14*(1+F$4)-'Bornhuetter-Ferguson'!$H$15*(1+$B6))/Capital!$E$9</f>
        <v/>
      </c>
      <c r="G6" s="16">
        <f>(Assumptions!$E$14*(1+G$4)-'Bornhuetter-Ferguson'!$H$15*(1+$B6))/Capital!$E$9</f>
        <v/>
      </c>
    </row>
    <row r="7">
      <c r="B7" s="10" t="n">
        <v>0.1</v>
      </c>
      <c r="C7" s="16">
        <f>(Assumptions!$E$14*(1+C$4)-'Bornhuetter-Ferguson'!$H$15*(1+$B7))/Capital!$E$9</f>
        <v/>
      </c>
      <c r="D7" s="16">
        <f>(Assumptions!$E$14*(1+D$4)-'Bornhuetter-Ferguson'!$H$15*(1+$B7))/Capital!$E$9</f>
        <v/>
      </c>
      <c r="E7" s="16">
        <f>(Assumptions!$E$14*(1+E$4)-'Bornhuetter-Ferguson'!$H$15*(1+$B7))/Capital!$E$9</f>
        <v/>
      </c>
      <c r="F7" s="16">
        <f>(Assumptions!$E$14*(1+F$4)-'Bornhuetter-Ferguson'!$H$15*(1+$B7))/Capital!$E$9</f>
        <v/>
      </c>
      <c r="G7" s="16">
        <f>(Assumptions!$E$14*(1+G$4)-'Bornhuetter-Ferguson'!$H$15*(1+$B7))/Capital!$E$9</f>
        <v/>
      </c>
    </row>
    <row r="8">
      <c r="B8" s="10" t="n">
        <v>0.15</v>
      </c>
      <c r="C8" s="16">
        <f>(Assumptions!$E$14*(1+C$4)-'Bornhuetter-Ferguson'!$H$15*(1+$B8))/Capital!$E$9</f>
        <v/>
      </c>
      <c r="D8" s="16">
        <f>(Assumptions!$E$14*(1+D$4)-'Bornhuetter-Ferguson'!$H$15*(1+$B8))/Capital!$E$9</f>
        <v/>
      </c>
      <c r="E8" s="16">
        <f>(Assumptions!$E$14*(1+E$4)-'Bornhuetter-Ferguson'!$H$15*(1+$B8))/Capital!$E$9</f>
        <v/>
      </c>
      <c r="F8" s="16">
        <f>(Assumptions!$E$14*(1+F$4)-'Bornhuetter-Ferguson'!$H$15*(1+$B8))/Capital!$E$9</f>
        <v/>
      </c>
      <c r="G8" s="16">
        <f>(Assumptions!$E$14*(1+G$4)-'Bornhuetter-Ferguson'!$H$15*(1+$B8))/Capital!$E$9</f>
        <v/>
      </c>
    </row>
    <row r="9">
      <c r="B9" s="10" t="n">
        <v>0.2</v>
      </c>
      <c r="C9" s="16">
        <f>(Assumptions!$E$14*(1+C$4)-'Bornhuetter-Ferguson'!$H$15*(1+$B9))/Capital!$E$9</f>
        <v/>
      </c>
      <c r="D9" s="16">
        <f>(Assumptions!$E$14*(1+D$4)-'Bornhuetter-Ferguson'!$H$15*(1+$B9))/Capital!$E$9</f>
        <v/>
      </c>
      <c r="E9" s="16">
        <f>(Assumptions!$E$14*(1+E$4)-'Bornhuetter-Ferguson'!$H$15*(1+$B9))/Capital!$E$9</f>
        <v/>
      </c>
      <c r="F9" s="16">
        <f>(Assumptions!$E$14*(1+F$4)-'Bornhuetter-Ferguson'!$H$15*(1+$B9))/Capital!$E$9</f>
        <v/>
      </c>
      <c r="G9" s="16">
        <f>(Assumptions!$E$14*(1+G$4)-'Bornhuetter-Ferguson'!$H$15*(1+$B9))/Capital!$E$9</f>
        <v/>
      </c>
    </row>
  </sheetData>
  <mergeCells count="1">
    <mergeCell ref="B2:G2"/>
  </mergeCells>
  <conditionalFormatting sqref="C5:G9">
    <cfRule type="colorScale" priority="1">
      <colorScale>
        <cfvo type="min"/>
        <cfvo type="percentile" val="50"/>
        <cfvo type="max"/>
        <color rgb="00FCE4D6"/>
        <color rgb="00FFF2CC"/>
        <color rgb="00E2F0D9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8" customWidth="1" min="3" max="3"/>
  </cols>
  <sheetData>
    <row r="2" ht="28" customHeight="1">
      <c r="B2" s="1" t="inlineStr">
        <is>
          <t>Actuarial Model Checks</t>
        </is>
      </c>
    </row>
    <row r="4">
      <c r="B4" s="8" t="inlineStr">
        <is>
          <t>Check</t>
        </is>
      </c>
      <c r="C4" s="8" t="inlineStr">
        <is>
          <t>Status</t>
        </is>
      </c>
    </row>
    <row r="5">
      <c r="B5" t="inlineStr">
        <is>
          <t>Paid triangle cumulative</t>
        </is>
      </c>
      <c r="C5">
        <f>IF(MIN('Paid Triangle'!D5-'Paid Triangle'!C5,'Paid Triangle'!E5-'Paid Triangle'!D5,'Paid Triangle'!F5-'Paid Triangle'!E5,'Paid Triangle'!G5-'Paid Triangle'!F5,'Paid Triangle'!H5-'Paid Triangle'!G5,'Paid Triangle'!I5-'Paid Triangle'!H5,'Paid Triangle'!J5-'Paid Triangle'!I5,'Paid Triangle'!K5-'Paid Triangle'!J5,'Paid Triangle'!L5-'Paid Triangle'!K5,'Paid Triangle'!D6-'Paid Triangle'!C6,'Paid Triangle'!E6-'Paid Triangle'!D6,'Paid Triangle'!F6-'Paid Triangle'!E6,'Paid Triangle'!G6-'Paid Triangle'!F6,'Paid Triangle'!H6-'Paid Triangle'!G6,'Paid Triangle'!I6-'Paid Triangle'!H6,'Paid Triangle'!J6-'Paid Triangle'!I6,'Paid Triangle'!K6-'Paid Triangle'!J6,'Paid Triangle'!D7-'Paid Triangle'!C7,'Paid Triangle'!E7-'Paid Triangle'!D7,'Paid Triangle'!F7-'Paid Triangle'!E7,'Paid Triangle'!G7-'Paid Triangle'!F7,'Paid Triangle'!H7-'Paid Triangle'!G7,'Paid Triangle'!I7-'Paid Triangle'!H7,'Paid Triangle'!J7-'Paid Triangle'!I7,'Paid Triangle'!D8-'Paid Triangle'!C8,'Paid Triangle'!E8-'Paid Triangle'!D8,'Paid Triangle'!F8-'Paid Triangle'!E8,'Paid Triangle'!G8-'Paid Triangle'!F8,'Paid Triangle'!H8-'Paid Triangle'!G8,'Paid Triangle'!I8-'Paid Triangle'!H8,'Paid Triangle'!D9-'Paid Triangle'!C9,'Paid Triangle'!E9-'Paid Triangle'!D9,'Paid Triangle'!F9-'Paid Triangle'!E9,'Paid Triangle'!G9-'Paid Triangle'!F9,'Paid Triangle'!H9-'Paid Triangle'!G9,'Paid Triangle'!D10-'Paid Triangle'!C10,'Paid Triangle'!E10-'Paid Triangle'!D10,'Paid Triangle'!F10-'Paid Triangle'!E10,'Paid Triangle'!G10-'Paid Triangle'!F10,'Paid Triangle'!D11-'Paid Triangle'!C11,'Paid Triangle'!E11-'Paid Triangle'!D11,'Paid Triangle'!F11-'Paid Triangle'!E11,'Paid Triangle'!D12-'Paid Triangle'!C12,'Paid Triangle'!E12-'Paid Triangle'!D12,'Paid Triangle'!D13-'Paid Triangle'!C13)&gt;=0,"PASS","FAIL")</f>
        <v/>
      </c>
    </row>
    <row r="6">
      <c r="B6" t="inlineStr">
        <is>
          <t>Development factors at least one</t>
        </is>
      </c>
      <c r="C6">
        <f>IF(MIN('Chain Ladder'!C5:L5)&gt;=1,"PASS","FAIL")</f>
        <v/>
      </c>
    </row>
    <row r="7">
      <c r="B7" t="inlineStr">
        <is>
          <t>Chain-ladder reserve nonnegative</t>
        </is>
      </c>
      <c r="C7">
        <f>IF(MIN('Chain Ladder'!N8:N17)&gt;=0,"PASS","FAIL")</f>
        <v/>
      </c>
    </row>
    <row r="8">
      <c r="B8" t="inlineStr">
        <is>
          <t>BF reserve nonnegative</t>
        </is>
      </c>
      <c r="C8">
        <f>IF(MIN('Bornhuetter-Ferguson'!H5:H14)&gt;=0,"PASS","FAIL")</f>
        <v/>
      </c>
    </row>
    <row r="9">
      <c r="B9" t="inlineStr">
        <is>
          <t>Combined ratio finite</t>
        </is>
      </c>
      <c r="C9">
        <f>IF(AND(MIN(Underwriting!C11:G11)&gt;=0,MAX(Underwriting!C11:G11)&lt;3),"PASS","FAIL")</f>
        <v/>
      </c>
    </row>
    <row r="10">
      <c r="B10" t="inlineStr">
        <is>
          <t>Capital requirement positive</t>
        </is>
      </c>
      <c r="C10">
        <f>IF(Capital!E9&gt;0,"PASS","FAIL")</f>
        <v/>
      </c>
    </row>
    <row r="11">
      <c r="B11" t="inlineStr">
        <is>
          <t>Capital coverage</t>
        </is>
      </c>
      <c r="C11">
        <f>IF(Capital!E13="PASS","PASS","REVIEW")</f>
        <v/>
      </c>
    </row>
    <row r="12">
      <c r="B12" t="inlineStr">
        <is>
          <t>Embedded value finite</t>
        </is>
      </c>
      <c r="C12">
        <f>IF(ABS('Embedded Value'!C15)&lt;1000000,"PASS","FAIL")</f>
        <v/>
      </c>
    </row>
    <row r="13">
      <c r="B13" t="inlineStr">
        <is>
          <t>Overall</t>
        </is>
      </c>
      <c r="C13">
        <f>IF(COUNTIF(C5:C12,"FAIL")=0,"PASS","FAIL")</f>
        <v/>
      </c>
    </row>
  </sheetData>
  <mergeCells count="1">
    <mergeCell ref="B2:C2"/>
  </mergeCells>
  <conditionalFormatting sqref="C5:C13">
    <cfRule type="expression" priority="1" dxfId="0">
      <formula>C5="PASS"</formula>
    </cfRule>
    <cfRule type="expression" priority="2" dxfId="1">
      <formula>C5="FAIL"</formula>
    </cfRule>
    <cfRule type="expression" priority="3" dxfId="2">
      <formula>C5="REVIEW"</formula>
    </cfRule>
    <cfRule type="expression" priority="4" dxfId="1">
      <formula>C5="BREACH"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58" customWidth="1" min="3" max="3"/>
    <col width="16" customWidth="1" min="4" max="4"/>
    <col width="48" customWidth="1" min="5" max="5"/>
  </cols>
  <sheetData>
    <row r="2" ht="28" customHeight="1">
      <c r="B2" s="1" t="inlineStr">
        <is>
          <t>Source Register</t>
        </is>
      </c>
    </row>
    <row r="4">
      <c r="B4" s="8" t="inlineStr">
        <is>
          <t>Input / dataset</t>
        </is>
      </c>
      <c r="C4" s="8" t="inlineStr">
        <is>
          <t>Source URL or document</t>
        </is>
      </c>
      <c r="D4" s="8" t="inlineStr">
        <is>
          <t>As-of</t>
        </is>
      </c>
      <c r="E4" s="8" t="inlineStr">
        <is>
          <t>Notes / transformation</t>
        </is>
      </c>
    </row>
    <row r="5">
      <c r="B5" s="24" t="inlineStr">
        <is>
          <t>Actuarial loss data</t>
        </is>
      </c>
      <c r="C5" s="24" t="inlineStr">
        <is>
          <t>[claims system / public filing]</t>
        </is>
      </c>
      <c r="D5" s="24" t="inlineStr">
        <is>
          <t>[valuation date]</t>
        </is>
      </c>
      <c r="E5" s="24" t="inlineStr">
        <is>
          <t>Paid, incurred, case reserve, claim counts</t>
        </is>
      </c>
    </row>
    <row r="6">
      <c r="B6" s="24" t="inlineStr">
        <is>
          <t>Premium and exposure data</t>
        </is>
      </c>
      <c r="C6" s="24" t="inlineStr">
        <is>
          <t>[policy administration source]</t>
        </is>
      </c>
      <c r="D6" s="24" t="inlineStr">
        <is>
          <t>[period]</t>
        </is>
      </c>
      <c r="E6" s="24" t="inlineStr">
        <is>
          <t>Earned premium, rate, mix, exposure</t>
        </is>
      </c>
    </row>
    <row r="7">
      <c r="B7" s="24" t="inlineStr">
        <is>
          <t>Reinsurance contracts</t>
        </is>
      </c>
      <c r="C7" s="24" t="inlineStr">
        <is>
          <t>[treaty / facultative documentation]</t>
        </is>
      </c>
      <c r="D7" s="24" t="inlineStr">
        <is>
          <t>[date]</t>
        </is>
      </c>
      <c r="E7" s="24" t="inlineStr">
        <is>
          <t>Limits, attachment, reinstatements, credit risk</t>
        </is>
      </c>
    </row>
    <row r="8">
      <c r="B8" s="24" t="inlineStr">
        <is>
          <t>Capital methodology</t>
        </is>
      </c>
      <c r="C8" s="24" t="inlineStr">
        <is>
          <t>[regulator / internal methodology URL]</t>
        </is>
      </c>
      <c r="D8" s="24" t="inlineStr">
        <is>
          <t>[effective date]</t>
        </is>
      </c>
      <c r="E8" s="24" t="inlineStr">
        <is>
          <t>Risk factors, diversification, management actions</t>
        </is>
      </c>
    </row>
    <row r="9">
      <c r="B9" s="24" t="inlineStr">
        <is>
          <t>Investment portfolio</t>
        </is>
      </c>
      <c r="C9" s="24" t="inlineStr">
        <is>
          <t>[asset ledger / filing]</t>
        </is>
      </c>
      <c r="D9" s="24" t="inlineStr">
        <is>
          <t>[date]</t>
        </is>
      </c>
      <c r="E9" s="24" t="inlineStr">
        <is>
          <t>Yield, duration, credit, liquidity, unrealized gains</t>
        </is>
      </c>
    </row>
  </sheetData>
  <mergeCells count="1">
    <mergeCell ref="B2:E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G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28" customWidth="1" min="4" max="4"/>
    <col width="38" customWidth="1" min="5" max="5"/>
    <col width="34" customWidth="1" min="6" max="6"/>
    <col width="18" customWidth="1" min="7" max="7"/>
  </cols>
  <sheetData>
    <row r="2" ht="28" customHeight="1">
      <c r="B2" s="1" t="inlineStr">
        <is>
          <t>Refresh Log</t>
        </is>
      </c>
    </row>
    <row r="4">
      <c r="B4" s="8" t="inlineStr">
        <is>
          <t>Date</t>
        </is>
      </c>
      <c r="C4" s="8" t="inlineStr">
        <is>
          <t>Trigger</t>
        </is>
      </c>
      <c r="D4" s="8" t="inlineStr">
        <is>
          <t>Source snapshot</t>
        </is>
      </c>
      <c r="E4" s="8" t="inlineStr">
        <is>
          <t>What changed</t>
        </is>
      </c>
      <c r="F4" s="8" t="inlineStr">
        <is>
          <t>Reviewer / challenge</t>
        </is>
      </c>
      <c r="G4" s="8" t="inlineStr">
        <is>
          <t>Next check</t>
        </is>
      </c>
    </row>
    <row r="5">
      <c r="B5" s="25" t="n"/>
      <c r="C5" s="25" t="n"/>
      <c r="D5" s="25" t="n"/>
      <c r="E5" s="25" t="n"/>
      <c r="F5" s="25" t="n"/>
      <c r="G5" s="25" t="n"/>
    </row>
    <row r="6">
      <c r="B6" s="25" t="n"/>
      <c r="C6" s="25" t="n"/>
      <c r="D6" s="25" t="n"/>
      <c r="E6" s="25" t="n"/>
      <c r="F6" s="25" t="n"/>
      <c r="G6" s="25" t="n"/>
    </row>
    <row r="7">
      <c r="B7" s="25" t="n"/>
      <c r="C7" s="25" t="n"/>
      <c r="D7" s="25" t="n"/>
      <c r="E7" s="25" t="n"/>
      <c r="F7" s="25" t="n"/>
      <c r="G7" s="25" t="n"/>
    </row>
    <row r="8">
      <c r="B8" s="25" t="n"/>
      <c r="C8" s="25" t="n"/>
      <c r="D8" s="25" t="n"/>
      <c r="E8" s="25" t="n"/>
      <c r="F8" s="25" t="n"/>
      <c r="G8" s="25" t="n"/>
    </row>
    <row r="9">
      <c r="B9" s="25" t="n"/>
      <c r="C9" s="25" t="n"/>
      <c r="D9" s="25" t="n"/>
      <c r="E9" s="25" t="n"/>
      <c r="F9" s="25" t="n"/>
      <c r="G9" s="25" t="n"/>
    </row>
    <row r="10">
      <c r="B10" s="25" t="n"/>
      <c r="C10" s="25" t="n"/>
      <c r="D10" s="25" t="n"/>
      <c r="E10" s="25" t="n"/>
      <c r="F10" s="25" t="n"/>
      <c r="G10" s="25" t="n"/>
    </row>
    <row r="11">
      <c r="B11" s="25" t="n"/>
      <c r="C11" s="25" t="n"/>
      <c r="D11" s="25" t="n"/>
      <c r="E11" s="25" t="n"/>
      <c r="F11" s="25" t="n"/>
      <c r="G11" s="25" t="n"/>
    </row>
    <row r="12">
      <c r="B12" s="25" t="n"/>
      <c r="C12" s="25" t="n"/>
      <c r="D12" s="25" t="n"/>
      <c r="E12" s="25" t="n"/>
      <c r="F12" s="25" t="n"/>
      <c r="G12" s="25" t="n"/>
    </row>
    <row r="13">
      <c r="B13" s="25" t="n"/>
      <c r="C13" s="25" t="n"/>
      <c r="D13" s="25" t="n"/>
      <c r="E13" s="25" t="n"/>
      <c r="F13" s="25" t="n"/>
      <c r="G13" s="25" t="n"/>
    </row>
    <row r="14">
      <c r="B14" s="25" t="n"/>
      <c r="C14" s="25" t="n"/>
      <c r="D14" s="25" t="n"/>
      <c r="E14" s="25" t="n"/>
      <c r="F14" s="25" t="n"/>
      <c r="G14" s="25" t="n"/>
    </row>
    <row r="15">
      <c r="B15" s="25" t="n"/>
      <c r="C15" s="25" t="n"/>
      <c r="D15" s="25" t="n"/>
      <c r="E15" s="25" t="n"/>
      <c r="F15" s="25" t="n"/>
      <c r="G15" s="25" t="n"/>
    </row>
    <row r="16">
      <c r="B16" s="25" t="n"/>
      <c r="C16" s="25" t="n"/>
      <c r="D16" s="25" t="n"/>
      <c r="E16" s="25" t="n"/>
      <c r="F16" s="25" t="n"/>
      <c r="G16" s="25" t="n"/>
    </row>
    <row r="17">
      <c r="B17" s="25" t="n"/>
      <c r="C17" s="25" t="n"/>
      <c r="D17" s="25" t="n"/>
      <c r="E17" s="25" t="n"/>
      <c r="F17" s="25" t="n"/>
      <c r="G17" s="25" t="n"/>
    </row>
    <row r="18">
      <c r="B18" s="25" t="n"/>
      <c r="C18" s="25" t="n"/>
      <c r="D18" s="25" t="n"/>
      <c r="E18" s="25" t="n"/>
      <c r="F18" s="25" t="n"/>
      <c r="G18" s="25" t="n"/>
    </row>
    <row r="19">
      <c r="B19" s="25" t="n"/>
      <c r="C19" s="25" t="n"/>
      <c r="D19" s="25" t="n"/>
      <c r="E19" s="25" t="n"/>
      <c r="F19" s="25" t="n"/>
      <c r="G19" s="25" t="n"/>
    </row>
    <row r="20">
      <c r="B20" s="25" t="n"/>
      <c r="C20" s="25" t="n"/>
      <c r="D20" s="25" t="n"/>
      <c r="E20" s="25" t="n"/>
      <c r="F20" s="25" t="n"/>
      <c r="G20" s="25" t="n"/>
    </row>
    <row r="21">
      <c r="B21" s="25" t="n"/>
      <c r="C21" s="25" t="n"/>
      <c r="D21" s="25" t="n"/>
      <c r="E21" s="25" t="n"/>
      <c r="F21" s="25" t="n"/>
      <c r="G21" s="25" t="n"/>
    </row>
    <row r="22">
      <c r="B22" s="25" t="n"/>
      <c r="C22" s="25" t="n"/>
      <c r="D22" s="25" t="n"/>
      <c r="E22" s="25" t="n"/>
      <c r="F22" s="25" t="n"/>
      <c r="G22" s="25" t="n"/>
    </row>
    <row r="23">
      <c r="B23" s="25" t="n"/>
      <c r="C23" s="25" t="n"/>
      <c r="D23" s="25" t="n"/>
      <c r="E23" s="25" t="n"/>
      <c r="F23" s="25" t="n"/>
      <c r="G23" s="25" t="n"/>
    </row>
    <row r="24">
      <c r="B24" s="25" t="n"/>
      <c r="C24" s="25" t="n"/>
      <c r="D24" s="25" t="n"/>
      <c r="E24" s="25" t="n"/>
      <c r="F24" s="25" t="n"/>
      <c r="G24" s="25" t="n"/>
    </row>
    <row r="25">
      <c r="B25" s="25" t="n"/>
      <c r="C25" s="25" t="n"/>
      <c r="D25" s="25" t="n"/>
      <c r="E25" s="25" t="n"/>
      <c r="F25" s="25" t="n"/>
      <c r="G25" s="25" t="n"/>
    </row>
    <row r="26">
      <c r="B26" s="25" t="n"/>
      <c r="C26" s="25" t="n"/>
      <c r="D26" s="25" t="n"/>
      <c r="E26" s="25" t="n"/>
      <c r="F26" s="25" t="n"/>
      <c r="G26" s="25" t="n"/>
    </row>
    <row r="27">
      <c r="B27" s="25" t="n"/>
      <c r="C27" s="25" t="n"/>
      <c r="D27" s="25" t="n"/>
      <c r="E27" s="25" t="n"/>
      <c r="F27" s="25" t="n"/>
      <c r="G27" s="25" t="n"/>
    </row>
    <row r="28">
      <c r="B28" s="25" t="n"/>
      <c r="C28" s="25" t="n"/>
      <c r="D28" s="25" t="n"/>
      <c r="E28" s="25" t="n"/>
      <c r="F28" s="25" t="n"/>
      <c r="G28" s="25" t="n"/>
    </row>
    <row r="29">
      <c r="B29" s="25" t="n"/>
      <c r="C29" s="25" t="n"/>
      <c r="D29" s="25" t="n"/>
      <c r="E29" s="25" t="n"/>
      <c r="F29" s="25" t="n"/>
      <c r="G29" s="25" t="n"/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2026-08-05T22:48:46Z</dcterms:created>
  <dcterms:modified xmlns:dcterms="http://purl.org/dc/terms/" xmlns:xsi="http://www.w3.org/2001/XMLSchema-instance" xsi:type="dcterms:W3CDTF">2026-08-05T22:48:47Z</dcterms:modified>
</cp:coreProperties>
</file>