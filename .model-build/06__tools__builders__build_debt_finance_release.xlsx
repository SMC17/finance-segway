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itutional Surface" sheetId="2" state="visible" r:id="rId2"/>
    <sheet xmlns:r="http://schemas.openxmlformats.org/officeDocument/2006/relationships" name="Challenge Log" sheetId="3" state="visible" r:id="rId3"/>
    <sheet xmlns:r="http://schemas.openxmlformats.org/officeDocument/2006/relationships" name="Lineage Map" sheetId="4" state="visible" r:id="rId4"/>
    <sheet xmlns:r="http://schemas.openxmlformats.org/officeDocument/2006/relationships" name="Assumptions" sheetId="5" state="visible" r:id="rId5"/>
    <sheet xmlns:r="http://schemas.openxmlformats.org/officeDocument/2006/relationships" name="Capital Structure" sheetId="6" state="visible" r:id="rId6"/>
    <sheet xmlns:r="http://schemas.openxmlformats.org/officeDocument/2006/relationships" name="Maturity Ladder" sheetId="7" state="visible" r:id="rId7"/>
    <sheet xmlns:r="http://schemas.openxmlformats.org/officeDocument/2006/relationships" name="Refinancing" sheetId="8" state="visible" r:id="rId8"/>
    <sheet xmlns:r="http://schemas.openxmlformats.org/officeDocument/2006/relationships" name="Interest Rate Risk" sheetId="9" state="visible" r:id="rId9"/>
    <sheet xmlns:r="http://schemas.openxmlformats.org/officeDocument/2006/relationships" name="Covenants" sheetId="10" state="visible" r:id="rId10"/>
    <sheet xmlns:r="http://schemas.openxmlformats.org/officeDocument/2006/relationships" name="Recovery" sheetId="11" state="visible" r:id="rId11"/>
    <sheet xmlns:r="http://schemas.openxmlformats.org/officeDocument/2006/relationships" name="Checks" sheetId="12" state="visible" r:id="rId12"/>
    <sheet xmlns:r="http://schemas.openxmlformats.org/officeDocument/2006/relationships" name="Sources" sheetId="13" state="visible" r:id="rId13"/>
    <sheet xmlns:r="http://schemas.openxmlformats.org/officeDocument/2006/relationships" name="RefreshLog" sheetId="14" state="visible" r:id="rId14"/>
    <sheet xmlns:r="http://schemas.openxmlformats.org/officeDocument/2006/relationships" name="Refinancing &amp; Rates" sheetId="15" state="visible" r:id="rId15"/>
    <sheet xmlns:r="http://schemas.openxmlformats.org/officeDocument/2006/relationships" name="Decision &amp; Checks" sheetId="16" state="visible" r:id="rId16"/>
  </sheets>
  <definedNames>
    <definedName name="FS_MODEL_ID">'Institutional Surface'!$C$4</definedName>
    <definedName name="FS_DOMAIN">'Institutional Surface'!$C$5</definedName>
    <definedName name="FS_MATURITY">'Institutional Surface'!$C$6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9">
    <numFmt numFmtId="164" formatCode="$#,##0.0;[Red]($#,##0.0);-"/>
    <numFmt numFmtId="165" formatCode="0.0%;[Red](0.0%);-"/>
    <numFmt numFmtId="166" formatCode="0.0x;[Red](0.0x);-"/>
    <numFmt numFmtId="167" formatCode="0.00%;[Red](0.00%);-"/>
    <numFmt numFmtId="168" formatCode="0 &quot;bps&quot;"/>
    <numFmt numFmtId="169" formatCode="$#,##0;($#,##0);&quot;-&quot;"/>
    <numFmt numFmtId="170" formatCode="0.0%;(0.0%);&quot;-&quot;"/>
    <numFmt numFmtId="171" formatCode="0.0x"/>
    <numFmt numFmtId="172" formatCode="#,##0;(#,##0);&quot;-&quot;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11827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111827"/>
      <sz val="10"/>
    </font>
    <font>
      <name val="Arial"/>
      <b val="1"/>
      <color rgb="000000FF"/>
      <sz val="10"/>
    </font>
    <font>
      <name val="Arial"/>
      <b val="1"/>
      <color rgb="00008000"/>
      <sz val="10"/>
    </font>
    <font>
      <name val="Arial"/>
      <color rgb="00008000"/>
      <sz val="10"/>
    </font>
    <font>
      <name val="Arial"/>
      <b val="1"/>
      <sz val="16"/>
    </font>
    <font>
      <name val="Arial"/>
      <b val="1"/>
      <color rgb="00FFFFFF"/>
      <sz val="11"/>
    </font>
    <font>
      <name val="Arial"/>
      <b val="1"/>
      <sz val="10"/>
    </font>
    <font>
      <b val="1"/>
      <color rgb="00FFFFFF"/>
      <sz val="15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FF00"/>
        <bgColor rgb="00FFFF00"/>
      </patternFill>
    </fill>
    <fill>
      <patternFill patternType="solid">
        <fgColor rgb="001F4E78"/>
        <b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</fills>
  <borders count="5">
    <border>
      <left/>
      <right/>
      <top/>
      <bottom/>
      <diagonal/>
    </border>
    <border>
      <bottom style="thin">
        <color rgb="00BFBFBF"/>
      </bottom>
    </border>
    <border>
      <top style="thin">
        <color rgb="00111827"/>
      </top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thin">
        <color rgb="00B7B7B7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pivotButton="0" quotePrefix="0" xfId="0"/>
    <xf numFmtId="0" fontId="4" fillId="2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3" fillId="3" borderId="1" pivotButton="0" quotePrefix="0" xfId="0"/>
    <xf numFmtId="164" fontId="8" fillId="0" borderId="0" pivotButton="0" quotePrefix="0" xfId="0"/>
    <xf numFmtId="165" fontId="3" fillId="3" borderId="1" pivotButton="0" quotePrefix="0" xfId="0"/>
    <xf numFmtId="165" fontId="8" fillId="0" borderId="0" pivotButton="0" quotePrefix="0" xfId="0"/>
    <xf numFmtId="166" fontId="3" fillId="3" borderId="1" pivotButton="0" quotePrefix="0" xfId="0"/>
    <xf numFmtId="166" fontId="8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0" borderId="2" pivotButton="0" quotePrefix="0" xfId="0"/>
    <xf numFmtId="164" fontId="2" fillId="0" borderId="2" pivotButton="0" quotePrefix="0" xfId="0"/>
    <xf numFmtId="166" fontId="2" fillId="0" borderId="2" pivotButton="0" quotePrefix="0" xfId="0"/>
    <xf numFmtId="167" fontId="0" fillId="0" borderId="0" pivotButton="0" quotePrefix="0" xfId="0"/>
    <xf numFmtId="166" fontId="0" fillId="0" borderId="0" pivotButton="0" quotePrefix="0" xfId="0"/>
    <xf numFmtId="168" fontId="4" fillId="2" borderId="1" applyAlignment="1" pivotButton="0" quotePrefix="0" xfId="0">
      <alignment horizontal="center" vertical="center" wrapText="1"/>
    </xf>
    <xf numFmtId="168" fontId="0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169" fontId="0" fillId="0" borderId="0" pivotButton="0" quotePrefix="0" xfId="0"/>
    <xf numFmtId="169" fontId="3" fillId="4" borderId="0" pivotButton="0" quotePrefix="0" xfId="0"/>
    <xf numFmtId="170" fontId="0" fillId="0" borderId="0" pivotButton="0" quotePrefix="0" xfId="0"/>
    <xf numFmtId="0" fontId="9" fillId="0" borderId="0" pivotButton="0" quotePrefix="0" xfId="0"/>
    <xf numFmtId="0" fontId="10" fillId="5" borderId="0" applyAlignment="1" pivotButton="0" quotePrefix="0" xfId="0">
      <alignment horizontal="center"/>
    </xf>
    <xf numFmtId="169" fontId="3" fillId="4" borderId="3" pivotButton="0" quotePrefix="0" xfId="0"/>
    <xf numFmtId="170" fontId="3" fillId="4" borderId="3" pivotButton="0" quotePrefix="0" xfId="0"/>
    <xf numFmtId="171" fontId="3" fillId="4" borderId="3" pivotButton="0" quotePrefix="0" xfId="0"/>
    <xf numFmtId="169" fontId="0" fillId="0" borderId="3" pivotButton="0" quotePrefix="0" xfId="0"/>
    <xf numFmtId="170" fontId="0" fillId="0" borderId="3" pivotButton="0" quotePrefix="0" xfId="0"/>
    <xf numFmtId="171" fontId="0" fillId="0" borderId="3" pivotButton="0" quotePrefix="0" xfId="0"/>
    <xf numFmtId="172" fontId="0" fillId="0" borderId="3" pivotButton="0" quotePrefix="0" xfId="0"/>
    <xf numFmtId="0" fontId="0" fillId="0" borderId="3" pivotButton="0" quotePrefix="0" xfId="0"/>
    <xf numFmtId="0" fontId="11" fillId="0" borderId="0" pivotButton="0" quotePrefix="0" xfId="0"/>
    <xf numFmtId="0" fontId="11" fillId="0" borderId="3" pivotButton="0" quotePrefix="0" xfId="0"/>
    <xf numFmtId="0" fontId="12" fillId="6" borderId="0" pivotButton="0" quotePrefix="0" xfId="0"/>
    <xf numFmtId="0" fontId="13" fillId="0" borderId="0" pivotButton="0" quotePrefix="0" xfId="0"/>
    <xf numFmtId="0" fontId="0" fillId="0" borderId="0" applyAlignment="1" pivotButton="0" quotePrefix="0" xfId="0">
      <alignment wrapText="1"/>
    </xf>
    <xf numFmtId="0" fontId="14" fillId="6" borderId="0" pivotButton="0" quotePrefix="0" xfId="0"/>
    <xf numFmtId="0" fontId="13" fillId="7" borderId="4" applyAlignment="1" pivotButton="0" quotePrefix="0" xfId="0">
      <alignment wrapText="1"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46" customWidth="1" min="3" max="3"/>
    <col width="12" customWidth="1" min="4" max="4"/>
    <col width="12" customWidth="1" min="5" max="5"/>
    <col width="12" customWidth="1" min="6" max="6"/>
  </cols>
  <sheetData>
    <row r="2" ht="28" customHeight="1">
      <c r="B2" s="1" t="inlineStr">
        <is>
          <t>[ISSUER] — Debt Finance &amp; Refinancing</t>
        </is>
      </c>
    </row>
    <row r="4">
      <c r="B4" s="2" t="inlineStr">
        <is>
          <t>Issuer:</t>
        </is>
      </c>
      <c r="C4" s="3" t="inlineStr">
        <is>
          <t>[Name]</t>
        </is>
      </c>
    </row>
    <row r="5">
      <c r="B5" s="2" t="inlineStr">
        <is>
          <t>Transaction:</t>
        </is>
      </c>
      <c r="C5" s="3" t="inlineStr">
        <is>
          <t>Refinancing / acquisition / general corporate</t>
        </is>
      </c>
    </row>
    <row r="6">
      <c r="B6" s="2" t="inlineStr">
        <is>
          <t>Last refreshed:</t>
        </is>
      </c>
      <c r="C6" s="3" t="inlineStr">
        <is>
          <t>[date]</t>
        </is>
      </c>
    </row>
    <row r="7">
      <c r="B7" s="2" t="inlineStr">
        <is>
          <t>Next maturity / launch:</t>
        </is>
      </c>
      <c r="C7" s="3" t="inlineStr">
        <is>
          <t>[date]</t>
        </is>
      </c>
    </row>
    <row r="8">
      <c r="B8" s="2" t="inlineStr">
        <is>
          <t>Refresh cadence:</t>
        </is>
      </c>
      <c r="C8" s="3" t="inlineStr">
        <is>
          <t>Weekly</t>
        </is>
      </c>
    </row>
    <row r="9">
      <c r="B9" s="2" t="inlineStr">
        <is>
          <t>Active scenario:</t>
        </is>
      </c>
      <c r="C9" s="3" t="inlineStr">
        <is>
          <t>Base</t>
        </is>
      </c>
    </row>
    <row r="10">
      <c r="B10" s="2" t="inlineStr">
        <is>
          <t>Units:</t>
        </is>
      </c>
      <c r="C10" s="3" t="inlineStr">
        <is>
          <t>$ in millions</t>
        </is>
      </c>
    </row>
    <row r="13">
      <c r="B13" s="4" t="inlineStr">
        <is>
          <t>Modeling conventions</t>
        </is>
      </c>
    </row>
    <row r="14">
      <c r="B14" s="5" t="inlineStr">
        <is>
          <t>Blue text / yellow fill</t>
        </is>
      </c>
      <c r="C14" s="6" t="inlineStr">
        <is>
          <t>Hardcoded input or selected scenario</t>
        </is>
      </c>
    </row>
    <row r="15">
      <c r="B15" s="2" t="inlineStr">
        <is>
          <t>Black text</t>
        </is>
      </c>
      <c r="C15" s="6" t="inlineStr">
        <is>
          <t>Formula / same-sheet calculation</t>
        </is>
      </c>
    </row>
    <row r="16">
      <c r="B16" s="7" t="inlineStr">
        <is>
          <t>Green text</t>
        </is>
      </c>
      <c r="C16" s="6" t="inlineStr">
        <is>
          <t>Cross-sheet formula / link</t>
        </is>
      </c>
    </row>
    <row r="17">
      <c r="B17" s="2" t="inlineStr">
        <is>
          <t>Checks</t>
        </is>
      </c>
      <c r="C17" s="6" t="inlineStr">
        <is>
          <t>PASS / REVIEW / FAIL must remain visible</t>
        </is>
      </c>
    </row>
  </sheetData>
  <mergeCells count="2">
    <mergeCell ref="B2:F2"/>
    <mergeCell ref="B13:F13"/>
  </mergeCells>
  <dataValidations count="1">
    <dataValidation sqref="C9" showDropDown="0" showInputMessage="0" showErrorMessage="0" allowBlank="0" type="list">
      <formula1>"Base,Downside"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2" max="2"/>
    <col width="48" customWidth="1" min="3" max="3"/>
    <col width="24" customWidth="1" min="4" max="4"/>
    <col width="34" customWidth="1" min="5" max="5"/>
    <col width="20" customWidth="1" min="6" max="6"/>
  </cols>
  <sheetData>
    <row r="2">
      <c r="B2" s="41" t="inlineStr">
        <is>
          <t>Debt Finance — Institutional Decision Surface</t>
        </is>
      </c>
    </row>
    <row r="4">
      <c r="B4" s="42" t="inlineStr">
        <is>
          <t>Model ID</t>
        </is>
      </c>
      <c r="C4" s="43" t="inlineStr">
        <is>
          <t>06</t>
        </is>
      </c>
    </row>
    <row r="5">
      <c r="B5" s="42" t="inlineStr">
        <is>
          <t>Domain</t>
        </is>
      </c>
      <c r="C5" s="43" t="inlineStr">
        <is>
          <t>Debt Finance</t>
        </is>
      </c>
    </row>
    <row r="6">
      <c r="B6" s="42" t="inlineStr">
        <is>
          <t>Declared maturity</t>
        </is>
      </c>
      <c r="C6" s="43" t="inlineStr">
        <is>
          <t>M2</t>
        </is>
      </c>
    </row>
    <row r="7">
      <c r="B7" s="42" t="inlineStr">
        <is>
          <t>Canonical builder</t>
        </is>
      </c>
      <c r="C7" s="43" t="inlineStr">
        <is>
          <t>tools/builders/build_debt_finance_release.py</t>
        </is>
      </c>
    </row>
    <row r="8">
      <c r="B8" s="42" t="inlineStr">
        <is>
          <t>Decision arena</t>
        </is>
      </c>
      <c r="C8" s="43" t="inlineStr">
        <is>
          <t>issuer treasury, syndicate desk, rating agencies and board finance committee</t>
        </is>
      </c>
    </row>
    <row r="9">
      <c r="B9" s="42" t="inlineStr">
        <is>
          <t>Committee artifact</t>
        </is>
      </c>
      <c r="C9" s="43" t="inlineStr">
        <is>
          <t>financing alternatives and execution memo</t>
        </is>
      </c>
    </row>
    <row r="10">
      <c r="B10" s="42" t="inlineStr">
        <is>
          <t>Operating cadence</t>
        </is>
      </c>
      <c r="C10" s="43" t="inlineStr">
        <is>
          <t>daily during execution; monthly treasury</t>
        </is>
      </c>
    </row>
    <row r="12">
      <c r="B12" s="44" t="inlineStr">
        <is>
          <t>Key decision outputs</t>
        </is>
      </c>
    </row>
    <row r="13">
      <c r="B13" s="45" t="inlineStr">
        <is>
          <t>#</t>
        </is>
      </c>
      <c r="C13" s="45" t="inlineStr">
        <is>
          <t>Requirement</t>
        </is>
      </c>
      <c r="D13" s="45" t="inlineStr">
        <is>
          <t>Owner</t>
        </is>
      </c>
      <c r="E13" s="45" t="inlineStr">
        <is>
          <t>Evidence / location</t>
        </is>
      </c>
      <c r="F13" s="45" t="inlineStr">
        <is>
          <t>Status</t>
        </is>
      </c>
    </row>
    <row r="14">
      <c r="B14" t="n">
        <v>1</v>
      </c>
      <c r="C14" t="inlineStr">
        <is>
          <t>all-in cost and break-even</t>
        </is>
      </c>
      <c r="D14" t="inlineStr"/>
      <c r="E14" t="inlineStr"/>
      <c r="F14" t="inlineStr">
        <is>
          <t>OPEN</t>
        </is>
      </c>
    </row>
    <row r="15">
      <c r="B15" t="n">
        <v>2</v>
      </c>
      <c r="C15" t="inlineStr">
        <is>
          <t>maturity and refinancing profile</t>
        </is>
      </c>
      <c r="D15" t="inlineStr"/>
      <c r="E15" t="inlineStr"/>
      <c r="F15" t="inlineStr">
        <is>
          <t>OPEN</t>
        </is>
      </c>
    </row>
    <row r="16">
      <c r="B16" t="n">
        <v>3</v>
      </c>
      <c r="C16" t="inlineStr">
        <is>
          <t>ratings and covenant capacity</t>
        </is>
      </c>
      <c r="D16" t="inlineStr"/>
      <c r="E16" t="inlineStr"/>
      <c r="F16" t="inlineStr">
        <is>
          <t>OPEN</t>
        </is>
      </c>
    </row>
    <row r="17">
      <c r="B17" t="n">
        <v>4</v>
      </c>
      <c r="C17" t="inlineStr">
        <is>
          <t>base, downside and break-even outputs</t>
        </is>
      </c>
      <c r="D17" t="inlineStr"/>
      <c r="E17" t="inlineStr"/>
      <c r="F17" t="inlineStr">
        <is>
          <t>OPEN</t>
        </is>
      </c>
    </row>
    <row r="18">
      <c r="B18" t="n">
        <v>5</v>
      </c>
      <c r="C18" t="inlineStr">
        <is>
          <t>liquidity / funding requirement and binding constraint</t>
        </is>
      </c>
      <c r="D18" t="inlineStr"/>
      <c r="E18" t="inlineStr"/>
      <c r="F18" t="inlineStr">
        <is>
          <t>OPEN</t>
        </is>
      </c>
    </row>
    <row r="20">
      <c r="B20" s="44" t="inlineStr">
        <is>
          <t>Insider questions</t>
        </is>
      </c>
    </row>
    <row r="21">
      <c r="B21" s="45" t="inlineStr">
        <is>
          <t>#</t>
        </is>
      </c>
      <c r="C21" s="45" t="inlineStr">
        <is>
          <t>Requirement</t>
        </is>
      </c>
      <c r="D21" s="45" t="inlineStr">
        <is>
          <t>Owner</t>
        </is>
      </c>
      <c r="E21" s="45" t="inlineStr">
        <is>
          <t>Evidence / location</t>
        </is>
      </c>
      <c r="F21" s="45" t="inlineStr">
        <is>
          <t>Status</t>
        </is>
      </c>
    </row>
    <row r="22">
      <c r="B22" t="n">
        <v>1</v>
      </c>
      <c r="C22" t="inlineStr">
        <is>
          <t>Where is the break-even between fixed and floating?</t>
        </is>
      </c>
      <c r="D22" t="inlineStr"/>
      <c r="E22" t="inlineStr"/>
      <c r="F22" t="inlineStr">
        <is>
          <t>OPEN</t>
        </is>
      </c>
    </row>
    <row r="23">
      <c r="B23" t="n">
        <v>2</v>
      </c>
      <c r="C23" t="inlineStr">
        <is>
          <t>What flex can arrangers exercise?</t>
        </is>
      </c>
      <c r="D23" t="inlineStr"/>
      <c r="E23" t="inlineStr"/>
      <c r="F23" t="inlineStr">
        <is>
          <t>OPEN</t>
        </is>
      </c>
    </row>
    <row r="24">
      <c r="B24" t="n">
        <v>3</v>
      </c>
      <c r="C24" t="inlineStr">
        <is>
          <t>Which maturities cluster under the downside?</t>
        </is>
      </c>
      <c r="D24" t="inlineStr"/>
      <c r="E24" t="inlineStr"/>
      <c r="F24" t="inlineStr">
        <is>
          <t>OPEN</t>
        </is>
      </c>
    </row>
    <row r="25">
      <c r="B25" t="n">
        <v>4</v>
      </c>
      <c r="C25" t="inlineStr">
        <is>
          <t>Which assumption is owner-approved versus modeler judgement?</t>
        </is>
      </c>
      <c r="D25" t="inlineStr"/>
      <c r="E25" t="inlineStr"/>
      <c r="F25" t="inlineStr">
        <is>
          <t>OPEN</t>
        </is>
      </c>
    </row>
    <row r="26">
      <c r="B26" t="n">
        <v>5</v>
      </c>
      <c r="C26" t="inlineStr">
        <is>
          <t>What fails first and who must act?</t>
        </is>
      </c>
      <c r="D26" t="inlineStr"/>
      <c r="E26" t="inlineStr"/>
      <c r="F26" t="inlineStr">
        <is>
          <t>OPEN</t>
        </is>
      </c>
    </row>
    <row r="28">
      <c r="B28" s="44" t="inlineStr">
        <is>
          <t>Scenario families</t>
        </is>
      </c>
    </row>
    <row r="29">
      <c r="B29" s="45" t="inlineStr">
        <is>
          <t>#</t>
        </is>
      </c>
      <c r="C29" s="45" t="inlineStr">
        <is>
          <t>Requirement</t>
        </is>
      </c>
      <c r="D29" s="45" t="inlineStr">
        <is>
          <t>Owner</t>
        </is>
      </c>
      <c r="E29" s="45" t="inlineStr">
        <is>
          <t>Evidence / location</t>
        </is>
      </c>
      <c r="F29" s="45" t="inlineStr">
        <is>
          <t>Status</t>
        </is>
      </c>
    </row>
    <row r="30">
      <c r="B30" t="n">
        <v>1</v>
      </c>
      <c r="C30" t="inlineStr">
        <is>
          <t>base-rate and spread widening</t>
        </is>
      </c>
      <c r="D30" t="inlineStr"/>
      <c r="E30" t="inlineStr"/>
      <c r="F30" t="inlineStr">
        <is>
          <t>OPEN</t>
        </is>
      </c>
    </row>
    <row r="31">
      <c r="B31" t="n">
        <v>2</v>
      </c>
      <c r="C31" t="inlineStr">
        <is>
          <t>failed syndication / flex</t>
        </is>
      </c>
      <c r="D31" t="inlineStr"/>
      <c r="E31" t="inlineStr"/>
      <c r="F31" t="inlineStr">
        <is>
          <t>OPEN</t>
        </is>
      </c>
    </row>
    <row r="32">
      <c r="B32" t="n">
        <v>3</v>
      </c>
      <c r="C32" t="inlineStr">
        <is>
          <t>ratings downgrade</t>
        </is>
      </c>
      <c r="D32" t="inlineStr"/>
      <c r="E32" t="inlineStr"/>
      <c r="F32" t="inlineStr">
        <is>
          <t>OPEN</t>
        </is>
      </c>
    </row>
    <row r="33">
      <c r="B33" t="n">
        <v>4</v>
      </c>
      <c r="C33" t="inlineStr">
        <is>
          <t>data freshness / source failure</t>
        </is>
      </c>
      <c r="D33" t="inlineStr"/>
      <c r="E33" t="inlineStr"/>
      <c r="F33" t="inlineStr">
        <is>
          <t>OPEN</t>
        </is>
      </c>
    </row>
    <row r="34">
      <c r="B34" t="n">
        <v>5</v>
      </c>
      <c r="C34" t="inlineStr">
        <is>
          <t>combined severe-but-plausible downside</t>
        </is>
      </c>
      <c r="D34" t="inlineStr"/>
      <c r="E34" t="inlineStr"/>
      <c r="F34" t="inlineStr">
        <is>
          <t>OPEN</t>
        </is>
      </c>
    </row>
    <row r="36">
      <c r="B36" s="44" t="inlineStr">
        <is>
          <t>Primary diligence documents</t>
        </is>
      </c>
    </row>
    <row r="37">
      <c r="B37" s="45" t="inlineStr">
        <is>
          <t>#</t>
        </is>
      </c>
      <c r="C37" s="45" t="inlineStr">
        <is>
          <t>Requirement</t>
        </is>
      </c>
      <c r="D37" s="45" t="inlineStr">
        <is>
          <t>Owner</t>
        </is>
      </c>
      <c r="E37" s="45" t="inlineStr">
        <is>
          <t>Evidence / location</t>
        </is>
      </c>
      <c r="F37" s="45" t="inlineStr">
        <is>
          <t>Status</t>
        </is>
      </c>
    </row>
    <row r="38">
      <c r="B38" t="n">
        <v>1</v>
      </c>
      <c r="C38" t="inlineStr">
        <is>
          <t>bank proposals and commitment letters</t>
        </is>
      </c>
      <c r="D38" t="inlineStr"/>
      <c r="E38" t="inlineStr"/>
      <c r="F38" t="inlineStr">
        <is>
          <t>OPEN</t>
        </is>
      </c>
    </row>
    <row r="39">
      <c r="B39" t="n">
        <v>2</v>
      </c>
      <c r="C39" t="inlineStr">
        <is>
          <t>indentures / credit agreements</t>
        </is>
      </c>
      <c r="D39" t="inlineStr"/>
      <c r="E39" t="inlineStr"/>
      <c r="F39" t="inlineStr">
        <is>
          <t>OPEN</t>
        </is>
      </c>
    </row>
    <row r="40">
      <c r="B40" t="n">
        <v>3</v>
      </c>
      <c r="C40" t="inlineStr">
        <is>
          <t>rating-agency feedback</t>
        </is>
      </c>
      <c r="D40" t="inlineStr"/>
      <c r="E40" t="inlineStr"/>
      <c r="F40" t="inlineStr">
        <is>
          <t>OPEN</t>
        </is>
      </c>
    </row>
    <row r="41">
      <c r="B41" t="n">
        <v>4</v>
      </c>
      <c r="C41" t="inlineStr">
        <is>
          <t>approved model card and assumption register</t>
        </is>
      </c>
      <c r="D41" t="inlineStr"/>
      <c r="E41" t="inlineStr"/>
      <c r="F41" t="inlineStr">
        <is>
          <t>OPEN</t>
        </is>
      </c>
    </row>
    <row r="42">
      <c r="B42" t="n">
        <v>5</v>
      </c>
      <c r="C42" t="inlineStr">
        <is>
          <t>independent validation and challenge record</t>
        </is>
      </c>
      <c r="D42" t="inlineStr"/>
      <c r="E42" t="inlineStr"/>
      <c r="F42" t="inlineStr">
        <is>
          <t>OPEN</t>
        </is>
      </c>
    </row>
    <row r="44">
      <c r="B44" s="44" t="inlineStr">
        <is>
          <t>Challenge tests</t>
        </is>
      </c>
    </row>
    <row r="45">
      <c r="B45" s="45" t="inlineStr">
        <is>
          <t>#</t>
        </is>
      </c>
      <c r="C45" s="45" t="inlineStr">
        <is>
          <t>Requirement</t>
        </is>
      </c>
      <c r="D45" s="45" t="inlineStr">
        <is>
          <t>Owner</t>
        </is>
      </c>
      <c r="E45" s="45" t="inlineStr">
        <is>
          <t>Evidence / location</t>
        </is>
      </c>
      <c r="F45" s="45" t="inlineStr">
        <is>
          <t>Status</t>
        </is>
      </c>
    </row>
    <row r="46">
      <c r="B46" t="n">
        <v>1</v>
      </c>
      <c r="C46" t="inlineStr">
        <is>
          <t>sources and uses balance</t>
        </is>
      </c>
      <c r="D46" t="inlineStr"/>
      <c r="E46" t="inlineStr"/>
      <c r="F46" t="inlineStr">
        <is>
          <t>OPEN</t>
        </is>
      </c>
    </row>
    <row r="47">
      <c r="B47" t="n">
        <v>2</v>
      </c>
      <c r="C47" t="inlineStr">
        <is>
          <t>all-in yield includes fees and OID</t>
        </is>
      </c>
      <c r="D47" t="inlineStr"/>
      <c r="E47" t="inlineStr"/>
      <c r="F47" t="inlineStr">
        <is>
          <t>OPEN</t>
        </is>
      </c>
    </row>
    <row r="48">
      <c r="B48" t="n">
        <v>3</v>
      </c>
      <c r="C48" t="inlineStr">
        <is>
          <t>maturity ladder equals debt ledger</t>
        </is>
      </c>
      <c r="D48" t="inlineStr"/>
      <c r="E48" t="inlineStr"/>
      <c r="F48" t="inlineStr">
        <is>
          <t>OPEN</t>
        </is>
      </c>
    </row>
    <row r="49">
      <c r="B49" t="n">
        <v>4</v>
      </c>
      <c r="C49" t="inlineStr">
        <is>
          <t>source-to-model lineage is reproducible</t>
        </is>
      </c>
      <c r="D49" t="inlineStr"/>
      <c r="E49" t="inlineStr"/>
      <c r="F49" t="inlineStr">
        <is>
          <t>OPEN</t>
        </is>
      </c>
    </row>
    <row r="50">
      <c r="B50" t="n">
        <v>5</v>
      </c>
      <c r="C50" t="inlineStr">
        <is>
          <t>units, signs, dates and legal definitions reconcile</t>
        </is>
      </c>
      <c r="D50" t="inlineStr"/>
      <c r="E50" t="inlineStr"/>
      <c r="F50" t="inlineStr">
        <is>
          <t>OPEN</t>
        </is>
      </c>
    </row>
    <row r="52">
      <c r="B52" s="44" t="inlineStr">
        <is>
          <t>Known failure modes</t>
        </is>
      </c>
    </row>
    <row r="53">
      <c r="B53" s="45" t="inlineStr">
        <is>
          <t>#</t>
        </is>
      </c>
      <c r="C53" s="45" t="inlineStr">
        <is>
          <t>Requirement</t>
        </is>
      </c>
      <c r="D53" s="45" t="inlineStr">
        <is>
          <t>Owner</t>
        </is>
      </c>
      <c r="E53" s="45" t="inlineStr">
        <is>
          <t>Evidence / location</t>
        </is>
      </c>
      <c r="F53" s="45" t="inlineStr">
        <is>
          <t>Status</t>
        </is>
      </c>
    </row>
    <row r="54">
      <c r="B54" t="n">
        <v>1</v>
      </c>
      <c r="C54" t="inlineStr">
        <is>
          <t>quoting coupon instead of all-in cost</t>
        </is>
      </c>
      <c r="D54" t="inlineStr"/>
      <c r="E54" t="inlineStr"/>
      <c r="F54" t="inlineStr">
        <is>
          <t>OPEN</t>
        </is>
      </c>
    </row>
    <row r="55">
      <c r="B55" t="n">
        <v>2</v>
      </c>
      <c r="C55" t="inlineStr">
        <is>
          <t>missing ticking fees and flex</t>
        </is>
      </c>
      <c r="D55" t="inlineStr"/>
      <c r="E55" t="inlineStr"/>
      <c r="F55" t="inlineStr">
        <is>
          <t>OPEN</t>
        </is>
      </c>
    </row>
    <row r="56">
      <c r="B56" t="n">
        <v>3</v>
      </c>
      <c r="C56" t="inlineStr">
        <is>
          <t>assuming refinancing proceeds before conditions</t>
        </is>
      </c>
      <c r="D56" t="inlineStr"/>
      <c r="E56" t="inlineStr"/>
      <c r="F56" t="inlineStr">
        <is>
          <t>OPEN</t>
        </is>
      </c>
    </row>
    <row r="57">
      <c r="B57" t="n">
        <v>4</v>
      </c>
      <c r="C57" t="inlineStr">
        <is>
          <t>stale vintage presented as current</t>
        </is>
      </c>
      <c r="D57" t="inlineStr"/>
      <c r="E57" t="inlineStr"/>
      <c r="F57" t="inlineStr">
        <is>
          <t>OPEN</t>
        </is>
      </c>
    </row>
    <row r="58">
      <c r="B58" t="n">
        <v>5</v>
      </c>
      <c r="C58" t="inlineStr">
        <is>
          <t>decision output disconnected from a binding constraint</t>
        </is>
      </c>
      <c r="D58" t="inlineStr"/>
      <c r="E58" t="inlineStr"/>
      <c r="F58" t="inlineStr">
        <is>
          <t>OPEN</t>
        </is>
      </c>
    </row>
    <row r="60">
      <c r="B60" s="44" t="inlineStr">
        <is>
          <t>Regulatory / methodological anchors</t>
        </is>
      </c>
    </row>
    <row r="61">
      <c r="B61" s="45" t="inlineStr">
        <is>
          <t>Standard</t>
        </is>
      </c>
      <c r="C61" s="45" t="inlineStr">
        <is>
          <t>Scope</t>
        </is>
      </c>
      <c r="D61" s="45" t="inlineStr">
        <is>
          <t>Source URL</t>
        </is>
      </c>
      <c r="E61" s="45" t="inlineStr">
        <is>
          <t>Applicability</t>
        </is>
      </c>
      <c r="F61" s="45" t="inlineStr">
        <is>
          <t>Review note</t>
        </is>
      </c>
    </row>
    <row r="62">
      <c r="B62" t="inlineStr">
        <is>
          <t>Federal Reserve SR 26-2 Model Risk Management</t>
        </is>
      </c>
      <c r="C62" t="inlineStr">
        <is>
          <t>governance, validation, change control, monitoring</t>
        </is>
      </c>
      <c r="D62" t="inlineStr">
        <is>
          <t>https://www.federalreserve.gov/supervisionreg/srletters/SR2602.htm</t>
        </is>
      </c>
      <c r="E62" t="inlineStr">
        <is>
          <t>Map explicitly</t>
        </is>
      </c>
      <c r="F62" t="inlineStr"/>
    </row>
    <row r="63">
      <c r="B63" t="inlineStr">
        <is>
          <t>Basel SRP31 IRRBB</t>
        </is>
      </c>
      <c r="C63" t="inlineStr">
        <is>
          <t>EVE/NII, basis and option risk</t>
        </is>
      </c>
      <c r="D63" t="inlineStr">
        <is>
          <t>https://www.bis.org/basel_framework/chapter/SRP/31.htm</t>
        </is>
      </c>
      <c r="E63" t="inlineStr">
        <is>
          <t>Map explicitly</t>
        </is>
      </c>
      <c r="F63" t="inlineStr"/>
    </row>
  </sheetData>
  <mergeCells count="15">
    <mergeCell ref="B44:F44"/>
    <mergeCell ref="C9:F9"/>
    <mergeCell ref="B12:F12"/>
    <mergeCell ref="B2:F2"/>
    <mergeCell ref="C8:F8"/>
    <mergeCell ref="C4:F4"/>
    <mergeCell ref="B20:F20"/>
    <mergeCell ref="B28:F28"/>
    <mergeCell ref="C6:F6"/>
    <mergeCell ref="C7:F7"/>
    <mergeCell ref="B60:F60"/>
    <mergeCell ref="B36:F36"/>
    <mergeCell ref="C10:F10"/>
    <mergeCell ref="C5:F5"/>
    <mergeCell ref="B52:F52"/>
  </mergeCells>
  <dataValidations count="6">
    <dataValidation sqref="F14:F18" showDropDown="0" showInputMessage="0" showErrorMessage="0" allowBlank="0" type="list">
      <formula1>"OPEN,IN REVIEW,CLOSED,NOT APPLICABLE"</formula1>
    </dataValidation>
    <dataValidation sqref="F22:F26" showDropDown="0" showInputMessage="0" showErrorMessage="0" allowBlank="0" type="list">
      <formula1>"OPEN,IN REVIEW,CLOSED,NOT APPLICABLE"</formula1>
    </dataValidation>
    <dataValidation sqref="F30:F34" showDropDown="0" showInputMessage="0" showErrorMessage="0" allowBlank="0" type="list">
      <formula1>"OPEN,IN REVIEW,CLOSED,NOT APPLICABLE"</formula1>
    </dataValidation>
    <dataValidation sqref="F38:F42" showDropDown="0" showInputMessage="0" showErrorMessage="0" allowBlank="0" type="list">
      <formula1>"OPEN,IN REVIEW,CLOSED,NOT APPLICABLE"</formula1>
    </dataValidation>
    <dataValidation sqref="F46:F50" showDropDown="0" showInputMessage="0" showErrorMessage="0" allowBlank="0" type="list">
      <formula1>"OPEN,IN REVIEW,CLOSED,NOT APPLICABLE"</formula1>
    </dataValidation>
    <dataValidation sqref="F54:F58" showDropDown="0" showInputMessage="0" showErrorMessage="0" allowBlank="0" type="list">
      <formula1>"OPEN,IN REVIEW,CLOSED,NOT APPLICABLE"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2" max="2"/>
    <col width="22" customWidth="1" min="3" max="3"/>
    <col width="52" customWidth="1" min="4" max="4"/>
    <col width="46" customWidth="1" min="5" max="5"/>
    <col width="36" customWidth="1" min="6" max="6"/>
    <col width="14" customWidth="1" min="7" max="7"/>
    <col width="18" customWidth="1" min="8" max="8"/>
    <col width="14" customWidth="1" min="9" max="9"/>
  </cols>
  <sheetData>
    <row r="2">
      <c r="B2" s="41" t="inlineStr">
        <is>
          <t>Independent Challenge, Override and Closure Log</t>
        </is>
      </c>
    </row>
    <row r="4">
      <c r="B4" s="45" t="inlineStr">
        <is>
          <t>Date</t>
        </is>
      </c>
      <c r="C4" s="45" t="inlineStr">
        <is>
          <t>Reviewer</t>
        </is>
      </c>
      <c r="D4" s="45" t="inlineStr">
        <is>
          <t>Challenge</t>
        </is>
      </c>
      <c r="E4" s="45" t="inlineStr">
        <is>
          <t>Owner response</t>
        </is>
      </c>
      <c r="F4" s="45" t="inlineStr">
        <is>
          <t>Evidence</t>
        </is>
      </c>
      <c r="G4" s="45" t="inlineStr">
        <is>
          <t>Impact</t>
        </is>
      </c>
      <c r="H4" s="45" t="inlineStr">
        <is>
          <t>Status</t>
        </is>
      </c>
      <c r="I4" s="45" t="inlineStr">
        <is>
          <t>Closure</t>
        </is>
      </c>
    </row>
    <row r="5">
      <c r="B5" t="inlineStr"/>
      <c r="C5" t="inlineStr"/>
      <c r="D5" t="inlineStr">
        <is>
          <t>sources and uses balance</t>
        </is>
      </c>
      <c r="E5" t="inlineStr"/>
      <c r="F5" t="inlineStr"/>
      <c r="G5" t="inlineStr"/>
      <c r="H5" t="inlineStr">
        <is>
          <t>OPEN</t>
        </is>
      </c>
      <c r="I5" t="inlineStr"/>
    </row>
    <row r="6">
      <c r="B6" t="inlineStr"/>
      <c r="C6" t="inlineStr"/>
      <c r="D6" t="inlineStr">
        <is>
          <t>all-in yield includes fees and OID</t>
        </is>
      </c>
      <c r="E6" t="inlineStr"/>
      <c r="F6" t="inlineStr"/>
      <c r="G6" t="inlineStr"/>
      <c r="H6" t="inlineStr">
        <is>
          <t>OPEN</t>
        </is>
      </c>
      <c r="I6" t="inlineStr"/>
    </row>
    <row r="7">
      <c r="B7" t="inlineStr"/>
      <c r="C7" t="inlineStr"/>
      <c r="D7" t="inlineStr">
        <is>
          <t>maturity ladder equals debt ledger</t>
        </is>
      </c>
      <c r="E7" t="inlineStr"/>
      <c r="F7" t="inlineStr"/>
      <c r="G7" t="inlineStr"/>
      <c r="H7" t="inlineStr">
        <is>
          <t>OPEN</t>
        </is>
      </c>
      <c r="I7" t="inlineStr"/>
    </row>
    <row r="8">
      <c r="B8" t="inlineStr"/>
      <c r="C8" t="inlineStr"/>
      <c r="D8" t="inlineStr">
        <is>
          <t>source-to-model lineage is reproducible</t>
        </is>
      </c>
      <c r="E8" t="inlineStr"/>
      <c r="F8" t="inlineStr"/>
      <c r="G8" t="inlineStr"/>
      <c r="H8" t="inlineStr">
        <is>
          <t>OPEN</t>
        </is>
      </c>
      <c r="I8" t="inlineStr"/>
    </row>
    <row r="9">
      <c r="B9" t="inlineStr"/>
      <c r="C9" t="inlineStr"/>
      <c r="D9" t="inlineStr">
        <is>
          <t>units, signs, dates and legal definitions reconcile</t>
        </is>
      </c>
      <c r="E9" t="inlineStr"/>
      <c r="F9" t="inlineStr"/>
      <c r="G9" t="inlineStr"/>
      <c r="H9" t="inlineStr">
        <is>
          <t>OPEN</t>
        </is>
      </c>
      <c r="I9" t="inlineStr"/>
    </row>
  </sheetData>
  <mergeCells count="1">
    <mergeCell ref="B2:I2"/>
  </mergeCells>
  <dataValidations count="2">
    <dataValidation sqref="H5:H54" showDropDown="0" showInputMessage="0" showErrorMessage="0" allowBlank="0" type="list">
      <formula1>"OPEN,IN REVIEW,REMEDIATED,ACCEPTED RISK,CLOSED"</formula1>
    </dataValidation>
    <dataValidation sqref="G5:G54" showDropDown="0" showInputMessage="0" showErrorMessage="0" allowBlank="0" type="list">
      <formula1>"LOW,MEDIUM,HIGH,CRITICAL"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8" customWidth="1" min="3" max="3"/>
    <col width="42" customWidth="1" min="4" max="4"/>
    <col width="24" customWidth="1" min="5" max="5"/>
    <col width="18" customWidth="1" min="6" max="6"/>
    <col width="22" customWidth="1" min="7" max="7"/>
    <col width="42" customWidth="1" min="8" max="8"/>
    <col width="30" customWidth="1" min="9" max="9"/>
    <col width="15" customWidth="1" min="10" max="10"/>
  </cols>
  <sheetData>
    <row r="2">
      <c r="B2" s="41" t="inlineStr">
        <is>
          <t>Source, Transformation, Ownership and Refresh Map</t>
        </is>
      </c>
    </row>
    <row r="4">
      <c r="B4" s="45" t="inlineStr">
        <is>
          <t>Source class</t>
        </is>
      </c>
      <c r="C4" s="45" t="inlineStr">
        <is>
          <t>Cadence</t>
        </is>
      </c>
      <c r="D4" s="45" t="inlineStr">
        <is>
          <t>Control</t>
        </is>
      </c>
      <c r="E4" s="45" t="inlineStr">
        <is>
          <t>System / provider</t>
        </is>
      </c>
      <c r="F4" s="45" t="inlineStr">
        <is>
          <t>As-of</t>
        </is>
      </c>
      <c r="G4" s="45" t="inlineStr">
        <is>
          <t>Owner</t>
        </is>
      </c>
      <c r="H4" s="45" t="inlineStr">
        <is>
          <t>Transform</t>
        </is>
      </c>
      <c r="I4" s="45" t="inlineStr">
        <is>
          <t>Downstream</t>
        </is>
      </c>
      <c r="J4" s="45" t="inlineStr">
        <is>
          <t>Status</t>
        </is>
      </c>
    </row>
    <row r="5">
      <c r="B5" t="inlineStr">
        <is>
          <t>debt ledger</t>
        </is>
      </c>
      <c r="C5" t="inlineStr">
        <is>
          <t>daily/weekly</t>
        </is>
      </c>
      <c r="D5" t="inlineStr">
        <is>
          <t>principal and legal-entity reconciliation</t>
        </is>
      </c>
      <c r="E5" t="inlineStr"/>
      <c r="F5" t="inlineStr"/>
      <c r="G5" t="inlineStr"/>
      <c r="H5" t="inlineStr"/>
      <c r="I5" t="inlineStr"/>
      <c r="J5" t="inlineStr">
        <is>
          <t>TO MAP</t>
        </is>
      </c>
    </row>
    <row r="6">
      <c r="B6" t="inlineStr">
        <is>
          <t>curves and spreads</t>
        </is>
      </c>
      <c r="C6" t="inlineStr">
        <is>
          <t>daily</t>
        </is>
      </c>
      <c r="D6" t="inlineStr">
        <is>
          <t>timestamped executable levels</t>
        </is>
      </c>
      <c r="E6" t="inlineStr"/>
      <c r="F6" t="inlineStr"/>
      <c r="G6" t="inlineStr"/>
      <c r="H6" t="inlineStr"/>
      <c r="I6" t="inlineStr"/>
      <c r="J6" t="inlineStr">
        <is>
          <t>TO MAP</t>
        </is>
      </c>
    </row>
    <row r="7">
      <c r="B7" t="inlineStr">
        <is>
          <t>model governance evidence</t>
        </is>
      </c>
      <c r="C7" t="inlineStr">
        <is>
          <t>per release</t>
        </is>
      </c>
      <c r="D7" t="inlineStr">
        <is>
          <t>version, reviewer, sign-off and change log</t>
        </is>
      </c>
      <c r="E7" t="inlineStr"/>
      <c r="F7" t="inlineStr"/>
      <c r="G7" t="inlineStr"/>
      <c r="H7" t="inlineStr"/>
      <c r="I7" t="inlineStr"/>
      <c r="J7" t="inlineStr">
        <is>
          <t>TO MAP</t>
        </is>
      </c>
    </row>
    <row r="8">
      <c r="B8" t="inlineStr">
        <is>
          <t>decision-use snapshot</t>
        </is>
      </c>
      <c r="C8" t="inlineStr">
        <is>
          <t>per decision</t>
        </is>
      </c>
      <c r="D8" t="inlineStr">
        <is>
          <t>immutable as-of date and source receipt</t>
        </is>
      </c>
      <c r="E8" t="inlineStr"/>
      <c r="F8" t="inlineStr"/>
      <c r="G8" t="inlineStr"/>
      <c r="H8" t="inlineStr"/>
      <c r="I8" t="inlineStr"/>
      <c r="J8" t="inlineStr">
        <is>
          <t>TO MAP</t>
        </is>
      </c>
    </row>
  </sheetData>
  <mergeCells count="1">
    <mergeCell ref="B2:J2"/>
  </mergeCells>
  <dataValidations count="1">
    <dataValidation sqref="J5:J40" showDropDown="0" showInputMessage="0" showErrorMessage="0" allowBlank="0" type="list">
      <formula1>"TO MAP,ACTIVE,STALE,EXCEPTION,RETIRED"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5" customWidth="1" min="3" max="3"/>
    <col width="15" customWidth="1" min="4" max="4"/>
    <col width="15" customWidth="1" min="5" max="5"/>
    <col width="30" customWidth="1" min="6" max="6"/>
  </cols>
  <sheetData>
    <row r="2" ht="28" customHeight="1">
      <c r="B2" s="1" t="inlineStr">
        <is>
          <t>Issuance &amp; Capital Structure Assumptions</t>
        </is>
      </c>
    </row>
    <row r="4">
      <c r="B4" s="8" t="inlineStr">
        <is>
          <t>Assumption</t>
        </is>
      </c>
      <c r="C4" s="8" t="inlineStr">
        <is>
          <t>Base</t>
        </is>
      </c>
      <c r="D4" s="8" t="inlineStr">
        <is>
          <t>Downside</t>
        </is>
      </c>
      <c r="E4" s="8" t="inlineStr">
        <is>
          <t>Active</t>
        </is>
      </c>
      <c r="F4" s="8" t="inlineStr">
        <is>
          <t>Note</t>
        </is>
      </c>
    </row>
    <row r="5">
      <c r="B5" t="inlineStr">
        <is>
          <t>EBITDA</t>
        </is>
      </c>
      <c r="C5" s="9" t="n">
        <v>120</v>
      </c>
      <c r="D5" s="9" t="n">
        <v>95</v>
      </c>
      <c r="E5" s="10">
        <f>IF(Cover!$C$9="Downside",D5,C5)</f>
        <v/>
      </c>
    </row>
    <row r="6">
      <c r="B6" t="inlineStr">
        <is>
          <t>Cash</t>
        </is>
      </c>
      <c r="C6" s="9" t="n">
        <v>40</v>
      </c>
      <c r="D6" s="9" t="n">
        <v>25</v>
      </c>
      <c r="E6" s="10">
        <f>IF(Cover!$C$9="Downside",D6,C6)</f>
        <v/>
      </c>
    </row>
    <row r="7">
      <c r="B7" t="inlineStr">
        <is>
          <t>Revolver drawn</t>
        </is>
      </c>
      <c r="C7" s="9" t="n">
        <v>25</v>
      </c>
      <c r="D7" s="9" t="n">
        <v>75</v>
      </c>
      <c r="E7" s="10">
        <f>IF(Cover!$C$9="Downside",D7,C7)</f>
        <v/>
      </c>
    </row>
    <row r="8">
      <c r="B8" t="inlineStr">
        <is>
          <t>Term loan</t>
        </is>
      </c>
      <c r="C8" s="9" t="n">
        <v>300</v>
      </c>
      <c r="D8" s="9" t="n">
        <v>300</v>
      </c>
      <c r="E8" s="10">
        <f>IF(Cover!$C$9="Downside",D8,C8)</f>
        <v/>
      </c>
    </row>
    <row r="9">
      <c r="B9" t="inlineStr">
        <is>
          <t>Senior notes</t>
        </is>
      </c>
      <c r="C9" s="9" t="n">
        <v>250</v>
      </c>
      <c r="D9" s="9" t="n">
        <v>250</v>
      </c>
      <c r="E9" s="10">
        <f>IF(Cover!$C$9="Downside",D9,C9)</f>
        <v/>
      </c>
    </row>
    <row r="10">
      <c r="B10" t="inlineStr">
        <is>
          <t>Other debt</t>
        </is>
      </c>
      <c r="C10" s="9" t="n">
        <v>50</v>
      </c>
      <c r="D10" s="9" t="n">
        <v>50</v>
      </c>
      <c r="E10" s="10">
        <f>IF(Cover!$C$9="Downside",D10,C10)</f>
        <v/>
      </c>
    </row>
    <row r="11">
      <c r="B11" t="inlineStr">
        <is>
          <t>Base rate</t>
        </is>
      </c>
      <c r="C11" s="11" t="n">
        <v>0.045</v>
      </c>
      <c r="D11" s="11" t="n">
        <v>0.06</v>
      </c>
      <c r="E11" s="12">
        <f>IF(Cover!$C$9="Downside",D11,C11)</f>
        <v/>
      </c>
    </row>
    <row r="12">
      <c r="B12" t="inlineStr">
        <is>
          <t>Revolver spread</t>
        </is>
      </c>
      <c r="C12" s="11" t="n">
        <v>0.025</v>
      </c>
      <c r="D12" s="11" t="n">
        <v>0.04</v>
      </c>
      <c r="E12" s="12">
        <f>IF(Cover!$C$9="Downside",D12,C12)</f>
        <v/>
      </c>
    </row>
    <row r="13">
      <c r="B13" t="inlineStr">
        <is>
          <t>Term loan spread</t>
        </is>
      </c>
      <c r="C13" s="11" t="n">
        <v>0.04</v>
      </c>
      <c r="D13" s="11" t="n">
        <v>0.06</v>
      </c>
      <c r="E13" s="12">
        <f>IF(Cover!$C$9="Downside",D13,C13)</f>
        <v/>
      </c>
    </row>
    <row r="14">
      <c r="B14" t="inlineStr">
        <is>
          <t>Senior notes coupon</t>
        </is>
      </c>
      <c r="C14" s="11" t="n">
        <v>0.055</v>
      </c>
      <c r="D14" s="11" t="n">
        <v>0.07000000000000001</v>
      </c>
      <c r="E14" s="12">
        <f>IF(Cover!$C$9="Downside",D14,C14)</f>
        <v/>
      </c>
    </row>
    <row r="15">
      <c r="B15" t="inlineStr">
        <is>
          <t>New issue spread</t>
        </is>
      </c>
      <c r="C15" s="11" t="n">
        <v>0.045</v>
      </c>
      <c r="D15" s="11" t="n">
        <v>0.075</v>
      </c>
      <c r="E15" s="12">
        <f>IF(Cover!$C$9="Downside",D15,C15)</f>
        <v/>
      </c>
    </row>
    <row r="16">
      <c r="B16" t="inlineStr">
        <is>
          <t>OID / fees</t>
        </is>
      </c>
      <c r="C16" s="11" t="n">
        <v>0.02</v>
      </c>
      <c r="D16" s="11" t="n">
        <v>0.03</v>
      </c>
      <c r="E16" s="12">
        <f>IF(Cover!$C$9="Downside",D16,C16)</f>
        <v/>
      </c>
    </row>
    <row r="17">
      <c r="B17" t="inlineStr">
        <is>
          <t>Minimum cash</t>
        </is>
      </c>
      <c r="C17" s="9" t="n">
        <v>25</v>
      </c>
      <c r="D17" s="9" t="n">
        <v>30</v>
      </c>
      <c r="E17" s="10">
        <f>IF(Cover!$C$9="Downside",D17,C17)</f>
        <v/>
      </c>
    </row>
    <row r="18">
      <c r="B18" t="inlineStr">
        <is>
          <t>Max leverage</t>
        </is>
      </c>
      <c r="C18" s="13" t="n">
        <v>5.5</v>
      </c>
      <c r="D18" s="13" t="n">
        <v>5</v>
      </c>
      <c r="E18" s="14">
        <f>IF(Cover!$C$9="Downside",D18,C18)</f>
        <v/>
      </c>
    </row>
    <row r="19">
      <c r="B19" t="inlineStr">
        <is>
          <t>Min interest coverage</t>
        </is>
      </c>
      <c r="C19" s="13" t="n">
        <v>2</v>
      </c>
      <c r="D19" s="13" t="n">
        <v>1.75</v>
      </c>
      <c r="E19" s="14">
        <f>IF(Cover!$C$9="Downside",D19,C19)</f>
        <v/>
      </c>
    </row>
    <row r="20">
      <c r="B20" t="inlineStr">
        <is>
          <t>Recovery multiple</t>
        </is>
      </c>
      <c r="C20" s="13" t="n">
        <v>5</v>
      </c>
      <c r="D20" s="13" t="n">
        <v>4</v>
      </c>
      <c r="E20" s="14">
        <f>IF(Cover!$C$9="Downside",D20,C20)</f>
        <v/>
      </c>
    </row>
    <row r="21">
      <c r="B21" t="inlineStr">
        <is>
          <t>EV haircut</t>
        </is>
      </c>
      <c r="C21" s="11" t="n">
        <v>0.2</v>
      </c>
      <c r="D21" s="11" t="n">
        <v>0.35</v>
      </c>
      <c r="E21" s="12">
        <f>IF(Cover!$C$9="Downside",D21,C21)</f>
        <v/>
      </c>
    </row>
  </sheetData>
  <mergeCells count="1">
    <mergeCell ref="B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6" customWidth="1" min="3" max="3"/>
    <col width="14" customWidth="1" min="4" max="4"/>
    <col width="18" customWidth="1" min="5" max="5"/>
    <col width="12" customWidth="1" min="6" max="6"/>
    <col width="14" customWidth="1" min="7" max="7"/>
  </cols>
  <sheetData>
    <row r="2" ht="28" customHeight="1">
      <c r="B2" s="1" t="inlineStr">
        <is>
          <t>Current Capital Structure</t>
        </is>
      </c>
    </row>
    <row r="4">
      <c r="B4" s="8" t="inlineStr">
        <is>
          <t>Instrument</t>
        </is>
      </c>
      <c r="C4" s="8" t="inlineStr">
        <is>
          <t>Balance</t>
        </is>
      </c>
      <c r="D4" s="8" t="inlineStr">
        <is>
          <t>Rate</t>
        </is>
      </c>
      <c r="E4" s="8" t="inlineStr">
        <is>
          <t>Annual interest</t>
        </is>
      </c>
      <c r="F4" s="8" t="inlineStr">
        <is>
          <t>Seniority</t>
        </is>
      </c>
      <c r="G4" s="8" t="inlineStr">
        <is>
          <t>Secured?</t>
        </is>
      </c>
    </row>
    <row r="5">
      <c r="B5" t="inlineStr">
        <is>
          <t>Revolver</t>
        </is>
      </c>
      <c r="C5" s="15">
        <f>Assumptions!E7</f>
        <v/>
      </c>
      <c r="D5" s="16">
        <f>Assumptions!E12</f>
        <v/>
      </c>
      <c r="E5" s="15">
        <f>C5*D5</f>
        <v/>
      </c>
      <c r="F5" t="inlineStr">
        <is>
          <t>1</t>
        </is>
      </c>
      <c r="G5" t="inlineStr">
        <is>
          <t>Yes</t>
        </is>
      </c>
    </row>
    <row r="6">
      <c r="B6" t="inlineStr">
        <is>
          <t>Term loan</t>
        </is>
      </c>
      <c r="C6" s="15">
        <f>Assumptions!E8</f>
        <v/>
      </c>
      <c r="D6" s="16">
        <f>Assumptions!E11+Assumptions!E13</f>
        <v/>
      </c>
      <c r="E6" s="15">
        <f>C6*D6</f>
        <v/>
      </c>
      <c r="F6" t="inlineStr">
        <is>
          <t>2</t>
        </is>
      </c>
      <c r="G6" t="inlineStr">
        <is>
          <t>Yes</t>
        </is>
      </c>
    </row>
    <row r="7">
      <c r="B7" t="inlineStr">
        <is>
          <t>Senior notes</t>
        </is>
      </c>
      <c r="C7" s="15">
        <f>Assumptions!E9</f>
        <v/>
      </c>
      <c r="D7" s="16">
        <f>Assumptions!E14</f>
        <v/>
      </c>
      <c r="E7" s="15">
        <f>C7*D7</f>
        <v/>
      </c>
      <c r="F7" t="inlineStr">
        <is>
          <t>3</t>
        </is>
      </c>
      <c r="G7" t="inlineStr">
        <is>
          <t>No</t>
        </is>
      </c>
    </row>
    <row r="8">
      <c r="B8" t="inlineStr">
        <is>
          <t>Other debt</t>
        </is>
      </c>
      <c r="C8" s="15">
        <f>Assumptions!E10</f>
        <v/>
      </c>
      <c r="D8" s="16">
        <f>Assumptions!E14</f>
        <v/>
      </c>
      <c r="E8" s="15">
        <f>C8*D8</f>
        <v/>
      </c>
      <c r="F8" t="inlineStr">
        <is>
          <t>4</t>
        </is>
      </c>
      <c r="G8" t="inlineStr">
        <is>
          <t>Varies</t>
        </is>
      </c>
    </row>
    <row r="10">
      <c r="B10" s="17" t="inlineStr">
        <is>
          <t>Gross debt</t>
        </is>
      </c>
      <c r="C10" s="18">
        <f>SUM(C5:C8)</f>
        <v/>
      </c>
    </row>
    <row r="11">
      <c r="B11" s="17" t="inlineStr">
        <is>
          <t>Net debt</t>
        </is>
      </c>
      <c r="C11" s="18">
        <f>C10-Assumptions!E6</f>
        <v/>
      </c>
    </row>
    <row r="12">
      <c r="B12" s="17" t="inlineStr">
        <is>
          <t>Cash interest</t>
        </is>
      </c>
      <c r="C12" s="18">
        <f>SUM(E5:E8)</f>
        <v/>
      </c>
    </row>
    <row r="13">
      <c r="B13" s="17" t="inlineStr">
        <is>
          <t>Gross leverage</t>
        </is>
      </c>
      <c r="C13" s="19">
        <f>IFERROR(C10/Assumptions!E5,0)</f>
        <v/>
      </c>
    </row>
    <row r="14">
      <c r="B14" s="17" t="inlineStr">
        <is>
          <t>Net leverage</t>
        </is>
      </c>
      <c r="C14" s="19">
        <f>IFERROR(C11/Assumptions!E5,0)</f>
        <v/>
      </c>
    </row>
    <row r="15">
      <c r="B15" s="17" t="inlineStr">
        <is>
          <t>Interest coverage</t>
        </is>
      </c>
      <c r="C15" s="19">
        <f>IFERROR(Assumptions!E5/C12,0)</f>
        <v/>
      </c>
    </row>
  </sheetData>
  <mergeCells count="1">
    <mergeCell ref="B2: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H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2" ht="28" customHeight="1">
      <c r="B2" s="1" t="inlineStr">
        <is>
          <t>Contractual Maturity Ladder</t>
        </is>
      </c>
    </row>
    <row r="4">
      <c r="B4" s="8" t="inlineStr">
        <is>
          <t>Instrument</t>
        </is>
      </c>
      <c r="C4" s="8" t="inlineStr">
        <is>
          <t>Year 1</t>
        </is>
      </c>
      <c r="D4" s="8" t="inlineStr">
        <is>
          <t>Year 2</t>
        </is>
      </c>
      <c r="E4" s="8" t="inlineStr">
        <is>
          <t>Year 3</t>
        </is>
      </c>
      <c r="F4" s="8" t="inlineStr">
        <is>
          <t>Year 4</t>
        </is>
      </c>
      <c r="G4" s="8" t="inlineStr">
        <is>
          <t>Year 5</t>
        </is>
      </c>
      <c r="H4" s="8" t="inlineStr">
        <is>
          <t>Beyond</t>
        </is>
      </c>
    </row>
    <row r="5">
      <c r="B5" t="inlineStr">
        <is>
          <t>Revolver</t>
        </is>
      </c>
      <c r="C5" s="9" t="n">
        <v>0</v>
      </c>
      <c r="D5" s="9" t="n">
        <v>0</v>
      </c>
      <c r="E5" s="9" t="n">
        <v>25</v>
      </c>
      <c r="F5" s="9" t="n">
        <v>0</v>
      </c>
      <c r="G5" s="9" t="n">
        <v>0</v>
      </c>
      <c r="H5" s="9" t="n">
        <v>0</v>
      </c>
    </row>
    <row r="6">
      <c r="B6" t="inlineStr">
        <is>
          <t>Term loan</t>
        </is>
      </c>
      <c r="C6" s="9" t="n">
        <v>3</v>
      </c>
      <c r="D6" s="9" t="n">
        <v>3</v>
      </c>
      <c r="E6" s="9" t="n">
        <v>3</v>
      </c>
      <c r="F6" s="9" t="n">
        <v>3</v>
      </c>
      <c r="G6" s="9" t="n">
        <v>288</v>
      </c>
      <c r="H6" s="9" t="n">
        <v>0</v>
      </c>
    </row>
    <row r="7">
      <c r="B7" t="inlineStr">
        <is>
          <t>Senior notes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250</v>
      </c>
    </row>
    <row r="8">
      <c r="B8" t="inlineStr">
        <is>
          <t>Other debt</t>
        </is>
      </c>
      <c r="C8" s="9" t="n">
        <v>10</v>
      </c>
      <c r="D8" s="9" t="n">
        <v>10</v>
      </c>
      <c r="E8" s="9" t="n">
        <v>10</v>
      </c>
      <c r="F8" s="9" t="n">
        <v>10</v>
      </c>
      <c r="G8" s="9" t="n">
        <v>10</v>
      </c>
      <c r="H8" s="9" t="n">
        <v>0</v>
      </c>
    </row>
    <row r="10">
      <c r="B10" s="17" t="inlineStr">
        <is>
          <t>Total maturities</t>
        </is>
      </c>
      <c r="C10" s="18">
        <f>SUM(C5:C8)</f>
        <v/>
      </c>
      <c r="D10" s="18">
        <f>SUM(D5:D8)</f>
        <v/>
      </c>
      <c r="E10" s="18">
        <f>SUM(E5:E8)</f>
        <v/>
      </c>
      <c r="F10" s="18">
        <f>SUM(F5:F8)</f>
        <v/>
      </c>
      <c r="G10" s="18">
        <f>SUM(G5:G8)</f>
        <v/>
      </c>
      <c r="H10" s="18">
        <f>SUM(H5:H8)</f>
        <v/>
      </c>
    </row>
    <row r="12">
      <c r="B12" t="inlineStr">
        <is>
          <t>Cumulative maturities / gross debt</t>
        </is>
      </c>
      <c r="C12" s="16">
        <f>IFERROR(SUM($C$10:C10)/'Capital Structure'!$C$10,0)</f>
        <v/>
      </c>
      <c r="D12" s="16">
        <f>IFERROR(SUM($C$10:D10)/'Capital Structure'!$C$10,0)</f>
        <v/>
      </c>
      <c r="E12" s="16">
        <f>IFERROR(SUM($C$10:E10)/'Capital Structure'!$C$10,0)</f>
        <v/>
      </c>
      <c r="F12" s="16">
        <f>IFERROR(SUM($C$10:F10)/'Capital Structure'!$C$10,0)</f>
        <v/>
      </c>
      <c r="G12" s="16">
        <f>IFERROR(SUM($C$10:G10)/'Capital Structure'!$C$10,0)</f>
        <v/>
      </c>
      <c r="H12" s="16">
        <f>IFERROR(SUM($C$10:H10)/'Capital Structure'!$C$10,0)</f>
        <v/>
      </c>
    </row>
    <row r="15">
      <c r="B15" t="inlineStr">
        <is>
          <t>Near-term maturities (Years 1-2)</t>
        </is>
      </c>
      <c r="C15" s="26">
        <f>SUM(C10:D10)</f>
        <v/>
      </c>
    </row>
    <row r="16">
      <c r="B16" t="inlineStr">
        <is>
          <t>Available cash and committed lines</t>
        </is>
      </c>
      <c r="C16" s="27" t="n">
        <v>150</v>
      </c>
    </row>
    <row r="17">
      <c r="B17" t="inlineStr">
        <is>
          <t>Refinancing gap</t>
        </is>
      </c>
      <c r="C17" s="26">
        <f>MAX(0,C15-C16)</f>
        <v/>
      </c>
    </row>
    <row r="18">
      <c r="B18" t="inlineStr">
        <is>
          <t>Largest maturity / total</t>
        </is>
      </c>
      <c r="C18" s="28">
        <f>IFERROR(MAX(C10:H10)/SUM(C10:H10),0)</f>
        <v/>
      </c>
    </row>
  </sheetData>
  <mergeCells count="1">
    <mergeCell ref="B2:H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G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6" customWidth="1" min="3" max="3"/>
    <col width="26" customWidth="1" min="4" max="4"/>
    <col width="16" customWidth="1" min="5" max="5"/>
    <col width="20" customWidth="1" min="6" max="6"/>
    <col width="14" customWidth="1" min="7" max="7"/>
  </cols>
  <sheetData>
    <row r="2" ht="28" customHeight="1">
      <c r="B2" s="1" t="inlineStr">
        <is>
          <t>Refinancing Sources &amp; Uses</t>
        </is>
      </c>
    </row>
    <row r="4">
      <c r="B4" s="8" t="inlineStr">
        <is>
          <t>Uses</t>
        </is>
      </c>
      <c r="C4" s="8" t="inlineStr">
        <is>
          <t>Amount</t>
        </is>
      </c>
      <c r="D4" s="8" t="inlineStr">
        <is>
          <t>Sources</t>
        </is>
      </c>
      <c r="E4" s="8" t="inlineStr">
        <is>
          <t>Amount</t>
        </is>
      </c>
      <c r="F4" s="8" t="inlineStr">
        <is>
          <t>Pricing / note</t>
        </is>
      </c>
      <c r="G4" s="8" t="inlineStr">
        <is>
          <t>Status</t>
        </is>
      </c>
    </row>
    <row r="5">
      <c r="B5" t="inlineStr">
        <is>
          <t>Refinance current debt</t>
        </is>
      </c>
      <c r="C5" s="15">
        <f>'Capital Structure'!C10</f>
        <v/>
      </c>
      <c r="D5" t="inlineStr">
        <is>
          <t>New term debt</t>
        </is>
      </c>
      <c r="E5" s="15">
        <f>SUM(C5:C7)</f>
        <v/>
      </c>
      <c r="F5" s="20">
        <f>Assumptions!E15+Assumptions!E16/7</f>
        <v/>
      </c>
    </row>
    <row r="6">
      <c r="B6" t="inlineStr">
        <is>
          <t>Minimum cash funding</t>
        </is>
      </c>
      <c r="C6" s="15">
        <f>MAX(0,Assumptions!E17-Assumptions!E6)</f>
        <v/>
      </c>
      <c r="D6" t="inlineStr">
        <is>
          <t>Existing cash</t>
        </is>
      </c>
      <c r="E6" s="15">
        <f>MAX(0,Assumptions!E6-Assumptions!E17)</f>
        <v/>
      </c>
    </row>
    <row r="7">
      <c r="B7" t="inlineStr">
        <is>
          <t>Fees / OID</t>
        </is>
      </c>
      <c r="C7" s="15">
        <f>C5*Assumptions!E16</f>
        <v/>
      </c>
      <c r="D7" t="inlineStr">
        <is>
          <t>Equity / other</t>
        </is>
      </c>
      <c r="E7" s="15">
        <f>MAX(0,C8-E5-E6)</f>
        <v/>
      </c>
    </row>
    <row r="8">
      <c r="B8" t="inlineStr">
        <is>
          <t>Total uses</t>
        </is>
      </c>
      <c r="C8" s="15">
        <f>SUM(C5:C7)</f>
        <v/>
      </c>
      <c r="D8" t="inlineStr">
        <is>
          <t>Total sources</t>
        </is>
      </c>
      <c r="E8" s="15">
        <f>SUM(E5:E7)</f>
        <v/>
      </c>
      <c r="G8">
        <f>IF(ABS(C8-E8)&lt;0.01,"PASS","FAIL")</f>
        <v/>
      </c>
    </row>
    <row r="10">
      <c r="B10" t="inlineStr">
        <is>
          <t>Pro forma gross leverage</t>
        </is>
      </c>
      <c r="C10" s="21">
        <f>IFERROR(E5/Assumptions!E5,0)</f>
        <v/>
      </c>
    </row>
    <row r="11">
      <c r="B11" t="inlineStr">
        <is>
          <t>Pro forma annual cash interest</t>
        </is>
      </c>
      <c r="C11" s="15">
        <f>E5*F5</f>
        <v/>
      </c>
    </row>
    <row r="12">
      <c r="B12" t="inlineStr">
        <is>
          <t>Pro forma interest coverage</t>
        </is>
      </c>
      <c r="C12" s="21">
        <f>IFERROR(Assumptions!E5/C11,0)</f>
        <v/>
      </c>
    </row>
  </sheetData>
  <mergeCells count="1">
    <mergeCell ref="B2:G2"/>
  </mergeCells>
  <conditionalFormatting sqref="G8">
    <cfRule type="expression" priority="1" dxfId="0">
      <formula>G8="PASS"</formula>
    </cfRule>
    <cfRule type="expression" priority="2" dxfId="1">
      <formula>G8="FAIL"</formula>
    </cfRule>
    <cfRule type="expression" priority="3" dxfId="2">
      <formula>G8="REVIEW"</formula>
    </cfRule>
    <cfRule type="expression" priority="4" dxfId="1">
      <formula>G8="BREACH"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 ht="28" customHeight="1">
      <c r="B2" s="1" t="inlineStr">
        <is>
          <t>Interest Rate &amp; Spread Sensitivity</t>
        </is>
      </c>
    </row>
    <row r="4">
      <c r="B4" s="8" t="inlineStr">
        <is>
          <t>Base-rate shock / spread shock</t>
        </is>
      </c>
      <c r="C4" s="22" t="n">
        <v>-100</v>
      </c>
      <c r="D4" s="22" t="n">
        <v>0</v>
      </c>
      <c r="E4" s="22" t="n">
        <v>100</v>
      </c>
      <c r="F4" s="22" t="n">
        <v>200</v>
      </c>
      <c r="G4" s="22" t="n">
        <v>300</v>
      </c>
    </row>
    <row r="5">
      <c r="B5" s="23" t="n">
        <v>-100</v>
      </c>
      <c r="C5" s="15">
        <f>'Capital Structure'!$C$5*MAX(0,Assumptions!$E$11+Assumptions!$E$12+($B5+C$4)/10000)+'Capital Structure'!$C$6*MAX(0,Assumptions!$E$11+Assumptions!$E$13+($B5+C$4)/10000)+'Capital Structure'!$E$7+'Capital Structure'!$E$8</f>
        <v/>
      </c>
      <c r="D5" s="15">
        <f>'Capital Structure'!$C$5*MAX(0,Assumptions!$E$11+Assumptions!$E$12+($B5+D$4)/10000)+'Capital Structure'!$C$6*MAX(0,Assumptions!$E$11+Assumptions!$E$13+($B5+D$4)/10000)+'Capital Structure'!$E$7+'Capital Structure'!$E$8</f>
        <v/>
      </c>
      <c r="E5" s="15">
        <f>'Capital Structure'!$C$5*MAX(0,Assumptions!$E$11+Assumptions!$E$12+($B5+E$4)/10000)+'Capital Structure'!$C$6*MAX(0,Assumptions!$E$11+Assumptions!$E$13+($B5+E$4)/10000)+'Capital Structure'!$E$7+'Capital Structure'!$E$8</f>
        <v/>
      </c>
      <c r="F5" s="15">
        <f>'Capital Structure'!$C$5*MAX(0,Assumptions!$E$11+Assumptions!$E$12+($B5+F$4)/10000)+'Capital Structure'!$C$6*MAX(0,Assumptions!$E$11+Assumptions!$E$13+($B5+F$4)/10000)+'Capital Structure'!$E$7+'Capital Structure'!$E$8</f>
        <v/>
      </c>
      <c r="G5" s="15">
        <f>'Capital Structure'!$C$5*MAX(0,Assumptions!$E$11+Assumptions!$E$12+($B5+G$4)/10000)+'Capital Structure'!$C$6*MAX(0,Assumptions!$E$11+Assumptions!$E$13+($B5+G$4)/10000)+'Capital Structure'!$E$7+'Capital Structure'!$E$8</f>
        <v/>
      </c>
    </row>
    <row r="6">
      <c r="B6" s="23" t="n">
        <v>0</v>
      </c>
      <c r="C6" s="15">
        <f>'Capital Structure'!$C$5*MAX(0,Assumptions!$E$11+Assumptions!$E$12+($B6+C$4)/10000)+'Capital Structure'!$C$6*MAX(0,Assumptions!$E$11+Assumptions!$E$13+($B6+C$4)/10000)+'Capital Structure'!$E$7+'Capital Structure'!$E$8</f>
        <v/>
      </c>
      <c r="D6" s="15">
        <f>'Capital Structure'!$C$5*MAX(0,Assumptions!$E$11+Assumptions!$E$12+($B6+D$4)/10000)+'Capital Structure'!$C$6*MAX(0,Assumptions!$E$11+Assumptions!$E$13+($B6+D$4)/10000)+'Capital Structure'!$E$7+'Capital Structure'!$E$8</f>
        <v/>
      </c>
      <c r="E6" s="15">
        <f>'Capital Structure'!$C$5*MAX(0,Assumptions!$E$11+Assumptions!$E$12+($B6+E$4)/10000)+'Capital Structure'!$C$6*MAX(0,Assumptions!$E$11+Assumptions!$E$13+($B6+E$4)/10000)+'Capital Structure'!$E$7+'Capital Structure'!$E$8</f>
        <v/>
      </c>
      <c r="F6" s="15">
        <f>'Capital Structure'!$C$5*MAX(0,Assumptions!$E$11+Assumptions!$E$12+($B6+F$4)/10000)+'Capital Structure'!$C$6*MAX(0,Assumptions!$E$11+Assumptions!$E$13+($B6+F$4)/10000)+'Capital Structure'!$E$7+'Capital Structure'!$E$8</f>
        <v/>
      </c>
      <c r="G6" s="15">
        <f>'Capital Structure'!$C$5*MAX(0,Assumptions!$E$11+Assumptions!$E$12+($B6+G$4)/10000)+'Capital Structure'!$C$6*MAX(0,Assumptions!$E$11+Assumptions!$E$13+($B6+G$4)/10000)+'Capital Structure'!$E$7+'Capital Structure'!$E$8</f>
        <v/>
      </c>
    </row>
    <row r="7">
      <c r="B7" s="23" t="n">
        <v>100</v>
      </c>
      <c r="C7" s="15">
        <f>'Capital Structure'!$C$5*MAX(0,Assumptions!$E$11+Assumptions!$E$12+($B7+C$4)/10000)+'Capital Structure'!$C$6*MAX(0,Assumptions!$E$11+Assumptions!$E$13+($B7+C$4)/10000)+'Capital Structure'!$E$7+'Capital Structure'!$E$8</f>
        <v/>
      </c>
      <c r="D7" s="15">
        <f>'Capital Structure'!$C$5*MAX(0,Assumptions!$E$11+Assumptions!$E$12+($B7+D$4)/10000)+'Capital Structure'!$C$6*MAX(0,Assumptions!$E$11+Assumptions!$E$13+($B7+D$4)/10000)+'Capital Structure'!$E$7+'Capital Structure'!$E$8</f>
        <v/>
      </c>
      <c r="E7" s="15">
        <f>'Capital Structure'!$C$5*MAX(0,Assumptions!$E$11+Assumptions!$E$12+($B7+E$4)/10000)+'Capital Structure'!$C$6*MAX(0,Assumptions!$E$11+Assumptions!$E$13+($B7+E$4)/10000)+'Capital Structure'!$E$7+'Capital Structure'!$E$8</f>
        <v/>
      </c>
      <c r="F7" s="15">
        <f>'Capital Structure'!$C$5*MAX(0,Assumptions!$E$11+Assumptions!$E$12+($B7+F$4)/10000)+'Capital Structure'!$C$6*MAX(0,Assumptions!$E$11+Assumptions!$E$13+($B7+F$4)/10000)+'Capital Structure'!$E$7+'Capital Structure'!$E$8</f>
        <v/>
      </c>
      <c r="G7" s="15">
        <f>'Capital Structure'!$C$5*MAX(0,Assumptions!$E$11+Assumptions!$E$12+($B7+G$4)/10000)+'Capital Structure'!$C$6*MAX(0,Assumptions!$E$11+Assumptions!$E$13+($B7+G$4)/10000)+'Capital Structure'!$E$7+'Capital Structure'!$E$8</f>
        <v/>
      </c>
    </row>
    <row r="8">
      <c r="B8" s="23" t="n">
        <v>200</v>
      </c>
      <c r="C8" s="15">
        <f>'Capital Structure'!$C$5*MAX(0,Assumptions!$E$11+Assumptions!$E$12+($B8+C$4)/10000)+'Capital Structure'!$C$6*MAX(0,Assumptions!$E$11+Assumptions!$E$13+($B8+C$4)/10000)+'Capital Structure'!$E$7+'Capital Structure'!$E$8</f>
        <v/>
      </c>
      <c r="D8" s="15">
        <f>'Capital Structure'!$C$5*MAX(0,Assumptions!$E$11+Assumptions!$E$12+($B8+D$4)/10000)+'Capital Structure'!$C$6*MAX(0,Assumptions!$E$11+Assumptions!$E$13+($B8+D$4)/10000)+'Capital Structure'!$E$7+'Capital Structure'!$E$8</f>
        <v/>
      </c>
      <c r="E8" s="15">
        <f>'Capital Structure'!$C$5*MAX(0,Assumptions!$E$11+Assumptions!$E$12+($B8+E$4)/10000)+'Capital Structure'!$C$6*MAX(0,Assumptions!$E$11+Assumptions!$E$13+($B8+E$4)/10000)+'Capital Structure'!$E$7+'Capital Structure'!$E$8</f>
        <v/>
      </c>
      <c r="F8" s="15">
        <f>'Capital Structure'!$C$5*MAX(0,Assumptions!$E$11+Assumptions!$E$12+($B8+F$4)/10000)+'Capital Structure'!$C$6*MAX(0,Assumptions!$E$11+Assumptions!$E$13+($B8+F$4)/10000)+'Capital Structure'!$E$7+'Capital Structure'!$E$8</f>
        <v/>
      </c>
      <c r="G8" s="15">
        <f>'Capital Structure'!$C$5*MAX(0,Assumptions!$E$11+Assumptions!$E$12+($B8+G$4)/10000)+'Capital Structure'!$C$6*MAX(0,Assumptions!$E$11+Assumptions!$E$13+($B8+G$4)/10000)+'Capital Structure'!$E$7+'Capital Structure'!$E$8</f>
        <v/>
      </c>
    </row>
    <row r="9">
      <c r="B9" s="23" t="n">
        <v>300</v>
      </c>
      <c r="C9" s="15">
        <f>'Capital Structure'!$C$5*MAX(0,Assumptions!$E$11+Assumptions!$E$12+($B9+C$4)/10000)+'Capital Structure'!$C$6*MAX(0,Assumptions!$E$11+Assumptions!$E$13+($B9+C$4)/10000)+'Capital Structure'!$E$7+'Capital Structure'!$E$8</f>
        <v/>
      </c>
      <c r="D9" s="15">
        <f>'Capital Structure'!$C$5*MAX(0,Assumptions!$E$11+Assumptions!$E$12+($B9+D$4)/10000)+'Capital Structure'!$C$6*MAX(0,Assumptions!$E$11+Assumptions!$E$13+($B9+D$4)/10000)+'Capital Structure'!$E$7+'Capital Structure'!$E$8</f>
        <v/>
      </c>
      <c r="E9" s="15">
        <f>'Capital Structure'!$C$5*MAX(0,Assumptions!$E$11+Assumptions!$E$12+($B9+E$4)/10000)+'Capital Structure'!$C$6*MAX(0,Assumptions!$E$11+Assumptions!$E$13+($B9+E$4)/10000)+'Capital Structure'!$E$7+'Capital Structure'!$E$8</f>
        <v/>
      </c>
      <c r="F9" s="15">
        <f>'Capital Structure'!$C$5*MAX(0,Assumptions!$E$11+Assumptions!$E$12+($B9+F$4)/10000)+'Capital Structure'!$C$6*MAX(0,Assumptions!$E$11+Assumptions!$E$13+($B9+F$4)/10000)+'Capital Structure'!$E$7+'Capital Structure'!$E$8</f>
        <v/>
      </c>
      <c r="G9" s="15">
        <f>'Capital Structure'!$C$5*MAX(0,Assumptions!$E$11+Assumptions!$E$12+($B9+G$4)/10000)+'Capital Structure'!$C$6*MAX(0,Assumptions!$E$11+Assumptions!$E$13+($B9+G$4)/10000)+'Capital Structure'!$E$7+'Capital Structure'!$E$8</f>
        <v/>
      </c>
    </row>
  </sheetData>
  <mergeCells count="1">
    <mergeCell ref="B2:G2"/>
  </mergeCells>
  <conditionalFormatting sqref="C5:G9">
    <cfRule type="colorScale" priority="1">
      <colorScale>
        <cfvo type="min"/>
        <cfvo type="percentile" val="50"/>
        <cfvo type="max"/>
        <color rgb="00E2F0D9"/>
        <color rgb="00FFF2CC"/>
        <color rgb="00FCE4D6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8" customWidth="1" min="3" max="3"/>
    <col width="18" customWidth="1" min="4" max="4"/>
    <col width="22" customWidth="1" min="5" max="5"/>
  </cols>
  <sheetData>
    <row r="2" ht="28" customHeight="1">
      <c r="B2" s="1" t="inlineStr">
        <is>
          <t>Covenant &amp; Rating Screens</t>
        </is>
      </c>
    </row>
    <row r="4">
      <c r="B4" s="8" t="inlineStr">
        <is>
          <t>Metric</t>
        </is>
      </c>
      <c r="C4" s="8" t="inlineStr">
        <is>
          <t>Actual</t>
        </is>
      </c>
      <c r="D4" s="8" t="inlineStr">
        <is>
          <t>Threshold</t>
        </is>
      </c>
      <c r="E4" s="8" t="inlineStr">
        <is>
          <t>Headroom / status</t>
        </is>
      </c>
    </row>
    <row r="5">
      <c r="B5" t="inlineStr">
        <is>
          <t>Gross leverage</t>
        </is>
      </c>
      <c r="C5" s="21">
        <f>'Capital Structure'!C13</f>
        <v/>
      </c>
      <c r="D5" s="21">
        <f>Assumptions!E18</f>
        <v/>
      </c>
      <c r="E5" s="21">
        <f>D5-C5</f>
        <v/>
      </c>
    </row>
    <row r="6">
      <c r="B6" t="inlineStr">
        <is>
          <t>Interest coverage</t>
        </is>
      </c>
      <c r="C6" s="21">
        <f>'Capital Structure'!C15</f>
        <v/>
      </c>
      <c r="D6" s="21">
        <f>Assumptions!E19</f>
        <v/>
      </c>
      <c r="E6" s="21">
        <f>C6-D6</f>
        <v/>
      </c>
    </row>
    <row r="7">
      <c r="B7" t="inlineStr">
        <is>
          <t>Near-term maturities / debt</t>
        </is>
      </c>
      <c r="C7" s="16">
        <f>IFERROR(SUM('Maturity Ladder'!C10:E10)/'Capital Structure'!C10,0)</f>
        <v/>
      </c>
      <c r="D7" s="16" t="n">
        <v>0.35</v>
      </c>
      <c r="E7" s="16">
        <f>D7-C7</f>
        <v/>
      </c>
    </row>
    <row r="8">
      <c r="B8" t="inlineStr">
        <is>
          <t>Refinancing status</t>
        </is>
      </c>
      <c r="C8">
        <f>Refinancing!G8</f>
        <v/>
      </c>
      <c r="D8" t="inlineStr">
        <is>
          <t>PASS</t>
        </is>
      </c>
      <c r="E8">
        <f>IF(C8=D8,"PASS","FAIL")</f>
        <v/>
      </c>
    </row>
  </sheetData>
  <mergeCells count="1">
    <mergeCell ref="B2:E2"/>
  </mergeCells>
  <conditionalFormatting sqref="E8">
    <cfRule type="expression" priority="1" dxfId="0">
      <formula>E8="PASS"</formula>
    </cfRule>
    <cfRule type="expression" priority="2" dxfId="1">
      <formula>E8="FAIL"</formula>
    </cfRule>
    <cfRule type="expression" priority="3" dxfId="2">
      <formula>E8="REVIEW"</formula>
    </cfRule>
    <cfRule type="expression" priority="4" dxfId="1">
      <formula>E8="BREACH"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E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8" customWidth="1" min="3" max="3"/>
    <col width="18" customWidth="1" min="4" max="4"/>
    <col width="42" customWidth="1" min="5" max="5"/>
  </cols>
  <sheetData>
    <row r="2" ht="28" customHeight="1">
      <c r="B2" s="1" t="inlineStr">
        <is>
          <t>Claim Recovery Waterfall</t>
        </is>
      </c>
    </row>
    <row r="4">
      <c r="B4" s="8" t="inlineStr">
        <is>
          <t>Metric</t>
        </is>
      </c>
      <c r="C4" s="8" t="inlineStr">
        <is>
          <t>Base</t>
        </is>
      </c>
      <c r="D4" s="8" t="inlineStr">
        <is>
          <t>Downside</t>
        </is>
      </c>
      <c r="E4" s="8" t="inlineStr">
        <is>
          <t>Note</t>
        </is>
      </c>
    </row>
    <row r="5">
      <c r="B5" t="inlineStr">
        <is>
          <t>Stressed EBITDA</t>
        </is>
      </c>
      <c r="C5" s="15">
        <f>Assumptions!C5</f>
        <v/>
      </c>
      <c r="D5" s="15">
        <f>Assumptions!D5</f>
        <v/>
      </c>
    </row>
    <row r="6">
      <c r="B6" t="inlineStr">
        <is>
          <t>Recovery multiple</t>
        </is>
      </c>
      <c r="C6" s="21">
        <f>Assumptions!C20</f>
        <v/>
      </c>
      <c r="D6" s="21">
        <f>Assumptions!D20</f>
        <v/>
      </c>
    </row>
    <row r="7">
      <c r="B7" t="inlineStr">
        <is>
          <t>Enterprise value</t>
        </is>
      </c>
      <c r="C7" s="15">
        <f>C5*C6</f>
        <v/>
      </c>
      <c r="D7" s="15">
        <f>D5*D6</f>
        <v/>
      </c>
    </row>
    <row r="8">
      <c r="B8" t="inlineStr">
        <is>
          <t>EV haircut</t>
        </is>
      </c>
      <c r="C8" s="15">
        <f>C7*Assumptions!C21</f>
        <v/>
      </c>
      <c r="D8" s="15">
        <f>D7*Assumptions!D21</f>
        <v/>
      </c>
    </row>
    <row r="9">
      <c r="B9" t="inlineStr">
        <is>
          <t>Distributable value</t>
        </is>
      </c>
      <c r="C9" s="15">
        <f>C7-C8</f>
        <v/>
      </c>
      <c r="D9" s="15">
        <f>D7-D8</f>
        <v/>
      </c>
    </row>
    <row r="10">
      <c r="B10" t="inlineStr">
        <is>
          <t>Gross debt</t>
        </is>
      </c>
      <c r="C10" s="15">
        <f>'Capital Structure'!C10</f>
        <v/>
      </c>
      <c r="D10" s="15">
        <f>'Capital Structure'!C10</f>
        <v/>
      </c>
    </row>
    <row r="11">
      <c r="B11" t="inlineStr">
        <is>
          <t>Recovery value</t>
        </is>
      </c>
      <c r="C11" s="15">
        <f>MIN(C9,C10)</f>
        <v/>
      </c>
      <c r="D11" s="15">
        <f>MIN(D9,D10)</f>
        <v/>
      </c>
    </row>
    <row r="12">
      <c r="B12" t="inlineStr">
        <is>
          <t>Recovery rate</t>
        </is>
      </c>
      <c r="C12" s="16">
        <f>IFERROR(C11/C10,0)</f>
        <v/>
      </c>
      <c r="D12" s="16">
        <f>IFERROR(D11/D10,0)</f>
        <v/>
      </c>
    </row>
    <row r="13">
      <c r="B13" t="inlineStr">
        <is>
          <t>LGD</t>
        </is>
      </c>
      <c r="C13" s="16">
        <f>1-C12</f>
        <v/>
      </c>
      <c r="D13" s="16">
        <f>1-D12</f>
        <v/>
      </c>
    </row>
  </sheetData>
  <mergeCells count="1">
    <mergeCell ref="B2:E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C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</cols>
  <sheetData>
    <row r="2" ht="28" customHeight="1">
      <c r="B2" s="1" t="inlineStr">
        <is>
          <t>Model Checks</t>
        </is>
      </c>
    </row>
    <row r="4">
      <c r="B4" s="8" t="inlineStr">
        <is>
          <t>Check</t>
        </is>
      </c>
      <c r="C4" s="8" t="inlineStr">
        <is>
          <t>Status</t>
        </is>
      </c>
    </row>
    <row r="5">
      <c r="B5" t="inlineStr">
        <is>
          <t>Sources equal uses</t>
        </is>
      </c>
      <c r="C5">
        <f>IF(Refinancing!G8="PASS","PASS","FAIL")</f>
        <v/>
      </c>
    </row>
    <row r="6">
      <c r="B6" t="inlineStr">
        <is>
          <t>Debt nonnegative</t>
        </is>
      </c>
      <c r="C6">
        <f>IF('Capital Structure'!C10&gt;=0,"PASS","FAIL")</f>
        <v/>
      </c>
    </row>
    <row r="7">
      <c r="B7" t="inlineStr">
        <is>
          <t>Maturities reconcile</t>
        </is>
      </c>
      <c r="C7">
        <f>IF(ABS(SUM('Maturity Ladder'!C10:H10)-'Capital Structure'!C10)&lt;0.01,"PASS","REVIEW")</f>
        <v/>
      </c>
    </row>
    <row r="8">
      <c r="B8" t="inlineStr">
        <is>
          <t>Recovery bounded</t>
        </is>
      </c>
      <c r="C8">
        <f>IF(AND(MIN(Recovery!C12:D12)&gt;=0,MAX(Recovery!C12:D12)&lt;=1),"PASS","FAIL")</f>
        <v/>
      </c>
    </row>
    <row r="9">
      <c r="B9" t="inlineStr">
        <is>
          <t>Overall</t>
        </is>
      </c>
      <c r="C9">
        <f>IF(COUNTIF(C5:C8,"FAIL")+COUNTIF(C5:C8,"REVIEW")=0,"PASS","REVIEW")</f>
        <v/>
      </c>
    </row>
  </sheetData>
  <mergeCells count="1">
    <mergeCell ref="B2:C2"/>
  </mergeCells>
  <conditionalFormatting sqref="C5:C9">
    <cfRule type="expression" priority="1" dxfId="0">
      <formula>C5="PASS"</formula>
    </cfRule>
    <cfRule type="expression" priority="2" dxfId="1">
      <formula>C5="FAIL"</formula>
    </cfRule>
    <cfRule type="expression" priority="3" dxfId="2">
      <formula>C5="REVIEW"</formula>
    </cfRule>
    <cfRule type="expression" priority="4" dxfId="1">
      <formula>C5="BREACH"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58" customWidth="1" min="3" max="3"/>
    <col width="16" customWidth="1" min="4" max="4"/>
    <col width="48" customWidth="1" min="5" max="5"/>
  </cols>
  <sheetData>
    <row r="2" ht="28" customHeight="1">
      <c r="B2" s="1" t="inlineStr">
        <is>
          <t>Source Register</t>
        </is>
      </c>
    </row>
    <row r="4">
      <c r="B4" s="8" t="inlineStr">
        <is>
          <t>Input / dataset</t>
        </is>
      </c>
      <c r="C4" s="8" t="inlineStr">
        <is>
          <t>Source URL or document</t>
        </is>
      </c>
      <c r="D4" s="8" t="inlineStr">
        <is>
          <t>As-of</t>
        </is>
      </c>
      <c r="E4" s="8" t="inlineStr">
        <is>
          <t>Notes / transformation</t>
        </is>
      </c>
    </row>
    <row r="5">
      <c r="B5" s="24" t="inlineStr">
        <is>
          <t>Debt instruments</t>
        </is>
      </c>
      <c r="C5" s="24" t="inlineStr">
        <is>
          <t>Credit agreements, indentures, or filings</t>
        </is>
      </c>
      <c r="D5" s="24" t="inlineStr">
        <is>
          <t>[date]</t>
        </is>
      </c>
      <c r="E5" s="24" t="inlineStr">
        <is>
          <t>Balance, rate, maturity, collateral and covenants</t>
        </is>
      </c>
    </row>
    <row r="6">
      <c r="B6" s="24" t="inlineStr">
        <is>
          <t>Market pricing</t>
        </is>
      </c>
      <c r="C6" s="24" t="inlineStr">
        <is>
          <t>Treasury / swap curve and comparable new issues</t>
        </is>
      </c>
      <c r="D6" s="24" t="inlineStr">
        <is>
          <t>[date]</t>
        </is>
      </c>
      <c r="E6" s="24" t="inlineStr">
        <is>
          <t>Freeze base-rate and spread assumptions</t>
        </is>
      </c>
    </row>
    <row r="7">
      <c r="B7" s="24" t="inlineStr">
        <is>
          <t>Financial statements</t>
        </is>
      </c>
      <c r="C7" s="24" t="inlineStr">
        <is>
          <t>Audited statements or filing</t>
        </is>
      </c>
      <c r="D7" s="24" t="inlineStr">
        <is>
          <t>[period]</t>
        </is>
      </c>
      <c r="E7" s="24" t="inlineStr">
        <is>
          <t>EBITDA, cash and debt reconciliation</t>
        </is>
      </c>
    </row>
    <row r="8">
      <c r="B8" s="24" t="inlineStr">
        <is>
          <t>Recovery methodology</t>
        </is>
      </c>
      <c r="C8" s="24" t="inlineStr">
        <is>
          <t>Documented enterprise-value and priority assumptions</t>
        </is>
      </c>
      <c r="D8" s="24" t="inlineStr">
        <is>
          <t>[date]</t>
        </is>
      </c>
      <c r="E8" s="24" t="inlineStr">
        <is>
          <t>Claim-level recovery bridge</t>
        </is>
      </c>
    </row>
  </sheetData>
  <mergeCells count="1">
    <mergeCell ref="B2:E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G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22" customWidth="1" min="3" max="3"/>
    <col width="28" customWidth="1" min="4" max="4"/>
    <col width="38" customWidth="1" min="5" max="5"/>
    <col width="34" customWidth="1" min="6" max="6"/>
    <col width="18" customWidth="1" min="7" max="7"/>
  </cols>
  <sheetData>
    <row r="2" ht="28" customHeight="1">
      <c r="B2" s="1" t="inlineStr">
        <is>
          <t>Refresh Log</t>
        </is>
      </c>
    </row>
    <row r="4">
      <c r="B4" s="8" t="inlineStr">
        <is>
          <t>Date</t>
        </is>
      </c>
      <c r="C4" s="8" t="inlineStr">
        <is>
          <t>Trigger</t>
        </is>
      </c>
      <c r="D4" s="8" t="inlineStr">
        <is>
          <t>Source snapshot</t>
        </is>
      </c>
      <c r="E4" s="8" t="inlineStr">
        <is>
          <t>What changed</t>
        </is>
      </c>
      <c r="F4" s="8" t="inlineStr">
        <is>
          <t>Reviewer / challenge</t>
        </is>
      </c>
      <c r="G4" s="8" t="inlineStr">
        <is>
          <t>Next check</t>
        </is>
      </c>
    </row>
    <row r="5">
      <c r="B5" s="25" t="n"/>
      <c r="C5" s="25" t="n"/>
      <c r="D5" s="25" t="n"/>
      <c r="E5" s="25" t="n"/>
      <c r="F5" s="25" t="n"/>
      <c r="G5" s="25" t="n"/>
    </row>
    <row r="6">
      <c r="B6" s="25" t="n"/>
      <c r="C6" s="25" t="n"/>
      <c r="D6" s="25" t="n"/>
      <c r="E6" s="25" t="n"/>
      <c r="F6" s="25" t="n"/>
      <c r="G6" s="25" t="n"/>
    </row>
    <row r="7">
      <c r="B7" s="25" t="n"/>
      <c r="C7" s="25" t="n"/>
      <c r="D7" s="25" t="n"/>
      <c r="E7" s="25" t="n"/>
      <c r="F7" s="25" t="n"/>
      <c r="G7" s="25" t="n"/>
    </row>
    <row r="8">
      <c r="B8" s="25" t="n"/>
      <c r="C8" s="25" t="n"/>
      <c r="D8" s="25" t="n"/>
      <c r="E8" s="25" t="n"/>
      <c r="F8" s="25" t="n"/>
      <c r="G8" s="25" t="n"/>
    </row>
    <row r="9">
      <c r="B9" s="25" t="n"/>
      <c r="C9" s="25" t="n"/>
      <c r="D9" s="25" t="n"/>
      <c r="E9" s="25" t="n"/>
      <c r="F9" s="25" t="n"/>
      <c r="G9" s="25" t="n"/>
    </row>
    <row r="10">
      <c r="B10" s="25" t="n"/>
      <c r="C10" s="25" t="n"/>
      <c r="D10" s="25" t="n"/>
      <c r="E10" s="25" t="n"/>
      <c r="F10" s="25" t="n"/>
      <c r="G10" s="25" t="n"/>
    </row>
    <row r="11">
      <c r="B11" s="25" t="n"/>
      <c r="C11" s="25" t="n"/>
      <c r="D11" s="25" t="n"/>
      <c r="E11" s="25" t="n"/>
      <c r="F11" s="25" t="n"/>
      <c r="G11" s="25" t="n"/>
    </row>
    <row r="12">
      <c r="B12" s="25" t="n"/>
      <c r="C12" s="25" t="n"/>
      <c r="D12" s="25" t="n"/>
      <c r="E12" s="25" t="n"/>
      <c r="F12" s="25" t="n"/>
      <c r="G12" s="25" t="n"/>
    </row>
    <row r="13">
      <c r="B13" s="25" t="n"/>
      <c r="C13" s="25" t="n"/>
      <c r="D13" s="25" t="n"/>
      <c r="E13" s="25" t="n"/>
      <c r="F13" s="25" t="n"/>
      <c r="G13" s="25" t="n"/>
    </row>
    <row r="14">
      <c r="B14" s="25" t="n"/>
      <c r="C14" s="25" t="n"/>
      <c r="D14" s="25" t="n"/>
      <c r="E14" s="25" t="n"/>
      <c r="F14" s="25" t="n"/>
      <c r="G14" s="25" t="n"/>
    </row>
    <row r="15">
      <c r="B15" s="25" t="n"/>
      <c r="C15" s="25" t="n"/>
      <c r="D15" s="25" t="n"/>
      <c r="E15" s="25" t="n"/>
      <c r="F15" s="25" t="n"/>
      <c r="G15" s="25" t="n"/>
    </row>
    <row r="16">
      <c r="B16" s="25" t="n"/>
      <c r="C16" s="25" t="n"/>
      <c r="D16" s="25" t="n"/>
      <c r="E16" s="25" t="n"/>
      <c r="F16" s="25" t="n"/>
      <c r="G16" s="25" t="n"/>
    </row>
    <row r="17">
      <c r="B17" s="25" t="n"/>
      <c r="C17" s="25" t="n"/>
      <c r="D17" s="25" t="n"/>
      <c r="E17" s="25" t="n"/>
      <c r="F17" s="25" t="n"/>
      <c r="G17" s="25" t="n"/>
    </row>
    <row r="18">
      <c r="B18" s="25" t="n"/>
      <c r="C18" s="25" t="n"/>
      <c r="D18" s="25" t="n"/>
      <c r="E18" s="25" t="n"/>
      <c r="F18" s="25" t="n"/>
      <c r="G18" s="25" t="n"/>
    </row>
    <row r="19">
      <c r="B19" s="25" t="n"/>
      <c r="C19" s="25" t="n"/>
      <c r="D19" s="25" t="n"/>
      <c r="E19" s="25" t="n"/>
      <c r="F19" s="25" t="n"/>
      <c r="G19" s="25" t="n"/>
    </row>
    <row r="20">
      <c r="B20" s="25" t="n"/>
      <c r="C20" s="25" t="n"/>
      <c r="D20" s="25" t="n"/>
      <c r="E20" s="25" t="n"/>
      <c r="F20" s="25" t="n"/>
      <c r="G20" s="25" t="n"/>
    </row>
    <row r="21">
      <c r="B21" s="25" t="n"/>
      <c r="C21" s="25" t="n"/>
      <c r="D21" s="25" t="n"/>
      <c r="E21" s="25" t="n"/>
      <c r="F21" s="25" t="n"/>
      <c r="G21" s="25" t="n"/>
    </row>
    <row r="22">
      <c r="B22" s="25" t="n"/>
      <c r="C22" s="25" t="n"/>
      <c r="D22" s="25" t="n"/>
      <c r="E22" s="25" t="n"/>
      <c r="F22" s="25" t="n"/>
      <c r="G22" s="25" t="n"/>
    </row>
    <row r="23">
      <c r="B23" s="25" t="n"/>
      <c r="C23" s="25" t="n"/>
      <c r="D23" s="25" t="n"/>
      <c r="E23" s="25" t="n"/>
      <c r="F23" s="25" t="n"/>
      <c r="G23" s="25" t="n"/>
    </row>
    <row r="24">
      <c r="B24" s="25" t="n"/>
      <c r="C24" s="25" t="n"/>
      <c r="D24" s="25" t="n"/>
      <c r="E24" s="25" t="n"/>
      <c r="F24" s="25" t="n"/>
      <c r="G24" s="25" t="n"/>
    </row>
    <row r="25">
      <c r="B25" s="25" t="n"/>
      <c r="C25" s="25" t="n"/>
      <c r="D25" s="25" t="n"/>
      <c r="E25" s="25" t="n"/>
      <c r="F25" s="25" t="n"/>
      <c r="G25" s="25" t="n"/>
    </row>
    <row r="26">
      <c r="B26" s="25" t="n"/>
      <c r="C26" s="25" t="n"/>
      <c r="D26" s="25" t="n"/>
      <c r="E26" s="25" t="n"/>
      <c r="F26" s="25" t="n"/>
      <c r="G26" s="25" t="n"/>
    </row>
    <row r="27">
      <c r="B27" s="25" t="n"/>
      <c r="C27" s="25" t="n"/>
      <c r="D27" s="25" t="n"/>
      <c r="E27" s="25" t="n"/>
      <c r="F27" s="25" t="n"/>
      <c r="G27" s="25" t="n"/>
    </row>
    <row r="28">
      <c r="B28" s="25" t="n"/>
      <c r="C28" s="25" t="n"/>
      <c r="D28" s="25" t="n"/>
      <c r="E28" s="25" t="n"/>
      <c r="F28" s="25" t="n"/>
      <c r="G28" s="25" t="n"/>
    </row>
    <row r="29">
      <c r="B29" s="25" t="n"/>
      <c r="C29" s="25" t="n"/>
      <c r="D29" s="25" t="n"/>
      <c r="E29" s="25" t="n"/>
      <c r="F29" s="25" t="n"/>
      <c r="G29" s="25" t="n"/>
    </row>
  </sheetData>
  <mergeCells count="1">
    <mergeCell ref="B2:G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E3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18" customWidth="1" min="4" max="4"/>
    <col width="46" customWidth="1" min="5" max="5"/>
  </cols>
  <sheetData>
    <row r="2">
      <c r="B2" s="29" t="inlineStr">
        <is>
          <t>Debt Rollforward, Maturity Wall, Weighted Cost, and Coverage</t>
        </is>
      </c>
    </row>
    <row r="4">
      <c r="B4" s="30" t="inlineStr">
        <is>
          <t>Metric</t>
        </is>
      </c>
      <c r="C4" s="30" t="inlineStr">
        <is>
          <t>Base</t>
        </is>
      </c>
      <c r="D4" s="30" t="inlineStr">
        <is>
          <t>Adversarial</t>
        </is>
      </c>
      <c r="E4" s="30" t="inlineStr">
        <is>
          <t>Units / control</t>
        </is>
      </c>
    </row>
    <row r="5">
      <c r="B5" t="inlineStr">
        <is>
          <t>Opening debt</t>
        </is>
      </c>
      <c r="C5" s="31" t="n">
        <v>500</v>
      </c>
      <c r="D5" s="31" t="n">
        <v>500</v>
      </c>
    </row>
    <row r="6">
      <c r="B6" t="inlineStr">
        <is>
          <t>Issuance</t>
        </is>
      </c>
      <c r="C6" s="31" t="n">
        <v>100</v>
      </c>
      <c r="D6" s="31" t="n">
        <v>300</v>
      </c>
    </row>
    <row r="7">
      <c r="B7" t="inlineStr">
        <is>
          <t>Repayments</t>
        </is>
      </c>
      <c r="C7" s="31" t="n">
        <v>150</v>
      </c>
      <c r="D7" s="31" t="n">
        <v>50</v>
      </c>
    </row>
    <row r="8">
      <c r="B8" t="inlineStr">
        <is>
          <t>Year 1 maturity</t>
        </is>
      </c>
      <c r="C8" s="31" t="n">
        <v>50</v>
      </c>
      <c r="D8" s="31" t="n">
        <v>300</v>
      </c>
    </row>
    <row r="9">
      <c r="B9" t="inlineStr">
        <is>
          <t>Year 2 maturity</t>
        </is>
      </c>
      <c r="C9" s="31" t="n">
        <v>75</v>
      </c>
      <c r="D9" s="31" t="n">
        <v>250</v>
      </c>
    </row>
    <row r="10">
      <c r="B10" t="inlineStr">
        <is>
          <t>Year 3 maturity</t>
        </is>
      </c>
      <c r="C10" s="31" t="n">
        <v>100</v>
      </c>
      <c r="D10" s="31" t="n">
        <v>100</v>
      </c>
    </row>
    <row r="11">
      <c r="B11" t="inlineStr">
        <is>
          <t>Year 4 maturity</t>
        </is>
      </c>
      <c r="C11" s="31" t="n">
        <v>100</v>
      </c>
      <c r="D11" s="31" t="n">
        <v>50</v>
      </c>
    </row>
    <row r="12">
      <c r="B12" t="inlineStr">
        <is>
          <t>Year 5 maturity</t>
        </is>
      </c>
      <c r="C12" s="31" t="n">
        <v>125</v>
      </c>
      <c r="D12" s="31" t="n">
        <v>50</v>
      </c>
    </row>
    <row r="13">
      <c r="B13" t="inlineStr">
        <is>
          <t>Liquidity</t>
        </is>
      </c>
      <c r="C13" s="31" t="n">
        <v>100</v>
      </c>
      <c r="D13" s="31" t="n">
        <v>50</v>
      </c>
    </row>
    <row r="14">
      <c r="B14" t="inlineStr">
        <is>
          <t>Committed lines</t>
        </is>
      </c>
      <c r="C14" s="31" t="n">
        <v>50</v>
      </c>
      <c r="D14" s="31" t="n">
        <v>50</v>
      </c>
    </row>
    <row r="15">
      <c r="B15" t="inlineStr">
        <is>
          <t>Tranche 1 amount</t>
        </is>
      </c>
      <c r="C15" s="31" t="n">
        <v>300</v>
      </c>
      <c r="D15" s="31" t="n">
        <v>500</v>
      </c>
    </row>
    <row r="16">
      <c r="B16" t="inlineStr">
        <is>
          <t>Tranche 1 rate</t>
        </is>
      </c>
      <c r="C16" s="32" t="n">
        <v>0.06</v>
      </c>
      <c r="D16" s="32" t="n">
        <v>0.12</v>
      </c>
    </row>
    <row r="17">
      <c r="B17" t="inlineStr">
        <is>
          <t>Tranche 2 amount</t>
        </is>
      </c>
      <c r="C17" s="31" t="n">
        <v>150</v>
      </c>
      <c r="D17" s="31" t="n">
        <v>250</v>
      </c>
    </row>
    <row r="18">
      <c r="B18" t="inlineStr">
        <is>
          <t>Tranche 2 rate</t>
        </is>
      </c>
      <c r="C18" s="32" t="n">
        <v>0.07000000000000001</v>
      </c>
      <c r="D18" s="32" t="n">
        <v>0.15</v>
      </c>
    </row>
    <row r="19">
      <c r="B19" t="inlineStr">
        <is>
          <t>EBITDA</t>
        </is>
      </c>
      <c r="C19" s="31" t="n">
        <v>150</v>
      </c>
      <c r="D19" s="31" t="n">
        <v>80</v>
      </c>
    </row>
    <row r="20">
      <c r="B20" t="inlineStr">
        <is>
          <t>Maximum maturity concentration</t>
        </is>
      </c>
      <c r="C20" s="32" t="n">
        <v>0.4</v>
      </c>
      <c r="D20" s="32" t="n">
        <v>0.35</v>
      </c>
    </row>
    <row r="21">
      <c r="B21" t="inlineStr">
        <is>
          <t>Minimum interest coverage</t>
        </is>
      </c>
      <c r="C21" s="33" t="n">
        <v>2</v>
      </c>
      <c r="D21" s="33" t="n">
        <v>2</v>
      </c>
    </row>
    <row r="22">
      <c r="B22" t="inlineStr">
        <is>
          <t>Maximum weighted cost</t>
        </is>
      </c>
      <c r="C22" s="32" t="n">
        <v>0.1</v>
      </c>
      <c r="D22" s="32" t="n">
        <v>0.1</v>
      </c>
    </row>
    <row r="26">
      <c r="B26" t="inlineStr">
        <is>
          <t>Ending debt</t>
        </is>
      </c>
      <c r="C26" s="34">
        <f>MAX(0,C5+C6-C7)</f>
        <v/>
      </c>
      <c r="D26" s="34">
        <f>MAX(0,D5+D6-D7)</f>
        <v/>
      </c>
    </row>
    <row r="27">
      <c r="B27" t="inlineStr">
        <is>
          <t>Near-term maturities</t>
        </is>
      </c>
      <c r="C27" s="34">
        <f>C8+C9</f>
        <v/>
      </c>
      <c r="D27" s="34">
        <f>D8+D9</f>
        <v/>
      </c>
    </row>
    <row r="28">
      <c r="B28" t="inlineStr">
        <is>
          <t>Refinancing gap</t>
        </is>
      </c>
      <c r="C28" s="34">
        <f>MAX(0,C27-C13-C14)</f>
        <v/>
      </c>
      <c r="D28" s="34">
        <f>MAX(0,D27-D13-D14)</f>
        <v/>
      </c>
    </row>
    <row r="29">
      <c r="B29" t="inlineStr">
        <is>
          <t>Maturity concentration</t>
        </is>
      </c>
      <c r="C29" s="35">
        <f>IFERROR(MAX(C8:C12)/SUM(C8:C12),0)</f>
        <v/>
      </c>
      <c r="D29" s="35">
        <f>IFERROR(MAX(D8:D12)/SUM(D8:D12),0)</f>
        <v/>
      </c>
    </row>
    <row r="30">
      <c r="B30" t="inlineStr">
        <is>
          <t>Weighted cost</t>
        </is>
      </c>
      <c r="C30" s="35">
        <f>IFERROR((C15*C16+C17*C18)/(C15+C17),0)</f>
        <v/>
      </c>
      <c r="D30" s="35">
        <f>IFERROR((D15*D16+D17*D18)/(D15+D17),0)</f>
        <v/>
      </c>
    </row>
    <row r="31">
      <c r="B31" t="inlineStr">
        <is>
          <t>Cash interest</t>
        </is>
      </c>
      <c r="C31" s="34">
        <f>C26*C30</f>
        <v/>
      </c>
      <c r="D31" s="34">
        <f>D26*D30</f>
        <v/>
      </c>
    </row>
    <row r="32">
      <c r="B32" t="inlineStr">
        <is>
          <t>Interest coverage</t>
        </is>
      </c>
      <c r="C32" s="36">
        <f>IFERROR(C19/C31,0)</f>
        <v/>
      </c>
      <c r="D32" s="36">
        <f>IFERROR(D19/D31,0)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E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18" customWidth="1" min="4" max="4"/>
    <col width="54" customWidth="1" min="5" max="5"/>
  </cols>
  <sheetData>
    <row r="2">
      <c r="B2" s="29" t="inlineStr">
        <is>
          <t>Debt Finance Decision Dashboard and Independent Checks</t>
        </is>
      </c>
    </row>
    <row r="4">
      <c r="B4" s="30" t="inlineStr">
        <is>
          <t>Check / decision</t>
        </is>
      </c>
      <c r="C4" s="30" t="inlineStr">
        <is>
          <t>Metric</t>
        </is>
      </c>
      <c r="D4" s="30" t="inlineStr">
        <is>
          <t>Status</t>
        </is>
      </c>
      <c r="E4" s="30" t="inlineStr">
        <is>
          <t>Interpretation / action</t>
        </is>
      </c>
    </row>
    <row r="5">
      <c r="B5" t="inlineStr">
        <is>
          <t>Debt rollforward residual</t>
        </is>
      </c>
      <c r="C5" s="37">
        <f>'Refinancing &amp; Rates'!D26-MAX(0,'Refinancing &amp; Rates'!D5+'Refinancing &amp; Rates'!D6-'Refinancing &amp; Rates'!D7)</f>
        <v/>
      </c>
      <c r="D5" s="38">
        <f>IF(ABS(C5)&lt;0.01,"PASS","FAIL")</f>
        <v/>
      </c>
      <c r="E5" t="inlineStr">
        <is>
          <t>Debt must reconcile to issuance and repayment.</t>
        </is>
      </c>
    </row>
    <row r="6">
      <c r="B6" t="inlineStr">
        <is>
          <t>Weighted-cost residual</t>
        </is>
      </c>
      <c r="C6" s="37">
        <f>'Refinancing &amp; Rates'!D30*('Refinancing &amp; Rates'!D15+'Refinancing &amp; Rates'!D17)-('Refinancing &amp; Rates'!D15*'Refinancing &amp; Rates'!D16+'Refinancing &amp; Rates'!D17*'Refinancing &amp; Rates'!D18)</f>
        <v/>
      </c>
      <c r="D6" s="38">
        <f>IF(ABS(C6)&lt;0.01,"PASS","FAIL")</f>
        <v/>
      </c>
      <c r="E6" t="inlineStr">
        <is>
          <t>Weighted pricing must reconcile to tranche balances and rates.</t>
        </is>
      </c>
    </row>
    <row r="7">
      <c r="B7" t="inlineStr">
        <is>
          <t>Refinancing gap</t>
        </is>
      </c>
      <c r="C7" s="37">
        <f>'Refinancing &amp; Rates'!D28</f>
        <v/>
      </c>
      <c r="D7" s="38">
        <f>IF(C7=0,"PASS","BREACH")</f>
        <v/>
      </c>
      <c r="E7" t="inlineStr">
        <is>
          <t>Near-term maturities must be covered by liquidity and committed facilities.</t>
        </is>
      </c>
    </row>
    <row r="8">
      <c r="B8" t="inlineStr">
        <is>
          <t>Maturity concentration</t>
        </is>
      </c>
      <c r="C8" s="37">
        <f>'Refinancing &amp; Rates'!D29</f>
        <v/>
      </c>
      <c r="D8" s="38">
        <f>IF(C8&lt;='Refinancing &amp; Rates'!D20,"PASS","BREACH")</f>
        <v/>
      </c>
      <c r="E8" t="inlineStr">
        <is>
          <t>Escalate concentrated maturity walls.</t>
        </is>
      </c>
    </row>
    <row r="9">
      <c r="B9" t="inlineStr">
        <is>
          <t>Interest coverage</t>
        </is>
      </c>
      <c r="C9" s="37">
        <f>'Refinancing &amp; Rates'!D32</f>
        <v/>
      </c>
      <c r="D9" s="38">
        <f>IF(C9&gt;='Refinancing &amp; Rates'!D21,"PASS","BREACH")</f>
        <v/>
      </c>
      <c r="E9" t="inlineStr">
        <is>
          <t>EBITDA must cover pro forma cash interest.</t>
        </is>
      </c>
    </row>
    <row r="10">
      <c r="B10" t="inlineStr">
        <is>
          <t>Weighted refinancing cost</t>
        </is>
      </c>
      <c r="C10" s="37">
        <f>'Refinancing &amp; Rates'!D30</f>
        <v/>
      </c>
      <c r="D10" s="38">
        <f>IF(C10&lt;='Refinancing &amp; Rates'!D22,"PASS","BREACH")</f>
        <v/>
      </c>
      <c r="E10" t="inlineStr">
        <is>
          <t>Escalate expensive issuance and rate-reset risk.</t>
        </is>
      </c>
    </row>
    <row r="12">
      <c r="B12" s="39" t="inlineStr">
        <is>
          <t>Overall model status</t>
        </is>
      </c>
      <c r="C12" s="40">
        <f>IF(COUNTIF(D5:D10,"FAIL")+COUNTIF(D5:D10,"BREACH")&gt;0,"BREACH",IF(COUNTIF(D5:D10,"REVIEW")&gt;0,"REVIEW","PASS"))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2026-08-05T22:48:46Z</dcterms:created>
  <dcterms:modified xmlns:dcterms="http://purl.org/dc/terms/" xmlns:xsi="http://www.w3.org/2001/XMLSchema-instance" xsi:type="dcterms:W3CDTF">2026-08-05T22:48:46Z</dcterms:modified>
</cp:coreProperties>
</file>