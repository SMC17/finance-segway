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Positions" sheetId="6" state="visible" r:id="rId6"/>
    <sheet xmlns:r="http://schemas.openxmlformats.org/officeDocument/2006/relationships" name="Factors" sheetId="7" state="visible" r:id="rId7"/>
    <sheet xmlns:r="http://schemas.openxmlformats.org/officeDocument/2006/relationships" name="VaR &amp; ES" sheetId="8" state="visible" r:id="rId8"/>
    <sheet xmlns:r="http://schemas.openxmlformats.org/officeDocument/2006/relationships" name="Risk Contributions" sheetId="9" state="visible" r:id="rId9"/>
    <sheet xmlns:r="http://schemas.openxmlformats.org/officeDocument/2006/relationships" name="Stress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P&amp;L Explain" sheetId="12" state="visible" r:id="rId12"/>
    <sheet xmlns:r="http://schemas.openxmlformats.org/officeDocument/2006/relationships" name="Limits" sheetId="13" state="visible" r:id="rId13"/>
    <sheet xmlns:r="http://schemas.openxmlformats.org/officeDocument/2006/relationships" name="Checks" sheetId="14" state="visible" r:id="rId14"/>
    <sheet xmlns:r="http://schemas.openxmlformats.org/officeDocument/2006/relationships" name="Sources" sheetId="15" state="visible" r:id="rId15"/>
    <sheet xmlns:r="http://schemas.openxmlformats.org/officeDocument/2006/relationships" name="RefreshLog" sheetId="16" state="visible" r:id="rId16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0.0%;[Red](0.0%);-"/>
    <numFmt numFmtId="165" formatCode="0.00%;[Red](0.00%);-"/>
    <numFmt numFmtId="166" formatCode="$#,##0.0;[Red]($#,##0.0);-"/>
    <numFmt numFmtId="167" formatCode="0.0x;[Red](0.0x);-"/>
    <numFmt numFmtId="168" formatCode="0.0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11827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0000FF"/>
      <sz val="10"/>
    </font>
    <font>
      <name val="Arial"/>
      <b val="1"/>
      <color rgb="00008000"/>
      <sz val="10"/>
    </font>
    <font>
      <b val="1"/>
      <color rgb="00FFFFFF"/>
      <sz val="15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bottom style="thin">
        <color rgb="00BFBFBF"/>
      </bottom>
    </border>
    <border>
      <top style="thin">
        <color rgb="00111827"/>
      </top>
    </border>
    <border>
      <bottom style="thin">
        <color rgb="00B7B7B7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pivotButton="0" quotePrefix="0" xfId="0"/>
    <xf numFmtId="0" fontId="4" fillId="2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3" fillId="3" borderId="1" pivotButton="0" quotePrefix="0" xfId="0"/>
    <xf numFmtId="164" fontId="0" fillId="0" borderId="0" pivotButton="0" quotePrefix="0" xfId="0"/>
    <xf numFmtId="1" fontId="3" fillId="3" borderId="1" pivotButton="0" quotePrefix="0" xfId="0"/>
    <xf numFmtId="1" fontId="0" fillId="0" borderId="0" pivotButton="0" quotePrefix="0" xfId="0"/>
    <xf numFmtId="165" fontId="3" fillId="3" borderId="1" pivotButton="0" quotePrefix="0" xfId="0"/>
    <xf numFmtId="165" fontId="0" fillId="0" borderId="0" pivotButton="0" quotePrefix="0" xfId="0"/>
    <xf numFmtId="166" fontId="3" fillId="3" borderId="1" pivotButton="0" quotePrefix="0" xfId="0"/>
    <xf numFmtId="166" fontId="0" fillId="0" borderId="0" pivotButton="0" quotePrefix="0" xfId="0"/>
    <xf numFmtId="167" fontId="3" fillId="3" borderId="1" pivotButton="0" quotePrefix="0" xfId="0"/>
    <xf numFmtId="167" fontId="0" fillId="0" borderId="0" pivotButton="0" quotePrefix="0" xfId="0"/>
    <xf numFmtId="2" fontId="3" fillId="3" borderId="1" pivotButton="0" quotePrefix="0" xfId="0"/>
    <xf numFmtId="0" fontId="2" fillId="0" borderId="2" pivotButton="0" quotePrefix="0" xfId="0"/>
    <xf numFmtId="166" fontId="2" fillId="0" borderId="2" pivotButton="0" quotePrefix="0" xfId="0"/>
    <xf numFmtId="168" fontId="0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165" fontId="2" fillId="0" borderId="2" pivotButton="0" quotePrefix="0" xfId="0"/>
    <xf numFmtId="0" fontId="8" fillId="4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10" fillId="4" borderId="0" pivotButton="0" quotePrefix="0" xfId="0"/>
    <xf numFmtId="0" fontId="9" fillId="5" borderId="3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6" customWidth="1" min="3" max="3"/>
    <col width="12" customWidth="1" min="4" max="4"/>
    <col width="12" customWidth="1" min="5" max="5"/>
    <col width="12" customWidth="1" min="6" max="6"/>
  </cols>
  <sheetData>
    <row r="2" ht="28" customHeight="1">
      <c r="B2" s="1" t="inlineStr">
        <is>
          <t>[PORTFOLIO] — Multi-Asset Risk Model</t>
        </is>
      </c>
    </row>
    <row r="4">
      <c r="B4" s="2" t="inlineStr">
        <is>
          <t>Portfolio / desk:</t>
        </is>
      </c>
      <c r="C4" s="3" t="inlineStr">
        <is>
          <t>[Name]</t>
        </is>
      </c>
    </row>
    <row r="5">
      <c r="B5" s="2" t="inlineStr">
        <is>
          <t>Risk horizon:</t>
        </is>
      </c>
      <c r="C5" s="3" t="inlineStr">
        <is>
          <t>1-day and stressed liquidation</t>
        </is>
      </c>
    </row>
    <row r="6">
      <c r="B6" s="2" t="inlineStr">
        <is>
          <t>Last refreshed:</t>
        </is>
      </c>
      <c r="C6" s="3" t="inlineStr">
        <is>
          <t>[timestamp]</t>
        </is>
      </c>
    </row>
    <row r="7">
      <c r="B7" s="2" t="inlineStr">
        <is>
          <t>Next limit review:</t>
        </is>
      </c>
      <c r="C7" s="3" t="inlineStr">
        <is>
          <t>[date]</t>
        </is>
      </c>
    </row>
    <row r="8">
      <c r="B8" s="2" t="inlineStr">
        <is>
          <t>Refresh cadence:</t>
        </is>
      </c>
      <c r="C8" s="3" t="inlineStr">
        <is>
          <t>Intraday / daily</t>
        </is>
      </c>
    </row>
    <row r="9">
      <c r="B9" s="2" t="inlineStr">
        <is>
          <t>Active scenario:</t>
        </is>
      </c>
      <c r="C9" s="3" t="inlineStr">
        <is>
          <t>Base</t>
        </is>
      </c>
    </row>
    <row r="10">
      <c r="B10" s="2" t="inlineStr">
        <is>
          <t>Units:</t>
        </is>
      </c>
      <c r="C10" s="3" t="inlineStr">
        <is>
          <t>$ in millions unless noted</t>
        </is>
      </c>
    </row>
    <row r="13">
      <c r="B13" s="4" t="inlineStr">
        <is>
          <t>Modeling conventions</t>
        </is>
      </c>
    </row>
    <row r="14">
      <c r="B14" s="5" t="inlineStr">
        <is>
          <t>Blue text / yellow fill</t>
        </is>
      </c>
      <c r="C14" s="6" t="inlineStr">
        <is>
          <t>Hardcoded input or selected scenario</t>
        </is>
      </c>
    </row>
    <row r="15">
      <c r="B15" s="2" t="inlineStr">
        <is>
          <t>Black text</t>
        </is>
      </c>
      <c r="C15" s="6" t="inlineStr">
        <is>
          <t>Formula / same-sheet calculation</t>
        </is>
      </c>
    </row>
    <row r="16">
      <c r="B16" s="7" t="inlineStr">
        <is>
          <t>Green text</t>
        </is>
      </c>
      <c r="C16" s="6" t="inlineStr">
        <is>
          <t>Cross-sheet formula / link</t>
        </is>
      </c>
    </row>
    <row r="17">
      <c r="B17" s="2" t="inlineStr">
        <is>
          <t>Checks</t>
        </is>
      </c>
      <c r="C17" s="6" t="inlineStr">
        <is>
          <t>PASS / REVIEW / FAIL must remain visible</t>
        </is>
      </c>
    </row>
  </sheetData>
  <mergeCells count="2">
    <mergeCell ref="B2:F2"/>
    <mergeCell ref="B13:F13"/>
  </mergeCells>
  <dataValidations count="1">
    <dataValidation sqref="C9" showDropDown="0" showInputMessage="0" showErrorMessage="0" allowBlank="0" type="list">
      <formula1>"Base,Downside"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26" t="inlineStr">
        <is>
          <t>Risk Management — Institutional Decision Surface</t>
        </is>
      </c>
    </row>
    <row r="4">
      <c r="B4" s="27" t="inlineStr">
        <is>
          <t>Model ID</t>
        </is>
      </c>
      <c r="C4" s="28" t="inlineStr">
        <is>
          <t>09</t>
        </is>
      </c>
    </row>
    <row r="5">
      <c r="B5" s="27" t="inlineStr">
        <is>
          <t>Domain</t>
        </is>
      </c>
      <c r="C5" s="28" t="inlineStr">
        <is>
          <t>Risk Management</t>
        </is>
      </c>
    </row>
    <row r="6">
      <c r="B6" s="27" t="inlineStr">
        <is>
          <t>Declared maturity</t>
        </is>
      </c>
      <c r="C6" s="28" t="inlineStr">
        <is>
          <t>M2</t>
        </is>
      </c>
    </row>
    <row r="7">
      <c r="B7" s="27" t="inlineStr">
        <is>
          <t>Canonical builder</t>
        </is>
      </c>
      <c r="C7" s="28" t="inlineStr">
        <is>
          <t>tools/builders/build_risk_release.py</t>
        </is>
      </c>
    </row>
    <row r="8">
      <c r="B8" s="27" t="inlineStr">
        <is>
          <t>Decision arena</t>
        </is>
      </c>
      <c r="C8" s="28" t="inlineStr">
        <is>
          <t>trading desk, independent risk, model validation, senior risk committee and regulator</t>
        </is>
      </c>
    </row>
    <row r="9">
      <c r="B9" s="27" t="inlineStr">
        <is>
          <t>Committee artifact</t>
        </is>
      </c>
      <c r="C9" s="28" t="inlineStr">
        <is>
          <t>daily risk and limit pack</t>
        </is>
      </c>
    </row>
    <row r="10">
      <c r="B10" s="27" t="inlineStr">
        <is>
          <t>Operating cadence</t>
        </is>
      </c>
      <c r="C10" s="28" t="inlineStr">
        <is>
          <t>intraday monitoring; daily sign-off; monthly committee</t>
        </is>
      </c>
    </row>
    <row r="12">
      <c r="B12" s="29" t="inlineStr">
        <is>
          <t>Key decision outputs</t>
        </is>
      </c>
    </row>
    <row r="13">
      <c r="B13" s="30" t="inlineStr">
        <is>
          <t>#</t>
        </is>
      </c>
      <c r="C13" s="30" t="inlineStr">
        <is>
          <t>Requirement</t>
        </is>
      </c>
      <c r="D13" s="30" t="inlineStr">
        <is>
          <t>Owner</t>
        </is>
      </c>
      <c r="E13" s="30" t="inlineStr">
        <is>
          <t>Evidence / location</t>
        </is>
      </c>
      <c r="F13" s="30" t="inlineStr">
        <is>
          <t>Status</t>
        </is>
      </c>
    </row>
    <row r="14">
      <c r="B14" t="n">
        <v>1</v>
      </c>
      <c r="C14" t="inlineStr">
        <is>
          <t>VaR / ES and stress loss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factor and component risk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liquidity horizon and liquidation cost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29" t="inlineStr">
        <is>
          <t>Insider questions</t>
        </is>
      </c>
    </row>
    <row r="21">
      <c r="B21" s="30" t="inlineStr">
        <is>
          <t>#</t>
        </is>
      </c>
      <c r="C21" s="30" t="inlineStr">
        <is>
          <t>Requirement</t>
        </is>
      </c>
      <c r="D21" s="30" t="inlineStr">
        <is>
          <t>Owner</t>
        </is>
      </c>
      <c r="E21" s="30" t="inlineStr">
        <is>
          <t>Evidence / location</t>
        </is>
      </c>
      <c r="F21" s="30" t="inlineStr">
        <is>
          <t>Status</t>
        </is>
      </c>
    </row>
    <row r="22">
      <c r="B22" t="n">
        <v>1</v>
      </c>
      <c r="C22" t="inlineStr">
        <is>
          <t>What risk is missing from the factor map?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Where does diversification disappear under stress?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Which desk would fail model eligibility?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29" t="inlineStr">
        <is>
          <t>Scenario families</t>
        </is>
      </c>
    </row>
    <row r="29">
      <c r="B29" s="30" t="inlineStr">
        <is>
          <t>#</t>
        </is>
      </c>
      <c r="C29" s="30" t="inlineStr">
        <is>
          <t>Requirement</t>
        </is>
      </c>
      <c r="D29" s="30" t="inlineStr">
        <is>
          <t>Owner</t>
        </is>
      </c>
      <c r="E29" s="30" t="inlineStr">
        <is>
          <t>Evidence / location</t>
        </is>
      </c>
      <c r="F29" s="30" t="inlineStr">
        <is>
          <t>Status</t>
        </is>
      </c>
    </row>
    <row r="30">
      <c r="B30" t="n">
        <v>1</v>
      </c>
      <c r="C30" t="inlineStr">
        <is>
          <t>historical and hypothetical stress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correlation break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basis and spread dislocation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29" t="inlineStr">
        <is>
          <t>Primary diligence documents</t>
        </is>
      </c>
    </row>
    <row r="37">
      <c r="B37" s="30" t="inlineStr">
        <is>
          <t>#</t>
        </is>
      </c>
      <c r="C37" s="30" t="inlineStr">
        <is>
          <t>Requirement</t>
        </is>
      </c>
      <c r="D37" s="30" t="inlineStr">
        <is>
          <t>Owner</t>
        </is>
      </c>
      <c r="E37" s="30" t="inlineStr">
        <is>
          <t>Evidence / location</t>
        </is>
      </c>
      <c r="F37" s="30" t="inlineStr">
        <is>
          <t>Status</t>
        </is>
      </c>
    </row>
    <row r="38">
      <c r="B38" t="n">
        <v>1</v>
      </c>
      <c r="C38" t="inlineStr">
        <is>
          <t>risk appetite and limits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product control P&amp;L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market data hierarchy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29" t="inlineStr">
        <is>
          <t>Challenge tests</t>
        </is>
      </c>
    </row>
    <row r="45">
      <c r="B45" s="30" t="inlineStr">
        <is>
          <t>#</t>
        </is>
      </c>
      <c r="C45" s="30" t="inlineStr">
        <is>
          <t>Requirement</t>
        </is>
      </c>
      <c r="D45" s="30" t="inlineStr">
        <is>
          <t>Owner</t>
        </is>
      </c>
      <c r="E45" s="30" t="inlineStr">
        <is>
          <t>Evidence / location</t>
        </is>
      </c>
      <c r="F45" s="30" t="inlineStr">
        <is>
          <t>Status</t>
        </is>
      </c>
    </row>
    <row r="46">
      <c r="B46" t="n">
        <v>1</v>
      </c>
      <c r="C46" t="inlineStr">
        <is>
          <t>component risk reconciles to total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ES not below VaR at same confidence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stress loss sign conventions consistent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29" t="inlineStr">
        <is>
          <t>Known failure modes</t>
        </is>
      </c>
    </row>
    <row r="53">
      <c r="B53" s="30" t="inlineStr">
        <is>
          <t>#</t>
        </is>
      </c>
      <c r="C53" s="30" t="inlineStr">
        <is>
          <t>Requirement</t>
        </is>
      </c>
      <c r="D53" s="30" t="inlineStr">
        <is>
          <t>Owner</t>
        </is>
      </c>
      <c r="E53" s="30" t="inlineStr">
        <is>
          <t>Evidence / location</t>
        </is>
      </c>
      <c r="F53" s="30" t="inlineStr">
        <is>
          <t>Status</t>
        </is>
      </c>
    </row>
    <row r="54">
      <c r="B54" t="n">
        <v>1</v>
      </c>
      <c r="C54" t="inlineStr">
        <is>
          <t>diversification masking concentration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using stale sensitivities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mapping risks to wrong buckets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29" t="inlineStr">
        <is>
          <t>Regulatory / methodological anchors</t>
        </is>
      </c>
    </row>
    <row r="61">
      <c r="B61" s="30" t="inlineStr">
        <is>
          <t>Standard</t>
        </is>
      </c>
      <c r="C61" s="30" t="inlineStr">
        <is>
          <t>Scope</t>
        </is>
      </c>
      <c r="D61" s="30" t="inlineStr">
        <is>
          <t>Source URL</t>
        </is>
      </c>
      <c r="E61" s="30" t="inlineStr">
        <is>
          <t>Applicability</t>
        </is>
      </c>
      <c r="F61" s="30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Basel Framework</t>
        </is>
      </c>
      <c r="C63" t="inlineStr">
        <is>
          <t>prudential capital, liquidity, credit and market risk</t>
        </is>
      </c>
      <c r="D63" t="inlineStr">
        <is>
          <t>https://www.bis.org/basel_framework/</t>
        </is>
      </c>
      <c r="E63" t="inlineStr">
        <is>
          <t>Map explicitly</t>
        </is>
      </c>
      <c r="F63" t="inlineStr"/>
    </row>
    <row r="64">
      <c r="B64" t="inlineStr">
        <is>
          <t>Basel MAR21 Sensitivities-Based Method</t>
        </is>
      </c>
      <c r="C64" t="inlineStr">
        <is>
          <t>market-risk factors and aggregation</t>
        </is>
      </c>
      <c r="D64" t="inlineStr">
        <is>
          <t>https://www.bis.org/basel_framework/chapter/MAR/21.htm</t>
        </is>
      </c>
      <c r="E64" t="inlineStr">
        <is>
          <t>Map explicitly</t>
        </is>
      </c>
      <c r="F64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26" t="inlineStr">
        <is>
          <t>Independent Challenge, Override and Closure Log</t>
        </is>
      </c>
    </row>
    <row r="4">
      <c r="B4" s="30" t="inlineStr">
        <is>
          <t>Date</t>
        </is>
      </c>
      <c r="C4" s="30" t="inlineStr">
        <is>
          <t>Reviewer</t>
        </is>
      </c>
      <c r="D4" s="30" t="inlineStr">
        <is>
          <t>Challenge</t>
        </is>
      </c>
      <c r="E4" s="30" t="inlineStr">
        <is>
          <t>Owner response</t>
        </is>
      </c>
      <c r="F4" s="30" t="inlineStr">
        <is>
          <t>Evidence</t>
        </is>
      </c>
      <c r="G4" s="30" t="inlineStr">
        <is>
          <t>Impact</t>
        </is>
      </c>
      <c r="H4" s="30" t="inlineStr">
        <is>
          <t>Status</t>
        </is>
      </c>
      <c r="I4" s="30" t="inlineStr">
        <is>
          <t>Closure</t>
        </is>
      </c>
    </row>
    <row r="5">
      <c r="B5" t="inlineStr"/>
      <c r="C5" t="inlineStr"/>
      <c r="D5" t="inlineStr">
        <is>
          <t>component risk reconciles to total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ES not below VaR at same confidence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stress loss sign conventions consistent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26" t="inlineStr">
        <is>
          <t>Source, Transformation, Ownership and Refresh Map</t>
        </is>
      </c>
    </row>
    <row r="4">
      <c r="B4" s="30" t="inlineStr">
        <is>
          <t>Source class</t>
        </is>
      </c>
      <c r="C4" s="30" t="inlineStr">
        <is>
          <t>Cadence</t>
        </is>
      </c>
      <c r="D4" s="30" t="inlineStr">
        <is>
          <t>Control</t>
        </is>
      </c>
      <c r="E4" s="30" t="inlineStr">
        <is>
          <t>System / provider</t>
        </is>
      </c>
      <c r="F4" s="30" t="inlineStr">
        <is>
          <t>As-of</t>
        </is>
      </c>
      <c r="G4" s="30" t="inlineStr">
        <is>
          <t>Owner</t>
        </is>
      </c>
      <c r="H4" s="30" t="inlineStr">
        <is>
          <t>Transform</t>
        </is>
      </c>
      <c r="I4" s="30" t="inlineStr">
        <is>
          <t>Downstream</t>
        </is>
      </c>
      <c r="J4" s="30" t="inlineStr">
        <is>
          <t>Status</t>
        </is>
      </c>
    </row>
    <row r="5">
      <c r="B5" t="inlineStr">
        <is>
          <t>positions</t>
        </is>
      </c>
      <c r="C5" t="inlineStr">
        <is>
          <t>intraday/daily</t>
        </is>
      </c>
      <c r="D5" t="inlineStr">
        <is>
          <t>front-to-back reconciliation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market data</t>
        </is>
      </c>
      <c r="C6" t="inlineStr">
        <is>
          <t>intraday/daily</t>
        </is>
      </c>
      <c r="D6" t="inlineStr">
        <is>
          <t>source and stale-point controls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2" ht="28" customHeight="1">
      <c r="B2" s="1" t="inlineStr">
        <is>
          <t>Risk and Liquidity Assumptions</t>
        </is>
      </c>
    </row>
    <row r="4">
      <c r="B4" s="8" t="inlineStr">
        <is>
          <t>Assumption</t>
        </is>
      </c>
      <c r="C4" s="8" t="inlineStr">
        <is>
          <t>Base</t>
        </is>
      </c>
      <c r="D4" s="8" t="inlineStr">
        <is>
          <t>Downside</t>
        </is>
      </c>
      <c r="E4" s="8" t="inlineStr">
        <is>
          <t>Active</t>
        </is>
      </c>
      <c r="F4" s="8" t="inlineStr">
        <is>
          <t>Units / note</t>
        </is>
      </c>
    </row>
    <row r="5">
      <c r="B5" t="inlineStr">
        <is>
          <t>VaR confidence</t>
        </is>
      </c>
      <c r="C5" s="9" t="n">
        <v>0.99</v>
      </c>
      <c r="D5" s="9" t="n">
        <v>0.995</v>
      </c>
      <c r="E5" s="10">
        <f>IF(Cover!$C$9="Downside",D5,C5)</f>
        <v/>
      </c>
      <c r="F5" t="inlineStr">
        <is>
          <t>%</t>
        </is>
      </c>
    </row>
    <row r="6">
      <c r="B6" t="inlineStr">
        <is>
          <t>Trading days per year</t>
        </is>
      </c>
      <c r="C6" s="11" t="n">
        <v>252</v>
      </c>
      <c r="D6" s="11" t="n">
        <v>252</v>
      </c>
      <c r="E6" s="12">
        <f>IF(Cover!$C$9="Downside",D6,C6)</f>
        <v/>
      </c>
      <c r="F6" t="inlineStr">
        <is>
          <t>days</t>
        </is>
      </c>
    </row>
    <row r="7">
      <c r="B7" t="inlineStr">
        <is>
          <t>Equity annual volatility</t>
        </is>
      </c>
      <c r="C7" s="9" t="n">
        <v>0.22</v>
      </c>
      <c r="D7" s="9" t="n">
        <v>0.35</v>
      </c>
      <c r="E7" s="10">
        <f>IF(Cover!$C$9="Downside",D7,C7)</f>
        <v/>
      </c>
      <c r="F7" t="inlineStr">
        <is>
          <t>%</t>
        </is>
      </c>
    </row>
    <row r="8">
      <c r="B8" t="inlineStr">
        <is>
          <t>Rates annual volatility</t>
        </is>
      </c>
      <c r="C8" s="13" t="n">
        <v>0.012</v>
      </c>
      <c r="D8" s="13" t="n">
        <v>0.025</v>
      </c>
      <c r="E8" s="14">
        <f>IF(Cover!$C$9="Downside",D8,C8)</f>
        <v/>
      </c>
      <c r="F8" t="inlineStr">
        <is>
          <t>yield change</t>
        </is>
      </c>
    </row>
    <row r="9">
      <c r="B9" t="inlineStr">
        <is>
          <t>Credit annual volatility</t>
        </is>
      </c>
      <c r="C9" s="13" t="n">
        <v>0.015</v>
      </c>
      <c r="D9" s="13" t="n">
        <v>0.035</v>
      </c>
      <c r="E9" s="14">
        <f>IF(Cover!$C$9="Downside",D9,C9)</f>
        <v/>
      </c>
      <c r="F9" t="inlineStr">
        <is>
          <t>spread change</t>
        </is>
      </c>
    </row>
    <row r="10">
      <c r="B10" t="inlineStr">
        <is>
          <t>FX annual volatility</t>
        </is>
      </c>
      <c r="C10" s="9" t="n">
        <v>0.12</v>
      </c>
      <c r="D10" s="9" t="n">
        <v>0.2</v>
      </c>
      <c r="E10" s="10">
        <f>IF(Cover!$C$9="Downside",D10,C10)</f>
        <v/>
      </c>
      <c r="F10" t="inlineStr">
        <is>
          <t>%</t>
        </is>
      </c>
    </row>
    <row r="11">
      <c r="B11" t="inlineStr">
        <is>
          <t>Volatility-factor annual volatility</t>
        </is>
      </c>
      <c r="C11" s="9" t="n">
        <v>0.3</v>
      </c>
      <c r="D11" s="9" t="n">
        <v>0.5</v>
      </c>
      <c r="E11" s="10">
        <f>IF(Cover!$C$9="Downside",D11,C11)</f>
        <v/>
      </c>
      <c r="F11" t="inlineStr">
        <is>
          <t>%</t>
        </is>
      </c>
    </row>
    <row r="12">
      <c r="B12" t="inlineStr">
        <is>
          <t>Maximum portfolio VaR</t>
        </is>
      </c>
      <c r="C12" s="15" t="n">
        <v>12</v>
      </c>
      <c r="D12" s="15" t="n">
        <v>10</v>
      </c>
      <c r="E12" s="16">
        <f>IF(Cover!$C$9="Downside",D12,C12)</f>
        <v/>
      </c>
      <c r="F12" t="inlineStr">
        <is>
          <t>$mm</t>
        </is>
      </c>
    </row>
    <row r="13">
      <c r="B13" t="inlineStr">
        <is>
          <t>Maximum stress loss</t>
        </is>
      </c>
      <c r="C13" s="15" t="n">
        <v>40</v>
      </c>
      <c r="D13" s="15" t="n">
        <v>30</v>
      </c>
      <c r="E13" s="16">
        <f>IF(Cover!$C$9="Downside",D13,C13)</f>
        <v/>
      </c>
      <c r="F13" t="inlineStr">
        <is>
          <t>$mm</t>
        </is>
      </c>
    </row>
    <row r="14">
      <c r="B14" t="inlineStr">
        <is>
          <t>Maximum illiquid NAV</t>
        </is>
      </c>
      <c r="C14" s="9" t="n">
        <v>0.25</v>
      </c>
      <c r="D14" s="9" t="n">
        <v>0.2</v>
      </c>
      <c r="E14" s="10">
        <f>IF(Cover!$C$9="Downside",D14,C14)</f>
        <v/>
      </c>
      <c r="F14" t="inlineStr">
        <is>
          <t>%</t>
        </is>
      </c>
    </row>
    <row r="15">
      <c r="B15" t="inlineStr">
        <is>
          <t>Maximum single-name concentration</t>
        </is>
      </c>
      <c r="C15" s="9" t="n">
        <v>0.2</v>
      </c>
      <c r="D15" s="9" t="n">
        <v>0.15</v>
      </c>
      <c r="E15" s="10">
        <f>IF(Cover!$C$9="Downside",D15,C15)</f>
        <v/>
      </c>
      <c r="F15" t="inlineStr">
        <is>
          <t>%</t>
        </is>
      </c>
    </row>
    <row r="16">
      <c r="B16" t="inlineStr">
        <is>
          <t>Maximum gross leverage</t>
        </is>
      </c>
      <c r="C16" s="17" t="n">
        <v>4</v>
      </c>
      <c r="D16" s="17" t="n">
        <v>3</v>
      </c>
      <c r="E16" s="18">
        <f>IF(Cover!$C$9="Downside",D16,C16)</f>
        <v/>
      </c>
      <c r="F16" t="inlineStr">
        <is>
          <t>x</t>
        </is>
      </c>
    </row>
    <row r="17">
      <c r="B17" t="inlineStr">
        <is>
          <t>Liquidity impact coefficient</t>
        </is>
      </c>
      <c r="C17" s="13" t="n">
        <v>0.015</v>
      </c>
      <c r="D17" s="13" t="n">
        <v>0.03</v>
      </c>
      <c r="E17" s="14">
        <f>IF(Cover!$C$9="Downside",D17,C17)</f>
        <v/>
      </c>
      <c r="F17" t="inlineStr">
        <is>
          <t>loss coefficient</t>
        </is>
      </c>
    </row>
    <row r="18">
      <c r="B18" t="inlineStr">
        <is>
          <t>Available capital / NAV</t>
        </is>
      </c>
      <c r="C18" s="15" t="n">
        <v>250</v>
      </c>
      <c r="D18" s="15" t="n">
        <v>250</v>
      </c>
      <c r="E18" s="16">
        <f>IF(Cover!$C$9="Downside",D18,C18)</f>
        <v/>
      </c>
      <c r="F18" t="inlineStr">
        <is>
          <t>$mm</t>
        </is>
      </c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S18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2" ht="28" customHeight="1">
      <c r="B2" s="1" t="inlineStr">
        <is>
          <t>Position-Level Risk Inventory</t>
        </is>
      </c>
    </row>
    <row r="4">
      <c r="B4" s="8" t="inlineStr">
        <is>
          <t>Instrument</t>
        </is>
      </c>
      <c r="C4" s="8" t="inlineStr">
        <is>
          <t>Asset class</t>
        </is>
      </c>
      <c r="D4" s="8" t="inlineStr">
        <is>
          <t>Market value</t>
        </is>
      </c>
      <c r="E4" s="8" t="inlineStr">
        <is>
          <t>Gross notional</t>
        </is>
      </c>
      <c r="F4" s="8" t="inlineStr">
        <is>
          <t>Delta</t>
        </is>
      </c>
      <c r="G4" s="8" t="inlineStr">
        <is>
          <t>Beta</t>
        </is>
      </c>
      <c r="H4" s="8" t="inlineStr">
        <is>
          <t>Duration</t>
        </is>
      </c>
      <c r="I4" s="8" t="inlineStr">
        <is>
          <t>Spread duration</t>
        </is>
      </c>
      <c r="J4" s="8" t="inlineStr">
        <is>
          <t>DV01</t>
        </is>
      </c>
      <c r="K4" s="8" t="inlineStr">
        <is>
          <t>Vega</t>
        </is>
      </c>
      <c r="L4" s="8" t="inlineStr">
        <is>
          <t>FX delta</t>
        </is>
      </c>
      <c r="M4" s="8" t="inlineStr">
        <is>
          <t>Days to liquidate</t>
        </is>
      </c>
      <c r="N4" s="8" t="inlineStr">
        <is>
          <t>Equity</t>
        </is>
      </c>
      <c r="O4" s="8" t="inlineStr">
        <is>
          <t>Rates</t>
        </is>
      </c>
      <c r="P4" s="8" t="inlineStr">
        <is>
          <t>Credit</t>
        </is>
      </c>
      <c r="Q4" s="8" t="inlineStr">
        <is>
          <t>FX</t>
        </is>
      </c>
      <c r="R4" s="8" t="inlineStr">
        <is>
          <t>Volatility</t>
        </is>
      </c>
      <c r="S4" s="8" t="inlineStr">
        <is>
          <t>Weighted risk exposure</t>
        </is>
      </c>
    </row>
    <row r="5">
      <c r="B5" t="inlineStr">
        <is>
          <t>Equity Index Future</t>
        </is>
      </c>
      <c r="C5" t="inlineStr">
        <is>
          <t>Equity</t>
        </is>
      </c>
      <c r="D5" s="15" t="n">
        <v>45</v>
      </c>
      <c r="E5" s="15" t="n">
        <v>120</v>
      </c>
      <c r="F5" s="13" t="n">
        <v>1</v>
      </c>
      <c r="G5" s="13" t="n">
        <v>1</v>
      </c>
      <c r="H5" s="19" t="n">
        <v>0</v>
      </c>
      <c r="I5" s="19" t="n">
        <v>0</v>
      </c>
      <c r="J5" s="15" t="n">
        <v>0</v>
      </c>
      <c r="K5" s="15" t="n">
        <v>0</v>
      </c>
      <c r="L5" s="15" t="n">
        <v>0</v>
      </c>
      <c r="M5" s="19" t="n">
        <v>0.2</v>
      </c>
      <c r="N5" s="13" t="n">
        <v>1</v>
      </c>
      <c r="O5" s="13" t="n">
        <v>0</v>
      </c>
      <c r="P5" s="13" t="n">
        <v>0</v>
      </c>
      <c r="Q5" s="13" t="n">
        <v>0</v>
      </c>
      <c r="R5" s="13" t="n">
        <v>0</v>
      </c>
      <c r="S5" s="16">
        <f>SUMPRODUCT(C5:Q5,C5:Q5)^0.5</f>
        <v/>
      </c>
    </row>
    <row r="6">
      <c r="B6" t="inlineStr">
        <is>
          <t>Single Name A</t>
        </is>
      </c>
      <c r="C6" t="inlineStr">
        <is>
          <t>Equity</t>
        </is>
      </c>
      <c r="D6" s="15" t="n">
        <v>35</v>
      </c>
      <c r="E6" s="15" t="n">
        <v>35</v>
      </c>
      <c r="F6" s="13" t="n">
        <v>1</v>
      </c>
      <c r="G6" s="13" t="n">
        <v>1.2</v>
      </c>
      <c r="H6" s="19" t="n">
        <v>0</v>
      </c>
      <c r="I6" s="19" t="n">
        <v>0</v>
      </c>
      <c r="J6" s="15" t="n">
        <v>0</v>
      </c>
      <c r="K6" s="15" t="n">
        <v>0</v>
      </c>
      <c r="L6" s="15" t="n">
        <v>0</v>
      </c>
      <c r="M6" s="19" t="n">
        <v>1</v>
      </c>
      <c r="N6" s="13" t="n">
        <v>1.2</v>
      </c>
      <c r="O6" s="13" t="n">
        <v>0</v>
      </c>
      <c r="P6" s="13" t="n">
        <v>0.1</v>
      </c>
      <c r="Q6" s="13" t="n">
        <v>0</v>
      </c>
      <c r="R6" s="13" t="n">
        <v>0.1</v>
      </c>
      <c r="S6" s="16">
        <f>SUMPRODUCT(C6:Q6,C6:Q6)^0.5</f>
        <v/>
      </c>
    </row>
    <row r="7">
      <c r="B7" t="inlineStr">
        <is>
          <t>Single Name Put</t>
        </is>
      </c>
      <c r="C7" t="inlineStr">
        <is>
          <t>Option</t>
        </is>
      </c>
      <c r="D7" s="15" t="n">
        <v>8</v>
      </c>
      <c r="E7" s="15" t="n">
        <v>25</v>
      </c>
      <c r="F7" s="13" t="n">
        <v>-0.35</v>
      </c>
      <c r="G7" s="13" t="n">
        <v>-0.4</v>
      </c>
      <c r="H7" s="19" t="n">
        <v>0</v>
      </c>
      <c r="I7" s="19" t="n">
        <v>0</v>
      </c>
      <c r="J7" s="15" t="n">
        <v>0</v>
      </c>
      <c r="K7" s="15" t="n">
        <v>0.18</v>
      </c>
      <c r="L7" s="15" t="n">
        <v>0</v>
      </c>
      <c r="M7" s="19" t="n">
        <v>1.5</v>
      </c>
      <c r="N7" s="13" t="n">
        <v>-0.4</v>
      </c>
      <c r="O7" s="13" t="n">
        <v>0</v>
      </c>
      <c r="P7" s="13" t="n">
        <v>0</v>
      </c>
      <c r="Q7" s="13" t="n">
        <v>0</v>
      </c>
      <c r="R7" s="13" t="n">
        <v>0.8</v>
      </c>
      <c r="S7" s="16">
        <f>SUMPRODUCT(C7:Q7,C7:Q7)^0.5</f>
        <v/>
      </c>
    </row>
    <row r="8">
      <c r="B8" t="inlineStr">
        <is>
          <t>10Y Treasury</t>
        </is>
      </c>
      <c r="C8" t="inlineStr">
        <is>
          <t>Rates</t>
        </is>
      </c>
      <c r="D8" s="15" t="n">
        <v>50</v>
      </c>
      <c r="E8" s="15" t="n">
        <v>50</v>
      </c>
      <c r="F8" s="13" t="n">
        <v>1</v>
      </c>
      <c r="G8" s="13" t="n">
        <v>0</v>
      </c>
      <c r="H8" s="19" t="n">
        <v>8.199999999999999</v>
      </c>
      <c r="I8" s="19" t="n">
        <v>0</v>
      </c>
      <c r="J8" s="15" t="n">
        <v>0.041</v>
      </c>
      <c r="K8" s="15" t="n">
        <v>0</v>
      </c>
      <c r="L8" s="15" t="n">
        <v>0</v>
      </c>
      <c r="M8" s="19" t="n">
        <v>0.5</v>
      </c>
      <c r="N8" s="13" t="n">
        <v>0</v>
      </c>
      <c r="O8" s="13" t="n">
        <v>-8.199999999999999</v>
      </c>
      <c r="P8" s="13" t="n">
        <v>0</v>
      </c>
      <c r="Q8" s="13" t="n">
        <v>0</v>
      </c>
      <c r="R8" s="13" t="n">
        <v>0</v>
      </c>
      <c r="S8" s="16">
        <f>SUMPRODUCT(C8:Q8,C8:Q8)^0.5</f>
        <v/>
      </c>
    </row>
    <row r="9">
      <c r="B9" t="inlineStr">
        <is>
          <t>IG Credit ETF</t>
        </is>
      </c>
      <c r="C9" t="inlineStr">
        <is>
          <t>Credit</t>
        </is>
      </c>
      <c r="D9" s="15" t="n">
        <v>32</v>
      </c>
      <c r="E9" s="15" t="n">
        <v>50</v>
      </c>
      <c r="F9" s="13" t="n">
        <v>1</v>
      </c>
      <c r="G9" s="13" t="n">
        <v>0.35</v>
      </c>
      <c r="H9" s="19" t="n">
        <v>5.5</v>
      </c>
      <c r="I9" s="19" t="n">
        <v>5</v>
      </c>
      <c r="J9" s="15" t="n">
        <v>0.018</v>
      </c>
      <c r="K9" s="15" t="n">
        <v>0</v>
      </c>
      <c r="L9" s="15" t="n">
        <v>0</v>
      </c>
      <c r="M9" s="19" t="n">
        <v>1</v>
      </c>
      <c r="N9" s="13" t="n">
        <v>0.35</v>
      </c>
      <c r="O9" s="13" t="n">
        <v>-2</v>
      </c>
      <c r="P9" s="13" t="n">
        <v>-5</v>
      </c>
      <c r="Q9" s="13" t="n">
        <v>0</v>
      </c>
      <c r="R9" s="13" t="n">
        <v>0</v>
      </c>
      <c r="S9" s="16">
        <f>SUMPRODUCT(C9:Q9,C9:Q9)^0.5</f>
        <v/>
      </c>
    </row>
    <row r="10">
      <c r="B10" t="inlineStr">
        <is>
          <t>HY Bond</t>
        </is>
      </c>
      <c r="C10" t="inlineStr">
        <is>
          <t>Credit</t>
        </is>
      </c>
      <c r="D10" s="15" t="n">
        <v>28</v>
      </c>
      <c r="E10" s="15" t="n">
        <v>40</v>
      </c>
      <c r="F10" s="13" t="n">
        <v>1</v>
      </c>
      <c r="G10" s="13" t="n">
        <v>0.55</v>
      </c>
      <c r="H10" s="19" t="n">
        <v>4</v>
      </c>
      <c r="I10" s="19" t="n">
        <v>3.8</v>
      </c>
      <c r="J10" s="15" t="n">
        <v>0.011</v>
      </c>
      <c r="K10" s="15" t="n">
        <v>0</v>
      </c>
      <c r="L10" s="15" t="n">
        <v>0</v>
      </c>
      <c r="M10" s="19" t="n">
        <v>4</v>
      </c>
      <c r="N10" s="13" t="n">
        <v>0.55</v>
      </c>
      <c r="O10" s="13" t="n">
        <v>-1</v>
      </c>
      <c r="P10" s="13" t="n">
        <v>-3.8</v>
      </c>
      <c r="Q10" s="13" t="n">
        <v>0</v>
      </c>
      <c r="R10" s="13" t="n">
        <v>0</v>
      </c>
      <c r="S10" s="16">
        <f>SUMPRODUCT(C10:Q10,C10:Q10)^0.5</f>
        <v/>
      </c>
    </row>
    <row r="11">
      <c r="B11" t="inlineStr">
        <is>
          <t>EURUSD Forward</t>
        </is>
      </c>
      <c r="C11" t="inlineStr">
        <is>
          <t>FX</t>
        </is>
      </c>
      <c r="D11" s="15" t="n">
        <v>5</v>
      </c>
      <c r="E11" s="15" t="n">
        <v>80</v>
      </c>
      <c r="F11" s="13" t="n">
        <v>1</v>
      </c>
      <c r="G11" s="13" t="n">
        <v>0</v>
      </c>
      <c r="H11" s="19" t="n">
        <v>0</v>
      </c>
      <c r="I11" s="19" t="n">
        <v>0</v>
      </c>
      <c r="J11" s="15" t="n">
        <v>0</v>
      </c>
      <c r="K11" s="15" t="n">
        <v>0</v>
      </c>
      <c r="L11" s="15" t="n">
        <v>80</v>
      </c>
      <c r="M11" s="19" t="n">
        <v>0.3</v>
      </c>
      <c r="N11" s="13" t="n">
        <v>0</v>
      </c>
      <c r="O11" s="13" t="n">
        <v>0</v>
      </c>
      <c r="P11" s="13" t="n">
        <v>0</v>
      </c>
      <c r="Q11" s="13" t="n">
        <v>1</v>
      </c>
      <c r="R11" s="13" t="n">
        <v>0</v>
      </c>
      <c r="S11" s="16">
        <f>SUMPRODUCT(C11:Q11,C11:Q11)^0.5</f>
        <v/>
      </c>
    </row>
    <row r="12">
      <c r="B12" t="inlineStr">
        <is>
          <t>Commodity Future</t>
        </is>
      </c>
      <c r="C12" t="inlineStr">
        <is>
          <t>Commodity</t>
        </is>
      </c>
      <c r="D12" s="15" t="n">
        <v>20</v>
      </c>
      <c r="E12" s="15" t="n">
        <v>65</v>
      </c>
      <c r="F12" s="13" t="n">
        <v>1</v>
      </c>
      <c r="G12" s="13" t="n">
        <v>0.25</v>
      </c>
      <c r="H12" s="19" t="n">
        <v>0</v>
      </c>
      <c r="I12" s="19" t="n">
        <v>0</v>
      </c>
      <c r="J12" s="15" t="n">
        <v>0</v>
      </c>
      <c r="K12" s="15" t="n">
        <v>0</v>
      </c>
      <c r="L12" s="15" t="n">
        <v>0</v>
      </c>
      <c r="M12" s="19" t="n">
        <v>0.5</v>
      </c>
      <c r="N12" s="13" t="n">
        <v>0.25</v>
      </c>
      <c r="O12" s="13" t="n">
        <v>0</v>
      </c>
      <c r="P12" s="13" t="n">
        <v>0.2</v>
      </c>
      <c r="Q12" s="13" t="n">
        <v>0.1</v>
      </c>
      <c r="R12" s="13" t="n">
        <v>0.1</v>
      </c>
      <c r="S12" s="16">
        <f>SUMPRODUCT(C12:Q12,C12:Q12)^0.5</f>
        <v/>
      </c>
    </row>
    <row r="13">
      <c r="B13" t="inlineStr">
        <is>
          <t>Variance Swap</t>
        </is>
      </c>
      <c r="C13" t="inlineStr">
        <is>
          <t>Volatility</t>
        </is>
      </c>
      <c r="D13" s="15" t="n">
        <v>6</v>
      </c>
      <c r="E13" s="15" t="n">
        <v>30</v>
      </c>
      <c r="F13" s="13" t="n">
        <v>0</v>
      </c>
      <c r="G13" s="13" t="n">
        <v>0</v>
      </c>
      <c r="H13" s="19" t="n">
        <v>0</v>
      </c>
      <c r="I13" s="19" t="n">
        <v>0</v>
      </c>
      <c r="J13" s="15" t="n">
        <v>0</v>
      </c>
      <c r="K13" s="15" t="n">
        <v>0.45</v>
      </c>
      <c r="L13" s="15" t="n">
        <v>0</v>
      </c>
      <c r="M13" s="19" t="n">
        <v>2</v>
      </c>
      <c r="N13" s="13" t="n">
        <v>0</v>
      </c>
      <c r="O13" s="13" t="n">
        <v>0</v>
      </c>
      <c r="P13" s="13" t="n">
        <v>0</v>
      </c>
      <c r="Q13" s="13" t="n">
        <v>0</v>
      </c>
      <c r="R13" s="13" t="n">
        <v>1</v>
      </c>
      <c r="S13" s="16">
        <f>SUMPRODUCT(C13:Q13,C13:Q13)^0.5</f>
        <v/>
      </c>
    </row>
    <row r="14">
      <c r="B14" t="inlineStr">
        <is>
          <t>Private Credit Position</t>
        </is>
      </c>
      <c r="C14" t="inlineStr">
        <is>
          <t>Private</t>
        </is>
      </c>
      <c r="D14" s="15" t="n">
        <v>40</v>
      </c>
      <c r="E14" s="15" t="n">
        <v>40</v>
      </c>
      <c r="F14" s="13" t="n">
        <v>1</v>
      </c>
      <c r="G14" s="13" t="n">
        <v>0.2</v>
      </c>
      <c r="H14" s="19" t="n">
        <v>2</v>
      </c>
      <c r="I14" s="19" t="n">
        <v>2.5</v>
      </c>
      <c r="J14" s="15" t="n">
        <v>0.008</v>
      </c>
      <c r="K14" s="15" t="n">
        <v>0</v>
      </c>
      <c r="L14" s="15" t="n">
        <v>0</v>
      </c>
      <c r="M14" s="19" t="n">
        <v>20</v>
      </c>
      <c r="N14" s="13" t="n">
        <v>0.2</v>
      </c>
      <c r="O14" s="13" t="n">
        <v>-0.5</v>
      </c>
      <c r="P14" s="13" t="n">
        <v>-2.5</v>
      </c>
      <c r="Q14" s="13" t="n">
        <v>0</v>
      </c>
      <c r="R14" s="13" t="n">
        <v>0</v>
      </c>
      <c r="S14" s="16">
        <f>SUMPRODUCT(C14:Q14,C14:Q14)^0.5</f>
        <v/>
      </c>
    </row>
    <row r="15">
      <c r="B15" t="inlineStr">
        <is>
          <t>Cash</t>
        </is>
      </c>
      <c r="C15" t="inlineStr">
        <is>
          <t>Cash</t>
        </is>
      </c>
      <c r="D15" s="15" t="n">
        <v>25</v>
      </c>
      <c r="E15" s="15" t="n">
        <v>25</v>
      </c>
      <c r="F15" s="13" t="n">
        <v>1</v>
      </c>
      <c r="G15" s="13" t="n">
        <v>0</v>
      </c>
      <c r="H15" s="19" t="n">
        <v>0</v>
      </c>
      <c r="I15" s="19" t="n">
        <v>0</v>
      </c>
      <c r="J15" s="15" t="n">
        <v>0</v>
      </c>
      <c r="K15" s="15" t="n">
        <v>0</v>
      </c>
      <c r="L15" s="15" t="n">
        <v>0</v>
      </c>
      <c r="M15" s="19" t="n">
        <v>0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0</v>
      </c>
      <c r="S15" s="16">
        <f>SUMPRODUCT(C15:Q15,C15:Q15)^0.5</f>
        <v/>
      </c>
    </row>
    <row r="16">
      <c r="B16" t="inlineStr">
        <is>
          <t>Short Equity Basket</t>
        </is>
      </c>
      <c r="C16" t="inlineStr">
        <is>
          <t>Equity</t>
        </is>
      </c>
      <c r="D16" s="15" t="n">
        <v>-18</v>
      </c>
      <c r="E16" s="15" t="n">
        <v>60</v>
      </c>
      <c r="F16" s="13" t="n">
        <v>-1</v>
      </c>
      <c r="G16" s="13" t="n">
        <v>-0.9</v>
      </c>
      <c r="H16" s="19" t="n">
        <v>0</v>
      </c>
      <c r="I16" s="19" t="n">
        <v>0</v>
      </c>
      <c r="J16" s="15" t="n">
        <v>0</v>
      </c>
      <c r="K16" s="15" t="n">
        <v>0</v>
      </c>
      <c r="L16" s="15" t="n">
        <v>0</v>
      </c>
      <c r="M16" s="19" t="n">
        <v>0.5</v>
      </c>
      <c r="N16" s="13" t="n">
        <v>-0.9</v>
      </c>
      <c r="O16" s="13" t="n">
        <v>0</v>
      </c>
      <c r="P16" s="13" t="n">
        <v>-0.1</v>
      </c>
      <c r="Q16" s="13" t="n">
        <v>0</v>
      </c>
      <c r="R16" s="13" t="n">
        <v>0</v>
      </c>
      <c r="S16" s="16">
        <f>SUMPRODUCT(C16:Q16,C16:Q16)^0.5</f>
        <v/>
      </c>
    </row>
    <row r="18">
      <c r="B18" s="20" t="inlineStr">
        <is>
          <t>Portfolio total</t>
        </is>
      </c>
      <c r="C18" s="20" t="n"/>
      <c r="D18" s="21">
        <f>SUM(D5:D16)</f>
        <v/>
      </c>
      <c r="E18" s="21">
        <f>SUM(E5:E16)</f>
        <v/>
      </c>
      <c r="F18" s="20" t="n"/>
      <c r="G18" s="20" t="n"/>
      <c r="H18" s="20" t="n"/>
      <c r="I18" s="20" t="n"/>
      <c r="J18" s="21">
        <f>SUM(J5:J16)</f>
        <v/>
      </c>
      <c r="K18" s="21">
        <f>SUM(K5:K16)</f>
        <v/>
      </c>
      <c r="L18" s="21">
        <f>SUM(L5:L16)</f>
        <v/>
      </c>
      <c r="M18" s="20" t="n"/>
      <c r="N18" s="20" t="n"/>
      <c r="O18" s="20" t="n"/>
      <c r="P18" s="20" t="n"/>
      <c r="Q18" s="20" t="n"/>
      <c r="R18" s="20" t="n"/>
      <c r="S18" s="21">
        <f>SUM(S5:S16)</f>
        <v/>
      </c>
    </row>
  </sheetData>
  <mergeCells count="1">
    <mergeCell ref="B2:S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2" ht="28" customHeight="1">
      <c r="B2" s="1" t="inlineStr">
        <is>
          <t>Factor Exposure and Covariance</t>
        </is>
      </c>
    </row>
    <row r="4">
      <c r="B4" s="8" t="inlineStr">
        <is>
          <t>Factor</t>
        </is>
      </c>
      <c r="C4" s="8" t="inlineStr">
        <is>
          <t>Exposure</t>
        </is>
      </c>
      <c r="D4" s="8" t="inlineStr">
        <is>
          <t>Annual vol</t>
        </is>
      </c>
      <c r="E4" s="8" t="inlineStr">
        <is>
          <t>Equity</t>
        </is>
      </c>
      <c r="F4" s="8" t="inlineStr">
        <is>
          <t>Rates</t>
        </is>
      </c>
      <c r="G4" s="8" t="inlineStr">
        <is>
          <t>Credit</t>
        </is>
      </c>
      <c r="H4" s="8" t="inlineStr">
        <is>
          <t>FX</t>
        </is>
      </c>
      <c r="I4" s="8" t="inlineStr">
        <is>
          <t>Volatility</t>
        </is>
      </c>
    </row>
    <row r="5">
      <c r="B5" t="inlineStr">
        <is>
          <t>Equity</t>
        </is>
      </c>
      <c r="C5" s="16">
        <f>SUMPRODUCT(Positions!$D$5:$D$16,Positions!$N$5:$N$16)</f>
        <v/>
      </c>
      <c r="D5" s="14">
        <f>Assumptions!E7</f>
        <v/>
      </c>
      <c r="E5" s="19" t="n">
        <v>1</v>
      </c>
      <c r="F5" s="19" t="n">
        <v>-0.2</v>
      </c>
      <c r="G5" s="19" t="n">
        <v>0.35</v>
      </c>
      <c r="H5" s="19" t="n">
        <v>0.1</v>
      </c>
      <c r="I5" s="19" t="n">
        <v>0.45</v>
      </c>
    </row>
    <row r="6">
      <c r="B6" t="inlineStr">
        <is>
          <t>Rates</t>
        </is>
      </c>
      <c r="C6" s="16">
        <f>SUMPRODUCT(Positions!$D$5:$D$16,Positions!$O$5:$O$16)</f>
        <v/>
      </c>
      <c r="D6" s="14">
        <f>Assumptions!E8</f>
        <v/>
      </c>
      <c r="E6" s="19" t="n">
        <v>-0.2</v>
      </c>
      <c r="F6" s="19" t="n">
        <v>1</v>
      </c>
      <c r="G6" s="19" t="n">
        <v>-0.25</v>
      </c>
      <c r="H6" s="19" t="n">
        <v>0.05</v>
      </c>
      <c r="I6" s="19" t="n">
        <v>-0.1</v>
      </c>
    </row>
    <row r="7">
      <c r="B7" t="inlineStr">
        <is>
          <t>Credit</t>
        </is>
      </c>
      <c r="C7" s="16">
        <f>SUMPRODUCT(Positions!$D$5:$D$16,Positions!$P$5:$P$16)</f>
        <v/>
      </c>
      <c r="D7" s="14">
        <f>Assumptions!E9</f>
        <v/>
      </c>
      <c r="E7" s="19" t="n">
        <v>0.35</v>
      </c>
      <c r="F7" s="19" t="n">
        <v>-0.25</v>
      </c>
      <c r="G7" s="19" t="n">
        <v>1</v>
      </c>
      <c r="H7" s="19" t="n">
        <v>0.1</v>
      </c>
      <c r="I7" s="19" t="n">
        <v>0.3</v>
      </c>
    </row>
    <row r="8">
      <c r="B8" t="inlineStr">
        <is>
          <t>FX</t>
        </is>
      </c>
      <c r="C8" s="16">
        <f>SUMPRODUCT(Positions!$D$5:$D$16,Positions!$Q$5:$Q$16)</f>
        <v/>
      </c>
      <c r="D8" s="14">
        <f>Assumptions!E10</f>
        <v/>
      </c>
      <c r="E8" s="19" t="n">
        <v>0.1</v>
      </c>
      <c r="F8" s="19" t="n">
        <v>0.05</v>
      </c>
      <c r="G8" s="19" t="n">
        <v>0.1</v>
      </c>
      <c r="H8" s="19" t="n">
        <v>1</v>
      </c>
      <c r="I8" s="19" t="n">
        <v>0.1</v>
      </c>
    </row>
    <row r="9">
      <c r="B9" t="inlineStr">
        <is>
          <t>Volatility</t>
        </is>
      </c>
      <c r="C9" s="16">
        <f>SUMPRODUCT(Positions!$D$5:$D$16,Positions!$R$5:$R$16)</f>
        <v/>
      </c>
      <c r="D9" s="14">
        <f>Assumptions!E11</f>
        <v/>
      </c>
      <c r="E9" s="19" t="n">
        <v>0.45</v>
      </c>
      <c r="F9" s="19" t="n">
        <v>-0.1</v>
      </c>
      <c r="G9" s="19" t="n">
        <v>0.3</v>
      </c>
      <c r="H9" s="19" t="n">
        <v>0.1</v>
      </c>
      <c r="I9" s="19" t="n">
        <v>1</v>
      </c>
    </row>
    <row r="12">
      <c r="B12" t="inlineStr">
        <is>
          <t>Annual portfolio variance</t>
        </is>
      </c>
      <c r="C12" s="16">
        <f>$C$5*$C$5*$D$5*$D$5*E5+$C$5*$C$6*$D$5*$D$6*F5+$C$5*$C$7*$D$5*$D$7*G5+$C$5*$C$8*$D$5*$D$8*H5+$C$5*$C$9*$D$5*$D$9*I5+$C$6*$C$5*$D$6*$D$5*E6+$C$6*$C$6*$D$6*$D$6*F6+$C$6*$C$7*$D$6*$D$7*G6+$C$6*$C$8*$D$6*$D$8*H6+$C$6*$C$9*$D$6*$D$9*I6+$C$7*$C$5*$D$7*$D$5*E7+$C$7*$C$6*$D$7*$D$6*F7+$C$7*$C$7*$D$7*$D$7*G7+$C$7*$C$8*$D$7*$D$8*H7+$C$7*$C$9*$D$7*$D$9*I7+$C$8*$C$5*$D$8*$D$5*E8+$C$8*$C$6*$D$8*$D$6*F8+$C$8*$C$7*$D$8*$D$7*G8+$C$8*$C$8*$D$8*$D$8*H8+$C$8*$C$9*$D$8*$D$9*I8+$C$9*$C$5*$D$9*$D$5*E9+$C$9*$C$6*$D$9*$D$6*F9+$C$9*$C$7*$D$9*$D$7*G9+$C$9*$C$8*$D$9*$D$8*H9+$C$9*$C$9*$D$9*$D$9*I9</f>
        <v/>
      </c>
    </row>
    <row r="13">
      <c r="B13" t="inlineStr">
        <is>
          <t>Annual portfolio volatility</t>
        </is>
      </c>
      <c r="C13" s="16">
        <f>SQRT(MAX(0,C12))</f>
        <v/>
      </c>
    </row>
  </sheetData>
  <mergeCells count="1">
    <mergeCell ref="B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4" customWidth="1" min="4" max="4"/>
    <col width="42" customWidth="1" min="5" max="5"/>
  </cols>
  <sheetData>
    <row r="2" ht="28" customHeight="1">
      <c r="B2" s="1" t="inlineStr">
        <is>
          <t>Parametric VaR and Expected Shortfall</t>
        </is>
      </c>
    </row>
    <row r="4">
      <c r="B4" s="8" t="inlineStr">
        <is>
          <t>Metric</t>
        </is>
      </c>
      <c r="C4" s="8" t="inlineStr">
        <is>
          <t>Value</t>
        </is>
      </c>
      <c r="D4" s="8" t="inlineStr">
        <is>
          <t>Units</t>
        </is>
      </c>
      <c r="E4" s="8" t="inlineStr">
        <is>
          <t>Method</t>
        </is>
      </c>
    </row>
    <row r="5">
      <c r="B5" t="inlineStr">
        <is>
          <t>Annual portfolio volatility</t>
        </is>
      </c>
      <c r="C5" s="16">
        <f>Factors!C13</f>
        <v/>
      </c>
      <c r="D5" t="inlineStr">
        <is>
          <t>$mm</t>
        </is>
      </c>
      <c r="E5" t="inlineStr">
        <is>
          <t>factor covariance</t>
        </is>
      </c>
    </row>
    <row r="6">
      <c r="B6" t="inlineStr">
        <is>
          <t>Daily portfolio volatility</t>
        </is>
      </c>
      <c r="C6" s="16">
        <f>C5/SQRT(Assumptions!E6)</f>
        <v/>
      </c>
      <c r="D6" t="inlineStr">
        <is>
          <t>$mm</t>
        </is>
      </c>
      <c r="E6" t="inlineStr">
        <is>
          <t>annual / sqrt(days)</t>
        </is>
      </c>
    </row>
    <row r="7">
      <c r="B7" t="inlineStr">
        <is>
          <t>Normal quantile</t>
        </is>
      </c>
      <c r="C7" s="22">
        <f>-NORMSINV(1-Assumptions!E5)</f>
        <v/>
      </c>
      <c r="D7" t="inlineStr">
        <is>
          <t>z</t>
        </is>
      </c>
      <c r="E7" t="inlineStr">
        <is>
          <t>confidence quantile</t>
        </is>
      </c>
    </row>
    <row r="8">
      <c r="B8" t="inlineStr">
        <is>
          <t>One-day VaR</t>
        </is>
      </c>
      <c r="C8" s="16">
        <f>C6*C7</f>
        <v/>
      </c>
      <c r="D8" t="inlineStr">
        <is>
          <t>$mm</t>
        </is>
      </c>
      <c r="E8" t="inlineStr">
        <is>
          <t>sigma x z</t>
        </is>
      </c>
    </row>
    <row r="9">
      <c r="B9" t="inlineStr">
        <is>
          <t>One-day expected shortfall</t>
        </is>
      </c>
      <c r="C9" s="16">
        <f>C6*(EXP(-((C7)^2)/2)/SQRT(2*PI()))/(1-Assumptions!E5)</f>
        <v/>
      </c>
      <c r="D9" t="inlineStr">
        <is>
          <t>$mm</t>
        </is>
      </c>
      <c r="E9" t="inlineStr">
        <is>
          <t>normal tail expectation</t>
        </is>
      </c>
    </row>
    <row r="10">
      <c r="B10" t="inlineStr">
        <is>
          <t>VaR / NAV</t>
        </is>
      </c>
      <c r="C10" s="14">
        <f>C8/Assumptions!E18</f>
        <v/>
      </c>
      <c r="D10" t="inlineStr">
        <is>
          <t>%</t>
        </is>
      </c>
      <c r="E10" t="inlineStr">
        <is>
          <t>capital consumption</t>
        </is>
      </c>
    </row>
    <row r="11">
      <c r="B11" t="inlineStr">
        <is>
          <t>Diversification benefit</t>
        </is>
      </c>
      <c r="C11" s="14">
        <f>1-C5/SUMPRODUCT(ABS(Factors!C5:C9),Factors!D5:D9)</f>
        <v/>
      </c>
      <c r="D11" t="inlineStr">
        <is>
          <t>%</t>
        </is>
      </c>
      <c r="E11" t="inlineStr">
        <is>
          <t>1 - portfolio / standalone</t>
        </is>
      </c>
    </row>
  </sheetData>
  <mergeCells count="1">
    <mergeCell ref="B2:E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22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20" customWidth="1" min="9" max="9"/>
    <col width="18" customWidth="1" min="10" max="10"/>
  </cols>
  <sheetData>
    <row r="2" ht="28" customHeight="1">
      <c r="B2" s="1" t="inlineStr">
        <is>
          <t>Position-Level VaR, Stress, and Liquidity Contributions</t>
        </is>
      </c>
    </row>
    <row r="4">
      <c r="B4" s="8" t="inlineStr">
        <is>
          <t>Instrument</t>
        </is>
      </c>
      <c r="C4" s="8" t="inlineStr">
        <is>
          <t>Gross notional</t>
        </is>
      </c>
      <c r="D4" s="8" t="inlineStr">
        <is>
          <t>Standalone VaR</t>
        </is>
      </c>
      <c r="E4" s="8" t="inlineStr">
        <is>
          <t>Component VaR</t>
        </is>
      </c>
      <c r="F4" s="8" t="inlineStr">
        <is>
          <t>% portfolio VaR</t>
        </is>
      </c>
      <c r="G4" s="8" t="inlineStr">
        <is>
          <t>Worst stress loss</t>
        </is>
      </c>
      <c r="H4" s="8" t="inlineStr">
        <is>
          <t>Liquidation loss</t>
        </is>
      </c>
      <c r="I4" s="8" t="inlineStr">
        <is>
          <t>Liquidity-adjusted risk</t>
        </is>
      </c>
      <c r="J4" s="8" t="inlineStr">
        <is>
          <t>Risk concentration</t>
        </is>
      </c>
    </row>
    <row r="5">
      <c r="B5">
        <f>Positions!B5</f>
        <v/>
      </c>
      <c r="C5" s="16">
        <f>ABS(Positions!E5)</f>
        <v/>
      </c>
      <c r="D5" s="16">
        <f>'VaR &amp; ES'!$C$7*SQRT(MAX(0,((Positions!$E$5*Positions!$N$5)*(Positions!$E$5*Positions!$N$5)*Factors!$D$5*Factors!$D$5*Factors!$E$5+(Positions!$E$5*Positions!$N$5)*(Positions!$E$5*Positions!$O$5)*Factors!$D$5*Factors!$D$6*Factors!$F$5+(Positions!$E$5*Positions!$N$5)*(Positions!$E$5*Positions!$P$5)*Factors!$D$5*Factors!$D$7*Factors!$G$5+(Positions!$E$5*Positions!$N$5)*(Positions!$E$5*Positions!$Q$5)*Factors!$D$5*Factors!$D$8*Factors!$H$5+(Positions!$E$5*Positions!$N$5)*(Positions!$E$5*Positions!$R$5)*Factors!$D$5*Factors!$D$9*Factors!$I$5+(Positions!$E$5*Positions!$O$5)*(Positions!$E$5*Positions!$N$5)*Factors!$D$6*Factors!$D$5*Factors!$E$6+(Positions!$E$5*Positions!$O$5)*(Positions!$E$5*Positions!$O$5)*Factors!$D$6*Factors!$D$6*Factors!$F$6+(Positions!$E$5*Positions!$O$5)*(Positions!$E$5*Positions!$P$5)*Factors!$D$6*Factors!$D$7*Factors!$G$6+(Positions!$E$5*Positions!$O$5)*(Positions!$E$5*Positions!$Q$5)*Factors!$D$6*Factors!$D$8*Factors!$H$6+(Positions!$E$5*Positions!$O$5)*(Positions!$E$5*Positions!$R$5)*Factors!$D$6*Factors!$D$9*Factors!$I$6+(Positions!$E$5*Positions!$P$5)*(Positions!$E$5*Positions!$N$5)*Factors!$D$7*Factors!$D$5*Factors!$E$7+(Positions!$E$5*Positions!$P$5)*(Positions!$E$5*Positions!$O$5)*Factors!$D$7*Factors!$D$6*Factors!$F$7+(Positions!$E$5*Positions!$P$5)*(Positions!$E$5*Positions!$P$5)*Factors!$D$7*Factors!$D$7*Factors!$G$7+(Positions!$E$5*Positions!$P$5)*(Positions!$E$5*Positions!$Q$5)*Factors!$D$7*Factors!$D$8*Factors!$H$7+(Positions!$E$5*Positions!$P$5)*(Positions!$E$5*Positions!$R$5)*Factors!$D$7*Factors!$D$9*Factors!$I$7+(Positions!$E$5*Positions!$Q$5)*(Positions!$E$5*Positions!$N$5)*Factors!$D$8*Factors!$D$5*Factors!$E$8+(Positions!$E$5*Positions!$Q$5)*(Positions!$E$5*Positions!$O$5)*Factors!$D$8*Factors!$D$6*Factors!$F$8+(Positions!$E$5*Positions!$Q$5)*(Positions!$E$5*Positions!$P$5)*Factors!$D$8*Factors!$D$7*Factors!$G$8+(Positions!$E$5*Positions!$Q$5)*(Positions!$E$5*Positions!$Q$5)*Factors!$D$8*Factors!$D$8*Factors!$H$8+(Positions!$E$5*Positions!$Q$5)*(Positions!$E$5*Positions!$R$5)*Factors!$D$8*Factors!$D$9*Factors!$I$8+(Positions!$E$5*Positions!$R$5)*(Positions!$E$5*Positions!$N$5)*Factors!$D$9*Factors!$D$5*Factors!$E$9+(Positions!$E$5*Positions!$R$5)*(Positions!$E$5*Positions!$O$5)*Factors!$D$9*Factors!$D$6*Factors!$F$9+(Positions!$E$5*Positions!$R$5)*(Positions!$E$5*Positions!$P$5)*Factors!$D$9*Factors!$D$7*Factors!$G$9+(Positions!$E$5*Positions!$R$5)*(Positions!$E$5*Positions!$Q$5)*Factors!$D$9*Factors!$D$8*Factors!$H$9+(Positions!$E$5*Positions!$R$5)*(Positions!$E$5*Positions!$R$5)*Factors!$D$9*Factors!$D$9*Factors!$I$9)/Assumptions!$E$6))</f>
        <v/>
      </c>
      <c r="E5" s="16">
        <f>IFERROR('VaR &amp; ES'!$C$7*((Positions!$E$5*Positions!$N$5)*Factors!$D$5*Factors!$C$5*Factors!$D$5*Factors!$E$5+(Positions!$E$5*Positions!$N$5)*Factors!$D$5*Factors!$C$6*Factors!$D$6*Factors!$F$5+(Positions!$E$5*Positions!$N$5)*Factors!$D$5*Factors!$C$7*Factors!$D$7*Factors!$G$5+(Positions!$E$5*Positions!$N$5)*Factors!$D$5*Factors!$C$8*Factors!$D$8*Factors!$H$5+(Positions!$E$5*Positions!$N$5)*Factors!$D$5*Factors!$C$9*Factors!$D$9*Factors!$I$5+(Positions!$E$5*Positions!$O$5)*Factors!$D$6*Factors!$C$5*Factors!$D$5*Factors!$E$6+(Positions!$E$5*Positions!$O$5)*Factors!$D$6*Factors!$C$6*Factors!$D$6*Factors!$F$6+(Positions!$E$5*Positions!$O$5)*Factors!$D$6*Factors!$C$7*Factors!$D$7*Factors!$G$6+(Positions!$E$5*Positions!$O$5)*Factors!$D$6*Factors!$C$8*Factors!$D$8*Factors!$H$6+(Positions!$E$5*Positions!$O$5)*Factors!$D$6*Factors!$C$9*Factors!$D$9*Factors!$I$6+(Positions!$E$5*Positions!$P$5)*Factors!$D$7*Factors!$C$5*Factors!$D$5*Factors!$E$7+(Positions!$E$5*Positions!$P$5)*Factors!$D$7*Factors!$C$6*Factors!$D$6*Factors!$F$7+(Positions!$E$5*Positions!$P$5)*Factors!$D$7*Factors!$C$7*Factors!$D$7*Factors!$G$7+(Positions!$E$5*Positions!$P$5)*Factors!$D$7*Factors!$C$8*Factors!$D$8*Factors!$H$7+(Positions!$E$5*Positions!$P$5)*Factors!$D$7*Factors!$C$9*Factors!$D$9*Factors!$I$7+(Positions!$E$5*Positions!$Q$5)*Factors!$D$8*Factors!$C$5*Factors!$D$5*Factors!$E$8+(Positions!$E$5*Positions!$Q$5)*Factors!$D$8*Factors!$C$6*Factors!$D$6*Factors!$F$8+(Positions!$E$5*Positions!$Q$5)*Factors!$D$8*Factors!$C$7*Factors!$D$7*Factors!$G$8+(Positions!$E$5*Positions!$Q$5)*Factors!$D$8*Factors!$C$8*Factors!$D$8*Factors!$H$8+(Positions!$E$5*Positions!$Q$5)*Factors!$D$8*Factors!$C$9*Factors!$D$9*Factors!$I$8+(Positions!$E$5*Positions!$R$5)*Factors!$D$9*Factors!$C$5*Factors!$D$5*Factors!$E$9+(Positions!$E$5*Positions!$R$5)*Factors!$D$9*Factors!$C$6*Factors!$D$6*Factors!$F$9+(Positions!$E$5*Positions!$R$5)*Factors!$D$9*Factors!$C$7*Factors!$D$7*Factors!$G$9+(Positions!$E$5*Positions!$R$5)*Factors!$D$9*Factors!$C$8*Factors!$D$8*Factors!$H$9+(Positions!$E$5*Positions!$R$5)*Factors!$D$9*Factors!$C$9*Factors!$D$9*Factors!$I$9)/(Factors!$C$13*SQRT(Assumptions!$E$6)),0)</f>
        <v/>
      </c>
      <c r="F5" s="14">
        <f>IFERROR(E5/'VaR &amp; ES'!$C$8,0)</f>
        <v/>
      </c>
      <c r="G5" s="16">
        <f>-MIN((Positions!$E$5*Positions!$N$5*Stress!$C$5+Positions!$E$5*Positions!$O$5*Stress!$D$5+Positions!$E$5*Positions!$P$5*Stress!$E$5+Positions!$E$5*Positions!$Q$5*Stress!$F$5+Positions!$E$5*Positions!$R$5*Stress!$G$5),(Positions!$E$5*Positions!$N$5*Stress!$C$6+Positions!$E$5*Positions!$O$5*Stress!$D$6+Positions!$E$5*Positions!$P$5*Stress!$E$6+Positions!$E$5*Positions!$Q$5*Stress!$F$6+Positions!$E$5*Positions!$R$5*Stress!$G$6),(Positions!$E$5*Positions!$N$5*Stress!$C$7+Positions!$E$5*Positions!$O$5*Stress!$D$7+Positions!$E$5*Positions!$P$5*Stress!$E$7+Positions!$E$5*Positions!$Q$5*Stress!$F$7+Positions!$E$5*Positions!$R$5*Stress!$G$7),(Positions!$E$5*Positions!$N$5*Stress!$C$8+Positions!$E$5*Positions!$O$5*Stress!$D$8+Positions!$E$5*Positions!$P$5*Stress!$E$8+Positions!$E$5*Positions!$Q$5*Stress!$F$8+Positions!$E$5*Positions!$R$5*Stress!$G$8),(Positions!$E$5*Positions!$N$5*Stress!$C$9+Positions!$E$5*Positions!$O$5*Stress!$D$9+Positions!$E$5*Positions!$P$5*Stress!$E$9+Positions!$E$5*Positions!$Q$5*Stress!$F$9+Positions!$E$5*Positions!$R$5*Stress!$G$9),(Positions!$E$5*Positions!$N$5*Stress!$C$10+Positions!$E$5*Positions!$O$5*Stress!$D$10+Positions!$E$5*Positions!$P$5*Stress!$E$10+Positions!$E$5*Positions!$Q$5*Stress!$F$10+Positions!$E$5*Positions!$R$5*Stress!$G$10))</f>
        <v/>
      </c>
      <c r="H5" s="16">
        <f>Liquidity!G5</f>
        <v/>
      </c>
      <c r="I5" s="16">
        <f>ABS(E5)+G5+H5</f>
        <v/>
      </c>
      <c r="J5" s="14">
        <f>IFERROR(I5/SUM($I$5:$I$16),0)</f>
        <v/>
      </c>
    </row>
    <row r="6">
      <c r="B6">
        <f>Positions!B6</f>
        <v/>
      </c>
      <c r="C6" s="16">
        <f>ABS(Positions!E6)</f>
        <v/>
      </c>
      <c r="D6" s="16">
        <f>'VaR &amp; ES'!$C$7*SQRT(MAX(0,((Positions!$E$6*Positions!$N$6)*(Positions!$E$6*Positions!$N$6)*Factors!$D$5*Factors!$D$5*Factors!$E$5+(Positions!$E$6*Positions!$N$6)*(Positions!$E$6*Positions!$O$6)*Factors!$D$5*Factors!$D$6*Factors!$F$5+(Positions!$E$6*Positions!$N$6)*(Positions!$E$6*Positions!$P$6)*Factors!$D$5*Factors!$D$7*Factors!$G$5+(Positions!$E$6*Positions!$N$6)*(Positions!$E$6*Positions!$Q$6)*Factors!$D$5*Factors!$D$8*Factors!$H$5+(Positions!$E$6*Positions!$N$6)*(Positions!$E$6*Positions!$R$6)*Factors!$D$5*Factors!$D$9*Factors!$I$5+(Positions!$E$6*Positions!$O$6)*(Positions!$E$6*Positions!$N$6)*Factors!$D$6*Factors!$D$5*Factors!$E$6+(Positions!$E$6*Positions!$O$6)*(Positions!$E$6*Positions!$O$6)*Factors!$D$6*Factors!$D$6*Factors!$F$6+(Positions!$E$6*Positions!$O$6)*(Positions!$E$6*Positions!$P$6)*Factors!$D$6*Factors!$D$7*Factors!$G$6+(Positions!$E$6*Positions!$O$6)*(Positions!$E$6*Positions!$Q$6)*Factors!$D$6*Factors!$D$8*Factors!$H$6+(Positions!$E$6*Positions!$O$6)*(Positions!$E$6*Positions!$R$6)*Factors!$D$6*Factors!$D$9*Factors!$I$6+(Positions!$E$6*Positions!$P$6)*(Positions!$E$6*Positions!$N$6)*Factors!$D$7*Factors!$D$5*Factors!$E$7+(Positions!$E$6*Positions!$P$6)*(Positions!$E$6*Positions!$O$6)*Factors!$D$7*Factors!$D$6*Factors!$F$7+(Positions!$E$6*Positions!$P$6)*(Positions!$E$6*Positions!$P$6)*Factors!$D$7*Factors!$D$7*Factors!$G$7+(Positions!$E$6*Positions!$P$6)*(Positions!$E$6*Positions!$Q$6)*Factors!$D$7*Factors!$D$8*Factors!$H$7+(Positions!$E$6*Positions!$P$6)*(Positions!$E$6*Positions!$R$6)*Factors!$D$7*Factors!$D$9*Factors!$I$7+(Positions!$E$6*Positions!$Q$6)*(Positions!$E$6*Positions!$N$6)*Factors!$D$8*Factors!$D$5*Factors!$E$8+(Positions!$E$6*Positions!$Q$6)*(Positions!$E$6*Positions!$O$6)*Factors!$D$8*Factors!$D$6*Factors!$F$8+(Positions!$E$6*Positions!$Q$6)*(Positions!$E$6*Positions!$P$6)*Factors!$D$8*Factors!$D$7*Factors!$G$8+(Positions!$E$6*Positions!$Q$6)*(Positions!$E$6*Positions!$Q$6)*Factors!$D$8*Factors!$D$8*Factors!$H$8+(Positions!$E$6*Positions!$Q$6)*(Positions!$E$6*Positions!$R$6)*Factors!$D$8*Factors!$D$9*Factors!$I$8+(Positions!$E$6*Positions!$R$6)*(Positions!$E$6*Positions!$N$6)*Factors!$D$9*Factors!$D$5*Factors!$E$9+(Positions!$E$6*Positions!$R$6)*(Positions!$E$6*Positions!$O$6)*Factors!$D$9*Factors!$D$6*Factors!$F$9+(Positions!$E$6*Positions!$R$6)*(Positions!$E$6*Positions!$P$6)*Factors!$D$9*Factors!$D$7*Factors!$G$9+(Positions!$E$6*Positions!$R$6)*(Positions!$E$6*Positions!$Q$6)*Factors!$D$9*Factors!$D$8*Factors!$H$9+(Positions!$E$6*Positions!$R$6)*(Positions!$E$6*Positions!$R$6)*Factors!$D$9*Factors!$D$9*Factors!$I$9)/Assumptions!$E$6))</f>
        <v/>
      </c>
      <c r="E6" s="16">
        <f>IFERROR('VaR &amp; ES'!$C$7*((Positions!$E$6*Positions!$N$6)*Factors!$D$5*Factors!$C$5*Factors!$D$5*Factors!$E$5+(Positions!$E$6*Positions!$N$6)*Factors!$D$5*Factors!$C$6*Factors!$D$6*Factors!$F$5+(Positions!$E$6*Positions!$N$6)*Factors!$D$5*Factors!$C$7*Factors!$D$7*Factors!$G$5+(Positions!$E$6*Positions!$N$6)*Factors!$D$5*Factors!$C$8*Factors!$D$8*Factors!$H$5+(Positions!$E$6*Positions!$N$6)*Factors!$D$5*Factors!$C$9*Factors!$D$9*Factors!$I$5+(Positions!$E$6*Positions!$O$6)*Factors!$D$6*Factors!$C$5*Factors!$D$5*Factors!$E$6+(Positions!$E$6*Positions!$O$6)*Factors!$D$6*Factors!$C$6*Factors!$D$6*Factors!$F$6+(Positions!$E$6*Positions!$O$6)*Factors!$D$6*Factors!$C$7*Factors!$D$7*Factors!$G$6+(Positions!$E$6*Positions!$O$6)*Factors!$D$6*Factors!$C$8*Factors!$D$8*Factors!$H$6+(Positions!$E$6*Positions!$O$6)*Factors!$D$6*Factors!$C$9*Factors!$D$9*Factors!$I$6+(Positions!$E$6*Positions!$P$6)*Factors!$D$7*Factors!$C$5*Factors!$D$5*Factors!$E$7+(Positions!$E$6*Positions!$P$6)*Factors!$D$7*Factors!$C$6*Factors!$D$6*Factors!$F$7+(Positions!$E$6*Positions!$P$6)*Factors!$D$7*Factors!$C$7*Factors!$D$7*Factors!$G$7+(Positions!$E$6*Positions!$P$6)*Factors!$D$7*Factors!$C$8*Factors!$D$8*Factors!$H$7+(Positions!$E$6*Positions!$P$6)*Factors!$D$7*Factors!$C$9*Factors!$D$9*Factors!$I$7+(Positions!$E$6*Positions!$Q$6)*Factors!$D$8*Factors!$C$5*Factors!$D$5*Factors!$E$8+(Positions!$E$6*Positions!$Q$6)*Factors!$D$8*Factors!$C$6*Factors!$D$6*Factors!$F$8+(Positions!$E$6*Positions!$Q$6)*Factors!$D$8*Factors!$C$7*Factors!$D$7*Factors!$G$8+(Positions!$E$6*Positions!$Q$6)*Factors!$D$8*Factors!$C$8*Factors!$D$8*Factors!$H$8+(Positions!$E$6*Positions!$Q$6)*Factors!$D$8*Factors!$C$9*Factors!$D$9*Factors!$I$8+(Positions!$E$6*Positions!$R$6)*Factors!$D$9*Factors!$C$5*Factors!$D$5*Factors!$E$9+(Positions!$E$6*Positions!$R$6)*Factors!$D$9*Factors!$C$6*Factors!$D$6*Factors!$F$9+(Positions!$E$6*Positions!$R$6)*Factors!$D$9*Factors!$C$7*Factors!$D$7*Factors!$G$9+(Positions!$E$6*Positions!$R$6)*Factors!$D$9*Factors!$C$8*Factors!$D$8*Factors!$H$9+(Positions!$E$6*Positions!$R$6)*Factors!$D$9*Factors!$C$9*Factors!$D$9*Factors!$I$9)/(Factors!$C$13*SQRT(Assumptions!$E$6)),0)</f>
        <v/>
      </c>
      <c r="F6" s="14">
        <f>IFERROR(E6/'VaR &amp; ES'!$C$8,0)</f>
        <v/>
      </c>
      <c r="G6" s="16">
        <f>-MIN((Positions!$E$6*Positions!$N$6*Stress!$C$5+Positions!$E$6*Positions!$O$6*Stress!$D$5+Positions!$E$6*Positions!$P$6*Stress!$E$5+Positions!$E$6*Positions!$Q$6*Stress!$F$5+Positions!$E$6*Positions!$R$6*Stress!$G$5),(Positions!$E$6*Positions!$N$6*Stress!$C$6+Positions!$E$6*Positions!$O$6*Stress!$D$6+Positions!$E$6*Positions!$P$6*Stress!$E$6+Positions!$E$6*Positions!$Q$6*Stress!$F$6+Positions!$E$6*Positions!$R$6*Stress!$G$6),(Positions!$E$6*Positions!$N$6*Stress!$C$7+Positions!$E$6*Positions!$O$6*Stress!$D$7+Positions!$E$6*Positions!$P$6*Stress!$E$7+Positions!$E$6*Positions!$Q$6*Stress!$F$7+Positions!$E$6*Positions!$R$6*Stress!$G$7),(Positions!$E$6*Positions!$N$6*Stress!$C$8+Positions!$E$6*Positions!$O$6*Stress!$D$8+Positions!$E$6*Positions!$P$6*Stress!$E$8+Positions!$E$6*Positions!$Q$6*Stress!$F$8+Positions!$E$6*Positions!$R$6*Stress!$G$8),(Positions!$E$6*Positions!$N$6*Stress!$C$9+Positions!$E$6*Positions!$O$6*Stress!$D$9+Positions!$E$6*Positions!$P$6*Stress!$E$9+Positions!$E$6*Positions!$Q$6*Stress!$F$9+Positions!$E$6*Positions!$R$6*Stress!$G$9),(Positions!$E$6*Positions!$N$6*Stress!$C$10+Positions!$E$6*Positions!$O$6*Stress!$D$10+Positions!$E$6*Positions!$P$6*Stress!$E$10+Positions!$E$6*Positions!$Q$6*Stress!$F$10+Positions!$E$6*Positions!$R$6*Stress!$G$10))</f>
        <v/>
      </c>
      <c r="H6" s="16">
        <f>Liquidity!G6</f>
        <v/>
      </c>
      <c r="I6" s="16">
        <f>ABS(E6)+G6+H6</f>
        <v/>
      </c>
      <c r="J6" s="14">
        <f>IFERROR(I6/SUM($I$5:$I$16),0)</f>
        <v/>
      </c>
    </row>
    <row r="7">
      <c r="B7">
        <f>Positions!B7</f>
        <v/>
      </c>
      <c r="C7" s="16">
        <f>ABS(Positions!E7)</f>
        <v/>
      </c>
      <c r="D7" s="16">
        <f>'VaR &amp; ES'!$C$7*SQRT(MAX(0,((Positions!$E$7*Positions!$N$7)*(Positions!$E$7*Positions!$N$7)*Factors!$D$5*Factors!$D$5*Factors!$E$5+(Positions!$E$7*Positions!$N$7)*(Positions!$E$7*Positions!$O$7)*Factors!$D$5*Factors!$D$6*Factors!$F$5+(Positions!$E$7*Positions!$N$7)*(Positions!$E$7*Positions!$P$7)*Factors!$D$5*Factors!$D$7*Factors!$G$5+(Positions!$E$7*Positions!$N$7)*(Positions!$E$7*Positions!$Q$7)*Factors!$D$5*Factors!$D$8*Factors!$H$5+(Positions!$E$7*Positions!$N$7)*(Positions!$E$7*Positions!$R$7)*Factors!$D$5*Factors!$D$9*Factors!$I$5+(Positions!$E$7*Positions!$O$7)*(Positions!$E$7*Positions!$N$7)*Factors!$D$6*Factors!$D$5*Factors!$E$6+(Positions!$E$7*Positions!$O$7)*(Positions!$E$7*Positions!$O$7)*Factors!$D$6*Factors!$D$6*Factors!$F$6+(Positions!$E$7*Positions!$O$7)*(Positions!$E$7*Positions!$P$7)*Factors!$D$6*Factors!$D$7*Factors!$G$6+(Positions!$E$7*Positions!$O$7)*(Positions!$E$7*Positions!$Q$7)*Factors!$D$6*Factors!$D$8*Factors!$H$6+(Positions!$E$7*Positions!$O$7)*(Positions!$E$7*Positions!$R$7)*Factors!$D$6*Factors!$D$9*Factors!$I$6+(Positions!$E$7*Positions!$P$7)*(Positions!$E$7*Positions!$N$7)*Factors!$D$7*Factors!$D$5*Factors!$E$7+(Positions!$E$7*Positions!$P$7)*(Positions!$E$7*Positions!$O$7)*Factors!$D$7*Factors!$D$6*Factors!$F$7+(Positions!$E$7*Positions!$P$7)*(Positions!$E$7*Positions!$P$7)*Factors!$D$7*Factors!$D$7*Factors!$G$7+(Positions!$E$7*Positions!$P$7)*(Positions!$E$7*Positions!$Q$7)*Factors!$D$7*Factors!$D$8*Factors!$H$7+(Positions!$E$7*Positions!$P$7)*(Positions!$E$7*Positions!$R$7)*Factors!$D$7*Factors!$D$9*Factors!$I$7+(Positions!$E$7*Positions!$Q$7)*(Positions!$E$7*Positions!$N$7)*Factors!$D$8*Factors!$D$5*Factors!$E$8+(Positions!$E$7*Positions!$Q$7)*(Positions!$E$7*Positions!$O$7)*Factors!$D$8*Factors!$D$6*Factors!$F$8+(Positions!$E$7*Positions!$Q$7)*(Positions!$E$7*Positions!$P$7)*Factors!$D$8*Factors!$D$7*Factors!$G$8+(Positions!$E$7*Positions!$Q$7)*(Positions!$E$7*Positions!$Q$7)*Factors!$D$8*Factors!$D$8*Factors!$H$8+(Positions!$E$7*Positions!$Q$7)*(Positions!$E$7*Positions!$R$7)*Factors!$D$8*Factors!$D$9*Factors!$I$8+(Positions!$E$7*Positions!$R$7)*(Positions!$E$7*Positions!$N$7)*Factors!$D$9*Factors!$D$5*Factors!$E$9+(Positions!$E$7*Positions!$R$7)*(Positions!$E$7*Positions!$O$7)*Factors!$D$9*Factors!$D$6*Factors!$F$9+(Positions!$E$7*Positions!$R$7)*(Positions!$E$7*Positions!$P$7)*Factors!$D$9*Factors!$D$7*Factors!$G$9+(Positions!$E$7*Positions!$R$7)*(Positions!$E$7*Positions!$Q$7)*Factors!$D$9*Factors!$D$8*Factors!$H$9+(Positions!$E$7*Positions!$R$7)*(Positions!$E$7*Positions!$R$7)*Factors!$D$9*Factors!$D$9*Factors!$I$9)/Assumptions!$E$6))</f>
        <v/>
      </c>
      <c r="E7" s="16">
        <f>IFERROR('VaR &amp; ES'!$C$7*((Positions!$E$7*Positions!$N$7)*Factors!$D$5*Factors!$C$5*Factors!$D$5*Factors!$E$5+(Positions!$E$7*Positions!$N$7)*Factors!$D$5*Factors!$C$6*Factors!$D$6*Factors!$F$5+(Positions!$E$7*Positions!$N$7)*Factors!$D$5*Factors!$C$7*Factors!$D$7*Factors!$G$5+(Positions!$E$7*Positions!$N$7)*Factors!$D$5*Factors!$C$8*Factors!$D$8*Factors!$H$5+(Positions!$E$7*Positions!$N$7)*Factors!$D$5*Factors!$C$9*Factors!$D$9*Factors!$I$5+(Positions!$E$7*Positions!$O$7)*Factors!$D$6*Factors!$C$5*Factors!$D$5*Factors!$E$6+(Positions!$E$7*Positions!$O$7)*Factors!$D$6*Factors!$C$6*Factors!$D$6*Factors!$F$6+(Positions!$E$7*Positions!$O$7)*Factors!$D$6*Factors!$C$7*Factors!$D$7*Factors!$G$6+(Positions!$E$7*Positions!$O$7)*Factors!$D$6*Factors!$C$8*Factors!$D$8*Factors!$H$6+(Positions!$E$7*Positions!$O$7)*Factors!$D$6*Factors!$C$9*Factors!$D$9*Factors!$I$6+(Positions!$E$7*Positions!$P$7)*Factors!$D$7*Factors!$C$5*Factors!$D$5*Factors!$E$7+(Positions!$E$7*Positions!$P$7)*Factors!$D$7*Factors!$C$6*Factors!$D$6*Factors!$F$7+(Positions!$E$7*Positions!$P$7)*Factors!$D$7*Factors!$C$7*Factors!$D$7*Factors!$G$7+(Positions!$E$7*Positions!$P$7)*Factors!$D$7*Factors!$C$8*Factors!$D$8*Factors!$H$7+(Positions!$E$7*Positions!$P$7)*Factors!$D$7*Factors!$C$9*Factors!$D$9*Factors!$I$7+(Positions!$E$7*Positions!$Q$7)*Factors!$D$8*Factors!$C$5*Factors!$D$5*Factors!$E$8+(Positions!$E$7*Positions!$Q$7)*Factors!$D$8*Factors!$C$6*Factors!$D$6*Factors!$F$8+(Positions!$E$7*Positions!$Q$7)*Factors!$D$8*Factors!$C$7*Factors!$D$7*Factors!$G$8+(Positions!$E$7*Positions!$Q$7)*Factors!$D$8*Factors!$C$8*Factors!$D$8*Factors!$H$8+(Positions!$E$7*Positions!$Q$7)*Factors!$D$8*Factors!$C$9*Factors!$D$9*Factors!$I$8+(Positions!$E$7*Positions!$R$7)*Factors!$D$9*Factors!$C$5*Factors!$D$5*Factors!$E$9+(Positions!$E$7*Positions!$R$7)*Factors!$D$9*Factors!$C$6*Factors!$D$6*Factors!$F$9+(Positions!$E$7*Positions!$R$7)*Factors!$D$9*Factors!$C$7*Factors!$D$7*Factors!$G$9+(Positions!$E$7*Positions!$R$7)*Factors!$D$9*Factors!$C$8*Factors!$D$8*Factors!$H$9+(Positions!$E$7*Positions!$R$7)*Factors!$D$9*Factors!$C$9*Factors!$D$9*Factors!$I$9)/(Factors!$C$13*SQRT(Assumptions!$E$6)),0)</f>
        <v/>
      </c>
      <c r="F7" s="14">
        <f>IFERROR(E7/'VaR &amp; ES'!$C$8,0)</f>
        <v/>
      </c>
      <c r="G7" s="16">
        <f>-MIN((Positions!$E$7*Positions!$N$7*Stress!$C$5+Positions!$E$7*Positions!$O$7*Stress!$D$5+Positions!$E$7*Positions!$P$7*Stress!$E$5+Positions!$E$7*Positions!$Q$7*Stress!$F$5+Positions!$E$7*Positions!$R$7*Stress!$G$5),(Positions!$E$7*Positions!$N$7*Stress!$C$6+Positions!$E$7*Positions!$O$7*Stress!$D$6+Positions!$E$7*Positions!$P$7*Stress!$E$6+Positions!$E$7*Positions!$Q$7*Stress!$F$6+Positions!$E$7*Positions!$R$7*Stress!$G$6),(Positions!$E$7*Positions!$N$7*Stress!$C$7+Positions!$E$7*Positions!$O$7*Stress!$D$7+Positions!$E$7*Positions!$P$7*Stress!$E$7+Positions!$E$7*Positions!$Q$7*Stress!$F$7+Positions!$E$7*Positions!$R$7*Stress!$G$7),(Positions!$E$7*Positions!$N$7*Stress!$C$8+Positions!$E$7*Positions!$O$7*Stress!$D$8+Positions!$E$7*Positions!$P$7*Stress!$E$8+Positions!$E$7*Positions!$Q$7*Stress!$F$8+Positions!$E$7*Positions!$R$7*Stress!$G$8),(Positions!$E$7*Positions!$N$7*Stress!$C$9+Positions!$E$7*Positions!$O$7*Stress!$D$9+Positions!$E$7*Positions!$P$7*Stress!$E$9+Positions!$E$7*Positions!$Q$7*Stress!$F$9+Positions!$E$7*Positions!$R$7*Stress!$G$9),(Positions!$E$7*Positions!$N$7*Stress!$C$10+Positions!$E$7*Positions!$O$7*Stress!$D$10+Positions!$E$7*Positions!$P$7*Stress!$E$10+Positions!$E$7*Positions!$Q$7*Stress!$F$10+Positions!$E$7*Positions!$R$7*Stress!$G$10))</f>
        <v/>
      </c>
      <c r="H7" s="16">
        <f>Liquidity!G7</f>
        <v/>
      </c>
      <c r="I7" s="16">
        <f>ABS(E7)+G7+H7</f>
        <v/>
      </c>
      <c r="J7" s="14">
        <f>IFERROR(I7/SUM($I$5:$I$16),0)</f>
        <v/>
      </c>
    </row>
    <row r="8">
      <c r="B8">
        <f>Positions!B8</f>
        <v/>
      </c>
      <c r="C8" s="16">
        <f>ABS(Positions!E8)</f>
        <v/>
      </c>
      <c r="D8" s="16">
        <f>'VaR &amp; ES'!$C$7*SQRT(MAX(0,((Positions!$E$8*Positions!$N$8)*(Positions!$E$8*Positions!$N$8)*Factors!$D$5*Factors!$D$5*Factors!$E$5+(Positions!$E$8*Positions!$N$8)*(Positions!$E$8*Positions!$O$8)*Factors!$D$5*Factors!$D$6*Factors!$F$5+(Positions!$E$8*Positions!$N$8)*(Positions!$E$8*Positions!$P$8)*Factors!$D$5*Factors!$D$7*Factors!$G$5+(Positions!$E$8*Positions!$N$8)*(Positions!$E$8*Positions!$Q$8)*Factors!$D$5*Factors!$D$8*Factors!$H$5+(Positions!$E$8*Positions!$N$8)*(Positions!$E$8*Positions!$R$8)*Factors!$D$5*Factors!$D$9*Factors!$I$5+(Positions!$E$8*Positions!$O$8)*(Positions!$E$8*Positions!$N$8)*Factors!$D$6*Factors!$D$5*Factors!$E$6+(Positions!$E$8*Positions!$O$8)*(Positions!$E$8*Positions!$O$8)*Factors!$D$6*Factors!$D$6*Factors!$F$6+(Positions!$E$8*Positions!$O$8)*(Positions!$E$8*Positions!$P$8)*Factors!$D$6*Factors!$D$7*Factors!$G$6+(Positions!$E$8*Positions!$O$8)*(Positions!$E$8*Positions!$Q$8)*Factors!$D$6*Factors!$D$8*Factors!$H$6+(Positions!$E$8*Positions!$O$8)*(Positions!$E$8*Positions!$R$8)*Factors!$D$6*Factors!$D$9*Factors!$I$6+(Positions!$E$8*Positions!$P$8)*(Positions!$E$8*Positions!$N$8)*Factors!$D$7*Factors!$D$5*Factors!$E$7+(Positions!$E$8*Positions!$P$8)*(Positions!$E$8*Positions!$O$8)*Factors!$D$7*Factors!$D$6*Factors!$F$7+(Positions!$E$8*Positions!$P$8)*(Positions!$E$8*Positions!$P$8)*Factors!$D$7*Factors!$D$7*Factors!$G$7+(Positions!$E$8*Positions!$P$8)*(Positions!$E$8*Positions!$Q$8)*Factors!$D$7*Factors!$D$8*Factors!$H$7+(Positions!$E$8*Positions!$P$8)*(Positions!$E$8*Positions!$R$8)*Factors!$D$7*Factors!$D$9*Factors!$I$7+(Positions!$E$8*Positions!$Q$8)*(Positions!$E$8*Positions!$N$8)*Factors!$D$8*Factors!$D$5*Factors!$E$8+(Positions!$E$8*Positions!$Q$8)*(Positions!$E$8*Positions!$O$8)*Factors!$D$8*Factors!$D$6*Factors!$F$8+(Positions!$E$8*Positions!$Q$8)*(Positions!$E$8*Positions!$P$8)*Factors!$D$8*Factors!$D$7*Factors!$G$8+(Positions!$E$8*Positions!$Q$8)*(Positions!$E$8*Positions!$Q$8)*Factors!$D$8*Factors!$D$8*Factors!$H$8+(Positions!$E$8*Positions!$Q$8)*(Positions!$E$8*Positions!$R$8)*Factors!$D$8*Factors!$D$9*Factors!$I$8+(Positions!$E$8*Positions!$R$8)*(Positions!$E$8*Positions!$N$8)*Factors!$D$9*Factors!$D$5*Factors!$E$9+(Positions!$E$8*Positions!$R$8)*(Positions!$E$8*Positions!$O$8)*Factors!$D$9*Factors!$D$6*Factors!$F$9+(Positions!$E$8*Positions!$R$8)*(Positions!$E$8*Positions!$P$8)*Factors!$D$9*Factors!$D$7*Factors!$G$9+(Positions!$E$8*Positions!$R$8)*(Positions!$E$8*Positions!$Q$8)*Factors!$D$9*Factors!$D$8*Factors!$H$9+(Positions!$E$8*Positions!$R$8)*(Positions!$E$8*Positions!$R$8)*Factors!$D$9*Factors!$D$9*Factors!$I$9)/Assumptions!$E$6))</f>
        <v/>
      </c>
      <c r="E8" s="16">
        <f>IFERROR('VaR &amp; ES'!$C$7*((Positions!$E$8*Positions!$N$8)*Factors!$D$5*Factors!$C$5*Factors!$D$5*Factors!$E$5+(Positions!$E$8*Positions!$N$8)*Factors!$D$5*Factors!$C$6*Factors!$D$6*Factors!$F$5+(Positions!$E$8*Positions!$N$8)*Factors!$D$5*Factors!$C$7*Factors!$D$7*Factors!$G$5+(Positions!$E$8*Positions!$N$8)*Factors!$D$5*Factors!$C$8*Factors!$D$8*Factors!$H$5+(Positions!$E$8*Positions!$N$8)*Factors!$D$5*Factors!$C$9*Factors!$D$9*Factors!$I$5+(Positions!$E$8*Positions!$O$8)*Factors!$D$6*Factors!$C$5*Factors!$D$5*Factors!$E$6+(Positions!$E$8*Positions!$O$8)*Factors!$D$6*Factors!$C$6*Factors!$D$6*Factors!$F$6+(Positions!$E$8*Positions!$O$8)*Factors!$D$6*Factors!$C$7*Factors!$D$7*Factors!$G$6+(Positions!$E$8*Positions!$O$8)*Factors!$D$6*Factors!$C$8*Factors!$D$8*Factors!$H$6+(Positions!$E$8*Positions!$O$8)*Factors!$D$6*Factors!$C$9*Factors!$D$9*Factors!$I$6+(Positions!$E$8*Positions!$P$8)*Factors!$D$7*Factors!$C$5*Factors!$D$5*Factors!$E$7+(Positions!$E$8*Positions!$P$8)*Factors!$D$7*Factors!$C$6*Factors!$D$6*Factors!$F$7+(Positions!$E$8*Positions!$P$8)*Factors!$D$7*Factors!$C$7*Factors!$D$7*Factors!$G$7+(Positions!$E$8*Positions!$P$8)*Factors!$D$7*Factors!$C$8*Factors!$D$8*Factors!$H$7+(Positions!$E$8*Positions!$P$8)*Factors!$D$7*Factors!$C$9*Factors!$D$9*Factors!$I$7+(Positions!$E$8*Positions!$Q$8)*Factors!$D$8*Factors!$C$5*Factors!$D$5*Factors!$E$8+(Positions!$E$8*Positions!$Q$8)*Factors!$D$8*Factors!$C$6*Factors!$D$6*Factors!$F$8+(Positions!$E$8*Positions!$Q$8)*Factors!$D$8*Factors!$C$7*Factors!$D$7*Factors!$G$8+(Positions!$E$8*Positions!$Q$8)*Factors!$D$8*Factors!$C$8*Factors!$D$8*Factors!$H$8+(Positions!$E$8*Positions!$Q$8)*Factors!$D$8*Factors!$C$9*Factors!$D$9*Factors!$I$8+(Positions!$E$8*Positions!$R$8)*Factors!$D$9*Factors!$C$5*Factors!$D$5*Factors!$E$9+(Positions!$E$8*Positions!$R$8)*Factors!$D$9*Factors!$C$6*Factors!$D$6*Factors!$F$9+(Positions!$E$8*Positions!$R$8)*Factors!$D$9*Factors!$C$7*Factors!$D$7*Factors!$G$9+(Positions!$E$8*Positions!$R$8)*Factors!$D$9*Factors!$C$8*Factors!$D$8*Factors!$H$9+(Positions!$E$8*Positions!$R$8)*Factors!$D$9*Factors!$C$9*Factors!$D$9*Factors!$I$9)/(Factors!$C$13*SQRT(Assumptions!$E$6)),0)</f>
        <v/>
      </c>
      <c r="F8" s="14">
        <f>IFERROR(E8/'VaR &amp; ES'!$C$8,0)</f>
        <v/>
      </c>
      <c r="G8" s="16">
        <f>-MIN((Positions!$E$8*Positions!$N$8*Stress!$C$5+Positions!$E$8*Positions!$O$8*Stress!$D$5+Positions!$E$8*Positions!$P$8*Stress!$E$5+Positions!$E$8*Positions!$Q$8*Stress!$F$5+Positions!$E$8*Positions!$R$8*Stress!$G$5),(Positions!$E$8*Positions!$N$8*Stress!$C$6+Positions!$E$8*Positions!$O$8*Stress!$D$6+Positions!$E$8*Positions!$P$8*Stress!$E$6+Positions!$E$8*Positions!$Q$8*Stress!$F$6+Positions!$E$8*Positions!$R$8*Stress!$G$6),(Positions!$E$8*Positions!$N$8*Stress!$C$7+Positions!$E$8*Positions!$O$8*Stress!$D$7+Positions!$E$8*Positions!$P$8*Stress!$E$7+Positions!$E$8*Positions!$Q$8*Stress!$F$7+Positions!$E$8*Positions!$R$8*Stress!$G$7),(Positions!$E$8*Positions!$N$8*Stress!$C$8+Positions!$E$8*Positions!$O$8*Stress!$D$8+Positions!$E$8*Positions!$P$8*Stress!$E$8+Positions!$E$8*Positions!$Q$8*Stress!$F$8+Positions!$E$8*Positions!$R$8*Stress!$G$8),(Positions!$E$8*Positions!$N$8*Stress!$C$9+Positions!$E$8*Positions!$O$8*Stress!$D$9+Positions!$E$8*Positions!$P$8*Stress!$E$9+Positions!$E$8*Positions!$Q$8*Stress!$F$9+Positions!$E$8*Positions!$R$8*Stress!$G$9),(Positions!$E$8*Positions!$N$8*Stress!$C$10+Positions!$E$8*Positions!$O$8*Stress!$D$10+Positions!$E$8*Positions!$P$8*Stress!$E$10+Positions!$E$8*Positions!$Q$8*Stress!$F$10+Positions!$E$8*Positions!$R$8*Stress!$G$10))</f>
        <v/>
      </c>
      <c r="H8" s="16">
        <f>Liquidity!G8</f>
        <v/>
      </c>
      <c r="I8" s="16">
        <f>ABS(E8)+G8+H8</f>
        <v/>
      </c>
      <c r="J8" s="14">
        <f>IFERROR(I8/SUM($I$5:$I$16),0)</f>
        <v/>
      </c>
    </row>
    <row r="9">
      <c r="B9">
        <f>Positions!B9</f>
        <v/>
      </c>
      <c r="C9" s="16">
        <f>ABS(Positions!E9)</f>
        <v/>
      </c>
      <c r="D9" s="16">
        <f>'VaR &amp; ES'!$C$7*SQRT(MAX(0,((Positions!$E$9*Positions!$N$9)*(Positions!$E$9*Positions!$N$9)*Factors!$D$5*Factors!$D$5*Factors!$E$5+(Positions!$E$9*Positions!$N$9)*(Positions!$E$9*Positions!$O$9)*Factors!$D$5*Factors!$D$6*Factors!$F$5+(Positions!$E$9*Positions!$N$9)*(Positions!$E$9*Positions!$P$9)*Factors!$D$5*Factors!$D$7*Factors!$G$5+(Positions!$E$9*Positions!$N$9)*(Positions!$E$9*Positions!$Q$9)*Factors!$D$5*Factors!$D$8*Factors!$H$5+(Positions!$E$9*Positions!$N$9)*(Positions!$E$9*Positions!$R$9)*Factors!$D$5*Factors!$D$9*Factors!$I$5+(Positions!$E$9*Positions!$O$9)*(Positions!$E$9*Positions!$N$9)*Factors!$D$6*Factors!$D$5*Factors!$E$6+(Positions!$E$9*Positions!$O$9)*(Positions!$E$9*Positions!$O$9)*Factors!$D$6*Factors!$D$6*Factors!$F$6+(Positions!$E$9*Positions!$O$9)*(Positions!$E$9*Positions!$P$9)*Factors!$D$6*Factors!$D$7*Factors!$G$6+(Positions!$E$9*Positions!$O$9)*(Positions!$E$9*Positions!$Q$9)*Factors!$D$6*Factors!$D$8*Factors!$H$6+(Positions!$E$9*Positions!$O$9)*(Positions!$E$9*Positions!$R$9)*Factors!$D$6*Factors!$D$9*Factors!$I$6+(Positions!$E$9*Positions!$P$9)*(Positions!$E$9*Positions!$N$9)*Factors!$D$7*Factors!$D$5*Factors!$E$7+(Positions!$E$9*Positions!$P$9)*(Positions!$E$9*Positions!$O$9)*Factors!$D$7*Factors!$D$6*Factors!$F$7+(Positions!$E$9*Positions!$P$9)*(Positions!$E$9*Positions!$P$9)*Factors!$D$7*Factors!$D$7*Factors!$G$7+(Positions!$E$9*Positions!$P$9)*(Positions!$E$9*Positions!$Q$9)*Factors!$D$7*Factors!$D$8*Factors!$H$7+(Positions!$E$9*Positions!$P$9)*(Positions!$E$9*Positions!$R$9)*Factors!$D$7*Factors!$D$9*Factors!$I$7+(Positions!$E$9*Positions!$Q$9)*(Positions!$E$9*Positions!$N$9)*Factors!$D$8*Factors!$D$5*Factors!$E$8+(Positions!$E$9*Positions!$Q$9)*(Positions!$E$9*Positions!$O$9)*Factors!$D$8*Factors!$D$6*Factors!$F$8+(Positions!$E$9*Positions!$Q$9)*(Positions!$E$9*Positions!$P$9)*Factors!$D$8*Factors!$D$7*Factors!$G$8+(Positions!$E$9*Positions!$Q$9)*(Positions!$E$9*Positions!$Q$9)*Factors!$D$8*Factors!$D$8*Factors!$H$8+(Positions!$E$9*Positions!$Q$9)*(Positions!$E$9*Positions!$R$9)*Factors!$D$8*Factors!$D$9*Factors!$I$8+(Positions!$E$9*Positions!$R$9)*(Positions!$E$9*Positions!$N$9)*Factors!$D$9*Factors!$D$5*Factors!$E$9+(Positions!$E$9*Positions!$R$9)*(Positions!$E$9*Positions!$O$9)*Factors!$D$9*Factors!$D$6*Factors!$F$9+(Positions!$E$9*Positions!$R$9)*(Positions!$E$9*Positions!$P$9)*Factors!$D$9*Factors!$D$7*Factors!$G$9+(Positions!$E$9*Positions!$R$9)*(Positions!$E$9*Positions!$Q$9)*Factors!$D$9*Factors!$D$8*Factors!$H$9+(Positions!$E$9*Positions!$R$9)*(Positions!$E$9*Positions!$R$9)*Factors!$D$9*Factors!$D$9*Factors!$I$9)/Assumptions!$E$6))</f>
        <v/>
      </c>
      <c r="E9" s="16">
        <f>IFERROR('VaR &amp; ES'!$C$7*((Positions!$E$9*Positions!$N$9)*Factors!$D$5*Factors!$C$5*Factors!$D$5*Factors!$E$5+(Positions!$E$9*Positions!$N$9)*Factors!$D$5*Factors!$C$6*Factors!$D$6*Factors!$F$5+(Positions!$E$9*Positions!$N$9)*Factors!$D$5*Factors!$C$7*Factors!$D$7*Factors!$G$5+(Positions!$E$9*Positions!$N$9)*Factors!$D$5*Factors!$C$8*Factors!$D$8*Factors!$H$5+(Positions!$E$9*Positions!$N$9)*Factors!$D$5*Factors!$C$9*Factors!$D$9*Factors!$I$5+(Positions!$E$9*Positions!$O$9)*Factors!$D$6*Factors!$C$5*Factors!$D$5*Factors!$E$6+(Positions!$E$9*Positions!$O$9)*Factors!$D$6*Factors!$C$6*Factors!$D$6*Factors!$F$6+(Positions!$E$9*Positions!$O$9)*Factors!$D$6*Factors!$C$7*Factors!$D$7*Factors!$G$6+(Positions!$E$9*Positions!$O$9)*Factors!$D$6*Factors!$C$8*Factors!$D$8*Factors!$H$6+(Positions!$E$9*Positions!$O$9)*Factors!$D$6*Factors!$C$9*Factors!$D$9*Factors!$I$6+(Positions!$E$9*Positions!$P$9)*Factors!$D$7*Factors!$C$5*Factors!$D$5*Factors!$E$7+(Positions!$E$9*Positions!$P$9)*Factors!$D$7*Factors!$C$6*Factors!$D$6*Factors!$F$7+(Positions!$E$9*Positions!$P$9)*Factors!$D$7*Factors!$C$7*Factors!$D$7*Factors!$G$7+(Positions!$E$9*Positions!$P$9)*Factors!$D$7*Factors!$C$8*Factors!$D$8*Factors!$H$7+(Positions!$E$9*Positions!$P$9)*Factors!$D$7*Factors!$C$9*Factors!$D$9*Factors!$I$7+(Positions!$E$9*Positions!$Q$9)*Factors!$D$8*Factors!$C$5*Factors!$D$5*Factors!$E$8+(Positions!$E$9*Positions!$Q$9)*Factors!$D$8*Factors!$C$6*Factors!$D$6*Factors!$F$8+(Positions!$E$9*Positions!$Q$9)*Factors!$D$8*Factors!$C$7*Factors!$D$7*Factors!$G$8+(Positions!$E$9*Positions!$Q$9)*Factors!$D$8*Factors!$C$8*Factors!$D$8*Factors!$H$8+(Positions!$E$9*Positions!$Q$9)*Factors!$D$8*Factors!$C$9*Factors!$D$9*Factors!$I$8+(Positions!$E$9*Positions!$R$9)*Factors!$D$9*Factors!$C$5*Factors!$D$5*Factors!$E$9+(Positions!$E$9*Positions!$R$9)*Factors!$D$9*Factors!$C$6*Factors!$D$6*Factors!$F$9+(Positions!$E$9*Positions!$R$9)*Factors!$D$9*Factors!$C$7*Factors!$D$7*Factors!$G$9+(Positions!$E$9*Positions!$R$9)*Factors!$D$9*Factors!$C$8*Factors!$D$8*Factors!$H$9+(Positions!$E$9*Positions!$R$9)*Factors!$D$9*Factors!$C$9*Factors!$D$9*Factors!$I$9)/(Factors!$C$13*SQRT(Assumptions!$E$6)),0)</f>
        <v/>
      </c>
      <c r="F9" s="14">
        <f>IFERROR(E9/'VaR &amp; ES'!$C$8,0)</f>
        <v/>
      </c>
      <c r="G9" s="16">
        <f>-MIN((Positions!$E$9*Positions!$N$9*Stress!$C$5+Positions!$E$9*Positions!$O$9*Stress!$D$5+Positions!$E$9*Positions!$P$9*Stress!$E$5+Positions!$E$9*Positions!$Q$9*Stress!$F$5+Positions!$E$9*Positions!$R$9*Stress!$G$5),(Positions!$E$9*Positions!$N$9*Stress!$C$6+Positions!$E$9*Positions!$O$9*Stress!$D$6+Positions!$E$9*Positions!$P$9*Stress!$E$6+Positions!$E$9*Positions!$Q$9*Stress!$F$6+Positions!$E$9*Positions!$R$9*Stress!$G$6),(Positions!$E$9*Positions!$N$9*Stress!$C$7+Positions!$E$9*Positions!$O$9*Stress!$D$7+Positions!$E$9*Positions!$P$9*Stress!$E$7+Positions!$E$9*Positions!$Q$9*Stress!$F$7+Positions!$E$9*Positions!$R$9*Stress!$G$7),(Positions!$E$9*Positions!$N$9*Stress!$C$8+Positions!$E$9*Positions!$O$9*Stress!$D$8+Positions!$E$9*Positions!$P$9*Stress!$E$8+Positions!$E$9*Positions!$Q$9*Stress!$F$8+Positions!$E$9*Positions!$R$9*Stress!$G$8),(Positions!$E$9*Positions!$N$9*Stress!$C$9+Positions!$E$9*Positions!$O$9*Stress!$D$9+Positions!$E$9*Positions!$P$9*Stress!$E$9+Positions!$E$9*Positions!$Q$9*Stress!$F$9+Positions!$E$9*Positions!$R$9*Stress!$G$9),(Positions!$E$9*Positions!$N$9*Stress!$C$10+Positions!$E$9*Positions!$O$9*Stress!$D$10+Positions!$E$9*Positions!$P$9*Stress!$E$10+Positions!$E$9*Positions!$Q$9*Stress!$F$10+Positions!$E$9*Positions!$R$9*Stress!$G$10))</f>
        <v/>
      </c>
      <c r="H9" s="16">
        <f>Liquidity!G9</f>
        <v/>
      </c>
      <c r="I9" s="16">
        <f>ABS(E9)+G9+H9</f>
        <v/>
      </c>
      <c r="J9" s="14">
        <f>IFERROR(I9/SUM($I$5:$I$16),0)</f>
        <v/>
      </c>
    </row>
    <row r="10">
      <c r="B10">
        <f>Positions!B10</f>
        <v/>
      </c>
      <c r="C10" s="16">
        <f>ABS(Positions!E10)</f>
        <v/>
      </c>
      <c r="D10" s="16">
        <f>'VaR &amp; ES'!$C$7*SQRT(MAX(0,((Positions!$E$10*Positions!$N$10)*(Positions!$E$10*Positions!$N$10)*Factors!$D$5*Factors!$D$5*Factors!$E$5+(Positions!$E$10*Positions!$N$10)*(Positions!$E$10*Positions!$O$10)*Factors!$D$5*Factors!$D$6*Factors!$F$5+(Positions!$E$10*Positions!$N$10)*(Positions!$E$10*Positions!$P$10)*Factors!$D$5*Factors!$D$7*Factors!$G$5+(Positions!$E$10*Positions!$N$10)*(Positions!$E$10*Positions!$Q$10)*Factors!$D$5*Factors!$D$8*Factors!$H$5+(Positions!$E$10*Positions!$N$10)*(Positions!$E$10*Positions!$R$10)*Factors!$D$5*Factors!$D$9*Factors!$I$5+(Positions!$E$10*Positions!$O$10)*(Positions!$E$10*Positions!$N$10)*Factors!$D$6*Factors!$D$5*Factors!$E$6+(Positions!$E$10*Positions!$O$10)*(Positions!$E$10*Positions!$O$10)*Factors!$D$6*Factors!$D$6*Factors!$F$6+(Positions!$E$10*Positions!$O$10)*(Positions!$E$10*Positions!$P$10)*Factors!$D$6*Factors!$D$7*Factors!$G$6+(Positions!$E$10*Positions!$O$10)*(Positions!$E$10*Positions!$Q$10)*Factors!$D$6*Factors!$D$8*Factors!$H$6+(Positions!$E$10*Positions!$O$10)*(Positions!$E$10*Positions!$R$10)*Factors!$D$6*Factors!$D$9*Factors!$I$6+(Positions!$E$10*Positions!$P$10)*(Positions!$E$10*Positions!$N$10)*Factors!$D$7*Factors!$D$5*Factors!$E$7+(Positions!$E$10*Positions!$P$10)*(Positions!$E$10*Positions!$O$10)*Factors!$D$7*Factors!$D$6*Factors!$F$7+(Positions!$E$10*Positions!$P$10)*(Positions!$E$10*Positions!$P$10)*Factors!$D$7*Factors!$D$7*Factors!$G$7+(Positions!$E$10*Positions!$P$10)*(Positions!$E$10*Positions!$Q$10)*Factors!$D$7*Factors!$D$8*Factors!$H$7+(Positions!$E$10*Positions!$P$10)*(Positions!$E$10*Positions!$R$10)*Factors!$D$7*Factors!$D$9*Factors!$I$7+(Positions!$E$10*Positions!$Q$10)*(Positions!$E$10*Positions!$N$10)*Factors!$D$8*Factors!$D$5*Factors!$E$8+(Positions!$E$10*Positions!$Q$10)*(Positions!$E$10*Positions!$O$10)*Factors!$D$8*Factors!$D$6*Factors!$F$8+(Positions!$E$10*Positions!$Q$10)*(Positions!$E$10*Positions!$P$10)*Factors!$D$8*Factors!$D$7*Factors!$G$8+(Positions!$E$10*Positions!$Q$10)*(Positions!$E$10*Positions!$Q$10)*Factors!$D$8*Factors!$D$8*Factors!$H$8+(Positions!$E$10*Positions!$Q$10)*(Positions!$E$10*Positions!$R$10)*Factors!$D$8*Factors!$D$9*Factors!$I$8+(Positions!$E$10*Positions!$R$10)*(Positions!$E$10*Positions!$N$10)*Factors!$D$9*Factors!$D$5*Factors!$E$9+(Positions!$E$10*Positions!$R$10)*(Positions!$E$10*Positions!$O$10)*Factors!$D$9*Factors!$D$6*Factors!$F$9+(Positions!$E$10*Positions!$R$10)*(Positions!$E$10*Positions!$P$10)*Factors!$D$9*Factors!$D$7*Factors!$G$9+(Positions!$E$10*Positions!$R$10)*(Positions!$E$10*Positions!$Q$10)*Factors!$D$9*Factors!$D$8*Factors!$H$9+(Positions!$E$10*Positions!$R$10)*(Positions!$E$10*Positions!$R$10)*Factors!$D$9*Factors!$D$9*Factors!$I$9)/Assumptions!$E$6))</f>
        <v/>
      </c>
      <c r="E10" s="16">
        <f>IFERROR('VaR &amp; ES'!$C$7*((Positions!$E$10*Positions!$N$10)*Factors!$D$5*Factors!$C$5*Factors!$D$5*Factors!$E$5+(Positions!$E$10*Positions!$N$10)*Factors!$D$5*Factors!$C$6*Factors!$D$6*Factors!$F$5+(Positions!$E$10*Positions!$N$10)*Factors!$D$5*Factors!$C$7*Factors!$D$7*Factors!$G$5+(Positions!$E$10*Positions!$N$10)*Factors!$D$5*Factors!$C$8*Factors!$D$8*Factors!$H$5+(Positions!$E$10*Positions!$N$10)*Factors!$D$5*Factors!$C$9*Factors!$D$9*Factors!$I$5+(Positions!$E$10*Positions!$O$10)*Factors!$D$6*Factors!$C$5*Factors!$D$5*Factors!$E$6+(Positions!$E$10*Positions!$O$10)*Factors!$D$6*Factors!$C$6*Factors!$D$6*Factors!$F$6+(Positions!$E$10*Positions!$O$10)*Factors!$D$6*Factors!$C$7*Factors!$D$7*Factors!$G$6+(Positions!$E$10*Positions!$O$10)*Factors!$D$6*Factors!$C$8*Factors!$D$8*Factors!$H$6+(Positions!$E$10*Positions!$O$10)*Factors!$D$6*Factors!$C$9*Factors!$D$9*Factors!$I$6+(Positions!$E$10*Positions!$P$10)*Factors!$D$7*Factors!$C$5*Factors!$D$5*Factors!$E$7+(Positions!$E$10*Positions!$P$10)*Factors!$D$7*Factors!$C$6*Factors!$D$6*Factors!$F$7+(Positions!$E$10*Positions!$P$10)*Factors!$D$7*Factors!$C$7*Factors!$D$7*Factors!$G$7+(Positions!$E$10*Positions!$P$10)*Factors!$D$7*Factors!$C$8*Factors!$D$8*Factors!$H$7+(Positions!$E$10*Positions!$P$10)*Factors!$D$7*Factors!$C$9*Factors!$D$9*Factors!$I$7+(Positions!$E$10*Positions!$Q$10)*Factors!$D$8*Factors!$C$5*Factors!$D$5*Factors!$E$8+(Positions!$E$10*Positions!$Q$10)*Factors!$D$8*Factors!$C$6*Factors!$D$6*Factors!$F$8+(Positions!$E$10*Positions!$Q$10)*Factors!$D$8*Factors!$C$7*Factors!$D$7*Factors!$G$8+(Positions!$E$10*Positions!$Q$10)*Factors!$D$8*Factors!$C$8*Factors!$D$8*Factors!$H$8+(Positions!$E$10*Positions!$Q$10)*Factors!$D$8*Factors!$C$9*Factors!$D$9*Factors!$I$8+(Positions!$E$10*Positions!$R$10)*Factors!$D$9*Factors!$C$5*Factors!$D$5*Factors!$E$9+(Positions!$E$10*Positions!$R$10)*Factors!$D$9*Factors!$C$6*Factors!$D$6*Factors!$F$9+(Positions!$E$10*Positions!$R$10)*Factors!$D$9*Factors!$C$7*Factors!$D$7*Factors!$G$9+(Positions!$E$10*Positions!$R$10)*Factors!$D$9*Factors!$C$8*Factors!$D$8*Factors!$H$9+(Positions!$E$10*Positions!$R$10)*Factors!$D$9*Factors!$C$9*Factors!$D$9*Factors!$I$9)/(Factors!$C$13*SQRT(Assumptions!$E$6)),0)</f>
        <v/>
      </c>
      <c r="F10" s="14">
        <f>IFERROR(E10/'VaR &amp; ES'!$C$8,0)</f>
        <v/>
      </c>
      <c r="G10" s="16">
        <f>-MIN((Positions!$E$10*Positions!$N$10*Stress!$C$5+Positions!$E$10*Positions!$O$10*Stress!$D$5+Positions!$E$10*Positions!$P$10*Stress!$E$5+Positions!$E$10*Positions!$Q$10*Stress!$F$5+Positions!$E$10*Positions!$R$10*Stress!$G$5),(Positions!$E$10*Positions!$N$10*Stress!$C$6+Positions!$E$10*Positions!$O$10*Stress!$D$6+Positions!$E$10*Positions!$P$10*Stress!$E$6+Positions!$E$10*Positions!$Q$10*Stress!$F$6+Positions!$E$10*Positions!$R$10*Stress!$G$6),(Positions!$E$10*Positions!$N$10*Stress!$C$7+Positions!$E$10*Positions!$O$10*Stress!$D$7+Positions!$E$10*Positions!$P$10*Stress!$E$7+Positions!$E$10*Positions!$Q$10*Stress!$F$7+Positions!$E$10*Positions!$R$10*Stress!$G$7),(Positions!$E$10*Positions!$N$10*Stress!$C$8+Positions!$E$10*Positions!$O$10*Stress!$D$8+Positions!$E$10*Positions!$P$10*Stress!$E$8+Positions!$E$10*Positions!$Q$10*Stress!$F$8+Positions!$E$10*Positions!$R$10*Stress!$G$8),(Positions!$E$10*Positions!$N$10*Stress!$C$9+Positions!$E$10*Positions!$O$10*Stress!$D$9+Positions!$E$10*Positions!$P$10*Stress!$E$9+Positions!$E$10*Positions!$Q$10*Stress!$F$9+Positions!$E$10*Positions!$R$10*Stress!$G$9),(Positions!$E$10*Positions!$N$10*Stress!$C$10+Positions!$E$10*Positions!$O$10*Stress!$D$10+Positions!$E$10*Positions!$P$10*Stress!$E$10+Positions!$E$10*Positions!$Q$10*Stress!$F$10+Positions!$E$10*Positions!$R$10*Stress!$G$10))</f>
        <v/>
      </c>
      <c r="H10" s="16">
        <f>Liquidity!G10</f>
        <v/>
      </c>
      <c r="I10" s="16">
        <f>ABS(E10)+G10+H10</f>
        <v/>
      </c>
      <c r="J10" s="14">
        <f>IFERROR(I10/SUM($I$5:$I$16),0)</f>
        <v/>
      </c>
    </row>
    <row r="11">
      <c r="B11">
        <f>Positions!B11</f>
        <v/>
      </c>
      <c r="C11" s="16">
        <f>ABS(Positions!E11)</f>
        <v/>
      </c>
      <c r="D11" s="16">
        <f>'VaR &amp; ES'!$C$7*SQRT(MAX(0,((Positions!$E$11*Positions!$N$11)*(Positions!$E$11*Positions!$N$11)*Factors!$D$5*Factors!$D$5*Factors!$E$5+(Positions!$E$11*Positions!$N$11)*(Positions!$E$11*Positions!$O$11)*Factors!$D$5*Factors!$D$6*Factors!$F$5+(Positions!$E$11*Positions!$N$11)*(Positions!$E$11*Positions!$P$11)*Factors!$D$5*Factors!$D$7*Factors!$G$5+(Positions!$E$11*Positions!$N$11)*(Positions!$E$11*Positions!$Q$11)*Factors!$D$5*Factors!$D$8*Factors!$H$5+(Positions!$E$11*Positions!$N$11)*(Positions!$E$11*Positions!$R$11)*Factors!$D$5*Factors!$D$9*Factors!$I$5+(Positions!$E$11*Positions!$O$11)*(Positions!$E$11*Positions!$N$11)*Factors!$D$6*Factors!$D$5*Factors!$E$6+(Positions!$E$11*Positions!$O$11)*(Positions!$E$11*Positions!$O$11)*Factors!$D$6*Factors!$D$6*Factors!$F$6+(Positions!$E$11*Positions!$O$11)*(Positions!$E$11*Positions!$P$11)*Factors!$D$6*Factors!$D$7*Factors!$G$6+(Positions!$E$11*Positions!$O$11)*(Positions!$E$11*Positions!$Q$11)*Factors!$D$6*Factors!$D$8*Factors!$H$6+(Positions!$E$11*Positions!$O$11)*(Positions!$E$11*Positions!$R$11)*Factors!$D$6*Factors!$D$9*Factors!$I$6+(Positions!$E$11*Positions!$P$11)*(Positions!$E$11*Positions!$N$11)*Factors!$D$7*Factors!$D$5*Factors!$E$7+(Positions!$E$11*Positions!$P$11)*(Positions!$E$11*Positions!$O$11)*Factors!$D$7*Factors!$D$6*Factors!$F$7+(Positions!$E$11*Positions!$P$11)*(Positions!$E$11*Positions!$P$11)*Factors!$D$7*Factors!$D$7*Factors!$G$7+(Positions!$E$11*Positions!$P$11)*(Positions!$E$11*Positions!$Q$11)*Factors!$D$7*Factors!$D$8*Factors!$H$7+(Positions!$E$11*Positions!$P$11)*(Positions!$E$11*Positions!$R$11)*Factors!$D$7*Factors!$D$9*Factors!$I$7+(Positions!$E$11*Positions!$Q$11)*(Positions!$E$11*Positions!$N$11)*Factors!$D$8*Factors!$D$5*Factors!$E$8+(Positions!$E$11*Positions!$Q$11)*(Positions!$E$11*Positions!$O$11)*Factors!$D$8*Factors!$D$6*Factors!$F$8+(Positions!$E$11*Positions!$Q$11)*(Positions!$E$11*Positions!$P$11)*Factors!$D$8*Factors!$D$7*Factors!$G$8+(Positions!$E$11*Positions!$Q$11)*(Positions!$E$11*Positions!$Q$11)*Factors!$D$8*Factors!$D$8*Factors!$H$8+(Positions!$E$11*Positions!$Q$11)*(Positions!$E$11*Positions!$R$11)*Factors!$D$8*Factors!$D$9*Factors!$I$8+(Positions!$E$11*Positions!$R$11)*(Positions!$E$11*Positions!$N$11)*Factors!$D$9*Factors!$D$5*Factors!$E$9+(Positions!$E$11*Positions!$R$11)*(Positions!$E$11*Positions!$O$11)*Factors!$D$9*Factors!$D$6*Factors!$F$9+(Positions!$E$11*Positions!$R$11)*(Positions!$E$11*Positions!$P$11)*Factors!$D$9*Factors!$D$7*Factors!$G$9+(Positions!$E$11*Positions!$R$11)*(Positions!$E$11*Positions!$Q$11)*Factors!$D$9*Factors!$D$8*Factors!$H$9+(Positions!$E$11*Positions!$R$11)*(Positions!$E$11*Positions!$R$11)*Factors!$D$9*Factors!$D$9*Factors!$I$9)/Assumptions!$E$6))</f>
        <v/>
      </c>
      <c r="E11" s="16">
        <f>IFERROR('VaR &amp; ES'!$C$7*((Positions!$E$11*Positions!$N$11)*Factors!$D$5*Factors!$C$5*Factors!$D$5*Factors!$E$5+(Positions!$E$11*Positions!$N$11)*Factors!$D$5*Factors!$C$6*Factors!$D$6*Factors!$F$5+(Positions!$E$11*Positions!$N$11)*Factors!$D$5*Factors!$C$7*Factors!$D$7*Factors!$G$5+(Positions!$E$11*Positions!$N$11)*Factors!$D$5*Factors!$C$8*Factors!$D$8*Factors!$H$5+(Positions!$E$11*Positions!$N$11)*Factors!$D$5*Factors!$C$9*Factors!$D$9*Factors!$I$5+(Positions!$E$11*Positions!$O$11)*Factors!$D$6*Factors!$C$5*Factors!$D$5*Factors!$E$6+(Positions!$E$11*Positions!$O$11)*Factors!$D$6*Factors!$C$6*Factors!$D$6*Factors!$F$6+(Positions!$E$11*Positions!$O$11)*Factors!$D$6*Factors!$C$7*Factors!$D$7*Factors!$G$6+(Positions!$E$11*Positions!$O$11)*Factors!$D$6*Factors!$C$8*Factors!$D$8*Factors!$H$6+(Positions!$E$11*Positions!$O$11)*Factors!$D$6*Factors!$C$9*Factors!$D$9*Factors!$I$6+(Positions!$E$11*Positions!$P$11)*Factors!$D$7*Factors!$C$5*Factors!$D$5*Factors!$E$7+(Positions!$E$11*Positions!$P$11)*Factors!$D$7*Factors!$C$6*Factors!$D$6*Factors!$F$7+(Positions!$E$11*Positions!$P$11)*Factors!$D$7*Factors!$C$7*Factors!$D$7*Factors!$G$7+(Positions!$E$11*Positions!$P$11)*Factors!$D$7*Factors!$C$8*Factors!$D$8*Factors!$H$7+(Positions!$E$11*Positions!$P$11)*Factors!$D$7*Factors!$C$9*Factors!$D$9*Factors!$I$7+(Positions!$E$11*Positions!$Q$11)*Factors!$D$8*Factors!$C$5*Factors!$D$5*Factors!$E$8+(Positions!$E$11*Positions!$Q$11)*Factors!$D$8*Factors!$C$6*Factors!$D$6*Factors!$F$8+(Positions!$E$11*Positions!$Q$11)*Factors!$D$8*Factors!$C$7*Factors!$D$7*Factors!$G$8+(Positions!$E$11*Positions!$Q$11)*Factors!$D$8*Factors!$C$8*Factors!$D$8*Factors!$H$8+(Positions!$E$11*Positions!$Q$11)*Factors!$D$8*Factors!$C$9*Factors!$D$9*Factors!$I$8+(Positions!$E$11*Positions!$R$11)*Factors!$D$9*Factors!$C$5*Factors!$D$5*Factors!$E$9+(Positions!$E$11*Positions!$R$11)*Factors!$D$9*Factors!$C$6*Factors!$D$6*Factors!$F$9+(Positions!$E$11*Positions!$R$11)*Factors!$D$9*Factors!$C$7*Factors!$D$7*Factors!$G$9+(Positions!$E$11*Positions!$R$11)*Factors!$D$9*Factors!$C$8*Factors!$D$8*Factors!$H$9+(Positions!$E$11*Positions!$R$11)*Factors!$D$9*Factors!$C$9*Factors!$D$9*Factors!$I$9)/(Factors!$C$13*SQRT(Assumptions!$E$6)),0)</f>
        <v/>
      </c>
      <c r="F11" s="14">
        <f>IFERROR(E11/'VaR &amp; ES'!$C$8,0)</f>
        <v/>
      </c>
      <c r="G11" s="16">
        <f>-MIN((Positions!$E$11*Positions!$N$11*Stress!$C$5+Positions!$E$11*Positions!$O$11*Stress!$D$5+Positions!$E$11*Positions!$P$11*Stress!$E$5+Positions!$E$11*Positions!$Q$11*Stress!$F$5+Positions!$E$11*Positions!$R$11*Stress!$G$5),(Positions!$E$11*Positions!$N$11*Stress!$C$6+Positions!$E$11*Positions!$O$11*Stress!$D$6+Positions!$E$11*Positions!$P$11*Stress!$E$6+Positions!$E$11*Positions!$Q$11*Stress!$F$6+Positions!$E$11*Positions!$R$11*Stress!$G$6),(Positions!$E$11*Positions!$N$11*Stress!$C$7+Positions!$E$11*Positions!$O$11*Stress!$D$7+Positions!$E$11*Positions!$P$11*Stress!$E$7+Positions!$E$11*Positions!$Q$11*Stress!$F$7+Positions!$E$11*Positions!$R$11*Stress!$G$7),(Positions!$E$11*Positions!$N$11*Stress!$C$8+Positions!$E$11*Positions!$O$11*Stress!$D$8+Positions!$E$11*Positions!$P$11*Stress!$E$8+Positions!$E$11*Positions!$Q$11*Stress!$F$8+Positions!$E$11*Positions!$R$11*Stress!$G$8),(Positions!$E$11*Positions!$N$11*Stress!$C$9+Positions!$E$11*Positions!$O$11*Stress!$D$9+Positions!$E$11*Positions!$P$11*Stress!$E$9+Positions!$E$11*Positions!$Q$11*Stress!$F$9+Positions!$E$11*Positions!$R$11*Stress!$G$9),(Positions!$E$11*Positions!$N$11*Stress!$C$10+Positions!$E$11*Positions!$O$11*Stress!$D$10+Positions!$E$11*Positions!$P$11*Stress!$E$10+Positions!$E$11*Positions!$Q$11*Stress!$F$10+Positions!$E$11*Positions!$R$11*Stress!$G$10))</f>
        <v/>
      </c>
      <c r="H11" s="16">
        <f>Liquidity!G11</f>
        <v/>
      </c>
      <c r="I11" s="16">
        <f>ABS(E11)+G11+H11</f>
        <v/>
      </c>
      <c r="J11" s="14">
        <f>IFERROR(I11/SUM($I$5:$I$16),0)</f>
        <v/>
      </c>
    </row>
    <row r="12">
      <c r="B12">
        <f>Positions!B12</f>
        <v/>
      </c>
      <c r="C12" s="16">
        <f>ABS(Positions!E12)</f>
        <v/>
      </c>
      <c r="D12" s="16">
        <f>'VaR &amp; ES'!$C$7*SQRT(MAX(0,((Positions!$E$12*Positions!$N$12)*(Positions!$E$12*Positions!$N$12)*Factors!$D$5*Factors!$D$5*Factors!$E$5+(Positions!$E$12*Positions!$N$12)*(Positions!$E$12*Positions!$O$12)*Factors!$D$5*Factors!$D$6*Factors!$F$5+(Positions!$E$12*Positions!$N$12)*(Positions!$E$12*Positions!$P$12)*Factors!$D$5*Factors!$D$7*Factors!$G$5+(Positions!$E$12*Positions!$N$12)*(Positions!$E$12*Positions!$Q$12)*Factors!$D$5*Factors!$D$8*Factors!$H$5+(Positions!$E$12*Positions!$N$12)*(Positions!$E$12*Positions!$R$12)*Factors!$D$5*Factors!$D$9*Factors!$I$5+(Positions!$E$12*Positions!$O$12)*(Positions!$E$12*Positions!$N$12)*Factors!$D$6*Factors!$D$5*Factors!$E$6+(Positions!$E$12*Positions!$O$12)*(Positions!$E$12*Positions!$O$12)*Factors!$D$6*Factors!$D$6*Factors!$F$6+(Positions!$E$12*Positions!$O$12)*(Positions!$E$12*Positions!$P$12)*Factors!$D$6*Factors!$D$7*Factors!$G$6+(Positions!$E$12*Positions!$O$12)*(Positions!$E$12*Positions!$Q$12)*Factors!$D$6*Factors!$D$8*Factors!$H$6+(Positions!$E$12*Positions!$O$12)*(Positions!$E$12*Positions!$R$12)*Factors!$D$6*Factors!$D$9*Factors!$I$6+(Positions!$E$12*Positions!$P$12)*(Positions!$E$12*Positions!$N$12)*Factors!$D$7*Factors!$D$5*Factors!$E$7+(Positions!$E$12*Positions!$P$12)*(Positions!$E$12*Positions!$O$12)*Factors!$D$7*Factors!$D$6*Factors!$F$7+(Positions!$E$12*Positions!$P$12)*(Positions!$E$12*Positions!$P$12)*Factors!$D$7*Factors!$D$7*Factors!$G$7+(Positions!$E$12*Positions!$P$12)*(Positions!$E$12*Positions!$Q$12)*Factors!$D$7*Factors!$D$8*Factors!$H$7+(Positions!$E$12*Positions!$P$12)*(Positions!$E$12*Positions!$R$12)*Factors!$D$7*Factors!$D$9*Factors!$I$7+(Positions!$E$12*Positions!$Q$12)*(Positions!$E$12*Positions!$N$12)*Factors!$D$8*Factors!$D$5*Factors!$E$8+(Positions!$E$12*Positions!$Q$12)*(Positions!$E$12*Positions!$O$12)*Factors!$D$8*Factors!$D$6*Factors!$F$8+(Positions!$E$12*Positions!$Q$12)*(Positions!$E$12*Positions!$P$12)*Factors!$D$8*Factors!$D$7*Factors!$G$8+(Positions!$E$12*Positions!$Q$12)*(Positions!$E$12*Positions!$Q$12)*Factors!$D$8*Factors!$D$8*Factors!$H$8+(Positions!$E$12*Positions!$Q$12)*(Positions!$E$12*Positions!$R$12)*Factors!$D$8*Factors!$D$9*Factors!$I$8+(Positions!$E$12*Positions!$R$12)*(Positions!$E$12*Positions!$N$12)*Factors!$D$9*Factors!$D$5*Factors!$E$9+(Positions!$E$12*Positions!$R$12)*(Positions!$E$12*Positions!$O$12)*Factors!$D$9*Factors!$D$6*Factors!$F$9+(Positions!$E$12*Positions!$R$12)*(Positions!$E$12*Positions!$P$12)*Factors!$D$9*Factors!$D$7*Factors!$G$9+(Positions!$E$12*Positions!$R$12)*(Positions!$E$12*Positions!$Q$12)*Factors!$D$9*Factors!$D$8*Factors!$H$9+(Positions!$E$12*Positions!$R$12)*(Positions!$E$12*Positions!$R$12)*Factors!$D$9*Factors!$D$9*Factors!$I$9)/Assumptions!$E$6))</f>
        <v/>
      </c>
      <c r="E12" s="16">
        <f>IFERROR('VaR &amp; ES'!$C$7*((Positions!$E$12*Positions!$N$12)*Factors!$D$5*Factors!$C$5*Factors!$D$5*Factors!$E$5+(Positions!$E$12*Positions!$N$12)*Factors!$D$5*Factors!$C$6*Factors!$D$6*Factors!$F$5+(Positions!$E$12*Positions!$N$12)*Factors!$D$5*Factors!$C$7*Factors!$D$7*Factors!$G$5+(Positions!$E$12*Positions!$N$12)*Factors!$D$5*Factors!$C$8*Factors!$D$8*Factors!$H$5+(Positions!$E$12*Positions!$N$12)*Factors!$D$5*Factors!$C$9*Factors!$D$9*Factors!$I$5+(Positions!$E$12*Positions!$O$12)*Factors!$D$6*Factors!$C$5*Factors!$D$5*Factors!$E$6+(Positions!$E$12*Positions!$O$12)*Factors!$D$6*Factors!$C$6*Factors!$D$6*Factors!$F$6+(Positions!$E$12*Positions!$O$12)*Factors!$D$6*Factors!$C$7*Factors!$D$7*Factors!$G$6+(Positions!$E$12*Positions!$O$12)*Factors!$D$6*Factors!$C$8*Factors!$D$8*Factors!$H$6+(Positions!$E$12*Positions!$O$12)*Factors!$D$6*Factors!$C$9*Factors!$D$9*Factors!$I$6+(Positions!$E$12*Positions!$P$12)*Factors!$D$7*Factors!$C$5*Factors!$D$5*Factors!$E$7+(Positions!$E$12*Positions!$P$12)*Factors!$D$7*Factors!$C$6*Factors!$D$6*Factors!$F$7+(Positions!$E$12*Positions!$P$12)*Factors!$D$7*Factors!$C$7*Factors!$D$7*Factors!$G$7+(Positions!$E$12*Positions!$P$12)*Factors!$D$7*Factors!$C$8*Factors!$D$8*Factors!$H$7+(Positions!$E$12*Positions!$P$12)*Factors!$D$7*Factors!$C$9*Factors!$D$9*Factors!$I$7+(Positions!$E$12*Positions!$Q$12)*Factors!$D$8*Factors!$C$5*Factors!$D$5*Factors!$E$8+(Positions!$E$12*Positions!$Q$12)*Factors!$D$8*Factors!$C$6*Factors!$D$6*Factors!$F$8+(Positions!$E$12*Positions!$Q$12)*Factors!$D$8*Factors!$C$7*Factors!$D$7*Factors!$G$8+(Positions!$E$12*Positions!$Q$12)*Factors!$D$8*Factors!$C$8*Factors!$D$8*Factors!$H$8+(Positions!$E$12*Positions!$Q$12)*Factors!$D$8*Factors!$C$9*Factors!$D$9*Factors!$I$8+(Positions!$E$12*Positions!$R$12)*Factors!$D$9*Factors!$C$5*Factors!$D$5*Factors!$E$9+(Positions!$E$12*Positions!$R$12)*Factors!$D$9*Factors!$C$6*Factors!$D$6*Factors!$F$9+(Positions!$E$12*Positions!$R$12)*Factors!$D$9*Factors!$C$7*Factors!$D$7*Factors!$G$9+(Positions!$E$12*Positions!$R$12)*Factors!$D$9*Factors!$C$8*Factors!$D$8*Factors!$H$9+(Positions!$E$12*Positions!$R$12)*Factors!$D$9*Factors!$C$9*Factors!$D$9*Factors!$I$9)/(Factors!$C$13*SQRT(Assumptions!$E$6)),0)</f>
        <v/>
      </c>
      <c r="F12" s="14">
        <f>IFERROR(E12/'VaR &amp; ES'!$C$8,0)</f>
        <v/>
      </c>
      <c r="G12" s="16">
        <f>-MIN((Positions!$E$12*Positions!$N$12*Stress!$C$5+Positions!$E$12*Positions!$O$12*Stress!$D$5+Positions!$E$12*Positions!$P$12*Stress!$E$5+Positions!$E$12*Positions!$Q$12*Stress!$F$5+Positions!$E$12*Positions!$R$12*Stress!$G$5),(Positions!$E$12*Positions!$N$12*Stress!$C$6+Positions!$E$12*Positions!$O$12*Stress!$D$6+Positions!$E$12*Positions!$P$12*Stress!$E$6+Positions!$E$12*Positions!$Q$12*Stress!$F$6+Positions!$E$12*Positions!$R$12*Stress!$G$6),(Positions!$E$12*Positions!$N$12*Stress!$C$7+Positions!$E$12*Positions!$O$12*Stress!$D$7+Positions!$E$12*Positions!$P$12*Stress!$E$7+Positions!$E$12*Positions!$Q$12*Stress!$F$7+Positions!$E$12*Positions!$R$12*Stress!$G$7),(Positions!$E$12*Positions!$N$12*Stress!$C$8+Positions!$E$12*Positions!$O$12*Stress!$D$8+Positions!$E$12*Positions!$P$12*Stress!$E$8+Positions!$E$12*Positions!$Q$12*Stress!$F$8+Positions!$E$12*Positions!$R$12*Stress!$G$8),(Positions!$E$12*Positions!$N$12*Stress!$C$9+Positions!$E$12*Positions!$O$12*Stress!$D$9+Positions!$E$12*Positions!$P$12*Stress!$E$9+Positions!$E$12*Positions!$Q$12*Stress!$F$9+Positions!$E$12*Positions!$R$12*Stress!$G$9),(Positions!$E$12*Positions!$N$12*Stress!$C$10+Positions!$E$12*Positions!$O$12*Stress!$D$10+Positions!$E$12*Positions!$P$12*Stress!$E$10+Positions!$E$12*Positions!$Q$12*Stress!$F$10+Positions!$E$12*Positions!$R$12*Stress!$G$10))</f>
        <v/>
      </c>
      <c r="H12" s="16">
        <f>Liquidity!G12</f>
        <v/>
      </c>
      <c r="I12" s="16">
        <f>ABS(E12)+G12+H12</f>
        <v/>
      </c>
      <c r="J12" s="14">
        <f>IFERROR(I12/SUM($I$5:$I$16),0)</f>
        <v/>
      </c>
    </row>
    <row r="13">
      <c r="B13">
        <f>Positions!B13</f>
        <v/>
      </c>
      <c r="C13" s="16">
        <f>ABS(Positions!E13)</f>
        <v/>
      </c>
      <c r="D13" s="16">
        <f>'VaR &amp; ES'!$C$7*SQRT(MAX(0,((Positions!$E$13*Positions!$N$13)*(Positions!$E$13*Positions!$N$13)*Factors!$D$5*Factors!$D$5*Factors!$E$5+(Positions!$E$13*Positions!$N$13)*(Positions!$E$13*Positions!$O$13)*Factors!$D$5*Factors!$D$6*Factors!$F$5+(Positions!$E$13*Positions!$N$13)*(Positions!$E$13*Positions!$P$13)*Factors!$D$5*Factors!$D$7*Factors!$G$5+(Positions!$E$13*Positions!$N$13)*(Positions!$E$13*Positions!$Q$13)*Factors!$D$5*Factors!$D$8*Factors!$H$5+(Positions!$E$13*Positions!$N$13)*(Positions!$E$13*Positions!$R$13)*Factors!$D$5*Factors!$D$9*Factors!$I$5+(Positions!$E$13*Positions!$O$13)*(Positions!$E$13*Positions!$N$13)*Factors!$D$6*Factors!$D$5*Factors!$E$6+(Positions!$E$13*Positions!$O$13)*(Positions!$E$13*Positions!$O$13)*Factors!$D$6*Factors!$D$6*Factors!$F$6+(Positions!$E$13*Positions!$O$13)*(Positions!$E$13*Positions!$P$13)*Factors!$D$6*Factors!$D$7*Factors!$G$6+(Positions!$E$13*Positions!$O$13)*(Positions!$E$13*Positions!$Q$13)*Factors!$D$6*Factors!$D$8*Factors!$H$6+(Positions!$E$13*Positions!$O$13)*(Positions!$E$13*Positions!$R$13)*Factors!$D$6*Factors!$D$9*Factors!$I$6+(Positions!$E$13*Positions!$P$13)*(Positions!$E$13*Positions!$N$13)*Factors!$D$7*Factors!$D$5*Factors!$E$7+(Positions!$E$13*Positions!$P$13)*(Positions!$E$13*Positions!$O$13)*Factors!$D$7*Factors!$D$6*Factors!$F$7+(Positions!$E$13*Positions!$P$13)*(Positions!$E$13*Positions!$P$13)*Factors!$D$7*Factors!$D$7*Factors!$G$7+(Positions!$E$13*Positions!$P$13)*(Positions!$E$13*Positions!$Q$13)*Factors!$D$7*Factors!$D$8*Factors!$H$7+(Positions!$E$13*Positions!$P$13)*(Positions!$E$13*Positions!$R$13)*Factors!$D$7*Factors!$D$9*Factors!$I$7+(Positions!$E$13*Positions!$Q$13)*(Positions!$E$13*Positions!$N$13)*Factors!$D$8*Factors!$D$5*Factors!$E$8+(Positions!$E$13*Positions!$Q$13)*(Positions!$E$13*Positions!$O$13)*Factors!$D$8*Factors!$D$6*Factors!$F$8+(Positions!$E$13*Positions!$Q$13)*(Positions!$E$13*Positions!$P$13)*Factors!$D$8*Factors!$D$7*Factors!$G$8+(Positions!$E$13*Positions!$Q$13)*(Positions!$E$13*Positions!$Q$13)*Factors!$D$8*Factors!$D$8*Factors!$H$8+(Positions!$E$13*Positions!$Q$13)*(Positions!$E$13*Positions!$R$13)*Factors!$D$8*Factors!$D$9*Factors!$I$8+(Positions!$E$13*Positions!$R$13)*(Positions!$E$13*Positions!$N$13)*Factors!$D$9*Factors!$D$5*Factors!$E$9+(Positions!$E$13*Positions!$R$13)*(Positions!$E$13*Positions!$O$13)*Factors!$D$9*Factors!$D$6*Factors!$F$9+(Positions!$E$13*Positions!$R$13)*(Positions!$E$13*Positions!$P$13)*Factors!$D$9*Factors!$D$7*Factors!$G$9+(Positions!$E$13*Positions!$R$13)*(Positions!$E$13*Positions!$Q$13)*Factors!$D$9*Factors!$D$8*Factors!$H$9+(Positions!$E$13*Positions!$R$13)*(Positions!$E$13*Positions!$R$13)*Factors!$D$9*Factors!$D$9*Factors!$I$9)/Assumptions!$E$6))</f>
        <v/>
      </c>
      <c r="E13" s="16">
        <f>IFERROR('VaR &amp; ES'!$C$7*((Positions!$E$13*Positions!$N$13)*Factors!$D$5*Factors!$C$5*Factors!$D$5*Factors!$E$5+(Positions!$E$13*Positions!$N$13)*Factors!$D$5*Factors!$C$6*Factors!$D$6*Factors!$F$5+(Positions!$E$13*Positions!$N$13)*Factors!$D$5*Factors!$C$7*Factors!$D$7*Factors!$G$5+(Positions!$E$13*Positions!$N$13)*Factors!$D$5*Factors!$C$8*Factors!$D$8*Factors!$H$5+(Positions!$E$13*Positions!$N$13)*Factors!$D$5*Factors!$C$9*Factors!$D$9*Factors!$I$5+(Positions!$E$13*Positions!$O$13)*Factors!$D$6*Factors!$C$5*Factors!$D$5*Factors!$E$6+(Positions!$E$13*Positions!$O$13)*Factors!$D$6*Factors!$C$6*Factors!$D$6*Factors!$F$6+(Positions!$E$13*Positions!$O$13)*Factors!$D$6*Factors!$C$7*Factors!$D$7*Factors!$G$6+(Positions!$E$13*Positions!$O$13)*Factors!$D$6*Factors!$C$8*Factors!$D$8*Factors!$H$6+(Positions!$E$13*Positions!$O$13)*Factors!$D$6*Factors!$C$9*Factors!$D$9*Factors!$I$6+(Positions!$E$13*Positions!$P$13)*Factors!$D$7*Factors!$C$5*Factors!$D$5*Factors!$E$7+(Positions!$E$13*Positions!$P$13)*Factors!$D$7*Factors!$C$6*Factors!$D$6*Factors!$F$7+(Positions!$E$13*Positions!$P$13)*Factors!$D$7*Factors!$C$7*Factors!$D$7*Factors!$G$7+(Positions!$E$13*Positions!$P$13)*Factors!$D$7*Factors!$C$8*Factors!$D$8*Factors!$H$7+(Positions!$E$13*Positions!$P$13)*Factors!$D$7*Factors!$C$9*Factors!$D$9*Factors!$I$7+(Positions!$E$13*Positions!$Q$13)*Factors!$D$8*Factors!$C$5*Factors!$D$5*Factors!$E$8+(Positions!$E$13*Positions!$Q$13)*Factors!$D$8*Factors!$C$6*Factors!$D$6*Factors!$F$8+(Positions!$E$13*Positions!$Q$13)*Factors!$D$8*Factors!$C$7*Factors!$D$7*Factors!$G$8+(Positions!$E$13*Positions!$Q$13)*Factors!$D$8*Factors!$C$8*Factors!$D$8*Factors!$H$8+(Positions!$E$13*Positions!$Q$13)*Factors!$D$8*Factors!$C$9*Factors!$D$9*Factors!$I$8+(Positions!$E$13*Positions!$R$13)*Factors!$D$9*Factors!$C$5*Factors!$D$5*Factors!$E$9+(Positions!$E$13*Positions!$R$13)*Factors!$D$9*Factors!$C$6*Factors!$D$6*Factors!$F$9+(Positions!$E$13*Positions!$R$13)*Factors!$D$9*Factors!$C$7*Factors!$D$7*Factors!$G$9+(Positions!$E$13*Positions!$R$13)*Factors!$D$9*Factors!$C$8*Factors!$D$8*Factors!$H$9+(Positions!$E$13*Positions!$R$13)*Factors!$D$9*Factors!$C$9*Factors!$D$9*Factors!$I$9)/(Factors!$C$13*SQRT(Assumptions!$E$6)),0)</f>
        <v/>
      </c>
      <c r="F13" s="14">
        <f>IFERROR(E13/'VaR &amp; ES'!$C$8,0)</f>
        <v/>
      </c>
      <c r="G13" s="16">
        <f>-MIN((Positions!$E$13*Positions!$N$13*Stress!$C$5+Positions!$E$13*Positions!$O$13*Stress!$D$5+Positions!$E$13*Positions!$P$13*Stress!$E$5+Positions!$E$13*Positions!$Q$13*Stress!$F$5+Positions!$E$13*Positions!$R$13*Stress!$G$5),(Positions!$E$13*Positions!$N$13*Stress!$C$6+Positions!$E$13*Positions!$O$13*Stress!$D$6+Positions!$E$13*Positions!$P$13*Stress!$E$6+Positions!$E$13*Positions!$Q$13*Stress!$F$6+Positions!$E$13*Positions!$R$13*Stress!$G$6),(Positions!$E$13*Positions!$N$13*Stress!$C$7+Positions!$E$13*Positions!$O$13*Stress!$D$7+Positions!$E$13*Positions!$P$13*Stress!$E$7+Positions!$E$13*Positions!$Q$13*Stress!$F$7+Positions!$E$13*Positions!$R$13*Stress!$G$7),(Positions!$E$13*Positions!$N$13*Stress!$C$8+Positions!$E$13*Positions!$O$13*Stress!$D$8+Positions!$E$13*Positions!$P$13*Stress!$E$8+Positions!$E$13*Positions!$Q$13*Stress!$F$8+Positions!$E$13*Positions!$R$13*Stress!$G$8),(Positions!$E$13*Positions!$N$13*Stress!$C$9+Positions!$E$13*Positions!$O$13*Stress!$D$9+Positions!$E$13*Positions!$P$13*Stress!$E$9+Positions!$E$13*Positions!$Q$13*Stress!$F$9+Positions!$E$13*Positions!$R$13*Stress!$G$9),(Positions!$E$13*Positions!$N$13*Stress!$C$10+Positions!$E$13*Positions!$O$13*Stress!$D$10+Positions!$E$13*Positions!$P$13*Stress!$E$10+Positions!$E$13*Positions!$Q$13*Stress!$F$10+Positions!$E$13*Positions!$R$13*Stress!$G$10))</f>
        <v/>
      </c>
      <c r="H13" s="16">
        <f>Liquidity!G13</f>
        <v/>
      </c>
      <c r="I13" s="16">
        <f>ABS(E13)+G13+H13</f>
        <v/>
      </c>
      <c r="J13" s="14">
        <f>IFERROR(I13/SUM($I$5:$I$16),0)</f>
        <v/>
      </c>
    </row>
    <row r="14">
      <c r="B14">
        <f>Positions!B14</f>
        <v/>
      </c>
      <c r="C14" s="16">
        <f>ABS(Positions!E14)</f>
        <v/>
      </c>
      <c r="D14" s="16">
        <f>'VaR &amp; ES'!$C$7*SQRT(MAX(0,((Positions!$E$14*Positions!$N$14)*(Positions!$E$14*Positions!$N$14)*Factors!$D$5*Factors!$D$5*Factors!$E$5+(Positions!$E$14*Positions!$N$14)*(Positions!$E$14*Positions!$O$14)*Factors!$D$5*Factors!$D$6*Factors!$F$5+(Positions!$E$14*Positions!$N$14)*(Positions!$E$14*Positions!$P$14)*Factors!$D$5*Factors!$D$7*Factors!$G$5+(Positions!$E$14*Positions!$N$14)*(Positions!$E$14*Positions!$Q$14)*Factors!$D$5*Factors!$D$8*Factors!$H$5+(Positions!$E$14*Positions!$N$14)*(Positions!$E$14*Positions!$R$14)*Factors!$D$5*Factors!$D$9*Factors!$I$5+(Positions!$E$14*Positions!$O$14)*(Positions!$E$14*Positions!$N$14)*Factors!$D$6*Factors!$D$5*Factors!$E$6+(Positions!$E$14*Positions!$O$14)*(Positions!$E$14*Positions!$O$14)*Factors!$D$6*Factors!$D$6*Factors!$F$6+(Positions!$E$14*Positions!$O$14)*(Positions!$E$14*Positions!$P$14)*Factors!$D$6*Factors!$D$7*Factors!$G$6+(Positions!$E$14*Positions!$O$14)*(Positions!$E$14*Positions!$Q$14)*Factors!$D$6*Factors!$D$8*Factors!$H$6+(Positions!$E$14*Positions!$O$14)*(Positions!$E$14*Positions!$R$14)*Factors!$D$6*Factors!$D$9*Factors!$I$6+(Positions!$E$14*Positions!$P$14)*(Positions!$E$14*Positions!$N$14)*Factors!$D$7*Factors!$D$5*Factors!$E$7+(Positions!$E$14*Positions!$P$14)*(Positions!$E$14*Positions!$O$14)*Factors!$D$7*Factors!$D$6*Factors!$F$7+(Positions!$E$14*Positions!$P$14)*(Positions!$E$14*Positions!$P$14)*Factors!$D$7*Factors!$D$7*Factors!$G$7+(Positions!$E$14*Positions!$P$14)*(Positions!$E$14*Positions!$Q$14)*Factors!$D$7*Factors!$D$8*Factors!$H$7+(Positions!$E$14*Positions!$P$14)*(Positions!$E$14*Positions!$R$14)*Factors!$D$7*Factors!$D$9*Factors!$I$7+(Positions!$E$14*Positions!$Q$14)*(Positions!$E$14*Positions!$N$14)*Factors!$D$8*Factors!$D$5*Factors!$E$8+(Positions!$E$14*Positions!$Q$14)*(Positions!$E$14*Positions!$O$14)*Factors!$D$8*Factors!$D$6*Factors!$F$8+(Positions!$E$14*Positions!$Q$14)*(Positions!$E$14*Positions!$P$14)*Factors!$D$8*Factors!$D$7*Factors!$G$8+(Positions!$E$14*Positions!$Q$14)*(Positions!$E$14*Positions!$Q$14)*Factors!$D$8*Factors!$D$8*Factors!$H$8+(Positions!$E$14*Positions!$Q$14)*(Positions!$E$14*Positions!$R$14)*Factors!$D$8*Factors!$D$9*Factors!$I$8+(Positions!$E$14*Positions!$R$14)*(Positions!$E$14*Positions!$N$14)*Factors!$D$9*Factors!$D$5*Factors!$E$9+(Positions!$E$14*Positions!$R$14)*(Positions!$E$14*Positions!$O$14)*Factors!$D$9*Factors!$D$6*Factors!$F$9+(Positions!$E$14*Positions!$R$14)*(Positions!$E$14*Positions!$P$14)*Factors!$D$9*Factors!$D$7*Factors!$G$9+(Positions!$E$14*Positions!$R$14)*(Positions!$E$14*Positions!$Q$14)*Factors!$D$9*Factors!$D$8*Factors!$H$9+(Positions!$E$14*Positions!$R$14)*(Positions!$E$14*Positions!$R$14)*Factors!$D$9*Factors!$D$9*Factors!$I$9)/Assumptions!$E$6))</f>
        <v/>
      </c>
      <c r="E14" s="16">
        <f>IFERROR('VaR &amp; ES'!$C$7*((Positions!$E$14*Positions!$N$14)*Factors!$D$5*Factors!$C$5*Factors!$D$5*Factors!$E$5+(Positions!$E$14*Positions!$N$14)*Factors!$D$5*Factors!$C$6*Factors!$D$6*Factors!$F$5+(Positions!$E$14*Positions!$N$14)*Factors!$D$5*Factors!$C$7*Factors!$D$7*Factors!$G$5+(Positions!$E$14*Positions!$N$14)*Factors!$D$5*Factors!$C$8*Factors!$D$8*Factors!$H$5+(Positions!$E$14*Positions!$N$14)*Factors!$D$5*Factors!$C$9*Factors!$D$9*Factors!$I$5+(Positions!$E$14*Positions!$O$14)*Factors!$D$6*Factors!$C$5*Factors!$D$5*Factors!$E$6+(Positions!$E$14*Positions!$O$14)*Factors!$D$6*Factors!$C$6*Factors!$D$6*Factors!$F$6+(Positions!$E$14*Positions!$O$14)*Factors!$D$6*Factors!$C$7*Factors!$D$7*Factors!$G$6+(Positions!$E$14*Positions!$O$14)*Factors!$D$6*Factors!$C$8*Factors!$D$8*Factors!$H$6+(Positions!$E$14*Positions!$O$14)*Factors!$D$6*Factors!$C$9*Factors!$D$9*Factors!$I$6+(Positions!$E$14*Positions!$P$14)*Factors!$D$7*Factors!$C$5*Factors!$D$5*Factors!$E$7+(Positions!$E$14*Positions!$P$14)*Factors!$D$7*Factors!$C$6*Factors!$D$6*Factors!$F$7+(Positions!$E$14*Positions!$P$14)*Factors!$D$7*Factors!$C$7*Factors!$D$7*Factors!$G$7+(Positions!$E$14*Positions!$P$14)*Factors!$D$7*Factors!$C$8*Factors!$D$8*Factors!$H$7+(Positions!$E$14*Positions!$P$14)*Factors!$D$7*Factors!$C$9*Factors!$D$9*Factors!$I$7+(Positions!$E$14*Positions!$Q$14)*Factors!$D$8*Factors!$C$5*Factors!$D$5*Factors!$E$8+(Positions!$E$14*Positions!$Q$14)*Factors!$D$8*Factors!$C$6*Factors!$D$6*Factors!$F$8+(Positions!$E$14*Positions!$Q$14)*Factors!$D$8*Factors!$C$7*Factors!$D$7*Factors!$G$8+(Positions!$E$14*Positions!$Q$14)*Factors!$D$8*Factors!$C$8*Factors!$D$8*Factors!$H$8+(Positions!$E$14*Positions!$Q$14)*Factors!$D$8*Factors!$C$9*Factors!$D$9*Factors!$I$8+(Positions!$E$14*Positions!$R$14)*Factors!$D$9*Factors!$C$5*Factors!$D$5*Factors!$E$9+(Positions!$E$14*Positions!$R$14)*Factors!$D$9*Factors!$C$6*Factors!$D$6*Factors!$F$9+(Positions!$E$14*Positions!$R$14)*Factors!$D$9*Factors!$C$7*Factors!$D$7*Factors!$G$9+(Positions!$E$14*Positions!$R$14)*Factors!$D$9*Factors!$C$8*Factors!$D$8*Factors!$H$9+(Positions!$E$14*Positions!$R$14)*Factors!$D$9*Factors!$C$9*Factors!$D$9*Factors!$I$9)/(Factors!$C$13*SQRT(Assumptions!$E$6)),0)</f>
        <v/>
      </c>
      <c r="F14" s="14">
        <f>IFERROR(E14/'VaR &amp; ES'!$C$8,0)</f>
        <v/>
      </c>
      <c r="G14" s="16">
        <f>-MIN((Positions!$E$14*Positions!$N$14*Stress!$C$5+Positions!$E$14*Positions!$O$14*Stress!$D$5+Positions!$E$14*Positions!$P$14*Stress!$E$5+Positions!$E$14*Positions!$Q$14*Stress!$F$5+Positions!$E$14*Positions!$R$14*Stress!$G$5),(Positions!$E$14*Positions!$N$14*Stress!$C$6+Positions!$E$14*Positions!$O$14*Stress!$D$6+Positions!$E$14*Positions!$P$14*Stress!$E$6+Positions!$E$14*Positions!$Q$14*Stress!$F$6+Positions!$E$14*Positions!$R$14*Stress!$G$6),(Positions!$E$14*Positions!$N$14*Stress!$C$7+Positions!$E$14*Positions!$O$14*Stress!$D$7+Positions!$E$14*Positions!$P$14*Stress!$E$7+Positions!$E$14*Positions!$Q$14*Stress!$F$7+Positions!$E$14*Positions!$R$14*Stress!$G$7),(Positions!$E$14*Positions!$N$14*Stress!$C$8+Positions!$E$14*Positions!$O$14*Stress!$D$8+Positions!$E$14*Positions!$P$14*Stress!$E$8+Positions!$E$14*Positions!$Q$14*Stress!$F$8+Positions!$E$14*Positions!$R$14*Stress!$G$8),(Positions!$E$14*Positions!$N$14*Stress!$C$9+Positions!$E$14*Positions!$O$14*Stress!$D$9+Positions!$E$14*Positions!$P$14*Stress!$E$9+Positions!$E$14*Positions!$Q$14*Stress!$F$9+Positions!$E$14*Positions!$R$14*Stress!$G$9),(Positions!$E$14*Positions!$N$14*Stress!$C$10+Positions!$E$14*Positions!$O$14*Stress!$D$10+Positions!$E$14*Positions!$P$14*Stress!$E$10+Positions!$E$14*Positions!$Q$14*Stress!$F$10+Positions!$E$14*Positions!$R$14*Stress!$G$10))</f>
        <v/>
      </c>
      <c r="H14" s="16">
        <f>Liquidity!G14</f>
        <v/>
      </c>
      <c r="I14" s="16">
        <f>ABS(E14)+G14+H14</f>
        <v/>
      </c>
      <c r="J14" s="14">
        <f>IFERROR(I14/SUM($I$5:$I$16),0)</f>
        <v/>
      </c>
    </row>
    <row r="15">
      <c r="B15">
        <f>Positions!B15</f>
        <v/>
      </c>
      <c r="C15" s="16">
        <f>ABS(Positions!E15)</f>
        <v/>
      </c>
      <c r="D15" s="16">
        <f>'VaR &amp; ES'!$C$7*SQRT(MAX(0,((Positions!$E$15*Positions!$N$15)*(Positions!$E$15*Positions!$N$15)*Factors!$D$5*Factors!$D$5*Factors!$E$5+(Positions!$E$15*Positions!$N$15)*(Positions!$E$15*Positions!$O$15)*Factors!$D$5*Factors!$D$6*Factors!$F$5+(Positions!$E$15*Positions!$N$15)*(Positions!$E$15*Positions!$P$15)*Factors!$D$5*Factors!$D$7*Factors!$G$5+(Positions!$E$15*Positions!$N$15)*(Positions!$E$15*Positions!$Q$15)*Factors!$D$5*Factors!$D$8*Factors!$H$5+(Positions!$E$15*Positions!$N$15)*(Positions!$E$15*Positions!$R$15)*Factors!$D$5*Factors!$D$9*Factors!$I$5+(Positions!$E$15*Positions!$O$15)*(Positions!$E$15*Positions!$N$15)*Factors!$D$6*Factors!$D$5*Factors!$E$6+(Positions!$E$15*Positions!$O$15)*(Positions!$E$15*Positions!$O$15)*Factors!$D$6*Factors!$D$6*Factors!$F$6+(Positions!$E$15*Positions!$O$15)*(Positions!$E$15*Positions!$P$15)*Factors!$D$6*Factors!$D$7*Factors!$G$6+(Positions!$E$15*Positions!$O$15)*(Positions!$E$15*Positions!$Q$15)*Factors!$D$6*Factors!$D$8*Factors!$H$6+(Positions!$E$15*Positions!$O$15)*(Positions!$E$15*Positions!$R$15)*Factors!$D$6*Factors!$D$9*Factors!$I$6+(Positions!$E$15*Positions!$P$15)*(Positions!$E$15*Positions!$N$15)*Factors!$D$7*Factors!$D$5*Factors!$E$7+(Positions!$E$15*Positions!$P$15)*(Positions!$E$15*Positions!$O$15)*Factors!$D$7*Factors!$D$6*Factors!$F$7+(Positions!$E$15*Positions!$P$15)*(Positions!$E$15*Positions!$P$15)*Factors!$D$7*Factors!$D$7*Factors!$G$7+(Positions!$E$15*Positions!$P$15)*(Positions!$E$15*Positions!$Q$15)*Factors!$D$7*Factors!$D$8*Factors!$H$7+(Positions!$E$15*Positions!$P$15)*(Positions!$E$15*Positions!$R$15)*Factors!$D$7*Factors!$D$9*Factors!$I$7+(Positions!$E$15*Positions!$Q$15)*(Positions!$E$15*Positions!$N$15)*Factors!$D$8*Factors!$D$5*Factors!$E$8+(Positions!$E$15*Positions!$Q$15)*(Positions!$E$15*Positions!$O$15)*Factors!$D$8*Factors!$D$6*Factors!$F$8+(Positions!$E$15*Positions!$Q$15)*(Positions!$E$15*Positions!$P$15)*Factors!$D$8*Factors!$D$7*Factors!$G$8+(Positions!$E$15*Positions!$Q$15)*(Positions!$E$15*Positions!$Q$15)*Factors!$D$8*Factors!$D$8*Factors!$H$8+(Positions!$E$15*Positions!$Q$15)*(Positions!$E$15*Positions!$R$15)*Factors!$D$8*Factors!$D$9*Factors!$I$8+(Positions!$E$15*Positions!$R$15)*(Positions!$E$15*Positions!$N$15)*Factors!$D$9*Factors!$D$5*Factors!$E$9+(Positions!$E$15*Positions!$R$15)*(Positions!$E$15*Positions!$O$15)*Factors!$D$9*Factors!$D$6*Factors!$F$9+(Positions!$E$15*Positions!$R$15)*(Positions!$E$15*Positions!$P$15)*Factors!$D$9*Factors!$D$7*Factors!$G$9+(Positions!$E$15*Positions!$R$15)*(Positions!$E$15*Positions!$Q$15)*Factors!$D$9*Factors!$D$8*Factors!$H$9+(Positions!$E$15*Positions!$R$15)*(Positions!$E$15*Positions!$R$15)*Factors!$D$9*Factors!$D$9*Factors!$I$9)/Assumptions!$E$6))</f>
        <v/>
      </c>
      <c r="E15" s="16">
        <f>IFERROR('VaR &amp; ES'!$C$7*((Positions!$E$15*Positions!$N$15)*Factors!$D$5*Factors!$C$5*Factors!$D$5*Factors!$E$5+(Positions!$E$15*Positions!$N$15)*Factors!$D$5*Factors!$C$6*Factors!$D$6*Factors!$F$5+(Positions!$E$15*Positions!$N$15)*Factors!$D$5*Factors!$C$7*Factors!$D$7*Factors!$G$5+(Positions!$E$15*Positions!$N$15)*Factors!$D$5*Factors!$C$8*Factors!$D$8*Factors!$H$5+(Positions!$E$15*Positions!$N$15)*Factors!$D$5*Factors!$C$9*Factors!$D$9*Factors!$I$5+(Positions!$E$15*Positions!$O$15)*Factors!$D$6*Factors!$C$5*Factors!$D$5*Factors!$E$6+(Positions!$E$15*Positions!$O$15)*Factors!$D$6*Factors!$C$6*Factors!$D$6*Factors!$F$6+(Positions!$E$15*Positions!$O$15)*Factors!$D$6*Factors!$C$7*Factors!$D$7*Factors!$G$6+(Positions!$E$15*Positions!$O$15)*Factors!$D$6*Factors!$C$8*Factors!$D$8*Factors!$H$6+(Positions!$E$15*Positions!$O$15)*Factors!$D$6*Factors!$C$9*Factors!$D$9*Factors!$I$6+(Positions!$E$15*Positions!$P$15)*Factors!$D$7*Factors!$C$5*Factors!$D$5*Factors!$E$7+(Positions!$E$15*Positions!$P$15)*Factors!$D$7*Factors!$C$6*Factors!$D$6*Factors!$F$7+(Positions!$E$15*Positions!$P$15)*Factors!$D$7*Factors!$C$7*Factors!$D$7*Factors!$G$7+(Positions!$E$15*Positions!$P$15)*Factors!$D$7*Factors!$C$8*Factors!$D$8*Factors!$H$7+(Positions!$E$15*Positions!$P$15)*Factors!$D$7*Factors!$C$9*Factors!$D$9*Factors!$I$7+(Positions!$E$15*Positions!$Q$15)*Factors!$D$8*Factors!$C$5*Factors!$D$5*Factors!$E$8+(Positions!$E$15*Positions!$Q$15)*Factors!$D$8*Factors!$C$6*Factors!$D$6*Factors!$F$8+(Positions!$E$15*Positions!$Q$15)*Factors!$D$8*Factors!$C$7*Factors!$D$7*Factors!$G$8+(Positions!$E$15*Positions!$Q$15)*Factors!$D$8*Factors!$C$8*Factors!$D$8*Factors!$H$8+(Positions!$E$15*Positions!$Q$15)*Factors!$D$8*Factors!$C$9*Factors!$D$9*Factors!$I$8+(Positions!$E$15*Positions!$R$15)*Factors!$D$9*Factors!$C$5*Factors!$D$5*Factors!$E$9+(Positions!$E$15*Positions!$R$15)*Factors!$D$9*Factors!$C$6*Factors!$D$6*Factors!$F$9+(Positions!$E$15*Positions!$R$15)*Factors!$D$9*Factors!$C$7*Factors!$D$7*Factors!$G$9+(Positions!$E$15*Positions!$R$15)*Factors!$D$9*Factors!$C$8*Factors!$D$8*Factors!$H$9+(Positions!$E$15*Positions!$R$15)*Factors!$D$9*Factors!$C$9*Factors!$D$9*Factors!$I$9)/(Factors!$C$13*SQRT(Assumptions!$E$6)),0)</f>
        <v/>
      </c>
      <c r="F15" s="14">
        <f>IFERROR(E15/'VaR &amp; ES'!$C$8,0)</f>
        <v/>
      </c>
      <c r="G15" s="16">
        <f>-MIN((Positions!$E$15*Positions!$N$15*Stress!$C$5+Positions!$E$15*Positions!$O$15*Stress!$D$5+Positions!$E$15*Positions!$P$15*Stress!$E$5+Positions!$E$15*Positions!$Q$15*Stress!$F$5+Positions!$E$15*Positions!$R$15*Stress!$G$5),(Positions!$E$15*Positions!$N$15*Stress!$C$6+Positions!$E$15*Positions!$O$15*Stress!$D$6+Positions!$E$15*Positions!$P$15*Stress!$E$6+Positions!$E$15*Positions!$Q$15*Stress!$F$6+Positions!$E$15*Positions!$R$15*Stress!$G$6),(Positions!$E$15*Positions!$N$15*Stress!$C$7+Positions!$E$15*Positions!$O$15*Stress!$D$7+Positions!$E$15*Positions!$P$15*Stress!$E$7+Positions!$E$15*Positions!$Q$15*Stress!$F$7+Positions!$E$15*Positions!$R$15*Stress!$G$7),(Positions!$E$15*Positions!$N$15*Stress!$C$8+Positions!$E$15*Positions!$O$15*Stress!$D$8+Positions!$E$15*Positions!$P$15*Stress!$E$8+Positions!$E$15*Positions!$Q$15*Stress!$F$8+Positions!$E$15*Positions!$R$15*Stress!$G$8),(Positions!$E$15*Positions!$N$15*Stress!$C$9+Positions!$E$15*Positions!$O$15*Stress!$D$9+Positions!$E$15*Positions!$P$15*Stress!$E$9+Positions!$E$15*Positions!$Q$15*Stress!$F$9+Positions!$E$15*Positions!$R$15*Stress!$G$9),(Positions!$E$15*Positions!$N$15*Stress!$C$10+Positions!$E$15*Positions!$O$15*Stress!$D$10+Positions!$E$15*Positions!$P$15*Stress!$E$10+Positions!$E$15*Positions!$Q$15*Stress!$F$10+Positions!$E$15*Positions!$R$15*Stress!$G$10))</f>
        <v/>
      </c>
      <c r="H15" s="16">
        <f>Liquidity!G15</f>
        <v/>
      </c>
      <c r="I15" s="16">
        <f>ABS(E15)+G15+H15</f>
        <v/>
      </c>
      <c r="J15" s="14">
        <f>IFERROR(I15/SUM($I$5:$I$16),0)</f>
        <v/>
      </c>
    </row>
    <row r="16">
      <c r="B16">
        <f>Positions!B16</f>
        <v/>
      </c>
      <c r="C16" s="16">
        <f>ABS(Positions!E16)</f>
        <v/>
      </c>
      <c r="D16" s="16">
        <f>'VaR &amp; ES'!$C$7*SQRT(MAX(0,((Positions!$E$16*Positions!$N$16)*(Positions!$E$16*Positions!$N$16)*Factors!$D$5*Factors!$D$5*Factors!$E$5+(Positions!$E$16*Positions!$N$16)*(Positions!$E$16*Positions!$O$16)*Factors!$D$5*Factors!$D$6*Factors!$F$5+(Positions!$E$16*Positions!$N$16)*(Positions!$E$16*Positions!$P$16)*Factors!$D$5*Factors!$D$7*Factors!$G$5+(Positions!$E$16*Positions!$N$16)*(Positions!$E$16*Positions!$Q$16)*Factors!$D$5*Factors!$D$8*Factors!$H$5+(Positions!$E$16*Positions!$N$16)*(Positions!$E$16*Positions!$R$16)*Factors!$D$5*Factors!$D$9*Factors!$I$5+(Positions!$E$16*Positions!$O$16)*(Positions!$E$16*Positions!$N$16)*Factors!$D$6*Factors!$D$5*Factors!$E$6+(Positions!$E$16*Positions!$O$16)*(Positions!$E$16*Positions!$O$16)*Factors!$D$6*Factors!$D$6*Factors!$F$6+(Positions!$E$16*Positions!$O$16)*(Positions!$E$16*Positions!$P$16)*Factors!$D$6*Factors!$D$7*Factors!$G$6+(Positions!$E$16*Positions!$O$16)*(Positions!$E$16*Positions!$Q$16)*Factors!$D$6*Factors!$D$8*Factors!$H$6+(Positions!$E$16*Positions!$O$16)*(Positions!$E$16*Positions!$R$16)*Factors!$D$6*Factors!$D$9*Factors!$I$6+(Positions!$E$16*Positions!$P$16)*(Positions!$E$16*Positions!$N$16)*Factors!$D$7*Factors!$D$5*Factors!$E$7+(Positions!$E$16*Positions!$P$16)*(Positions!$E$16*Positions!$O$16)*Factors!$D$7*Factors!$D$6*Factors!$F$7+(Positions!$E$16*Positions!$P$16)*(Positions!$E$16*Positions!$P$16)*Factors!$D$7*Factors!$D$7*Factors!$G$7+(Positions!$E$16*Positions!$P$16)*(Positions!$E$16*Positions!$Q$16)*Factors!$D$7*Factors!$D$8*Factors!$H$7+(Positions!$E$16*Positions!$P$16)*(Positions!$E$16*Positions!$R$16)*Factors!$D$7*Factors!$D$9*Factors!$I$7+(Positions!$E$16*Positions!$Q$16)*(Positions!$E$16*Positions!$N$16)*Factors!$D$8*Factors!$D$5*Factors!$E$8+(Positions!$E$16*Positions!$Q$16)*(Positions!$E$16*Positions!$O$16)*Factors!$D$8*Factors!$D$6*Factors!$F$8+(Positions!$E$16*Positions!$Q$16)*(Positions!$E$16*Positions!$P$16)*Factors!$D$8*Factors!$D$7*Factors!$G$8+(Positions!$E$16*Positions!$Q$16)*(Positions!$E$16*Positions!$Q$16)*Factors!$D$8*Factors!$D$8*Factors!$H$8+(Positions!$E$16*Positions!$Q$16)*(Positions!$E$16*Positions!$R$16)*Factors!$D$8*Factors!$D$9*Factors!$I$8+(Positions!$E$16*Positions!$R$16)*(Positions!$E$16*Positions!$N$16)*Factors!$D$9*Factors!$D$5*Factors!$E$9+(Positions!$E$16*Positions!$R$16)*(Positions!$E$16*Positions!$O$16)*Factors!$D$9*Factors!$D$6*Factors!$F$9+(Positions!$E$16*Positions!$R$16)*(Positions!$E$16*Positions!$P$16)*Factors!$D$9*Factors!$D$7*Factors!$G$9+(Positions!$E$16*Positions!$R$16)*(Positions!$E$16*Positions!$Q$16)*Factors!$D$9*Factors!$D$8*Factors!$H$9+(Positions!$E$16*Positions!$R$16)*(Positions!$E$16*Positions!$R$16)*Factors!$D$9*Factors!$D$9*Factors!$I$9)/Assumptions!$E$6))</f>
        <v/>
      </c>
      <c r="E16" s="16">
        <f>IFERROR('VaR &amp; ES'!$C$7*((Positions!$E$16*Positions!$N$16)*Factors!$D$5*Factors!$C$5*Factors!$D$5*Factors!$E$5+(Positions!$E$16*Positions!$N$16)*Factors!$D$5*Factors!$C$6*Factors!$D$6*Factors!$F$5+(Positions!$E$16*Positions!$N$16)*Factors!$D$5*Factors!$C$7*Factors!$D$7*Factors!$G$5+(Positions!$E$16*Positions!$N$16)*Factors!$D$5*Factors!$C$8*Factors!$D$8*Factors!$H$5+(Positions!$E$16*Positions!$N$16)*Factors!$D$5*Factors!$C$9*Factors!$D$9*Factors!$I$5+(Positions!$E$16*Positions!$O$16)*Factors!$D$6*Factors!$C$5*Factors!$D$5*Factors!$E$6+(Positions!$E$16*Positions!$O$16)*Factors!$D$6*Factors!$C$6*Factors!$D$6*Factors!$F$6+(Positions!$E$16*Positions!$O$16)*Factors!$D$6*Factors!$C$7*Factors!$D$7*Factors!$G$6+(Positions!$E$16*Positions!$O$16)*Factors!$D$6*Factors!$C$8*Factors!$D$8*Factors!$H$6+(Positions!$E$16*Positions!$O$16)*Factors!$D$6*Factors!$C$9*Factors!$D$9*Factors!$I$6+(Positions!$E$16*Positions!$P$16)*Factors!$D$7*Factors!$C$5*Factors!$D$5*Factors!$E$7+(Positions!$E$16*Positions!$P$16)*Factors!$D$7*Factors!$C$6*Factors!$D$6*Factors!$F$7+(Positions!$E$16*Positions!$P$16)*Factors!$D$7*Factors!$C$7*Factors!$D$7*Factors!$G$7+(Positions!$E$16*Positions!$P$16)*Factors!$D$7*Factors!$C$8*Factors!$D$8*Factors!$H$7+(Positions!$E$16*Positions!$P$16)*Factors!$D$7*Factors!$C$9*Factors!$D$9*Factors!$I$7+(Positions!$E$16*Positions!$Q$16)*Factors!$D$8*Factors!$C$5*Factors!$D$5*Factors!$E$8+(Positions!$E$16*Positions!$Q$16)*Factors!$D$8*Factors!$C$6*Factors!$D$6*Factors!$F$8+(Positions!$E$16*Positions!$Q$16)*Factors!$D$8*Factors!$C$7*Factors!$D$7*Factors!$G$8+(Positions!$E$16*Positions!$Q$16)*Factors!$D$8*Factors!$C$8*Factors!$D$8*Factors!$H$8+(Positions!$E$16*Positions!$Q$16)*Factors!$D$8*Factors!$C$9*Factors!$D$9*Factors!$I$8+(Positions!$E$16*Positions!$R$16)*Factors!$D$9*Factors!$C$5*Factors!$D$5*Factors!$E$9+(Positions!$E$16*Positions!$R$16)*Factors!$D$9*Factors!$C$6*Factors!$D$6*Factors!$F$9+(Positions!$E$16*Positions!$R$16)*Factors!$D$9*Factors!$C$7*Factors!$D$7*Factors!$G$9+(Positions!$E$16*Positions!$R$16)*Factors!$D$9*Factors!$C$8*Factors!$D$8*Factors!$H$9+(Positions!$E$16*Positions!$R$16)*Factors!$D$9*Factors!$C$9*Factors!$D$9*Factors!$I$9)/(Factors!$C$13*SQRT(Assumptions!$E$6)),0)</f>
        <v/>
      </c>
      <c r="F16" s="14">
        <f>IFERROR(E16/'VaR &amp; ES'!$C$8,0)</f>
        <v/>
      </c>
      <c r="G16" s="16">
        <f>-MIN((Positions!$E$16*Positions!$N$16*Stress!$C$5+Positions!$E$16*Positions!$O$16*Stress!$D$5+Positions!$E$16*Positions!$P$16*Stress!$E$5+Positions!$E$16*Positions!$Q$16*Stress!$F$5+Positions!$E$16*Positions!$R$16*Stress!$G$5),(Positions!$E$16*Positions!$N$16*Stress!$C$6+Positions!$E$16*Positions!$O$16*Stress!$D$6+Positions!$E$16*Positions!$P$16*Stress!$E$6+Positions!$E$16*Positions!$Q$16*Stress!$F$6+Positions!$E$16*Positions!$R$16*Stress!$G$6),(Positions!$E$16*Positions!$N$16*Stress!$C$7+Positions!$E$16*Positions!$O$16*Stress!$D$7+Positions!$E$16*Positions!$P$16*Stress!$E$7+Positions!$E$16*Positions!$Q$16*Stress!$F$7+Positions!$E$16*Positions!$R$16*Stress!$G$7),(Positions!$E$16*Positions!$N$16*Stress!$C$8+Positions!$E$16*Positions!$O$16*Stress!$D$8+Positions!$E$16*Positions!$P$16*Stress!$E$8+Positions!$E$16*Positions!$Q$16*Stress!$F$8+Positions!$E$16*Positions!$R$16*Stress!$G$8),(Positions!$E$16*Positions!$N$16*Stress!$C$9+Positions!$E$16*Positions!$O$16*Stress!$D$9+Positions!$E$16*Positions!$P$16*Stress!$E$9+Positions!$E$16*Positions!$Q$16*Stress!$F$9+Positions!$E$16*Positions!$R$16*Stress!$G$9),(Positions!$E$16*Positions!$N$16*Stress!$C$10+Positions!$E$16*Positions!$O$16*Stress!$D$10+Positions!$E$16*Positions!$P$16*Stress!$E$10+Positions!$E$16*Positions!$Q$16*Stress!$F$10+Positions!$E$16*Positions!$R$16*Stress!$G$10))</f>
        <v/>
      </c>
      <c r="H16" s="16">
        <f>Liquidity!G16</f>
        <v/>
      </c>
      <c r="I16" s="16">
        <f>ABS(E16)+G16+H16</f>
        <v/>
      </c>
      <c r="J16" s="14">
        <f>IFERROR(I16/SUM($I$5:$I$16),0)</f>
        <v/>
      </c>
    </row>
    <row r="18">
      <c r="B18" s="20" t="inlineStr">
        <is>
          <t>Portfolio total</t>
        </is>
      </c>
      <c r="C18" s="21">
        <f>SUM(C5:C16)</f>
        <v/>
      </c>
      <c r="D18" s="21">
        <f>SUM(D5:D16)</f>
        <v/>
      </c>
      <c r="E18" s="21">
        <f>SUM(E5:E16)</f>
        <v/>
      </c>
      <c r="F18" s="25">
        <f>SUM(F5:F16)</f>
        <v/>
      </c>
      <c r="G18" s="21">
        <f>SUM(G5:G16)</f>
        <v/>
      </c>
      <c r="H18" s="21">
        <f>SUM(H5:H16)</f>
        <v/>
      </c>
      <c r="I18" s="21">
        <f>SUM(I5:I16)</f>
        <v/>
      </c>
      <c r="J18" s="25">
        <f>SUM(J5:J16)</f>
        <v/>
      </c>
    </row>
    <row r="20">
      <c r="B20" t="inlineStr">
        <is>
          <t>Component VaR reconciliation</t>
        </is>
      </c>
      <c r="C20" s="16">
        <f>E18-'VaR &amp; ES'!C8</f>
        <v/>
      </c>
      <c r="D20">
        <f>IF(ABS(C20)&lt;0.01,"PASS","REVIEW")</f>
        <v/>
      </c>
    </row>
    <row r="21">
      <c r="B21" t="inlineStr">
        <is>
          <t>Largest risk concentration</t>
        </is>
      </c>
      <c r="C21" s="14">
        <f>MAX(J5:J16)</f>
        <v/>
      </c>
    </row>
    <row r="22">
      <c r="B22" t="inlineStr">
        <is>
          <t>Largest contributor</t>
        </is>
      </c>
      <c r="C22">
        <f>INDEX(B5:B16,MATCH(MAX(J5:J16),J5:J16,0))</f>
        <v/>
      </c>
    </row>
  </sheetData>
  <mergeCells count="1">
    <mergeCell ref="B2:J2"/>
  </mergeCells>
  <conditionalFormatting sqref="D20">
    <cfRule type="expression" priority="1" dxfId="0">
      <formula>D20="PASS"</formula>
    </cfRule>
    <cfRule type="expression" priority="2" dxfId="1">
      <formula>D20="FAIL"</formula>
    </cfRule>
    <cfRule type="expression" priority="3" dxfId="2">
      <formula>D20="REVIEW"</formula>
    </cfRule>
    <cfRule type="expression" priority="4" dxfId="1">
      <formula>D20="BREACH"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</cols>
  <sheetData>
    <row r="2" ht="28" customHeight="1">
      <c r="B2" s="1" t="inlineStr">
        <is>
          <t>Portfolio Stress Matrix</t>
        </is>
      </c>
    </row>
    <row r="4">
      <c r="B4" s="8" t="inlineStr">
        <is>
          <t>Scenario</t>
        </is>
      </c>
      <c r="C4" s="8" t="inlineStr">
        <is>
          <t>Equity</t>
        </is>
      </c>
      <c r="D4" s="8" t="inlineStr">
        <is>
          <t>Rates</t>
        </is>
      </c>
      <c r="E4" s="8" t="inlineStr">
        <is>
          <t>Credit</t>
        </is>
      </c>
      <c r="F4" s="8" t="inlineStr">
        <is>
          <t>FX</t>
        </is>
      </c>
      <c r="G4" s="8" t="inlineStr">
        <is>
          <t>Vol</t>
        </is>
      </c>
      <c r="H4" s="8" t="inlineStr">
        <is>
          <t>Liquidity</t>
        </is>
      </c>
      <c r="I4" s="8" t="inlineStr">
        <is>
          <t>P&amp;L</t>
        </is>
      </c>
    </row>
    <row r="5">
      <c r="B5" t="inlineStr">
        <is>
          <t>Global risk-off</t>
        </is>
      </c>
      <c r="C5" s="13" t="n">
        <v>-0.18</v>
      </c>
      <c r="D5" s="13" t="n">
        <v>-0.015</v>
      </c>
      <c r="E5" s="13" t="n">
        <v>-0.025</v>
      </c>
      <c r="F5" s="13" t="n">
        <v>-0.08</v>
      </c>
      <c r="G5" s="13" t="n">
        <v>0.4</v>
      </c>
      <c r="H5" s="17" t="n">
        <v>0.5</v>
      </c>
      <c r="I5" s="16">
        <f>(Factors!$C$5*C5+Factors!$C$6*D5+Factors!$C$7*E5+Factors!$C$8*F5+Factors!$C$9*G5)-(ABS(Positions!$D$5)*MAX(0,Positions!$M$5-1)+ABS(Positions!$D$6)*MAX(0,Positions!$M$6-1)+ABS(Positions!$D$7)*MAX(0,Positions!$M$7-1)+ABS(Positions!$D$8)*MAX(0,Positions!$M$8-1)+ABS(Positions!$D$9)*MAX(0,Positions!$M$9-1)+ABS(Positions!$D$10)*MAX(0,Positions!$M$10-1)+ABS(Positions!$D$11)*MAX(0,Positions!$M$11-1)+ABS(Positions!$D$12)*MAX(0,Positions!$M$12-1)+ABS(Positions!$D$13)*MAX(0,Positions!$M$13-1)+ABS(Positions!$D$14)*MAX(0,Positions!$M$14-1)+ABS(Positions!$D$15)*MAX(0,Positions!$M$15-1)+ABS(Positions!$D$16)*MAX(0,Positions!$M$16-1))*Assumptions!$E$17*(1-H5)</f>
        <v/>
      </c>
    </row>
    <row r="6">
      <c r="B6" t="inlineStr">
        <is>
          <t>Inflation / rates shock</t>
        </is>
      </c>
      <c r="C6" s="13" t="n">
        <v>-0.08</v>
      </c>
      <c r="D6" s="13" t="n">
        <v>0.025</v>
      </c>
      <c r="E6" s="13" t="n">
        <v>0.012</v>
      </c>
      <c r="F6" s="13" t="n">
        <v>0.05</v>
      </c>
      <c r="G6" s="13" t="n">
        <v>0.2</v>
      </c>
      <c r="H6" s="17" t="n">
        <v>0.7</v>
      </c>
      <c r="I6" s="16">
        <f>(Factors!$C$5*C6+Factors!$C$6*D6+Factors!$C$7*E6+Factors!$C$8*F6+Factors!$C$9*G6)-(ABS(Positions!$D$5)*MAX(0,Positions!$M$5-1)+ABS(Positions!$D$6)*MAX(0,Positions!$M$6-1)+ABS(Positions!$D$7)*MAX(0,Positions!$M$7-1)+ABS(Positions!$D$8)*MAX(0,Positions!$M$8-1)+ABS(Positions!$D$9)*MAX(0,Positions!$M$9-1)+ABS(Positions!$D$10)*MAX(0,Positions!$M$10-1)+ABS(Positions!$D$11)*MAX(0,Positions!$M$11-1)+ABS(Positions!$D$12)*MAX(0,Positions!$M$12-1)+ABS(Positions!$D$13)*MAX(0,Positions!$M$13-1)+ABS(Positions!$D$14)*MAX(0,Positions!$M$14-1)+ABS(Positions!$D$15)*MAX(0,Positions!$M$15-1)+ABS(Positions!$D$16)*MAX(0,Positions!$M$16-1))*Assumptions!$E$17*(1-H6)</f>
        <v/>
      </c>
    </row>
    <row r="7">
      <c r="B7" t="inlineStr">
        <is>
          <t>Credit crisis</t>
        </is>
      </c>
      <c r="C7" s="13" t="n">
        <v>-0.12</v>
      </c>
      <c r="D7" s="13" t="n">
        <v>-0.01</v>
      </c>
      <c r="E7" s="13" t="n">
        <v>-0.05</v>
      </c>
      <c r="F7" s="13" t="n">
        <v>-0.04</v>
      </c>
      <c r="G7" s="13" t="n">
        <v>0.35</v>
      </c>
      <c r="H7" s="17" t="n">
        <v>0.35</v>
      </c>
      <c r="I7" s="16">
        <f>(Factors!$C$5*C7+Factors!$C$6*D7+Factors!$C$7*E7+Factors!$C$8*F7+Factors!$C$9*G7)-(ABS(Positions!$D$5)*MAX(0,Positions!$M$5-1)+ABS(Positions!$D$6)*MAX(0,Positions!$M$6-1)+ABS(Positions!$D$7)*MAX(0,Positions!$M$7-1)+ABS(Positions!$D$8)*MAX(0,Positions!$M$8-1)+ABS(Positions!$D$9)*MAX(0,Positions!$M$9-1)+ABS(Positions!$D$10)*MAX(0,Positions!$M$10-1)+ABS(Positions!$D$11)*MAX(0,Positions!$M$11-1)+ABS(Positions!$D$12)*MAX(0,Positions!$M$12-1)+ABS(Positions!$D$13)*MAX(0,Positions!$M$13-1)+ABS(Positions!$D$14)*MAX(0,Positions!$M$14-1)+ABS(Positions!$D$15)*MAX(0,Positions!$M$15-1)+ABS(Positions!$D$16)*MAX(0,Positions!$M$16-1))*Assumptions!$E$17*(1-H7)</f>
        <v/>
      </c>
    </row>
    <row r="8">
      <c r="B8" t="inlineStr">
        <is>
          <t>Dollar squeeze</t>
        </is>
      </c>
      <c r="C8" s="13" t="n">
        <v>-0.07000000000000001</v>
      </c>
      <c r="D8" s="13" t="n">
        <v>0.01</v>
      </c>
      <c r="E8" s="13" t="n">
        <v>-0.015</v>
      </c>
      <c r="F8" s="13" t="n">
        <v>0.12</v>
      </c>
      <c r="G8" s="13" t="n">
        <v>0.25</v>
      </c>
      <c r="H8" s="17" t="n">
        <v>0.45</v>
      </c>
      <c r="I8" s="16">
        <f>(Factors!$C$5*C8+Factors!$C$6*D8+Factors!$C$7*E8+Factors!$C$8*F8+Factors!$C$9*G8)-(ABS(Positions!$D$5)*MAX(0,Positions!$M$5-1)+ABS(Positions!$D$6)*MAX(0,Positions!$M$6-1)+ABS(Positions!$D$7)*MAX(0,Positions!$M$7-1)+ABS(Positions!$D$8)*MAX(0,Positions!$M$8-1)+ABS(Positions!$D$9)*MAX(0,Positions!$M$9-1)+ABS(Positions!$D$10)*MAX(0,Positions!$M$10-1)+ABS(Positions!$D$11)*MAX(0,Positions!$M$11-1)+ABS(Positions!$D$12)*MAX(0,Positions!$M$12-1)+ABS(Positions!$D$13)*MAX(0,Positions!$M$13-1)+ABS(Positions!$D$14)*MAX(0,Positions!$M$14-1)+ABS(Positions!$D$15)*MAX(0,Positions!$M$15-1)+ABS(Positions!$D$16)*MAX(0,Positions!$M$16-1))*Assumptions!$E$17*(1-H8)</f>
        <v/>
      </c>
    </row>
    <row r="9">
      <c r="B9" t="inlineStr">
        <is>
          <t>Volatility normalization</t>
        </is>
      </c>
      <c r="C9" s="13" t="n">
        <v>0.05</v>
      </c>
      <c r="D9" s="13" t="n">
        <v>0.005</v>
      </c>
      <c r="E9" s="13" t="n">
        <v>0.005</v>
      </c>
      <c r="F9" s="13" t="n">
        <v>0</v>
      </c>
      <c r="G9" s="13" t="n">
        <v>-0.3</v>
      </c>
      <c r="H9" s="17" t="n">
        <v>1</v>
      </c>
      <c r="I9" s="16">
        <f>(Factors!$C$5*C9+Factors!$C$6*D9+Factors!$C$7*E9+Factors!$C$8*F9+Factors!$C$9*G9)-(ABS(Positions!$D$5)*MAX(0,Positions!$M$5-1)+ABS(Positions!$D$6)*MAX(0,Positions!$M$6-1)+ABS(Positions!$D$7)*MAX(0,Positions!$M$7-1)+ABS(Positions!$D$8)*MAX(0,Positions!$M$8-1)+ABS(Positions!$D$9)*MAX(0,Positions!$M$9-1)+ABS(Positions!$D$10)*MAX(0,Positions!$M$10-1)+ABS(Positions!$D$11)*MAX(0,Positions!$M$11-1)+ABS(Positions!$D$12)*MAX(0,Positions!$M$12-1)+ABS(Positions!$D$13)*MAX(0,Positions!$M$13-1)+ABS(Positions!$D$14)*MAX(0,Positions!$M$14-1)+ABS(Positions!$D$15)*MAX(0,Positions!$M$15-1)+ABS(Positions!$D$16)*MAX(0,Positions!$M$16-1))*Assumptions!$E$17*(1-H9)</f>
        <v/>
      </c>
    </row>
    <row r="10">
      <c r="B10" t="inlineStr">
        <is>
          <t>Idiosyncratic concentration</t>
        </is>
      </c>
      <c r="C10" s="13" t="n">
        <v>-0.25</v>
      </c>
      <c r="D10" s="13" t="n">
        <v>0</v>
      </c>
      <c r="E10" s="13" t="n">
        <v>-0.01</v>
      </c>
      <c r="F10" s="13" t="n">
        <v>0</v>
      </c>
      <c r="G10" s="13" t="n">
        <v>0.2</v>
      </c>
      <c r="H10" s="17" t="n">
        <v>0.3</v>
      </c>
      <c r="I10" s="16">
        <f>(Factors!$C$5*C10+Factors!$C$6*D10+Factors!$C$7*E10+Factors!$C$8*F10+Factors!$C$9*G10)-(ABS(Positions!$D$5)*MAX(0,Positions!$M$5-1)+ABS(Positions!$D$6)*MAX(0,Positions!$M$6-1)+ABS(Positions!$D$7)*MAX(0,Positions!$M$7-1)+ABS(Positions!$D$8)*MAX(0,Positions!$M$8-1)+ABS(Positions!$D$9)*MAX(0,Positions!$M$9-1)+ABS(Positions!$D$10)*MAX(0,Positions!$M$10-1)+ABS(Positions!$D$11)*MAX(0,Positions!$M$11-1)+ABS(Positions!$D$12)*MAX(0,Positions!$M$12-1)+ABS(Positions!$D$13)*MAX(0,Positions!$M$13-1)+ABS(Positions!$D$14)*MAX(0,Positions!$M$14-1)+ABS(Positions!$D$15)*MAX(0,Positions!$M$15-1)+ABS(Positions!$D$16)*MAX(0,Positions!$M$16-1))*Assumptions!$E$17*(1-H10)</f>
        <v/>
      </c>
    </row>
  </sheetData>
  <mergeCells count="1">
    <mergeCell ref="B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H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2" customWidth="1" min="4" max="4"/>
    <col width="20" customWidth="1" min="5" max="5"/>
    <col width="14" customWidth="1" min="6" max="6"/>
    <col width="16" customWidth="1" min="7" max="7"/>
    <col width="12" customWidth="1" min="8" max="8"/>
  </cols>
  <sheetData>
    <row r="2" ht="28" customHeight="1">
      <c r="B2" s="1" t="inlineStr">
        <is>
          <t>Liquidity and Liquidation Cost</t>
        </is>
      </c>
    </row>
    <row r="4">
      <c r="B4" s="8" t="inlineStr">
        <is>
          <t>Instrument</t>
        </is>
      </c>
      <c r="C4" s="8" t="inlineStr">
        <is>
          <t>Gross notional</t>
        </is>
      </c>
      <c r="D4" s="8" t="inlineStr">
        <is>
          <t>Days</t>
        </is>
      </c>
      <c r="E4" s="8" t="inlineStr">
        <is>
          <t>ADV participation proxy</t>
        </is>
      </c>
      <c r="F4" s="8" t="inlineStr">
        <is>
          <t>Impact loss</t>
        </is>
      </c>
      <c r="G4" s="8" t="inlineStr">
        <is>
          <t>Liquidation loss</t>
        </is>
      </c>
      <c r="H4" s="8" t="inlineStr">
        <is>
          <t>Illiquid?</t>
        </is>
      </c>
    </row>
    <row r="5">
      <c r="B5">
        <f>Positions!B5</f>
        <v/>
      </c>
      <c r="C5" s="16">
        <f>ABS(Positions!E5)</f>
        <v/>
      </c>
      <c r="D5">
        <f>Positions!M5</f>
        <v/>
      </c>
      <c r="E5" s="14">
        <f>MIN(1,C5/MAX(1,Assumptions!$E$18)/MAX(1,D5))</f>
        <v/>
      </c>
      <c r="F5" s="14">
        <f>Assumptions!$E$17*E5^1.5</f>
        <v/>
      </c>
      <c r="G5" s="16">
        <f>C5*F5</f>
        <v/>
      </c>
      <c r="H5">
        <f>IF(D5&gt;5,"YES","NO")</f>
        <v/>
      </c>
    </row>
    <row r="6">
      <c r="B6">
        <f>Positions!B6</f>
        <v/>
      </c>
      <c r="C6" s="16">
        <f>ABS(Positions!E6)</f>
        <v/>
      </c>
      <c r="D6">
        <f>Positions!M6</f>
        <v/>
      </c>
      <c r="E6" s="14">
        <f>MIN(1,C6/MAX(1,Assumptions!$E$18)/MAX(1,D6))</f>
        <v/>
      </c>
      <c r="F6" s="14">
        <f>Assumptions!$E$17*E6^1.5</f>
        <v/>
      </c>
      <c r="G6" s="16">
        <f>C6*F6</f>
        <v/>
      </c>
      <c r="H6">
        <f>IF(D6&gt;5,"YES","NO")</f>
        <v/>
      </c>
    </row>
    <row r="7">
      <c r="B7">
        <f>Positions!B7</f>
        <v/>
      </c>
      <c r="C7" s="16">
        <f>ABS(Positions!E7)</f>
        <v/>
      </c>
      <c r="D7">
        <f>Positions!M7</f>
        <v/>
      </c>
      <c r="E7" s="14">
        <f>MIN(1,C7/MAX(1,Assumptions!$E$18)/MAX(1,D7))</f>
        <v/>
      </c>
      <c r="F7" s="14">
        <f>Assumptions!$E$17*E7^1.5</f>
        <v/>
      </c>
      <c r="G7" s="16">
        <f>C7*F7</f>
        <v/>
      </c>
      <c r="H7">
        <f>IF(D7&gt;5,"YES","NO")</f>
        <v/>
      </c>
    </row>
    <row r="8">
      <c r="B8">
        <f>Positions!B8</f>
        <v/>
      </c>
      <c r="C8" s="16">
        <f>ABS(Positions!E8)</f>
        <v/>
      </c>
      <c r="D8">
        <f>Positions!M8</f>
        <v/>
      </c>
      <c r="E8" s="14">
        <f>MIN(1,C8/MAX(1,Assumptions!$E$18)/MAX(1,D8))</f>
        <v/>
      </c>
      <c r="F8" s="14">
        <f>Assumptions!$E$17*E8^1.5</f>
        <v/>
      </c>
      <c r="G8" s="16">
        <f>C8*F8</f>
        <v/>
      </c>
      <c r="H8">
        <f>IF(D8&gt;5,"YES","NO")</f>
        <v/>
      </c>
    </row>
    <row r="9">
      <c r="B9">
        <f>Positions!B9</f>
        <v/>
      </c>
      <c r="C9" s="16">
        <f>ABS(Positions!E9)</f>
        <v/>
      </c>
      <c r="D9">
        <f>Positions!M9</f>
        <v/>
      </c>
      <c r="E9" s="14">
        <f>MIN(1,C9/MAX(1,Assumptions!$E$18)/MAX(1,D9))</f>
        <v/>
      </c>
      <c r="F9" s="14">
        <f>Assumptions!$E$17*E9^1.5</f>
        <v/>
      </c>
      <c r="G9" s="16">
        <f>C9*F9</f>
        <v/>
      </c>
      <c r="H9">
        <f>IF(D9&gt;5,"YES","NO")</f>
        <v/>
      </c>
    </row>
    <row r="10">
      <c r="B10">
        <f>Positions!B10</f>
        <v/>
      </c>
      <c r="C10" s="16">
        <f>ABS(Positions!E10)</f>
        <v/>
      </c>
      <c r="D10">
        <f>Positions!M10</f>
        <v/>
      </c>
      <c r="E10" s="14">
        <f>MIN(1,C10/MAX(1,Assumptions!$E$18)/MAX(1,D10))</f>
        <v/>
      </c>
      <c r="F10" s="14">
        <f>Assumptions!$E$17*E10^1.5</f>
        <v/>
      </c>
      <c r="G10" s="16">
        <f>C10*F10</f>
        <v/>
      </c>
      <c r="H10">
        <f>IF(D10&gt;5,"YES","NO")</f>
        <v/>
      </c>
    </row>
    <row r="11">
      <c r="B11">
        <f>Positions!B11</f>
        <v/>
      </c>
      <c r="C11" s="16">
        <f>ABS(Positions!E11)</f>
        <v/>
      </c>
      <c r="D11">
        <f>Positions!M11</f>
        <v/>
      </c>
      <c r="E11" s="14">
        <f>MIN(1,C11/MAX(1,Assumptions!$E$18)/MAX(1,D11))</f>
        <v/>
      </c>
      <c r="F11" s="14">
        <f>Assumptions!$E$17*E11^1.5</f>
        <v/>
      </c>
      <c r="G11" s="16">
        <f>C11*F11</f>
        <v/>
      </c>
      <c r="H11">
        <f>IF(D11&gt;5,"YES","NO")</f>
        <v/>
      </c>
    </row>
    <row r="12">
      <c r="B12">
        <f>Positions!B12</f>
        <v/>
      </c>
      <c r="C12" s="16">
        <f>ABS(Positions!E12)</f>
        <v/>
      </c>
      <c r="D12">
        <f>Positions!M12</f>
        <v/>
      </c>
      <c r="E12" s="14">
        <f>MIN(1,C12/MAX(1,Assumptions!$E$18)/MAX(1,D12))</f>
        <v/>
      </c>
      <c r="F12" s="14">
        <f>Assumptions!$E$17*E12^1.5</f>
        <v/>
      </c>
      <c r="G12" s="16">
        <f>C12*F12</f>
        <v/>
      </c>
      <c r="H12">
        <f>IF(D12&gt;5,"YES","NO")</f>
        <v/>
      </c>
    </row>
    <row r="13">
      <c r="B13">
        <f>Positions!B13</f>
        <v/>
      </c>
      <c r="C13" s="16">
        <f>ABS(Positions!E13)</f>
        <v/>
      </c>
      <c r="D13">
        <f>Positions!M13</f>
        <v/>
      </c>
      <c r="E13" s="14">
        <f>MIN(1,C13/MAX(1,Assumptions!$E$18)/MAX(1,D13))</f>
        <v/>
      </c>
      <c r="F13" s="14">
        <f>Assumptions!$E$17*E13^1.5</f>
        <v/>
      </c>
      <c r="G13" s="16">
        <f>C13*F13</f>
        <v/>
      </c>
      <c r="H13">
        <f>IF(D13&gt;5,"YES","NO")</f>
        <v/>
      </c>
    </row>
    <row r="14">
      <c r="B14">
        <f>Positions!B14</f>
        <v/>
      </c>
      <c r="C14" s="16">
        <f>ABS(Positions!E14)</f>
        <v/>
      </c>
      <c r="D14">
        <f>Positions!M14</f>
        <v/>
      </c>
      <c r="E14" s="14">
        <f>MIN(1,C14/MAX(1,Assumptions!$E$18)/MAX(1,D14))</f>
        <v/>
      </c>
      <c r="F14" s="14">
        <f>Assumptions!$E$17*E14^1.5</f>
        <v/>
      </c>
      <c r="G14" s="16">
        <f>C14*F14</f>
        <v/>
      </c>
      <c r="H14">
        <f>IF(D14&gt;5,"YES","NO")</f>
        <v/>
      </c>
    </row>
    <row r="15">
      <c r="B15">
        <f>Positions!B15</f>
        <v/>
      </c>
      <c r="C15" s="16">
        <f>ABS(Positions!E15)</f>
        <v/>
      </c>
      <c r="D15">
        <f>Positions!M15</f>
        <v/>
      </c>
      <c r="E15" s="14">
        <f>MIN(1,C15/MAX(1,Assumptions!$E$18)/MAX(1,D15))</f>
        <v/>
      </c>
      <c r="F15" s="14">
        <f>Assumptions!$E$17*E15^1.5</f>
        <v/>
      </c>
      <c r="G15" s="16">
        <f>C15*F15</f>
        <v/>
      </c>
      <c r="H15">
        <f>IF(D15&gt;5,"YES","NO")</f>
        <v/>
      </c>
    </row>
    <row r="16">
      <c r="B16">
        <f>Positions!B16</f>
        <v/>
      </c>
      <c r="C16" s="16">
        <f>ABS(Positions!E16)</f>
        <v/>
      </c>
      <c r="D16">
        <f>Positions!M16</f>
        <v/>
      </c>
      <c r="E16" s="14">
        <f>MIN(1,C16/MAX(1,Assumptions!$E$18)/MAX(1,D16))</f>
        <v/>
      </c>
      <c r="F16" s="14">
        <f>Assumptions!$E$17*E16^1.5</f>
        <v/>
      </c>
      <c r="G16" s="16">
        <f>C16*F16</f>
        <v/>
      </c>
      <c r="H16">
        <f>IF(D16&gt;5,"YES","NO")</f>
        <v/>
      </c>
    </row>
    <row r="19">
      <c r="B19" t="inlineStr">
        <is>
          <t>Illiquid gross notional</t>
        </is>
      </c>
      <c r="C19" s="16">
        <f>SUMIF(H5:H16,"YES",C5:C16)</f>
        <v/>
      </c>
    </row>
    <row r="20">
      <c r="B20" t="inlineStr">
        <is>
          <t>Illiquid NAV ratio</t>
        </is>
      </c>
      <c r="C20" s="14">
        <f>C19/Assumptions!E18</f>
        <v/>
      </c>
    </row>
    <row r="21">
      <c r="B21" t="inlineStr">
        <is>
          <t>Total modeled liquidation loss</t>
        </is>
      </c>
      <c r="C21" s="16">
        <f>SUM(G5:G16)</f>
        <v/>
      </c>
    </row>
  </sheetData>
  <mergeCells count="1">
    <mergeCell ref="B2:H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6" customWidth="1" min="3" max="3"/>
    <col width="14" customWidth="1" min="4" max="4"/>
    <col width="18" customWidth="1" min="5" max="5"/>
    <col width="18" customWidth="1" min="6" max="6"/>
    <col width="18" customWidth="1" min="7" max="7"/>
    <col width="32" customWidth="1" min="8" max="8"/>
  </cols>
  <sheetData>
    <row r="2" ht="28" customHeight="1">
      <c r="B2" s="1" t="inlineStr">
        <is>
          <t>Daily P&amp;L Explain</t>
        </is>
      </c>
    </row>
    <row r="4">
      <c r="B4" s="8" t="inlineStr">
        <is>
          <t>Driver</t>
        </is>
      </c>
      <c r="C4" s="8" t="inlineStr">
        <is>
          <t>Exposure</t>
        </is>
      </c>
      <c r="D4" s="8" t="inlineStr">
        <is>
          <t>Move</t>
        </is>
      </c>
      <c r="E4" s="8" t="inlineStr">
        <is>
          <t>First-order P&amp;L</t>
        </is>
      </c>
      <c r="F4" s="8" t="inlineStr">
        <is>
          <t>Convexity / residual</t>
        </is>
      </c>
      <c r="G4" s="8" t="inlineStr">
        <is>
          <t>Explained P&amp;L</t>
        </is>
      </c>
      <c r="H4" s="8" t="inlineStr">
        <is>
          <t>Notes</t>
        </is>
      </c>
    </row>
    <row r="5">
      <c r="B5" t="inlineStr">
        <is>
          <t>Equity</t>
        </is>
      </c>
      <c r="C5" s="16">
        <f>Factors!C5</f>
        <v/>
      </c>
      <c r="D5" s="13" t="n">
        <v>-0.012</v>
      </c>
      <c r="E5" s="16">
        <f>C5*D5</f>
        <v/>
      </c>
      <c r="F5" s="15" t="n">
        <v>0.5</v>
      </c>
      <c r="G5" s="16">
        <f>E5+F5</f>
        <v/>
      </c>
      <c r="H5" t="inlineStr">
        <is>
          <t>delta/beta</t>
        </is>
      </c>
    </row>
    <row r="6">
      <c r="B6" t="inlineStr">
        <is>
          <t>Rates</t>
        </is>
      </c>
      <c r="C6" s="16">
        <f>Factors!C6</f>
        <v/>
      </c>
      <c r="D6" s="13" t="n">
        <v>0.0015</v>
      </c>
      <c r="E6" s="16">
        <f>C6*D6</f>
        <v/>
      </c>
      <c r="F6" s="15" t="n">
        <v>0</v>
      </c>
      <c r="G6" s="16">
        <f>E6+F6</f>
        <v/>
      </c>
      <c r="H6" t="inlineStr">
        <is>
          <t>duration</t>
        </is>
      </c>
    </row>
    <row r="7">
      <c r="B7" t="inlineStr">
        <is>
          <t>Credit</t>
        </is>
      </c>
      <c r="C7" s="16">
        <f>Factors!C7</f>
        <v/>
      </c>
      <c r="D7" s="13" t="n">
        <v>0.002</v>
      </c>
      <c r="E7" s="16">
        <f>C7*D7</f>
        <v/>
      </c>
      <c r="F7" s="15" t="n">
        <v>0</v>
      </c>
      <c r="G7" s="16">
        <f>E7+F7</f>
        <v/>
      </c>
      <c r="H7" t="inlineStr">
        <is>
          <t>spread duration</t>
        </is>
      </c>
    </row>
    <row r="8">
      <c r="B8" t="inlineStr">
        <is>
          <t>FX</t>
        </is>
      </c>
      <c r="C8" s="16">
        <f>Factors!C8</f>
        <v/>
      </c>
      <c r="D8" s="13" t="n">
        <v>-0.006</v>
      </c>
      <c r="E8" s="16">
        <f>C8*D8</f>
        <v/>
      </c>
      <c r="F8" s="15" t="n">
        <v>0</v>
      </c>
      <c r="G8" s="16">
        <f>E8+F8</f>
        <v/>
      </c>
      <c r="H8" t="inlineStr">
        <is>
          <t>currency delta</t>
        </is>
      </c>
    </row>
    <row r="9">
      <c r="B9" t="inlineStr">
        <is>
          <t>Volatility</t>
        </is>
      </c>
      <c r="C9" s="16">
        <f>Factors!C9</f>
        <v/>
      </c>
      <c r="D9" s="13" t="n">
        <v>0.025</v>
      </c>
      <c r="E9" s="16">
        <f>C9*D9</f>
        <v/>
      </c>
      <c r="F9" s="15" t="n">
        <v>0.8</v>
      </c>
      <c r="G9" s="16">
        <f>E9+F9</f>
        <v/>
      </c>
      <c r="H9" t="inlineStr">
        <is>
          <t>vega / convexity</t>
        </is>
      </c>
    </row>
    <row r="12">
      <c r="B12" t="inlineStr">
        <is>
          <t>Explained P&amp;L</t>
        </is>
      </c>
      <c r="G12" s="16">
        <f>SUM(G5:G9)</f>
        <v/>
      </c>
    </row>
    <row r="13">
      <c r="B13" t="inlineStr">
        <is>
          <t>Actual P&amp;L</t>
        </is>
      </c>
      <c r="G13" s="15" t="n">
        <v>-1.5</v>
      </c>
    </row>
    <row r="14">
      <c r="B14" t="inlineStr">
        <is>
          <t>Unexplained P&amp;L</t>
        </is>
      </c>
      <c r="G14" s="16">
        <f>G13-G12</f>
        <v/>
      </c>
    </row>
  </sheetData>
  <mergeCells count="1">
    <mergeCell ref="B2:H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F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8" customWidth="1" min="4" max="4"/>
    <col width="18" customWidth="1" min="5" max="5"/>
    <col width="14" customWidth="1" min="6" max="6"/>
  </cols>
  <sheetData>
    <row r="2" ht="28" customHeight="1">
      <c r="B2" s="1" t="inlineStr">
        <is>
          <t>Risk Limit Dashboard</t>
        </is>
      </c>
    </row>
    <row r="4">
      <c r="B4" s="8" t="inlineStr">
        <is>
          <t>Limit</t>
        </is>
      </c>
      <c r="C4" s="8" t="inlineStr">
        <is>
          <t>Actual</t>
        </is>
      </c>
      <c r="D4" s="8" t="inlineStr">
        <is>
          <t>Threshold</t>
        </is>
      </c>
      <c r="E4" s="8" t="inlineStr">
        <is>
          <t>Headroom</t>
        </is>
      </c>
      <c r="F4" s="8" t="inlineStr">
        <is>
          <t>Status</t>
        </is>
      </c>
    </row>
    <row r="5">
      <c r="B5" t="inlineStr">
        <is>
          <t>One-day VaR</t>
        </is>
      </c>
      <c r="C5" s="16">
        <f>'VaR &amp; ES'!C8</f>
        <v/>
      </c>
      <c r="D5" s="16">
        <f>Assumptions!E12</f>
        <v/>
      </c>
      <c r="E5" s="16">
        <f>D5-C5</f>
        <v/>
      </c>
      <c r="F5">
        <f>IF(C5&lt;=D5,"PASS","BREACH")</f>
        <v/>
      </c>
    </row>
    <row r="6">
      <c r="B6" t="inlineStr">
        <is>
          <t>Worst stress loss</t>
        </is>
      </c>
      <c r="C6" s="16">
        <f>-MIN(Stress!I5:I10)</f>
        <v/>
      </c>
      <c r="D6" s="16">
        <f>Assumptions!E13</f>
        <v/>
      </c>
      <c r="E6" s="16">
        <f>D6-C6</f>
        <v/>
      </c>
      <c r="F6">
        <f>IF(C6&lt;=D6,"PASS","BREACH")</f>
        <v/>
      </c>
    </row>
    <row r="7">
      <c r="B7" t="inlineStr">
        <is>
          <t>Illiquid NAV</t>
        </is>
      </c>
      <c r="C7" s="14">
        <f>Liquidity!C20</f>
        <v/>
      </c>
      <c r="D7" s="14">
        <f>Assumptions!E14</f>
        <v/>
      </c>
      <c r="E7" s="14">
        <f>D7-C7</f>
        <v/>
      </c>
      <c r="F7">
        <f>IF(C7&lt;=D7,"PASS","BREACH")</f>
        <v/>
      </c>
    </row>
    <row r="8">
      <c r="B8" t="inlineStr">
        <is>
          <t>Single-name concentration</t>
        </is>
      </c>
      <c r="C8" s="14">
        <f>MAX(ABS(Positions!D5:D16))/Assumptions!E18</f>
        <v/>
      </c>
      <c r="D8" s="14">
        <f>Assumptions!E15</f>
        <v/>
      </c>
      <c r="E8" s="14">
        <f>D8-C8</f>
        <v/>
      </c>
      <c r="F8">
        <f>IF(C8&lt;=D8,"PASS","BREACH")</f>
        <v/>
      </c>
    </row>
    <row r="9">
      <c r="B9" t="inlineStr">
        <is>
          <t>Gross leverage</t>
        </is>
      </c>
      <c r="C9" s="18">
        <f>SUM(ABS(Positions!E5:E16))/Assumptions!E18</f>
        <v/>
      </c>
      <c r="D9" s="18">
        <f>Assumptions!E16</f>
        <v/>
      </c>
      <c r="E9" s="18">
        <f>D9-C9</f>
        <v/>
      </c>
      <c r="F9">
        <f>IF(C9&lt;=D9,"PASS","BREACH")</f>
        <v/>
      </c>
    </row>
    <row r="10">
      <c r="B10" t="inlineStr">
        <is>
          <t>Unexplained P&amp;L</t>
        </is>
      </c>
      <c r="C10" s="16">
        <f>ABS('P&amp;L Explain'!G14)</f>
        <v/>
      </c>
      <c r="D10" s="15" t="n">
        <v>5</v>
      </c>
      <c r="E10" s="16">
        <f>D10-C10</f>
        <v/>
      </c>
      <c r="F10">
        <f>IF(C10&lt;=D10,"PASS","BREACH")</f>
        <v/>
      </c>
    </row>
  </sheetData>
  <mergeCells count="1">
    <mergeCell ref="B2:F2"/>
  </mergeCells>
  <conditionalFormatting sqref="F5:F10">
    <cfRule type="expression" priority="1" dxfId="0">
      <formula>F5="PASS"</formula>
    </cfRule>
    <cfRule type="expression" priority="2" dxfId="1">
      <formula>F5="FAIL"</formula>
    </cfRule>
    <cfRule type="expression" priority="3" dxfId="2">
      <formula>F5="REVIEW"</formula>
    </cfRule>
    <cfRule type="expression" priority="4" dxfId="1">
      <formula>F5="BREACH"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8" customWidth="1" min="3" max="3"/>
  </cols>
  <sheetData>
    <row r="2" ht="28" customHeight="1">
      <c r="B2" s="1" t="inlineStr">
        <is>
          <t>Risk Model Checks</t>
        </is>
      </c>
    </row>
    <row r="4">
      <c r="B4" s="8" t="inlineStr">
        <is>
          <t>Check</t>
        </is>
      </c>
      <c r="C4" s="8" t="inlineStr">
        <is>
          <t>Status</t>
        </is>
      </c>
    </row>
    <row r="5">
      <c r="B5" t="inlineStr">
        <is>
          <t>Correlation diagonal equals one</t>
        </is>
      </c>
      <c r="C5">
        <f>IF(AND(Factors!E5=1,Factors!F6=1,Factors!G7=1,Factors!H8=1,Factors!I9=1),"PASS","FAIL")</f>
        <v/>
      </c>
    </row>
    <row r="6">
      <c r="B6" t="inlineStr">
        <is>
          <t>Correlation matrix bounded</t>
        </is>
      </c>
      <c r="C6">
        <f>IF(AND(MIN(Factors!E5:I9)&gt;=-1,MAX(Factors!E5:I9)&lt;=1),"PASS","FAIL")</f>
        <v/>
      </c>
    </row>
    <row r="7">
      <c r="B7" t="inlineStr">
        <is>
          <t>Portfolio variance nonnegative</t>
        </is>
      </c>
      <c r="C7">
        <f>IF(Factors!C12&gt;=0,"PASS","FAIL")</f>
        <v/>
      </c>
    </row>
    <row r="8">
      <c r="B8" t="inlineStr">
        <is>
          <t>VaR and ES positive</t>
        </is>
      </c>
      <c r="C8">
        <f>IF(AND('VaR &amp; ES'!C8&gt;=0,'VaR &amp; ES'!C9&gt;='VaR &amp; ES'!C8),"PASS","FAIL")</f>
        <v/>
      </c>
    </row>
    <row r="9">
      <c r="B9" t="inlineStr">
        <is>
          <t>No risk limit breaches</t>
        </is>
      </c>
      <c r="C9">
        <f>IF(COUNTIF(Limits!F5:F10,"BREACH")=0,"PASS","REVIEW")</f>
        <v/>
      </c>
    </row>
    <row r="10">
      <c r="B10" t="inlineStr">
        <is>
          <t>Liquidity loss nonnegative</t>
        </is>
      </c>
      <c r="C10">
        <f>IF(Liquidity!C21&gt;=0,"PASS","FAIL")</f>
        <v/>
      </c>
    </row>
    <row r="11">
      <c r="B11" t="inlineStr">
        <is>
          <t>Position inventory populated</t>
        </is>
      </c>
      <c r="C11">
        <f>IF(COUNTA(Positions!B5:B16)=12,"PASS","FAIL")</f>
        <v/>
      </c>
    </row>
    <row r="12">
      <c r="B12" t="inlineStr">
        <is>
          <t>P&amp;L explain complete</t>
        </is>
      </c>
      <c r="C12">
        <f>IF(COUNT('P&amp;L Explain'!G5:G9)=5,"PASS","FAIL")</f>
        <v/>
      </c>
    </row>
    <row r="13">
      <c r="B13" t="inlineStr">
        <is>
          <t>Overall</t>
        </is>
      </c>
      <c r="C13">
        <f>IF(COUNTIF(C5:C12,"FAIL")=0,"PASS","FAIL")</f>
        <v/>
      </c>
    </row>
  </sheetData>
  <mergeCells count="1">
    <mergeCell ref="B2:C2"/>
  </mergeCells>
  <conditionalFormatting sqref="C5:C13">
    <cfRule type="expression" priority="1" dxfId="0">
      <formula>C5="PASS"</formula>
    </cfRule>
    <cfRule type="expression" priority="2" dxfId="1">
      <formula>C5="FAIL"</formula>
    </cfRule>
    <cfRule type="expression" priority="3" dxfId="2">
      <formula>C5="REVIEW"</formula>
    </cfRule>
    <cfRule type="expression" priority="4" dxfId="1">
      <formula>C5="BREACH"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58" customWidth="1" min="3" max="3"/>
    <col width="16" customWidth="1" min="4" max="4"/>
    <col width="48" customWidth="1" min="5" max="5"/>
  </cols>
  <sheetData>
    <row r="2" ht="28" customHeight="1">
      <c r="B2" s="1" t="inlineStr">
        <is>
          <t>Source Register</t>
        </is>
      </c>
    </row>
    <row r="4">
      <c r="B4" s="8" t="inlineStr">
        <is>
          <t>Input / dataset</t>
        </is>
      </c>
      <c r="C4" s="8" t="inlineStr">
        <is>
          <t>Source URL or document</t>
        </is>
      </c>
      <c r="D4" s="8" t="inlineStr">
        <is>
          <t>As-of</t>
        </is>
      </c>
      <c r="E4" s="8" t="inlineStr">
        <is>
          <t>Notes / transformation</t>
        </is>
      </c>
    </row>
    <row r="5">
      <c r="B5" s="23" t="inlineStr">
        <is>
          <t>Position and market-value feed</t>
        </is>
      </c>
      <c r="C5" s="23" t="inlineStr">
        <is>
          <t>[OMS / risk source]</t>
        </is>
      </c>
      <c r="D5" s="23" t="inlineStr">
        <is>
          <t>[timestamp]</t>
        </is>
      </c>
      <c r="E5" s="23" t="inlineStr">
        <is>
          <t>Reconcile to books and records</t>
        </is>
      </c>
    </row>
    <row r="6">
      <c r="B6" s="23" t="inlineStr">
        <is>
          <t>Factor and covariance calibration</t>
        </is>
      </c>
      <c r="C6" s="23" t="inlineStr">
        <is>
          <t>[model dataset URL]</t>
        </is>
      </c>
      <c r="D6" s="23" t="inlineStr">
        <is>
          <t>[window]</t>
        </is>
      </c>
      <c r="E6" s="23" t="inlineStr">
        <is>
          <t>Document decay, winsorization, and regime treatment</t>
        </is>
      </c>
    </row>
    <row r="7">
      <c r="B7" s="23" t="inlineStr">
        <is>
          <t>Curve, spread, volatility, and FX data</t>
        </is>
      </c>
      <c r="C7" s="23" t="inlineStr">
        <is>
          <t>[market data URL]</t>
        </is>
      </c>
      <c r="D7" s="23" t="inlineStr">
        <is>
          <t>[timestamp]</t>
        </is>
      </c>
      <c r="E7" s="23" t="inlineStr">
        <is>
          <t>Record interpolation and stale-data policy</t>
        </is>
      </c>
    </row>
    <row r="8">
      <c r="B8" s="23" t="inlineStr">
        <is>
          <t>Liquidity and ADV data</t>
        </is>
      </c>
      <c r="C8" s="23" t="inlineStr">
        <is>
          <t>[venue / vendor source]</t>
        </is>
      </c>
      <c r="D8" s="23" t="inlineStr">
        <is>
          <t>[period]</t>
        </is>
      </c>
      <c r="E8" s="23" t="inlineStr">
        <is>
          <t>Document liquidation horizon and impact calibration</t>
        </is>
      </c>
    </row>
    <row r="9">
      <c r="B9" s="23" t="inlineStr">
        <is>
          <t>Risk limit policy</t>
        </is>
      </c>
      <c r="C9" s="23" t="inlineStr">
        <is>
          <t>[approved policy URL]</t>
        </is>
      </c>
      <c r="D9" s="23" t="inlineStr">
        <is>
          <t>[effective date]</t>
        </is>
      </c>
      <c r="E9" s="23" t="inlineStr">
        <is>
          <t>Thresholds, escalation, exceptions, and ownership</t>
        </is>
      </c>
    </row>
  </sheetData>
  <mergeCells count="1">
    <mergeCell ref="B2:E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28" customWidth="1" min="4" max="4"/>
    <col width="38" customWidth="1" min="5" max="5"/>
    <col width="34" customWidth="1" min="6" max="6"/>
    <col width="18" customWidth="1" min="7" max="7"/>
  </cols>
  <sheetData>
    <row r="2" ht="28" customHeight="1">
      <c r="B2" s="1" t="inlineStr">
        <is>
          <t>Refresh Log</t>
        </is>
      </c>
    </row>
    <row r="4">
      <c r="B4" s="8" t="inlineStr">
        <is>
          <t>Date</t>
        </is>
      </c>
      <c r="C4" s="8" t="inlineStr">
        <is>
          <t>Trigger</t>
        </is>
      </c>
      <c r="D4" s="8" t="inlineStr">
        <is>
          <t>Source snapshot</t>
        </is>
      </c>
      <c r="E4" s="8" t="inlineStr">
        <is>
          <t>What changed</t>
        </is>
      </c>
      <c r="F4" s="8" t="inlineStr">
        <is>
          <t>Reviewer / challenge</t>
        </is>
      </c>
      <c r="G4" s="8" t="inlineStr">
        <is>
          <t>Next check</t>
        </is>
      </c>
    </row>
    <row r="5">
      <c r="B5" s="24" t="n"/>
      <c r="C5" s="24" t="n"/>
      <c r="D5" s="24" t="n"/>
      <c r="E5" s="24" t="n"/>
      <c r="F5" s="24" t="n"/>
      <c r="G5" s="24" t="n"/>
    </row>
    <row r="6">
      <c r="B6" s="24" t="n"/>
      <c r="C6" s="24" t="n"/>
      <c r="D6" s="24" t="n"/>
      <c r="E6" s="24" t="n"/>
      <c r="F6" s="24" t="n"/>
      <c r="G6" s="24" t="n"/>
    </row>
    <row r="7">
      <c r="B7" s="24" t="n"/>
      <c r="C7" s="24" t="n"/>
      <c r="D7" s="24" t="n"/>
      <c r="E7" s="24" t="n"/>
      <c r="F7" s="24" t="n"/>
      <c r="G7" s="24" t="n"/>
    </row>
    <row r="8">
      <c r="B8" s="24" t="n"/>
      <c r="C8" s="24" t="n"/>
      <c r="D8" s="24" t="n"/>
      <c r="E8" s="24" t="n"/>
      <c r="F8" s="24" t="n"/>
      <c r="G8" s="24" t="n"/>
    </row>
    <row r="9">
      <c r="B9" s="24" t="n"/>
      <c r="C9" s="24" t="n"/>
      <c r="D9" s="24" t="n"/>
      <c r="E9" s="24" t="n"/>
      <c r="F9" s="24" t="n"/>
      <c r="G9" s="24" t="n"/>
    </row>
    <row r="10">
      <c r="B10" s="24" t="n"/>
      <c r="C10" s="24" t="n"/>
      <c r="D10" s="24" t="n"/>
      <c r="E10" s="24" t="n"/>
      <c r="F10" s="24" t="n"/>
      <c r="G10" s="24" t="n"/>
    </row>
    <row r="11">
      <c r="B11" s="24" t="n"/>
      <c r="C11" s="24" t="n"/>
      <c r="D11" s="24" t="n"/>
      <c r="E11" s="24" t="n"/>
      <c r="F11" s="24" t="n"/>
      <c r="G11" s="24" t="n"/>
    </row>
    <row r="12">
      <c r="B12" s="24" t="n"/>
      <c r="C12" s="24" t="n"/>
      <c r="D12" s="24" t="n"/>
      <c r="E12" s="24" t="n"/>
      <c r="F12" s="24" t="n"/>
      <c r="G12" s="24" t="n"/>
    </row>
    <row r="13">
      <c r="B13" s="24" t="n"/>
      <c r="C13" s="24" t="n"/>
      <c r="D13" s="24" t="n"/>
      <c r="E13" s="24" t="n"/>
      <c r="F13" s="24" t="n"/>
      <c r="G13" s="24" t="n"/>
    </row>
    <row r="14">
      <c r="B14" s="24" t="n"/>
      <c r="C14" s="24" t="n"/>
      <c r="D14" s="24" t="n"/>
      <c r="E14" s="24" t="n"/>
      <c r="F14" s="24" t="n"/>
      <c r="G14" s="24" t="n"/>
    </row>
    <row r="15">
      <c r="B15" s="24" t="n"/>
      <c r="C15" s="24" t="n"/>
      <c r="D15" s="24" t="n"/>
      <c r="E15" s="24" t="n"/>
      <c r="F15" s="24" t="n"/>
      <c r="G15" s="24" t="n"/>
    </row>
    <row r="16">
      <c r="B16" s="24" t="n"/>
      <c r="C16" s="24" t="n"/>
      <c r="D16" s="24" t="n"/>
      <c r="E16" s="24" t="n"/>
      <c r="F16" s="24" t="n"/>
      <c r="G16" s="24" t="n"/>
    </row>
    <row r="17">
      <c r="B17" s="24" t="n"/>
      <c r="C17" s="24" t="n"/>
      <c r="D17" s="24" t="n"/>
      <c r="E17" s="24" t="n"/>
      <c r="F17" s="24" t="n"/>
      <c r="G17" s="24" t="n"/>
    </row>
    <row r="18">
      <c r="B18" s="24" t="n"/>
      <c r="C18" s="24" t="n"/>
      <c r="D18" s="24" t="n"/>
      <c r="E18" s="24" t="n"/>
      <c r="F18" s="24" t="n"/>
      <c r="G18" s="24" t="n"/>
    </row>
    <row r="19">
      <c r="B19" s="24" t="n"/>
      <c r="C19" s="24" t="n"/>
      <c r="D19" s="24" t="n"/>
      <c r="E19" s="24" t="n"/>
      <c r="F19" s="24" t="n"/>
      <c r="G19" s="24" t="n"/>
    </row>
    <row r="20">
      <c r="B20" s="24" t="n"/>
      <c r="C20" s="24" t="n"/>
      <c r="D20" s="24" t="n"/>
      <c r="E20" s="24" t="n"/>
      <c r="F20" s="24" t="n"/>
      <c r="G20" s="24" t="n"/>
    </row>
    <row r="21">
      <c r="B21" s="24" t="n"/>
      <c r="C21" s="24" t="n"/>
      <c r="D21" s="24" t="n"/>
      <c r="E21" s="24" t="n"/>
      <c r="F21" s="24" t="n"/>
      <c r="G21" s="24" t="n"/>
    </row>
    <row r="22">
      <c r="B22" s="24" t="n"/>
      <c r="C22" s="24" t="n"/>
      <c r="D22" s="24" t="n"/>
      <c r="E22" s="24" t="n"/>
      <c r="F22" s="24" t="n"/>
      <c r="G22" s="24" t="n"/>
    </row>
    <row r="23">
      <c r="B23" s="24" t="n"/>
      <c r="C23" s="24" t="n"/>
      <c r="D23" s="24" t="n"/>
      <c r="E23" s="24" t="n"/>
      <c r="F23" s="24" t="n"/>
      <c r="G23" s="24" t="n"/>
    </row>
    <row r="24">
      <c r="B24" s="24" t="n"/>
      <c r="C24" s="24" t="n"/>
      <c r="D24" s="24" t="n"/>
      <c r="E24" s="24" t="n"/>
      <c r="F24" s="24" t="n"/>
      <c r="G24" s="24" t="n"/>
    </row>
    <row r="25">
      <c r="B25" s="24" t="n"/>
      <c r="C25" s="24" t="n"/>
      <c r="D25" s="24" t="n"/>
      <c r="E25" s="24" t="n"/>
      <c r="F25" s="24" t="n"/>
      <c r="G25" s="24" t="n"/>
    </row>
    <row r="26">
      <c r="B26" s="24" t="n"/>
      <c r="C26" s="24" t="n"/>
      <c r="D26" s="24" t="n"/>
      <c r="E26" s="24" t="n"/>
      <c r="F26" s="24" t="n"/>
      <c r="G26" s="24" t="n"/>
    </row>
    <row r="27">
      <c r="B27" s="24" t="n"/>
      <c r="C27" s="24" t="n"/>
      <c r="D27" s="24" t="n"/>
      <c r="E27" s="24" t="n"/>
      <c r="F27" s="24" t="n"/>
      <c r="G27" s="24" t="n"/>
    </row>
    <row r="28">
      <c r="B28" s="24" t="n"/>
      <c r="C28" s="24" t="n"/>
      <c r="D28" s="24" t="n"/>
      <c r="E28" s="24" t="n"/>
      <c r="F28" s="24" t="n"/>
      <c r="G28" s="24" t="n"/>
    </row>
    <row r="29">
      <c r="B29" s="24" t="n"/>
      <c r="C29" s="24" t="n"/>
      <c r="D29" s="24" t="n"/>
      <c r="E29" s="24" t="n"/>
      <c r="F29" s="24" t="n"/>
      <c r="G29" s="24" t="n"/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2026-08-05T22:48:49Z</dcterms:created>
  <dcterms:modified xmlns:dcterms="http://purl.org/dc/terms/" xmlns:xsi="http://www.w3.org/2001/XMLSchema-instance" xsi:type="dcterms:W3CDTF">2026-08-05T22:48:49Z</dcterms:modified>
</cp:coreProperties>
</file>