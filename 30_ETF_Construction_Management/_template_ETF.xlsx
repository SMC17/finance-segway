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Portfolio Construction" sheetId="6" state="visible" r:id="rId6"/>
    <sheet xmlns:r="http://schemas.openxmlformats.org/officeDocument/2006/relationships" name="Creation &amp; Redemption" sheetId="7" state="visible" r:id="rId7"/>
    <sheet xmlns:r="http://schemas.openxmlformats.org/officeDocument/2006/relationships" name="Tracking Error &amp; Cost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s" sheetId="10" state="visible" r:id="rId10"/>
    <sheet xmlns:r="http://schemas.openxmlformats.org/officeDocument/2006/relationships" name="RefreshLog" sheetId="11" state="visible" r:id="rId11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#,##0.0;[Red]($#,##0.0);-"/>
    <numFmt numFmtId="165" formatCode="0.00%;[Red](0.00%);-"/>
    <numFmt numFmtId="166" formatCode="$#,##0.00;[Red]($#,##0.00);-"/>
    <numFmt numFmtId="167" formatCode="#,##0.0"/>
    <numFmt numFmtId="168" formatCode="$#,##0;[Red]($#,##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3" fontId="3" fillId="3" borderId="1" pivotButton="0" quotePrefix="0" xfId="0"/>
    <xf numFmtId="3" fontId="0" fillId="0" borderId="0" pivotButton="0" quotePrefix="0" xfId="0"/>
    <xf numFmtId="167" fontId="0" fillId="0" borderId="0" pivotButton="0" quotePrefix="0" xfId="0"/>
    <xf numFmtId="0" fontId="2" fillId="0" borderId="2" pivotButton="0" quotePrefix="0" xfId="0"/>
    <xf numFmtId="165" fontId="2" fillId="0" borderId="2" pivotButton="0" quotePrefix="0" xfId="0"/>
    <xf numFmtId="168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[ETF] — Construction, Creation/Redemption, and Tracking-Cost Model</t>
        </is>
      </c>
    </row>
    <row r="4">
      <c r="B4" s="2" t="inlineStr">
        <is>
          <t>ETF / share class:</t>
        </is>
      </c>
      <c r="C4" s="3" t="inlineStr">
        <is>
          <t>[Name / ticker]</t>
        </is>
      </c>
    </row>
    <row r="5">
      <c r="B5" s="2" t="inlineStr">
        <is>
          <t>Benchmark index:</t>
        </is>
      </c>
      <c r="C5" s="3" t="inlineStr">
        <is>
          <t>[Index]</t>
        </is>
      </c>
    </row>
    <row r="6">
      <c r="B6" s="2" t="inlineStr">
        <is>
          <t>As of date:</t>
        </is>
      </c>
      <c r="C6" s="3" t="inlineStr">
        <is>
          <t>[date]</t>
        </is>
      </c>
    </row>
    <row r="7">
      <c r="B7" s="2" t="inlineStr">
        <is>
          <t>Last refreshed:</t>
        </is>
      </c>
      <c r="C7" s="3" t="inlineStr">
        <is>
          <t>[date]</t>
        </is>
      </c>
    </row>
    <row r="8">
      <c r="B8" s="2" t="inlineStr">
        <is>
          <t>Next NAV / holdings refresh:</t>
        </is>
      </c>
      <c r="C8" s="3" t="inlineStr">
        <is>
          <t>[date]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3" t="inlineStr">
        <is>
          <t>ETF Construction &amp; Management — Institutional Decision Surface</t>
        </is>
      </c>
    </row>
    <row r="4">
      <c r="B4" s="24" t="inlineStr">
        <is>
          <t>Model ID</t>
        </is>
      </c>
      <c r="C4" s="25" t="inlineStr">
        <is>
          <t>30</t>
        </is>
      </c>
    </row>
    <row r="5">
      <c r="B5" s="24" t="inlineStr">
        <is>
          <t>Domain</t>
        </is>
      </c>
      <c r="C5" s="25" t="inlineStr">
        <is>
          <t>ETF Construction &amp; Management</t>
        </is>
      </c>
    </row>
    <row r="6">
      <c r="B6" s="24" t="inlineStr">
        <is>
          <t>Declared maturity</t>
        </is>
      </c>
      <c r="C6" s="25" t="inlineStr">
        <is>
          <t>M2</t>
        </is>
      </c>
    </row>
    <row r="7">
      <c r="B7" s="24" t="inlineStr">
        <is>
          <t>Canonical builder</t>
        </is>
      </c>
      <c r="C7" s="25" t="inlineStr">
        <is>
          <t>tools/builders/build_etf_construction_institutional.py</t>
        </is>
      </c>
    </row>
    <row r="8">
      <c r="B8" s="24" t="inlineStr">
        <is>
          <t>Decision arena</t>
        </is>
      </c>
      <c r="C8" s="25" t="inlineStr">
        <is>
          <t>fund board, authorized participant desk, capital markets/index committee</t>
        </is>
      </c>
    </row>
    <row r="9">
      <c r="B9" s="24" t="inlineStr">
        <is>
          <t>Committee artifact</t>
        </is>
      </c>
      <c r="C9" s="25" t="inlineStr">
        <is>
          <t>quarterly holdings and tracking-difference report</t>
        </is>
      </c>
    </row>
    <row r="10">
      <c r="B10" s="24" t="inlineStr">
        <is>
          <t>Operating cadence</t>
        </is>
      </c>
      <c r="C10" s="25" t="inlineStr">
        <is>
          <t>daily NAV and holdings disclosure; quarterly tracking-difference report; annual prospectus update</t>
        </is>
      </c>
    </row>
    <row r="12">
      <c r="B12" s="26" t="inlineStr">
        <is>
          <t>Key decision outputs</t>
        </is>
      </c>
    </row>
    <row r="13">
      <c r="B13" s="27" t="inlineStr">
        <is>
          <t>#</t>
        </is>
      </c>
      <c r="C13" s="27" t="inlineStr">
        <is>
          <t>Requirement</t>
        </is>
      </c>
      <c r="D13" s="27" t="inlineStr">
        <is>
          <t>Owner</t>
        </is>
      </c>
      <c r="E13" s="27" t="inlineStr">
        <is>
          <t>Evidence / location</t>
        </is>
      </c>
      <c r="F13" s="27" t="inlineStr">
        <is>
          <t>Status</t>
        </is>
      </c>
    </row>
    <row r="14">
      <c r="B14" t="n">
        <v>1</v>
      </c>
      <c r="C14" t="inlineStr">
        <is>
          <t>net tracking difference (fund return vs. benchmark return)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creation unit basket value and AP arbitrage economics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premium/discount to NAV and portfolio sector/holdings weights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6" t="inlineStr">
        <is>
          <t>Insider questions</t>
        </is>
      </c>
    </row>
    <row r="21">
      <c r="B21" s="27" t="inlineStr">
        <is>
          <t>#</t>
        </is>
      </c>
      <c r="C21" s="27" t="inlineStr">
        <is>
          <t>Requirement</t>
        </is>
      </c>
      <c r="D21" s="27" t="inlineStr">
        <is>
          <t>Owner</t>
        </is>
      </c>
      <c r="E21" s="27" t="inlineStr">
        <is>
          <t>Evidence / location</t>
        </is>
      </c>
      <c r="F21" s="27" t="inlineStr">
        <is>
          <t>Status</t>
        </is>
      </c>
    </row>
    <row r="22">
      <c r="B22" t="n">
        <v>1</v>
      </c>
      <c r="C22" t="inlineStr">
        <is>
          <t>What is the funds realized tracking difference versus its benchmark over the last year?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How concentrated is the portfolio in its largest holdings and sectors?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premium or discount to NAV is the fund currently trading at, and is AP arbitrage keeping it in bounds?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6" t="inlineStr">
        <is>
          <t>Scenario families</t>
        </is>
      </c>
    </row>
    <row r="29">
      <c r="B29" s="27" t="inlineStr">
        <is>
          <t>#</t>
        </is>
      </c>
      <c r="C29" s="27" t="inlineStr">
        <is>
          <t>Requirement</t>
        </is>
      </c>
      <c r="D29" s="27" t="inlineStr">
        <is>
          <t>Owner</t>
        </is>
      </c>
      <c r="E29" s="27" t="inlineStr">
        <is>
          <t>Evidence / location</t>
        </is>
      </c>
      <c r="F29" s="27" t="inlineStr">
        <is>
          <t>Status</t>
        </is>
      </c>
    </row>
    <row r="30">
      <c r="B30" t="n">
        <v>1</v>
      </c>
      <c r="C30" t="inlineStr">
        <is>
          <t>authorized participant withdrawal or reduced creation/redemption activity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index reconstitution and rebalance turnover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securities-lending market disruption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6" t="inlineStr">
        <is>
          <t>Primary diligence documents</t>
        </is>
      </c>
    </row>
    <row r="37">
      <c r="B37" s="27" t="inlineStr">
        <is>
          <t>#</t>
        </is>
      </c>
      <c r="C37" s="27" t="inlineStr">
        <is>
          <t>Requirement</t>
        </is>
      </c>
      <c r="D37" s="27" t="inlineStr">
        <is>
          <t>Owner</t>
        </is>
      </c>
      <c r="E37" s="27" t="inlineStr">
        <is>
          <t>Evidence / location</t>
        </is>
      </c>
      <c r="F37" s="27" t="inlineStr">
        <is>
          <t>Status</t>
        </is>
      </c>
    </row>
    <row r="38">
      <c r="B38" t="n">
        <v>1</v>
      </c>
      <c r="C38" t="inlineStr">
        <is>
          <t>fund prospectus and Statement of Additional Information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daily holdings and NAV disclosure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authorized participant agreement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6" t="inlineStr">
        <is>
          <t>Challenge tests</t>
        </is>
      </c>
    </row>
    <row r="45">
      <c r="B45" s="27" t="inlineStr">
        <is>
          <t>#</t>
        </is>
      </c>
      <c r="C45" s="27" t="inlineStr">
        <is>
          <t>Requirement</t>
        </is>
      </c>
      <c r="D45" s="27" t="inlineStr">
        <is>
          <t>Owner</t>
        </is>
      </c>
      <c r="E45" s="27" t="inlineStr">
        <is>
          <t>Evidence / location</t>
        </is>
      </c>
      <c r="F45" s="27" t="inlineStr">
        <is>
          <t>Status</t>
        </is>
      </c>
    </row>
    <row r="46">
      <c r="B46" t="n">
        <v>1</v>
      </c>
      <c r="C46" t="inlineStr">
        <is>
          <t>holdings and sector weights reconcile to disclosed totals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creation unit basket value ties to NAV and market price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tracking-difference bridge components are individually plausible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6" t="inlineStr">
        <is>
          <t>Known failure modes</t>
        </is>
      </c>
    </row>
    <row r="53">
      <c r="B53" s="27" t="inlineStr">
        <is>
          <t>#</t>
        </is>
      </c>
      <c r="C53" s="27" t="inlineStr">
        <is>
          <t>Requirement</t>
        </is>
      </c>
      <c r="D53" s="27" t="inlineStr">
        <is>
          <t>Owner</t>
        </is>
      </c>
      <c r="E53" s="27" t="inlineStr">
        <is>
          <t>Evidence / location</t>
        </is>
      </c>
      <c r="F53" s="27" t="inlineStr">
        <is>
          <t>Status</t>
        </is>
      </c>
    </row>
    <row r="54">
      <c r="B54" t="n">
        <v>1</v>
      </c>
      <c r="C54" t="inlineStr">
        <is>
          <t>treating market price as identical to NAV without disclosing the proxy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fee-layering or securities-lending revenue in the tracking bridge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presenting an illustrative creation unit size as a disclosed prospectus fact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6" t="inlineStr">
        <is>
          <t>Regulatory / methodological anchors</t>
        </is>
      </c>
    </row>
    <row r="61">
      <c r="B61" s="27" t="inlineStr">
        <is>
          <t>Standard</t>
        </is>
      </c>
      <c r="C61" s="27" t="inlineStr">
        <is>
          <t>Scope</t>
        </is>
      </c>
      <c r="D61" s="27" t="inlineStr">
        <is>
          <t>Source URL</t>
        </is>
      </c>
      <c r="E61" s="27" t="inlineStr">
        <is>
          <t>Applicability</t>
        </is>
      </c>
      <c r="F61" s="27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  <row r="64">
      <c r="B64" t="inlineStr">
        <is>
          <t>IOSCO Liquidity Risk Recommendations</t>
        </is>
      </c>
      <c r="C64" t="inlineStr">
        <is>
          <t>fund liquidity and stress testing</t>
        </is>
      </c>
      <c r="D64" t="inlineStr">
        <is>
          <t>https://www.iosco.org/library/pubdocs/pdf/IOSCOPD590.pdf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3" t="inlineStr">
        <is>
          <t>Independent Challenge, Override and Closure Log</t>
        </is>
      </c>
    </row>
    <row r="4">
      <c r="B4" s="27" t="inlineStr">
        <is>
          <t>Date</t>
        </is>
      </c>
      <c r="C4" s="27" t="inlineStr">
        <is>
          <t>Reviewer</t>
        </is>
      </c>
      <c r="D4" s="27" t="inlineStr">
        <is>
          <t>Challenge</t>
        </is>
      </c>
      <c r="E4" s="27" t="inlineStr">
        <is>
          <t>Owner response</t>
        </is>
      </c>
      <c r="F4" s="27" t="inlineStr">
        <is>
          <t>Evidence</t>
        </is>
      </c>
      <c r="G4" s="27" t="inlineStr">
        <is>
          <t>Impact</t>
        </is>
      </c>
      <c r="H4" s="27" t="inlineStr">
        <is>
          <t>Status</t>
        </is>
      </c>
      <c r="I4" s="27" t="inlineStr">
        <is>
          <t>Closure</t>
        </is>
      </c>
    </row>
    <row r="5">
      <c r="B5" t="inlineStr"/>
      <c r="C5" t="inlineStr"/>
      <c r="D5" t="inlineStr">
        <is>
          <t>holdings and sector weights reconcile to disclosed totals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creation unit basket value ties to NAV and market price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tracking-difference bridge components are individually plausible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3" t="inlineStr">
        <is>
          <t>Source, Transformation, Ownership and Refresh Map</t>
        </is>
      </c>
    </row>
    <row r="4">
      <c r="B4" s="27" t="inlineStr">
        <is>
          <t>Source class</t>
        </is>
      </c>
      <c r="C4" s="27" t="inlineStr">
        <is>
          <t>Cadence</t>
        </is>
      </c>
      <c r="D4" s="27" t="inlineStr">
        <is>
          <t>Control</t>
        </is>
      </c>
      <c r="E4" s="27" t="inlineStr">
        <is>
          <t>System / provider</t>
        </is>
      </c>
      <c r="F4" s="27" t="inlineStr">
        <is>
          <t>As-of</t>
        </is>
      </c>
      <c r="G4" s="27" t="inlineStr">
        <is>
          <t>Owner</t>
        </is>
      </c>
      <c r="H4" s="27" t="inlineStr">
        <is>
          <t>Transform</t>
        </is>
      </c>
      <c r="I4" s="27" t="inlineStr">
        <is>
          <t>Downstream</t>
        </is>
      </c>
      <c r="J4" s="27" t="inlineStr">
        <is>
          <t>Status</t>
        </is>
      </c>
    </row>
    <row r="5">
      <c r="B5" t="inlineStr">
        <is>
          <t>fund issuer holdings/profile disclosure</t>
        </is>
      </c>
      <c r="C5" t="inlineStr">
        <is>
          <t>daily</t>
        </is>
      </c>
      <c r="D5" t="inlineStr">
        <is>
          <t>fund-administrator-verified holdings and NAV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market price and quote data</t>
        </is>
      </c>
      <c r="C6" t="inlineStr">
        <is>
          <t>real-time/daily</t>
        </is>
      </c>
      <c r="D6" t="inlineStr">
        <is>
          <t>exchange-reported last trade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5" customWidth="1" min="3" max="3"/>
    <col width="15" customWidth="1" min="4" max="4"/>
    <col width="15" customWidth="1" min="5" max="5"/>
    <col width="34" customWidth="1" min="6" max="6"/>
  </cols>
  <sheetData>
    <row r="2" ht="28" customHeight="1">
      <c r="B2" s="1" t="inlineStr">
        <is>
          <t>Fund, Replication, and Creation-Unit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Fund net assets (AUM)</t>
        </is>
      </c>
      <c r="C5" s="9" t="n">
        <v>10000</v>
      </c>
      <c r="D5" s="9" t="n">
        <v>10000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Net expense ratio</t>
        </is>
      </c>
      <c r="C6" s="11" t="n">
        <v>0.005</v>
      </c>
      <c r="D6" s="11" t="n">
        <v>0.005</v>
      </c>
      <c r="E6" s="12">
        <f>IF(Cover!$C$9="Downside",D6,C6)</f>
        <v/>
      </c>
      <c r="F6" t="inlineStr">
        <is>
          <t>% p.a.</t>
        </is>
      </c>
    </row>
    <row r="7">
      <c r="B7" t="inlineStr">
        <is>
          <t>Trailing 12-month dividend yield</t>
        </is>
      </c>
      <c r="C7" s="11" t="n">
        <v>0.015</v>
      </c>
      <c r="D7" s="11" t="n">
        <v>0.015</v>
      </c>
      <c r="E7" s="12">
        <f>IF(Cover!$C$9="Downside",D7,C7)</f>
        <v/>
      </c>
      <c r="F7" t="inlineStr">
        <is>
          <t>% p.a.</t>
        </is>
      </c>
    </row>
    <row r="8">
      <c r="B8" t="inlineStr">
        <is>
          <t>Market price (last close)</t>
        </is>
      </c>
      <c r="C8" s="13" t="n">
        <v>100</v>
      </c>
      <c r="D8" s="13" t="n">
        <v>100</v>
      </c>
      <c r="E8" s="14">
        <f>IF(Cover!$C$9="Downside",D8,C8)</f>
        <v/>
      </c>
      <c r="F8" t="inlineStr">
        <is>
          <t>$/share</t>
        </is>
      </c>
    </row>
    <row r="9">
      <c r="B9" t="inlineStr">
        <is>
          <t>Standard creation unit size</t>
        </is>
      </c>
      <c r="C9" s="15" t="n">
        <v>50000</v>
      </c>
      <c r="D9" s="15" t="n">
        <v>50000</v>
      </c>
      <c r="E9" s="16">
        <f>IF(Cover!$C$9="Downside",D9,C9)</f>
        <v/>
      </c>
      <c r="F9" t="inlineStr">
        <is>
          <t>shares</t>
        </is>
      </c>
    </row>
    <row r="10">
      <c r="B10" t="inlineStr">
        <is>
          <t>Current premium / (discount) to NAV</t>
        </is>
      </c>
      <c r="C10" s="11" t="n">
        <v>0</v>
      </c>
      <c r="D10" s="11" t="n">
        <v>-0.0025</v>
      </c>
      <c r="E10" s="12">
        <f>IF(Cover!$C$9="Downside",D10,C10)</f>
        <v/>
      </c>
      <c r="F10" t="inlineStr">
        <is>
          <t>%</t>
        </is>
      </c>
    </row>
    <row r="11">
      <c r="B11" t="inlineStr">
        <is>
          <t>Estimated securities-lending revenue offset</t>
        </is>
      </c>
      <c r="C11" s="11" t="n">
        <v>0.0002</v>
      </c>
      <c r="D11" s="11" t="n">
        <v>0.0001</v>
      </c>
      <c r="E11" s="12">
        <f>IF(Cover!$C$9="Downside",D11,C11)</f>
        <v/>
      </c>
      <c r="F11" t="inlineStr">
        <is>
          <t>% of NAV p.a.</t>
        </is>
      </c>
    </row>
    <row r="12">
      <c r="B12" t="inlineStr">
        <is>
          <t>Estimated cash-drag cost</t>
        </is>
      </c>
      <c r="C12" s="11" t="n">
        <v>0.0002</v>
      </c>
      <c r="D12" s="11" t="n">
        <v>0.0008</v>
      </c>
      <c r="E12" s="12">
        <f>IF(Cover!$C$9="Downside",D12,C12)</f>
        <v/>
      </c>
      <c r="F12" t="inlineStr">
        <is>
          <t>% of NAV p.a.</t>
        </is>
      </c>
    </row>
    <row r="13">
      <c r="B13" t="inlineStr">
        <is>
          <t>Estimated sampling / optimization tracking error</t>
        </is>
      </c>
      <c r="C13" s="11" t="n">
        <v>0.001</v>
      </c>
      <c r="D13" s="11" t="n">
        <v>0.005</v>
      </c>
      <c r="E13" s="12">
        <f>IF(Cover!$C$9="Downside",D13,C13)</f>
        <v/>
      </c>
      <c r="F13" t="inlineStr">
        <is>
          <t>% of NAV p.a.</t>
        </is>
      </c>
    </row>
    <row r="14">
      <c r="B14" t="inlineStr">
        <is>
          <t>AP arbitrage action threshold</t>
        </is>
      </c>
      <c r="C14" s="11" t="n">
        <v>0.001</v>
      </c>
      <c r="D14" s="11" t="n">
        <v>0.0025</v>
      </c>
      <c r="E14" s="12">
        <f>IF(Cover!$C$9="Downside",D14,C14)</f>
        <v/>
      </c>
      <c r="F14" t="inlineStr">
        <is>
          <t>% premium/discount</t>
        </is>
      </c>
    </row>
    <row r="16">
      <c r="B16" t="inlineStr">
        <is>
          <t>Implied shares outstanding</t>
        </is>
      </c>
      <c r="C16" s="17">
        <f>E5/E8</f>
        <v/>
      </c>
      <c r="D16" t="inlineStr">
        <is>
          <t>mm shares -- derived: AUM / market price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5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14" customWidth="1" min="4" max="4"/>
    <col width="4" customWidth="1" min="5" max="5"/>
  </cols>
  <sheetData>
    <row r="2" ht="28" customHeight="1">
      <c r="B2" s="1" t="inlineStr">
        <is>
          <t>Constituent Holdings (Look-Through)</t>
        </is>
      </c>
    </row>
    <row r="4">
      <c r="B4" s="8" t="inlineStr">
        <is>
          <t>Symbol</t>
        </is>
      </c>
      <c r="C4" s="8" t="inlineStr">
        <is>
          <t>Issuer / description</t>
        </is>
      </c>
      <c r="D4" s="8" t="inlineStr">
        <is>
          <t>Weight</t>
        </is>
      </c>
    </row>
    <row r="5">
      <c r="B5" s="3" t="inlineStr">
        <is>
          <t>[Holding 1]</t>
        </is>
      </c>
      <c r="C5" s="3" t="inlineStr">
        <is>
          <t>[Issuer 1]</t>
        </is>
      </c>
      <c r="D5" s="11" t="n">
        <v>0.08</v>
      </c>
    </row>
    <row r="6">
      <c r="B6" s="3" t="inlineStr">
        <is>
          <t>[Holding 2]</t>
        </is>
      </c>
      <c r="C6" s="3" t="inlineStr">
        <is>
          <t>[Issuer 2]</t>
        </is>
      </c>
      <c r="D6" s="11" t="n">
        <v>0.07000000000000001</v>
      </c>
    </row>
    <row r="7">
      <c r="B7" s="3" t="inlineStr">
        <is>
          <t>[Holding 3]</t>
        </is>
      </c>
      <c r="C7" s="3" t="inlineStr">
        <is>
          <t>[Issuer 3]</t>
        </is>
      </c>
      <c r="D7" s="11" t="n">
        <v>0.05</v>
      </c>
    </row>
    <row r="8">
      <c r="B8" s="3" t="inlineStr">
        <is>
          <t>[Holding 4]</t>
        </is>
      </c>
      <c r="C8" s="3" t="inlineStr">
        <is>
          <t>[Issuer 4]</t>
        </is>
      </c>
      <c r="D8" s="11" t="n">
        <v>0.04</v>
      </c>
    </row>
    <row r="9">
      <c r="B9" s="3" t="inlineStr">
        <is>
          <t>[Holding 5]</t>
        </is>
      </c>
      <c r="C9" s="3" t="inlineStr">
        <is>
          <t>[Issuer 5]</t>
        </is>
      </c>
      <c r="D9" s="11" t="n">
        <v>0.04</v>
      </c>
    </row>
    <row r="10">
      <c r="B10" s="3" t="inlineStr">
        <is>
          <t>[Holding 6]</t>
        </is>
      </c>
      <c r="C10" s="3" t="inlineStr">
        <is>
          <t>[Issuer 6]</t>
        </is>
      </c>
      <c r="D10" s="11" t="n">
        <v>0.03</v>
      </c>
    </row>
    <row r="11">
      <c r="B11" s="3" t="inlineStr">
        <is>
          <t>[Holding 7]</t>
        </is>
      </c>
      <c r="C11" s="3" t="inlineStr">
        <is>
          <t>[Issuer 7]</t>
        </is>
      </c>
      <c r="D11" s="11" t="n">
        <v>0.03</v>
      </c>
    </row>
    <row r="12">
      <c r="B12" s="3" t="inlineStr">
        <is>
          <t>[Holding 8]</t>
        </is>
      </c>
      <c r="C12" s="3" t="inlineStr">
        <is>
          <t>[Issuer 8]</t>
        </is>
      </c>
      <c r="D12" s="11" t="n">
        <v>0.03</v>
      </c>
    </row>
    <row r="13">
      <c r="B13" s="3" t="inlineStr">
        <is>
          <t>[Holding 9]</t>
        </is>
      </c>
      <c r="C13" s="3" t="inlineStr">
        <is>
          <t>[Issuer 9]</t>
        </is>
      </c>
      <c r="D13" s="11" t="n">
        <v>0.02</v>
      </c>
    </row>
    <row r="14">
      <c r="B14" s="3" t="inlineStr">
        <is>
          <t>[Holding 10]</t>
        </is>
      </c>
      <c r="C14" s="3" t="inlineStr">
        <is>
          <t>[Issuer 10]</t>
        </is>
      </c>
      <c r="D14" s="11" t="n">
        <v>0.02</v>
      </c>
    </row>
    <row r="35">
      <c r="B35" t="inlineStr">
        <is>
          <t>All other constituents</t>
        </is>
      </c>
      <c r="C35" t="inlineStr">
        <is>
          <t>[remaining positions]</t>
        </is>
      </c>
      <c r="D35" s="12">
        <f>MAX(0,1-SUM(D5:D34))</f>
        <v/>
      </c>
    </row>
    <row r="36">
      <c r="B36" s="18" t="n"/>
      <c r="C36" s="19" t="n"/>
      <c r="D36" s="19">
        <f>SUM(D5:D35)</f>
        <v/>
      </c>
    </row>
    <row r="38" ht="28" customHeight="1">
      <c r="B38" s="1" t="inlineStr">
        <is>
          <t>Sector Allocation (as disclosed)</t>
        </is>
      </c>
    </row>
    <row r="39">
      <c r="B39" s="8" t="inlineStr">
        <is>
          <t>Sector</t>
        </is>
      </c>
      <c r="C39" s="8" t="inlineStr">
        <is>
          <t>Weight</t>
        </is>
      </c>
    </row>
    <row r="40">
      <c r="B40" s="3" t="inlineStr">
        <is>
          <t>[Sector 1]</t>
        </is>
      </c>
      <c r="C40" s="11" t="n">
        <v>0.3</v>
      </c>
    </row>
    <row r="41">
      <c r="B41" s="3" t="inlineStr">
        <is>
          <t>[Sector 2]</t>
        </is>
      </c>
      <c r="C41" s="11" t="n">
        <v>0.2</v>
      </c>
    </row>
    <row r="42">
      <c r="B42" s="3" t="inlineStr">
        <is>
          <t>[Sector 3]</t>
        </is>
      </c>
      <c r="C42" s="11" t="n">
        <v>0.15</v>
      </c>
    </row>
    <row r="43">
      <c r="B43" s="3" t="inlineStr">
        <is>
          <t>[Sector 4]</t>
        </is>
      </c>
      <c r="C43" s="11" t="n">
        <v>0.1</v>
      </c>
    </row>
    <row r="44">
      <c r="B44" s="3" t="inlineStr">
        <is>
          <t>[Sector 5]</t>
        </is>
      </c>
      <c r="C44" s="11" t="n">
        <v>0.08</v>
      </c>
    </row>
    <row r="51">
      <c r="B51" t="inlineStr">
        <is>
          <t>Total disclosed sector weight</t>
        </is>
      </c>
      <c r="C51" s="12">
        <f>SUM(C40:C50)</f>
        <v/>
      </c>
    </row>
  </sheetData>
  <mergeCells count="2">
    <mergeCell ref="B38:C38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6" customWidth="1" min="2" max="2"/>
    <col width="22" customWidth="1" min="3" max="3"/>
  </cols>
  <sheetData>
    <row r="2" ht="28" customHeight="1">
      <c r="B2" s="1" t="inlineStr">
        <is>
          <t>Creation Unit Economics and Authorized-Participant Arbitrage</t>
        </is>
      </c>
    </row>
    <row r="4">
      <c r="B4" s="8" t="inlineStr">
        <is>
          <t>Metric</t>
        </is>
      </c>
      <c r="C4" s="8" t="inlineStr">
        <is>
          <t>Value</t>
        </is>
      </c>
    </row>
    <row r="5">
      <c r="B5" t="inlineStr">
        <is>
          <t>NAV per share (proxy: market price / (1+premium))</t>
        </is>
      </c>
      <c r="C5" s="14">
        <f>Assumptions!$E$8/(1+Assumptions!$E$10)</f>
        <v/>
      </c>
    </row>
    <row r="6">
      <c r="B6" t="inlineStr">
        <is>
          <t>Creation unit basket value (NAV basis)</t>
        </is>
      </c>
      <c r="C6" s="20">
        <f>C5*Assumptions!$E$9</f>
        <v/>
      </c>
    </row>
    <row r="7">
      <c r="B7" t="inlineStr">
        <is>
          <t>Creation unit basket value (market-price basis)</t>
        </is>
      </c>
      <c r="C7" s="20">
        <f>Assumptions!$E$8*Assumptions!$E$9</f>
        <v/>
      </c>
    </row>
    <row r="8">
      <c r="B8" t="inlineStr">
        <is>
          <t>Creation unit implied share of total AUM</t>
        </is>
      </c>
      <c r="C8" s="12">
        <f>C6/(Assumptions!$E$5*1000000)</f>
        <v/>
      </c>
    </row>
    <row r="9">
      <c r="B9" t="inlineStr">
        <is>
          <t>Premium / (discount) at market price vs. NAV</t>
        </is>
      </c>
      <c r="C9" s="12">
        <f>Assumptions!$E$10</f>
        <v/>
      </c>
    </row>
    <row r="10">
      <c r="B10" t="inlineStr">
        <is>
          <t>AP arbitrage profit per creation unit at current premium/discount</t>
        </is>
      </c>
      <c r="C10" s="20">
        <f>C9*C7</f>
        <v/>
      </c>
    </row>
    <row r="11">
      <c r="B11" t="inlineStr">
        <is>
          <t>AP action threshold breached?</t>
        </is>
      </c>
      <c r="C11">
        <f>IF(ABS(C9)&gt;Assumptions!$E$14,"YES -- AP arbitrage expected to compress premium/discount","NO -- within normal trading band")</f>
        <v/>
      </c>
    </row>
  </sheetData>
  <mergeCells count="1"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6" customWidth="1" min="2" max="2"/>
    <col width="20" customWidth="1" min="3" max="3"/>
  </cols>
  <sheetData>
    <row r="2" ht="28" customHeight="1">
      <c r="B2" s="1" t="inlineStr">
        <is>
          <t>Fund Return vs. Benchmark: Tracking-Difference Bridge</t>
        </is>
      </c>
    </row>
    <row r="4">
      <c r="B4" s="8" t="inlineStr">
        <is>
          <t>Component</t>
        </is>
      </c>
      <c r="C4" s="8" t="inlineStr">
        <is>
          <t>Annualized impact</t>
        </is>
      </c>
    </row>
    <row r="5">
      <c r="B5" t="inlineStr">
        <is>
          <t>Expense ratio drag</t>
        </is>
      </c>
      <c r="C5" s="12">
        <f>-Assumptions!$E$6</f>
        <v/>
      </c>
    </row>
    <row r="6">
      <c r="B6" t="inlineStr">
        <is>
          <t>Securities-lending revenue offset</t>
        </is>
      </c>
      <c r="C6" s="12">
        <f>Assumptions!$E$11</f>
        <v/>
      </c>
    </row>
    <row r="7">
      <c r="B7" t="inlineStr">
        <is>
          <t>Cash-drag cost</t>
        </is>
      </c>
      <c r="C7" s="12">
        <f>-Assumptions!$E$12</f>
        <v/>
      </c>
    </row>
    <row r="8">
      <c r="B8" t="inlineStr">
        <is>
          <t>Sampling / optimization tracking error (+/-)</t>
        </is>
      </c>
      <c r="C8" s="12">
        <f>-Assumptions!$E$13</f>
        <v/>
      </c>
    </row>
    <row r="9">
      <c r="B9" t="inlineStr">
        <is>
          <t>Estimated net tracking difference (fund return - benchmark return)</t>
        </is>
      </c>
      <c r="C9" s="12">
        <f>SUM(C5:C8)</f>
        <v/>
      </c>
    </row>
    <row r="11">
      <c r="B11" t="inlineStr">
        <is>
          <t>Reference: trailing dividend yield (informational, not part of tracking bridge)</t>
        </is>
      </c>
      <c r="C11" s="12">
        <f>Assumptions!$E$7</f>
        <v/>
      </c>
    </row>
  </sheetData>
  <mergeCells count="1"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8" customWidth="1" min="3" max="3"/>
  </cols>
  <sheetData>
    <row r="2" ht="28" customHeight="1">
      <c r="B2" s="1" t="inlineStr">
        <is>
          <t>ETF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Holdings weights (shown + other) sum to ~100%</t>
        </is>
      </c>
      <c r="C5">
        <f>IF(ABS('Portfolio Construction'!D36-1)&lt;0.02,"PASS","REVIEW")</f>
        <v/>
      </c>
    </row>
    <row r="6">
      <c r="B6" t="inlineStr">
        <is>
          <t>Disclosed sector weights sum within a plausible band (90%-101%)</t>
        </is>
      </c>
      <c r="C6">
        <f>IF(AND('Portfolio Construction'!C51&gt;=0.90,'Portfolio Construction'!C51&lt;=1.01),"PASS","REVIEW")</f>
        <v/>
      </c>
    </row>
    <row r="7">
      <c r="B7" t="inlineStr">
        <is>
          <t>Implied shares outstanding is positive</t>
        </is>
      </c>
      <c r="C7">
        <f>IF(Assumptions!C16&gt;0,"PASS","FAIL")</f>
        <v/>
      </c>
    </row>
    <row r="8">
      <c r="B8" t="inlineStr">
        <is>
          <t>Creation unit basket value is positive</t>
        </is>
      </c>
      <c r="C8">
        <f>IF('Creation &amp; Redemption'!C6&gt;0,"PASS","FAIL")</f>
        <v/>
      </c>
    </row>
    <row r="9">
      <c r="B9" t="inlineStr">
        <is>
          <t>Net expense ratio is nonnegative and below 3%</t>
        </is>
      </c>
      <c r="C9">
        <f>IF(AND(Assumptions!E6&gt;=0,Assumptions!E6&lt;0.03),"PASS","REVIEW")</f>
        <v/>
      </c>
    </row>
    <row r="10">
      <c r="B10" t="inlineStr">
        <is>
          <t>Estimated net tracking difference within a plausible band (-2% to +0.5%)</t>
        </is>
      </c>
      <c r="C10">
        <f>IF(AND('Tracking Error &amp; Costs'!C9&gt;=-0.02,'Tracking Error &amp; Costs'!C9&lt;=0.005),"PASS","REVIEW")</f>
        <v/>
      </c>
    </row>
    <row r="11">
      <c r="B11" t="inlineStr">
        <is>
          <t>Overall</t>
        </is>
      </c>
      <c r="C11">
        <f>IF(COUNTIF(C5:C10,"FAIL")&gt;0,"FAIL",IF(COUNTIF(C5:C10,"REVIEW")&gt;0,"REVIEW","PASS"))</f>
        <v/>
      </c>
    </row>
  </sheetData>
  <mergeCells count="1">
    <mergeCell ref="B2:C2"/>
  </mergeCells>
  <conditionalFormatting sqref="C5:C11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1" t="inlineStr">
        <is>
          <t>ETF issuer fund profile / holdings disclosure</t>
        </is>
      </c>
      <c r="C5" s="21" t="inlineStr">
        <is>
          <t>[issuer fact sheet or N-CSR/N-PORT filing]</t>
        </is>
      </c>
      <c r="D5" s="21" t="inlineStr">
        <is>
          <t>[date]</t>
        </is>
      </c>
      <c r="E5" s="21" t="inlineStr">
        <is>
          <t>AUM, expense ratio, dividend yield, holdings, sector weights</t>
        </is>
      </c>
    </row>
    <row r="6">
      <c r="B6" s="21" t="inlineStr">
        <is>
          <t>Market data (last price, volume)</t>
        </is>
      </c>
      <c r="C6" s="21" t="inlineStr">
        <is>
          <t>[exchange / market data vendor]</t>
        </is>
      </c>
      <c r="D6" s="21" t="inlineStr">
        <is>
          <t>[date]</t>
        </is>
      </c>
      <c r="E6" s="21" t="inlineStr">
        <is>
          <t>Market price used as a NAV proxy</t>
        </is>
      </c>
    </row>
    <row r="7">
      <c r="B7" s="21" t="inlineStr">
        <is>
          <t>Prospectus / Statement of Additional Information</t>
        </is>
      </c>
      <c r="C7" s="21" t="inlineStr">
        <is>
          <t>[SEC-filed prospectus / SAI]</t>
        </is>
      </c>
      <c r="D7" s="21" t="inlineStr">
        <is>
          <t>[date]</t>
        </is>
      </c>
      <c r="E7" s="21" t="inlineStr">
        <is>
          <t>Creation unit size, in-kind/cash creation mix, authorized participant list</t>
        </is>
      </c>
    </row>
  </sheetData>
  <mergeCells count="1"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2" t="n"/>
      <c r="C5" s="22" t="n"/>
      <c r="D5" s="22" t="n"/>
      <c r="E5" s="22" t="n"/>
      <c r="F5" s="22" t="n"/>
      <c r="G5" s="22" t="n"/>
    </row>
    <row r="6">
      <c r="B6" s="22" t="n"/>
      <c r="C6" s="22" t="n"/>
      <c r="D6" s="22" t="n"/>
      <c r="E6" s="22" t="n"/>
      <c r="F6" s="22" t="n"/>
      <c r="G6" s="22" t="n"/>
    </row>
    <row r="7">
      <c r="B7" s="22" t="n"/>
      <c r="C7" s="22" t="n"/>
      <c r="D7" s="22" t="n"/>
      <c r="E7" s="22" t="n"/>
      <c r="F7" s="22" t="n"/>
      <c r="G7" s="22" t="n"/>
    </row>
    <row r="8">
      <c r="B8" s="22" t="n"/>
      <c r="C8" s="22" t="n"/>
      <c r="D8" s="22" t="n"/>
      <c r="E8" s="22" t="n"/>
      <c r="F8" s="22" t="n"/>
      <c r="G8" s="22" t="n"/>
    </row>
    <row r="9">
      <c r="B9" s="22" t="n"/>
      <c r="C9" s="22" t="n"/>
      <c r="D9" s="22" t="n"/>
      <c r="E9" s="22" t="n"/>
      <c r="F9" s="22" t="n"/>
      <c r="G9" s="22" t="n"/>
    </row>
    <row r="10">
      <c r="B10" s="22" t="n"/>
      <c r="C10" s="22" t="n"/>
      <c r="D10" s="22" t="n"/>
      <c r="E10" s="22" t="n"/>
      <c r="F10" s="22" t="n"/>
      <c r="G10" s="22" t="n"/>
    </row>
    <row r="11">
      <c r="B11" s="22" t="n"/>
      <c r="C11" s="22" t="n"/>
      <c r="D11" s="22" t="n"/>
      <c r="E11" s="22" t="n"/>
      <c r="F11" s="22" t="n"/>
      <c r="G11" s="22" t="n"/>
    </row>
    <row r="12">
      <c r="B12" s="22" t="n"/>
      <c r="C12" s="22" t="n"/>
      <c r="D12" s="22" t="n"/>
      <c r="E12" s="22" t="n"/>
      <c r="F12" s="22" t="n"/>
      <c r="G12" s="22" t="n"/>
    </row>
    <row r="13">
      <c r="B13" s="22" t="n"/>
      <c r="C13" s="22" t="n"/>
      <c r="D13" s="22" t="n"/>
      <c r="E13" s="22" t="n"/>
      <c r="F13" s="22" t="n"/>
      <c r="G13" s="22" t="n"/>
    </row>
    <row r="14">
      <c r="B14" s="22" t="n"/>
      <c r="C14" s="22" t="n"/>
      <c r="D14" s="22" t="n"/>
      <c r="E14" s="22" t="n"/>
      <c r="F14" s="22" t="n"/>
      <c r="G14" s="22" t="n"/>
    </row>
    <row r="15">
      <c r="B15" s="22" t="n"/>
      <c r="C15" s="22" t="n"/>
      <c r="D15" s="22" t="n"/>
      <c r="E15" s="22" t="n"/>
      <c r="F15" s="22" t="n"/>
      <c r="G15" s="22" t="n"/>
    </row>
    <row r="16">
      <c r="B16" s="22" t="n"/>
      <c r="C16" s="22" t="n"/>
      <c r="D16" s="22" t="n"/>
      <c r="E16" s="22" t="n"/>
      <c r="F16" s="22" t="n"/>
      <c r="G16" s="22" t="n"/>
    </row>
    <row r="17">
      <c r="B17" s="22" t="n"/>
      <c r="C17" s="22" t="n"/>
      <c r="D17" s="22" t="n"/>
      <c r="E17" s="22" t="n"/>
      <c r="F17" s="22" t="n"/>
      <c r="G17" s="22" t="n"/>
    </row>
    <row r="18">
      <c r="B18" s="22" t="n"/>
      <c r="C18" s="22" t="n"/>
      <c r="D18" s="22" t="n"/>
      <c r="E18" s="22" t="n"/>
      <c r="F18" s="22" t="n"/>
      <c r="G18" s="22" t="n"/>
    </row>
    <row r="19">
      <c r="B19" s="22" t="n"/>
      <c r="C19" s="22" t="n"/>
      <c r="D19" s="22" t="n"/>
      <c r="E19" s="22" t="n"/>
      <c r="F19" s="22" t="n"/>
      <c r="G19" s="22" t="n"/>
    </row>
    <row r="20">
      <c r="B20" s="22" t="n"/>
      <c r="C20" s="22" t="n"/>
      <c r="D20" s="22" t="n"/>
      <c r="E20" s="22" t="n"/>
      <c r="F20" s="22" t="n"/>
      <c r="G20" s="22" t="n"/>
    </row>
    <row r="21">
      <c r="B21" s="22" t="n"/>
      <c r="C21" s="22" t="n"/>
      <c r="D21" s="22" t="n"/>
      <c r="E21" s="22" t="n"/>
      <c r="F21" s="22" t="n"/>
      <c r="G21" s="22" t="n"/>
    </row>
    <row r="22">
      <c r="B22" s="22" t="n"/>
      <c r="C22" s="22" t="n"/>
      <c r="D22" s="22" t="n"/>
      <c r="E22" s="22" t="n"/>
      <c r="F22" s="22" t="n"/>
      <c r="G22" s="22" t="n"/>
    </row>
    <row r="23">
      <c r="B23" s="22" t="n"/>
      <c r="C23" s="22" t="n"/>
      <c r="D23" s="22" t="n"/>
      <c r="E23" s="22" t="n"/>
      <c r="F23" s="22" t="n"/>
      <c r="G23" s="22" t="n"/>
    </row>
    <row r="24">
      <c r="B24" s="22" t="n"/>
      <c r="C24" s="22" t="n"/>
      <c r="D24" s="22" t="n"/>
      <c r="E24" s="22" t="n"/>
      <c r="F24" s="22" t="n"/>
      <c r="G24" s="22" t="n"/>
    </row>
    <row r="25">
      <c r="B25" s="22" t="n"/>
      <c r="C25" s="22" t="n"/>
      <c r="D25" s="22" t="n"/>
      <c r="E25" s="22" t="n"/>
      <c r="F25" s="22" t="n"/>
      <c r="G25" s="22" t="n"/>
    </row>
    <row r="26">
      <c r="B26" s="22" t="n"/>
      <c r="C26" s="22" t="n"/>
      <c r="D26" s="22" t="n"/>
      <c r="E26" s="22" t="n"/>
      <c r="F26" s="22" t="n"/>
      <c r="G26" s="22" t="n"/>
    </row>
    <row r="27">
      <c r="B27" s="22" t="n"/>
      <c r="C27" s="22" t="n"/>
      <c r="D27" s="22" t="n"/>
      <c r="E27" s="22" t="n"/>
      <c r="F27" s="22" t="n"/>
      <c r="G27" s="22" t="n"/>
    </row>
    <row r="28">
      <c r="B28" s="22" t="n"/>
      <c r="C28" s="22" t="n"/>
      <c r="D28" s="22" t="n"/>
      <c r="E28" s="22" t="n"/>
      <c r="F28" s="22" t="n"/>
      <c r="G28" s="22" t="n"/>
    </row>
    <row r="29">
      <c r="B29" s="22" t="n"/>
      <c r="C29" s="22" t="n"/>
      <c r="D29" s="22" t="n"/>
      <c r="E29" s="22" t="n"/>
      <c r="F29" s="22" t="n"/>
      <c r="G29" s="22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2026-08-06T00:20:22Z</dcterms:created>
  <dcterms:modified xmlns:dcterms="http://purl.org/dc/terms/" xmlns:xsi="http://www.w3.org/2001/XMLSchema-instance" xsi:type="dcterms:W3CDTF">2026-08-06T00:20:22Z</dcterms:modified>
</cp:coreProperties>
</file>