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Institutional Surface" sheetId="2" state="visible" r:id="rId2"/>
    <sheet xmlns:r="http://schemas.openxmlformats.org/officeDocument/2006/relationships" name="Challenge Log" sheetId="3" state="visible" r:id="rId3"/>
    <sheet xmlns:r="http://schemas.openxmlformats.org/officeDocument/2006/relationships" name="Lineage Map" sheetId="4" state="visible" r:id="rId4"/>
    <sheet xmlns:r="http://schemas.openxmlformats.org/officeDocument/2006/relationships" name="Assumptions" sheetId="5" state="visible" r:id="rId5"/>
    <sheet xmlns:r="http://schemas.openxmlformats.org/officeDocument/2006/relationships" name="Portfolio Construction" sheetId="6" state="visible" r:id="rId6"/>
    <sheet xmlns:r="http://schemas.openxmlformats.org/officeDocument/2006/relationships" name="Creation &amp; Redemption" sheetId="7" state="visible" r:id="rId7"/>
    <sheet xmlns:r="http://schemas.openxmlformats.org/officeDocument/2006/relationships" name="Tracking Error &amp; Costs" sheetId="8" state="visible" r:id="rId8"/>
    <sheet xmlns:r="http://schemas.openxmlformats.org/officeDocument/2006/relationships" name="Checks" sheetId="9" state="visible" r:id="rId9"/>
    <sheet xmlns:r="http://schemas.openxmlformats.org/officeDocument/2006/relationships" name="Sources" sheetId="10" state="visible" r:id="rId10"/>
    <sheet xmlns:r="http://schemas.openxmlformats.org/officeDocument/2006/relationships" name="RefreshLog" sheetId="11" state="visible" r:id="rId11"/>
  </sheets>
  <definedNames>
    <definedName name="FS_MODEL_ID">'Institutional Surface'!$C$4</definedName>
    <definedName name="FS_DOMAIN">'Institutional Surface'!$C$5</definedName>
    <definedName name="FS_MATURITY">'Institutional Surface'!$C$6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5">
    <numFmt numFmtId="164" formatCode="$#,##0.0;[Red]($#,##0.0);-"/>
    <numFmt numFmtId="165" formatCode="0.00%;[Red](0.00%);-"/>
    <numFmt numFmtId="166" formatCode="$#,##0.00;[Red]($#,##0.00);-"/>
    <numFmt numFmtId="167" formatCode="#,##0.0"/>
    <numFmt numFmtId="168" formatCode="$#,##0;[Red]($#,##0);-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11827"/>
      <sz val="10"/>
    </font>
    <font>
      <name val="Arial"/>
      <color rgb="000000FF"/>
      <sz val="10"/>
    </font>
    <font>
      <name val="Arial"/>
      <b val="1"/>
      <color rgb="00FFFFFF"/>
      <sz val="10"/>
    </font>
    <font>
      <name val="Arial"/>
      <color rgb="00111827"/>
      <sz val="10"/>
    </font>
    <font>
      <name val="Arial"/>
      <b val="1"/>
      <color rgb="000000FF"/>
      <sz val="10"/>
    </font>
    <font>
      <name val="Arial"/>
      <b val="1"/>
      <color rgb="00008000"/>
      <sz val="10"/>
    </font>
    <font>
      <b val="1"/>
      <color rgb="00FFFFFF"/>
      <sz val="15"/>
    </font>
    <font>
      <b val="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FFF00"/>
      </patternFill>
    </fill>
  </fills>
  <borders count="4">
    <border>
      <left/>
      <right/>
      <top/>
      <bottom/>
      <diagonal/>
    </border>
    <border>
      <bottom style="thin">
        <color rgb="00BFBFBF"/>
      </bottom>
    </border>
    <border>
      <top style="thin">
        <color rgb="00111827"/>
      </top>
    </border>
    <border>
      <bottom style="thin">
        <color rgb="00B7B7B7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1" pivotButton="0" quotePrefix="0" xfId="0"/>
    <xf numFmtId="0" fontId="4" fillId="2" borderId="0" pivotButton="0" quotePrefix="0" xfId="0"/>
    <xf numFmtId="0" fontId="6" fillId="3" borderId="0" pivotButton="0" quotePrefix="0" xfId="0"/>
    <xf numFmtId="0" fontId="5" fillId="0" borderId="0" pivotButton="0" quotePrefix="0" xfId="0"/>
    <xf numFmtId="0" fontId="7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164" fontId="3" fillId="3" borderId="1" pivotButton="0" quotePrefix="0" xfId="0"/>
    <xf numFmtId="164" fontId="0" fillId="0" borderId="0" pivotButton="0" quotePrefix="0" xfId="0"/>
    <xf numFmtId="165" fontId="3" fillId="3" borderId="1" pivotButton="0" quotePrefix="0" xfId="0"/>
    <xf numFmtId="165" fontId="0" fillId="0" borderId="0" pivotButton="0" quotePrefix="0" xfId="0"/>
    <xf numFmtId="166" fontId="3" fillId="3" borderId="1" pivotButton="0" quotePrefix="0" xfId="0"/>
    <xf numFmtId="166" fontId="0" fillId="0" borderId="0" pivotButton="0" quotePrefix="0" xfId="0"/>
    <xf numFmtId="3" fontId="3" fillId="3" borderId="1" pivotButton="0" quotePrefix="0" xfId="0"/>
    <xf numFmtId="3" fontId="0" fillId="0" borderId="0" pivotButton="0" quotePrefix="0" xfId="0"/>
    <xf numFmtId="167" fontId="0" fillId="0" borderId="0" pivotButton="0" quotePrefix="0" xfId="0"/>
    <xf numFmtId="0" fontId="2" fillId="0" borderId="2" pivotButton="0" quotePrefix="0" xfId="0"/>
    <xf numFmtId="165" fontId="2" fillId="0" borderId="2" pivotButton="0" quotePrefix="0" xfId="0"/>
    <xf numFmtId="168" fontId="0" fillId="0" borderId="0" pivotButton="0" quotePrefix="0" xfId="0"/>
    <xf numFmtId="0" fontId="3" fillId="0" borderId="1" pivotButton="0" quotePrefix="0" xfId="0"/>
    <xf numFmtId="0" fontId="0" fillId="0" borderId="1" pivotButton="0" quotePrefix="0" xfId="0"/>
    <xf numFmtId="0" fontId="8" fillId="4" borderId="0" pivotButton="0" quotePrefix="0" xfId="0"/>
    <xf numFmtId="0" fontId="9" fillId="0" borderId="0" pivotButton="0" quotePrefix="0" xfId="0"/>
    <xf numFmtId="0" fontId="0" fillId="0" borderId="0" applyAlignment="1" pivotButton="0" quotePrefix="0" xfId="0">
      <alignment wrapText="1"/>
    </xf>
    <xf numFmtId="0" fontId="10" fillId="4" borderId="0" pivotButton="0" quotePrefix="0" xfId="0"/>
    <xf numFmtId="0" fontId="9" fillId="5" borderId="3" applyAlignment="1" pivotButton="0" quotePrefix="0" xfId="0">
      <alignment wrapText="1"/>
    </xf>
    <xf numFmtId="0" fontId="3" fillId="6" borderId="1" pivotButton="0" quotePrefix="0" xfId="0"/>
    <xf numFmtId="164" fontId="3" fillId="6" borderId="1" pivotButton="0" quotePrefix="0" xfId="0"/>
    <xf numFmtId="165" fontId="3" fillId="6" borderId="1" pivotButton="0" quotePrefix="0" xfId="0"/>
    <xf numFmtId="166" fontId="3" fillId="6" borderId="1" pivotButton="0" quotePrefix="0" xfId="0"/>
    <xf numFmtId="0" fontId="3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E2F0D9"/>
        </patternFill>
      </fill>
    </dxf>
    <dxf>
      <fill>
        <patternFill patternType="solid">
          <fgColor rgb="00FCE4D6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F1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" customWidth="1" min="1" max="1"/>
    <col width="36" customWidth="1" min="2" max="2"/>
    <col width="46" customWidth="1" min="3" max="3"/>
    <col width="12" customWidth="1" min="4" max="4"/>
    <col width="12" customWidth="1" min="5" max="5"/>
    <col width="12" customWidth="1" min="6" max="6"/>
  </cols>
  <sheetData>
    <row r="1"/>
    <row r="2" ht="28" customHeight="1">
      <c r="B2" s="1" t="inlineStr">
        <is>
          <t>[ETF] — Construction, Creation/Redemption, and Tracking-Cost Model</t>
        </is>
      </c>
    </row>
    <row r="3"/>
    <row r="4">
      <c r="B4" s="2" t="inlineStr">
        <is>
          <t>ETF / share class:</t>
        </is>
      </c>
      <c r="C4" s="28" t="inlineStr">
        <is>
          <t>KraneShares CSI China Internet ETF (NYSE Arca: KWEB)</t>
        </is>
      </c>
    </row>
    <row r="5">
      <c r="B5" s="2" t="inlineStr">
        <is>
          <t>Benchmark index:</t>
        </is>
      </c>
      <c r="C5" s="28" t="inlineStr">
        <is>
          <t>CSI Overseas China Internet Index</t>
        </is>
      </c>
    </row>
    <row r="6">
      <c r="B6" s="2" t="inlineStr">
        <is>
          <t>As of date:</t>
        </is>
      </c>
      <c r="C6" s="3" t="inlineStr">
        <is>
          <t>[date]</t>
        </is>
      </c>
    </row>
    <row r="7">
      <c r="B7" s="2" t="inlineStr">
        <is>
          <t>Last refreshed:</t>
        </is>
      </c>
      <c r="C7" s="28" t="inlineStr">
        <is>
          <t>2026-08-17</t>
        </is>
      </c>
    </row>
    <row r="8">
      <c r="B8" s="2" t="inlineStr">
        <is>
          <t>Next NAV / holdings refresh:</t>
        </is>
      </c>
      <c r="C8" s="3" t="inlineStr">
        <is>
          <t>[date]</t>
        </is>
      </c>
    </row>
    <row r="9">
      <c r="B9" s="2" t="inlineStr">
        <is>
          <t>Active scenario:</t>
        </is>
      </c>
      <c r="C9" s="28" t="inlineStr">
        <is>
          <t>Downside</t>
        </is>
      </c>
    </row>
    <row r="10">
      <c r="B10" s="2" t="inlineStr">
        <is>
          <t>Units:</t>
        </is>
      </c>
      <c r="C10" s="3" t="inlineStr">
        <is>
          <t>$ in millions unless noted</t>
        </is>
      </c>
    </row>
    <row r="13">
      <c r="B13" s="4" t="inlineStr">
        <is>
          <t>Modeling conventions</t>
        </is>
      </c>
    </row>
    <row r="14">
      <c r="B14" s="5" t="inlineStr">
        <is>
          <t>Blue text / yellow fill</t>
        </is>
      </c>
      <c r="C14" s="6" t="inlineStr">
        <is>
          <t>Hardcoded input or selected scenario</t>
        </is>
      </c>
    </row>
    <row r="15">
      <c r="B15" s="2" t="inlineStr">
        <is>
          <t>Black text</t>
        </is>
      </c>
      <c r="C15" s="6" t="inlineStr">
        <is>
          <t>Formula / same-sheet calculation</t>
        </is>
      </c>
    </row>
    <row r="16">
      <c r="B16" s="7" t="inlineStr">
        <is>
          <t>Green text</t>
        </is>
      </c>
      <c r="C16" s="6" t="inlineStr">
        <is>
          <t>Cross-sheet formula / link</t>
        </is>
      </c>
    </row>
    <row r="17">
      <c r="B17" s="2" t="inlineStr">
        <is>
          <t>Checks</t>
        </is>
      </c>
      <c r="C17" s="6" t="inlineStr">
        <is>
          <t>PASS / REVIEW / FAIL must remain visible</t>
        </is>
      </c>
    </row>
  </sheetData>
  <mergeCells count="2">
    <mergeCell ref="B2:F2"/>
    <mergeCell ref="B13:F13"/>
  </mergeCells>
  <dataValidations count="1">
    <dataValidation sqref="C9" showDropDown="0" showInputMessage="0" showErrorMessage="0" allowBlank="0" type="list">
      <formula1>"Base,Downside"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F64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2" max="2"/>
    <col width="48" customWidth="1" min="3" max="3"/>
    <col width="24" customWidth="1" min="4" max="4"/>
    <col width="34" customWidth="1" min="5" max="5"/>
    <col width="20" customWidth="1" min="6" max="6"/>
  </cols>
  <sheetData>
    <row r="2">
      <c r="B2" s="23" t="inlineStr">
        <is>
          <t>ETF Construction &amp; Management — Institutional Decision Surface</t>
        </is>
      </c>
    </row>
    <row r="4">
      <c r="B4" s="24" t="inlineStr">
        <is>
          <t>Model ID</t>
        </is>
      </c>
      <c r="C4" s="25" t="inlineStr">
        <is>
          <t>30</t>
        </is>
      </c>
    </row>
    <row r="5">
      <c r="B5" s="24" t="inlineStr">
        <is>
          <t>Domain</t>
        </is>
      </c>
      <c r="C5" s="25" t="inlineStr">
        <is>
          <t>ETF Construction &amp; Management</t>
        </is>
      </c>
    </row>
    <row r="6">
      <c r="B6" s="24" t="inlineStr">
        <is>
          <t>Declared maturity</t>
        </is>
      </c>
      <c r="C6" s="25" t="inlineStr">
        <is>
          <t>M2</t>
        </is>
      </c>
    </row>
    <row r="7">
      <c r="B7" s="24" t="inlineStr">
        <is>
          <t>Canonical builder</t>
        </is>
      </c>
      <c r="C7" s="25" t="inlineStr">
        <is>
          <t>tools/builders/build_etf_construction_institutional.py</t>
        </is>
      </c>
    </row>
    <row r="8">
      <c r="B8" s="24" t="inlineStr">
        <is>
          <t>Decision arena</t>
        </is>
      </c>
      <c r="C8" s="25" t="inlineStr">
        <is>
          <t>fund board, authorized participant desk, capital markets/index committee</t>
        </is>
      </c>
    </row>
    <row r="9">
      <c r="B9" s="24" t="inlineStr">
        <is>
          <t>Committee artifact</t>
        </is>
      </c>
      <c r="C9" s="25" t="inlineStr">
        <is>
          <t>quarterly holdings and tracking-difference report</t>
        </is>
      </c>
    </row>
    <row r="10">
      <c r="B10" s="24" t="inlineStr">
        <is>
          <t>Operating cadence</t>
        </is>
      </c>
      <c r="C10" s="25" t="inlineStr">
        <is>
          <t>daily NAV and holdings disclosure; quarterly tracking-difference report; annual prospectus update</t>
        </is>
      </c>
    </row>
    <row r="12">
      <c r="B12" s="26" t="inlineStr">
        <is>
          <t>Key decision outputs</t>
        </is>
      </c>
    </row>
    <row r="13">
      <c r="B13" s="27" t="inlineStr">
        <is>
          <t>#</t>
        </is>
      </c>
      <c r="C13" s="27" t="inlineStr">
        <is>
          <t>Requirement</t>
        </is>
      </c>
      <c r="D13" s="27" t="inlineStr">
        <is>
          <t>Owner</t>
        </is>
      </c>
      <c r="E13" s="27" t="inlineStr">
        <is>
          <t>Evidence / location</t>
        </is>
      </c>
      <c r="F13" s="27" t="inlineStr">
        <is>
          <t>Status</t>
        </is>
      </c>
    </row>
    <row r="14">
      <c r="B14" t="n">
        <v>1</v>
      </c>
      <c r="C14" t="inlineStr">
        <is>
          <t>net tracking difference (fund return vs. benchmark return)</t>
        </is>
      </c>
      <c r="F14" t="inlineStr">
        <is>
          <t>OPEN</t>
        </is>
      </c>
    </row>
    <row r="15">
      <c r="B15" t="n">
        <v>2</v>
      </c>
      <c r="C15" t="inlineStr">
        <is>
          <t>creation unit basket value and AP arbitrage economics</t>
        </is>
      </c>
      <c r="F15" t="inlineStr">
        <is>
          <t>OPEN</t>
        </is>
      </c>
    </row>
    <row r="16">
      <c r="B16" t="n">
        <v>3</v>
      </c>
      <c r="C16" t="inlineStr">
        <is>
          <t>premium/discount to NAV and portfolio sector/holdings weights</t>
        </is>
      </c>
      <c r="F16" t="inlineStr">
        <is>
          <t>OPEN</t>
        </is>
      </c>
    </row>
    <row r="17">
      <c r="B17" t="n">
        <v>4</v>
      </c>
      <c r="C17" t="inlineStr">
        <is>
          <t>base, downside and break-even outputs</t>
        </is>
      </c>
      <c r="F17" t="inlineStr">
        <is>
          <t>OPEN</t>
        </is>
      </c>
    </row>
    <row r="18">
      <c r="B18" t="n">
        <v>5</v>
      </c>
      <c r="C18" t="inlineStr">
        <is>
          <t>liquidity / funding requirement and binding constraint</t>
        </is>
      </c>
      <c r="F18" t="inlineStr">
        <is>
          <t>OPEN</t>
        </is>
      </c>
    </row>
    <row r="20">
      <c r="B20" s="26" t="inlineStr">
        <is>
          <t>Insider questions</t>
        </is>
      </c>
    </row>
    <row r="21">
      <c r="B21" s="27" t="inlineStr">
        <is>
          <t>#</t>
        </is>
      </c>
      <c r="C21" s="27" t="inlineStr">
        <is>
          <t>Requirement</t>
        </is>
      </c>
      <c r="D21" s="27" t="inlineStr">
        <is>
          <t>Owner</t>
        </is>
      </c>
      <c r="E21" s="27" t="inlineStr">
        <is>
          <t>Evidence / location</t>
        </is>
      </c>
      <c r="F21" s="27" t="inlineStr">
        <is>
          <t>Status</t>
        </is>
      </c>
    </row>
    <row r="22">
      <c r="B22" t="n">
        <v>1</v>
      </c>
      <c r="C22" t="inlineStr">
        <is>
          <t>What is the funds realized tracking difference versus its benchmark over the last year?</t>
        </is>
      </c>
      <c r="F22" t="inlineStr">
        <is>
          <t>OPEN</t>
        </is>
      </c>
    </row>
    <row r="23">
      <c r="B23" t="n">
        <v>2</v>
      </c>
      <c r="C23" t="inlineStr">
        <is>
          <t>How concentrated is the portfolio in its largest holdings and sectors?</t>
        </is>
      </c>
      <c r="F23" t="inlineStr">
        <is>
          <t>OPEN</t>
        </is>
      </c>
    </row>
    <row r="24">
      <c r="B24" t="n">
        <v>3</v>
      </c>
      <c r="C24" t="inlineStr">
        <is>
          <t>What premium or discount to NAV is the fund currently trading at, and is AP arbitrage keeping it in bounds?</t>
        </is>
      </c>
      <c r="F24" t="inlineStr">
        <is>
          <t>OPEN</t>
        </is>
      </c>
    </row>
    <row r="25">
      <c r="B25" t="n">
        <v>4</v>
      </c>
      <c r="C25" t="inlineStr">
        <is>
          <t>Which assumption is owner-approved versus modeler judgement?</t>
        </is>
      </c>
      <c r="F25" t="inlineStr">
        <is>
          <t>OPEN</t>
        </is>
      </c>
    </row>
    <row r="26">
      <c r="B26" t="n">
        <v>5</v>
      </c>
      <c r="C26" t="inlineStr">
        <is>
          <t>What fails first and who must act?</t>
        </is>
      </c>
      <c r="F26" t="inlineStr">
        <is>
          <t>OPEN</t>
        </is>
      </c>
    </row>
    <row r="28">
      <c r="B28" s="26" t="inlineStr">
        <is>
          <t>Scenario families</t>
        </is>
      </c>
    </row>
    <row r="29">
      <c r="B29" s="27" t="inlineStr">
        <is>
          <t>#</t>
        </is>
      </c>
      <c r="C29" s="27" t="inlineStr">
        <is>
          <t>Requirement</t>
        </is>
      </c>
      <c r="D29" s="27" t="inlineStr">
        <is>
          <t>Owner</t>
        </is>
      </c>
      <c r="E29" s="27" t="inlineStr">
        <is>
          <t>Evidence / location</t>
        </is>
      </c>
      <c r="F29" s="27" t="inlineStr">
        <is>
          <t>Status</t>
        </is>
      </c>
    </row>
    <row r="30">
      <c r="B30" t="n">
        <v>1</v>
      </c>
      <c r="C30" t="inlineStr">
        <is>
          <t>authorized participant withdrawal or reduced creation/redemption activity</t>
        </is>
      </c>
      <c r="F30" t="inlineStr">
        <is>
          <t>OPEN</t>
        </is>
      </c>
    </row>
    <row r="31">
      <c r="B31" t="n">
        <v>2</v>
      </c>
      <c r="C31" t="inlineStr">
        <is>
          <t>index reconstitution and rebalance turnover</t>
        </is>
      </c>
      <c r="F31" t="inlineStr">
        <is>
          <t>OPEN</t>
        </is>
      </c>
    </row>
    <row r="32">
      <c r="B32" t="n">
        <v>3</v>
      </c>
      <c r="C32" t="inlineStr">
        <is>
          <t>securities-lending market disruption</t>
        </is>
      </c>
      <c r="F32" t="inlineStr">
        <is>
          <t>OPEN</t>
        </is>
      </c>
    </row>
    <row r="33">
      <c r="B33" t="n">
        <v>4</v>
      </c>
      <c r="C33" t="inlineStr">
        <is>
          <t>data freshness / source failure</t>
        </is>
      </c>
      <c r="F33" t="inlineStr">
        <is>
          <t>OPEN</t>
        </is>
      </c>
    </row>
    <row r="34">
      <c r="B34" t="n">
        <v>5</v>
      </c>
      <c r="C34" t="inlineStr">
        <is>
          <t>combined severe-but-plausible downside</t>
        </is>
      </c>
      <c r="F34" t="inlineStr">
        <is>
          <t>OPEN</t>
        </is>
      </c>
    </row>
    <row r="36">
      <c r="B36" s="26" t="inlineStr">
        <is>
          <t>Primary diligence documents</t>
        </is>
      </c>
    </row>
    <row r="37">
      <c r="B37" s="27" t="inlineStr">
        <is>
          <t>#</t>
        </is>
      </c>
      <c r="C37" s="27" t="inlineStr">
        <is>
          <t>Requirement</t>
        </is>
      </c>
      <c r="D37" s="27" t="inlineStr">
        <is>
          <t>Owner</t>
        </is>
      </c>
      <c r="E37" s="27" t="inlineStr">
        <is>
          <t>Evidence / location</t>
        </is>
      </c>
      <c r="F37" s="27" t="inlineStr">
        <is>
          <t>Status</t>
        </is>
      </c>
    </row>
    <row r="38">
      <c r="B38" t="n">
        <v>1</v>
      </c>
      <c r="C38" t="inlineStr">
        <is>
          <t>fund prospectus and Statement of Additional Information</t>
        </is>
      </c>
      <c r="F38" t="inlineStr">
        <is>
          <t>OPEN</t>
        </is>
      </c>
    </row>
    <row r="39">
      <c r="B39" t="n">
        <v>2</v>
      </c>
      <c r="C39" t="inlineStr">
        <is>
          <t>daily holdings and NAV disclosure</t>
        </is>
      </c>
      <c r="F39" t="inlineStr">
        <is>
          <t>OPEN</t>
        </is>
      </c>
    </row>
    <row r="40">
      <c r="B40" t="n">
        <v>3</v>
      </c>
      <c r="C40" t="inlineStr">
        <is>
          <t>authorized participant agreement</t>
        </is>
      </c>
      <c r="F40" t="inlineStr">
        <is>
          <t>OPEN</t>
        </is>
      </c>
    </row>
    <row r="41">
      <c r="B41" t="n">
        <v>4</v>
      </c>
      <c r="C41" t="inlineStr">
        <is>
          <t>approved model card and assumption register</t>
        </is>
      </c>
      <c r="F41" t="inlineStr">
        <is>
          <t>OPEN</t>
        </is>
      </c>
    </row>
    <row r="42">
      <c r="B42" t="n">
        <v>5</v>
      </c>
      <c r="C42" t="inlineStr">
        <is>
          <t>independent validation and challenge record</t>
        </is>
      </c>
      <c r="F42" t="inlineStr">
        <is>
          <t>OPEN</t>
        </is>
      </c>
    </row>
    <row r="44">
      <c r="B44" s="26" t="inlineStr">
        <is>
          <t>Challenge tests</t>
        </is>
      </c>
    </row>
    <row r="45">
      <c r="B45" s="27" t="inlineStr">
        <is>
          <t>#</t>
        </is>
      </c>
      <c r="C45" s="27" t="inlineStr">
        <is>
          <t>Requirement</t>
        </is>
      </c>
      <c r="D45" s="27" t="inlineStr">
        <is>
          <t>Owner</t>
        </is>
      </c>
      <c r="E45" s="27" t="inlineStr">
        <is>
          <t>Evidence / location</t>
        </is>
      </c>
      <c r="F45" s="27" t="inlineStr">
        <is>
          <t>Status</t>
        </is>
      </c>
    </row>
    <row r="46">
      <c r="B46" t="n">
        <v>1</v>
      </c>
      <c r="C46" t="inlineStr">
        <is>
          <t>holdings and sector weights reconcile to disclosed totals</t>
        </is>
      </c>
      <c r="F46" t="inlineStr">
        <is>
          <t>OPEN</t>
        </is>
      </c>
    </row>
    <row r="47">
      <c r="B47" t="n">
        <v>2</v>
      </c>
      <c r="C47" t="inlineStr">
        <is>
          <t>creation unit basket value ties to NAV and market price</t>
        </is>
      </c>
      <c r="F47" t="inlineStr">
        <is>
          <t>OPEN</t>
        </is>
      </c>
    </row>
    <row r="48">
      <c r="B48" t="n">
        <v>3</v>
      </c>
      <c r="C48" t="inlineStr">
        <is>
          <t>tracking-difference bridge components are individually plausible</t>
        </is>
      </c>
      <c r="F48" t="inlineStr">
        <is>
          <t>OPEN</t>
        </is>
      </c>
    </row>
    <row r="49">
      <c r="B49" t="n">
        <v>4</v>
      </c>
      <c r="C49" t="inlineStr">
        <is>
          <t>source-to-model lineage is reproducible</t>
        </is>
      </c>
      <c r="F49" t="inlineStr">
        <is>
          <t>OPEN</t>
        </is>
      </c>
    </row>
    <row r="50">
      <c r="B50" t="n">
        <v>5</v>
      </c>
      <c r="C50" t="inlineStr">
        <is>
          <t>units, signs, dates and legal definitions reconcile</t>
        </is>
      </c>
      <c r="F50" t="inlineStr">
        <is>
          <t>OPEN</t>
        </is>
      </c>
    </row>
    <row r="52">
      <c r="B52" s="26" t="inlineStr">
        <is>
          <t>Known failure modes</t>
        </is>
      </c>
    </row>
    <row r="53">
      <c r="B53" s="27" t="inlineStr">
        <is>
          <t>#</t>
        </is>
      </c>
      <c r="C53" s="27" t="inlineStr">
        <is>
          <t>Requirement</t>
        </is>
      </c>
      <c r="D53" s="27" t="inlineStr">
        <is>
          <t>Owner</t>
        </is>
      </c>
      <c r="E53" s="27" t="inlineStr">
        <is>
          <t>Evidence / location</t>
        </is>
      </c>
      <c r="F53" s="27" t="inlineStr">
        <is>
          <t>Status</t>
        </is>
      </c>
    </row>
    <row r="54">
      <c r="B54" t="n">
        <v>1</v>
      </c>
      <c r="C54" t="inlineStr">
        <is>
          <t>treating market price as identical to NAV without disclosing the proxy</t>
        </is>
      </c>
      <c r="F54" t="inlineStr">
        <is>
          <t>OPEN</t>
        </is>
      </c>
    </row>
    <row r="55">
      <c r="B55" t="n">
        <v>2</v>
      </c>
      <c r="C55" t="inlineStr">
        <is>
          <t>ignoring fee-layering or securities-lending revenue in the tracking bridge</t>
        </is>
      </c>
      <c r="F55" t="inlineStr">
        <is>
          <t>OPEN</t>
        </is>
      </c>
    </row>
    <row r="56">
      <c r="B56" t="n">
        <v>3</v>
      </c>
      <c r="C56" t="inlineStr">
        <is>
          <t>presenting an illustrative creation unit size as a disclosed prospectus fact</t>
        </is>
      </c>
      <c r="F56" t="inlineStr">
        <is>
          <t>OPEN</t>
        </is>
      </c>
    </row>
    <row r="57">
      <c r="B57" t="n">
        <v>4</v>
      </c>
      <c r="C57" t="inlineStr">
        <is>
          <t>stale vintage presented as current</t>
        </is>
      </c>
      <c r="F57" t="inlineStr">
        <is>
          <t>OPEN</t>
        </is>
      </c>
    </row>
    <row r="58">
      <c r="B58" t="n">
        <v>5</v>
      </c>
      <c r="C58" t="inlineStr">
        <is>
          <t>decision output disconnected from a binding constraint</t>
        </is>
      </c>
      <c r="F58" t="inlineStr">
        <is>
          <t>OPEN</t>
        </is>
      </c>
    </row>
    <row r="60">
      <c r="B60" s="26" t="inlineStr">
        <is>
          <t>Regulatory / methodological anchors</t>
        </is>
      </c>
    </row>
    <row r="61">
      <c r="B61" s="27" t="inlineStr">
        <is>
          <t>Standard</t>
        </is>
      </c>
      <c r="C61" s="27" t="inlineStr">
        <is>
          <t>Scope</t>
        </is>
      </c>
      <c r="D61" s="27" t="inlineStr">
        <is>
          <t>Source URL</t>
        </is>
      </c>
      <c r="E61" s="27" t="inlineStr">
        <is>
          <t>Applicability</t>
        </is>
      </c>
      <c r="F61" s="27" t="inlineStr">
        <is>
          <t>Review note</t>
        </is>
      </c>
    </row>
    <row r="62">
      <c r="B62" t="inlineStr">
        <is>
          <t>Federal Reserve SR 26-2 Model Risk Management</t>
        </is>
      </c>
      <c r="C62" t="inlineStr">
        <is>
          <t>governance, validation, change control, monitoring</t>
        </is>
      </c>
      <c r="D62" t="inlineStr">
        <is>
          <t>https://www.federalreserve.gov/supervisionreg/srletters/SR2602.htm</t>
        </is>
      </c>
      <c r="E62" t="inlineStr">
        <is>
          <t>Map explicitly</t>
        </is>
      </c>
    </row>
    <row r="63">
      <c r="B63" t="inlineStr">
        <is>
          <t>SEC Rule 2a-5</t>
        </is>
      </c>
      <c r="C63" t="inlineStr">
        <is>
          <t>fair-value governance and testing</t>
        </is>
      </c>
      <c r="D63" t="inlineStr">
        <is>
          <t>https://www.sec.gov/files/rules/final/2020/ic-34128.pdf</t>
        </is>
      </c>
      <c r="E63" t="inlineStr">
        <is>
          <t>Map explicitly</t>
        </is>
      </c>
    </row>
    <row r="64">
      <c r="B64" t="inlineStr">
        <is>
          <t>IOSCO Liquidity Risk Recommendations</t>
        </is>
      </c>
      <c r="C64" t="inlineStr">
        <is>
          <t>fund liquidity and stress testing</t>
        </is>
      </c>
      <c r="D64" t="inlineStr">
        <is>
          <t>https://www.iosco.org/library/pubdocs/pdf/IOSCOPD590.pdf</t>
        </is>
      </c>
      <c r="E64" t="inlineStr">
        <is>
          <t>Map explicitly</t>
        </is>
      </c>
    </row>
  </sheetData>
  <mergeCells count="15">
    <mergeCell ref="B44:F44"/>
    <mergeCell ref="C9:F9"/>
    <mergeCell ref="B12:F12"/>
    <mergeCell ref="B2:F2"/>
    <mergeCell ref="C8:F8"/>
    <mergeCell ref="C4:F4"/>
    <mergeCell ref="B20:F20"/>
    <mergeCell ref="B28:F28"/>
    <mergeCell ref="C6:F6"/>
    <mergeCell ref="C7:F7"/>
    <mergeCell ref="B60:F60"/>
    <mergeCell ref="B36:F36"/>
    <mergeCell ref="C10:F10"/>
    <mergeCell ref="C5:F5"/>
    <mergeCell ref="B52:F52"/>
  </mergeCells>
  <dataValidations count="6">
    <dataValidation sqref="F14:F18" showDropDown="0" showInputMessage="0" showErrorMessage="0" allowBlank="0" type="list">
      <formula1>"OPEN,IN REVIEW,CLOSED,NOT APPLICABLE"</formula1>
    </dataValidation>
    <dataValidation sqref="F22:F26" showDropDown="0" showInputMessage="0" showErrorMessage="0" allowBlank="0" type="list">
      <formula1>"OPEN,IN REVIEW,CLOSED,NOT APPLICABLE"</formula1>
    </dataValidation>
    <dataValidation sqref="F30:F34" showDropDown="0" showInputMessage="0" showErrorMessage="0" allowBlank="0" type="list">
      <formula1>"OPEN,IN REVIEW,CLOSED,NOT APPLICABLE"</formula1>
    </dataValidation>
    <dataValidation sqref="F38:F42" showDropDown="0" showInputMessage="0" showErrorMessage="0" allowBlank="0" type="list">
      <formula1>"OPEN,IN REVIEW,CLOSED,NOT APPLICABLE"</formula1>
    </dataValidation>
    <dataValidation sqref="F46:F50" showDropDown="0" showInputMessage="0" showErrorMessage="0" allowBlank="0" type="list">
      <formula1>"OPEN,IN REVIEW,CLOSED,NOT APPLICABLE"</formula1>
    </dataValidation>
    <dataValidation sqref="F54:F58" showDropDown="0" showInputMessage="0" showErrorMessage="0" allowBlank="0" type="list">
      <formula1>"OPEN,IN REVIEW,CLOSED,NOT APPLICABLE"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I9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3" customWidth="1" min="2" max="2"/>
    <col width="22" customWidth="1" min="3" max="3"/>
    <col width="52" customWidth="1" min="4" max="4"/>
    <col width="46" customWidth="1" min="5" max="5"/>
    <col width="36" customWidth="1" min="6" max="6"/>
    <col width="14" customWidth="1" min="7" max="7"/>
    <col width="18" customWidth="1" min="8" max="8"/>
    <col width="14" customWidth="1" min="9" max="9"/>
  </cols>
  <sheetData>
    <row r="2">
      <c r="B2" s="23" t="inlineStr">
        <is>
          <t>Independent Challenge, Override and Closure Log</t>
        </is>
      </c>
    </row>
    <row r="4">
      <c r="B4" s="27" t="inlineStr">
        <is>
          <t>Date</t>
        </is>
      </c>
      <c r="C4" s="27" t="inlineStr">
        <is>
          <t>Reviewer</t>
        </is>
      </c>
      <c r="D4" s="27" t="inlineStr">
        <is>
          <t>Challenge</t>
        </is>
      </c>
      <c r="E4" s="27" t="inlineStr">
        <is>
          <t>Owner response</t>
        </is>
      </c>
      <c r="F4" s="27" t="inlineStr">
        <is>
          <t>Evidence</t>
        </is>
      </c>
      <c r="G4" s="27" t="inlineStr">
        <is>
          <t>Impact</t>
        </is>
      </c>
      <c r="H4" s="27" t="inlineStr">
        <is>
          <t>Status</t>
        </is>
      </c>
      <c r="I4" s="27" t="inlineStr">
        <is>
          <t>Closure</t>
        </is>
      </c>
    </row>
    <row r="5">
      <c r="D5" t="inlineStr">
        <is>
          <t>holdings and sector weights reconcile to disclosed totals</t>
        </is>
      </c>
      <c r="H5" t="inlineStr">
        <is>
          <t>OPEN</t>
        </is>
      </c>
    </row>
    <row r="6">
      <c r="D6" t="inlineStr">
        <is>
          <t>creation unit basket value ties to NAV and market price</t>
        </is>
      </c>
      <c r="H6" t="inlineStr">
        <is>
          <t>OPEN</t>
        </is>
      </c>
    </row>
    <row r="7">
      <c r="D7" t="inlineStr">
        <is>
          <t>tracking-difference bridge components are individually plausible</t>
        </is>
      </c>
      <c r="H7" t="inlineStr">
        <is>
          <t>OPEN</t>
        </is>
      </c>
    </row>
    <row r="8">
      <c r="D8" t="inlineStr">
        <is>
          <t>source-to-model lineage is reproducible</t>
        </is>
      </c>
      <c r="H8" t="inlineStr">
        <is>
          <t>OPEN</t>
        </is>
      </c>
    </row>
    <row r="9">
      <c r="D9" t="inlineStr">
        <is>
          <t>units, signs, dates and legal definitions reconcile</t>
        </is>
      </c>
      <c r="H9" t="inlineStr">
        <is>
          <t>OPEN</t>
        </is>
      </c>
    </row>
  </sheetData>
  <mergeCells count="1">
    <mergeCell ref="B2:I2"/>
  </mergeCells>
  <dataValidations count="2">
    <dataValidation sqref="H5:H54" showDropDown="0" showInputMessage="0" showErrorMessage="0" allowBlank="0" type="list">
      <formula1>"OPEN,IN REVIEW,REMEDIATED,ACCEPTED RISK,CLOSED"</formula1>
    </dataValidation>
    <dataValidation sqref="G5:G54" showDropDown="0" showInputMessage="0" showErrorMessage="0" allowBlank="0" type="list">
      <formula1>"LOW,MEDIUM,HIGH,CRITICAL"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J8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4" customWidth="1" min="2" max="2"/>
    <col width="18" customWidth="1" min="3" max="3"/>
    <col width="42" customWidth="1" min="4" max="4"/>
    <col width="24" customWidth="1" min="5" max="5"/>
    <col width="18" customWidth="1" min="6" max="6"/>
    <col width="22" customWidth="1" min="7" max="7"/>
    <col width="42" customWidth="1" min="8" max="8"/>
    <col width="30" customWidth="1" min="9" max="9"/>
    <col width="15" customWidth="1" min="10" max="10"/>
  </cols>
  <sheetData>
    <row r="2">
      <c r="B2" s="23" t="inlineStr">
        <is>
          <t>Source, Transformation, Ownership and Refresh Map</t>
        </is>
      </c>
    </row>
    <row r="4">
      <c r="B4" s="27" t="inlineStr">
        <is>
          <t>Source class</t>
        </is>
      </c>
      <c r="C4" s="27" t="inlineStr">
        <is>
          <t>Cadence</t>
        </is>
      </c>
      <c r="D4" s="27" t="inlineStr">
        <is>
          <t>Control</t>
        </is>
      </c>
      <c r="E4" s="27" t="inlineStr">
        <is>
          <t>System / provider</t>
        </is>
      </c>
      <c r="F4" s="27" t="inlineStr">
        <is>
          <t>As-of</t>
        </is>
      </c>
      <c r="G4" s="27" t="inlineStr">
        <is>
          <t>Owner</t>
        </is>
      </c>
      <c r="H4" s="27" t="inlineStr">
        <is>
          <t>Transform</t>
        </is>
      </c>
      <c r="I4" s="27" t="inlineStr">
        <is>
          <t>Downstream</t>
        </is>
      </c>
      <c r="J4" s="27" t="inlineStr">
        <is>
          <t>Status</t>
        </is>
      </c>
    </row>
    <row r="5">
      <c r="B5" t="inlineStr">
        <is>
          <t>fund issuer holdings/profile disclosure</t>
        </is>
      </c>
      <c r="C5" t="inlineStr">
        <is>
          <t>daily</t>
        </is>
      </c>
      <c r="D5" t="inlineStr">
        <is>
          <t>fund-administrator-verified holdings and NAV</t>
        </is>
      </c>
      <c r="J5" t="inlineStr">
        <is>
          <t>TO MAP</t>
        </is>
      </c>
    </row>
    <row r="6">
      <c r="B6" t="inlineStr">
        <is>
          <t>market price and quote data</t>
        </is>
      </c>
      <c r="C6" t="inlineStr">
        <is>
          <t>real-time/daily</t>
        </is>
      </c>
      <c r="D6" t="inlineStr">
        <is>
          <t>exchange-reported last trade</t>
        </is>
      </c>
      <c r="J6" t="inlineStr">
        <is>
          <t>TO MAP</t>
        </is>
      </c>
    </row>
    <row r="7">
      <c r="B7" t="inlineStr">
        <is>
          <t>model governance evidence</t>
        </is>
      </c>
      <c r="C7" t="inlineStr">
        <is>
          <t>per release</t>
        </is>
      </c>
      <c r="D7" t="inlineStr">
        <is>
          <t>version, reviewer, sign-off and change log</t>
        </is>
      </c>
      <c r="J7" t="inlineStr">
        <is>
          <t>TO MAP</t>
        </is>
      </c>
    </row>
    <row r="8">
      <c r="B8" t="inlineStr">
        <is>
          <t>decision-use snapshot</t>
        </is>
      </c>
      <c r="C8" t="inlineStr">
        <is>
          <t>per decision</t>
        </is>
      </c>
      <c r="D8" t="inlineStr">
        <is>
          <t>immutable as-of date and source receipt</t>
        </is>
      </c>
      <c r="J8" t="inlineStr">
        <is>
          <t>TO MAP</t>
        </is>
      </c>
    </row>
  </sheetData>
  <mergeCells count="1">
    <mergeCell ref="B2:J2"/>
  </mergeCells>
  <dataValidations count="1">
    <dataValidation sqref="J5:J40" showDropDown="0" showInputMessage="0" showErrorMessage="0" allowBlank="0" type="list">
      <formula1>"TO MAP,ACTIVE,STALE,EXCEPTION,RETIRED"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F1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48" customWidth="1" min="2" max="2"/>
    <col width="15" customWidth="1" min="3" max="3"/>
    <col width="15" customWidth="1" min="4" max="4"/>
    <col width="15" customWidth="1" min="5" max="5"/>
    <col width="34" customWidth="1" min="6" max="6"/>
  </cols>
  <sheetData>
    <row r="2" ht="28" customHeight="1">
      <c r="B2" s="1" t="inlineStr">
        <is>
          <t>Fund, Replication, and Creation-Unit Assumptions</t>
        </is>
      </c>
    </row>
    <row r="4">
      <c r="B4" s="8" t="inlineStr">
        <is>
          <t>Assumption</t>
        </is>
      </c>
      <c r="C4" s="8" t="inlineStr">
        <is>
          <t>Base</t>
        </is>
      </c>
      <c r="D4" s="8" t="inlineStr">
        <is>
          <t>Downside</t>
        </is>
      </c>
      <c r="E4" s="8" t="inlineStr">
        <is>
          <t>Active</t>
        </is>
      </c>
      <c r="F4" s="8" t="inlineStr">
        <is>
          <t>Units / note</t>
        </is>
      </c>
    </row>
    <row r="5">
      <c r="B5" t="inlineStr">
        <is>
          <t>Fund net assets (AUM)</t>
        </is>
      </c>
      <c r="C5" s="9" t="n">
        <v>10000</v>
      </c>
      <c r="D5" s="29" t="n">
        <v>6033.6</v>
      </c>
      <c r="E5" s="10">
        <f>IF(Cover!$C$9="Downside",D5,C5)</f>
        <v/>
      </c>
      <c r="F5" t="inlineStr">
        <is>
          <t>$mm</t>
        </is>
      </c>
    </row>
    <row r="6">
      <c r="B6" t="inlineStr">
        <is>
          <t>Net expense ratio</t>
        </is>
      </c>
      <c r="C6" s="11" t="n">
        <v>0.005</v>
      </c>
      <c r="D6" s="30" t="n">
        <v>0.0069</v>
      </c>
      <c r="E6" s="12">
        <f>IF(Cover!$C$9="Downside",D6,C6)</f>
        <v/>
      </c>
      <c r="F6" t="inlineStr">
        <is>
          <t>% p.a.</t>
        </is>
      </c>
    </row>
    <row r="7">
      <c r="B7" t="inlineStr">
        <is>
          <t>Trailing 12-month dividend yield</t>
        </is>
      </c>
      <c r="C7" s="11" t="n">
        <v>0.015</v>
      </c>
      <c r="D7" s="30" t="n">
        <v>0.0743</v>
      </c>
      <c r="E7" s="12">
        <f>IF(Cover!$C$9="Downside",D7,C7)</f>
        <v/>
      </c>
      <c r="F7" t="inlineStr">
        <is>
          <t>% p.a.</t>
        </is>
      </c>
    </row>
    <row r="8">
      <c r="B8" t="inlineStr">
        <is>
          <t>Market price (last close)</t>
        </is>
      </c>
      <c r="C8" s="13" t="n">
        <v>100</v>
      </c>
      <c r="D8" s="31" t="n">
        <v>27.01</v>
      </c>
      <c r="E8" s="14">
        <f>IF(Cover!$C$9="Downside",D8,C8)</f>
        <v/>
      </c>
      <c r="F8" t="inlineStr">
        <is>
          <t>$/share</t>
        </is>
      </c>
    </row>
    <row r="9">
      <c r="B9" t="inlineStr">
        <is>
          <t>Standard creation unit size</t>
        </is>
      </c>
      <c r="C9" s="15" t="n">
        <v>50000</v>
      </c>
      <c r="D9" s="15" t="n">
        <v>50000</v>
      </c>
      <c r="E9" s="16">
        <f>IF(Cover!$C$9="Downside",D9,C9)</f>
        <v/>
      </c>
      <c r="F9" t="inlineStr">
        <is>
          <t>shares</t>
        </is>
      </c>
    </row>
    <row r="10">
      <c r="B10" t="inlineStr">
        <is>
          <t>Current premium / (discount) to NAV</t>
        </is>
      </c>
      <c r="C10" s="11" t="n">
        <v>0</v>
      </c>
      <c r="D10" s="11" t="n">
        <v>-0.0025</v>
      </c>
      <c r="E10" s="12">
        <f>IF(Cover!$C$9="Downside",D10,C10)</f>
        <v/>
      </c>
      <c r="F10" t="inlineStr">
        <is>
          <t>%</t>
        </is>
      </c>
    </row>
    <row r="11">
      <c r="B11" t="inlineStr">
        <is>
          <t>Estimated securities-lending revenue offset</t>
        </is>
      </c>
      <c r="C11" s="11" t="n">
        <v>0.0002</v>
      </c>
      <c r="D11" s="11" t="n">
        <v>0.0001</v>
      </c>
      <c r="E11" s="12">
        <f>IF(Cover!$C$9="Downside",D11,C11)</f>
        <v/>
      </c>
      <c r="F11" t="inlineStr">
        <is>
          <t>% of NAV p.a.</t>
        </is>
      </c>
    </row>
    <row r="12">
      <c r="B12" t="inlineStr">
        <is>
          <t>Estimated cash-drag cost</t>
        </is>
      </c>
      <c r="C12" s="11" t="n">
        <v>0.0002</v>
      </c>
      <c r="D12" s="11" t="n">
        <v>0.0008</v>
      </c>
      <c r="E12" s="12">
        <f>IF(Cover!$C$9="Downside",D12,C12)</f>
        <v/>
      </c>
      <c r="F12" t="inlineStr">
        <is>
          <t>% of NAV p.a.</t>
        </is>
      </c>
    </row>
    <row r="13">
      <c r="B13" t="inlineStr">
        <is>
          <t>Estimated sampling / optimization tracking error</t>
        </is>
      </c>
      <c r="C13" s="11" t="n">
        <v>0.001</v>
      </c>
      <c r="D13" s="11" t="n">
        <v>0.005</v>
      </c>
      <c r="E13" s="12">
        <f>IF(Cover!$C$9="Downside",D13,C13)</f>
        <v/>
      </c>
      <c r="F13" t="inlineStr">
        <is>
          <t>% of NAV p.a.</t>
        </is>
      </c>
    </row>
    <row r="14">
      <c r="B14" t="inlineStr">
        <is>
          <t>AP arbitrage action threshold</t>
        </is>
      </c>
      <c r="C14" s="11" t="n">
        <v>0.001</v>
      </c>
      <c r="D14" s="11" t="n">
        <v>0.0025</v>
      </c>
      <c r="E14" s="12">
        <f>IF(Cover!$C$9="Downside",D14,C14)</f>
        <v/>
      </c>
      <c r="F14" t="inlineStr">
        <is>
          <t>% premium/discount</t>
        </is>
      </c>
    </row>
    <row r="16">
      <c r="B16" t="inlineStr">
        <is>
          <t>Implied shares outstanding</t>
        </is>
      </c>
      <c r="C16" s="17">
        <f>E5/E8</f>
        <v/>
      </c>
      <c r="D16" t="inlineStr">
        <is>
          <t>mm shares -- derived: AUM / market price</t>
        </is>
      </c>
    </row>
  </sheetData>
  <mergeCells count="1">
    <mergeCell ref="B2:F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E51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" customWidth="1" min="1" max="1"/>
    <col width="30" customWidth="1" min="2" max="2"/>
    <col width="34" customWidth="1" min="3" max="3"/>
    <col width="14" customWidth="1" min="4" max="4"/>
    <col width="4" customWidth="1" min="5" max="5"/>
  </cols>
  <sheetData>
    <row r="2" ht="28" customHeight="1">
      <c r="B2" s="1" t="inlineStr">
        <is>
          <t>Constituent Holdings (Look-Through)</t>
        </is>
      </c>
    </row>
    <row r="4">
      <c r="B4" s="8" t="inlineStr">
        <is>
          <t>Symbol</t>
        </is>
      </c>
      <c r="C4" s="8" t="inlineStr">
        <is>
          <t>Issuer / description</t>
        </is>
      </c>
      <c r="D4" s="8" t="inlineStr">
        <is>
          <t>Weight</t>
        </is>
      </c>
    </row>
    <row r="5">
      <c r="B5" s="28" t="inlineStr">
        <is>
          <t>n/a</t>
        </is>
      </c>
      <c r="C5" s="28" t="inlineStr">
        <is>
          <t>TENCENT HOLDINGS LTD</t>
        </is>
      </c>
      <c r="D5" s="30" t="n">
        <v>0.1009</v>
      </c>
    </row>
    <row r="6">
      <c r="B6" s="28" t="inlineStr">
        <is>
          <t>n/a</t>
        </is>
      </c>
      <c r="C6" s="28" t="inlineStr">
        <is>
          <t>ALIBABA GROUP HOLDING LTD ORDINARY SHARES</t>
        </is>
      </c>
      <c r="D6" s="30" t="n">
        <v>0.08790000000000001</v>
      </c>
    </row>
    <row r="7">
      <c r="B7" s="28" t="inlineStr">
        <is>
          <t>PDD</t>
        </is>
      </c>
      <c r="C7" s="28" t="inlineStr">
        <is>
          <t>PDD HOLDINGS INC ADR</t>
        </is>
      </c>
      <c r="D7" s="30" t="n">
        <v>0.08</v>
      </c>
    </row>
    <row r="8">
      <c r="B8" s="28" t="inlineStr">
        <is>
          <t>n/a</t>
        </is>
      </c>
      <c r="C8" s="28" t="inlineStr">
        <is>
          <t>MEITUAN CLASS B</t>
        </is>
      </c>
      <c r="D8" s="30" t="n">
        <v>0.0789</v>
      </c>
    </row>
    <row r="9">
      <c r="B9" s="28" t="inlineStr">
        <is>
          <t>n/a</t>
        </is>
      </c>
      <c r="C9" s="28" t="inlineStr">
        <is>
          <t>NETEASE INC ORDINARY SHARES</t>
        </is>
      </c>
      <c r="D9" s="30" t="n">
        <v>0.0606</v>
      </c>
    </row>
    <row r="10">
      <c r="B10" s="28" t="inlineStr">
        <is>
          <t>n/a</t>
        </is>
      </c>
      <c r="C10" s="28" t="inlineStr">
        <is>
          <t>JD.COM INC ORDINARY SHARES CLASS A</t>
        </is>
      </c>
      <c r="D10" s="30" t="n">
        <v>0.0427</v>
      </c>
    </row>
    <row r="11">
      <c r="B11" s="28" t="inlineStr">
        <is>
          <t>YMM</t>
        </is>
      </c>
      <c r="C11" s="28" t="inlineStr">
        <is>
          <t>FULL TRUCK ALLIANCE CO LTD ADR</t>
        </is>
      </c>
      <c r="D11" s="30" t="n">
        <v>0.0421</v>
      </c>
    </row>
    <row r="12">
      <c r="B12" s="28" t="inlineStr">
        <is>
          <t>n/a</t>
        </is>
      </c>
      <c r="C12" s="28" t="inlineStr">
        <is>
          <t>KE HOLDINGS INC CLASS A</t>
        </is>
      </c>
      <c r="D12" s="30" t="n">
        <v>0.0391</v>
      </c>
    </row>
    <row r="13">
      <c r="B13" s="28" t="inlineStr">
        <is>
          <t>n/a</t>
        </is>
      </c>
      <c r="C13" s="28" t="inlineStr">
        <is>
          <t>KUAISHOU TECHNOLOGY ORDINARY SHARES CLASS B</t>
        </is>
      </c>
      <c r="D13" s="30" t="n">
        <v>0.0374</v>
      </c>
    </row>
    <row r="14">
      <c r="B14" s="28" t="inlineStr">
        <is>
          <t>n/a</t>
        </is>
      </c>
      <c r="C14" s="28" t="inlineStr">
        <is>
          <t>TRIP.COM GROUP LTD</t>
        </is>
      </c>
      <c r="D14" s="30" t="n">
        <v>0.0365</v>
      </c>
    </row>
    <row r="15">
      <c r="B15" s="28" t="inlineStr">
        <is>
          <t>n/a</t>
        </is>
      </c>
      <c r="C15" s="28" t="inlineStr">
        <is>
          <t>JD HEALTH INTERNATIONAL INC</t>
        </is>
      </c>
      <c r="D15" s="30" t="n">
        <v>0.0359</v>
      </c>
    </row>
    <row r="16">
      <c r="B16" s="28" t="inlineStr">
        <is>
          <t>n/a</t>
        </is>
      </c>
      <c r="C16" s="28" t="inlineStr">
        <is>
          <t>BAIDU INC</t>
        </is>
      </c>
      <c r="D16" s="30" t="n">
        <v>0.0356</v>
      </c>
    </row>
    <row r="17">
      <c r="B17" s="28" t="inlineStr">
        <is>
          <t>n/a</t>
        </is>
      </c>
      <c r="C17" s="28" t="inlineStr">
        <is>
          <t>BILIBILI INC CLASS Z</t>
        </is>
      </c>
      <c r="D17" s="30" t="n">
        <v>0.0352</v>
      </c>
    </row>
    <row r="18">
      <c r="B18" s="28" t="inlineStr">
        <is>
          <t>BZ</t>
        </is>
      </c>
      <c r="C18" s="28" t="inlineStr">
        <is>
          <t>KANZHUN LTD ADR</t>
        </is>
      </c>
      <c r="D18" s="30" t="n">
        <v>0.0351</v>
      </c>
    </row>
    <row r="19">
      <c r="B19" s="28" t="inlineStr">
        <is>
          <t>TME</t>
        </is>
      </c>
      <c r="C19" s="28" t="inlineStr">
        <is>
          <t>TENCENT MUSIC ENTERTAINMENT GROUP ADR</t>
        </is>
      </c>
      <c r="D19" s="30" t="n">
        <v>0.0328</v>
      </c>
    </row>
    <row r="20">
      <c r="B20" s="28" t="inlineStr">
        <is>
          <t>TAL</t>
        </is>
      </c>
      <c r="C20" s="28" t="inlineStr">
        <is>
          <t>TAL EDUCATION GROUP ADR</t>
        </is>
      </c>
      <c r="D20" s="30" t="n">
        <v>0.0318</v>
      </c>
    </row>
    <row r="21">
      <c r="B21" s="28" t="inlineStr">
        <is>
          <t>VIPS</t>
        </is>
      </c>
      <c r="C21" s="28" t="inlineStr">
        <is>
          <t>VIPSHOP HOLDINGS LTD ADR</t>
        </is>
      </c>
      <c r="D21" s="30" t="n">
        <v>0.0244</v>
      </c>
    </row>
    <row r="22">
      <c r="B22" s="28" t="inlineStr">
        <is>
          <t>n/a</t>
        </is>
      </c>
      <c r="C22" s="28" t="inlineStr">
        <is>
          <t>KINGSOFT CORP LTD</t>
        </is>
      </c>
      <c r="D22" s="30" t="n">
        <v>0.0225</v>
      </c>
    </row>
    <row r="23">
      <c r="B23" s="28" t="inlineStr">
        <is>
          <t>n/a</t>
        </is>
      </c>
      <c r="C23" s="28" t="inlineStr">
        <is>
          <t>ALIBABA HEALTH INFORMATION TECHNOLOGY LTD</t>
        </is>
      </c>
      <c r="D23" s="30" t="n">
        <v>0.0167</v>
      </c>
    </row>
    <row r="24">
      <c r="B24" s="28" t="inlineStr">
        <is>
          <t>n/a</t>
        </is>
      </c>
      <c r="C24" s="28" t="inlineStr">
        <is>
          <t>TONGCHENG TRAVEL HOLDINGS LTD</t>
        </is>
      </c>
      <c r="D24" s="30" t="n">
        <v>0.0142</v>
      </c>
    </row>
    <row r="25">
      <c r="B25" s="28" t="inlineStr">
        <is>
          <t>JOYY</t>
        </is>
      </c>
      <c r="C25" s="28" t="inlineStr">
        <is>
          <t>JOYY INC ADR</t>
        </is>
      </c>
      <c r="D25" s="30" t="n">
        <v>0.0122</v>
      </c>
    </row>
    <row r="26">
      <c r="B26" s="28" t="inlineStr">
        <is>
          <t>n/a</t>
        </is>
      </c>
      <c r="C26" s="28" t="inlineStr">
        <is>
          <t>CHINA RUYI HOLDINGS LTD</t>
        </is>
      </c>
      <c r="D26" s="30" t="n">
        <v>0.0117</v>
      </c>
    </row>
    <row r="27">
      <c r="B27" s="28" t="inlineStr">
        <is>
          <t>n/a</t>
        </is>
      </c>
      <c r="C27" s="28" t="inlineStr">
        <is>
          <t>MEITU INC REGISTERED SHS UNITARY 144A/REG S</t>
        </is>
      </c>
      <c r="D27" s="30" t="n">
        <v>0.0108</v>
      </c>
    </row>
    <row r="28">
      <c r="B28" s="28" t="inlineStr">
        <is>
          <t>n/a</t>
        </is>
      </c>
      <c r="C28" s="28" t="inlineStr">
        <is>
          <t>ZHONGAN ONLINE P&amp;C INSURANCE CO LTD ORDINARY SHARES CLASS H</t>
        </is>
      </c>
      <c r="D28" s="30" t="n">
        <v>0.0102</v>
      </c>
    </row>
    <row r="29">
      <c r="B29" s="28" t="inlineStr">
        <is>
          <t>n/a</t>
        </is>
      </c>
      <c r="C29" s="28" t="inlineStr">
        <is>
          <t>XD INC ORDINARY SHARES</t>
        </is>
      </c>
      <c r="D29" s="30" t="n">
        <v>0.0094</v>
      </c>
    </row>
    <row r="30">
      <c r="B30" s="28" t="inlineStr">
        <is>
          <t>ATHM</t>
        </is>
      </c>
      <c r="C30" s="28" t="inlineStr">
        <is>
          <t>AUTOHOME INC ADR</t>
        </is>
      </c>
      <c r="D30" s="30" t="n">
        <v>0.008800000000000001</v>
      </c>
    </row>
    <row r="31">
      <c r="B31" s="28" t="inlineStr">
        <is>
          <t>n/a</t>
        </is>
      </c>
      <c r="C31" s="28" t="inlineStr">
        <is>
          <t>EAST BUY HOLDING LTD</t>
        </is>
      </c>
      <c r="D31" s="30" t="n">
        <v>0.008500000000000001</v>
      </c>
    </row>
    <row r="32">
      <c r="B32" s="28" t="inlineStr">
        <is>
          <t>n/a</t>
        </is>
      </c>
      <c r="C32" s="28" t="inlineStr">
        <is>
          <t>NETEASE CLOUD MUSIC INC</t>
        </is>
      </c>
      <c r="D32" s="30" t="n">
        <v>0.0074</v>
      </c>
    </row>
    <row r="33">
      <c r="B33" s="28" t="inlineStr">
        <is>
          <t>n/a</t>
        </is>
      </c>
      <c r="C33" s="28" t="inlineStr">
        <is>
          <t>CHINA LITERATURE LTD ORDINARY SHARES</t>
        </is>
      </c>
      <c r="D33" s="30" t="n">
        <v>0.0074</v>
      </c>
    </row>
    <row r="34">
      <c r="B34" s="28" t="inlineStr">
        <is>
          <t>QFIN</t>
        </is>
      </c>
      <c r="C34" s="28" t="inlineStr">
        <is>
          <t>QFIN HOLDINGS INC ADR</t>
        </is>
      </c>
      <c r="D34" s="30" t="n">
        <v>0.0072</v>
      </c>
    </row>
    <row r="35">
      <c r="B35" t="inlineStr">
        <is>
          <t>All other constituents</t>
        </is>
      </c>
      <c r="C35" t="inlineStr">
        <is>
          <t>[remaining positions]</t>
        </is>
      </c>
      <c r="D35" s="12">
        <f>MAX(0,1-SUM(D5:D34))</f>
        <v/>
      </c>
    </row>
    <row r="36">
      <c r="B36" s="18" t="n"/>
      <c r="C36" s="19" t="n"/>
      <c r="D36" s="19">
        <f>SUM(D5:D35)</f>
        <v/>
      </c>
    </row>
    <row r="38" ht="28" customHeight="1">
      <c r="B38" s="1" t="inlineStr">
        <is>
          <t>Sector Allocation (as disclosed)</t>
        </is>
      </c>
    </row>
    <row r="39">
      <c r="B39" s="8" t="inlineStr">
        <is>
          <t>Sector</t>
        </is>
      </c>
      <c r="C39" s="8" t="inlineStr">
        <is>
          <t>Weight</t>
        </is>
      </c>
    </row>
    <row r="40">
      <c r="B40" s="28" t="inlineStr">
        <is>
          <t>CONSUMER DISCRETIONARY</t>
        </is>
      </c>
      <c r="C40" s="30" t="n">
        <v>0.414</v>
      </c>
    </row>
    <row r="41">
      <c r="B41" s="28" t="inlineStr">
        <is>
          <t>COMMUNICATION SERVICES</t>
        </is>
      </c>
      <c r="C41" s="30" t="n">
        <v>0.373</v>
      </c>
    </row>
    <row r="42">
      <c r="B42" s="28" t="inlineStr">
        <is>
          <t>CONSUMER STAPLES</t>
        </is>
      </c>
      <c r="C42" s="30" t="n">
        <v>0.083</v>
      </c>
    </row>
    <row r="43">
      <c r="B43" s="28" t="inlineStr">
        <is>
          <t>INDUSTRIALS</t>
        </is>
      </c>
      <c r="C43" s="30" t="n">
        <v>0.065</v>
      </c>
    </row>
    <row r="44">
      <c r="B44" s="28" t="inlineStr">
        <is>
          <t>REAL ESTATE</t>
        </is>
      </c>
      <c r="C44" s="30" t="n">
        <v>0.043</v>
      </c>
    </row>
    <row r="45">
      <c r="B45" s="28" t="inlineStr">
        <is>
          <t>SHORT-TERM INVESTMENT</t>
        </is>
      </c>
      <c r="C45" s="30" t="n">
        <v>0.027</v>
      </c>
    </row>
    <row r="46">
      <c r="B46" s="28" t="inlineStr">
        <is>
          <t>FINANCIALS</t>
        </is>
      </c>
      <c r="C46" s="30" t="n">
        <v>0.021</v>
      </c>
    </row>
    <row r="47">
      <c r="B47" s="3" t="inlineStr">
        <is>
          <t>[Sector 8]</t>
        </is>
      </c>
      <c r="C47" s="11" t="n">
        <v>0</v>
      </c>
    </row>
    <row r="48">
      <c r="B48" s="3" t="inlineStr">
        <is>
          <t>[Sector 9]</t>
        </is>
      </c>
      <c r="C48" s="11" t="n">
        <v>0</v>
      </c>
    </row>
    <row r="49">
      <c r="B49" s="3" t="inlineStr">
        <is>
          <t>[Sector 10]</t>
        </is>
      </c>
      <c r="C49" s="11" t="n">
        <v>0</v>
      </c>
    </row>
    <row r="50">
      <c r="B50" s="3" t="inlineStr">
        <is>
          <t>[Sector 11]</t>
        </is>
      </c>
      <c r="C50" s="11" t="n">
        <v>0</v>
      </c>
    </row>
    <row r="51">
      <c r="B51" t="inlineStr">
        <is>
          <t>Total disclosed sector weight</t>
        </is>
      </c>
      <c r="C51" s="12">
        <f>SUM(C40:C50)</f>
        <v/>
      </c>
    </row>
  </sheetData>
  <mergeCells count="2">
    <mergeCell ref="B38:C38"/>
    <mergeCell ref="B2:E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C1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56" customWidth="1" min="2" max="2"/>
    <col width="22" customWidth="1" min="3" max="3"/>
  </cols>
  <sheetData>
    <row r="2" ht="28" customHeight="1">
      <c r="B2" s="1" t="inlineStr">
        <is>
          <t>Creation Unit Economics and Authorized-Participant Arbitrage</t>
        </is>
      </c>
    </row>
    <row r="4">
      <c r="B4" s="8" t="inlineStr">
        <is>
          <t>Metric</t>
        </is>
      </c>
      <c r="C4" s="8" t="inlineStr">
        <is>
          <t>Value</t>
        </is>
      </c>
    </row>
    <row r="5">
      <c r="B5" t="inlineStr">
        <is>
          <t>NAV per share (proxy: market price / (1+premium))</t>
        </is>
      </c>
      <c r="C5" s="14">
        <f>Assumptions!$E$8/(1+Assumptions!$E$10)</f>
        <v/>
      </c>
    </row>
    <row r="6">
      <c r="B6" t="inlineStr">
        <is>
          <t>Creation unit basket value (NAV basis)</t>
        </is>
      </c>
      <c r="C6" s="20">
        <f>C5*Assumptions!$E$9</f>
        <v/>
      </c>
    </row>
    <row r="7">
      <c r="B7" t="inlineStr">
        <is>
          <t>Creation unit basket value (market-price basis)</t>
        </is>
      </c>
      <c r="C7" s="20">
        <f>Assumptions!$E$8*Assumptions!$E$9</f>
        <v/>
      </c>
    </row>
    <row r="8">
      <c r="B8" t="inlineStr">
        <is>
          <t>Creation unit implied share of total AUM</t>
        </is>
      </c>
      <c r="C8" s="12">
        <f>C6/(Assumptions!$E$5*1000000)</f>
        <v/>
      </c>
    </row>
    <row r="9">
      <c r="B9" t="inlineStr">
        <is>
          <t>Premium / (discount) at market price vs. NAV</t>
        </is>
      </c>
      <c r="C9" s="12">
        <f>Assumptions!$E$10</f>
        <v/>
      </c>
    </row>
    <row r="10">
      <c r="B10" t="inlineStr">
        <is>
          <t>AP arbitrage profit per creation unit at current premium/discount</t>
        </is>
      </c>
      <c r="C10" s="20">
        <f>C9*C7</f>
        <v/>
      </c>
    </row>
    <row r="11">
      <c r="B11" t="inlineStr">
        <is>
          <t>AP action threshold breached?</t>
        </is>
      </c>
      <c r="C11">
        <f>IF(ABS(C9)&gt;Assumptions!$E$14,"YES -- AP arbitrage expected to compress premium/discount","NO -- within normal trading band")</f>
        <v/>
      </c>
    </row>
  </sheetData>
  <mergeCells count="1">
    <mergeCell ref="B2:C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C1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56" customWidth="1" min="2" max="2"/>
    <col width="20" customWidth="1" min="3" max="3"/>
  </cols>
  <sheetData>
    <row r="2" ht="28" customHeight="1">
      <c r="B2" s="1" t="inlineStr">
        <is>
          <t>Fund Return vs. Benchmark: Tracking-Difference Bridge</t>
        </is>
      </c>
    </row>
    <row r="4">
      <c r="B4" s="8" t="inlineStr">
        <is>
          <t>Component</t>
        </is>
      </c>
      <c r="C4" s="8" t="inlineStr">
        <is>
          <t>Annualized impact</t>
        </is>
      </c>
    </row>
    <row r="5">
      <c r="B5" t="inlineStr">
        <is>
          <t>Expense ratio drag</t>
        </is>
      </c>
      <c r="C5" s="12">
        <f>-Assumptions!$E$6</f>
        <v/>
      </c>
    </row>
    <row r="6">
      <c r="B6" t="inlineStr">
        <is>
          <t>Securities-lending revenue offset</t>
        </is>
      </c>
      <c r="C6" s="12">
        <f>Assumptions!$E$11</f>
        <v/>
      </c>
    </row>
    <row r="7">
      <c r="B7" t="inlineStr">
        <is>
          <t>Cash-drag cost</t>
        </is>
      </c>
      <c r="C7" s="12">
        <f>-Assumptions!$E$12</f>
        <v/>
      </c>
    </row>
    <row r="8">
      <c r="B8" t="inlineStr">
        <is>
          <t>Sampling / optimization tracking error (+/-)</t>
        </is>
      </c>
      <c r="C8" s="12">
        <f>-Assumptions!$E$13</f>
        <v/>
      </c>
    </row>
    <row r="9">
      <c r="B9" t="inlineStr">
        <is>
          <t>Estimated net tracking difference (fund return - benchmark return)</t>
        </is>
      </c>
      <c r="C9" s="12">
        <f>SUM(C5:C8)</f>
        <v/>
      </c>
    </row>
    <row r="11">
      <c r="B11" t="inlineStr">
        <is>
          <t>Reference: trailing dividend yield (informational, not part of tracking bridge)</t>
        </is>
      </c>
      <c r="C11" s="12">
        <f>Assumptions!$E$7</f>
        <v/>
      </c>
    </row>
  </sheetData>
  <mergeCells count="1">
    <mergeCell ref="B2:C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C11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58" customWidth="1" min="2" max="2"/>
    <col width="18" customWidth="1" min="3" max="3"/>
  </cols>
  <sheetData>
    <row r="2" ht="28" customHeight="1">
      <c r="B2" s="1" t="inlineStr">
        <is>
          <t>ETF Model Checks</t>
        </is>
      </c>
    </row>
    <row r="4">
      <c r="B4" s="8" t="inlineStr">
        <is>
          <t>Check</t>
        </is>
      </c>
      <c r="C4" s="8" t="inlineStr">
        <is>
          <t>Status</t>
        </is>
      </c>
    </row>
    <row r="5">
      <c r="B5" t="inlineStr">
        <is>
          <t>Holdings weights (shown + other) sum to ~100%</t>
        </is>
      </c>
      <c r="C5">
        <f>IF(ABS('Portfolio Construction'!D36-1)&lt;0.02,"PASS","REVIEW")</f>
        <v/>
      </c>
    </row>
    <row r="6">
      <c r="B6" t="inlineStr">
        <is>
          <t>Disclosed sector weights sum within a plausible band (90%-101%)</t>
        </is>
      </c>
      <c r="C6">
        <f>IF(AND('Portfolio Construction'!C51&gt;=0.90,'Portfolio Construction'!C51&lt;=1.01),"PASS","REVIEW")</f>
        <v/>
      </c>
    </row>
    <row r="7">
      <c r="B7" t="inlineStr">
        <is>
          <t>Implied shares outstanding is positive</t>
        </is>
      </c>
      <c r="C7">
        <f>IF(Assumptions!C16&gt;0,"PASS","FAIL")</f>
        <v/>
      </c>
    </row>
    <row r="8">
      <c r="B8" t="inlineStr">
        <is>
          <t>Creation unit basket value is positive</t>
        </is>
      </c>
      <c r="C8">
        <f>IF('Creation &amp; Redemption'!C6&gt;0,"PASS","FAIL")</f>
        <v/>
      </c>
    </row>
    <row r="9">
      <c r="B9" t="inlineStr">
        <is>
          <t>Net expense ratio is nonnegative and below 3%</t>
        </is>
      </c>
      <c r="C9">
        <f>IF(AND(Assumptions!E6&gt;=0,Assumptions!E6&lt;0.03),"PASS","REVIEW")</f>
        <v/>
      </c>
    </row>
    <row r="10">
      <c r="B10" t="inlineStr">
        <is>
          <t>Estimated net tracking difference within a plausible band (-2% to +0.5%)</t>
        </is>
      </c>
      <c r="C10">
        <f>IF(AND('Tracking Error &amp; Costs'!C9&gt;=-0.02,'Tracking Error &amp; Costs'!C9&lt;=0.005),"PASS","REVIEW")</f>
        <v/>
      </c>
    </row>
    <row r="11">
      <c r="B11" t="inlineStr">
        <is>
          <t>Overall</t>
        </is>
      </c>
      <c r="C11">
        <f>IF(COUNTIF(C5:C10,"FAIL")&gt;0,"FAIL",IF(COUNTIF(C5:C10,"REVIEW")&gt;0,"REVIEW","PASS"))</f>
        <v/>
      </c>
    </row>
  </sheetData>
  <mergeCells count="1">
    <mergeCell ref="B2:C2"/>
  </mergeCells>
  <conditionalFormatting sqref="C5:C11">
    <cfRule type="expression" priority="1" dxfId="0">
      <formula>C5="PASS"</formula>
    </cfRule>
    <cfRule type="expression" priority="2" dxfId="1">
      <formula>C5="FAIL"</formula>
    </cfRule>
    <cfRule type="expression" priority="3" dxfId="2">
      <formula>C5="REVIEW"</formula>
    </cfRule>
    <cfRule type="expression" priority="4" dxfId="1">
      <formula>C5="BREACH"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E1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34" customWidth="1" min="2" max="2"/>
    <col width="58" customWidth="1" min="3" max="3"/>
    <col width="16" customWidth="1" min="4" max="4"/>
    <col width="48" customWidth="1" min="5" max="5"/>
  </cols>
  <sheetData>
    <row r="2" ht="28" customHeight="1">
      <c r="B2" s="1" t="inlineStr">
        <is>
          <t>Source Register</t>
        </is>
      </c>
    </row>
    <row r="4">
      <c r="B4" s="8" t="inlineStr">
        <is>
          <t>Input / dataset</t>
        </is>
      </c>
      <c r="C4" s="8" t="inlineStr">
        <is>
          <t>Source URL or document</t>
        </is>
      </c>
      <c r="D4" s="8" t="inlineStr">
        <is>
          <t>As-of</t>
        </is>
      </c>
      <c r="E4" s="8" t="inlineStr">
        <is>
          <t>Notes / transformation</t>
        </is>
      </c>
    </row>
    <row r="5">
      <c r="B5" s="21" t="inlineStr">
        <is>
          <t>ETF issuer fund profile / holdings disclosure</t>
        </is>
      </c>
      <c r="C5" s="21" t="inlineStr">
        <is>
          <t>[issuer fact sheet or N-CSR/N-PORT filing]</t>
        </is>
      </c>
      <c r="D5" s="21" t="inlineStr">
        <is>
          <t>[date]</t>
        </is>
      </c>
      <c r="E5" s="21" t="inlineStr">
        <is>
          <t>AUM, expense ratio, dividend yield, holdings, sector weights</t>
        </is>
      </c>
    </row>
    <row r="6">
      <c r="B6" s="21" t="inlineStr">
        <is>
          <t>Market data (last price, volume)</t>
        </is>
      </c>
      <c r="C6" s="21" t="inlineStr">
        <is>
          <t>[exchange / market data vendor]</t>
        </is>
      </c>
      <c r="D6" s="21" t="inlineStr">
        <is>
          <t>[date]</t>
        </is>
      </c>
      <c r="E6" s="21" t="inlineStr">
        <is>
          <t>Market price used as a NAV proxy</t>
        </is>
      </c>
    </row>
    <row r="7">
      <c r="B7" s="21" t="inlineStr">
        <is>
          <t>Prospectus / Statement of Additional Information</t>
        </is>
      </c>
      <c r="C7" s="21" t="inlineStr">
        <is>
          <t>[SEC-filed prospectus / SAI]</t>
        </is>
      </c>
      <c r="D7" s="21" t="inlineStr">
        <is>
          <t>[date]</t>
        </is>
      </c>
      <c r="E7" s="21" t="inlineStr">
        <is>
          <t>Creation unit size, in-kind/cash creation mix, authorized participant list</t>
        </is>
      </c>
    </row>
    <row r="8">
      <c r="B8" s="32" t="inlineStr">
        <is>
          <t>KraneShares CSI China Internet ETF Profile (Alpha Vantage, fund-disclosed holdings/AUM/expense ratio)</t>
        </is>
      </c>
      <c r="C8" s="32" t="inlineStr">
        <is>
          <t>https://www.alphavantage.co/documentation/#etf-profile</t>
        </is>
      </c>
      <c r="D8" s="32" t="inlineStr">
        <is>
          <t>2026-08-17</t>
        </is>
      </c>
      <c r="E8" s="32" t="inlineStr">
        <is>
          <t>Fund net assets, net expense ratio, and trailing dividend yield, retrieved via Alpha Vantage ETF_PROFILE (symbol=KWEB). Sourced from the fund's own disclosed holdings/profile data. This endpoint returned no sector breakdown for this fund (unlike QQQ) -- sector weights below are sourced from the fund's SEC N-CSR instead.</t>
        </is>
      </c>
    </row>
    <row r="9">
      <c r="B9" s="32" t="inlineStr">
        <is>
          <t>KWEB market close price (Alpha Vantage GLOBAL_QUOTE, 2026-08-14)</t>
        </is>
      </c>
      <c r="C9" s="32" t="inlineStr">
        <is>
          <t>https://www.alphavantage.co/documentation/#quote-endpoint</t>
        </is>
      </c>
      <c r="D9" s="32" t="inlineStr">
        <is>
          <t>2026-08-14</t>
        </is>
      </c>
      <c r="E9" s="32" t="inlineStr">
        <is>
          <t>Last daily close $27.01, retrieved via Alpha Vantage GLOBAL_QUOTE (symbol=KWEB).</t>
        </is>
      </c>
    </row>
    <row r="10">
      <c r="B10" s="32" t="inlineStr">
        <is>
          <t>KraneShares CSI China Internet ETF Annual Shareholder Report (SEC Form N-CSR)</t>
        </is>
      </c>
      <c r="C10" s="32" t="inlineStr">
        <is>
          <t>https://www.sec.gov/Archives/edgar/data/1547576/000182912626006162/kraneshares_ncsr.htm</t>
        </is>
      </c>
      <c r="D10" s="32" t="inlineStr">
        <is>
          <t>2026-03-31</t>
        </is>
      </c>
      <c r="E10" s="32" t="inlineStr">
        <is>
          <t>Filed 2026-06-08, accession 0001829126-26-006162, CIK 0001547576. Source of sector weightings, total net assets, holdings count, and the realized 5-year average annual total return used as this case's adversarial outcome.</t>
        </is>
      </c>
    </row>
    <row r="11">
      <c r="B11" s="32" t="inlineStr">
        <is>
          <t>Case design decision</t>
        </is>
      </c>
      <c r="C11" s="32" t="inlineStr">
        <is>
          <t>repo://tools/build_etf_kweb_case.py</t>
        </is>
      </c>
      <c r="D11" s="32" t="inlineStr">
        <is>
          <t>2026-08-17</t>
        </is>
      </c>
      <c r="E11" s="32" t="inlineStr">
        <is>
          <t>This case is the adversarial half of the pair; only the Downside column is populated with real data.</t>
        </is>
      </c>
    </row>
  </sheetData>
  <mergeCells count="1">
    <mergeCell ref="B2:E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G2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14" customWidth="1" min="2" max="2"/>
    <col width="22" customWidth="1" min="3" max="3"/>
    <col width="28" customWidth="1" min="4" max="4"/>
    <col width="38" customWidth="1" min="5" max="5"/>
    <col width="34" customWidth="1" min="6" max="6"/>
    <col width="18" customWidth="1" min="7" max="7"/>
  </cols>
  <sheetData>
    <row r="2" ht="28" customHeight="1">
      <c r="B2" s="1" t="inlineStr">
        <is>
          <t>Refresh Log</t>
        </is>
      </c>
    </row>
    <row r="4">
      <c r="B4" s="8" t="inlineStr">
        <is>
          <t>Date</t>
        </is>
      </c>
      <c r="C4" s="8" t="inlineStr">
        <is>
          <t>Trigger</t>
        </is>
      </c>
      <c r="D4" s="8" t="inlineStr">
        <is>
          <t>Source snapshot</t>
        </is>
      </c>
      <c r="E4" s="8" t="inlineStr">
        <is>
          <t>What changed</t>
        </is>
      </c>
      <c r="F4" s="8" t="inlineStr">
        <is>
          <t>Reviewer / challenge</t>
        </is>
      </c>
      <c r="G4" s="8" t="inlineStr">
        <is>
          <t>Next check</t>
        </is>
      </c>
    </row>
    <row r="5">
      <c r="B5" s="22" t="inlineStr">
        <is>
          <t>2026-08-17</t>
        </is>
      </c>
      <c r="C5" s="22" t="inlineStr">
        <is>
          <t>Adversarial-pair sourcing for the ETF Construction &amp; Management domain (model_card.md thin-coverage gap)</t>
        </is>
      </c>
      <c r="D5" s="22" t="inlineStr">
        <is>
          <t>Generated public case etf-public-kweb-2026-stress from canonical release template</t>
        </is>
      </c>
      <c r="E5" s="22" t="inlineStr">
        <is>
          <t>External historical case; human stakeholder approval remains pending</t>
        </is>
      </c>
      <c r="F5" s="22" t="inlineStr">
        <is>
          <t>On source revision, builder change, monitoring breach, or quarterly review</t>
        </is>
      </c>
      <c r="G5" s="22" t="n"/>
    </row>
    <row r="6">
      <c r="B6" s="22" t="n"/>
      <c r="C6" s="22" t="n"/>
      <c r="D6" s="22" t="n"/>
      <c r="E6" s="22" t="n"/>
      <c r="F6" s="22" t="n"/>
      <c r="G6" s="22" t="n"/>
    </row>
    <row r="7">
      <c r="B7" s="22" t="n"/>
      <c r="C7" s="22" t="n"/>
      <c r="D7" s="22" t="n"/>
      <c r="E7" s="22" t="n"/>
      <c r="F7" s="22" t="n"/>
      <c r="G7" s="22" t="n"/>
    </row>
    <row r="8">
      <c r="B8" s="22" t="n"/>
      <c r="C8" s="22" t="n"/>
      <c r="D8" s="22" t="n"/>
      <c r="E8" s="22" t="n"/>
      <c r="F8" s="22" t="n"/>
      <c r="G8" s="22" t="n"/>
    </row>
    <row r="9">
      <c r="B9" s="22" t="n"/>
      <c r="C9" s="22" t="n"/>
      <c r="D9" s="22" t="n"/>
      <c r="E9" s="22" t="n"/>
      <c r="F9" s="22" t="n"/>
      <c r="G9" s="22" t="n"/>
    </row>
    <row r="10">
      <c r="B10" s="22" t="n"/>
      <c r="C10" s="22" t="n"/>
      <c r="D10" s="22" t="n"/>
      <c r="E10" s="22" t="n"/>
      <c r="F10" s="22" t="n"/>
      <c r="G10" s="22" t="n"/>
    </row>
    <row r="11">
      <c r="B11" s="22" t="n"/>
      <c r="C11" s="22" t="n"/>
      <c r="D11" s="22" t="n"/>
      <c r="E11" s="22" t="n"/>
      <c r="F11" s="22" t="n"/>
      <c r="G11" s="22" t="n"/>
    </row>
    <row r="12">
      <c r="B12" s="22" t="n"/>
      <c r="C12" s="22" t="n"/>
      <c r="D12" s="22" t="n"/>
      <c r="E12" s="22" t="n"/>
      <c r="F12" s="22" t="n"/>
      <c r="G12" s="22" t="n"/>
    </row>
    <row r="13">
      <c r="B13" s="22" t="n"/>
      <c r="C13" s="22" t="n"/>
      <c r="D13" s="22" t="n"/>
      <c r="E13" s="22" t="n"/>
      <c r="F13" s="22" t="n"/>
      <c r="G13" s="22" t="n"/>
    </row>
    <row r="14">
      <c r="B14" s="22" t="n"/>
      <c r="C14" s="22" t="n"/>
      <c r="D14" s="22" t="n"/>
      <c r="E14" s="22" t="n"/>
      <c r="F14" s="22" t="n"/>
      <c r="G14" s="22" t="n"/>
    </row>
    <row r="15">
      <c r="B15" s="22" t="n"/>
      <c r="C15" s="22" t="n"/>
      <c r="D15" s="22" t="n"/>
      <c r="E15" s="22" t="n"/>
      <c r="F15" s="22" t="n"/>
      <c r="G15" s="22" t="n"/>
    </row>
    <row r="16">
      <c r="B16" s="22" t="n"/>
      <c r="C16" s="22" t="n"/>
      <c r="D16" s="22" t="n"/>
      <c r="E16" s="22" t="n"/>
      <c r="F16" s="22" t="n"/>
      <c r="G16" s="22" t="n"/>
    </row>
    <row r="17">
      <c r="B17" s="22" t="n"/>
      <c r="C17" s="22" t="n"/>
      <c r="D17" s="22" t="n"/>
      <c r="E17" s="22" t="n"/>
      <c r="F17" s="22" t="n"/>
      <c r="G17" s="22" t="n"/>
    </row>
    <row r="18">
      <c r="B18" s="22" t="n"/>
      <c r="C18" s="22" t="n"/>
      <c r="D18" s="22" t="n"/>
      <c r="E18" s="22" t="n"/>
      <c r="F18" s="22" t="n"/>
      <c r="G18" s="22" t="n"/>
    </row>
    <row r="19">
      <c r="B19" s="22" t="n"/>
      <c r="C19" s="22" t="n"/>
      <c r="D19" s="22" t="n"/>
      <c r="E19" s="22" t="n"/>
      <c r="F19" s="22" t="n"/>
      <c r="G19" s="22" t="n"/>
    </row>
    <row r="20">
      <c r="B20" s="22" t="n"/>
      <c r="C20" s="22" t="n"/>
      <c r="D20" s="22" t="n"/>
      <c r="E20" s="22" t="n"/>
      <c r="F20" s="22" t="n"/>
      <c r="G20" s="22" t="n"/>
    </row>
    <row r="21">
      <c r="B21" s="22" t="n"/>
      <c r="C21" s="22" t="n"/>
      <c r="D21" s="22" t="n"/>
      <c r="E21" s="22" t="n"/>
      <c r="F21" s="22" t="n"/>
      <c r="G21" s="22" t="n"/>
    </row>
    <row r="22">
      <c r="B22" s="22" t="n"/>
      <c r="C22" s="22" t="n"/>
      <c r="D22" s="22" t="n"/>
      <c r="E22" s="22" t="n"/>
      <c r="F22" s="22" t="n"/>
      <c r="G22" s="22" t="n"/>
    </row>
    <row r="23">
      <c r="B23" s="22" t="n"/>
      <c r="C23" s="22" t="n"/>
      <c r="D23" s="22" t="n"/>
      <c r="E23" s="22" t="n"/>
      <c r="F23" s="22" t="n"/>
      <c r="G23" s="22" t="n"/>
    </row>
    <row r="24">
      <c r="B24" s="22" t="n"/>
      <c r="C24" s="22" t="n"/>
      <c r="D24" s="22" t="n"/>
      <c r="E24" s="22" t="n"/>
      <c r="F24" s="22" t="n"/>
      <c r="G24" s="22" t="n"/>
    </row>
    <row r="25">
      <c r="B25" s="22" t="n"/>
      <c r="C25" s="22" t="n"/>
      <c r="D25" s="22" t="n"/>
      <c r="E25" s="22" t="n"/>
      <c r="F25" s="22" t="n"/>
      <c r="G25" s="22" t="n"/>
    </row>
    <row r="26">
      <c r="B26" s="22" t="n"/>
      <c r="C26" s="22" t="n"/>
      <c r="D26" s="22" t="n"/>
      <c r="E26" s="22" t="n"/>
      <c r="F26" s="22" t="n"/>
      <c r="G26" s="22" t="n"/>
    </row>
    <row r="27">
      <c r="B27" s="22" t="n"/>
      <c r="C27" s="22" t="n"/>
      <c r="D27" s="22" t="n"/>
      <c r="E27" s="22" t="n"/>
      <c r="F27" s="22" t="n"/>
      <c r="G27" s="22" t="n"/>
    </row>
    <row r="28">
      <c r="B28" s="22" t="n"/>
      <c r="C28" s="22" t="n"/>
      <c r="D28" s="22" t="n"/>
      <c r="E28" s="22" t="n"/>
      <c r="F28" s="22" t="n"/>
      <c r="G28" s="22" t="n"/>
    </row>
    <row r="29">
      <c r="B29" s="22" t="n"/>
      <c r="C29" s="22" t="n"/>
      <c r="D29" s="22" t="n"/>
      <c r="E29" s="22" t="n"/>
      <c r="F29" s="22" t="n"/>
      <c r="G29" s="22" t="n"/>
    </row>
  </sheetData>
  <mergeCells count="1">
    <mergeCell ref="B2:G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2026-08-06T01:35:54Z</dcterms:created>
  <dcterms:modified xmlns:dcterms="http://purl.org/dc/terms/" xmlns:xsi="http://www.w3.org/2001/XMLSchema-instance" xsi:type="dcterms:W3CDTF">2026-08-17T18:04:49Z</dcterms:modified>
</cp:coreProperties>
</file>