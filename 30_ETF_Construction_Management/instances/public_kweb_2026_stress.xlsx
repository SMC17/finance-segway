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ortfolio Construction" sheetId="6" state="visible" r:id="rId8"/>
    <sheet name="Creation &amp; Redemption" sheetId="7" state="visible" r:id="rId9"/>
    <sheet name="Tracking Error &amp; Costs" sheetId="8" state="visible" r:id="rId10"/>
    <sheet name="Checks" sheetId="9" state="visible" r:id="rId11"/>
    <sheet name="Sources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<sst xmlns="http://schemas.openxmlformats.org/spreadsheetml/2006/main" count="382" uniqueCount="275">
  <si>
    <t xml:space="preserve">[ETF] — Construction, Creation/Redemption, and Tracking-Cost Model</t>
  </si>
  <si>
    <t xml:space="preserve">ETF / share class:</t>
  </si>
  <si>
    <t xml:space="preserve">KraneShares CSI China Internet ETF (NYSE Arca: KWEB)</t>
  </si>
  <si>
    <t xml:space="preserve">Benchmark index:</t>
  </si>
  <si>
    <t xml:space="preserve">CSI Overseas China Internet Index</t>
  </si>
  <si>
    <t xml:space="preserve">As of date:</t>
  </si>
  <si>
    <t xml:space="preserve">[date]</t>
  </si>
  <si>
    <t xml:space="preserve">Last refreshed:</t>
  </si>
  <si>
    <t xml:space="preserve">2026-08-17</t>
  </si>
  <si>
    <t xml:space="preserve">Next NAV / holdings refresh: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</si>
  <si>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</si>
  <si>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</si>
  <si>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</si>
  <si>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</si>
  <si>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</si>
  <si>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</si>
  <si>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</si>
  <si>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</si>
  <si>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</si>
  <si>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</si>
  <si>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</si>
  <si>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</si>
  <si>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</si>
  <si>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ETF Construction &amp; Management — Institutional Decision Surface</t>
  </si>
  <si>
    <t xml:space="preserve">Model ID</t>
  </si>
  <si>
    <t xml:space="preserve">30</t>
  </si>
  <si>
    <t xml:space="preserve">Domain</t>
  </si>
  <si>
    <t xml:space="preserve">ETF Construction &amp; Management</t>
  </si>
  <si>
    <t xml:space="preserve">Declared maturity</t>
  </si>
  <si>
    <t xml:space="preserve">M2</t>
  </si>
  <si>
    <t xml:space="preserve">Canonical builder</t>
  </si>
  <si>
    <t xml:space="preserve">tools/builders/build_etf_construction_institutional.py</t>
  </si>
  <si>
    <t xml:space="preserve">Decision arena</t>
  </si>
  <si>
    <t xml:space="preserve">fund board, authorized participant desk, capital markets/index committee</t>
  </si>
  <si>
    <t xml:space="preserve">Committee artifact</t>
  </si>
  <si>
    <t xml:space="preserve">quarterly holdings and tracking-difference report</t>
  </si>
  <si>
    <t xml:space="preserve">Operating cadence</t>
  </si>
  <si>
    <t xml:space="preserve">daily NAV and holdings disclosure; quarterly tracking-difference report; annual prospectus update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</si>
  <si>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</si>
  <si>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</si>
  <si>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</si>
  <si>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</si>
  <si>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</si>
  <si>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</si>
  <si>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net tracking difference (fund return vs. benchmark return)</t>
  </si>
  <si>
    <t xml:space="preserve">OPEN</t>
  </si>
  <si>
    <t xml:space="preserve">creation unit basket value and AP arbitrage economics</t>
  </si>
  <si>
    <t xml:space="preserve">premium/discount to NAV and portfolio sector/holdings weights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</si>
  <si>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</si>
  <si>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</si>
  <si>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</si>
  <si>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funds realized tracking difference versus its benchmark over the last year?</t>
  </si>
  <si>
    <t xml:space="preserve">How concentrated is the portfolio in its largest holdings and sectors?</t>
  </si>
  <si>
    <t xml:space="preserve">What premium or discount to NAV is the fund currently trading at, and is AP arbitrage keeping it in bounds?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</si>
  <si>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</si>
  <si>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</si>
  <si>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</si>
  <si>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authorized participant withdrawal or reduced creation/redemption activity</t>
  </si>
  <si>
    <t xml:space="preserve">index reconstitution and rebalance turnover</t>
  </si>
  <si>
    <t xml:space="preserve">securities-lending market disruption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</si>
  <si>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</si>
  <si>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</si>
  <si>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</si>
  <si>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fund prospectus and Statement of Additional Information</t>
  </si>
  <si>
    <t xml:space="preserve">daily holdings and NAV disclosure</t>
  </si>
  <si>
    <t xml:space="preserve">authorized participant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</si>
  <si>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</si>
  <si>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</si>
  <si>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</si>
  <si>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holdings and sector weights reconcile to disclosed totals</t>
  </si>
  <si>
    <t xml:space="preserve">creation unit basket value ties to NAV and market price</t>
  </si>
  <si>
    <t xml:space="preserve">tracking-difference bridge components are individually plausible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</si>
  <si>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</si>
  <si>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</si>
  <si>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</si>
  <si>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market price as identical to NAV without disclosing the proxy</t>
  </si>
  <si>
    <t xml:space="preserve">ignoring fee-layering or securities-lending revenue in the tracking bridge</t>
  </si>
  <si>
    <t xml:space="preserve">presenting an illustrative creation unit size as a disclosed prospectus fact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</si>
  <si>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</si>
  <si>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</si>
  <si>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</si>
  <si>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</si>
  <si>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</si>
  <si>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</si>
  <si>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</si>
  <si>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</si>
  <si>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</si>
  <si>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</si>
  <si>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</si>
  <si>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</si>
  <si>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</si>
  <si>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</si>
  <si>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</si>
  <si>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</si>
  <si>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</si>
  <si>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</si>
  <si>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</si>
  <si>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</si>
  <si>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</si>
  <si>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</si>
  <si>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</si>
  <si>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</si>
  <si>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</si>
  <si>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</si>
  <si>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</si>
  <si>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</si>
  <si>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</si>
  <si>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</si>
  <si>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</si>
  <si>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</si>
  <si>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</si>
  <si>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</si>
  <si>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fund issuer holdings/profile disclosure</t>
  </si>
  <si>
    <t xml:space="preserve">daily</t>
  </si>
  <si>
    <t xml:space="preserve">fund-administrator-verified holdings and NAV</t>
  </si>
  <si>
    <t xml:space="preserve">TO MAP</t>
  </si>
  <si>
    <t xml:space="preserve">market price and quote data</t>
  </si>
  <si>
    <t xml:space="preserve">real-time/daily</t>
  </si>
  <si>
    <t xml:space="preserve">exchange-reported last trade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</si>
  <si>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</si>
  <si>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</si>
  <si>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</si>
  <si>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</si>
  <si>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</si>
  <si>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</si>
  <si>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Fund, Replication, and Creation-Unit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</si>
  <si>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</si>
  <si>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</si>
  <si>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</si>
  <si>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</si>
  <si>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Fund net assets (AUM)</t>
  </si>
  <si>
    <t xml:space="preserve">$mm</t>
  </si>
  <si>
    <t xml:space="preserve">Net expense ratio</t>
  </si>
  <si>
    <t xml:space="preserve">% p.a.</t>
  </si>
  <si>
    <t xml:space="preserve">Trailing 12-month dividend yield</t>
  </si>
  <si>
    <t xml:space="preserve">Market price (last close)</t>
  </si>
  <si>
    <t xml:space="preserve">$/share</t>
  </si>
  <si>
    <t xml:space="preserve">Standard creation unit size</t>
  </si>
  <si>
    <t xml:space="preserve">shares</t>
  </si>
  <si>
    <t xml:space="preserve">Current premium / (discount) to NAV</t>
  </si>
  <si>
    <t xml:space="preserve">%</t>
  </si>
  <si>
    <t xml:space="preserve">Estimated securities-lending revenue offset</t>
  </si>
  <si>
    <t xml:space="preserve">% of NAV p.a.</t>
  </si>
  <si>
    <t xml:space="preserve">Estimated cash-drag cost</t>
  </si>
  <si>
    <t xml:space="preserve">Estimated sampling / optimization tracking error</t>
  </si>
  <si>
    <t xml:space="preserve">AP arbitrage action threshold</t>
  </si>
  <si>
    <t xml:space="preserve">% premium/discount</t>
  </si>
  <si>
    <t xml:space="preserve">Implied shares outstanding</t>
  </si>
  <si>
    <t xml:space="preserve">mm shares -- derived: AUM / market price</t>
  </si>
  <si>
    <t xml:space="preserve">Constituent Holdings (Look-Through)</t>
  </si>
  <si>
    <t xml:space="preserve">Symbol</t>
  </si>
  <si>
    <t xml:space="preserve">Issuer / description</t>
  </si>
  <si>
    <t xml:space="preserve">Weight</t>
  </si>
  <si>
    <t xml:space="preserve">n/a</t>
  </si>
  <si>
    <t xml:space="preserve">TENCENT HOLDINGS LTD</t>
  </si>
  <si>
    <t xml:space="preserve">ALIBABA GROUP HOLDING LTD ORDINARY SHARES</t>
  </si>
  <si>
    <t xml:space="preserve">PDD</t>
  </si>
  <si>
    <t xml:space="preserve">PDD HOLDINGS INC ADR</t>
  </si>
  <si>
    <t xml:space="preserve">MEITUAN CLASS B</t>
  </si>
  <si>
    <t xml:space="preserve">NETEASE INC ORDINARY SHARES</t>
  </si>
  <si>
    <t xml:space="preserve">JD.COM INC ORDINARY SHARES CLASS A</t>
  </si>
  <si>
    <t xml:space="preserve">YMM</t>
  </si>
  <si>
    <t xml:space="preserve">FULL TRUCK ALLIANCE CO LTD ADR</t>
  </si>
  <si>
    <t xml:space="preserve">KE HOLDINGS INC CLASS A</t>
  </si>
  <si>
    <t xml:space="preserve">KUAISHOU TECHNOLOGY ORDINARY SHARES CLASS B</t>
  </si>
  <si>
    <t xml:space="preserve">TRIP.COM GROUP LTD</t>
  </si>
  <si>
    <t xml:space="preserve">JD HEALTH INTERNATIONAL INC</t>
  </si>
  <si>
    <t xml:space="preserve">BAIDU INC</t>
  </si>
  <si>
    <t xml:space="preserve">BILIBILI INC CLASS Z</t>
  </si>
  <si>
    <t xml:space="preserve">BZ</t>
  </si>
  <si>
    <t xml:space="preserve">KANZHUN LTD ADR</t>
  </si>
  <si>
    <t xml:space="preserve">TME</t>
  </si>
  <si>
    <t xml:space="preserve">TENCENT MUSIC ENTERTAINMENT GROUP ADR</t>
  </si>
  <si>
    <t xml:space="preserve">TAL</t>
  </si>
  <si>
    <t xml:space="preserve">TAL EDUCATION GROUP ADR</t>
  </si>
  <si>
    <t xml:space="preserve">VIPS</t>
  </si>
  <si>
    <t xml:space="preserve">VIPSHOP HOLDINGS LTD ADR</t>
  </si>
  <si>
    <t xml:space="preserve">KINGSOFT CORP LTD</t>
  </si>
  <si>
    <t xml:space="preserve">ALIBABA HEALTH INFORMATION TECHNOLOGY LTD</t>
  </si>
  <si>
    <t xml:space="preserve">TONGCHENG TRAVEL HOLDINGS LTD</t>
  </si>
  <si>
    <t xml:space="preserve">JOYY</t>
  </si>
  <si>
    <t xml:space="preserve">JOYY INC ADR</t>
  </si>
  <si>
    <t xml:space="preserve">CHINA RUYI HOLDINGS LTD</t>
  </si>
  <si>
    <t xml:space="preserve">MEITU INC REGISTERED SHS UNITARY 144A/REG S</t>
  </si>
  <si>
    <t xml:space="preserve">ZHONGAN ONLINE P&amp;C INSURANCE CO LTD ORDINARY SHARES CLASS H</t>
  </si>
  <si>
    <t xml:space="preserve">XD INC ORDINARY SHARES</t>
  </si>
  <si>
    <t xml:space="preserve">ATHM</t>
  </si>
  <si>
    <t xml:space="preserve">AUTOHOME INC ADR</t>
  </si>
  <si>
    <t xml:space="preserve">EAST BUY HOLDING LTD</t>
  </si>
  <si>
    <t xml:space="preserve">NETEASE CLOUD MUSIC INC</t>
  </si>
  <si>
    <t xml:space="preserve">CHINA LITERATURE LTD ORDINARY SHARES</t>
  </si>
  <si>
    <t xml:space="preserve">QFIN</t>
  </si>
  <si>
    <t xml:space="preserve">QFIN HOLDINGS INC ADR</t>
  </si>
  <si>
    <t xml:space="preserve">All other constituents</t>
  </si>
  <si>
    <t xml:space="preserve">[remaining positions]</t>
  </si>
  <si>
    <t xml:space="preserve">Sector Allocation (as disclosed)</t>
  </si>
  <si>
    <t xml:space="preserve">Sector</t>
  </si>
  <si>
    <t xml:space="preserve">CONSUMER DISCRETIONARY</t>
  </si>
  <si>
    <t xml:space="preserve">COMMUNICATION SERVICES</t>
  </si>
  <si>
    <t xml:space="preserve">CONSUMER STAPLES</t>
  </si>
  <si>
    <t xml:space="preserve">INDUSTRIALS</t>
  </si>
  <si>
    <t xml:space="preserve">REAL ESTATE</t>
  </si>
  <si>
    <t xml:space="preserve">SHORT-TERM INVESTMENT</t>
  </si>
  <si>
    <t xml:space="preserve">FINANCIALS</t>
  </si>
  <si>
    <t xml:space="preserve">OTHER ASSETS LESS LIABILITIES</t>
  </si>
  <si>
    <t xml:space="preserve">[Sector 9]</t>
  </si>
  <si>
    <t xml:space="preserve">[Sector 10]</t>
  </si>
  <si>
    <t xml:space="preserve">[Sector 11]</t>
  </si>
  <si>
    <t xml:space="preserve">Total disclosed sector weight</t>
  </si>
  <si>
    <t xml:space="preserve">Creation Unit Economics and Authorized-Participant Arbitrage</t>
  </si>
  <si>
    <t xml:space="preserve">Metric</t>
  </si>
  <si>
    <t xml:space="preserve">Value</t>
  </si>
  <si>
    <t xml:space="preserve">NAV per share (proxy: market price / (1+premium))</t>
  </si>
  <si>
    <t xml:space="preserve">Creation unit basket value (NAV basis)</t>
  </si>
  <si>
    <t xml:space="preserve">Creation unit basket value (market-price basis)</t>
  </si>
  <si>
    <t xml:space="preserve">Creation unit implied share of total AUM</t>
  </si>
  <si>
    <t xml:space="preserve">Premium / (discount) at market price vs. NAV</t>
  </si>
  <si>
    <t xml:space="preserve">AP arbitrage profit per creation unit at current premium/discount</t>
  </si>
  <si>
    <t xml:space="preserve">AP action threshold breached?</t>
  </si>
  <si>
    <t xml:space="preserve">Fund Return vs. Benchmark: Tracking-Difference Bridge</t>
  </si>
  <si>
    <t xml:space="preserve">Component</t>
  </si>
  <si>
    <t xml:space="preserve">Annualized impact</t>
  </si>
  <si>
    <t xml:space="preserve">Expense ratio drag</t>
  </si>
  <si>
    <t xml:space="preserve">Securities-lending revenue offset</t>
  </si>
  <si>
    <t xml:space="preserve">Cash-drag cost</t>
  </si>
  <si>
    <t xml:space="preserve">Sampling / optimization tracking error (+/-)</t>
  </si>
  <si>
    <t xml:space="preserve">Estimated net tracking difference (fund return - benchmark return)</t>
  </si>
  <si>
    <t xml:space="preserve">Reference: trailing dividend yield (informational, not part of tracking bridge)</t>
  </si>
  <si>
    <t xml:space="preserve">ETF Model Checks</t>
  </si>
  <si>
    <t xml:space="preserve">Check</t>
  </si>
  <si>
    <t xml:space="preserve">Holdings weights (shown + other) sum to ~100%</t>
  </si>
  <si>
    <t xml:space="preserve">Disclosed sector weights sum within a plausible band (90%-101%)</t>
  </si>
  <si>
    <t xml:space="preserve">Implied shares outstanding is positive</t>
  </si>
  <si>
    <t xml:space="preserve">Creation unit basket value is positive</t>
  </si>
  <si>
    <t xml:space="preserve">Net expense ratio is nonnegative and below 3%</t>
  </si>
  <si>
    <t xml:space="preserve">Estimated net tracking difference within a plausible band (-2% to +0.5%)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</si>
  <si>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</si>
  <si>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</si>
  <si>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</si>
  <si>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</si>
  <si>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</si>
  <si>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ETF issuer fund profile / holdings disclosure</t>
  </si>
  <si>
    <t xml:space="preserve">[issuer fact sheet or N-CSR/N-PORT filing]</t>
  </si>
  <si>
    <t xml:space="preserve">AUM, expense ratio, dividend yield, holdings, sector weights</t>
  </si>
  <si>
    <t xml:space="preserve">Market data (last price, volume)</t>
  </si>
  <si>
    <t xml:space="preserve">[exchange / market data vendor]</t>
  </si>
  <si>
    <t xml:space="preserve">Market price used as a NAV proxy</t>
  </si>
  <si>
    <t xml:space="preserve">Prospectus / Statement of Additional Information</t>
  </si>
  <si>
    <t xml:space="preserve">[SEC-filed prospectus / SAI]</t>
  </si>
  <si>
    <t xml:space="preserve">Creation unit size, in-kind/cash creation mix, authorized participant list</t>
  </si>
  <si>
    <t xml:space="preserve">KraneShares CSI China Internet ETF Profile (Alpha Vantage, fund-disclosed holdings/AUM/expense ratio)</t>
  </si>
  <si>
    <t xml:space="preserve">https://www.alphavantage.co/documentation/#etf-profile</t>
  </si>
  <si>
    <t xml:space="preserve">Fund net assets, net expense ratio, and trailing dividend yield, retrieved via Alpha Vantage ETF_PROFILE (symbol=KWEB). Sourced from the fund's own disclosed holdings/profile data. This endpoint returned no sector breakdown for this fund (unlike QQQ) -- sector weights below are sourced from the fund's SEC N-CSR instead.</t>
  </si>
  <si>
    <t xml:space="preserve">KWEB market close price (Alpha Vantage GLOBAL_QUOTE, 2026-08-14)</t>
  </si>
  <si>
    <t xml:space="preserve">https://www.alphavantage.co/documentation/#quote-endpoint</t>
  </si>
  <si>
    <t xml:space="preserve">2026-08-14</t>
  </si>
  <si>
    <t xml:space="preserve">Last daily close $27.01, retrieved via Alpha Vantage GLOBAL_QUOTE (symbol=KWEB).</t>
  </si>
  <si>
    <t xml:space="preserve">KraneShares CSI China Internet ETF Annual Shareholder Report (SEC Form N-CSR)</t>
  </si>
  <si>
    <t xml:space="preserve">https://www.sec.gov/Archives/edgar/data/1547576/000182912626006162/kraneshares_ncsr.htm</t>
  </si>
  <si>
    <t xml:space="preserve">2026-03-31</t>
  </si>
  <si>
    <t xml:space="preserve">Filed 2026-06-08, accession 0001829126-26-006162, CIK 0001547576. Source of sector weightings, total net assets, holdings count, and the realized 5-year average annual total return used as this case's adversarial outcome.</t>
  </si>
  <si>
    <t xml:space="preserve">Case design decision</t>
  </si>
  <si>
    <t xml:space="preserve">repo://tools/build_etf_kweb_case.py</t>
  </si>
  <si>
    <t xml:space="preserve">This case is the adversarial half of the pair; only the Downside column is populated with real data.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</si>
  <si>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</si>
  <si>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</si>
  <si>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</si>
  <si>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</si>
  <si>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</si>
  <si>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</si>
  <si>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Adversarial-pair sourcing for the ETF Construction &amp; Management domain (model_card.md thin-coverage gap)</t>
  </si>
  <si>
    <t xml:space="preserve">repo://30_ETF_Construction_Management/sources/snapshots/etf-public-kweb-2026-stress.json</t>
  </si>
  <si>
    <t xml:space="preserve">Generated public case etf-public-kweb-2026-stress from canonical release template</t>
  </si>
  <si>
    <t xml:space="preserve">External historical case; human stakeholder approval remains pending</t>
  </si>
  <si>
    <t xml:space="preserve">On source revision, builder change, monitoring breach, or quarterly review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</si>
</sst>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[RED]&quot;($&quot;#,##0.0\);\-"/>
    <numFmt numFmtId="166" formatCode="0.00%;[RED]\(0.00%\);\-"/>
    <numFmt numFmtId="167" formatCode="\$#,##0.00;[RED]&quot;($&quot;#,##0.00\);\-"/>
    <numFmt numFmtId="168" formatCode="#,##0"/>
    <numFmt numFmtId="169" formatCode="#,##0.0"/>
    <numFmt numFmtId="170" formatCode="\$#,##0;[RED]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4" t="s">
        <v>6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4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23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24</v>
      </c>
      <c r="C4" s="11" t="s">
        <v>25</v>
      </c>
      <c r="D4" s="11"/>
      <c r="E4" s="11"/>
      <c r="F4" s="11"/>
    </row>
    <row r="5" customFormat="false" ht="15" hidden="false" customHeight="true" outlineLevel="0" collapsed="false">
      <c r="B5" s="10" t="s">
        <v>26</v>
      </c>
      <c r="C5" s="11" t="s">
        <v>27</v>
      </c>
      <c r="D5" s="11"/>
      <c r="E5" s="11"/>
      <c r="F5" s="11"/>
    </row>
    <row r="6" customFormat="false" ht="15" hidden="false" customHeight="true" outlineLevel="0" collapsed="false">
      <c r="B6" s="10" t="s">
        <v>28</v>
      </c>
      <c r="C6" s="11" t="s">
        <v>29</v>
      </c>
      <c r="D6" s="11"/>
      <c r="E6" s="11"/>
      <c r="F6" s="11"/>
    </row>
    <row r="7" customFormat="false" ht="15" hidden="false" customHeight="true" outlineLevel="0" collapsed="false">
      <c r="B7" s="10" t="s">
        <v>30</v>
      </c>
      <c r="C7" s="11" t="s">
        <v>31</v>
      </c>
      <c r="D7" s="11"/>
      <c r="E7" s="11"/>
      <c r="F7" s="11"/>
    </row>
    <row r="8" customFormat="false" ht="15" hidden="false" customHeight="true" outlineLevel="0" collapsed="false">
      <c r="B8" s="10" t="s">
        <v>32</v>
      </c>
      <c r="C8" s="11" t="s">
        <v>33</v>
      </c>
      <c r="D8" s="11"/>
      <c r="E8" s="11"/>
      <c r="F8" s="11"/>
    </row>
    <row r="9" customFormat="false" ht="15" hidden="false" customHeight="true" outlineLevel="0" collapsed="false">
      <c r="B9" s="10" t="s">
        <v>34</v>
      </c>
      <c r="C9" s="11" t="s">
        <v>35</v>
      </c>
      <c r="D9" s="11"/>
      <c r="E9" s="11"/>
      <c r="F9" s="11"/>
    </row>
    <row r="10" customFormat="false" ht="15" hidden="false" customHeight="true" outlineLevel="0" collapsed="false">
      <c r="B10" s="10" t="s">
        <v>36</v>
      </c>
      <c r="C10" s="11" t="s">
        <v>37</v>
      </c>
      <c r="D10" s="11"/>
      <c r="E10" s="11"/>
      <c r="F10" s="11"/>
    </row>
    <row r="12" customFormat="false" ht="15" hidden="false" customHeight="false" outlineLevel="0" collapsed="false">
      <c r="B12" s="12" t="s">
        <v>38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F13" s="13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4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4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4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4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4" t="s">
        <v>45</v>
      </c>
    </row>
    <row r="20" customFormat="false" ht="15" hidden="false" customHeight="false" outlineLevel="0" collapsed="false">
      <c r="B20" s="12" t="s">
        <v>50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39</v>
      </c>
      <c r="C21" s="13" t="s">
        <v>40</v>
      </c>
      <c r="D21" s="13" t="s">
        <v>41</v>
      </c>
      <c r="E21" s="13" t="s">
        <v>42</v>
      </c>
      <c r="F21" s="13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4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4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4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4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4" t="s">
        <v>45</v>
      </c>
    </row>
    <row r="28" customFormat="false" ht="15" hidden="false" customHeight="false" outlineLevel="0" collapsed="false">
      <c r="B28" s="12" t="s">
        <v>56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39</v>
      </c>
      <c r="C29" s="13" t="s">
        <v>40</v>
      </c>
      <c r="D29" s="13" t="s">
        <v>41</v>
      </c>
      <c r="E29" s="13" t="s">
        <v>42</v>
      </c>
      <c r="F29" s="13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4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4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4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4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4" t="s">
        <v>45</v>
      </c>
    </row>
    <row r="36" customFormat="false" ht="15" hidden="false" customHeight="false" outlineLevel="0" collapsed="false">
      <c r="B36" s="12" t="s">
        <v>62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39</v>
      </c>
      <c r="C37" s="13" t="s">
        <v>40</v>
      </c>
      <c r="D37" s="13" t="s">
        <v>41</v>
      </c>
      <c r="E37" s="13" t="s">
        <v>42</v>
      </c>
      <c r="F37" s="13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4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4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4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4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4" t="s">
        <v>45</v>
      </c>
    </row>
    <row r="44" customFormat="false" ht="15" hidden="false" customHeight="false" outlineLevel="0" collapsed="false">
      <c r="B44" s="12" t="s">
        <v>68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39</v>
      </c>
      <c r="C45" s="13" t="s">
        <v>40</v>
      </c>
      <c r="D45" s="13" t="s">
        <v>41</v>
      </c>
      <c r="E45" s="13" t="s">
        <v>42</v>
      </c>
      <c r="F45" s="13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4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4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4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4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4" t="s">
        <v>45</v>
      </c>
    </row>
    <row r="52" customFormat="false" ht="15" hidden="false" customHeight="false" outlineLevel="0" collapsed="false">
      <c r="B52" s="12" t="s">
        <v>74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39</v>
      </c>
      <c r="C53" s="13" t="s">
        <v>40</v>
      </c>
      <c r="D53" s="13" t="s">
        <v>41</v>
      </c>
      <c r="E53" s="13" t="s">
        <v>42</v>
      </c>
      <c r="F53" s="13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4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4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4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4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4" t="s">
        <v>45</v>
      </c>
    </row>
    <row r="60" customFormat="false" ht="15" hidden="false" customHeight="false" outlineLevel="0" collapsed="false">
      <c r="B60" s="12" t="s">
        <v>80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81</v>
      </c>
      <c r="C61" s="13" t="s">
        <v>82</v>
      </c>
      <c r="D61" s="13" t="s">
        <v>83</v>
      </c>
      <c r="E61" s="13" t="s">
        <v>84</v>
      </c>
      <c r="F61" s="13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  <row r="64" customFormat="false" ht="15" hidden="false" customHeight="false" outlineLevel="0" collapsed="false">
      <c r="B64" s="0" t="s">
        <v>93</v>
      </c>
      <c r="C64" s="0" t="s">
        <v>94</v>
      </c>
      <c r="D64" s="0" t="s">
        <v>95</v>
      </c>
      <c r="E64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96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43</v>
      </c>
      <c r="I4" s="13" t="s">
        <v>103</v>
      </c>
    </row>
    <row r="5" customFormat="false" ht="15" hidden="false" customHeight="false" outlineLevel="0" collapsed="false">
      <c r="D5" s="0" t="s">
        <v>69</v>
      </c>
      <c r="H5" s="14" t="s">
        <v>45</v>
      </c>
    </row>
    <row r="6" customFormat="false" ht="15" hidden="false" customHeight="false" outlineLevel="0" collapsed="false">
      <c r="D6" s="0" t="s">
        <v>70</v>
      </c>
      <c r="H6" s="14" t="s">
        <v>45</v>
      </c>
    </row>
    <row r="7" customFormat="false" ht="15" hidden="false" customHeight="false" outlineLevel="0" collapsed="false">
      <c r="D7" s="0" t="s">
        <v>71</v>
      </c>
      <c r="H7" s="14" t="s">
        <v>45</v>
      </c>
    </row>
    <row r="8" customFormat="false" ht="15" hidden="false" customHeight="false" outlineLevel="0" collapsed="false">
      <c r="D8" s="0" t="s">
        <v>72</v>
      </c>
      <c r="H8" s="14" t="s">
        <v>45</v>
      </c>
    </row>
    <row r="9" customFormat="false" ht="15" hidden="false" customHeight="false" outlineLevel="0" collapsed="false">
      <c r="D9" s="0" t="s">
        <v>73</v>
      </c>
      <c r="H9" s="14" t="s">
        <v>45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104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41</v>
      </c>
      <c r="H4" s="13" t="s">
        <v>110</v>
      </c>
      <c r="I4" s="13" t="s">
        <v>111</v>
      </c>
      <c r="J4" s="13" t="s">
        <v>43</v>
      </c>
    </row>
    <row r="5" customFormat="false" ht="15" hidden="false" customHeight="false" outlineLevel="0" collapsed="false">
      <c r="B5" s="0" t="s">
        <v>112</v>
      </c>
      <c r="C5" s="0" t="s">
        <v>113</v>
      </c>
      <c r="D5" s="0" t="s">
        <v>114</v>
      </c>
      <c r="J5" s="14" t="s">
        <v>115</v>
      </c>
    </row>
    <row r="6" customFormat="false" ht="15" hidden="false" customHeight="false" outlineLevel="0" collapsed="false">
      <c r="B6" s="0" t="s">
        <v>116</v>
      </c>
      <c r="C6" s="0" t="s">
        <v>117</v>
      </c>
      <c r="D6" s="0" t="s">
        <v>118</v>
      </c>
      <c r="J6" s="14" t="s">
        <v>115</v>
      </c>
    </row>
    <row r="7" customFormat="false" ht="15" hidden="false" customHeight="false" outlineLevel="0" collapsed="false">
      <c r="B7" s="0" t="s">
        <v>119</v>
      </c>
      <c r="C7" s="0" t="s">
        <v>120</v>
      </c>
      <c r="D7" s="0" t="s">
        <v>121</v>
      </c>
      <c r="J7" s="14" t="s">
        <v>115</v>
      </c>
    </row>
    <row r="8" customFormat="false" ht="15" hidden="false" customHeight="false" outlineLevel="0" collapsed="false">
      <c r="B8" s="0" t="s">
        <v>122</v>
      </c>
      <c r="C8" s="0" t="s">
        <v>123</v>
      </c>
      <c r="D8" s="0" t="s">
        <v>124</v>
      </c>
      <c r="J8" s="14" t="s">
        <v>115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5" min="3" style="0" width="15"/>
    <col collapsed="false" customWidth="true" hidden="false" outlineLevel="0" max="6" min="6" style="0" width="34"/>
  </cols>
  <sheetData>
    <row r="2" customFormat="false" ht="27.75" hidden="false" customHeight="true" outlineLevel="0" collapsed="false">
      <c r="B2" s="1" t="s">
        <v>125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126</v>
      </c>
      <c r="C4" s="15" t="s">
        <v>127</v>
      </c>
      <c r="D4" s="15" t="s">
        <v>11</v>
      </c>
      <c r="E4" s="15" t="s">
        <v>128</v>
      </c>
      <c r="F4" s="15" t="s">
        <v>129</v>
      </c>
    </row>
    <row r="5" customFormat="false" ht="15" hidden="false" customHeight="false" outlineLevel="0" collapsed="false">
      <c r="B5" s="0" t="s">
        <v>130</v>
      </c>
      <c r="C5" s="16" t="n">
        <v>10000</v>
      </c>
      <c r="D5" s="17" t="n">
        <v>6033.6</v>
      </c>
      <c r="E5" s="18" t="n">
        <f aca="false">IF(Cover!$C$9="Downside",D5,C5)</f>
        <v>6033.6</v>
      </c>
      <c r="F5" s="0" t="s">
        <v>131</v>
      </c>
    </row>
    <row r="6" customFormat="false" ht="15" hidden="false" customHeight="false" outlineLevel="0" collapsed="false">
      <c r="B6" s="0" t="s">
        <v>132</v>
      </c>
      <c r="C6" s="19" t="n">
        <v>0.005</v>
      </c>
      <c r="D6" s="20" t="n">
        <v>0.0069</v>
      </c>
      <c r="E6" s="21" t="n">
        <f aca="false">IF(Cover!$C$9="Downside",D6,C6)</f>
        <v>0.0069</v>
      </c>
      <c r="F6" s="0" t="s">
        <v>133</v>
      </c>
    </row>
    <row r="7" customFormat="false" ht="15" hidden="false" customHeight="false" outlineLevel="0" collapsed="false">
      <c r="B7" s="0" t="s">
        <v>134</v>
      </c>
      <c r="C7" s="19" t="n">
        <v>0.015</v>
      </c>
      <c r="D7" s="20" t="n">
        <v>0.0743</v>
      </c>
      <c r="E7" s="21" t="n">
        <f aca="false">IF(Cover!$C$9="Downside",D7,C7)</f>
        <v>0.0743</v>
      </c>
      <c r="F7" s="0" t="s">
        <v>133</v>
      </c>
    </row>
    <row r="8" customFormat="false" ht="15" hidden="false" customHeight="false" outlineLevel="0" collapsed="false">
      <c r="B8" s="0" t="s">
        <v>135</v>
      </c>
      <c r="C8" s="22" t="n">
        <v>100</v>
      </c>
      <c r="D8" s="23" t="n">
        <v>27.01</v>
      </c>
      <c r="E8" s="24" t="n">
        <f aca="false">IF(Cover!$C$9="Downside",D8,C8)</f>
        <v>27.01</v>
      </c>
      <c r="F8" s="0" t="s">
        <v>136</v>
      </c>
    </row>
    <row r="9" customFormat="false" ht="15" hidden="false" customHeight="false" outlineLevel="0" collapsed="false">
      <c r="B9" s="0" t="s">
        <v>137</v>
      </c>
      <c r="C9" s="25" t="n">
        <v>50000</v>
      </c>
      <c r="D9" s="25" t="n">
        <v>50000</v>
      </c>
      <c r="E9" s="26" t="n">
        <f aca="false">IF(Cover!$C$9="Downside",D9,C9)</f>
        <v>50000</v>
      </c>
      <c r="F9" s="0" t="s">
        <v>138</v>
      </c>
    </row>
    <row r="10" customFormat="false" ht="15" hidden="false" customHeight="false" outlineLevel="0" collapsed="false">
      <c r="B10" s="0" t="s">
        <v>139</v>
      </c>
      <c r="C10" s="19" t="n">
        <v>0</v>
      </c>
      <c r="D10" s="19" t="n">
        <v>-0.0025</v>
      </c>
      <c r="E10" s="21" t="n">
        <f aca="false">IF(Cover!$C$9="Downside",D10,C10)</f>
        <v>-0.0025</v>
      </c>
      <c r="F10" s="0" t="s">
        <v>140</v>
      </c>
    </row>
    <row r="11" customFormat="false" ht="15" hidden="false" customHeight="false" outlineLevel="0" collapsed="false">
      <c r="B11" s="0" t="s">
        <v>141</v>
      </c>
      <c r="C11" s="19" t="n">
        <v>0.0002</v>
      </c>
      <c r="D11" s="19" t="n">
        <v>0.0001</v>
      </c>
      <c r="E11" s="21" t="n">
        <f aca="false">IF(Cover!$C$9="Downside",D11,C11)</f>
        <v>0.0001</v>
      </c>
      <c r="F11" s="0" t="s">
        <v>142</v>
      </c>
    </row>
    <row r="12" customFormat="false" ht="15" hidden="false" customHeight="false" outlineLevel="0" collapsed="false">
      <c r="B12" s="0" t="s">
        <v>143</v>
      </c>
      <c r="C12" s="19" t="n">
        <v>0.0002</v>
      </c>
      <c r="D12" s="19" t="n">
        <v>0.0008</v>
      </c>
      <c r="E12" s="21" t="n">
        <f aca="false">IF(Cover!$C$9="Downside",D12,C12)</f>
        <v>0.0008</v>
      </c>
      <c r="F12" s="0" t="s">
        <v>142</v>
      </c>
    </row>
    <row r="13" customFormat="false" ht="15" hidden="false" customHeight="false" outlineLevel="0" collapsed="false">
      <c r="B13" s="0" t="s">
        <v>144</v>
      </c>
      <c r="C13" s="19" t="n">
        <v>0.001</v>
      </c>
      <c r="D13" s="19" t="n">
        <v>0.005</v>
      </c>
      <c r="E13" s="21" t="n">
        <f aca="false">IF(Cover!$C$9="Downside",D13,C13)</f>
        <v>0.005</v>
      </c>
      <c r="F13" s="0" t="s">
        <v>142</v>
      </c>
    </row>
    <row r="14" customFormat="false" ht="15" hidden="false" customHeight="false" outlineLevel="0" collapsed="false">
      <c r="B14" s="0" t="s">
        <v>145</v>
      </c>
      <c r="C14" s="19" t="n">
        <v>0.001</v>
      </c>
      <c r="D14" s="19" t="n">
        <v>0.0025</v>
      </c>
      <c r="E14" s="21" t="n">
        <f aca="false">IF(Cover!$C$9="Downside",D14,C14)</f>
        <v>0.0025</v>
      </c>
      <c r="F14" s="0" t="s">
        <v>146</v>
      </c>
    </row>
    <row r="16" customFormat="false" ht="15" hidden="false" customHeight="false" outlineLevel="0" collapsed="false">
      <c r="B16" s="0" t="s">
        <v>147</v>
      </c>
      <c r="C16" s="27" t="n">
        <f aca="false">E5/E8</f>
        <v>223.383931877083</v>
      </c>
      <c r="D16" s="0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4"/>
  </cols>
  <sheetData>
    <row r="2" customFormat="false" ht="27.75" hidden="false" customHeight="true" outlineLevel="0" collapsed="false">
      <c r="B2" s="1" t="s">
        <v>149</v>
      </c>
      <c r="C2" s="1"/>
      <c r="D2" s="1"/>
      <c r="E2" s="1"/>
    </row>
    <row r="4" customFormat="false" ht="15" hidden="false" customHeight="false" outlineLevel="0" collapsed="false">
      <c r="B4" s="15" t="s">
        <v>150</v>
      </c>
      <c r="C4" s="15" t="s">
        <v>151</v>
      </c>
      <c r="D4" s="15" t="s">
        <v>152</v>
      </c>
    </row>
    <row r="5" customFormat="false" ht="15" hidden="false" customHeight="false" outlineLevel="0" collapsed="false">
      <c r="B5" s="3" t="s">
        <v>153</v>
      </c>
      <c r="C5" s="3" t="s">
        <v>154</v>
      </c>
      <c r="D5" s="20" t="n">
        <v>0.1009</v>
      </c>
    </row>
    <row r="6" customFormat="false" ht="15" hidden="false" customHeight="false" outlineLevel="0" collapsed="false">
      <c r="B6" s="3" t="s">
        <v>153</v>
      </c>
      <c r="C6" s="3" t="s">
        <v>155</v>
      </c>
      <c r="D6" s="20" t="n">
        <v>0.0879</v>
      </c>
    </row>
    <row r="7" customFormat="false" ht="15" hidden="false" customHeight="false" outlineLevel="0" collapsed="false">
      <c r="B7" s="3" t="s">
        <v>156</v>
      </c>
      <c r="C7" s="3" t="s">
        <v>157</v>
      </c>
      <c r="D7" s="20" t="n">
        <v>0.08</v>
      </c>
    </row>
    <row r="8" customFormat="false" ht="15" hidden="false" customHeight="false" outlineLevel="0" collapsed="false">
      <c r="B8" s="3" t="s">
        <v>153</v>
      </c>
      <c r="C8" s="3" t="s">
        <v>158</v>
      </c>
      <c r="D8" s="20" t="n">
        <v>0.0789</v>
      </c>
    </row>
    <row r="9" customFormat="false" ht="15" hidden="false" customHeight="false" outlineLevel="0" collapsed="false">
      <c r="B9" s="3" t="s">
        <v>153</v>
      </c>
      <c r="C9" s="3" t="s">
        <v>159</v>
      </c>
      <c r="D9" s="20" t="n">
        <v>0.0606</v>
      </c>
    </row>
    <row r="10" customFormat="false" ht="15" hidden="false" customHeight="false" outlineLevel="0" collapsed="false">
      <c r="B10" s="3" t="s">
        <v>153</v>
      </c>
      <c r="C10" s="3" t="s">
        <v>160</v>
      </c>
      <c r="D10" s="20" t="n">
        <v>0.0427</v>
      </c>
    </row>
    <row r="11" customFormat="false" ht="15" hidden="false" customHeight="false" outlineLevel="0" collapsed="false">
      <c r="B11" s="3" t="s">
        <v>161</v>
      </c>
      <c r="C11" s="3" t="s">
        <v>162</v>
      </c>
      <c r="D11" s="20" t="n">
        <v>0.0421</v>
      </c>
    </row>
    <row r="12" customFormat="false" ht="15" hidden="false" customHeight="false" outlineLevel="0" collapsed="false">
      <c r="B12" s="3" t="s">
        <v>153</v>
      </c>
      <c r="C12" s="3" t="s">
        <v>163</v>
      </c>
      <c r="D12" s="20" t="n">
        <v>0.0391</v>
      </c>
    </row>
    <row r="13" customFormat="false" ht="15" hidden="false" customHeight="false" outlineLevel="0" collapsed="false">
      <c r="B13" s="3" t="s">
        <v>153</v>
      </c>
      <c r="C13" s="3" t="s">
        <v>164</v>
      </c>
      <c r="D13" s="20" t="n">
        <v>0.0374</v>
      </c>
    </row>
    <row r="14" customFormat="false" ht="15" hidden="false" customHeight="false" outlineLevel="0" collapsed="false">
      <c r="B14" s="3" t="s">
        <v>153</v>
      </c>
      <c r="C14" s="3" t="s">
        <v>165</v>
      </c>
      <c r="D14" s="20" t="n">
        <v>0.0365</v>
      </c>
    </row>
    <row r="15" customFormat="false" ht="15" hidden="false" customHeight="false" outlineLevel="0" collapsed="false">
      <c r="B15" s="3" t="s">
        <v>153</v>
      </c>
      <c r="C15" s="3" t="s">
        <v>166</v>
      </c>
      <c r="D15" s="20" t="n">
        <v>0.0359</v>
      </c>
    </row>
    <row r="16" customFormat="false" ht="15" hidden="false" customHeight="false" outlineLevel="0" collapsed="false">
      <c r="B16" s="3" t="s">
        <v>153</v>
      </c>
      <c r="C16" s="3" t="s">
        <v>167</v>
      </c>
      <c r="D16" s="20" t="n">
        <v>0.0356</v>
      </c>
    </row>
    <row r="17" customFormat="false" ht="15" hidden="false" customHeight="false" outlineLevel="0" collapsed="false">
      <c r="B17" s="3" t="s">
        <v>153</v>
      </c>
      <c r="C17" s="3" t="s">
        <v>168</v>
      </c>
      <c r="D17" s="20" t="n">
        <v>0.0352</v>
      </c>
    </row>
    <row r="18" customFormat="false" ht="15" hidden="false" customHeight="false" outlineLevel="0" collapsed="false">
      <c r="B18" s="3" t="s">
        <v>169</v>
      </c>
      <c r="C18" s="3" t="s">
        <v>170</v>
      </c>
      <c r="D18" s="20" t="n">
        <v>0.0351</v>
      </c>
    </row>
    <row r="19" customFormat="false" ht="15" hidden="false" customHeight="false" outlineLevel="0" collapsed="false">
      <c r="B19" s="3" t="s">
        <v>171</v>
      </c>
      <c r="C19" s="3" t="s">
        <v>172</v>
      </c>
      <c r="D19" s="20" t="n">
        <v>0.0328</v>
      </c>
    </row>
    <row r="20" customFormat="false" ht="15" hidden="false" customHeight="false" outlineLevel="0" collapsed="false">
      <c r="B20" s="3" t="s">
        <v>173</v>
      </c>
      <c r="C20" s="3" t="s">
        <v>174</v>
      </c>
      <c r="D20" s="20" t="n">
        <v>0.0318</v>
      </c>
    </row>
    <row r="21" customFormat="false" ht="15" hidden="false" customHeight="false" outlineLevel="0" collapsed="false">
      <c r="B21" s="3" t="s">
        <v>175</v>
      </c>
      <c r="C21" s="3" t="s">
        <v>176</v>
      </c>
      <c r="D21" s="20" t="n">
        <v>0.0244</v>
      </c>
    </row>
    <row r="22" customFormat="false" ht="15" hidden="false" customHeight="false" outlineLevel="0" collapsed="false">
      <c r="B22" s="3" t="s">
        <v>153</v>
      </c>
      <c r="C22" s="3" t="s">
        <v>177</v>
      </c>
      <c r="D22" s="20" t="n">
        <v>0.0225</v>
      </c>
    </row>
    <row r="23" customFormat="false" ht="15" hidden="false" customHeight="false" outlineLevel="0" collapsed="false">
      <c r="B23" s="3" t="s">
        <v>153</v>
      </c>
      <c r="C23" s="3" t="s">
        <v>178</v>
      </c>
      <c r="D23" s="20" t="n">
        <v>0.0167</v>
      </c>
    </row>
    <row r="24" customFormat="false" ht="15" hidden="false" customHeight="false" outlineLevel="0" collapsed="false">
      <c r="B24" s="3" t="s">
        <v>153</v>
      </c>
      <c r="C24" s="3" t="s">
        <v>179</v>
      </c>
      <c r="D24" s="20" t="n">
        <v>0.0142</v>
      </c>
    </row>
    <row r="25" customFormat="false" ht="15" hidden="false" customHeight="false" outlineLevel="0" collapsed="false">
      <c r="B25" s="3" t="s">
        <v>180</v>
      </c>
      <c r="C25" s="3" t="s">
        <v>181</v>
      </c>
      <c r="D25" s="20" t="n">
        <v>0.0122</v>
      </c>
    </row>
    <row r="26" customFormat="false" ht="15" hidden="false" customHeight="false" outlineLevel="0" collapsed="false">
      <c r="B26" s="3" t="s">
        <v>153</v>
      </c>
      <c r="C26" s="3" t="s">
        <v>182</v>
      </c>
      <c r="D26" s="20" t="n">
        <v>0.0117</v>
      </c>
    </row>
    <row r="27" customFormat="false" ht="15" hidden="false" customHeight="false" outlineLevel="0" collapsed="false">
      <c r="B27" s="3" t="s">
        <v>153</v>
      </c>
      <c r="C27" s="3" t="s">
        <v>183</v>
      </c>
      <c r="D27" s="20" t="n">
        <v>0.0108</v>
      </c>
    </row>
    <row r="28" customFormat="false" ht="15" hidden="false" customHeight="false" outlineLevel="0" collapsed="false">
      <c r="B28" s="3" t="s">
        <v>153</v>
      </c>
      <c r="C28" s="3" t="s">
        <v>184</v>
      </c>
      <c r="D28" s="20" t="n">
        <v>0.0102</v>
      </c>
    </row>
    <row r="29" customFormat="false" ht="15" hidden="false" customHeight="false" outlineLevel="0" collapsed="false">
      <c r="B29" s="3" t="s">
        <v>153</v>
      </c>
      <c r="C29" s="3" t="s">
        <v>185</v>
      </c>
      <c r="D29" s="20" t="n">
        <v>0.0094</v>
      </c>
    </row>
    <row r="30" customFormat="false" ht="15" hidden="false" customHeight="false" outlineLevel="0" collapsed="false">
      <c r="B30" s="3" t="s">
        <v>186</v>
      </c>
      <c r="C30" s="3" t="s">
        <v>187</v>
      </c>
      <c r="D30" s="20" t="n">
        <v>0.0088</v>
      </c>
    </row>
    <row r="31" customFormat="false" ht="15" hidden="false" customHeight="false" outlineLevel="0" collapsed="false">
      <c r="B31" s="3" t="s">
        <v>153</v>
      </c>
      <c r="C31" s="3" t="s">
        <v>188</v>
      </c>
      <c r="D31" s="20" t="n">
        <v>0.0085</v>
      </c>
    </row>
    <row r="32" customFormat="false" ht="15" hidden="false" customHeight="false" outlineLevel="0" collapsed="false">
      <c r="B32" s="3" t="s">
        <v>153</v>
      </c>
      <c r="C32" s="3" t="s">
        <v>189</v>
      </c>
      <c r="D32" s="20" t="n">
        <v>0.0074</v>
      </c>
    </row>
    <row r="33" customFormat="false" ht="15" hidden="false" customHeight="false" outlineLevel="0" collapsed="false">
      <c r="B33" s="3" t="s">
        <v>153</v>
      </c>
      <c r="C33" s="3" t="s">
        <v>190</v>
      </c>
      <c r="D33" s="20" t="n">
        <v>0.0074</v>
      </c>
    </row>
    <row r="34" customFormat="false" ht="15" hidden="false" customHeight="false" outlineLevel="0" collapsed="false">
      <c r="B34" s="3" t="s">
        <v>191</v>
      </c>
      <c r="C34" s="3" t="s">
        <v>192</v>
      </c>
      <c r="D34" s="20" t="n">
        <v>0.0072</v>
      </c>
    </row>
    <row r="35" customFormat="false" ht="15" hidden="false" customHeight="false" outlineLevel="0" collapsed="false">
      <c r="B35" s="0" t="s">
        <v>193</v>
      </c>
      <c r="C35" s="0" t="s">
        <v>194</v>
      </c>
      <c r="D35" s="21" t="n">
        <f aca="false">MAX(0,1-SUM(D5:D34))</f>
        <v>0.0161</v>
      </c>
    </row>
    <row r="36" customFormat="false" ht="15" hidden="false" customHeight="false" outlineLevel="0" collapsed="false">
      <c r="B36" s="28"/>
      <c r="C36" s="29"/>
      <c r="D36" s="29" t="n">
        <f aca="false">SUM(D5:D35)</f>
        <v>1</v>
      </c>
    </row>
    <row r="38" customFormat="false" ht="27.75" hidden="false" customHeight="true" outlineLevel="0" collapsed="false">
      <c r="B38" s="1" t="s">
        <v>195</v>
      </c>
      <c r="C38" s="1"/>
    </row>
    <row r="39" customFormat="false" ht="15" hidden="false" customHeight="false" outlineLevel="0" collapsed="false">
      <c r="B39" s="15" t="s">
        <v>196</v>
      </c>
      <c r="C39" s="15" t="s">
        <v>152</v>
      </c>
    </row>
    <row r="40" customFormat="false" ht="15" hidden="false" customHeight="false" outlineLevel="0" collapsed="false">
      <c r="B40" s="3" t="s">
        <v>197</v>
      </c>
      <c r="C40" s="20" t="n">
        <v>0.414</v>
      </c>
    </row>
    <row r="41" customFormat="false" ht="15" hidden="false" customHeight="false" outlineLevel="0" collapsed="false">
      <c r="B41" s="3" t="s">
        <v>198</v>
      </c>
      <c r="C41" s="20" t="n">
        <v>0.373</v>
      </c>
    </row>
    <row r="42" customFormat="false" ht="15" hidden="false" customHeight="false" outlineLevel="0" collapsed="false">
      <c r="B42" s="3" t="s">
        <v>199</v>
      </c>
      <c r="C42" s="20" t="n">
        <v>0.083</v>
      </c>
    </row>
    <row r="43" customFormat="false" ht="15" hidden="false" customHeight="false" outlineLevel="0" collapsed="false">
      <c r="B43" s="3" t="s">
        <v>200</v>
      </c>
      <c r="C43" s="20" t="n">
        <v>0.065</v>
      </c>
    </row>
    <row r="44" customFormat="false" ht="15" hidden="false" customHeight="false" outlineLevel="0" collapsed="false">
      <c r="B44" s="3" t="s">
        <v>201</v>
      </c>
      <c r="C44" s="20" t="n">
        <v>0.043</v>
      </c>
    </row>
    <row r="45" customFormat="false" ht="15" hidden="false" customHeight="false" outlineLevel="0" collapsed="false">
      <c r="B45" s="3" t="s">
        <v>202</v>
      </c>
      <c r="C45" s="20" t="n">
        <v>0.027</v>
      </c>
    </row>
    <row r="46" customFormat="false" ht="15" hidden="false" customHeight="false" outlineLevel="0" collapsed="false">
      <c r="B46" s="3" t="s">
        <v>203</v>
      </c>
      <c r="C46" s="20" t="n">
        <v>0.021</v>
      </c>
    </row>
    <row r="47" customFormat="false" ht="15" hidden="false" customHeight="false" outlineLevel="0" collapsed="false">
      <c r="B47" s="3" t="s">
        <v>204</v>
      </c>
      <c r="C47" s="20" t="n">
        <v>-0.026</v>
      </c>
    </row>
    <row r="48" customFormat="false" ht="15" hidden="false" customHeight="false" outlineLevel="0" collapsed="false">
      <c r="B48" s="4" t="s">
        <v>205</v>
      </c>
      <c r="C48" s="19" t="n">
        <v>0</v>
      </c>
    </row>
    <row r="49" customFormat="false" ht="15" hidden="false" customHeight="false" outlineLevel="0" collapsed="false">
      <c r="B49" s="4" t="s">
        <v>206</v>
      </c>
      <c r="C49" s="19" t="n">
        <v>0</v>
      </c>
    </row>
    <row r="50" customFormat="false" ht="15" hidden="false" customHeight="false" outlineLevel="0" collapsed="false">
      <c r="B50" s="4" t="s">
        <v>207</v>
      </c>
      <c r="C50" s="19" t="n">
        <v>0</v>
      </c>
    </row>
    <row r="51" customFormat="false" ht="15" hidden="false" customHeight="false" outlineLevel="0" collapsed="false">
      <c r="B51" s="0" t="s">
        <v>208</v>
      </c>
      <c r="C51" s="21" t="n">
        <f aca="false">SUM(C40:C50)</f>
        <v>1</v>
      </c>
    </row>
  </sheetData>
  <mergeCells count="2">
    <mergeCell ref="B2:E2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3" min="3" style="0" width="22"/>
  </cols>
  <sheetData>
    <row r="2" customFormat="false" ht="27.75" hidden="false" customHeight="true" outlineLevel="0" collapsed="false">
      <c r="B2" s="1" t="s">
        <v>209</v>
      </c>
      <c r="C2" s="1"/>
    </row>
    <row r="4" customFormat="false" ht="15" hidden="false" customHeight="false" outlineLevel="0" collapsed="false">
      <c r="B4" s="15" t="s">
        <v>210</v>
      </c>
      <c r="C4" s="15" t="s">
        <v>211</v>
      </c>
    </row>
    <row r="5" customFormat="false" ht="15" hidden="false" customHeight="false" outlineLevel="0" collapsed="false">
      <c r="B5" s="0" t="s">
        <v>212</v>
      </c>
      <c r="C5" s="24" t="n">
        <f aca="false">Assumptions!$E$8/(1+Assumptions!$E$10)</f>
        <v>27.077694235589</v>
      </c>
    </row>
    <row r="6" customFormat="false" ht="15" hidden="false" customHeight="false" outlineLevel="0" collapsed="false">
      <c r="B6" s="0" t="s">
        <v>213</v>
      </c>
      <c r="C6" s="30" t="n">
        <f aca="false">C5*Assumptions!$E$9</f>
        <v>1353884.71177945</v>
      </c>
    </row>
    <row r="7" customFormat="false" ht="15" hidden="false" customHeight="false" outlineLevel="0" collapsed="false">
      <c r="B7" s="0" t="s">
        <v>214</v>
      </c>
      <c r="C7" s="30" t="n">
        <f aca="false">Assumptions!$E$8*Assumptions!$E$9</f>
        <v>1350500</v>
      </c>
    </row>
    <row r="8" customFormat="false" ht="15" hidden="false" customHeight="false" outlineLevel="0" collapsed="false">
      <c r="B8" s="0" t="s">
        <v>215</v>
      </c>
      <c r="C8" s="21" t="n">
        <f aca="false">C6/(Assumptions!$E$5*1000000)</f>
        <v>0.000224390863129715</v>
      </c>
    </row>
    <row r="9" customFormat="false" ht="15" hidden="false" customHeight="false" outlineLevel="0" collapsed="false">
      <c r="B9" s="0" t="s">
        <v>216</v>
      </c>
      <c r="C9" s="21" t="n">
        <f aca="false">Assumptions!$E$10</f>
        <v>-0.0025</v>
      </c>
    </row>
    <row r="10" customFormat="false" ht="15" hidden="false" customHeight="false" outlineLevel="0" collapsed="false">
      <c r="B10" s="0" t="s">
        <v>217</v>
      </c>
      <c r="C10" s="30" t="n">
        <f aca="false">C9*C7</f>
        <v>-3376.25</v>
      </c>
    </row>
    <row r="11" customFormat="false" ht="15" hidden="false" customHeight="false" outlineLevel="0" collapsed="false">
      <c r="B11" s="0" t="s">
        <v>218</v>
      </c>
      <c r="C11" s="0" t="str">
        <f aca="false">IF(ABS(C9)&gt;Assumptions!$E$14,"YES -- AP arbitrage expected to compress premium/discount","NO -- within normal trading band")</f>
        <v>NO -- within normal trading band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3" min="3" style="0" width="20"/>
  </cols>
  <sheetData>
    <row r="2" customFormat="false" ht="27.75" hidden="false" customHeight="true" outlineLevel="0" collapsed="false">
      <c r="B2" s="1" t="s">
        <v>219</v>
      </c>
      <c r="C2" s="1"/>
    </row>
    <row r="4" customFormat="false" ht="15" hidden="false" customHeight="false" outlineLevel="0" collapsed="false">
      <c r="B4" s="15" t="s">
        <v>220</v>
      </c>
      <c r="C4" s="15" t="s">
        <v>221</v>
      </c>
    </row>
    <row r="5" customFormat="false" ht="15" hidden="false" customHeight="false" outlineLevel="0" collapsed="false">
      <c r="B5" s="0" t="s">
        <v>222</v>
      </c>
      <c r="C5" s="21" t="n">
        <f aca="false">-Assumptions!$E$6</f>
        <v>-0.0069</v>
      </c>
    </row>
    <row r="6" customFormat="false" ht="15" hidden="false" customHeight="false" outlineLevel="0" collapsed="false">
      <c r="B6" s="0" t="s">
        <v>223</v>
      </c>
      <c r="C6" s="21" t="n">
        <f aca="false">Assumptions!$E$11</f>
        <v>0.0001</v>
      </c>
    </row>
    <row r="7" customFormat="false" ht="15" hidden="false" customHeight="false" outlineLevel="0" collapsed="false">
      <c r="B7" s="0" t="s">
        <v>224</v>
      </c>
      <c r="C7" s="21" t="n">
        <f aca="false">-Assumptions!$E$12</f>
        <v>-0.0008</v>
      </c>
    </row>
    <row r="8" customFormat="false" ht="15" hidden="false" customHeight="false" outlineLevel="0" collapsed="false">
      <c r="B8" s="0" t="s">
        <v>225</v>
      </c>
      <c r="C8" s="21" t="n">
        <f aca="false">-Assumptions!$E$13</f>
        <v>-0.005</v>
      </c>
    </row>
    <row r="9" customFormat="false" ht="15" hidden="false" customHeight="false" outlineLevel="0" collapsed="false">
      <c r="B9" s="0" t="s">
        <v>226</v>
      </c>
      <c r="C9" s="21" t="n">
        <f aca="false">SUM(C5:C8)</f>
        <v>-0.0126</v>
      </c>
    </row>
    <row r="11" customFormat="false" ht="15" hidden="false" customHeight="false" outlineLevel="0" collapsed="false">
      <c r="B11" s="0" t="s">
        <v>227</v>
      </c>
      <c r="C11" s="21" t="n">
        <f aca="false">Assumptions!$E$7</f>
        <v>0.0743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228</v>
      </c>
      <c r="C2" s="1"/>
    </row>
    <row r="4" customFormat="false" ht="15" hidden="false" customHeight="false" outlineLevel="0" collapsed="false">
      <c r="B4" s="15" t="s">
        <v>229</v>
      </c>
      <c r="C4" s="15" t="s">
        <v>43</v>
      </c>
    </row>
    <row r="5" customFormat="false" ht="15" hidden="false" customHeight="false" outlineLevel="0" collapsed="false">
      <c r="B5" s="0" t="s">
        <v>230</v>
      </c>
      <c r="C5" s="0" t="str">
        <f aca="false">IF(ABS('Portfolio Construction'!D36-1)&lt;0.02,"PASS","REVIEW")</f>
        <v>PASS</v>
      </c>
    </row>
    <row r="6" customFormat="false" ht="15" hidden="false" customHeight="false" outlineLevel="0" collapsed="false">
      <c r="B6" s="0" t="s">
        <v>231</v>
      </c>
      <c r="C6" s="0" t="str">
        <f aca="false">IF(AND('Portfolio Construction'!C51&gt;=0.9,'Portfolio Construction'!C51&lt;=1.01),"PASS","REVIEW")</f>
        <v>PASS</v>
      </c>
    </row>
    <row r="7" customFormat="false" ht="15" hidden="false" customHeight="false" outlineLevel="0" collapsed="false">
      <c r="B7" s="0" t="s">
        <v>232</v>
      </c>
      <c r="C7" s="0" t="str">
        <f aca="false">IF(Assumptions!C16&gt;0,"PASS","FAIL")</f>
        <v>PASS</v>
      </c>
    </row>
    <row r="8" customFormat="false" ht="15" hidden="false" customHeight="false" outlineLevel="0" collapsed="false">
      <c r="B8" s="0" t="s">
        <v>233</v>
      </c>
      <c r="C8" s="0" t="str">
        <f aca="false">IF('Creation &amp; Redemption'!C6&gt;0,"PASS","FAIL")</f>
        <v>PASS</v>
      </c>
    </row>
    <row r="9" customFormat="false" ht="15" hidden="false" customHeight="false" outlineLevel="0" collapsed="false">
      <c r="B9" s="0" t="s">
        <v>234</v>
      </c>
      <c r="C9" s="0" t="str">
        <f aca="false">IF(AND(Assumptions!E6&gt;=0,Assumptions!E6&lt;0.03),"PASS","REVIEW")</f>
        <v>PASS</v>
      </c>
    </row>
    <row r="10" customFormat="false" ht="15" hidden="false" customHeight="false" outlineLevel="0" collapsed="false">
      <c r="B10" s="0" t="s">
        <v>235</v>
      </c>
      <c r="C10" s="0" t="str">
        <f aca="false">IF(AND('Tracking Error &amp; Costs'!C9&gt;=-0.02,'Tracking Error &amp; Costs'!C9&lt;=0.005),"PASS","REVIEW")</f>
        <v>PASS</v>
      </c>
    </row>
    <row r="11" customFormat="false" ht="15" hidden="false" customHeight="false" outlineLevel="0" collapsed="false">
      <c r="B11" s="0" t="s">
        <v>236</v>
      </c>
      <c r="C11" s="0" t="str">
        <f aca="false">IF(COUNTIF(C5:C10,"FAIL")&gt;0,"FAIL",IF(COUNTIF(C5:C10,"REVIEW")&gt;0,"REVIEW","PASS"))</f>
        <v>PASS</v>
      </c>
    </row>
  </sheetData>
  <mergeCells count="1">
    <mergeCell ref="B2:C2"/>
  </mergeCells>
  <conditionalFormatting sqref="C5:C11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237</v>
      </c>
      <c r="C2" s="1"/>
      <c r="D2" s="1"/>
      <c r="E2" s="1"/>
    </row>
    <row r="4" customFormat="false" ht="15" hidden="false" customHeight="false" outlineLevel="0" collapsed="false">
      <c r="B4" s="15" t="s">
        <v>238</v>
      </c>
      <c r="C4" s="15" t="s">
        <v>239</v>
      </c>
      <c r="D4" s="15" t="s">
        <v>109</v>
      </c>
      <c r="E4" s="15" t="s">
        <v>240</v>
      </c>
    </row>
    <row r="5" customFormat="false" ht="15" hidden="false" customHeight="false" outlineLevel="0" collapsed="false">
      <c r="B5" s="31" t="s">
        <v>241</v>
      </c>
      <c r="C5" s="31" t="s">
        <v>242</v>
      </c>
      <c r="D5" s="31" t="s">
        <v>6</v>
      </c>
      <c r="E5" s="31" t="s">
        <v>243</v>
      </c>
    </row>
    <row r="6" customFormat="false" ht="15" hidden="false" customHeight="false" outlineLevel="0" collapsed="false">
      <c r="B6" s="31" t="s">
        <v>244</v>
      </c>
      <c r="C6" s="31" t="s">
        <v>245</v>
      </c>
      <c r="D6" s="31" t="s">
        <v>6</v>
      </c>
      <c r="E6" s="31" t="s">
        <v>246</v>
      </c>
    </row>
    <row r="7" customFormat="false" ht="15" hidden="false" customHeight="false" outlineLevel="0" collapsed="false">
      <c r="B7" s="31" t="s">
        <v>247</v>
      </c>
      <c r="C7" s="31" t="s">
        <v>248</v>
      </c>
      <c r="D7" s="31" t="s">
        <v>6</v>
      </c>
      <c r="E7" s="31" t="s">
        <v>249</v>
      </c>
    </row>
    <row r="8" customFormat="false" ht="15" hidden="false" customHeight="false" outlineLevel="0" collapsed="false">
      <c r="B8" s="32" t="s">
        <v>250</v>
      </c>
      <c r="C8" s="32" t="s">
        <v>251</v>
      </c>
      <c r="D8" s="32" t="s">
        <v>8</v>
      </c>
      <c r="E8" s="32" t="s">
        <v>252</v>
      </c>
    </row>
    <row r="9" customFormat="false" ht="15" hidden="false" customHeight="false" outlineLevel="0" collapsed="false">
      <c r="B9" s="32" t="s">
        <v>253</v>
      </c>
      <c r="C9" s="32" t="s">
        <v>254</v>
      </c>
      <c r="D9" s="32" t="s">
        <v>255</v>
      </c>
      <c r="E9" s="32" t="s">
        <v>256</v>
      </c>
    </row>
    <row r="10" customFormat="false" ht="15" hidden="false" customHeight="false" outlineLevel="0" collapsed="false">
      <c r="B10" s="32" t="s">
        <v>257</v>
      </c>
      <c r="C10" s="32" t="s">
        <v>258</v>
      </c>
      <c r="D10" s="32" t="s">
        <v>259</v>
      </c>
      <c r="E10" s="32" t="s">
        <v>260</v>
      </c>
    </row>
    <row r="11" customFormat="false" ht="15" hidden="false" customHeight="false" outlineLevel="0" collapsed="false">
      <c r="B11" s="32" t="s">
        <v>261</v>
      </c>
      <c r="C11" s="32" t="s">
        <v>262</v>
      </c>
      <c r="D11" s="32" t="s">
        <v>8</v>
      </c>
      <c r="E11" s="32" t="s">
        <v>263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264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97</v>
      </c>
      <c r="C4" s="15" t="s">
        <v>265</v>
      </c>
      <c r="D4" s="15" t="s">
        <v>266</v>
      </c>
      <c r="E4" s="15" t="s">
        <v>267</v>
      </c>
      <c r="F4" s="15" t="s">
        <v>268</v>
      </c>
      <c r="G4" s="15" t="s">
        <v>269</v>
      </c>
    </row>
    <row r="5" customFormat="false" ht="15" hidden="false" customHeight="false" outlineLevel="0" collapsed="false">
      <c r="B5" s="33" t="s">
        <v>8</v>
      </c>
      <c r="C5" s="33" t="s">
        <v>270</v>
      </c>
      <c r="D5" s="33" t="s">
        <v>271</v>
      </c>
      <c r="E5" s="33" t="s">
        <v>272</v>
      </c>
      <c r="F5" s="33" t="s">
        <v>273</v>
      </c>
      <c r="G5" s="33" t="s">
        <v>274</v>
      </c>
    </row>
    <row r="6" customFormat="false" ht="15" hidden="false" customHeight="false" outlineLevel="0" collapsed="false">
      <c r="B6" s="33"/>
      <c r="C6" s="33"/>
      <c r="D6" s="33"/>
      <c r="E6" s="33"/>
      <c r="F6" s="33"/>
      <c r="G6" s="33"/>
    </row>
    <row r="7" customFormat="false" ht="15" hidden="false" customHeight="false" outlineLevel="0" collapsed="false">
      <c r="B7" s="33"/>
      <c r="C7" s="33"/>
      <c r="D7" s="33"/>
      <c r="E7" s="33"/>
      <c r="F7" s="33"/>
      <c r="G7" s="33"/>
    </row>
    <row r="8" customFormat="false" ht="15" hidden="false" customHeight="false" outlineLevel="0" collapsed="false">
      <c r="B8" s="33"/>
      <c r="C8" s="33"/>
      <c r="D8" s="33"/>
      <c r="E8" s="33"/>
      <c r="F8" s="33"/>
      <c r="G8" s="33"/>
    </row>
    <row r="9" customFormat="false" ht="15" hidden="false" customHeight="false" outlineLevel="0" collapsed="false">
      <c r="B9" s="33"/>
      <c r="C9" s="33"/>
      <c r="D9" s="33"/>
      <c r="E9" s="33"/>
      <c r="F9" s="33"/>
      <c r="G9" s="33"/>
    </row>
    <row r="10" customFormat="false" ht="15" hidden="false" customHeight="false" outlineLevel="0" collapsed="false">
      <c r="B10" s="33"/>
      <c r="C10" s="33"/>
      <c r="D10" s="33"/>
      <c r="E10" s="33"/>
      <c r="F10" s="33"/>
      <c r="G10" s="33"/>
    </row>
    <row r="11" customFormat="false" ht="15" hidden="false" customHeight="false" outlineLevel="0" collapsed="false">
      <c r="B11" s="33"/>
      <c r="C11" s="33"/>
      <c r="D11" s="33"/>
      <c r="E11" s="33"/>
      <c r="F11" s="33"/>
      <c r="G11" s="33"/>
    </row>
    <row r="12" customFormat="false" ht="15" hidden="false" customHeight="false" outlineLevel="0" collapsed="false">
      <c r="B12" s="33"/>
      <c r="C12" s="33"/>
      <c r="D12" s="33"/>
      <c r="E12" s="33"/>
      <c r="F12" s="33"/>
      <c r="G12" s="33"/>
    </row>
    <row r="13" customFormat="false" ht="15" hidden="false" customHeight="false" outlineLevel="0" collapsed="false">
      <c r="B13" s="33"/>
      <c r="C13" s="33"/>
      <c r="D13" s="33"/>
      <c r="E13" s="33"/>
      <c r="F13" s="33"/>
      <c r="G13" s="33"/>
    </row>
    <row r="14" customFormat="false" ht="15" hidden="false" customHeight="false" outlineLevel="0" collapsed="false">
      <c r="B14" s="33"/>
      <c r="C14" s="33"/>
      <c r="D14" s="33"/>
      <c r="E14" s="33"/>
      <c r="F14" s="33"/>
      <c r="G14" s="33"/>
    </row>
    <row r="15" customFormat="false" ht="15" hidden="false" customHeight="false" outlineLevel="0" collapsed="false">
      <c r="B15" s="33"/>
      <c r="C15" s="33"/>
      <c r="D15" s="33"/>
      <c r="E15" s="33"/>
      <c r="F15" s="33"/>
      <c r="G15" s="33"/>
    </row>
    <row r="16" customFormat="false" ht="15" hidden="false" customHeight="false" outlineLevel="0" collapsed="false">
      <c r="B16" s="33"/>
      <c r="C16" s="33"/>
      <c r="D16" s="33"/>
      <c r="E16" s="33"/>
      <c r="F16" s="33"/>
      <c r="G16" s="33"/>
    </row>
    <row r="17" customFormat="false" ht="15" hidden="false" customHeight="false" outlineLevel="0" collapsed="false">
      <c r="B17" s="33"/>
      <c r="C17" s="33"/>
      <c r="D17" s="33"/>
      <c r="E17" s="33"/>
      <c r="F17" s="33"/>
      <c r="G17" s="33"/>
    </row>
    <row r="18" customFormat="false" ht="15" hidden="false" customHeight="false" outlineLevel="0" collapsed="false">
      <c r="B18" s="33"/>
      <c r="C18" s="33"/>
      <c r="D18" s="33"/>
      <c r="E18" s="33"/>
      <c r="F18" s="33"/>
      <c r="G18" s="33"/>
    </row>
    <row r="19" customFormat="false" ht="15" hidden="false" customHeight="false" outlineLevel="0" collapsed="false">
      <c r="B19" s="33"/>
      <c r="C19" s="33"/>
      <c r="D19" s="33"/>
      <c r="E19" s="33"/>
      <c r="F19" s="33"/>
      <c r="G19" s="33"/>
    </row>
    <row r="20" customFormat="false" ht="15" hidden="false" customHeight="false" outlineLevel="0" collapsed="false">
      <c r="B20" s="33"/>
      <c r="C20" s="33"/>
      <c r="D20" s="33"/>
      <c r="E20" s="33"/>
      <c r="F20" s="33"/>
      <c r="G20" s="33"/>
    </row>
    <row r="21" customFormat="false" ht="15" hidden="false" customHeight="false" outlineLevel="0" collapsed="false">
      <c r="B21" s="33"/>
      <c r="C21" s="33"/>
      <c r="D21" s="33"/>
      <c r="E21" s="33"/>
      <c r="F21" s="33"/>
      <c r="G21" s="33"/>
    </row>
    <row r="22" customFormat="false" ht="15" hidden="false" customHeight="false" outlineLevel="0" collapsed="false">
      <c r="B22" s="33"/>
      <c r="C22" s="33"/>
      <c r="D22" s="33"/>
      <c r="E22" s="33"/>
      <c r="F22" s="33"/>
      <c r="G22" s="33"/>
    </row>
    <row r="23" customFormat="false" ht="15" hidden="false" customHeight="false" outlineLevel="0" collapsed="false">
      <c r="B23" s="33"/>
      <c r="C23" s="33"/>
      <c r="D23" s="33"/>
      <c r="E23" s="33"/>
      <c r="F23" s="33"/>
      <c r="G23" s="33"/>
    </row>
    <row r="24" customFormat="false" ht="15" hidden="false" customHeight="false" outlineLevel="0" collapsed="false">
      <c r="B24" s="33"/>
      <c r="C24" s="33"/>
      <c r="D24" s="33"/>
      <c r="E24" s="33"/>
      <c r="F24" s="33"/>
      <c r="G24" s="33"/>
    </row>
    <row r="25" customFormat="false" ht="15" hidden="false" customHeight="false" outlineLevel="0" collapsed="false">
      <c r="B25" s="33"/>
      <c r="C25" s="33"/>
      <c r="D25" s="33"/>
      <c r="E25" s="33"/>
      <c r="F25" s="33"/>
      <c r="G25" s="33"/>
    </row>
    <row r="26" customFormat="false" ht="15" hidden="false" customHeight="false" outlineLevel="0" collapsed="false">
      <c r="B26" s="33"/>
      <c r="C26" s="33"/>
      <c r="D26" s="33"/>
      <c r="E26" s="33"/>
      <c r="F26" s="33"/>
      <c r="G26" s="33"/>
    </row>
    <row r="27" customFormat="false" ht="15" hidden="false" customHeight="false" outlineLevel="0" collapsed="false">
      <c r="B27" s="33"/>
      <c r="C27" s="33"/>
      <c r="D27" s="33"/>
      <c r="E27" s="33"/>
      <c r="F27" s="33"/>
      <c r="G27" s="33"/>
    </row>
    <row r="28" customFormat="false" ht="15" hidden="false" customHeight="false" outlineLevel="0" collapsed="false">
      <c r="B28" s="33"/>
      <c r="C28" s="33"/>
      <c r="D28" s="33"/>
      <c r="E28" s="33"/>
      <c r="F28" s="33"/>
      <c r="G28" s="33"/>
    </row>
    <row r="29" customFormat="false" ht="15" hidden="false" customHeight="false" outlineLevel="0" collapsed="false">
      <c r="B29" s="33"/>
      <c r="C29" s="33"/>
      <c r="D29" s="33"/>
      <c r="E29" s="33"/>
      <c r="F29" s="33"/>
      <c r="G29" s="33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2026-08-06T01:35:54Z</dcterms:created>
  <dc:creator>openpyxl</dc:creator>
  <dc:description/>
  <dc:language>en-US</dc:language>
  <cp:lastModifiedBy/>
  <dcterms:modified xsi:type="dcterms:W3CDTF">2026-08-17T23:48:39Z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