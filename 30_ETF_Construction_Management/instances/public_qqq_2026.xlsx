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rtfolio Construction" sheetId="6" state="visible" r:id="rId8"/>
    <sheet name="Creation &amp; Redemption" sheetId="7" state="visible" r:id="rId9"/>
    <sheet name="Tracking Error &amp; Costs" sheetId="8" state="visible" r:id="rId10"/>
    <sheet name="Checks" sheetId="9" state="visible" r:id="rId11"/>
    <sheet name="Sources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<sst xmlns="http://schemas.openxmlformats.org/spreadsheetml/2006/main" count="378" uniqueCount="289">
  <si>
    <t xml:space="preserve">[ETF] — Construction, Creation/Redemption, and Tracking-Cost Model</t>
  </si>
  <si>
    <t xml:space="preserve">ETF / share class:</t>
  </si>
  <si>
    <t xml:space="preserve">Invesco QQQ Trust, Series 1 (NASDAQ: QQQ)</t>
  </si>
  <si>
    <t xml:space="preserve">Benchmark index:</t>
  </si>
  <si>
    <t xml:space="preserve">NASDAQ-100 Index</t>
  </si>
  <si>
    <t xml:space="preserve">As of date:</t>
  </si>
  <si>
    <t xml:space="preserve">[date]</t>
  </si>
  <si>
    <t xml:space="preserve">Last refreshed:</t>
  </si>
  <si>
    <t xml:space="preserve">2026-08-06</t>
  </si>
  <si>
    <t xml:space="preserve">Next NAV / holdings refresh: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</si>
  <si>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</si>
  <si>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</si>
  <si>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</si>
  <si>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</si>
  <si>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</si>
  <si>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</si>
  <si>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</si>
  <si>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</si>
  <si>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</si>
  <si>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</si>
  <si>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</si>
  <si>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</si>
  <si>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</si>
  <si>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ETF Construction &amp; Management — Institutional Decision Surface</t>
  </si>
  <si>
    <t xml:space="preserve">Model ID</t>
  </si>
  <si>
    <t xml:space="preserve">30</t>
  </si>
  <si>
    <t xml:space="preserve">Domain</t>
  </si>
  <si>
    <t xml:space="preserve">ETF Construction &amp; Management</t>
  </si>
  <si>
    <t xml:space="preserve">Declared maturity</t>
  </si>
  <si>
    <t xml:space="preserve">M2</t>
  </si>
  <si>
    <t xml:space="preserve">Canonical builder</t>
  </si>
  <si>
    <t xml:space="preserve">tools/builders/build_etf_construction_institutional.py</t>
  </si>
  <si>
    <t xml:space="preserve">Decision arena</t>
  </si>
  <si>
    <t xml:space="preserve">fund board, authorized participant desk, capital markets/index committee</t>
  </si>
  <si>
    <t xml:space="preserve">Committee artifact</t>
  </si>
  <si>
    <t xml:space="preserve">quarterly holdings and tracking-difference report</t>
  </si>
  <si>
    <t xml:space="preserve">Operating cadence</t>
  </si>
  <si>
    <t xml:space="preserve">daily NAV and holdings disclosure; quarterly tracking-difference report; annual prospectus update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</si>
  <si>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</si>
  <si>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</si>
  <si>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</si>
  <si>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</si>
  <si>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</si>
  <si>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</si>
  <si>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net tracking difference (fund return vs. benchmark return)</t>
  </si>
  <si>
    <t xml:space="preserve">OPEN</t>
  </si>
  <si>
    <t xml:space="preserve">creation unit basket value and AP arbitrage economics</t>
  </si>
  <si>
    <t xml:space="preserve">premium/discount to NAV and portfolio sector/holdings weights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</si>
  <si>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</si>
  <si>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</si>
  <si>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</si>
  <si>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funds realized tracking difference versus its benchmark over the last year?</t>
  </si>
  <si>
    <t xml:space="preserve">How concentrated is the portfolio in its largest holdings and sectors?</t>
  </si>
  <si>
    <t xml:space="preserve">What premium or discount to NAV is the fund currently trading at, and is AP arbitrage keeping it in bounds?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</si>
  <si>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</si>
  <si>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</si>
  <si>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</si>
  <si>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authorized participant withdrawal or reduced creation/redemption activity</t>
  </si>
  <si>
    <t xml:space="preserve">index reconstitution and rebalance turnover</t>
  </si>
  <si>
    <t xml:space="preserve">securities-lending market disruption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</si>
  <si>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</si>
  <si>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</si>
  <si>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</si>
  <si>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fund prospectus and Statement of Additional Information</t>
  </si>
  <si>
    <t xml:space="preserve">daily holdings and NAV disclosure</t>
  </si>
  <si>
    <t xml:space="preserve">authorized participant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</si>
  <si>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</si>
  <si>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</si>
  <si>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</si>
  <si>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holdings and sector weights reconcile to disclosed totals</t>
  </si>
  <si>
    <t xml:space="preserve">creation unit basket value ties to NAV and market price</t>
  </si>
  <si>
    <t xml:space="preserve">tracking-difference bridge components are individually plausible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</si>
  <si>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</si>
  <si>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</si>
  <si>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</si>
  <si>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market price as identical to NAV without disclosing the proxy</t>
  </si>
  <si>
    <t xml:space="preserve">ignoring fee-layering or securities-lending revenue in the tracking bridge</t>
  </si>
  <si>
    <t xml:space="preserve">presenting an illustrative creation unit size as a disclosed prospectus fact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</si>
  <si>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</si>
  <si>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</si>
  <si>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</si>
  <si>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</si>
  <si>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</si>
  <si>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</si>
  <si>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</si>
  <si>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</si>
  <si>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</si>
  <si>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</si>
  <si>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</si>
  <si>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</si>
  <si>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</si>
  <si>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</si>
  <si>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</si>
  <si>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IOSCO Liquidity Risk Recommendations</t>
  </si>
  <si>
    <t xml:space="preserve">fund liquidity and stress testing</t>
  </si>
  <si>
    <t xml:space="preserve">https://www.iosco.org/library/pubdocs/pdf/IOSCOPD590.pdf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</si>
  <si>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</si>
  <si>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</si>
  <si>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</si>
  <si>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</si>
  <si>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</si>
  <si>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</si>
  <si>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</si>
  <si>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</si>
  <si>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</si>
  <si>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</si>
  <si>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</si>
  <si>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</si>
  <si>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</si>
  <si>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</si>
  <si>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</si>
  <si>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</si>
  <si>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fund issuer holdings/profile disclosure</t>
  </si>
  <si>
    <t xml:space="preserve">daily</t>
  </si>
  <si>
    <t xml:space="preserve">fund-administrator-verified holdings and NAV</t>
  </si>
  <si>
    <t xml:space="preserve">TO MAP</t>
  </si>
  <si>
    <t xml:space="preserve">market price and quote data</t>
  </si>
  <si>
    <t xml:space="preserve">real-time/daily</t>
  </si>
  <si>
    <t xml:space="preserve">exchange-reported last trade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</si>
  <si>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</si>
  <si>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</si>
  <si>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</si>
  <si>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</si>
  <si>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</si>
  <si>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</si>
  <si>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Fund, Replication, and Creation-Unit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</si>
  <si>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</si>
  <si>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</si>
  <si>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</si>
  <si>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</si>
  <si>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Fund net assets (AUM)</t>
  </si>
  <si>
    <t xml:space="preserve">$mm</t>
  </si>
  <si>
    <t xml:space="preserve">Net expense ratio</t>
  </si>
  <si>
    <t xml:space="preserve">% p.a.</t>
  </si>
  <si>
    <t xml:space="preserve">Trailing 12-month dividend yield</t>
  </si>
  <si>
    <t xml:space="preserve">Market price (last close)</t>
  </si>
  <si>
    <t xml:space="preserve">$/share</t>
  </si>
  <si>
    <t xml:space="preserve">Standard creation unit size</t>
  </si>
  <si>
    <t xml:space="preserve">shares</t>
  </si>
  <si>
    <t xml:space="preserve">Current premium / (discount) to NAV</t>
  </si>
  <si>
    <t xml:space="preserve">%</t>
  </si>
  <si>
    <t xml:space="preserve">Estimated securities-lending revenue offset</t>
  </si>
  <si>
    <t xml:space="preserve">% of NAV p.a.</t>
  </si>
  <si>
    <t xml:space="preserve">Estimated cash-drag cost</t>
  </si>
  <si>
    <t xml:space="preserve">Estimated sampling / optimization tracking error</t>
  </si>
  <si>
    <t xml:space="preserve">AP arbitrage action threshold</t>
  </si>
  <si>
    <t xml:space="preserve">% premium/discount</t>
  </si>
  <si>
    <t xml:space="preserve">Implied shares outstanding</t>
  </si>
  <si>
    <t xml:space="preserve">mm shares -- derived: AUM / market price</t>
  </si>
  <si>
    <t xml:space="preserve">Constituent Holdings (Look-Through)</t>
  </si>
  <si>
    <t xml:space="preserve">Symbol</t>
  </si>
  <si>
    <t xml:space="preserve">Issuer / description</t>
  </si>
  <si>
    <t xml:space="preserve">Weight</t>
  </si>
  <si>
    <t xml:space="preserve">NVDA</t>
  </si>
  <si>
    <t xml:space="preserve">NVIDIA CORP</t>
  </si>
  <si>
    <t xml:space="preserve">AAPL</t>
  </si>
  <si>
    <t xml:space="preserve">APPLE INC</t>
  </si>
  <si>
    <t xml:space="preserve">MU</t>
  </si>
  <si>
    <t xml:space="preserve">MICRON TECHNOLOGY INC</t>
  </si>
  <si>
    <t xml:space="preserve">MSFT</t>
  </si>
  <si>
    <t xml:space="preserve">MICROSOFT CORP</t>
  </si>
  <si>
    <t xml:space="preserve">AMZN</t>
  </si>
  <si>
    <t xml:space="preserve">AMAZON.COM INC</t>
  </si>
  <si>
    <t xml:space="preserve">AMD</t>
  </si>
  <si>
    <t xml:space="preserve">ADVANCED MICRO DEVICES INC</t>
  </si>
  <si>
    <t xml:space="preserve">GOOGL</t>
  </si>
  <si>
    <t xml:space="preserve">ALPHABET INC CLASS A</t>
  </si>
  <si>
    <t xml:space="preserve">AVGO</t>
  </si>
  <si>
    <t xml:space="preserve">BROADCOM INC</t>
  </si>
  <si>
    <t xml:space="preserve">GOOG</t>
  </si>
  <si>
    <t xml:space="preserve">ALPHABET INC CLASS C</t>
  </si>
  <si>
    <t xml:space="preserve">TSLA</t>
  </si>
  <si>
    <t xml:space="preserve">TESLA INC</t>
  </si>
  <si>
    <t xml:space="preserve">META</t>
  </si>
  <si>
    <t xml:space="preserve">META PLATFORMS INC CLASS A</t>
  </si>
  <si>
    <t xml:space="preserve">WMT</t>
  </si>
  <si>
    <t xml:space="preserve">WALMART INC</t>
  </si>
  <si>
    <t xml:space="preserve">INTC</t>
  </si>
  <si>
    <t xml:space="preserve">INTEL CORP</t>
  </si>
  <si>
    <t xml:space="preserve">CSCO</t>
  </si>
  <si>
    <t xml:space="preserve">CISCO SYSTEMS INC</t>
  </si>
  <si>
    <t xml:space="preserve">AMAT</t>
  </si>
  <si>
    <t xml:space="preserve">APPLIED MATERIALS INC</t>
  </si>
  <si>
    <t xml:space="preserve">COST</t>
  </si>
  <si>
    <t xml:space="preserve">COSTCO WHOLESALE CORP</t>
  </si>
  <si>
    <t xml:space="preserve">LRCX</t>
  </si>
  <si>
    <t xml:space="preserve">LAM RESEARCH CORP</t>
  </si>
  <si>
    <t xml:space="preserve">NFLX</t>
  </si>
  <si>
    <t xml:space="preserve">NETFLIX INC</t>
  </si>
  <si>
    <t xml:space="preserve">PLTR</t>
  </si>
  <si>
    <t xml:space="preserve">n/a</t>
  </si>
  <si>
    <t xml:space="preserve">KLAC</t>
  </si>
  <si>
    <t xml:space="preserve">KLA CORP</t>
  </si>
  <si>
    <t xml:space="preserve">PANW</t>
  </si>
  <si>
    <t xml:space="preserve">PALO ALTO NETWORKS INC</t>
  </si>
  <si>
    <t xml:space="preserve">TXN</t>
  </si>
  <si>
    <t xml:space="preserve">TEXAS INSTRUMENTS INC</t>
  </si>
  <si>
    <t xml:space="preserve">LIN</t>
  </si>
  <si>
    <t xml:space="preserve">LINDE PLC</t>
  </si>
  <si>
    <t xml:space="preserve">SNDK</t>
  </si>
  <si>
    <t xml:space="preserve">SANDISK CORP ORDINARY SHARES</t>
  </si>
  <si>
    <t xml:space="preserve">SPCX</t>
  </si>
  <si>
    <t xml:space="preserve">TMUS</t>
  </si>
  <si>
    <t xml:space="preserve">T-MOBILE US INC</t>
  </si>
  <si>
    <t xml:space="preserve">STX</t>
  </si>
  <si>
    <t xml:space="preserve">SEAGATE TECHNOLOGY HOLDINGS PLC</t>
  </si>
  <si>
    <t xml:space="preserve">AMGN</t>
  </si>
  <si>
    <t xml:space="preserve">AMGEN INC</t>
  </si>
  <si>
    <t xml:space="preserve">CRWD</t>
  </si>
  <si>
    <t xml:space="preserve">CROWDSTRIKE HOLDINGS INC CLASS A</t>
  </si>
  <si>
    <t xml:space="preserve">WDC</t>
  </si>
  <si>
    <t xml:space="preserve">WESTERN DIGITAL CORP</t>
  </si>
  <si>
    <t xml:space="preserve">All other constituents</t>
  </si>
  <si>
    <t xml:space="preserve">[remaining positions]</t>
  </si>
  <si>
    <t xml:space="preserve">Sector Allocation (as disclosed)</t>
  </si>
  <si>
    <t xml:space="preserve">Sector</t>
  </si>
  <si>
    <t xml:space="preserve">INFORMATION TECHNOLOGY</t>
  </si>
  <si>
    <t xml:space="preserve">COMMUNICATION SERVICES</t>
  </si>
  <si>
    <t xml:space="preserve">CONSUMER DISCRETIONARY</t>
  </si>
  <si>
    <t xml:space="preserve">CONSUMER STAPLES</t>
  </si>
  <si>
    <t xml:space="preserve">HEALTHCARE</t>
  </si>
  <si>
    <t xml:space="preserve">INDUSTRIALS</t>
  </si>
  <si>
    <t xml:space="preserve">UTILITIES</t>
  </si>
  <si>
    <t xml:space="preserve">MATERIALS</t>
  </si>
  <si>
    <t xml:space="preserve">ENERGY</t>
  </si>
  <si>
    <t xml:space="preserve">FINANCIALS</t>
  </si>
  <si>
    <t xml:space="preserve">REAL ESTATE</t>
  </si>
  <si>
    <t xml:space="preserve">Total disclosed sector weight</t>
  </si>
  <si>
    <t xml:space="preserve">Creation Unit Economics and Authorized-Participant Arbitrage</t>
  </si>
  <si>
    <t xml:space="preserve">Metric</t>
  </si>
  <si>
    <t xml:space="preserve">Value</t>
  </si>
  <si>
    <t xml:space="preserve">NAV per share (proxy: market price / (1+premium))</t>
  </si>
  <si>
    <t xml:space="preserve">Creation unit basket value (NAV basis)</t>
  </si>
  <si>
    <t xml:space="preserve">Creation unit basket value (market-price basis)</t>
  </si>
  <si>
    <t xml:space="preserve">Creation unit implied share of total AUM</t>
  </si>
  <si>
    <t xml:space="preserve">Premium / (discount) at market price vs. NAV</t>
  </si>
  <si>
    <t xml:space="preserve">AP arbitrage profit per creation unit at current premium/discount</t>
  </si>
  <si>
    <t xml:space="preserve">AP action threshold breached?</t>
  </si>
  <si>
    <t xml:space="preserve">Fund Return vs. Benchmark: Tracking-Difference Bridge</t>
  </si>
  <si>
    <t xml:space="preserve">Component</t>
  </si>
  <si>
    <t xml:space="preserve">Annualized impact</t>
  </si>
  <si>
    <t xml:space="preserve">Expense ratio drag</t>
  </si>
  <si>
    <t xml:space="preserve">Securities-lending revenue offset</t>
  </si>
  <si>
    <t xml:space="preserve">Cash-drag cost</t>
  </si>
  <si>
    <t xml:space="preserve">Sampling / optimization tracking error (+/-)</t>
  </si>
  <si>
    <t xml:space="preserve">Estimated net tracking difference (fund return - benchmark return)</t>
  </si>
  <si>
    <t xml:space="preserve">Reference: trailing dividend yield (informational, not part of tracking bridge)</t>
  </si>
  <si>
    <t xml:space="preserve">ETF Model Checks</t>
  </si>
  <si>
    <t xml:space="preserve">Check</t>
  </si>
  <si>
    <t xml:space="preserve">Holdings weights (shown + other) sum to ~100%</t>
  </si>
  <si>
    <t xml:space="preserve">Disclosed sector weights sum within a plausible band (90%-101%)</t>
  </si>
  <si>
    <t xml:space="preserve">Implied shares outstanding is positive</t>
  </si>
  <si>
    <t xml:space="preserve">Creation unit basket value is positive</t>
  </si>
  <si>
    <t xml:space="preserve">Net expense ratio is nonnegative and below 3%</t>
  </si>
  <si>
    <t xml:space="preserve">Estimated net tracking difference within a plausible band (-2% to +0.5%)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</si>
  <si>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</si>
  <si>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</si>
  <si>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</si>
  <si>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</si>
  <si>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</si>
  <si>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ETF issuer fund profile / holdings disclosure</t>
  </si>
  <si>
    <t xml:space="preserve">[issuer fact sheet or N-CSR/N-PORT filing]</t>
  </si>
  <si>
    <t xml:space="preserve">AUM, expense ratio, dividend yield, holdings, sector weights</t>
  </si>
  <si>
    <t xml:space="preserve">Market data (last price, volume)</t>
  </si>
  <si>
    <t xml:space="preserve">[exchange / market data vendor]</t>
  </si>
  <si>
    <t xml:space="preserve">Market price used as a NAV proxy</t>
  </si>
  <si>
    <t xml:space="preserve">Prospectus / Statement of Additional Information</t>
  </si>
  <si>
    <t xml:space="preserve">[SEC-filed prospectus / SAI]</t>
  </si>
  <si>
    <t xml:space="preserve">Creation unit size, in-kind/cash creation mix, authorized participant list</t>
  </si>
  <si>
    <t xml:space="preserve">Invesco QQQ Trust ETF Profile (Alpha Vantage, fund-disclosed holdings/AUM/expense ratio)</t>
  </si>
  <si>
    <t xml:space="preserve">https://www.alphavantage.co/documentation/#etf-profile</t>
  </si>
  <si>
    <t xml:space="preserve">Fund net assets, net expense ratio, trailing dividend yield, sector weights, and full constituent holdings with weights, retrieved via Alpha Vantage ETF_PROFILE (symbol=QQQ). Sourced from the fund's own disclosed holdings/profile data.</t>
  </si>
  <si>
    <t xml:space="preserve">QQQ market close price (Alpha Vantage GLOBAL_QUOTE, 2026-08-05)</t>
  </si>
  <si>
    <t xml:space="preserve">https://www.alphavantage.co/documentation/#quote-endpoint</t>
  </si>
  <si>
    <t xml:space="preserve">2026-08-05</t>
  </si>
  <si>
    <t xml:space="preserve">Last daily close $717.30, retrieved via Alpha Vantage GLOBAL_QUOTE (symbol=QQQ).</t>
  </si>
  <si>
    <t xml:space="preserve">Frozen source snapshot</t>
  </si>
  <si>
    <t xml:space="preserve">repo://30_ETF_Construction_Management/sources/snapshots/etf-public-qqq-2026.json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</si>
  <si>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</si>
  <si>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</si>
  <si>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</si>
  <si>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</si>
  <si>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</si>
  <si>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</si>
  <si>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</si>
  <si>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Initial real-instance sourcing for the ETF Construction &amp; Management domain</t>
  </si>
  <si>
    <t xml:space="preserve">Generated public case etf-public-qqq-2026 from canonical release template</t>
  </si>
  <si>
    <t xml:space="preserve">External historical case; human stakeholder approval remains pending</t>
  </si>
  <si>
    <t xml:space="preserve">On source revision, builder change, monitoring breach, or quarterly review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</si>
</sst>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;[RED]&quot;($&quot;#,##0.0\);\-"/>
    <numFmt numFmtId="166" formatCode="0.00%;[RED]\(0.00%\);\-"/>
    <numFmt numFmtId="167" formatCode="\$#,##0.00;[RED]&quot;($&quot;#,##0.00\);\-"/>
    <numFmt numFmtId="168" formatCode="#,##0"/>
    <numFmt numFmtId="169" formatCode="#,##0.0"/>
    <numFmt numFmtId="170" formatCode="\$#,##0;[RED]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  <row r="64" customFormat="false" ht="15" hidden="false" customHeight="false" outlineLevel="0" collapsed="false">
      <c r="B64" s="0" t="s">
        <v>93</v>
      </c>
      <c r="C64" s="0" t="s">
        <v>94</v>
      </c>
      <c r="D64" s="0" t="s">
        <v>95</v>
      </c>
      <c r="E64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96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97</v>
      </c>
      <c r="C4" s="13" t="s">
        <v>98</v>
      </c>
      <c r="D4" s="13" t="s">
        <v>99</v>
      </c>
      <c r="E4" s="13" t="s">
        <v>100</v>
      </c>
      <c r="F4" s="13" t="s">
        <v>101</v>
      </c>
      <c r="G4" s="13" t="s">
        <v>102</v>
      </c>
      <c r="H4" s="13" t="s">
        <v>43</v>
      </c>
      <c r="I4" s="13" t="s">
        <v>103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104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105</v>
      </c>
      <c r="C4" s="13" t="s">
        <v>106</v>
      </c>
      <c r="D4" s="13" t="s">
        <v>107</v>
      </c>
      <c r="E4" s="13" t="s">
        <v>108</v>
      </c>
      <c r="F4" s="13" t="s">
        <v>109</v>
      </c>
      <c r="G4" s="13" t="s">
        <v>41</v>
      </c>
      <c r="H4" s="13" t="s">
        <v>110</v>
      </c>
      <c r="I4" s="13" t="s">
        <v>111</v>
      </c>
      <c r="J4" s="13" t="s">
        <v>43</v>
      </c>
    </row>
    <row r="5" customFormat="false" ht="15" hidden="false" customHeight="false" outlineLevel="0" collapsed="false">
      <c r="B5" s="0" t="s">
        <v>112</v>
      </c>
      <c r="C5" s="0" t="s">
        <v>113</v>
      </c>
      <c r="D5" s="0" t="s">
        <v>114</v>
      </c>
      <c r="J5" s="14" t="s">
        <v>115</v>
      </c>
    </row>
    <row r="6" customFormat="false" ht="15" hidden="false" customHeight="false" outlineLevel="0" collapsed="false">
      <c r="B6" s="0" t="s">
        <v>116</v>
      </c>
      <c r="C6" s="0" t="s">
        <v>117</v>
      </c>
      <c r="D6" s="0" t="s">
        <v>118</v>
      </c>
      <c r="J6" s="14" t="s">
        <v>115</v>
      </c>
    </row>
    <row r="7" customFormat="false" ht="15" hidden="false" customHeight="false" outlineLevel="0" collapsed="false">
      <c r="B7" s="0" t="s">
        <v>119</v>
      </c>
      <c r="C7" s="0" t="s">
        <v>120</v>
      </c>
      <c r="D7" s="0" t="s">
        <v>121</v>
      </c>
      <c r="J7" s="14" t="s">
        <v>115</v>
      </c>
    </row>
    <row r="8" customFormat="false" ht="15" hidden="false" customHeight="false" outlineLevel="0" collapsed="false">
      <c r="B8" s="0" t="s">
        <v>122</v>
      </c>
      <c r="C8" s="0" t="s">
        <v>123</v>
      </c>
      <c r="D8" s="0" t="s">
        <v>124</v>
      </c>
      <c r="J8" s="14" t="s">
        <v>115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5" min="3" style="0" width="15"/>
    <col collapsed="false" customWidth="true" hidden="false" outlineLevel="0" max="6" min="6" style="0" width="34"/>
  </cols>
  <sheetData>
    <row r="2" customFormat="false" ht="27.75" hidden="false" customHeight="true" outlineLevel="0" collapsed="false">
      <c r="B2" s="1" t="s">
        <v>125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126</v>
      </c>
      <c r="C4" s="15" t="s">
        <v>11</v>
      </c>
      <c r="D4" s="15" t="s">
        <v>127</v>
      </c>
      <c r="E4" s="15" t="s">
        <v>128</v>
      </c>
      <c r="F4" s="15" t="s">
        <v>129</v>
      </c>
    </row>
    <row r="5" customFormat="false" ht="15" hidden="false" customHeight="false" outlineLevel="0" collapsed="false">
      <c r="B5" s="0" t="s">
        <v>130</v>
      </c>
      <c r="C5" s="16" t="n">
        <v>490100</v>
      </c>
      <c r="D5" s="17" t="n">
        <v>10000</v>
      </c>
      <c r="E5" s="18" t="n">
        <f aca="false">IF(Cover!$C$9="Downside",D5,C5)</f>
        <v>490100</v>
      </c>
      <c r="F5" s="14" t="s">
        <v>131</v>
      </c>
    </row>
    <row r="6" customFormat="false" ht="15" hidden="false" customHeight="false" outlineLevel="0" collapsed="false">
      <c r="B6" s="0" t="s">
        <v>132</v>
      </c>
      <c r="C6" s="19" t="n">
        <v>0.0018</v>
      </c>
      <c r="D6" s="20" t="n">
        <v>0.005</v>
      </c>
      <c r="E6" s="21" t="n">
        <f aca="false">IF(Cover!$C$9="Downside",D6,C6)</f>
        <v>0.0018</v>
      </c>
      <c r="F6" s="14" t="s">
        <v>133</v>
      </c>
    </row>
    <row r="7" customFormat="false" ht="15" hidden="false" customHeight="false" outlineLevel="0" collapsed="false">
      <c r="B7" s="0" t="s">
        <v>134</v>
      </c>
      <c r="C7" s="19" t="n">
        <v>0.0043</v>
      </c>
      <c r="D7" s="20" t="n">
        <v>0.015</v>
      </c>
      <c r="E7" s="21" t="n">
        <f aca="false">IF(Cover!$C$9="Downside",D7,C7)</f>
        <v>0.0043</v>
      </c>
      <c r="F7" s="14" t="s">
        <v>133</v>
      </c>
    </row>
    <row r="8" customFormat="false" ht="15" hidden="false" customHeight="false" outlineLevel="0" collapsed="false">
      <c r="B8" s="0" t="s">
        <v>135</v>
      </c>
      <c r="C8" s="22" t="n">
        <v>717.3</v>
      </c>
      <c r="D8" s="23" t="n">
        <v>100</v>
      </c>
      <c r="E8" s="24" t="n">
        <f aca="false">IF(Cover!$C$9="Downside",D8,C8)</f>
        <v>717.3</v>
      </c>
      <c r="F8" s="14" t="s">
        <v>136</v>
      </c>
    </row>
    <row r="9" customFormat="false" ht="15" hidden="false" customHeight="false" outlineLevel="0" collapsed="false">
      <c r="B9" s="0" t="s">
        <v>137</v>
      </c>
      <c r="C9" s="25" t="n">
        <v>50000</v>
      </c>
      <c r="D9" s="25" t="n">
        <v>50000</v>
      </c>
      <c r="E9" s="26" t="n">
        <f aca="false">IF(Cover!$C$9="Downside",D9,C9)</f>
        <v>50000</v>
      </c>
      <c r="F9" s="14" t="s">
        <v>138</v>
      </c>
    </row>
    <row r="10" customFormat="false" ht="15" hidden="false" customHeight="false" outlineLevel="0" collapsed="false">
      <c r="B10" s="0" t="s">
        <v>139</v>
      </c>
      <c r="C10" s="20" t="n">
        <v>0</v>
      </c>
      <c r="D10" s="20" t="n">
        <v>-0.0025</v>
      </c>
      <c r="E10" s="21" t="n">
        <f aca="false">IF(Cover!$C$9="Downside",D10,C10)</f>
        <v>0</v>
      </c>
      <c r="F10" s="14" t="s">
        <v>140</v>
      </c>
    </row>
    <row r="11" customFormat="false" ht="15" hidden="false" customHeight="false" outlineLevel="0" collapsed="false">
      <c r="B11" s="0" t="s">
        <v>141</v>
      </c>
      <c r="C11" s="20" t="n">
        <v>0.0002</v>
      </c>
      <c r="D11" s="20" t="n">
        <v>0.0001</v>
      </c>
      <c r="E11" s="21" t="n">
        <f aca="false">IF(Cover!$C$9="Downside",D11,C11)</f>
        <v>0.0002</v>
      </c>
      <c r="F11" s="14" t="s">
        <v>142</v>
      </c>
    </row>
    <row r="12" customFormat="false" ht="15" hidden="false" customHeight="false" outlineLevel="0" collapsed="false">
      <c r="B12" s="0" t="s">
        <v>143</v>
      </c>
      <c r="C12" s="20" t="n">
        <v>0.0002</v>
      </c>
      <c r="D12" s="20" t="n">
        <v>0.0008</v>
      </c>
      <c r="E12" s="21" t="n">
        <f aca="false">IF(Cover!$C$9="Downside",D12,C12)</f>
        <v>0.0002</v>
      </c>
      <c r="F12" s="14" t="s">
        <v>142</v>
      </c>
    </row>
    <row r="13" customFormat="false" ht="15" hidden="false" customHeight="false" outlineLevel="0" collapsed="false">
      <c r="B13" s="0" t="s">
        <v>144</v>
      </c>
      <c r="C13" s="20" t="n">
        <v>0.001</v>
      </c>
      <c r="D13" s="20" t="n">
        <v>0.005</v>
      </c>
      <c r="E13" s="21" t="n">
        <f aca="false">IF(Cover!$C$9="Downside",D13,C13)</f>
        <v>0.001</v>
      </c>
      <c r="F13" s="14" t="s">
        <v>142</v>
      </c>
    </row>
    <row r="14" customFormat="false" ht="15" hidden="false" customHeight="false" outlineLevel="0" collapsed="false">
      <c r="B14" s="0" t="s">
        <v>145</v>
      </c>
      <c r="C14" s="20" t="n">
        <v>0.001</v>
      </c>
      <c r="D14" s="20" t="n">
        <v>0.0025</v>
      </c>
      <c r="E14" s="21" t="n">
        <f aca="false">IF(Cover!$C$9="Downside",D14,C14)</f>
        <v>0.001</v>
      </c>
      <c r="F14" s="14" t="s">
        <v>146</v>
      </c>
    </row>
    <row r="16" customFormat="false" ht="15" hidden="false" customHeight="false" outlineLevel="0" collapsed="false">
      <c r="B16" s="0" t="s">
        <v>147</v>
      </c>
      <c r="C16" s="27" t="n">
        <f aca="false">E5/E8</f>
        <v>683.256656907849</v>
      </c>
      <c r="D16" s="14" t="s">
        <v>148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4"/>
  </cols>
  <sheetData>
    <row r="2" customFormat="false" ht="27.75" hidden="false" customHeight="true" outlineLevel="0" collapsed="false">
      <c r="B2" s="1" t="s">
        <v>149</v>
      </c>
      <c r="C2" s="1"/>
      <c r="D2" s="1"/>
      <c r="E2" s="1"/>
    </row>
    <row r="4" customFormat="false" ht="15" hidden="false" customHeight="false" outlineLevel="0" collapsed="false">
      <c r="B4" s="15" t="s">
        <v>150</v>
      </c>
      <c r="C4" s="15" t="s">
        <v>151</v>
      </c>
      <c r="D4" s="15" t="s">
        <v>152</v>
      </c>
    </row>
    <row r="5" customFormat="false" ht="15" hidden="false" customHeight="false" outlineLevel="0" collapsed="false">
      <c r="B5" s="3" t="s">
        <v>153</v>
      </c>
      <c r="C5" s="3" t="s">
        <v>154</v>
      </c>
      <c r="D5" s="19" t="n">
        <v>0.0828</v>
      </c>
    </row>
    <row r="6" customFormat="false" ht="15" hidden="false" customHeight="false" outlineLevel="0" collapsed="false">
      <c r="B6" s="3" t="s">
        <v>155</v>
      </c>
      <c r="C6" s="3" t="s">
        <v>156</v>
      </c>
      <c r="D6" s="19" t="n">
        <v>0.0772</v>
      </c>
    </row>
    <row r="7" customFormat="false" ht="15" hidden="false" customHeight="false" outlineLevel="0" collapsed="false">
      <c r="B7" s="3" t="s">
        <v>157</v>
      </c>
      <c r="C7" s="3" t="s">
        <v>158</v>
      </c>
      <c r="D7" s="19" t="n">
        <v>0.0482</v>
      </c>
    </row>
    <row r="8" customFormat="false" ht="15" hidden="false" customHeight="false" outlineLevel="0" collapsed="false">
      <c r="B8" s="3" t="s">
        <v>159</v>
      </c>
      <c r="C8" s="3" t="s">
        <v>160</v>
      </c>
      <c r="D8" s="19" t="n">
        <v>0.0468</v>
      </c>
    </row>
    <row r="9" customFormat="false" ht="15" hidden="false" customHeight="false" outlineLevel="0" collapsed="false">
      <c r="B9" s="3" t="s">
        <v>161</v>
      </c>
      <c r="C9" s="3" t="s">
        <v>162</v>
      </c>
      <c r="D9" s="19" t="n">
        <v>0.0425</v>
      </c>
    </row>
    <row r="10" customFormat="false" ht="15" hidden="false" customHeight="false" outlineLevel="0" collapsed="false">
      <c r="B10" s="3" t="s">
        <v>163</v>
      </c>
      <c r="C10" s="3" t="s">
        <v>164</v>
      </c>
      <c r="D10" s="19" t="n">
        <v>0.0401</v>
      </c>
    </row>
    <row r="11" customFormat="false" ht="15" hidden="false" customHeight="false" outlineLevel="0" collapsed="false">
      <c r="B11" s="3" t="s">
        <v>165</v>
      </c>
      <c r="C11" s="3" t="s">
        <v>166</v>
      </c>
      <c r="D11" s="19" t="n">
        <v>0.0321</v>
      </c>
    </row>
    <row r="12" customFormat="false" ht="15" hidden="false" customHeight="false" outlineLevel="0" collapsed="false">
      <c r="B12" s="3" t="s">
        <v>167</v>
      </c>
      <c r="C12" s="3" t="s">
        <v>168</v>
      </c>
      <c r="D12" s="19" t="n">
        <v>0.0303</v>
      </c>
    </row>
    <row r="13" customFormat="false" ht="15" hidden="false" customHeight="false" outlineLevel="0" collapsed="false">
      <c r="B13" s="3" t="s">
        <v>169</v>
      </c>
      <c r="C13" s="3" t="s">
        <v>170</v>
      </c>
      <c r="D13" s="19" t="n">
        <v>0.0301</v>
      </c>
    </row>
    <row r="14" customFormat="false" ht="15" hidden="false" customHeight="false" outlineLevel="0" collapsed="false">
      <c r="B14" s="3" t="s">
        <v>171</v>
      </c>
      <c r="C14" s="3" t="s">
        <v>172</v>
      </c>
      <c r="D14" s="19" t="n">
        <v>0.0301</v>
      </c>
    </row>
    <row r="15" customFormat="false" ht="15" hidden="false" customHeight="false" outlineLevel="0" collapsed="false">
      <c r="B15" s="3" t="s">
        <v>173</v>
      </c>
      <c r="C15" s="3" t="s">
        <v>174</v>
      </c>
      <c r="D15" s="19" t="n">
        <v>0.03</v>
      </c>
    </row>
    <row r="16" customFormat="false" ht="15" hidden="false" customHeight="false" outlineLevel="0" collapsed="false">
      <c r="B16" s="3" t="s">
        <v>175</v>
      </c>
      <c r="C16" s="3" t="s">
        <v>176</v>
      </c>
      <c r="D16" s="19" t="n">
        <v>0.0238</v>
      </c>
    </row>
    <row r="17" customFormat="false" ht="15" hidden="false" customHeight="false" outlineLevel="0" collapsed="false">
      <c r="B17" s="3" t="s">
        <v>177</v>
      </c>
      <c r="C17" s="3" t="s">
        <v>178</v>
      </c>
      <c r="D17" s="19" t="n">
        <v>0.023</v>
      </c>
    </row>
    <row r="18" customFormat="false" ht="15" hidden="false" customHeight="false" outlineLevel="0" collapsed="false">
      <c r="B18" s="3" t="s">
        <v>179</v>
      </c>
      <c r="C18" s="3" t="s">
        <v>180</v>
      </c>
      <c r="D18" s="19" t="n">
        <v>0.0197</v>
      </c>
    </row>
    <row r="19" customFormat="false" ht="15" hidden="false" customHeight="false" outlineLevel="0" collapsed="false">
      <c r="B19" s="3" t="s">
        <v>181</v>
      </c>
      <c r="C19" s="3" t="s">
        <v>182</v>
      </c>
      <c r="D19" s="19" t="n">
        <v>0.0196</v>
      </c>
    </row>
    <row r="20" customFormat="false" ht="15" hidden="false" customHeight="false" outlineLevel="0" collapsed="false">
      <c r="B20" s="3" t="s">
        <v>183</v>
      </c>
      <c r="C20" s="3" t="s">
        <v>184</v>
      </c>
      <c r="D20" s="19" t="n">
        <v>0.0183</v>
      </c>
    </row>
    <row r="21" customFormat="false" ht="15" hidden="false" customHeight="false" outlineLevel="0" collapsed="false">
      <c r="B21" s="3" t="s">
        <v>185</v>
      </c>
      <c r="C21" s="3" t="s">
        <v>186</v>
      </c>
      <c r="D21" s="19" t="n">
        <v>0.0178</v>
      </c>
    </row>
    <row r="22" customFormat="false" ht="15" hidden="false" customHeight="false" outlineLevel="0" collapsed="false">
      <c r="B22" s="3" t="s">
        <v>187</v>
      </c>
      <c r="C22" s="3" t="s">
        <v>188</v>
      </c>
      <c r="D22" s="19" t="n">
        <v>0.0129</v>
      </c>
    </row>
    <row r="23" customFormat="false" ht="15" hidden="false" customHeight="false" outlineLevel="0" collapsed="false">
      <c r="B23" s="3" t="s">
        <v>189</v>
      </c>
      <c r="C23" s="3" t="s">
        <v>190</v>
      </c>
      <c r="D23" s="19" t="n">
        <v>0.0127</v>
      </c>
    </row>
    <row r="24" customFormat="false" ht="15" hidden="false" customHeight="false" outlineLevel="0" collapsed="false">
      <c r="B24" s="3" t="s">
        <v>191</v>
      </c>
      <c r="C24" s="3" t="s">
        <v>192</v>
      </c>
      <c r="D24" s="19" t="n">
        <v>0.0125</v>
      </c>
    </row>
    <row r="25" customFormat="false" ht="15" hidden="false" customHeight="false" outlineLevel="0" collapsed="false">
      <c r="B25" s="3" t="s">
        <v>193</v>
      </c>
      <c r="C25" s="3" t="s">
        <v>194</v>
      </c>
      <c r="D25" s="19" t="n">
        <v>0.0122</v>
      </c>
    </row>
    <row r="26" customFormat="false" ht="15" hidden="false" customHeight="false" outlineLevel="0" collapsed="false">
      <c r="B26" s="3" t="s">
        <v>195</v>
      </c>
      <c r="C26" s="3" t="s">
        <v>196</v>
      </c>
      <c r="D26" s="19" t="n">
        <v>0.0119</v>
      </c>
    </row>
    <row r="27" customFormat="false" ht="15" hidden="false" customHeight="false" outlineLevel="0" collapsed="false">
      <c r="B27" s="3" t="s">
        <v>197</v>
      </c>
      <c r="C27" s="3" t="s">
        <v>198</v>
      </c>
      <c r="D27" s="19" t="n">
        <v>0.0105</v>
      </c>
    </row>
    <row r="28" customFormat="false" ht="15" hidden="false" customHeight="false" outlineLevel="0" collapsed="false">
      <c r="B28" s="3" t="s">
        <v>199</v>
      </c>
      <c r="C28" s="3" t="s">
        <v>200</v>
      </c>
      <c r="D28" s="19" t="n">
        <v>0.0105</v>
      </c>
    </row>
    <row r="29" customFormat="false" ht="15" hidden="false" customHeight="false" outlineLevel="0" collapsed="false">
      <c r="B29" s="3" t="s">
        <v>201</v>
      </c>
      <c r="C29" s="3" t="s">
        <v>190</v>
      </c>
      <c r="D29" s="19" t="n">
        <v>0.0098</v>
      </c>
    </row>
    <row r="30" customFormat="false" ht="15" hidden="false" customHeight="false" outlineLevel="0" collapsed="false">
      <c r="B30" s="3" t="s">
        <v>202</v>
      </c>
      <c r="C30" s="3" t="s">
        <v>203</v>
      </c>
      <c r="D30" s="19" t="n">
        <v>0.0092</v>
      </c>
    </row>
    <row r="31" customFormat="false" ht="15" hidden="false" customHeight="false" outlineLevel="0" collapsed="false">
      <c r="B31" s="3" t="s">
        <v>204</v>
      </c>
      <c r="C31" s="3" t="s">
        <v>205</v>
      </c>
      <c r="D31" s="19" t="n">
        <v>0.0091</v>
      </c>
    </row>
    <row r="32" customFormat="false" ht="15" hidden="false" customHeight="false" outlineLevel="0" collapsed="false">
      <c r="B32" s="3" t="s">
        <v>206</v>
      </c>
      <c r="C32" s="3" t="s">
        <v>207</v>
      </c>
      <c r="D32" s="19" t="n">
        <v>0.0088</v>
      </c>
    </row>
    <row r="33" customFormat="false" ht="15" hidden="false" customHeight="false" outlineLevel="0" collapsed="false">
      <c r="B33" s="3" t="s">
        <v>208</v>
      </c>
      <c r="C33" s="3" t="s">
        <v>209</v>
      </c>
      <c r="D33" s="19" t="n">
        <v>0.0085</v>
      </c>
    </row>
    <row r="34" customFormat="false" ht="15" hidden="false" customHeight="false" outlineLevel="0" collapsed="false">
      <c r="B34" s="3" t="s">
        <v>210</v>
      </c>
      <c r="C34" s="3" t="s">
        <v>211</v>
      </c>
      <c r="D34" s="19" t="n">
        <v>0.0085</v>
      </c>
    </row>
    <row r="35" customFormat="false" ht="15" hidden="false" customHeight="false" outlineLevel="0" collapsed="false">
      <c r="B35" s="0" t="s">
        <v>212</v>
      </c>
      <c r="C35" s="0" t="s">
        <v>213</v>
      </c>
      <c r="D35" s="21" t="n">
        <f aca="false">MAX(0,1-SUM(D5:D34))</f>
        <v>0.2505</v>
      </c>
    </row>
    <row r="36" customFormat="false" ht="15" hidden="false" customHeight="false" outlineLevel="0" collapsed="false">
      <c r="B36" s="28"/>
      <c r="C36" s="29"/>
      <c r="D36" s="29" t="n">
        <f aca="false">SUM(D5:D35)</f>
        <v>1</v>
      </c>
    </row>
    <row r="38" customFormat="false" ht="27.75" hidden="false" customHeight="true" outlineLevel="0" collapsed="false">
      <c r="B38" s="1" t="s">
        <v>214</v>
      </c>
      <c r="C38" s="1"/>
    </row>
    <row r="39" customFormat="false" ht="15" hidden="false" customHeight="false" outlineLevel="0" collapsed="false">
      <c r="B39" s="15" t="s">
        <v>215</v>
      </c>
      <c r="C39" s="15" t="s">
        <v>152</v>
      </c>
    </row>
    <row r="40" customFormat="false" ht="15" hidden="false" customHeight="false" outlineLevel="0" collapsed="false">
      <c r="B40" s="3" t="s">
        <v>216</v>
      </c>
      <c r="C40" s="19" t="n">
        <v>0.577</v>
      </c>
    </row>
    <row r="41" customFormat="false" ht="15" hidden="false" customHeight="false" outlineLevel="0" collapsed="false">
      <c r="B41" s="3" t="s">
        <v>217</v>
      </c>
      <c r="C41" s="19" t="n">
        <v>0.133</v>
      </c>
    </row>
    <row r="42" customFormat="false" ht="15" hidden="false" customHeight="false" outlineLevel="0" collapsed="false">
      <c r="B42" s="3" t="s">
        <v>218</v>
      </c>
      <c r="C42" s="19" t="n">
        <v>0.101</v>
      </c>
    </row>
    <row r="43" customFormat="false" ht="15" hidden="false" customHeight="false" outlineLevel="0" collapsed="false">
      <c r="B43" s="3" t="s">
        <v>219</v>
      </c>
      <c r="C43" s="19" t="n">
        <v>0.061</v>
      </c>
    </row>
    <row r="44" customFormat="false" ht="15" hidden="false" customHeight="false" outlineLevel="0" collapsed="false">
      <c r="B44" s="3" t="s">
        <v>220</v>
      </c>
      <c r="C44" s="19" t="n">
        <v>0.036</v>
      </c>
    </row>
    <row r="45" customFormat="false" ht="15" hidden="false" customHeight="false" outlineLevel="0" collapsed="false">
      <c r="B45" s="3" t="s">
        <v>221</v>
      </c>
      <c r="C45" s="19" t="n">
        <v>0.029</v>
      </c>
    </row>
    <row r="46" customFormat="false" ht="15" hidden="false" customHeight="false" outlineLevel="0" collapsed="false">
      <c r="B46" s="3" t="s">
        <v>222</v>
      </c>
      <c r="C46" s="19" t="n">
        <v>0.012</v>
      </c>
    </row>
    <row r="47" customFormat="false" ht="15" hidden="false" customHeight="false" outlineLevel="0" collapsed="false">
      <c r="B47" s="3" t="s">
        <v>223</v>
      </c>
      <c r="C47" s="19" t="n">
        <v>0.011</v>
      </c>
    </row>
    <row r="48" customFormat="false" ht="15" hidden="false" customHeight="false" outlineLevel="0" collapsed="false">
      <c r="B48" s="3" t="s">
        <v>224</v>
      </c>
      <c r="C48" s="19" t="n">
        <v>0.005</v>
      </c>
    </row>
    <row r="49" customFormat="false" ht="15" hidden="false" customHeight="false" outlineLevel="0" collapsed="false">
      <c r="B49" s="3" t="s">
        <v>225</v>
      </c>
      <c r="C49" s="19" t="n">
        <v>0.002</v>
      </c>
    </row>
    <row r="50" customFormat="false" ht="15" hidden="false" customHeight="false" outlineLevel="0" collapsed="false">
      <c r="B50" s="3" t="s">
        <v>226</v>
      </c>
      <c r="C50" s="19" t="n">
        <v>0</v>
      </c>
    </row>
    <row r="51" customFormat="false" ht="15" hidden="false" customHeight="false" outlineLevel="0" collapsed="false">
      <c r="B51" s="0" t="s">
        <v>227</v>
      </c>
      <c r="C51" s="21" t="n">
        <f aca="false">SUM(C40:C50)</f>
        <v>0.967</v>
      </c>
    </row>
  </sheetData>
  <mergeCells count="2">
    <mergeCell ref="B2:E2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3" min="3" style="0" width="22"/>
  </cols>
  <sheetData>
    <row r="2" customFormat="false" ht="27.75" hidden="false" customHeight="true" outlineLevel="0" collapsed="false">
      <c r="B2" s="1" t="s">
        <v>228</v>
      </c>
      <c r="C2" s="1"/>
    </row>
    <row r="4" customFormat="false" ht="15" hidden="false" customHeight="false" outlineLevel="0" collapsed="false">
      <c r="B4" s="15" t="s">
        <v>229</v>
      </c>
      <c r="C4" s="15" t="s">
        <v>230</v>
      </c>
    </row>
    <row r="5" customFormat="false" ht="15" hidden="false" customHeight="false" outlineLevel="0" collapsed="false">
      <c r="B5" s="0" t="s">
        <v>231</v>
      </c>
      <c r="C5" s="24" t="n">
        <f aca="false">Assumptions!$E$8/(1+Assumptions!$E$10)</f>
        <v>717.3</v>
      </c>
    </row>
    <row r="6" customFormat="false" ht="15" hidden="false" customHeight="false" outlineLevel="0" collapsed="false">
      <c r="B6" s="0" t="s">
        <v>232</v>
      </c>
      <c r="C6" s="30" t="n">
        <f aca="false">C5*Assumptions!$E$9</f>
        <v>35865000</v>
      </c>
    </row>
    <row r="7" customFormat="false" ht="15" hidden="false" customHeight="false" outlineLevel="0" collapsed="false">
      <c r="B7" s="0" t="s">
        <v>233</v>
      </c>
      <c r="C7" s="30" t="n">
        <f aca="false">Assumptions!$E$8*Assumptions!$E$9</f>
        <v>35865000</v>
      </c>
    </row>
    <row r="8" customFormat="false" ht="15" hidden="false" customHeight="false" outlineLevel="0" collapsed="false">
      <c r="B8" s="0" t="s">
        <v>234</v>
      </c>
      <c r="C8" s="21" t="n">
        <f aca="false">C6/(Assumptions!$E$5*1000000)</f>
        <v>7.31789430728423E-005</v>
      </c>
    </row>
    <row r="9" customFormat="false" ht="15" hidden="false" customHeight="false" outlineLevel="0" collapsed="false">
      <c r="B9" s="0" t="s">
        <v>235</v>
      </c>
      <c r="C9" s="21" t="n">
        <f aca="false">Assumptions!$E$10</f>
        <v>0</v>
      </c>
    </row>
    <row r="10" customFormat="false" ht="15" hidden="false" customHeight="false" outlineLevel="0" collapsed="false">
      <c r="B10" s="0" t="s">
        <v>236</v>
      </c>
      <c r="C10" s="30" t="n">
        <f aca="false">C9*C7</f>
        <v>0</v>
      </c>
    </row>
    <row r="11" customFormat="false" ht="15" hidden="false" customHeight="false" outlineLevel="0" collapsed="false">
      <c r="B11" s="0" t="s">
        <v>237</v>
      </c>
      <c r="C11" s="0" t="str">
        <f aca="false">IF(ABS(C9)&gt;Assumptions!$E$14,"YES -- AP arbitrage expected to compress premium/discount","NO -- within normal trading band")</f>
        <v>NO -- within normal trading band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3" min="3" style="0" width="20"/>
  </cols>
  <sheetData>
    <row r="2" customFormat="false" ht="27.75" hidden="false" customHeight="true" outlineLevel="0" collapsed="false">
      <c r="B2" s="1" t="s">
        <v>238</v>
      </c>
      <c r="C2" s="1"/>
    </row>
    <row r="4" customFormat="false" ht="15" hidden="false" customHeight="false" outlineLevel="0" collapsed="false">
      <c r="B4" s="15" t="s">
        <v>239</v>
      </c>
      <c r="C4" s="15" t="s">
        <v>240</v>
      </c>
    </row>
    <row r="5" customFormat="false" ht="15" hidden="false" customHeight="false" outlineLevel="0" collapsed="false">
      <c r="B5" s="0" t="s">
        <v>241</v>
      </c>
      <c r="C5" s="21" t="n">
        <f aca="false">-Assumptions!$E$6</f>
        <v>-0.0018</v>
      </c>
    </row>
    <row r="6" customFormat="false" ht="15" hidden="false" customHeight="false" outlineLevel="0" collapsed="false">
      <c r="B6" s="0" t="s">
        <v>242</v>
      </c>
      <c r="C6" s="21" t="n">
        <f aca="false">Assumptions!$E$11</f>
        <v>0.0002</v>
      </c>
    </row>
    <row r="7" customFormat="false" ht="15" hidden="false" customHeight="false" outlineLevel="0" collapsed="false">
      <c r="B7" s="0" t="s">
        <v>243</v>
      </c>
      <c r="C7" s="21" t="n">
        <f aca="false">-Assumptions!$E$12</f>
        <v>-0.0002</v>
      </c>
    </row>
    <row r="8" customFormat="false" ht="15" hidden="false" customHeight="false" outlineLevel="0" collapsed="false">
      <c r="B8" s="0" t="s">
        <v>244</v>
      </c>
      <c r="C8" s="21" t="n">
        <f aca="false">-Assumptions!$E$13</f>
        <v>-0.001</v>
      </c>
    </row>
    <row r="9" customFormat="false" ht="15" hidden="false" customHeight="false" outlineLevel="0" collapsed="false">
      <c r="B9" s="0" t="s">
        <v>245</v>
      </c>
      <c r="C9" s="21" t="n">
        <f aca="false">SUM(C5:C8)</f>
        <v>-0.0028</v>
      </c>
    </row>
    <row r="11" customFormat="false" ht="15" hidden="false" customHeight="false" outlineLevel="0" collapsed="false">
      <c r="B11" s="0" t="s">
        <v>246</v>
      </c>
      <c r="C11" s="21" t="n">
        <f aca="false">Assumptions!$E$7</f>
        <v>0.0043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247</v>
      </c>
      <c r="C2" s="1"/>
    </row>
    <row r="4" customFormat="false" ht="15" hidden="false" customHeight="false" outlineLevel="0" collapsed="false">
      <c r="B4" s="15" t="s">
        <v>248</v>
      </c>
      <c r="C4" s="15" t="s">
        <v>43</v>
      </c>
    </row>
    <row r="5" customFormat="false" ht="15" hidden="false" customHeight="false" outlineLevel="0" collapsed="false">
      <c r="B5" s="0" t="s">
        <v>249</v>
      </c>
      <c r="C5" s="0" t="str">
        <f aca="false">IF(ABS('Portfolio Construction'!D36-1)&lt;0.02,"PASS","REVIEW")</f>
        <v>PASS</v>
      </c>
    </row>
    <row r="6" customFormat="false" ht="15" hidden="false" customHeight="false" outlineLevel="0" collapsed="false">
      <c r="B6" s="0" t="s">
        <v>250</v>
      </c>
      <c r="C6" s="0" t="str">
        <f aca="false">IF(AND('Portfolio Construction'!C51&gt;=0.9,'Portfolio Construction'!C51&lt;=1.01),"PASS","REVIEW")</f>
        <v>PASS</v>
      </c>
    </row>
    <row r="7" customFormat="false" ht="15" hidden="false" customHeight="false" outlineLevel="0" collapsed="false">
      <c r="B7" s="0" t="s">
        <v>251</v>
      </c>
      <c r="C7" s="0" t="str">
        <f aca="false">IF(Assumptions!C16&gt;0,"PASS","FAIL")</f>
        <v>PASS</v>
      </c>
    </row>
    <row r="8" customFormat="false" ht="15" hidden="false" customHeight="false" outlineLevel="0" collapsed="false">
      <c r="B8" s="0" t="s">
        <v>252</v>
      </c>
      <c r="C8" s="0" t="str">
        <f aca="false">IF('Creation &amp; Redemption'!C6&gt;0,"PASS","FAIL")</f>
        <v>PASS</v>
      </c>
    </row>
    <row r="9" customFormat="false" ht="15" hidden="false" customHeight="false" outlineLevel="0" collapsed="false">
      <c r="B9" s="0" t="s">
        <v>253</v>
      </c>
      <c r="C9" s="0" t="str">
        <f aca="false">IF(AND(Assumptions!E6&gt;=0,Assumptions!E6&lt;0.03),"PASS","REVIEW")</f>
        <v>PASS</v>
      </c>
    </row>
    <row r="10" customFormat="false" ht="15" hidden="false" customHeight="false" outlineLevel="0" collapsed="false">
      <c r="B10" s="0" t="s">
        <v>254</v>
      </c>
      <c r="C10" s="0" t="str">
        <f aca="false">IF(AND('Tracking Error &amp; Costs'!C9&gt;=-0.02,'Tracking Error &amp; Costs'!C9&lt;=0.005),"PASS","REVIEW")</f>
        <v>PASS</v>
      </c>
    </row>
    <row r="11" customFormat="false" ht="15" hidden="false" customHeight="false" outlineLevel="0" collapsed="false">
      <c r="B11" s="0" t="s">
        <v>255</v>
      </c>
      <c r="C11" s="0" t="str">
        <f aca="false">IF(COUNTIF(C5:C10,"FAIL")&gt;0,"FAIL",IF(COUNTIF(C5:C10,"REVIEW")&gt;0,"REVIEW","PASS"))</f>
        <v>PASS</v>
      </c>
    </row>
  </sheetData>
  <mergeCells count="1">
    <mergeCell ref="B2:C2"/>
  </mergeCells>
  <conditionalFormatting sqref="C5:C11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256</v>
      </c>
      <c r="C2" s="1"/>
      <c r="D2" s="1"/>
      <c r="E2" s="1"/>
    </row>
    <row r="4" customFormat="false" ht="15" hidden="false" customHeight="false" outlineLevel="0" collapsed="false">
      <c r="B4" s="15" t="s">
        <v>257</v>
      </c>
      <c r="C4" s="15" t="s">
        <v>258</v>
      </c>
      <c r="D4" s="15" t="s">
        <v>109</v>
      </c>
      <c r="E4" s="15" t="s">
        <v>259</v>
      </c>
    </row>
    <row r="5" customFormat="false" ht="15" hidden="false" customHeight="false" outlineLevel="0" collapsed="false">
      <c r="B5" s="31" t="s">
        <v>260</v>
      </c>
      <c r="C5" s="31" t="s">
        <v>261</v>
      </c>
      <c r="D5" s="31" t="s">
        <v>6</v>
      </c>
      <c r="E5" s="31" t="s">
        <v>262</v>
      </c>
    </row>
    <row r="6" customFormat="false" ht="15" hidden="false" customHeight="false" outlineLevel="0" collapsed="false">
      <c r="B6" s="31" t="s">
        <v>263</v>
      </c>
      <c r="C6" s="31" t="s">
        <v>264</v>
      </c>
      <c r="D6" s="31" t="s">
        <v>6</v>
      </c>
      <c r="E6" s="31" t="s">
        <v>265</v>
      </c>
    </row>
    <row r="7" customFormat="false" ht="15" hidden="false" customHeight="false" outlineLevel="0" collapsed="false">
      <c r="B7" s="31" t="s">
        <v>266</v>
      </c>
      <c r="C7" s="31" t="s">
        <v>267</v>
      </c>
      <c r="D7" s="31" t="s">
        <v>6</v>
      </c>
      <c r="E7" s="31" t="s">
        <v>268</v>
      </c>
    </row>
    <row r="8" customFormat="false" ht="15" hidden="false" customHeight="false" outlineLevel="0" collapsed="false">
      <c r="B8" s="32" t="s">
        <v>269</v>
      </c>
      <c r="C8" s="32" t="s">
        <v>270</v>
      </c>
      <c r="D8" s="32" t="s">
        <v>8</v>
      </c>
      <c r="E8" s="32" t="s">
        <v>271</v>
      </c>
    </row>
    <row r="9" customFormat="false" ht="15" hidden="false" customHeight="false" outlineLevel="0" collapsed="false">
      <c r="B9" s="32" t="s">
        <v>272</v>
      </c>
      <c r="C9" s="32" t="s">
        <v>273</v>
      </c>
      <c r="D9" s="32" t="s">
        <v>274</v>
      </c>
      <c r="E9" s="32" t="s">
        <v>275</v>
      </c>
    </row>
    <row r="10" customFormat="false" ht="15" hidden="false" customHeight="false" outlineLevel="0" collapsed="false">
      <c r="B10" s="32" t="s">
        <v>276</v>
      </c>
      <c r="C10" s="32" t="s">
        <v>277</v>
      </c>
      <c r="D10" s="32" t="s">
        <v>8</v>
      </c>
      <c r="E10" s="32" t="s">
        <v>278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279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97</v>
      </c>
      <c r="C4" s="15" t="s">
        <v>280</v>
      </c>
      <c r="D4" s="15" t="s">
        <v>281</v>
      </c>
      <c r="E4" s="15" t="s">
        <v>282</v>
      </c>
      <c r="F4" s="15" t="s">
        <v>283</v>
      </c>
      <c r="G4" s="15" t="s">
        <v>284</v>
      </c>
    </row>
    <row r="5" customFormat="false" ht="15" hidden="false" customHeight="false" outlineLevel="0" collapsed="false">
      <c r="B5" s="33" t="s">
        <v>8</v>
      </c>
      <c r="C5" s="33" t="s">
        <v>285</v>
      </c>
      <c r="D5" s="33" t="s">
        <v>277</v>
      </c>
      <c r="E5" s="33" t="s">
        <v>286</v>
      </c>
      <c r="F5" s="33" t="s">
        <v>287</v>
      </c>
      <c r="G5" s="33" t="s">
        <v>288</v>
      </c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2026-08-06T01:35:54Z</dcterms:created>
  <dc:creator>openpyxl</dc:creator>
  <dc:description/>
  <dc:language>en-US</dc:language>
  <cp:lastModifiedBy/>
  <dcterms:modified xsi:type="dcterms:W3CDTF">2026-08-06T12:41:26Z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