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ositions" sheetId="3" state="visible" r:id="rId5"/>
    <sheet name="Factors" sheetId="4" state="visible" r:id="rId6"/>
    <sheet name="VaR &amp; ES" sheetId="5" state="visible" r:id="rId7"/>
    <sheet name="Risk Contributions" sheetId="6" state="visible" r:id="rId8"/>
    <sheet name="Stress" sheetId="7" state="visible" r:id="rId9"/>
    <sheet name="Liquidity" sheetId="8" state="visible" r:id="rId10"/>
    <sheet name="P&amp;L Explain" sheetId="9" state="visible" r:id="rId11"/>
    <sheet name="Limits" sheetId="10" state="visible" r:id="rId12"/>
    <sheet name="Checks" sheetId="11" state="visible" r:id="rId13"/>
    <sheet name="Sources" sheetId="12" state="visible" r:id="rId14"/>
    <sheet name="Refresh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<sst xmlns="http://schemas.openxmlformats.org/spreadsheetml/2006/main" count="261" uniqueCount="204">
  <si>
    <t xml:space="preserve">[PORTFOLIO] — Multi-Asset Risk Model</t>
  </si>
  <si>
    <t xml:space="preserve">Portfolio / desk:</t>
  </si>
  <si>
    <t xml:space="preserve">[Name]</t>
  </si>
  <si>
    <t xml:space="preserve">Risk horizon:</t>
  </si>
  <si>
    <t xml:space="preserve">1-day and stressed liquidation</t>
  </si>
  <si>
    <t xml:space="preserve">Last refreshed:</t>
  </si>
  <si>
    <t xml:space="preserve">[timestamp]</t>
  </si>
  <si>
    <t xml:space="preserve">Next limit review:</t>
  </si>
  <si>
    <t xml:space="preserve">[date]</t>
  </si>
  <si>
    <t xml:space="preserve">Refresh cadence:</t>
  </si>
  <si>
    <t xml:space="preserve">Intraday / daily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</si>
  <si>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</si>
  <si>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</si>
  <si>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</si>
  <si>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</si>
  <si>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</si>
  <si>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</si>
  <si>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</si>
  <si>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</si>
  <si>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</si>
  <si>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</si>
  <si>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</si>
  <si>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</si>
  <si>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</si>
  <si>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Risk and Liquidity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</si>
  <si>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</si>
  <si>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</si>
  <si>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</si>
  <si>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</si>
  <si>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VaR confidence</t>
  </si>
  <si>
    <t xml:space="preserve">%</t>
  </si>
  <si>
    <t xml:space="preserve">Trading days per year</t>
  </si>
  <si>
    <t xml:space="preserve">days</t>
  </si>
  <si>
    <t xml:space="preserve">Equity annual volatility</t>
  </si>
  <si>
    <t xml:space="preserve">Rates annual volatility</t>
  </si>
  <si>
    <t xml:space="preserve">yield change</t>
  </si>
  <si>
    <t xml:space="preserve">Credit annual volatility</t>
  </si>
  <si>
    <t xml:space="preserve">spread change</t>
  </si>
  <si>
    <t xml:space="preserve">FX annual volatility</t>
  </si>
  <si>
    <t xml:space="preserve">Volatility-factor annual volatility</t>
  </si>
  <si>
    <t xml:space="preserve">Maximum portfolio VaR</t>
  </si>
  <si>
    <t xml:space="preserve">$mm</t>
  </si>
  <si>
    <t xml:space="preserve">Maximum stress loss</t>
  </si>
  <si>
    <t xml:space="preserve">Maximum illiquid NAV</t>
  </si>
  <si>
    <t xml:space="preserve">Maximum single-name concentration</t>
  </si>
  <si>
    <t xml:space="preserve">Maximum gross leverage</t>
  </si>
  <si>
    <t xml:space="preserve">x</t>
  </si>
  <si>
    <t xml:space="preserve">Liquidity impact coefficient</t>
  </si>
  <si>
    <t xml:space="preserve">loss coefficient</t>
  </si>
  <si>
    <t xml:space="preserve">Available capital / NAV</t>
  </si>
  <si>
    <t xml:space="preserve">Position-Level Risk Inventory</t>
  </si>
  <si>
    <t xml:space="preserve">Instrument</t>
  </si>
  <si>
    <t xml:space="preserve">Asset class</t>
  </si>
  <si>
    <t xml:space="preserve">Market value</t>
  </si>
  <si>
    <t xml:space="preserve">Gross notional</t>
  </si>
  <si>
    <t xml:space="preserve">Delta</t>
  </si>
  <si>
    <t xml:space="preserve">Beta</t>
  </si>
  <si>
    <t xml:space="preserve">Duration</t>
  </si>
  <si>
    <t xml:space="preserve">Spread duration</t>
  </si>
  <si>
    <t xml:space="preserve">DV01</t>
  </si>
  <si>
    <t xml:space="preserve">Vega</t>
  </si>
  <si>
    <t xml:space="preserve">FX delta</t>
  </si>
  <si>
    <t xml:space="preserve">Days to liquidate</t>
  </si>
  <si>
    <t xml:space="preserve">Equity</t>
  </si>
  <si>
    <t xml:space="preserve">Rates</t>
  </si>
  <si>
    <t xml:space="preserve">Credit</t>
  </si>
  <si>
    <t xml:space="preserve">FX</t>
  </si>
  <si>
    <t xml:space="preserve">Volatility</t>
  </si>
  <si>
    <t xml:space="preserve">Weighted risk exposure</t>
  </si>
  <si>
    <t xml:space="preserve">Equity Index Future</t>
  </si>
  <si>
    <t xml:space="preserve">Single Name A</t>
  </si>
  <si>
    <t xml:space="preserve">Single Name Put</t>
  </si>
  <si>
    <t xml:space="preserve">Option</t>
  </si>
  <si>
    <t xml:space="preserve">10Y Treasury</t>
  </si>
  <si>
    <t xml:space="preserve">IG Credit ETF</t>
  </si>
  <si>
    <t xml:space="preserve">HY Bond</t>
  </si>
  <si>
    <t xml:space="preserve">EURUSD Forward</t>
  </si>
  <si>
    <t xml:space="preserve">Commodity Future</t>
  </si>
  <si>
    <t xml:space="preserve">Commodity</t>
  </si>
  <si>
    <t xml:space="preserve">Variance Swap</t>
  </si>
  <si>
    <t xml:space="preserve">Private Credit Position</t>
  </si>
  <si>
    <t xml:space="preserve">Private</t>
  </si>
  <si>
    <t xml:space="preserve">Cash</t>
  </si>
  <si>
    <t xml:space="preserve">Short Equity Basket</t>
  </si>
  <si>
    <t xml:space="preserve">Portfolio total</t>
  </si>
  <si>
    <t xml:space="preserve">Factor Exposure and Covariance</t>
  </si>
  <si>
    <t xml:space="preserve">Factor</t>
  </si>
  <si>
    <t xml:space="preserve">Exposure</t>
  </si>
  <si>
    <t xml:space="preserve">Annual vol</t>
  </si>
  <si>
    <t xml:space="preserve">Annual portfolio variance</t>
  </si>
  <si>
    <t xml:space="preserve">Annual portfolio volatility</t>
  </si>
  <si>
    <t xml:space="preserve">Parametric VaR and Expected Shortfall</t>
  </si>
  <si>
    <t xml:space="preserve">Metric</t>
  </si>
  <si>
    <t xml:space="preserve">Value</t>
  </si>
  <si>
    <t xml:space="preserve">Units</t>
  </si>
  <si>
    <t xml:space="preserve">Method</t>
  </si>
  <si>
    <t xml:space="preserve">factor covariance</t>
  </si>
  <si>
    <t xml:space="preserve">Daily portfolio volatility</t>
  </si>
  <si>
    <t xml:space="preserve">annual / sqrt(days)</t>
  </si>
  <si>
    <t xml:space="preserve">Normal quantile</t>
  </si>
  <si>
    <t xml:space="preserve">z</t>
  </si>
  <si>
    <t xml:space="preserve">confidence quantile</t>
  </si>
  <si>
    <t xml:space="preserve">One-day VaR</t>
  </si>
  <si>
    <t xml:space="preserve">sigma x z</t>
  </si>
  <si>
    <t xml:space="preserve">One-day expected shortfall</t>
  </si>
  <si>
    <t xml:space="preserve">normal tail expectation</t>
  </si>
  <si>
    <t xml:space="preserve">VaR / NAV</t>
  </si>
  <si>
    <t xml:space="preserve">capital consumption</t>
  </si>
  <si>
    <t xml:space="preserve">Diversification benefit</t>
  </si>
  <si>
    <t xml:space="preserve">1 - portfolio / standalone</t>
  </si>
  <si>
    <t xml:space="preserve">Position-Level VaR, Stress, and Liquidity Contributions</t>
  </si>
  <si>
    <t xml:space="preserve">Standalone VaR</t>
  </si>
  <si>
    <t xml:space="preserve">Component VaR</t>
  </si>
  <si>
    <t xml:space="preserve">% portfolio VaR</t>
  </si>
  <si>
    <t xml:space="preserve">Worst stress loss</t>
  </si>
  <si>
    <t xml:space="preserve">Liquidation loss</t>
  </si>
  <si>
    <t xml:space="preserve">Liquidity-adjusted risk</t>
  </si>
  <si>
    <t xml:space="preserve">Risk concentration</t>
  </si>
  <si>
    <t xml:space="preserve">Component VaR reconciliation</t>
  </si>
  <si>
    <t xml:space="preserve">Largest risk concentration</t>
  </si>
  <si>
    <t xml:space="preserve">Largest contributor</t>
  </si>
  <si>
    <t xml:space="preserve">Portfolio Stress Matrix</t>
  </si>
  <si>
    <t xml:space="preserve">Scenario</t>
  </si>
  <si>
    <t xml:space="preserve">Vol</t>
  </si>
  <si>
    <t xml:space="preserve">Liquidity</t>
  </si>
  <si>
    <t xml:space="preserve">P&amp;L</t>
  </si>
  <si>
    <t xml:space="preserve">Global risk-off</t>
  </si>
  <si>
    <t xml:space="preserve">Inflation / rates shock</t>
  </si>
  <si>
    <t xml:space="preserve">Credit crisis</t>
  </si>
  <si>
    <t xml:space="preserve">Dollar squeeze</t>
  </si>
  <si>
    <t xml:space="preserve">Volatility normalization</t>
  </si>
  <si>
    <t xml:space="preserve">Idiosyncratic concentration</t>
  </si>
  <si>
    <t xml:space="preserve">Liquidity and Liquidation Cost</t>
  </si>
  <si>
    <t xml:space="preserve">Days</t>
  </si>
  <si>
    <t xml:space="preserve">ADV participation proxy</t>
  </si>
  <si>
    <t xml:space="preserve">Impact loss</t>
  </si>
  <si>
    <t xml:space="preserve">Illiquid?</t>
  </si>
  <si>
    <t xml:space="preserve">Illiquid gross notional</t>
  </si>
  <si>
    <t xml:space="preserve">Illiquid NAV ratio</t>
  </si>
  <si>
    <t xml:space="preserve">Total modeled liquidation loss</t>
  </si>
  <si>
    <t xml:space="preserve">Daily P&amp;L Explain</t>
  </si>
  <si>
    <t xml:space="preserve">Driver</t>
  </si>
  <si>
    <t xml:space="preserve">Move</t>
  </si>
  <si>
    <t xml:space="preserve">First-order P&amp;L</t>
  </si>
  <si>
    <t xml:space="preserve">Convexity / residual</t>
  </si>
  <si>
    <t xml:space="preserve">Explained P&amp;L</t>
  </si>
  <si>
    <t xml:space="preserve">Notes</t>
  </si>
  <si>
    <t xml:space="preserve">delta/beta</t>
  </si>
  <si>
    <t xml:space="preserve">duration</t>
  </si>
  <si>
    <t xml:space="preserve">spread duration</t>
  </si>
  <si>
    <t xml:space="preserve">currency delta</t>
  </si>
  <si>
    <t xml:space="preserve">vega / convexity</t>
  </si>
  <si>
    <t xml:space="preserve">Actual P&amp;L</t>
  </si>
  <si>
    <t xml:space="preserve">Unexplained P&amp;L</t>
  </si>
  <si>
    <t xml:space="preserve">Risk Limit Dashboard</t>
  </si>
  <si>
    <t xml:space="preserve">Limit</t>
  </si>
  <si>
    <t xml:space="preserve">Actual</t>
  </si>
  <si>
    <t xml:space="preserve">Threshold</t>
  </si>
  <si>
    <t xml:space="preserve">Headroom</t>
  </si>
  <si>
    <t xml:space="preserve">Status</t>
  </si>
  <si>
    <t xml:space="preserve">Illiquid NAV</t>
  </si>
  <si>
    <t xml:space="preserve">Single-name concentration</t>
  </si>
  <si>
    <t xml:space="preserve">Gross leverage</t>
  </si>
  <si>
    <t xml:space="preserve">Risk Model Checks</t>
  </si>
  <si>
    <t xml:space="preserve">Check</t>
  </si>
  <si>
    <t xml:space="preserve">Correlation diagonal equals one</t>
  </si>
  <si>
    <t xml:space="preserve">Correlation matrix bounded</t>
  </si>
  <si>
    <t xml:space="preserve">Portfolio variance nonnegative</t>
  </si>
  <si>
    <t xml:space="preserve">VaR and ES positive</t>
  </si>
  <si>
    <t xml:space="preserve">No risk limit breaches</t>
  </si>
  <si>
    <t xml:space="preserve">Liquidity loss nonnegative</t>
  </si>
  <si>
    <t xml:space="preserve">Position inventory populated</t>
  </si>
  <si>
    <t xml:space="preserve">P&amp;L explain complete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</si>
  <si>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</si>
  <si>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</si>
  <si>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</si>
  <si>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</si>
  <si>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</si>
  <si>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</si>
  <si>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Position and market-value feed</t>
  </si>
  <si>
    <t xml:space="preserve">[OMS / risk source]</t>
  </si>
  <si>
    <t xml:space="preserve">Reconcile to books and records</t>
  </si>
  <si>
    <t xml:space="preserve">Factor and covariance calibration</t>
  </si>
  <si>
    <t xml:space="preserve">[model dataset URL]</t>
  </si>
  <si>
    <t xml:space="preserve">[window]</t>
  </si>
  <si>
    <t xml:space="preserve">Document decay, winsorization, and regime treatment</t>
  </si>
  <si>
    <t xml:space="preserve">Curve, spread, volatility, and FX data</t>
  </si>
  <si>
    <t xml:space="preserve">[market data URL]</t>
  </si>
  <si>
    <t xml:space="preserve">Record interpolation and stale-data policy</t>
  </si>
  <si>
    <t xml:space="preserve">Liquidity and ADV data</t>
  </si>
  <si>
    <t xml:space="preserve">[venue / vendor source]</t>
  </si>
  <si>
    <t xml:space="preserve">[period]</t>
  </si>
  <si>
    <t xml:space="preserve">Document liquidation horizon and impact calibration</t>
  </si>
  <si>
    <t xml:space="preserve">Risk limit policy</t>
  </si>
  <si>
    <t xml:space="preserve">[approved policy URL]</t>
  </si>
  <si>
    <t xml:space="preserve">[effective date]</t>
  </si>
  <si>
    <t xml:space="preserve">Thresholds, escalation, exceptions, and ownership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</si>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</sst>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"/>
    <numFmt numFmtId="167" formatCode="0.00%;[RED]\(0.00%\);\-"/>
    <numFmt numFmtId="168" formatCode="\$#,##0.0;[RED]&quot;($&quot;#,##0.0\);\-"/>
    <numFmt numFmtId="169" formatCode="0.0\x;[RED]\(0.0&quot;x)&quot;;\-"/>
    <numFmt numFmtId="170" formatCode="0.00"/>
    <numFmt numFmtId="171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4" t="s">
        <v>15</v>
      </c>
      <c r="C13" s="4"/>
      <c r="D13" s="4"/>
      <c r="E13" s="4"/>
      <c r="F13" s="4"/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15" hidden="false" customHeight="false" outlineLevel="0" collapsed="false">
      <c r="B15" s="2" t="s">
        <v>18</v>
      </c>
      <c r="C15" s="6" t="s">
        <v>19</v>
      </c>
    </row>
    <row r="16" customFormat="false" ht="15" hidden="false" customHeight="false" outlineLevel="0" collapsed="false">
      <c r="B16" s="7" t="s">
        <v>20</v>
      </c>
      <c r="C16" s="6" t="s">
        <v>21</v>
      </c>
    </row>
    <row r="17" customFormat="false" ht="15" hidden="false" customHeight="false" outlineLevel="0" collapsed="false">
      <c r="B17" s="2" t="s">
        <v>22</v>
      </c>
      <c r="C17" s="6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24</v>
      </c>
      <c r="C2" s="1"/>
      <c r="D2" s="1"/>
      <c r="E2" s="1"/>
      <c r="F2" s="1"/>
    </row>
    <row r="4" customFormat="false" ht="15" hidden="false" customHeight="false" outlineLevel="0" collapsed="false">
      <c r="B4" s="8" t="s">
        <v>25</v>
      </c>
      <c r="C4" s="8" t="s">
        <v>12</v>
      </c>
      <c r="D4" s="8" t="s">
        <v>26</v>
      </c>
      <c r="E4" s="8" t="s">
        <v>27</v>
      </c>
      <c r="F4" s="8" t="s">
        <v>28</v>
      </c>
    </row>
    <row r="5" customFormat="false" ht="15" hidden="false" customHeight="false" outlineLevel="0" collapsed="false">
      <c r="B5" s="0" t="s">
        <v>29</v>
      </c>
      <c r="C5" s="9" t="n">
        <v>0.99</v>
      </c>
      <c r="D5" s="9" t="n">
        <v>0.995</v>
      </c>
      <c r="E5" s="10" t="n">
        <f aca="false">IF(Cover!$C$9="Downside",D5,C5)</f>
        <v>0.99</v>
      </c>
      <c r="F5" s="11" t="s">
        <v>30</v>
      </c>
    </row>
    <row r="6" customFormat="false" ht="15" hidden="false" customHeight="false" outlineLevel="0" collapsed="false">
      <c r="B6" s="0" t="s">
        <v>31</v>
      </c>
      <c r="C6" s="12" t="n">
        <v>252</v>
      </c>
      <c r="D6" s="12" t="n">
        <v>252</v>
      </c>
      <c r="E6" s="13" t="n">
        <f aca="false">IF(Cover!$C$9="Downside",D6,C6)</f>
        <v>252</v>
      </c>
      <c r="F6" s="11" t="s">
        <v>32</v>
      </c>
    </row>
    <row r="7" customFormat="false" ht="15" hidden="false" customHeight="false" outlineLevel="0" collapsed="false">
      <c r="B7" s="0" t="s">
        <v>33</v>
      </c>
      <c r="C7" s="9" t="n">
        <v>0.22</v>
      </c>
      <c r="D7" s="9" t="n">
        <v>0.35</v>
      </c>
      <c r="E7" s="10" t="n">
        <f aca="false">IF(Cover!$C$9="Downside",D7,C7)</f>
        <v>0.22</v>
      </c>
      <c r="F7" s="11" t="s">
        <v>30</v>
      </c>
    </row>
    <row r="8" customFormat="false" ht="15" hidden="false" customHeight="false" outlineLevel="0" collapsed="false">
      <c r="B8" s="0" t="s">
        <v>34</v>
      </c>
      <c r="C8" s="14" t="n">
        <v>0.012</v>
      </c>
      <c r="D8" s="14" t="n">
        <v>0.025</v>
      </c>
      <c r="E8" s="15" t="n">
        <f aca="false">IF(Cover!$C$9="Downside",D8,C8)</f>
        <v>0.012</v>
      </c>
      <c r="F8" s="11" t="s">
        <v>35</v>
      </c>
    </row>
    <row r="9" customFormat="false" ht="15" hidden="false" customHeight="false" outlineLevel="0" collapsed="false">
      <c r="B9" s="0" t="s">
        <v>36</v>
      </c>
      <c r="C9" s="14" t="n">
        <v>0.015</v>
      </c>
      <c r="D9" s="14" t="n">
        <v>0.035</v>
      </c>
      <c r="E9" s="15" t="n">
        <f aca="false">IF(Cover!$C$9="Downside",D9,C9)</f>
        <v>0.015</v>
      </c>
      <c r="F9" s="11" t="s">
        <v>37</v>
      </c>
    </row>
    <row r="10" customFormat="false" ht="15" hidden="false" customHeight="false" outlineLevel="0" collapsed="false">
      <c r="B10" s="0" t="s">
        <v>38</v>
      </c>
      <c r="C10" s="9" t="n">
        <v>0.12</v>
      </c>
      <c r="D10" s="9" t="n">
        <v>0.2</v>
      </c>
      <c r="E10" s="10" t="n">
        <f aca="false">IF(Cover!$C$9="Downside",D10,C10)</f>
        <v>0.12</v>
      </c>
      <c r="F10" s="11" t="s">
        <v>30</v>
      </c>
    </row>
    <row r="11" customFormat="false" ht="15" hidden="false" customHeight="false" outlineLevel="0" collapsed="false">
      <c r="B11" s="0" t="s">
        <v>39</v>
      </c>
      <c r="C11" s="9" t="n">
        <v>0.3</v>
      </c>
      <c r="D11" s="9" t="n">
        <v>0.5</v>
      </c>
      <c r="E11" s="10" t="n">
        <f aca="false">IF(Cover!$C$9="Downside",D11,C11)</f>
        <v>0.3</v>
      </c>
      <c r="F11" s="11" t="s">
        <v>30</v>
      </c>
    </row>
    <row r="12" customFormat="false" ht="15" hidden="false" customHeight="false" outlineLevel="0" collapsed="false">
      <c r="B12" s="0" t="s">
        <v>40</v>
      </c>
      <c r="C12" s="16" t="n">
        <v>12</v>
      </c>
      <c r="D12" s="16" t="n">
        <v>10</v>
      </c>
      <c r="E12" s="17" t="n">
        <f aca="false">IF(Cover!$C$9="Downside",D12,C12)</f>
        <v>12</v>
      </c>
      <c r="F12" s="11" t="s">
        <v>41</v>
      </c>
    </row>
    <row r="13" customFormat="false" ht="15" hidden="false" customHeight="false" outlineLevel="0" collapsed="false">
      <c r="B13" s="0" t="s">
        <v>42</v>
      </c>
      <c r="C13" s="16" t="n">
        <v>40</v>
      </c>
      <c r="D13" s="16" t="n">
        <v>30</v>
      </c>
      <c r="E13" s="17" t="n">
        <f aca="false">IF(Cover!$C$9="Downside",D13,C13)</f>
        <v>40</v>
      </c>
      <c r="F13" s="11" t="s">
        <v>41</v>
      </c>
    </row>
    <row r="14" customFormat="false" ht="15" hidden="false" customHeight="false" outlineLevel="0" collapsed="false">
      <c r="B14" s="0" t="s">
        <v>43</v>
      </c>
      <c r="C14" s="9" t="n">
        <v>0.25</v>
      </c>
      <c r="D14" s="9" t="n">
        <v>0.2</v>
      </c>
      <c r="E14" s="10" t="n">
        <f aca="false">IF(Cover!$C$9="Downside",D14,C14)</f>
        <v>0.25</v>
      </c>
      <c r="F14" s="11" t="s">
        <v>30</v>
      </c>
    </row>
    <row r="15" customFormat="false" ht="15" hidden="false" customHeight="false" outlineLevel="0" collapsed="false">
      <c r="B15" s="0" t="s">
        <v>44</v>
      </c>
      <c r="C15" s="9" t="n">
        <v>0.2</v>
      </c>
      <c r="D15" s="9" t="n">
        <v>0.15</v>
      </c>
      <c r="E15" s="10" t="n">
        <f aca="false">IF(Cover!$C$9="Downside",D15,C15)</f>
        <v>0.2</v>
      </c>
      <c r="F15" s="11" t="s">
        <v>30</v>
      </c>
    </row>
    <row r="16" customFormat="false" ht="15" hidden="false" customHeight="false" outlineLevel="0" collapsed="false">
      <c r="B16" s="0" t="s">
        <v>45</v>
      </c>
      <c r="C16" s="18" t="n">
        <v>4</v>
      </c>
      <c r="D16" s="18" t="n">
        <v>3</v>
      </c>
      <c r="E16" s="19" t="n">
        <f aca="false">IF(Cover!$C$9="Downside",D16,C16)</f>
        <v>4</v>
      </c>
      <c r="F16" s="11" t="s">
        <v>46</v>
      </c>
    </row>
    <row r="17" customFormat="false" ht="15" hidden="false" customHeight="false" outlineLevel="0" collapsed="false">
      <c r="B17" s="0" t="s">
        <v>47</v>
      </c>
      <c r="C17" s="14" t="n">
        <v>0.015</v>
      </c>
      <c r="D17" s="14" t="n">
        <v>0.03</v>
      </c>
      <c r="E17" s="15" t="n">
        <f aca="false">IF(Cover!$C$9="Downside",D17,C17)</f>
        <v>0.015</v>
      </c>
      <c r="F17" s="11" t="s">
        <v>48</v>
      </c>
    </row>
    <row r="18" customFormat="false" ht="15" hidden="false" customHeight="false" outlineLevel="0" collapsed="false">
      <c r="B18" s="0" t="s">
        <v>49</v>
      </c>
      <c r="C18" s="16" t="n">
        <v>250</v>
      </c>
      <c r="D18" s="16" t="n">
        <v>250</v>
      </c>
      <c r="E18" s="17" t="n">
        <f aca="false">IF(Cover!$C$9="Downside",D18,C18)</f>
        <v>250</v>
      </c>
      <c r="F18" s="11" t="s">
        <v>41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19" min="4" style="0" width="13"/>
  </cols>
  <sheetData>
    <row r="2" customFormat="false" ht="27.75" hidden="false" customHeight="true" outlineLevel="0" collapsed="false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customFormat="false" ht="23.85" hidden="false" customHeight="false" outlineLevel="0" collapsed="false"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63</v>
      </c>
      <c r="O4" s="8" t="s">
        <v>64</v>
      </c>
      <c r="P4" s="8" t="s">
        <v>65</v>
      </c>
      <c r="Q4" s="8" t="s">
        <v>66</v>
      </c>
      <c r="R4" s="8" t="s">
        <v>67</v>
      </c>
      <c r="S4" s="8" t="s">
        <v>68</v>
      </c>
    </row>
    <row r="5" customFormat="false" ht="15" hidden="false" customHeight="false" outlineLevel="0" collapsed="false">
      <c r="B5" s="0" t="s">
        <v>69</v>
      </c>
      <c r="C5" s="0" t="s">
        <v>63</v>
      </c>
      <c r="D5" s="16" t="n">
        <v>45</v>
      </c>
      <c r="E5" s="16" t="n">
        <v>120</v>
      </c>
      <c r="F5" s="14" t="n">
        <v>1</v>
      </c>
      <c r="G5" s="14" t="n">
        <v>1</v>
      </c>
      <c r="H5" s="20" t="n">
        <v>0</v>
      </c>
      <c r="I5" s="20" t="n">
        <v>0</v>
      </c>
      <c r="J5" s="16" t="n">
        <v>0</v>
      </c>
      <c r="K5" s="16" t="n">
        <v>0</v>
      </c>
      <c r="L5" s="16" t="n">
        <v>0</v>
      </c>
      <c r="M5" s="20" t="n">
        <v>0.2</v>
      </c>
      <c r="N5" s="14" t="n">
        <v>1</v>
      </c>
      <c r="O5" s="14" t="n">
        <v>0</v>
      </c>
      <c r="P5" s="14" t="n">
        <v>0</v>
      </c>
      <c r="Q5" s="14" t="n">
        <v>0</v>
      </c>
      <c r="R5" s="14" t="n">
        <v>0</v>
      </c>
      <c r="S5" s="17" t="n">
        <f aca="false">SUMPRODUCT(C5:Q5,C5:Q5)^0.5</f>
        <v>128.171915800615</v>
      </c>
    </row>
    <row r="6" customFormat="false" ht="15" hidden="false" customHeight="false" outlineLevel="0" collapsed="false">
      <c r="B6" s="0" t="s">
        <v>70</v>
      </c>
      <c r="C6" s="0" t="s">
        <v>63</v>
      </c>
      <c r="D6" s="16" t="n">
        <v>35</v>
      </c>
      <c r="E6" s="16" t="n">
        <v>35</v>
      </c>
      <c r="F6" s="14" t="n">
        <v>1</v>
      </c>
      <c r="G6" s="14" t="n">
        <v>1.2</v>
      </c>
      <c r="H6" s="20" t="n">
        <v>0</v>
      </c>
      <c r="I6" s="20" t="n">
        <v>0</v>
      </c>
      <c r="J6" s="16" t="n">
        <v>0</v>
      </c>
      <c r="K6" s="16" t="n">
        <v>0</v>
      </c>
      <c r="L6" s="16" t="n">
        <v>0</v>
      </c>
      <c r="M6" s="20" t="n">
        <v>1</v>
      </c>
      <c r="N6" s="14" t="n">
        <v>1.2</v>
      </c>
      <c r="O6" s="14" t="n">
        <v>0</v>
      </c>
      <c r="P6" s="14" t="n">
        <v>0.1</v>
      </c>
      <c r="Q6" s="14" t="n">
        <v>0</v>
      </c>
      <c r="R6" s="14" t="n">
        <v>0.1</v>
      </c>
      <c r="S6" s="17" t="n">
        <f aca="false">SUMPRODUCT(C6:Q6,C6:Q6)^0.5</f>
        <v>49.5468465192286</v>
      </c>
    </row>
    <row r="7" customFormat="false" ht="15" hidden="false" customHeight="false" outlineLevel="0" collapsed="false">
      <c r="B7" s="0" t="s">
        <v>71</v>
      </c>
      <c r="C7" s="0" t="s">
        <v>72</v>
      </c>
      <c r="D7" s="16" t="n">
        <v>8</v>
      </c>
      <c r="E7" s="16" t="n">
        <v>25</v>
      </c>
      <c r="F7" s="14" t="n">
        <v>-0.35</v>
      </c>
      <c r="G7" s="14" t="n">
        <v>-0.4</v>
      </c>
      <c r="H7" s="20" t="n">
        <v>0</v>
      </c>
      <c r="I7" s="20" t="n">
        <v>0</v>
      </c>
      <c r="J7" s="16" t="n">
        <v>0</v>
      </c>
      <c r="K7" s="16" t="n">
        <v>0.18</v>
      </c>
      <c r="L7" s="16" t="n">
        <v>0</v>
      </c>
      <c r="M7" s="20" t="n">
        <v>1.5</v>
      </c>
      <c r="N7" s="14" t="n">
        <v>-0.4</v>
      </c>
      <c r="O7" s="14" t="n">
        <v>0</v>
      </c>
      <c r="P7" s="14" t="n">
        <v>0</v>
      </c>
      <c r="Q7" s="14" t="n">
        <v>0</v>
      </c>
      <c r="R7" s="14" t="n">
        <v>0.8</v>
      </c>
      <c r="S7" s="17" t="n">
        <f aca="false">SUMPRODUCT(C7:Q7,C7:Q7)^0.5</f>
        <v>26.3006634897297</v>
      </c>
    </row>
    <row r="8" customFormat="false" ht="15" hidden="false" customHeight="false" outlineLevel="0" collapsed="false">
      <c r="B8" s="0" t="s">
        <v>73</v>
      </c>
      <c r="C8" s="0" t="s">
        <v>64</v>
      </c>
      <c r="D8" s="16" t="n">
        <v>50</v>
      </c>
      <c r="E8" s="16" t="n">
        <v>50</v>
      </c>
      <c r="F8" s="14" t="n">
        <v>1</v>
      </c>
      <c r="G8" s="14" t="n">
        <v>0</v>
      </c>
      <c r="H8" s="20" t="n">
        <v>8.2</v>
      </c>
      <c r="I8" s="20" t="n">
        <v>0</v>
      </c>
      <c r="J8" s="16" t="n">
        <v>0.041</v>
      </c>
      <c r="K8" s="16" t="n">
        <v>0</v>
      </c>
      <c r="L8" s="16" t="n">
        <v>0</v>
      </c>
      <c r="M8" s="20" t="n">
        <v>0.5</v>
      </c>
      <c r="N8" s="14" t="n">
        <v>0</v>
      </c>
      <c r="O8" s="14" t="n">
        <v>-8.2</v>
      </c>
      <c r="P8" s="14" t="n">
        <v>0</v>
      </c>
      <c r="Q8" s="14" t="n">
        <v>0</v>
      </c>
      <c r="R8" s="14" t="n">
        <v>0</v>
      </c>
      <c r="S8" s="17" t="n">
        <f aca="false">SUMPRODUCT(C8:Q8,C8:Q8)^0.5</f>
        <v>71.6640194309529</v>
      </c>
    </row>
    <row r="9" customFormat="false" ht="15" hidden="false" customHeight="false" outlineLevel="0" collapsed="false">
      <c r="B9" s="0" t="s">
        <v>74</v>
      </c>
      <c r="C9" s="0" t="s">
        <v>65</v>
      </c>
      <c r="D9" s="16" t="n">
        <v>32</v>
      </c>
      <c r="E9" s="16" t="n">
        <v>50</v>
      </c>
      <c r="F9" s="14" t="n">
        <v>1</v>
      </c>
      <c r="G9" s="14" t="n">
        <v>0.35</v>
      </c>
      <c r="H9" s="20" t="n">
        <v>5.5</v>
      </c>
      <c r="I9" s="20" t="n">
        <v>5</v>
      </c>
      <c r="J9" s="16" t="n">
        <v>0.018</v>
      </c>
      <c r="K9" s="16" t="n">
        <v>0</v>
      </c>
      <c r="L9" s="16" t="n">
        <v>0</v>
      </c>
      <c r="M9" s="20" t="n">
        <v>1</v>
      </c>
      <c r="N9" s="14" t="n">
        <v>0.35</v>
      </c>
      <c r="O9" s="14" t="n">
        <v>-2</v>
      </c>
      <c r="P9" s="14" t="n">
        <v>-5</v>
      </c>
      <c r="Q9" s="14" t="n">
        <v>0</v>
      </c>
      <c r="R9" s="14" t="n">
        <v>0</v>
      </c>
      <c r="S9" s="17" t="n">
        <f aca="false">SUMPRODUCT(C9:Q9,C9:Q9)^0.5</f>
        <v>60.0873973808152</v>
      </c>
    </row>
    <row r="10" customFormat="false" ht="15" hidden="false" customHeight="false" outlineLevel="0" collapsed="false">
      <c r="B10" s="0" t="s">
        <v>75</v>
      </c>
      <c r="C10" s="0" t="s">
        <v>65</v>
      </c>
      <c r="D10" s="16" t="n">
        <v>28</v>
      </c>
      <c r="E10" s="16" t="n">
        <v>40</v>
      </c>
      <c r="F10" s="14" t="n">
        <v>1</v>
      </c>
      <c r="G10" s="14" t="n">
        <v>0.55</v>
      </c>
      <c r="H10" s="20" t="n">
        <v>4</v>
      </c>
      <c r="I10" s="20" t="n">
        <v>3.8</v>
      </c>
      <c r="J10" s="16" t="n">
        <v>0.011</v>
      </c>
      <c r="K10" s="16" t="n">
        <v>0</v>
      </c>
      <c r="L10" s="16" t="n">
        <v>0</v>
      </c>
      <c r="M10" s="20" t="n">
        <v>4</v>
      </c>
      <c r="N10" s="14" t="n">
        <v>0.55</v>
      </c>
      <c r="O10" s="14" t="n">
        <v>-1</v>
      </c>
      <c r="P10" s="14" t="n">
        <v>-3.8</v>
      </c>
      <c r="Q10" s="14" t="n">
        <v>0</v>
      </c>
      <c r="R10" s="14" t="n">
        <v>0</v>
      </c>
      <c r="S10" s="17" t="n">
        <f aca="false">SUMPRODUCT(C10:Q10,C10:Q10)^0.5</f>
        <v>49.4720640462878</v>
      </c>
    </row>
    <row r="11" customFormat="false" ht="15" hidden="false" customHeight="false" outlineLevel="0" collapsed="false">
      <c r="B11" s="0" t="s">
        <v>76</v>
      </c>
      <c r="C11" s="0" t="s">
        <v>66</v>
      </c>
      <c r="D11" s="16" t="n">
        <v>5</v>
      </c>
      <c r="E11" s="16" t="n">
        <v>80</v>
      </c>
      <c r="F11" s="14" t="n">
        <v>1</v>
      </c>
      <c r="G11" s="14" t="n">
        <v>0</v>
      </c>
      <c r="H11" s="20" t="n">
        <v>0</v>
      </c>
      <c r="I11" s="20" t="n">
        <v>0</v>
      </c>
      <c r="J11" s="16" t="n">
        <v>0</v>
      </c>
      <c r="K11" s="16" t="n">
        <v>0</v>
      </c>
      <c r="L11" s="16" t="n">
        <v>80</v>
      </c>
      <c r="M11" s="20" t="n">
        <v>0.3</v>
      </c>
      <c r="N11" s="14" t="n">
        <v>0</v>
      </c>
      <c r="O11" s="14" t="n">
        <v>0</v>
      </c>
      <c r="P11" s="14" t="n">
        <v>0</v>
      </c>
      <c r="Q11" s="14" t="n">
        <v>1</v>
      </c>
      <c r="R11" s="14" t="n">
        <v>0</v>
      </c>
      <c r="S11" s="17" t="n">
        <f aca="false">SUMPRODUCT(C11:Q11,C11:Q11)^0.5</f>
        <v>113.256743728575</v>
      </c>
    </row>
    <row r="12" customFormat="false" ht="15" hidden="false" customHeight="false" outlineLevel="0" collapsed="false">
      <c r="B12" s="0" t="s">
        <v>77</v>
      </c>
      <c r="C12" s="0" t="s">
        <v>78</v>
      </c>
      <c r="D12" s="16" t="n">
        <v>20</v>
      </c>
      <c r="E12" s="16" t="n">
        <v>65</v>
      </c>
      <c r="F12" s="14" t="n">
        <v>1</v>
      </c>
      <c r="G12" s="14" t="n">
        <v>0.25</v>
      </c>
      <c r="H12" s="20" t="n">
        <v>0</v>
      </c>
      <c r="I12" s="20" t="n">
        <v>0</v>
      </c>
      <c r="J12" s="16" t="n">
        <v>0</v>
      </c>
      <c r="K12" s="16" t="n">
        <v>0</v>
      </c>
      <c r="L12" s="16" t="n">
        <v>0</v>
      </c>
      <c r="M12" s="20" t="n">
        <v>0.5</v>
      </c>
      <c r="N12" s="14" t="n">
        <v>0.25</v>
      </c>
      <c r="O12" s="14" t="n">
        <v>0</v>
      </c>
      <c r="P12" s="14" t="n">
        <v>0.2</v>
      </c>
      <c r="Q12" s="14" t="n">
        <v>0.1</v>
      </c>
      <c r="R12" s="14" t="n">
        <v>0.1</v>
      </c>
      <c r="S12" s="17" t="n">
        <f aca="false">SUMPRODUCT(C12:Q12,C12:Q12)^0.5</f>
        <v>68.017828545169</v>
      </c>
    </row>
    <row r="13" customFormat="false" ht="15" hidden="false" customHeight="false" outlineLevel="0" collapsed="false">
      <c r="B13" s="0" t="s">
        <v>79</v>
      </c>
      <c r="C13" s="0" t="s">
        <v>67</v>
      </c>
      <c r="D13" s="16" t="n">
        <v>6</v>
      </c>
      <c r="E13" s="16" t="n">
        <v>30</v>
      </c>
      <c r="F13" s="14" t="n">
        <v>0</v>
      </c>
      <c r="G13" s="14" t="n">
        <v>0</v>
      </c>
      <c r="H13" s="20" t="n">
        <v>0</v>
      </c>
      <c r="I13" s="20" t="n">
        <v>0</v>
      </c>
      <c r="J13" s="16" t="n">
        <v>0</v>
      </c>
      <c r="K13" s="16" t="n">
        <v>0.45</v>
      </c>
      <c r="L13" s="16" t="n">
        <v>0</v>
      </c>
      <c r="M13" s="20" t="n">
        <v>2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1</v>
      </c>
      <c r="S13" s="17" t="n">
        <f aca="false">SUMPRODUCT(C13:Q13,C13:Q13)^0.5</f>
        <v>30.6627216665449</v>
      </c>
    </row>
    <row r="14" customFormat="false" ht="15" hidden="false" customHeight="false" outlineLevel="0" collapsed="false">
      <c r="B14" s="0" t="s">
        <v>80</v>
      </c>
      <c r="C14" s="0" t="s">
        <v>81</v>
      </c>
      <c r="D14" s="16" t="n">
        <v>40</v>
      </c>
      <c r="E14" s="16" t="n">
        <v>40</v>
      </c>
      <c r="F14" s="14" t="n">
        <v>1</v>
      </c>
      <c r="G14" s="14" t="n">
        <v>0.2</v>
      </c>
      <c r="H14" s="20" t="n">
        <v>2</v>
      </c>
      <c r="I14" s="20" t="n">
        <v>2.5</v>
      </c>
      <c r="J14" s="16" t="n">
        <v>0.008</v>
      </c>
      <c r="K14" s="16" t="n">
        <v>0</v>
      </c>
      <c r="L14" s="16" t="n">
        <v>0</v>
      </c>
      <c r="M14" s="20" t="n">
        <v>20</v>
      </c>
      <c r="N14" s="14" t="n">
        <v>0.2</v>
      </c>
      <c r="O14" s="14" t="n">
        <v>-0.5</v>
      </c>
      <c r="P14" s="14" t="n">
        <v>-2.5</v>
      </c>
      <c r="Q14" s="14" t="n">
        <v>0</v>
      </c>
      <c r="R14" s="14" t="n">
        <v>0</v>
      </c>
      <c r="S14" s="17" t="n">
        <f aca="false">SUMPRODUCT(C14:Q14,C14:Q14)^0.5</f>
        <v>60.1484003444813</v>
      </c>
    </row>
    <row r="15" customFormat="false" ht="15" hidden="false" customHeight="false" outlineLevel="0" collapsed="false">
      <c r="B15" s="0" t="s">
        <v>82</v>
      </c>
      <c r="C15" s="0" t="s">
        <v>82</v>
      </c>
      <c r="D15" s="16" t="n">
        <v>25</v>
      </c>
      <c r="E15" s="16" t="n">
        <v>25</v>
      </c>
      <c r="F15" s="14" t="n">
        <v>1</v>
      </c>
      <c r="G15" s="14" t="n">
        <v>0</v>
      </c>
      <c r="H15" s="20" t="n">
        <v>0</v>
      </c>
      <c r="I15" s="20" t="n">
        <v>0</v>
      </c>
      <c r="J15" s="16" t="n">
        <v>0</v>
      </c>
      <c r="K15" s="16" t="n">
        <v>0</v>
      </c>
      <c r="L15" s="16" t="n">
        <v>0</v>
      </c>
      <c r="M15" s="20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7" t="n">
        <f aca="false">SUMPRODUCT(C15:Q15,C15:Q15)^0.5</f>
        <v>35.3694783676548</v>
      </c>
    </row>
    <row r="16" customFormat="false" ht="15" hidden="false" customHeight="false" outlineLevel="0" collapsed="false">
      <c r="B16" s="0" t="s">
        <v>83</v>
      </c>
      <c r="C16" s="0" t="s">
        <v>63</v>
      </c>
      <c r="D16" s="16" t="n">
        <v>-18</v>
      </c>
      <c r="E16" s="16" t="n">
        <v>60</v>
      </c>
      <c r="F16" s="14" t="n">
        <v>-1</v>
      </c>
      <c r="G16" s="14" t="n">
        <v>-0.9</v>
      </c>
      <c r="H16" s="20" t="n">
        <v>0</v>
      </c>
      <c r="I16" s="20" t="n">
        <v>0</v>
      </c>
      <c r="J16" s="16" t="n">
        <v>0</v>
      </c>
      <c r="K16" s="16" t="n">
        <v>0</v>
      </c>
      <c r="L16" s="16" t="n">
        <v>0</v>
      </c>
      <c r="M16" s="20" t="n">
        <v>0.5</v>
      </c>
      <c r="N16" s="14" t="n">
        <v>-0.9</v>
      </c>
      <c r="O16" s="14" t="n">
        <v>0</v>
      </c>
      <c r="P16" s="14" t="n">
        <v>-0.1</v>
      </c>
      <c r="Q16" s="14" t="n">
        <v>0</v>
      </c>
      <c r="R16" s="14" t="n">
        <v>0</v>
      </c>
      <c r="S16" s="17" t="n">
        <f aca="false">SUMPRODUCT(C16:Q16,C16:Q16)^0.5</f>
        <v>62.6648226679052</v>
      </c>
    </row>
    <row r="18" customFormat="false" ht="15" hidden="false" customHeight="false" outlineLevel="0" collapsed="false">
      <c r="B18" s="21" t="s">
        <v>84</v>
      </c>
      <c r="C18" s="21"/>
      <c r="D18" s="22" t="n">
        <f aca="false">SUM(D5:D16)</f>
        <v>276</v>
      </c>
      <c r="E18" s="22" t="n">
        <f aca="false">SUM(E5:E16)</f>
        <v>620</v>
      </c>
      <c r="F18" s="21"/>
      <c r="G18" s="21"/>
      <c r="H18" s="21"/>
      <c r="I18" s="21"/>
      <c r="J18" s="22" t="n">
        <f aca="false">SUM(J5:J16)</f>
        <v>0.078</v>
      </c>
      <c r="K18" s="22" t="n">
        <f aca="false">SUM(K5:K16)</f>
        <v>0.63</v>
      </c>
      <c r="L18" s="22" t="n">
        <f aca="false">SUM(L5:L16)</f>
        <v>80</v>
      </c>
      <c r="M18" s="21"/>
      <c r="N18" s="21"/>
      <c r="O18" s="21"/>
      <c r="P18" s="21"/>
      <c r="Q18" s="21"/>
      <c r="R18" s="21"/>
      <c r="S18" s="22" t="n">
        <f aca="false">SUM(S5:S16)</f>
        <v>755.362901987959</v>
      </c>
    </row>
  </sheetData>
  <mergeCells count="1">
    <mergeCell ref="B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9" min="5" style="0" width="12"/>
  </cols>
  <sheetData>
    <row r="2" customFormat="false" ht="27.75" hidden="false" customHeight="true" outlineLevel="0" collapsed="false">
      <c r="B2" s="1" t="s">
        <v>85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8" t="s">
        <v>86</v>
      </c>
      <c r="C4" s="8" t="s">
        <v>87</v>
      </c>
      <c r="D4" s="8" t="s">
        <v>88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</row>
    <row r="5" customFormat="false" ht="15" hidden="false" customHeight="false" outlineLevel="0" collapsed="false">
      <c r="B5" s="0" t="s">
        <v>63</v>
      </c>
      <c r="C5" s="17" t="n">
        <f aca="false">SUMPRODUCT(Positions!$D$5:$D$16,Positions!$N$5:$N$16)</f>
        <v>139.6</v>
      </c>
      <c r="D5" s="15" t="n">
        <f aca="false">Assumptions!E7</f>
        <v>0.22</v>
      </c>
      <c r="E5" s="20" t="n">
        <v>1</v>
      </c>
      <c r="F5" s="20" t="n">
        <v>-0.2</v>
      </c>
      <c r="G5" s="20" t="n">
        <v>0.35</v>
      </c>
      <c r="H5" s="20" t="n">
        <v>0.1</v>
      </c>
      <c r="I5" s="20" t="n">
        <v>0.45</v>
      </c>
    </row>
    <row r="6" customFormat="false" ht="15" hidden="false" customHeight="false" outlineLevel="0" collapsed="false">
      <c r="B6" s="0" t="s">
        <v>64</v>
      </c>
      <c r="C6" s="17" t="n">
        <f aca="false">SUMPRODUCT(Positions!$D$5:$D$16,Positions!$O$5:$O$16)</f>
        <v>-522</v>
      </c>
      <c r="D6" s="15" t="n">
        <f aca="false">Assumptions!E8</f>
        <v>0.012</v>
      </c>
      <c r="E6" s="20" t="n">
        <v>-0.2</v>
      </c>
      <c r="F6" s="20" t="n">
        <v>1</v>
      </c>
      <c r="G6" s="20" t="n">
        <v>-0.25</v>
      </c>
      <c r="H6" s="20" t="n">
        <v>0.05</v>
      </c>
      <c r="I6" s="20" t="n">
        <v>-0.1</v>
      </c>
    </row>
    <row r="7" customFormat="false" ht="15" hidden="false" customHeight="false" outlineLevel="0" collapsed="false">
      <c r="B7" s="0" t="s">
        <v>65</v>
      </c>
      <c r="C7" s="17" t="n">
        <f aca="false">SUMPRODUCT(Positions!$D$5:$D$16,Positions!$P$5:$P$16)</f>
        <v>-357.1</v>
      </c>
      <c r="D7" s="15" t="n">
        <f aca="false">Assumptions!E9</f>
        <v>0.015</v>
      </c>
      <c r="E7" s="20" t="n">
        <v>0.35</v>
      </c>
      <c r="F7" s="20" t="n">
        <v>-0.25</v>
      </c>
      <c r="G7" s="20" t="n">
        <v>1</v>
      </c>
      <c r="H7" s="20" t="n">
        <v>0.1</v>
      </c>
      <c r="I7" s="20" t="n">
        <v>0.3</v>
      </c>
    </row>
    <row r="8" customFormat="false" ht="15" hidden="false" customHeight="false" outlineLevel="0" collapsed="false">
      <c r="B8" s="0" t="s">
        <v>66</v>
      </c>
      <c r="C8" s="17" t="n">
        <f aca="false">SUMPRODUCT(Positions!$D$5:$D$16,Positions!$Q$5:$Q$16)</f>
        <v>7</v>
      </c>
      <c r="D8" s="15" t="n">
        <f aca="false">Assumptions!E10</f>
        <v>0.12</v>
      </c>
      <c r="E8" s="20" t="n">
        <v>0.1</v>
      </c>
      <c r="F8" s="20" t="n">
        <v>0.05</v>
      </c>
      <c r="G8" s="20" t="n">
        <v>0.1</v>
      </c>
      <c r="H8" s="20" t="n">
        <v>1</v>
      </c>
      <c r="I8" s="20" t="n">
        <v>0.1</v>
      </c>
    </row>
    <row r="9" customFormat="false" ht="15" hidden="false" customHeight="false" outlineLevel="0" collapsed="false">
      <c r="B9" s="0" t="s">
        <v>67</v>
      </c>
      <c r="C9" s="17" t="n">
        <f aca="false">SUMPRODUCT(Positions!$D$5:$D$16,Positions!$R$5:$R$16)</f>
        <v>17.9</v>
      </c>
      <c r="D9" s="15" t="n">
        <f aca="false">Assumptions!E11</f>
        <v>0.3</v>
      </c>
      <c r="E9" s="20" t="n">
        <v>0.45</v>
      </c>
      <c r="F9" s="20" t="n">
        <v>-0.1</v>
      </c>
      <c r="G9" s="20" t="n">
        <v>0.3</v>
      </c>
      <c r="H9" s="20" t="n">
        <v>0.1</v>
      </c>
      <c r="I9" s="20" t="n">
        <v>1</v>
      </c>
    </row>
    <row r="12" customFormat="false" ht="15" hidden="false" customHeight="false" outlineLevel="0" collapsed="false">
      <c r="B12" s="0" t="s">
        <v>89</v>
      </c>
      <c r="C12" s="17" t="n">
        <f aca="false"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>1128.25417885</v>
      </c>
    </row>
    <row r="13" customFormat="false" ht="15" hidden="false" customHeight="false" outlineLevel="0" collapsed="false">
      <c r="B13" s="0" t="s">
        <v>90</v>
      </c>
      <c r="C13" s="17" t="n">
        <f aca="false">SQRT(MAX(0,C12))</f>
        <v>33.5894950669104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91</v>
      </c>
      <c r="C2" s="1"/>
      <c r="D2" s="1"/>
      <c r="E2" s="1"/>
    </row>
    <row r="4" customFormat="false" ht="15" hidden="false" customHeight="false" outlineLevel="0" collapsed="false">
      <c r="B4" s="8" t="s">
        <v>92</v>
      </c>
      <c r="C4" s="8" t="s">
        <v>93</v>
      </c>
      <c r="D4" s="8" t="s">
        <v>94</v>
      </c>
      <c r="E4" s="8" t="s">
        <v>95</v>
      </c>
    </row>
    <row r="5" customFormat="false" ht="15" hidden="false" customHeight="false" outlineLevel="0" collapsed="false">
      <c r="B5" s="0" t="s">
        <v>90</v>
      </c>
      <c r="C5" s="17" t="n">
        <f aca="false">Factors!C13</f>
        <v>33.5894950669104</v>
      </c>
      <c r="D5" s="11" t="s">
        <v>41</v>
      </c>
      <c r="E5" s="11" t="s">
        <v>96</v>
      </c>
    </row>
    <row r="6" customFormat="false" ht="15" hidden="false" customHeight="false" outlineLevel="0" collapsed="false">
      <c r="B6" s="0" t="s">
        <v>97</v>
      </c>
      <c r="C6" s="17" t="n">
        <f aca="false">C5/SQRT(Assumptions!E6)</f>
        <v>2.11593930026847</v>
      </c>
      <c r="D6" s="11" t="s">
        <v>41</v>
      </c>
      <c r="E6" s="11" t="s">
        <v>98</v>
      </c>
    </row>
    <row r="7" customFormat="false" ht="15" hidden="false" customHeight="false" outlineLevel="0" collapsed="false">
      <c r="B7" s="0" t="s">
        <v>99</v>
      </c>
      <c r="C7" s="23" t="n">
        <f aca="false">-NORMSINV(1-Assumptions!E5)</f>
        <v>2.32634787404084</v>
      </c>
      <c r="D7" s="11" t="s">
        <v>100</v>
      </c>
      <c r="E7" s="11" t="s">
        <v>101</v>
      </c>
    </row>
    <row r="8" customFormat="false" ht="15" hidden="false" customHeight="false" outlineLevel="0" collapsed="false">
      <c r="B8" s="0" t="s">
        <v>102</v>
      </c>
      <c r="C8" s="17" t="n">
        <f aca="false">C6*C7</f>
        <v>4.92241089277903</v>
      </c>
      <c r="D8" s="11" t="s">
        <v>41</v>
      </c>
      <c r="E8" s="11" t="s">
        <v>103</v>
      </c>
    </row>
    <row r="9" customFormat="false" ht="15" hidden="false" customHeight="false" outlineLevel="0" collapsed="false">
      <c r="B9" s="0" t="s">
        <v>104</v>
      </c>
      <c r="C9" s="17" t="n">
        <f aca="false">C6*(EXP(-((C7)^2)/2)/SQRT(2*PI()))/(1-Assumptions!E5)</f>
        <v>5.63943151246409</v>
      </c>
      <c r="D9" s="11" t="s">
        <v>41</v>
      </c>
      <c r="E9" s="11" t="s">
        <v>105</v>
      </c>
    </row>
    <row r="10" customFormat="false" ht="15" hidden="false" customHeight="false" outlineLevel="0" collapsed="false">
      <c r="B10" s="0" t="s">
        <v>106</v>
      </c>
      <c r="C10" s="15" t="n">
        <f aca="false">C8/Assumptions!E18</f>
        <v>0.0196896435711161</v>
      </c>
      <c r="D10" s="11" t="s">
        <v>30</v>
      </c>
      <c r="E10" s="11" t="s">
        <v>107</v>
      </c>
    </row>
    <row r="11" customFormat="false" ht="15" hidden="false" customHeight="false" outlineLevel="0" collapsed="false">
      <c r="B11" s="0" t="s">
        <v>108</v>
      </c>
      <c r="C11" s="15" t="n">
        <f aca="false">1-C5/SUMPRODUCT(ABS(Factors!C5:C9),Factors!D5:D9)</f>
        <v>0.308039448588136</v>
      </c>
      <c r="D11" s="11" t="s">
        <v>30</v>
      </c>
      <c r="E11" s="11" t="s">
        <v>109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8"/>
  </cols>
  <sheetData>
    <row r="2" customFormat="false" ht="27.75" hidden="false" customHeight="true" outlineLevel="0" collapsed="false">
      <c r="B2" s="1" t="s">
        <v>110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8" t="s">
        <v>51</v>
      </c>
      <c r="C4" s="8" t="s">
        <v>54</v>
      </c>
      <c r="D4" s="8" t="s">
        <v>111</v>
      </c>
      <c r="E4" s="8" t="s">
        <v>112</v>
      </c>
      <c r="F4" s="8" t="s">
        <v>113</v>
      </c>
      <c r="G4" s="8" t="s">
        <v>114</v>
      </c>
      <c r="H4" s="8" t="s">
        <v>115</v>
      </c>
      <c r="I4" s="8" t="s">
        <v>116</v>
      </c>
      <c r="J4" s="8" t="s">
        <v>117</v>
      </c>
    </row>
    <row r="5" customFormat="false" ht="15" hidden="false" customHeight="false" outlineLevel="0" collapsed="false">
      <c r="B5" s="0" t="str">
        <f aca="false">Positions!B5</f>
        <v>Equity Index Future</v>
      </c>
      <c r="C5" s="17" t="n">
        <f aca="false">ABS(Positions!E5)</f>
        <v>120</v>
      </c>
      <c r="D5" s="17" t="n">
        <f aca="false"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>3.86881813229112</v>
      </c>
      <c r="E5" s="17" t="n">
        <f aca="false"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>3.75375735210433</v>
      </c>
      <c r="F5" s="15" t="n">
        <f aca="false">IFERROR(E5/'VaR &amp; ES'!$C$8,0)</f>
        <v>0.762585130308999</v>
      </c>
      <c r="G5" s="17" t="n">
        <f aca="false"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>30</v>
      </c>
      <c r="H5" s="17" t="n">
        <f aca="false">Liquidity!G5</f>
        <v>0.598596759095804</v>
      </c>
      <c r="I5" s="17" t="n">
        <f aca="false">ABS(E5)+G5+H5</f>
        <v>34.3523541112001</v>
      </c>
      <c r="J5" s="15" t="n">
        <f aca="false">IFERROR(I5/SUM($I$5:$I$16),0)</f>
        <v>0.334214055011677</v>
      </c>
    </row>
    <row r="6" customFormat="false" ht="15" hidden="false" customHeight="false" outlineLevel="0" collapsed="false">
      <c r="B6" s="0" t="str">
        <f aca="false">Positions!B6</f>
        <v>Single Name A</v>
      </c>
      <c r="C6" s="17" t="n">
        <f aca="false">ABS(Positions!E6)</f>
        <v>35</v>
      </c>
      <c r="D6" s="17" t="n">
        <f aca="false"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>1.43276342949503</v>
      </c>
      <c r="E6" s="17" t="n">
        <f aca="false"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>1.39960131420578</v>
      </c>
      <c r="F6" s="15" t="n">
        <f aca="false">IFERROR(E6/'VaR &amp; ES'!$C$8,0)</f>
        <v>0.284332483551696</v>
      </c>
      <c r="G6" s="17" t="n">
        <f aca="false"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>9.835</v>
      </c>
      <c r="H6" s="17" t="n">
        <f aca="false">Liquidity!G6</f>
        <v>0.0275011817927885</v>
      </c>
      <c r="I6" s="17" t="n">
        <f aca="false">ABS(E6)+G6+H6</f>
        <v>11.2621024959986</v>
      </c>
      <c r="J6" s="15" t="n">
        <f aca="false">IFERROR(I6/SUM($I$5:$I$16),0)</f>
        <v>0.109568995794603</v>
      </c>
    </row>
    <row r="7" customFormat="false" ht="15" hidden="false" customHeight="false" outlineLevel="0" collapsed="false">
      <c r="B7" s="0" t="str">
        <f aca="false">Positions!B7</f>
        <v>Single Name Put</v>
      </c>
      <c r="C7" s="17" t="n">
        <f aca="false">ABS(Positions!E7)</f>
        <v>25</v>
      </c>
      <c r="D7" s="17" t="n">
        <f aca="false"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>0.788630676641616</v>
      </c>
      <c r="E7" s="17" t="n">
        <f aca="false"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>0.166067523615219</v>
      </c>
      <c r="F7" s="15" t="n">
        <f aca="false">IFERROR(E7/'VaR &amp; ES'!$C$8,0)</f>
        <v>0.033737029929548</v>
      </c>
      <c r="G7" s="17" t="n">
        <f aca="false"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>6.5</v>
      </c>
      <c r="H7" s="17" t="n">
        <f aca="false">Liquidity!G7</f>
        <v>0.00645497224367903</v>
      </c>
      <c r="I7" s="17" t="n">
        <f aca="false">ABS(E7)+G7+H7</f>
        <v>6.6725224958589</v>
      </c>
      <c r="J7" s="15" t="n">
        <f aca="false">IFERROR(I7/SUM($I$5:$I$16),0)</f>
        <v>0.0649169717242335</v>
      </c>
    </row>
    <row r="8" customFormat="false" ht="15" hidden="false" customHeight="false" outlineLevel="0" collapsed="false">
      <c r="B8" s="0" t="str">
        <f aca="false">Positions!B8</f>
        <v>10Y Treasury</v>
      </c>
      <c r="C8" s="17" t="n">
        <f aca="false">ABS(Positions!E8)</f>
        <v>50</v>
      </c>
      <c r="D8" s="17" t="n">
        <f aca="false"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>0.721007015563346</v>
      </c>
      <c r="E8" s="17" t="n">
        <f aca="false"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>0.248187160130463</v>
      </c>
      <c r="F8" s="15" t="n">
        <f aca="false">IFERROR(E8/'VaR &amp; ES'!$C$8,0)</f>
        <v>0.050419838070516</v>
      </c>
      <c r="G8" s="17" t="n">
        <f aca="false"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>10.25</v>
      </c>
      <c r="H8" s="17" t="n">
        <f aca="false">Liquidity!G8</f>
        <v>0.0670820393249937</v>
      </c>
      <c r="I8" s="17" t="n">
        <f aca="false">ABS(E8)+G8+H8</f>
        <v>10.5652691994555</v>
      </c>
      <c r="J8" s="15" t="n">
        <f aca="false">IFERROR(I8/SUM($I$5:$I$16),0)</f>
        <v>0.102789504614728</v>
      </c>
    </row>
    <row r="9" customFormat="false" ht="15" hidden="false" customHeight="false" outlineLevel="0" collapsed="false">
      <c r="B9" s="0" t="str">
        <f aca="false">Positions!B9</f>
        <v>IG Credit ETF</v>
      </c>
      <c r="C9" s="17" t="n">
        <f aca="false">ABS(Positions!E9)</f>
        <v>50</v>
      </c>
      <c r="D9" s="17" t="n">
        <f aca="false"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>0.652364925405398</v>
      </c>
      <c r="E9" s="17" t="n">
        <f aca="false"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>0.466375713842588</v>
      </c>
      <c r="F9" s="15" t="n">
        <f aca="false">IFERROR(E9/'VaR &amp; ES'!$C$8,0)</f>
        <v>0.0947453847314416</v>
      </c>
      <c r="G9" s="17" t="n">
        <f aca="false"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>6.9</v>
      </c>
      <c r="H9" s="17" t="n">
        <f aca="false">Liquidity!G9</f>
        <v>0.0670820393249937</v>
      </c>
      <c r="I9" s="17" t="n">
        <f aca="false">ABS(E9)+G9+H9</f>
        <v>7.43345775316758</v>
      </c>
      <c r="J9" s="15" t="n">
        <f aca="false">IFERROR(I9/SUM($I$5:$I$16),0)</f>
        <v>0.0723201108838748</v>
      </c>
    </row>
    <row r="10" customFormat="false" ht="15" hidden="false" customHeight="false" outlineLevel="0" collapsed="false">
      <c r="B10" s="0" t="str">
        <f aca="false">Positions!B10</f>
        <v>HY Bond</v>
      </c>
      <c r="C10" s="17" t="n">
        <f aca="false">ABS(Positions!E10)</f>
        <v>40</v>
      </c>
      <c r="D10" s="17" t="n">
        <f aca="false"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>0.679693579121457</v>
      </c>
      <c r="E10" s="17" t="n">
        <f aca="false"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>0.626321171647909</v>
      </c>
      <c r="F10" s="15" t="n">
        <f aca="false">IFERROR(E10/'VaR &amp; ES'!$C$8,0)</f>
        <v>0.127238701784668</v>
      </c>
      <c r="G10" s="17" t="n">
        <f aca="false"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>4.584</v>
      </c>
      <c r="H10" s="17" t="n">
        <f aca="false">Liquidity!G10</f>
        <v>0.0048</v>
      </c>
      <c r="I10" s="17" t="n">
        <f aca="false">ABS(E10)+G10+H10</f>
        <v>5.21512117164791</v>
      </c>
      <c r="J10" s="15" t="n">
        <f aca="false">IFERROR(I10/SUM($I$5:$I$16),0)</f>
        <v>0.0507379141619125</v>
      </c>
    </row>
    <row r="11" customFormat="false" ht="15" hidden="false" customHeight="false" outlineLevel="0" collapsed="false">
      <c r="B11" s="0" t="str">
        <f aca="false">Positions!B11</f>
        <v>EURUSD Forward</v>
      </c>
      <c r="C11" s="17" t="n">
        <f aca="false">ABS(Positions!E11)</f>
        <v>80</v>
      </c>
      <c r="D11" s="17" t="n">
        <f aca="false"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>1.40684295719677</v>
      </c>
      <c r="E11" s="17" t="n">
        <f aca="false"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>0.150753090747546</v>
      </c>
      <c r="F11" s="15" t="n">
        <f aca="false">IFERROR(E11/'VaR &amp; ES'!$C$8,0)</f>
        <v>0.0306258648518544</v>
      </c>
      <c r="G11" s="17" t="n">
        <f aca="false"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>6.4</v>
      </c>
      <c r="H11" s="17" t="n">
        <f aca="false">Liquidity!G11</f>
        <v>0.217223203180507</v>
      </c>
      <c r="I11" s="17" t="n">
        <f aca="false">ABS(E11)+G11+H11</f>
        <v>6.76797629392805</v>
      </c>
      <c r="J11" s="15" t="n">
        <f aca="false">IFERROR(I11/SUM($I$5:$I$16),0)</f>
        <v>0.0658456417308272</v>
      </c>
    </row>
    <row r="12" customFormat="false" ht="15" hidden="false" customHeight="false" outlineLevel="0" collapsed="false">
      <c r="B12" s="0" t="str">
        <f aca="false">Positions!B12</f>
        <v>Commodity Future</v>
      </c>
      <c r="C12" s="17" t="n">
        <f aca="false">ABS(Positions!E12)</f>
        <v>65</v>
      </c>
      <c r="D12" s="17" t="n">
        <f aca="false"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>0.734372126887048</v>
      </c>
      <c r="E12" s="17" t="n">
        <f aca="false"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>0.68356839924068</v>
      </c>
      <c r="F12" s="15" t="n">
        <f aca="false">IFERROR(E12/'VaR &amp; ES'!$C$8,0)</f>
        <v>0.138868618270662</v>
      </c>
      <c r="G12" s="17" t="n">
        <f aca="false"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>2.8925</v>
      </c>
      <c r="H12" s="17" t="n">
        <f aca="false">Liquidity!G12</f>
        <v>0.129260144669577</v>
      </c>
      <c r="I12" s="17" t="n">
        <f aca="false">ABS(E12)+G12+H12</f>
        <v>3.70532854391026</v>
      </c>
      <c r="J12" s="15" t="n">
        <f aca="false">IFERROR(I12/SUM($I$5:$I$16),0)</f>
        <v>0.036049141604738</v>
      </c>
    </row>
    <row r="13" customFormat="false" ht="15" hidden="false" customHeight="false" outlineLevel="0" collapsed="false">
      <c r="B13" s="0" t="str">
        <f aca="false">Positions!B13</f>
        <v>Variance Swap</v>
      </c>
      <c r="C13" s="17" t="n">
        <f aca="false">ABS(Positions!E13)</f>
        <v>30</v>
      </c>
      <c r="D13" s="17" t="n">
        <f aca="false"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>1.31891527237197</v>
      </c>
      <c r="E13" s="17" t="n">
        <f aca="false"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>0.71832095443587</v>
      </c>
      <c r="F13" s="15" t="n">
        <f aca="false">IFERROR(E13/'VaR &amp; ES'!$C$8,0)</f>
        <v>0.145928686182947</v>
      </c>
      <c r="G13" s="17" t="n">
        <f aca="false"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>9</v>
      </c>
      <c r="H13" s="17" t="n">
        <f aca="false">Liquidity!G13</f>
        <v>0.00661362230551458</v>
      </c>
      <c r="I13" s="17" t="n">
        <f aca="false">ABS(E13)+G13+H13</f>
        <v>9.72493457674139</v>
      </c>
      <c r="J13" s="15" t="n">
        <f aca="false">IFERROR(I13/SUM($I$5:$I$16),0)</f>
        <v>0.0946138890247499</v>
      </c>
    </row>
    <row r="14" customFormat="false" ht="15" hidden="false" customHeight="false" outlineLevel="0" collapsed="false">
      <c r="B14" s="0" t="str">
        <f aca="false">Positions!B14</f>
        <v>Private Credit Position</v>
      </c>
      <c r="C14" s="17" t="n">
        <f aca="false">ABS(Positions!E14)</f>
        <v>40</v>
      </c>
      <c r="D14" s="17" t="n">
        <f aca="false"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>0.275964711595779</v>
      </c>
      <c r="E14" s="17" t="n">
        <f aca="false"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>0.2057249060665</v>
      </c>
      <c r="F14" s="15" t="n">
        <f aca="false">IFERROR(E14/'VaR &amp; ES'!$C$8,0)</f>
        <v>0.0417935256823623</v>
      </c>
      <c r="G14" s="17" t="n">
        <f aca="false"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>2.34</v>
      </c>
      <c r="H14" s="17" t="n">
        <f aca="false">Liquidity!G14</f>
        <v>0.00042932505167996</v>
      </c>
      <c r="I14" s="17" t="n">
        <f aca="false">ABS(E14)+G14+H14</f>
        <v>2.54615423111818</v>
      </c>
      <c r="J14" s="15" t="n">
        <f aca="false">IFERROR(I14/SUM($I$5:$I$16),0)</f>
        <v>0.0247715346526921</v>
      </c>
    </row>
    <row r="15" customFormat="false" ht="15" hidden="false" customHeight="false" outlineLevel="0" collapsed="false">
      <c r="B15" s="0" t="str">
        <f aca="false">Positions!B15</f>
        <v>Cash</v>
      </c>
      <c r="C15" s="17" t="n">
        <f aca="false">ABS(Positions!E15)</f>
        <v>25</v>
      </c>
      <c r="D15" s="17" t="n">
        <f aca="false"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>0</v>
      </c>
      <c r="E15" s="17" t="n">
        <f aca="false"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>0</v>
      </c>
      <c r="F15" s="15" t="n">
        <f aca="false">IFERROR(E15/'VaR &amp; ES'!$C$8,0)</f>
        <v>0</v>
      </c>
      <c r="G15" s="17" t="n">
        <f aca="false"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>-0</v>
      </c>
      <c r="H15" s="17" t="n">
        <f aca="false">Liquidity!G15</f>
        <v>0.0118585412256314</v>
      </c>
      <c r="I15" s="17" t="n">
        <f aca="false">ABS(E15)+G15+H15</f>
        <v>0.0118585412256314</v>
      </c>
      <c r="J15" s="15" t="n">
        <f aca="false">IFERROR(I15/SUM($I$5:$I$16),0)</f>
        <v>0.000115371748227561</v>
      </c>
    </row>
    <row r="16" customFormat="false" ht="15" hidden="false" customHeight="false" outlineLevel="0" collapsed="false">
      <c r="B16" s="0" t="str">
        <f aca="false">Positions!B16</f>
        <v>Short Equity Basket</v>
      </c>
      <c r="C16" s="17" t="n">
        <f aca="false">ABS(Positions!E16)</f>
        <v>60</v>
      </c>
      <c r="D16" s="17" t="n">
        <f aca="false"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>1.74562808544964</v>
      </c>
      <c r="E16" s="17" t="n">
        <f aca="false"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>-1.69258874493566</v>
      </c>
      <c r="F16" s="15" t="n">
        <f aca="false">IFERROR(E16/'VaR &amp; ES'!$C$8,0)</f>
        <v>-0.343853607877111</v>
      </c>
      <c r="G16" s="17" t="n">
        <f aca="false"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>2.73</v>
      </c>
      <c r="H16" s="17" t="n">
        <f aca="false">Liquidity!G16</f>
        <v>0.105817956888233</v>
      </c>
      <c r="I16" s="17" t="n">
        <f aca="false">ABS(E16)+G16+H16</f>
        <v>4.52840670182389</v>
      </c>
      <c r="J16" s="15" t="n">
        <f aca="false">IFERROR(I16/SUM($I$5:$I$16),0)</f>
        <v>0.0440568690477365</v>
      </c>
    </row>
    <row r="18" customFormat="false" ht="15" hidden="false" customHeight="false" outlineLevel="0" collapsed="false">
      <c r="B18" s="21" t="s">
        <v>84</v>
      </c>
      <c r="C18" s="22" t="n">
        <f aca="false">SUM(C5:C16)</f>
        <v>620</v>
      </c>
      <c r="D18" s="22" t="n">
        <f aca="false">SUM(D5:D16)</f>
        <v>13.6250009120192</v>
      </c>
      <c r="E18" s="22" t="n">
        <f aca="false">SUM(E5:E16)</f>
        <v>6.72608884110123</v>
      </c>
      <c r="F18" s="24" t="n">
        <f aca="false">SUM(F5:F16)</f>
        <v>1.36642165548758</v>
      </c>
      <c r="G18" s="22" t="n">
        <f aca="false">SUM(G5:G16)</f>
        <v>91.4315</v>
      </c>
      <c r="H18" s="22" t="n">
        <f aca="false">SUM(H5:H16)</f>
        <v>1.2427197851034</v>
      </c>
      <c r="I18" s="22" t="n">
        <f aca="false">SUM(I5:I16)</f>
        <v>102.785486116076</v>
      </c>
      <c r="J18" s="24" t="n">
        <f aca="false">SUM(J5:J16)</f>
        <v>1</v>
      </c>
    </row>
    <row r="20" customFormat="false" ht="15" hidden="false" customHeight="false" outlineLevel="0" collapsed="false">
      <c r="B20" s="0" t="s">
        <v>118</v>
      </c>
      <c r="C20" s="17" t="n">
        <f aca="false">E18-'VaR &amp; ES'!C8</f>
        <v>1.8036779483222</v>
      </c>
      <c r="D20" s="0" t="str">
        <f aca="false">IF(ABS(C20)&lt;0.01,"PASS","REVIEW")</f>
        <v>REVIEW</v>
      </c>
    </row>
    <row r="21" customFormat="false" ht="15" hidden="false" customHeight="false" outlineLevel="0" collapsed="false">
      <c r="B21" s="0" t="s">
        <v>119</v>
      </c>
      <c r="C21" s="15" t="n">
        <f aca="false">MAX(J5:J16)</f>
        <v>0.334214055011677</v>
      </c>
    </row>
    <row r="22" customFormat="false" ht="15" hidden="false" customHeight="false" outlineLevel="0" collapsed="false">
      <c r="B22" s="0" t="s">
        <v>120</v>
      </c>
      <c r="C22" s="0" t="str">
        <f aca="false">INDEX(B5:B16,MATCH(MAX(J5:J16),J5:J16,0))</f>
        <v>Equity Index Future</v>
      </c>
    </row>
  </sheetData>
  <mergeCells count="1">
    <mergeCell ref="B2:J2"/>
  </mergeCells>
  <conditionalFormatting sqref="D20">
    <cfRule type="expression" priority="2" aboveAverage="0" equalAverage="0" bottom="0" percent="0" rank="0" text="" dxfId="0">
      <formula>D20="PASS"</formula>
    </cfRule>
    <cfRule type="expression" priority="3" aboveAverage="0" equalAverage="0" bottom="0" percent="0" rank="0" text="" dxfId="1">
      <formula>D20="FAIL"</formula>
    </cfRule>
    <cfRule type="expression" priority="4" aboveAverage="0" equalAverage="0" bottom="0" percent="0" rank="0" text="" dxfId="2">
      <formula>D20="REVIEW"</formula>
    </cfRule>
    <cfRule type="expression" priority="5" aboveAverage="0" equalAverage="0" bottom="0" percent="0" rank="0" text="" dxfId="1">
      <formula>D20="BREACH"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3"/>
    <col collapsed="false" customWidth="true" hidden="false" outlineLevel="0" max="9" min="9" style="0" width="16"/>
  </cols>
  <sheetData>
    <row r="2" customFormat="false" ht="27.75" hidden="false" customHeight="true" outlineLevel="0" collapsed="false">
      <c r="B2" s="1" t="s">
        <v>121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8" t="s">
        <v>122</v>
      </c>
      <c r="C4" s="8" t="s">
        <v>63</v>
      </c>
      <c r="D4" s="8" t="s">
        <v>64</v>
      </c>
      <c r="E4" s="8" t="s">
        <v>65</v>
      </c>
      <c r="F4" s="8" t="s">
        <v>66</v>
      </c>
      <c r="G4" s="8" t="s">
        <v>123</v>
      </c>
      <c r="H4" s="8" t="s">
        <v>124</v>
      </c>
      <c r="I4" s="8" t="s">
        <v>125</v>
      </c>
    </row>
    <row r="5" customFormat="false" ht="15" hidden="false" customHeight="false" outlineLevel="0" collapsed="false">
      <c r="B5" s="0" t="s">
        <v>126</v>
      </c>
      <c r="C5" s="14" t="n">
        <v>-0.18</v>
      </c>
      <c r="D5" s="14" t="n">
        <v>-0.015</v>
      </c>
      <c r="E5" s="14" t="n">
        <v>-0.025</v>
      </c>
      <c r="F5" s="14" t="n">
        <v>-0.08</v>
      </c>
      <c r="G5" s="14" t="n">
        <v>0.4</v>
      </c>
      <c r="H5" s="18" t="n">
        <v>0.5</v>
      </c>
      <c r="I5" s="17" t="n">
        <f aca="false"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>-8.17549999999999</v>
      </c>
    </row>
    <row r="6" customFormat="false" ht="15" hidden="false" customHeight="false" outlineLevel="0" collapsed="false">
      <c r="B6" s="0" t="s">
        <v>127</v>
      </c>
      <c r="C6" s="14" t="n">
        <v>-0.08</v>
      </c>
      <c r="D6" s="14" t="n">
        <v>0.025</v>
      </c>
      <c r="E6" s="14" t="n">
        <v>0.012</v>
      </c>
      <c r="F6" s="14" t="n">
        <v>0.05</v>
      </c>
      <c r="G6" s="14" t="n">
        <v>0.2</v>
      </c>
      <c r="H6" s="18" t="n">
        <v>0.7</v>
      </c>
      <c r="I6" s="17" t="n">
        <f aca="false"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>-28.4162</v>
      </c>
    </row>
    <row r="7" customFormat="false" ht="15" hidden="false" customHeight="false" outlineLevel="0" collapsed="false">
      <c r="B7" s="0" t="s">
        <v>128</v>
      </c>
      <c r="C7" s="14" t="n">
        <v>-0.12</v>
      </c>
      <c r="D7" s="14" t="n">
        <v>-0.01</v>
      </c>
      <c r="E7" s="14" t="n">
        <v>-0.05</v>
      </c>
      <c r="F7" s="14" t="n">
        <v>-0.04</v>
      </c>
      <c r="G7" s="14" t="n">
        <v>0.35</v>
      </c>
      <c r="H7" s="18" t="n">
        <v>0.35</v>
      </c>
      <c r="I7" s="17" t="n">
        <f aca="false"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>3.9815</v>
      </c>
    </row>
    <row r="8" customFormat="false" ht="15" hidden="false" customHeight="false" outlineLevel="0" collapsed="false">
      <c r="B8" s="0" t="s">
        <v>129</v>
      </c>
      <c r="C8" s="14" t="n">
        <v>-0.07</v>
      </c>
      <c r="D8" s="14" t="n">
        <v>0.01</v>
      </c>
      <c r="E8" s="14" t="n">
        <v>-0.015</v>
      </c>
      <c r="F8" s="14" t="n">
        <v>0.12</v>
      </c>
      <c r="G8" s="14" t="n">
        <v>0.25</v>
      </c>
      <c r="H8" s="18" t="n">
        <v>0.45</v>
      </c>
      <c r="I8" s="17" t="n">
        <f aca="false"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>-11.366</v>
      </c>
    </row>
    <row r="9" customFormat="false" ht="15" hidden="false" customHeight="false" outlineLevel="0" collapsed="false">
      <c r="B9" s="0" t="s">
        <v>130</v>
      </c>
      <c r="C9" s="14" t="n">
        <v>0.05</v>
      </c>
      <c r="D9" s="14" t="n">
        <v>0.005</v>
      </c>
      <c r="E9" s="14" t="n">
        <v>0.005</v>
      </c>
      <c r="F9" s="14" t="n">
        <v>0</v>
      </c>
      <c r="G9" s="14" t="n">
        <v>-0.3</v>
      </c>
      <c r="H9" s="18" t="n">
        <v>1</v>
      </c>
      <c r="I9" s="17" t="n">
        <f aca="false"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>-2.7855</v>
      </c>
    </row>
    <row r="10" customFormat="false" ht="15" hidden="false" customHeight="false" outlineLevel="0" collapsed="false">
      <c r="B10" s="0" t="s">
        <v>131</v>
      </c>
      <c r="C10" s="14" t="n">
        <v>-0.25</v>
      </c>
      <c r="D10" s="14" t="n">
        <v>0</v>
      </c>
      <c r="E10" s="14" t="n">
        <v>-0.01</v>
      </c>
      <c r="F10" s="14" t="n">
        <v>0</v>
      </c>
      <c r="G10" s="14" t="n">
        <v>0.2</v>
      </c>
      <c r="H10" s="18" t="n">
        <v>0.3</v>
      </c>
      <c r="I10" s="17" t="n">
        <f aca="false"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>-36.716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2" customFormat="false" ht="27.75" hidden="false" customHeight="true" outlineLevel="0" collapsed="false">
      <c r="B2" s="1" t="s">
        <v>132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8" t="s">
        <v>51</v>
      </c>
      <c r="C4" s="8" t="s">
        <v>54</v>
      </c>
      <c r="D4" s="8" t="s">
        <v>133</v>
      </c>
      <c r="E4" s="8" t="s">
        <v>134</v>
      </c>
      <c r="F4" s="8" t="s">
        <v>135</v>
      </c>
      <c r="G4" s="8" t="s">
        <v>115</v>
      </c>
      <c r="H4" s="8" t="s">
        <v>136</v>
      </c>
    </row>
    <row r="5" customFormat="false" ht="15" hidden="false" customHeight="false" outlineLevel="0" collapsed="false">
      <c r="B5" s="0" t="str">
        <f aca="false">Positions!B5</f>
        <v>Equity Index Future</v>
      </c>
      <c r="C5" s="17" t="n">
        <f aca="false">ABS(Positions!E5)</f>
        <v>120</v>
      </c>
      <c r="D5" s="25" t="n">
        <f aca="false">Positions!M5</f>
        <v>0.2</v>
      </c>
      <c r="E5" s="15" t="n">
        <f aca="false">MIN(1,C5/MAX(1,Assumptions!$E$18)/MAX(1,D5))</f>
        <v>0.48</v>
      </c>
      <c r="F5" s="15" t="n">
        <f aca="false">Assumptions!$E$17*E5^1.5</f>
        <v>0.00498830632579837</v>
      </c>
      <c r="G5" s="17" t="n">
        <f aca="false">C5*F5</f>
        <v>0.598596759095804</v>
      </c>
      <c r="H5" s="0" t="str">
        <f aca="false">IF(D5&gt;5,"YES","NO")</f>
        <v>NO</v>
      </c>
    </row>
    <row r="6" customFormat="false" ht="15" hidden="false" customHeight="false" outlineLevel="0" collapsed="false">
      <c r="B6" s="0" t="str">
        <f aca="false">Positions!B6</f>
        <v>Single Name A</v>
      </c>
      <c r="C6" s="17" t="n">
        <f aca="false">ABS(Positions!E6)</f>
        <v>35</v>
      </c>
      <c r="D6" s="25" t="n">
        <f aca="false">Positions!M6</f>
        <v>1</v>
      </c>
      <c r="E6" s="15" t="n">
        <f aca="false">MIN(1,C6/MAX(1,Assumptions!$E$18)/MAX(1,D6))</f>
        <v>0.14</v>
      </c>
      <c r="F6" s="15" t="n">
        <f aca="false">Assumptions!$E$17*E6^1.5</f>
        <v>0.000785748051222528</v>
      </c>
      <c r="G6" s="17" t="n">
        <f aca="false">C6*F6</f>
        <v>0.0275011817927885</v>
      </c>
      <c r="H6" s="0" t="str">
        <f aca="false">IF(D6&gt;5,"YES","NO")</f>
        <v>NO</v>
      </c>
    </row>
    <row r="7" customFormat="false" ht="15" hidden="false" customHeight="false" outlineLevel="0" collapsed="false">
      <c r="B7" s="0" t="str">
        <f aca="false">Positions!B7</f>
        <v>Single Name Put</v>
      </c>
      <c r="C7" s="17" t="n">
        <f aca="false">ABS(Positions!E7)</f>
        <v>25</v>
      </c>
      <c r="D7" s="25" t="n">
        <f aca="false">Positions!M7</f>
        <v>1.5</v>
      </c>
      <c r="E7" s="15" t="n">
        <f aca="false">MIN(1,C7/MAX(1,Assumptions!$E$18)/MAX(1,D7))</f>
        <v>0.0666666666666667</v>
      </c>
      <c r="F7" s="15" t="n">
        <f aca="false">Assumptions!$E$17*E7^1.5</f>
        <v>0.000258198889747161</v>
      </c>
      <c r="G7" s="17" t="n">
        <f aca="false">C7*F7</f>
        <v>0.00645497224367903</v>
      </c>
      <c r="H7" s="0" t="str">
        <f aca="false">IF(D7&gt;5,"YES","NO")</f>
        <v>NO</v>
      </c>
    </row>
    <row r="8" customFormat="false" ht="15" hidden="false" customHeight="false" outlineLevel="0" collapsed="false">
      <c r="B8" s="0" t="str">
        <f aca="false">Positions!B8</f>
        <v>10Y Treasury</v>
      </c>
      <c r="C8" s="17" t="n">
        <f aca="false">ABS(Positions!E8)</f>
        <v>50</v>
      </c>
      <c r="D8" s="25" t="n">
        <f aca="false">Positions!M8</f>
        <v>0.5</v>
      </c>
      <c r="E8" s="15" t="n">
        <f aca="false">MIN(1,C8/MAX(1,Assumptions!$E$18)/MAX(1,D8))</f>
        <v>0.2</v>
      </c>
      <c r="F8" s="15" t="n">
        <f aca="false">Assumptions!$E$17*E8^1.5</f>
        <v>0.00134164078649987</v>
      </c>
      <c r="G8" s="17" t="n">
        <f aca="false">C8*F8</f>
        <v>0.0670820393249937</v>
      </c>
      <c r="H8" s="0" t="str">
        <f aca="false">IF(D8&gt;5,"YES","NO")</f>
        <v>NO</v>
      </c>
    </row>
    <row r="9" customFormat="false" ht="15" hidden="false" customHeight="false" outlineLevel="0" collapsed="false">
      <c r="B9" s="0" t="str">
        <f aca="false">Positions!B9</f>
        <v>IG Credit ETF</v>
      </c>
      <c r="C9" s="17" t="n">
        <f aca="false">ABS(Positions!E9)</f>
        <v>50</v>
      </c>
      <c r="D9" s="25" t="n">
        <f aca="false">Positions!M9</f>
        <v>1</v>
      </c>
      <c r="E9" s="15" t="n">
        <f aca="false">MIN(1,C9/MAX(1,Assumptions!$E$18)/MAX(1,D9))</f>
        <v>0.2</v>
      </c>
      <c r="F9" s="15" t="n">
        <f aca="false">Assumptions!$E$17*E9^1.5</f>
        <v>0.00134164078649987</v>
      </c>
      <c r="G9" s="17" t="n">
        <f aca="false">C9*F9</f>
        <v>0.0670820393249937</v>
      </c>
      <c r="H9" s="0" t="str">
        <f aca="false">IF(D9&gt;5,"YES","NO")</f>
        <v>NO</v>
      </c>
    </row>
    <row r="10" customFormat="false" ht="15" hidden="false" customHeight="false" outlineLevel="0" collapsed="false">
      <c r="B10" s="0" t="str">
        <f aca="false">Positions!B10</f>
        <v>HY Bond</v>
      </c>
      <c r="C10" s="17" t="n">
        <f aca="false">ABS(Positions!E10)</f>
        <v>40</v>
      </c>
      <c r="D10" s="25" t="n">
        <f aca="false">Positions!M10</f>
        <v>4</v>
      </c>
      <c r="E10" s="15" t="n">
        <f aca="false">MIN(1,C10/MAX(1,Assumptions!$E$18)/MAX(1,D10))</f>
        <v>0.04</v>
      </c>
      <c r="F10" s="15" t="n">
        <f aca="false">Assumptions!$E$17*E10^1.5</f>
        <v>0.00012</v>
      </c>
      <c r="G10" s="17" t="n">
        <f aca="false">C10*F10</f>
        <v>0.0048</v>
      </c>
      <c r="H10" s="0" t="str">
        <f aca="false">IF(D10&gt;5,"YES","NO")</f>
        <v>NO</v>
      </c>
    </row>
    <row r="11" customFormat="false" ht="15" hidden="false" customHeight="false" outlineLevel="0" collapsed="false">
      <c r="B11" s="0" t="str">
        <f aca="false">Positions!B11</f>
        <v>EURUSD Forward</v>
      </c>
      <c r="C11" s="17" t="n">
        <f aca="false">ABS(Positions!E11)</f>
        <v>80</v>
      </c>
      <c r="D11" s="25" t="n">
        <f aca="false">Positions!M11</f>
        <v>0.3</v>
      </c>
      <c r="E11" s="15" t="n">
        <f aca="false">MIN(1,C11/MAX(1,Assumptions!$E$18)/MAX(1,D11))</f>
        <v>0.32</v>
      </c>
      <c r="F11" s="15" t="n">
        <f aca="false">Assumptions!$E$17*E11^1.5</f>
        <v>0.00271529003975634</v>
      </c>
      <c r="G11" s="17" t="n">
        <f aca="false">C11*F11</f>
        <v>0.217223203180507</v>
      </c>
      <c r="H11" s="0" t="str">
        <f aca="false">IF(D11&gt;5,"YES","NO")</f>
        <v>NO</v>
      </c>
    </row>
    <row r="12" customFormat="false" ht="15" hidden="false" customHeight="false" outlineLevel="0" collapsed="false">
      <c r="B12" s="0" t="str">
        <f aca="false">Positions!B12</f>
        <v>Commodity Future</v>
      </c>
      <c r="C12" s="17" t="n">
        <f aca="false">ABS(Positions!E12)</f>
        <v>65</v>
      </c>
      <c r="D12" s="25" t="n">
        <f aca="false">Positions!M12</f>
        <v>0.5</v>
      </c>
      <c r="E12" s="15" t="n">
        <f aca="false">MIN(1,C12/MAX(1,Assumptions!$E$18)/MAX(1,D12))</f>
        <v>0.26</v>
      </c>
      <c r="F12" s="15" t="n">
        <f aca="false">Assumptions!$E$17*E12^1.5</f>
        <v>0.00198861761030119</v>
      </c>
      <c r="G12" s="17" t="n">
        <f aca="false">C12*F12</f>
        <v>0.129260144669577</v>
      </c>
      <c r="H12" s="0" t="str">
        <f aca="false">IF(D12&gt;5,"YES","NO")</f>
        <v>NO</v>
      </c>
    </row>
    <row r="13" customFormat="false" ht="15" hidden="false" customHeight="false" outlineLevel="0" collapsed="false">
      <c r="B13" s="0" t="str">
        <f aca="false">Positions!B13</f>
        <v>Variance Swap</v>
      </c>
      <c r="C13" s="17" t="n">
        <f aca="false">ABS(Positions!E13)</f>
        <v>30</v>
      </c>
      <c r="D13" s="25" t="n">
        <f aca="false">Positions!M13</f>
        <v>2</v>
      </c>
      <c r="E13" s="15" t="n">
        <f aca="false">MIN(1,C13/MAX(1,Assumptions!$E$18)/MAX(1,D13))</f>
        <v>0.06</v>
      </c>
      <c r="F13" s="15" t="n">
        <f aca="false">Assumptions!$E$17*E13^1.5</f>
        <v>0.000220454076850486</v>
      </c>
      <c r="G13" s="17" t="n">
        <f aca="false">C13*F13</f>
        <v>0.00661362230551458</v>
      </c>
      <c r="H13" s="0" t="str">
        <f aca="false">IF(D13&gt;5,"YES","NO")</f>
        <v>NO</v>
      </c>
    </row>
    <row r="14" customFormat="false" ht="15" hidden="false" customHeight="false" outlineLevel="0" collapsed="false">
      <c r="B14" s="0" t="str">
        <f aca="false">Positions!B14</f>
        <v>Private Credit Position</v>
      </c>
      <c r="C14" s="17" t="n">
        <f aca="false">ABS(Positions!E14)</f>
        <v>40</v>
      </c>
      <c r="D14" s="25" t="n">
        <f aca="false">Positions!M14</f>
        <v>20</v>
      </c>
      <c r="E14" s="15" t="n">
        <f aca="false">MIN(1,C14/MAX(1,Assumptions!$E$18)/MAX(1,D14))</f>
        <v>0.008</v>
      </c>
      <c r="F14" s="15" t="n">
        <f aca="false">Assumptions!$E$17*E14^1.5</f>
        <v>1.0733126291999E-005</v>
      </c>
      <c r="G14" s="17" t="n">
        <f aca="false">C14*F14</f>
        <v>0.00042932505167996</v>
      </c>
      <c r="H14" s="0" t="str">
        <f aca="false">IF(D14&gt;5,"YES","NO")</f>
        <v>YES</v>
      </c>
    </row>
    <row r="15" customFormat="false" ht="15" hidden="false" customHeight="false" outlineLevel="0" collapsed="false">
      <c r="B15" s="0" t="str">
        <f aca="false">Positions!B15</f>
        <v>Cash</v>
      </c>
      <c r="C15" s="17" t="n">
        <f aca="false">ABS(Positions!E15)</f>
        <v>25</v>
      </c>
      <c r="D15" s="25" t="n">
        <f aca="false">Positions!M15</f>
        <v>0</v>
      </c>
      <c r="E15" s="15" t="n">
        <f aca="false">MIN(1,C15/MAX(1,Assumptions!$E$18)/MAX(1,D15))</f>
        <v>0.1</v>
      </c>
      <c r="F15" s="15" t="n">
        <f aca="false">Assumptions!$E$17*E15^1.5</f>
        <v>0.000474341649025257</v>
      </c>
      <c r="G15" s="17" t="n">
        <f aca="false">C15*F15</f>
        <v>0.0118585412256314</v>
      </c>
      <c r="H15" s="0" t="str">
        <f aca="false">IF(D15&gt;5,"YES","NO")</f>
        <v>NO</v>
      </c>
    </row>
    <row r="16" customFormat="false" ht="15" hidden="false" customHeight="false" outlineLevel="0" collapsed="false">
      <c r="B16" s="0" t="str">
        <f aca="false">Positions!B16</f>
        <v>Short Equity Basket</v>
      </c>
      <c r="C16" s="17" t="n">
        <f aca="false">ABS(Positions!E16)</f>
        <v>60</v>
      </c>
      <c r="D16" s="25" t="n">
        <f aca="false">Positions!M16</f>
        <v>0.5</v>
      </c>
      <c r="E16" s="15" t="n">
        <f aca="false">MIN(1,C16/MAX(1,Assumptions!$E$18)/MAX(1,D16))</f>
        <v>0.24</v>
      </c>
      <c r="F16" s="15" t="n">
        <f aca="false">Assumptions!$E$17*E16^1.5</f>
        <v>0.00176363261480389</v>
      </c>
      <c r="G16" s="17" t="n">
        <f aca="false">C16*F16</f>
        <v>0.105817956888233</v>
      </c>
      <c r="H16" s="0" t="str">
        <f aca="false">IF(D16&gt;5,"YES","NO")</f>
        <v>NO</v>
      </c>
    </row>
    <row r="19" customFormat="false" ht="15" hidden="false" customHeight="false" outlineLevel="0" collapsed="false">
      <c r="B19" s="0" t="s">
        <v>137</v>
      </c>
      <c r="C19" s="17" t="n">
        <f aca="false">SUMIF(H5:H16,"YES",C5:C16)</f>
        <v>40</v>
      </c>
    </row>
    <row r="20" customFormat="false" ht="15" hidden="false" customHeight="false" outlineLevel="0" collapsed="false">
      <c r="B20" s="0" t="s">
        <v>138</v>
      </c>
      <c r="C20" s="15" t="n">
        <f aca="false">C19/Assumptions!E18</f>
        <v>0.16</v>
      </c>
    </row>
    <row r="21" customFormat="false" ht="15" hidden="false" customHeight="false" outlineLevel="0" collapsed="false">
      <c r="B21" s="0" t="s">
        <v>139</v>
      </c>
      <c r="C21" s="17" t="n">
        <f aca="false">SUM(G5:G16)</f>
        <v>1.2427197851034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8"/>
    <col collapsed="false" customWidth="true" hidden="false" outlineLevel="0" max="8" min="8" style="0" width="32"/>
  </cols>
  <sheetData>
    <row r="2" customFormat="false" ht="27.75" hidden="false" customHeight="true" outlineLevel="0" collapsed="false">
      <c r="B2" s="1" t="s">
        <v>140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8" t="s">
        <v>141</v>
      </c>
      <c r="C4" s="8" t="s">
        <v>87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</row>
    <row r="5" customFormat="false" ht="15" hidden="false" customHeight="false" outlineLevel="0" collapsed="false">
      <c r="B5" s="0" t="s">
        <v>63</v>
      </c>
      <c r="C5" s="17" t="n">
        <f aca="false">Factors!C5</f>
        <v>139.6</v>
      </c>
      <c r="D5" s="14" t="n">
        <v>-0.012</v>
      </c>
      <c r="E5" s="17" t="n">
        <f aca="false">C5*D5</f>
        <v>-1.6752</v>
      </c>
      <c r="F5" s="16" t="n">
        <v>0.5</v>
      </c>
      <c r="G5" s="17" t="n">
        <f aca="false">E5+F5</f>
        <v>-1.1752</v>
      </c>
      <c r="H5" s="11" t="s">
        <v>147</v>
      </c>
    </row>
    <row r="6" customFormat="false" ht="15" hidden="false" customHeight="false" outlineLevel="0" collapsed="false">
      <c r="B6" s="0" t="s">
        <v>64</v>
      </c>
      <c r="C6" s="17" t="n">
        <f aca="false">Factors!C6</f>
        <v>-522</v>
      </c>
      <c r="D6" s="14" t="n">
        <v>0.0015</v>
      </c>
      <c r="E6" s="17" t="n">
        <f aca="false">C6*D6</f>
        <v>-0.783</v>
      </c>
      <c r="F6" s="16" t="n">
        <v>0</v>
      </c>
      <c r="G6" s="17" t="n">
        <f aca="false">E6+F6</f>
        <v>-0.783</v>
      </c>
      <c r="H6" s="11" t="s">
        <v>148</v>
      </c>
    </row>
    <row r="7" customFormat="false" ht="15" hidden="false" customHeight="false" outlineLevel="0" collapsed="false">
      <c r="B7" s="0" t="s">
        <v>65</v>
      </c>
      <c r="C7" s="17" t="n">
        <f aca="false">Factors!C7</f>
        <v>-357.1</v>
      </c>
      <c r="D7" s="14" t="n">
        <v>0.002</v>
      </c>
      <c r="E7" s="17" t="n">
        <f aca="false">C7*D7</f>
        <v>-0.7142</v>
      </c>
      <c r="F7" s="16" t="n">
        <v>0</v>
      </c>
      <c r="G7" s="17" t="n">
        <f aca="false">E7+F7</f>
        <v>-0.7142</v>
      </c>
      <c r="H7" s="11" t="s">
        <v>149</v>
      </c>
    </row>
    <row r="8" customFormat="false" ht="15" hidden="false" customHeight="false" outlineLevel="0" collapsed="false">
      <c r="B8" s="0" t="s">
        <v>66</v>
      </c>
      <c r="C8" s="17" t="n">
        <f aca="false">Factors!C8</f>
        <v>7</v>
      </c>
      <c r="D8" s="14" t="n">
        <v>-0.006</v>
      </c>
      <c r="E8" s="17" t="n">
        <f aca="false">C8*D8</f>
        <v>-0.042</v>
      </c>
      <c r="F8" s="16" t="n">
        <v>0</v>
      </c>
      <c r="G8" s="17" t="n">
        <f aca="false">E8+F8</f>
        <v>-0.042</v>
      </c>
      <c r="H8" s="11" t="s">
        <v>150</v>
      </c>
    </row>
    <row r="9" customFormat="false" ht="15" hidden="false" customHeight="false" outlineLevel="0" collapsed="false">
      <c r="B9" s="0" t="s">
        <v>67</v>
      </c>
      <c r="C9" s="17" t="n">
        <f aca="false">Factors!C9</f>
        <v>17.9</v>
      </c>
      <c r="D9" s="14" t="n">
        <v>0.025</v>
      </c>
      <c r="E9" s="17" t="n">
        <f aca="false">C9*D9</f>
        <v>0.4475</v>
      </c>
      <c r="F9" s="16" t="n">
        <v>0.8</v>
      </c>
      <c r="G9" s="17" t="n">
        <f aca="false">E9+F9</f>
        <v>1.2475</v>
      </c>
      <c r="H9" s="11" t="s">
        <v>151</v>
      </c>
    </row>
    <row r="12" customFormat="false" ht="15" hidden="false" customHeight="false" outlineLevel="0" collapsed="false">
      <c r="B12" s="0" t="s">
        <v>145</v>
      </c>
      <c r="G12" s="17" t="n">
        <f aca="false">SUM(G5:G9)</f>
        <v>-1.4669</v>
      </c>
    </row>
    <row r="13" customFormat="false" ht="15" hidden="false" customHeight="false" outlineLevel="0" collapsed="false">
      <c r="B13" s="0" t="s">
        <v>152</v>
      </c>
      <c r="G13" s="16" t="n">
        <v>-1.5</v>
      </c>
    </row>
    <row r="14" customFormat="false" ht="15" hidden="false" customHeight="false" outlineLevel="0" collapsed="false">
      <c r="B14" s="0" t="s">
        <v>153</v>
      </c>
      <c r="G14" s="17" t="n">
        <f aca="false">G13-G12</f>
        <v>-0.0331000000000001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14"/>
  </cols>
  <sheetData>
    <row r="2" customFormat="false" ht="27.75" hidden="false" customHeight="true" outlineLevel="0" collapsed="false">
      <c r="B2" s="1" t="s">
        <v>154</v>
      </c>
      <c r="C2" s="1"/>
      <c r="D2" s="1"/>
      <c r="E2" s="1"/>
      <c r="F2" s="1"/>
    </row>
    <row r="4" customFormat="false" ht="15" hidden="false" customHeight="false" outlineLevel="0" collapsed="false">
      <c r="B4" s="8" t="s">
        <v>155</v>
      </c>
      <c r="C4" s="8" t="s">
        <v>156</v>
      </c>
      <c r="D4" s="8" t="s">
        <v>157</v>
      </c>
      <c r="E4" s="8" t="s">
        <v>158</v>
      </c>
      <c r="F4" s="8" t="s">
        <v>159</v>
      </c>
    </row>
    <row r="5" customFormat="false" ht="15" hidden="false" customHeight="false" outlineLevel="0" collapsed="false">
      <c r="B5" s="0" t="s">
        <v>102</v>
      </c>
      <c r="C5" s="17" t="n">
        <f aca="false">'VaR &amp; ES'!C8</f>
        <v>4.92241089277903</v>
      </c>
      <c r="D5" s="17" t="n">
        <f aca="false">Assumptions!E12</f>
        <v>12</v>
      </c>
      <c r="E5" s="17" t="n">
        <f aca="false">D5-C5</f>
        <v>7.07758910722098</v>
      </c>
      <c r="F5" s="0" t="str">
        <f aca="false">IF(C5&lt;=D5,"PASS","BREACH")</f>
        <v>PASS</v>
      </c>
    </row>
    <row r="6" customFormat="false" ht="15" hidden="false" customHeight="false" outlineLevel="0" collapsed="false">
      <c r="B6" s="0" t="s">
        <v>114</v>
      </c>
      <c r="C6" s="17" t="n">
        <f aca="false">-MIN(Stress!I5:I10)</f>
        <v>36.716</v>
      </c>
      <c r="D6" s="17" t="n">
        <f aca="false">Assumptions!E13</f>
        <v>40</v>
      </c>
      <c r="E6" s="17" t="n">
        <f aca="false">D6-C6</f>
        <v>3.284</v>
      </c>
      <c r="F6" s="0" t="str">
        <f aca="false">IF(C6&lt;=D6,"PASS","BREACH")</f>
        <v>PASS</v>
      </c>
    </row>
    <row r="7" customFormat="false" ht="15" hidden="false" customHeight="false" outlineLevel="0" collapsed="false">
      <c r="B7" s="0" t="s">
        <v>160</v>
      </c>
      <c r="C7" s="15" t="n">
        <f aca="false">Liquidity!C20</f>
        <v>0.16</v>
      </c>
      <c r="D7" s="15" t="n">
        <f aca="false">Assumptions!E14</f>
        <v>0.25</v>
      </c>
      <c r="E7" s="15" t="n">
        <f aca="false">D7-C7</f>
        <v>0.09</v>
      </c>
      <c r="F7" s="0" t="str">
        <f aca="false">IF(C7&lt;=D7,"PASS","BREACH")</f>
        <v>PASS</v>
      </c>
    </row>
    <row r="8" customFormat="false" ht="15" hidden="false" customHeight="false" outlineLevel="0" collapsed="false">
      <c r="B8" s="0" t="s">
        <v>161</v>
      </c>
      <c r="C8" s="15" t="n">
        <f aca="false">MAX(ABS(Positions!D5:D16))/Assumptions!E18</f>
        <v>0.2</v>
      </c>
      <c r="D8" s="15" t="n">
        <f aca="false">Assumptions!E15</f>
        <v>0.2</v>
      </c>
      <c r="E8" s="15" t="n">
        <f aca="false">D8-C8</f>
        <v>0</v>
      </c>
      <c r="F8" s="0" t="str">
        <f aca="false">IF(C8&lt;=D8,"PASS","BREACH")</f>
        <v>PASS</v>
      </c>
    </row>
    <row r="9" customFormat="false" ht="15" hidden="false" customHeight="false" outlineLevel="0" collapsed="false">
      <c r="B9" s="0" t="s">
        <v>162</v>
      </c>
      <c r="C9" s="19" t="n">
        <f aca="false">SUM(ABS(Positions!E5:E16))/Assumptions!E18</f>
        <v>0.2</v>
      </c>
      <c r="D9" s="19" t="n">
        <f aca="false">Assumptions!E16</f>
        <v>4</v>
      </c>
      <c r="E9" s="19" t="n">
        <f aca="false">D9-C9</f>
        <v>3.8</v>
      </c>
      <c r="F9" s="0" t="str">
        <f aca="false">IF(C9&lt;=D9,"PASS","BREACH")</f>
        <v>PASS</v>
      </c>
    </row>
    <row r="10" customFormat="false" ht="15" hidden="false" customHeight="false" outlineLevel="0" collapsed="false">
      <c r="B10" s="0" t="s">
        <v>153</v>
      </c>
      <c r="C10" s="17" t="n">
        <f aca="false">ABS('P&amp;L Explain'!G14)</f>
        <v>0.0331000000000001</v>
      </c>
      <c r="D10" s="16" t="n">
        <v>5</v>
      </c>
      <c r="E10" s="17" t="n">
        <f aca="false">D10-C10</f>
        <v>4.9669</v>
      </c>
      <c r="F10" s="0" t="str">
        <f aca="false">IF(C10&lt;=D10,"PASS","BREACH")</f>
        <v>PASS</v>
      </c>
    </row>
  </sheetData>
  <mergeCells count="1">
    <mergeCell ref="B2:F2"/>
  </mergeCells>
  <conditionalFormatting sqref="F5:F1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F5="REVIEW"</formula>
    </cfRule>
    <cfRule type="expression" priority="5" aboveAverage="0" equalAverage="0" bottom="0" percent="0" rank="0" text="" dxfId="1">
      <formula>F5="BREACH"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163</v>
      </c>
      <c r="C2" s="1"/>
    </row>
    <row r="4" customFormat="false" ht="15" hidden="false" customHeight="false" outlineLevel="0" collapsed="false">
      <c r="B4" s="8" t="s">
        <v>164</v>
      </c>
      <c r="C4" s="8" t="s">
        <v>159</v>
      </c>
    </row>
    <row r="5" customFormat="false" ht="15" hidden="false" customHeight="false" outlineLevel="0" collapsed="false">
      <c r="B5" s="0" t="s">
        <v>165</v>
      </c>
      <c r="C5" s="0" t="str">
        <f aca="false">IF(AND(Factors!E5=1,Factors!F6=1,Factors!G7=1,Factors!H8=1,Factors!I9=1),"PASS","FAIL")</f>
        <v>PASS</v>
      </c>
    </row>
    <row r="6" customFormat="false" ht="15" hidden="false" customHeight="false" outlineLevel="0" collapsed="false">
      <c r="B6" s="0" t="s">
        <v>166</v>
      </c>
      <c r="C6" s="0" t="str">
        <f aca="false">IF(AND(MIN(Factors!E5:I9)&gt;=-1,MAX(Factors!E5:I9)&lt;=1),"PASS","FAIL")</f>
        <v>PASS</v>
      </c>
    </row>
    <row r="7" customFormat="false" ht="15" hidden="false" customHeight="false" outlineLevel="0" collapsed="false">
      <c r="B7" s="0" t="s">
        <v>167</v>
      </c>
      <c r="C7" s="0" t="str">
        <f aca="false">IF(Factors!C12&gt;=0,"PASS","FAIL")</f>
        <v>PASS</v>
      </c>
    </row>
    <row r="8" customFormat="false" ht="15" hidden="false" customHeight="false" outlineLevel="0" collapsed="false">
      <c r="B8" s="0" t="s">
        <v>168</v>
      </c>
      <c r="C8" s="0" t="str">
        <f aca="false">IF(AND('VaR &amp; ES'!C8&gt;=0,'VaR &amp; ES'!C9&gt;='VaR &amp; ES'!C8),"PASS","FAIL")</f>
        <v>PASS</v>
      </c>
    </row>
    <row r="9" customFormat="false" ht="15" hidden="false" customHeight="false" outlineLevel="0" collapsed="false">
      <c r="B9" s="0" t="s">
        <v>169</v>
      </c>
      <c r="C9" s="0" t="str">
        <f aca="false">IF(COUNTIF(Limits!F5:F10,"BREACH")=0,"PASS","REVIEW")</f>
        <v>PASS</v>
      </c>
    </row>
    <row r="10" customFormat="false" ht="15" hidden="false" customHeight="false" outlineLevel="0" collapsed="false">
      <c r="B10" s="0" t="s">
        <v>170</v>
      </c>
      <c r="C10" s="0" t="str">
        <f aca="false">IF(Liquidity!C21&gt;=0,"PASS","FAIL")</f>
        <v>PASS</v>
      </c>
    </row>
    <row r="11" customFormat="false" ht="15" hidden="false" customHeight="false" outlineLevel="0" collapsed="false">
      <c r="B11" s="0" t="s">
        <v>171</v>
      </c>
      <c r="C11" s="0" t="str">
        <f aca="false">IF(COUNTA(Positions!B5:B16)=12,"PASS","FAIL")</f>
        <v>PASS</v>
      </c>
    </row>
    <row r="12" customFormat="false" ht="15" hidden="false" customHeight="false" outlineLevel="0" collapsed="false">
      <c r="B12" s="0" t="s">
        <v>172</v>
      </c>
      <c r="C12" s="0" t="str">
        <f aca="false">IF(COUNT('P&amp;L Explain'!G5:G9)=5,"PASS","FAIL")</f>
        <v>PASS</v>
      </c>
    </row>
    <row r="13" customFormat="false" ht="15" hidden="false" customHeight="false" outlineLevel="0" collapsed="false">
      <c r="B13" s="0" t="s">
        <v>173</v>
      </c>
      <c r="C13" s="0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174</v>
      </c>
      <c r="C2" s="1"/>
      <c r="D2" s="1"/>
      <c r="E2" s="1"/>
    </row>
    <row r="4" customFormat="false" ht="15" hidden="false" customHeight="false" outlineLevel="0" collapsed="false">
      <c r="B4" s="8" t="s">
        <v>175</v>
      </c>
      <c r="C4" s="8" t="s">
        <v>176</v>
      </c>
      <c r="D4" s="8" t="s">
        <v>177</v>
      </c>
      <c r="E4" s="8" t="s">
        <v>178</v>
      </c>
    </row>
    <row r="5" customFormat="false" ht="15" hidden="false" customHeight="false" outlineLevel="0" collapsed="false">
      <c r="B5" s="26" t="s">
        <v>179</v>
      </c>
      <c r="C5" s="26" t="s">
        <v>180</v>
      </c>
      <c r="D5" s="26" t="s">
        <v>6</v>
      </c>
      <c r="E5" s="26" t="s">
        <v>181</v>
      </c>
    </row>
    <row r="6" customFormat="false" ht="15" hidden="false" customHeight="false" outlineLevel="0" collapsed="false">
      <c r="B6" s="26" t="s">
        <v>182</v>
      </c>
      <c r="C6" s="26" t="s">
        <v>183</v>
      </c>
      <c r="D6" s="26" t="s">
        <v>184</v>
      </c>
      <c r="E6" s="26" t="s">
        <v>185</v>
      </c>
    </row>
    <row r="7" customFormat="false" ht="15" hidden="false" customHeight="false" outlineLevel="0" collapsed="false">
      <c r="B7" s="26" t="s">
        <v>186</v>
      </c>
      <c r="C7" s="26" t="s">
        <v>187</v>
      </c>
      <c r="D7" s="26" t="s">
        <v>6</v>
      </c>
      <c r="E7" s="26" t="s">
        <v>188</v>
      </c>
    </row>
    <row r="8" customFormat="false" ht="15" hidden="false" customHeight="false" outlineLevel="0" collapsed="false">
      <c r="B8" s="26" t="s">
        <v>189</v>
      </c>
      <c r="C8" s="26" t="s">
        <v>190</v>
      </c>
      <c r="D8" s="26" t="s">
        <v>191</v>
      </c>
      <c r="E8" s="26" t="s">
        <v>192</v>
      </c>
    </row>
    <row r="9" customFormat="false" ht="15" hidden="false" customHeight="false" outlineLevel="0" collapsed="false">
      <c r="B9" s="26" t="s">
        <v>193</v>
      </c>
      <c r="C9" s="26" t="s">
        <v>194</v>
      </c>
      <c r="D9" s="26" t="s">
        <v>195</v>
      </c>
      <c r="E9" s="26" t="s">
        <v>196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197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198</v>
      </c>
      <c r="C4" s="8" t="s">
        <v>199</v>
      </c>
      <c r="D4" s="8" t="s">
        <v>200</v>
      </c>
      <c r="E4" s="8" t="s">
        <v>201</v>
      </c>
      <c r="F4" s="8" t="s">
        <v>202</v>
      </c>
      <c r="G4" s="8" t="s">
        <v>203</v>
      </c>
    </row>
    <row r="5" customFormat="false" ht="15" hidden="false" customHeight="false" outlineLevel="0" collapsed="false">
      <c r="B5" s="27"/>
      <c r="C5" s="27"/>
      <c r="D5" s="27"/>
      <c r="E5" s="27"/>
      <c r="F5" s="27"/>
      <c r="G5" s="27"/>
    </row>
    <row r="6" customFormat="false" ht="15" hidden="false" customHeight="false" outlineLevel="0" collapsed="false">
      <c r="B6" s="27"/>
      <c r="C6" s="27"/>
      <c r="D6" s="27"/>
      <c r="E6" s="27"/>
      <c r="F6" s="27"/>
      <c r="G6" s="27"/>
    </row>
    <row r="7" customFormat="false" ht="15" hidden="false" customHeight="false" outlineLevel="0" collapsed="false">
      <c r="B7" s="27"/>
      <c r="C7" s="27"/>
      <c r="D7" s="27"/>
      <c r="E7" s="27"/>
      <c r="F7" s="27"/>
      <c r="G7" s="27"/>
    </row>
    <row r="8" customFormat="false" ht="15" hidden="false" customHeight="false" outlineLevel="0" collapsed="false">
      <c r="B8" s="27"/>
      <c r="C8" s="27"/>
      <c r="D8" s="27"/>
      <c r="E8" s="27"/>
      <c r="F8" s="27"/>
      <c r="G8" s="27"/>
    </row>
    <row r="9" customFormat="false" ht="15" hidden="false" customHeight="false" outlineLevel="0" collapsed="false">
      <c r="B9" s="27"/>
      <c r="C9" s="27"/>
      <c r="D9" s="27"/>
      <c r="E9" s="27"/>
      <c r="F9" s="27"/>
      <c r="G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7"/>
    </row>
    <row r="11" customFormat="false" ht="15" hidden="false" customHeight="false" outlineLevel="0" collapsed="false">
      <c r="B11" s="27"/>
      <c r="C11" s="27"/>
      <c r="D11" s="27"/>
      <c r="E11" s="27"/>
      <c r="F11" s="27"/>
      <c r="G11" s="27"/>
    </row>
    <row r="12" customFormat="false" ht="15" hidden="false" customHeight="false" outlineLevel="0" collapsed="false">
      <c r="B12" s="27"/>
      <c r="C12" s="27"/>
      <c r="D12" s="27"/>
      <c r="E12" s="27"/>
      <c r="F12" s="27"/>
      <c r="G12" s="27"/>
    </row>
    <row r="13" customFormat="false" ht="15" hidden="false" customHeight="false" outlineLevel="0" collapsed="false">
      <c r="B13" s="27"/>
      <c r="C13" s="27"/>
      <c r="D13" s="27"/>
      <c r="E13" s="27"/>
      <c r="F13" s="27"/>
      <c r="G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</row>
    <row r="15" customFormat="false" ht="15" hidden="false" customHeight="false" outlineLevel="0" collapsed="false">
      <c r="B15" s="27"/>
      <c r="C15" s="27"/>
      <c r="D15" s="27"/>
      <c r="E15" s="27"/>
      <c r="F15" s="27"/>
      <c r="G15" s="27"/>
    </row>
    <row r="16" customFormat="false" ht="15" hidden="false" customHeight="false" outlineLevel="0" collapsed="false">
      <c r="B16" s="27"/>
      <c r="C16" s="27"/>
      <c r="D16" s="27"/>
      <c r="E16" s="27"/>
      <c r="F16" s="27"/>
      <c r="G16" s="27"/>
    </row>
    <row r="17" customFormat="false" ht="15" hidden="false" customHeight="false" outlineLevel="0" collapsed="false">
      <c r="B17" s="27"/>
      <c r="C17" s="27"/>
      <c r="D17" s="27"/>
      <c r="E17" s="27"/>
      <c r="F17" s="27"/>
      <c r="G17" s="27"/>
    </row>
    <row r="18" customFormat="false" ht="15" hidden="false" customHeight="false" outlineLevel="0" collapsed="false">
      <c r="B18" s="27"/>
      <c r="C18" s="27"/>
      <c r="D18" s="27"/>
      <c r="E18" s="27"/>
      <c r="F18" s="27"/>
      <c r="G18" s="27"/>
    </row>
    <row r="19" customFormat="false" ht="15" hidden="false" customHeight="false" outlineLevel="0" collapsed="false">
      <c r="B19" s="27"/>
      <c r="C19" s="27"/>
      <c r="D19" s="27"/>
      <c r="E19" s="27"/>
      <c r="F19" s="27"/>
      <c r="G19" s="27"/>
    </row>
    <row r="20" customFormat="false" ht="15" hidden="false" customHeight="false" outlineLevel="0" collapsed="false">
      <c r="B20" s="27"/>
      <c r="C20" s="27"/>
      <c r="D20" s="27"/>
      <c r="E20" s="27"/>
      <c r="F20" s="27"/>
      <c r="G20" s="27"/>
    </row>
    <row r="21" customFormat="false" ht="15" hidden="false" customHeight="false" outlineLevel="0" collapsed="false">
      <c r="B21" s="27"/>
      <c r="C21" s="27"/>
      <c r="D21" s="27"/>
      <c r="E21" s="27"/>
      <c r="F21" s="27"/>
      <c r="G21" s="27"/>
    </row>
    <row r="22" customFormat="false" ht="15" hidden="false" customHeight="false" outlineLevel="0" collapsed="false">
      <c r="B22" s="27"/>
      <c r="C22" s="27"/>
      <c r="D22" s="27"/>
      <c r="E22" s="27"/>
      <c r="F22" s="27"/>
      <c r="G22" s="27"/>
    </row>
    <row r="23" customFormat="false" ht="15" hidden="false" customHeight="false" outlineLevel="0" collapsed="false">
      <c r="B23" s="27"/>
      <c r="C23" s="27"/>
      <c r="D23" s="27"/>
      <c r="E23" s="27"/>
      <c r="F23" s="27"/>
      <c r="G23" s="27"/>
    </row>
    <row r="24" customFormat="false" ht="15" hidden="false" customHeight="false" outlineLevel="0" collapsed="false">
      <c r="B24" s="27"/>
      <c r="C24" s="27"/>
      <c r="D24" s="27"/>
      <c r="E24" s="27"/>
      <c r="F24" s="27"/>
      <c r="G24" s="27"/>
    </row>
    <row r="25" customFormat="false" ht="15" hidden="false" customHeight="false" outlineLevel="0" collapsed="false">
      <c r="B25" s="27"/>
      <c r="C25" s="27"/>
      <c r="D25" s="27"/>
      <c r="E25" s="27"/>
      <c r="F25" s="27"/>
      <c r="G25" s="27"/>
    </row>
    <row r="26" customFormat="false" ht="15" hidden="false" customHeight="false" outlineLevel="0" collapsed="false">
      <c r="B26" s="27"/>
      <c r="C26" s="27"/>
      <c r="D26" s="27"/>
      <c r="E26" s="27"/>
      <c r="F26" s="27"/>
      <c r="G26" s="27"/>
    </row>
    <row r="27" customFormat="false" ht="15" hidden="false" customHeight="false" outlineLevel="0" collapsed="false">
      <c r="B27" s="27"/>
      <c r="C27" s="27"/>
      <c r="D27" s="27"/>
      <c r="E27" s="27"/>
      <c r="F27" s="27"/>
      <c r="G27" s="27"/>
    </row>
    <row r="28" customFormat="false" ht="15" hidden="false" customHeight="false" outlineLevel="0" collapsed="false">
      <c r="B28" s="27"/>
      <c r="C28" s="27"/>
      <c r="D28" s="27"/>
      <c r="E28" s="27"/>
      <c r="F28" s="27"/>
      <c r="G28" s="27"/>
    </row>
    <row r="29" customFormat="false" ht="15" hidden="false" customHeight="false" outlineLevel="0" collapsed="false">
      <c r="B29" s="27"/>
      <c r="C29" s="27"/>
      <c r="D29" s="27"/>
      <c r="E29" s="27"/>
      <c r="F29" s="27"/>
      <c r="G29" s="27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2026-08-04T02:36:02Z</dcterms:created>
  <dc:creator>openpyxl</dc:creator>
  <dc:description/>
  <dc:language>en-US</dc:language>
  <cp:lastModifiedBy/>
  <dcterms:modified xsi:type="dcterms:W3CDTF">2026-08-04T02:36:02Z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