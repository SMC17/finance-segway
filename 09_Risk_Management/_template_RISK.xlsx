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VaR" sheetId="2" state="visible" r:id="rId4"/>
    <sheet name="Stress Scenarios" sheetId="3" state="visible" r:id="rId5"/>
    <sheet name="Sensitivity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<sst xmlns="http://schemas.openxmlformats.org/spreadsheetml/2006/main" count="48" uniqueCount="44">
  <si>
    <t xml:space="preserve">[PORTFOLIO] — Risk Management Model</t>
  </si>
  <si>
    <t xml:space="preserve">Portfolio:</t>
  </si>
  <si>
    <t xml:space="preserve">[fill in]</t>
  </si>
  <si>
    <t xml:space="preserve">Base currency:</t>
  </si>
  <si>
    <t xml:space="preserve">USD</t>
  </si>
  <si>
    <t xml:space="preserve">Last refreshed:</t>
  </si>
  <si>
    <t xml:space="preserve">[date]</t>
  </si>
  <si>
    <t xml:space="preserve">Risk review cadence:</t>
  </si>
  <si>
    <t xml:space="preserve">Weekly (daily in stress periods)</t>
  </si>
  <si>
    <t xml:space="preserve">Value at Risk — Parametric (Variance-Covariance)</t>
  </si>
  <si>
    <t xml:space="preserve">Inputs</t>
  </si>
  <si>
    <t xml:space="preserve">Portfolio value ($)</t>
  </si>
  <si>
    <t xml:space="preserve">Daily volatility (sigma, %)</t>
  </si>
  <si>
    <t xml:space="preserve">Confidence level (e.g. 0.95, 0.99)</t>
  </si>
  <si>
    <t xml:space="preserve">Holding period (days)</t>
  </si>
  <si>
    <t xml:space="preserve">Outputs</t>
  </si>
  <si>
    <t xml:space="preserve">Z-score for confidence level</t>
  </si>
  <si>
    <t xml:space="preserve">1-day VaR ($)</t>
  </si>
  <si>
    <t xml:space="preserve">N-day VaR ($, scaled by sqrt(time))</t>
  </si>
  <si>
    <t xml:space="preserve">Square-root-of-time scaling assumes i.i.d. returns — a simplification, not exact for fat tails</t>
  </si>
  <si>
    <t xml:space="preserve">VaR as % of portfolio</t>
  </si>
  <si>
    <t xml:space="preserve">Historical VaR (alternative method)</t>
  </si>
  <si>
    <t xml:space="preserve">Enter trailing daily P&amp;L observations below (min 100 recommended); </t>
  </si>
  <si>
    <t xml:space="preserve">Historical VaR = PERCENTILE of P&amp;L distribution at (1-confidence)</t>
  </si>
  <si>
    <t xml:space="preserve">Historical VaR ($)</t>
  </si>
  <si>
    <t xml:space="preserve">Stress Scenarios</t>
  </si>
  <si>
    <t xml:space="preserve">Scenario</t>
  </si>
  <si>
    <t xml:space="preserve">Shock applied</t>
  </si>
  <si>
    <t xml:space="preserve">Portfolio impact ($)</t>
  </si>
  <si>
    <t xml:space="preserve">Notes</t>
  </si>
  <si>
    <t xml:space="preserve">2008-style equity crash</t>
  </si>
  <si>
    <t xml:space="preserve">[calibrate shock to actual portfolio beta/sensitivity]</t>
  </si>
  <si>
    <t xml:space="preserve">Rate shock +200bp</t>
  </si>
  <si>
    <t xml:space="preserve">Credit spread widening +300bp</t>
  </si>
  <si>
    <t xml:space="preserve">FX shock (base currency -15%)</t>
  </si>
  <si>
    <t xml:space="preserve">Liquidity event (haircut on illiquids)</t>
  </si>
  <si>
    <t xml:space="preserve">Sensitivity — VaR by Vol &amp; Confidence</t>
  </si>
  <si>
    <t xml:space="preserve">Daily vol \ Confidence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</si>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</sst>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#,##0;\(#,##0\);\-"/>
    <numFmt numFmtId="169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9</v>
      </c>
    </row>
    <row r="4" customFormat="false" ht="15" hidden="false" customHeight="false" outlineLevel="0" collapsed="false">
      <c r="B4" s="4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7" t="n">
        <v>0.015</v>
      </c>
    </row>
    <row r="7" customFormat="false" ht="15" hidden="false" customHeight="false" outlineLevel="0" collapsed="false">
      <c r="B7" s="5" t="s">
        <v>13</v>
      </c>
      <c r="C7" s="8" t="n">
        <v>0.95</v>
      </c>
    </row>
    <row r="8" customFormat="false" ht="15" hidden="false" customHeight="false" outlineLevel="0" collapsed="false">
      <c r="B8" s="5" t="s">
        <v>14</v>
      </c>
      <c r="C8" s="9" t="n">
        <v>1</v>
      </c>
    </row>
    <row r="10" customFormat="false" ht="15" hidden="false" customHeight="false" outlineLevel="0" collapsed="false">
      <c r="B10" s="4" t="s">
        <v>15</v>
      </c>
    </row>
    <row r="11" customFormat="false" ht="15" hidden="false" customHeight="false" outlineLevel="0" collapsed="false">
      <c r="B11" s="0" t="s">
        <v>16</v>
      </c>
      <c r="C11" s="10" t="n">
        <f aca="false">NORMSINV(C7)</f>
        <v>1.64485362695147</v>
      </c>
    </row>
    <row r="12" customFormat="false" ht="15" hidden="false" customHeight="false" outlineLevel="0" collapsed="false">
      <c r="B12" s="0" t="s">
        <v>17</v>
      </c>
      <c r="C12" s="11" t="n">
        <f aca="false">C5*C6*C11</f>
        <v>0</v>
      </c>
    </row>
    <row r="13" customFormat="false" ht="15" hidden="false" customHeight="false" outlineLevel="0" collapsed="false">
      <c r="B13" s="0" t="s">
        <v>18</v>
      </c>
      <c r="C13" s="12" t="n">
        <f aca="false">C12*SQRT(C8)</f>
        <v>0</v>
      </c>
      <c r="D13" s="13" t="s">
        <v>19</v>
      </c>
    </row>
    <row r="14" customFormat="false" ht="15" hidden="false" customHeight="false" outlineLevel="0" collapsed="false">
      <c r="B14" s="0" t="s">
        <v>20</v>
      </c>
      <c r="C14" s="14" t="str">
        <f aca="false">IFERROR(C13/C5,"-")</f>
        <v>-</v>
      </c>
    </row>
    <row r="17" customFormat="false" ht="15" hidden="false" customHeight="false" outlineLevel="0" collapsed="false">
      <c r="B17" s="4" t="s">
        <v>21</v>
      </c>
    </row>
    <row r="18" customFormat="false" ht="15" hidden="false" customHeight="false" outlineLevel="0" collapsed="false">
      <c r="B18" s="13" t="s">
        <v>22</v>
      </c>
    </row>
    <row r="19" customFormat="false" ht="15" hidden="false" customHeight="false" outlineLevel="0" collapsed="false">
      <c r="B19" s="13" t="s">
        <v>23</v>
      </c>
    </row>
    <row r="20" customFormat="false" ht="15" hidden="false" customHeight="false" outlineLevel="0" collapsed="false">
      <c r="B20" s="0" t="s">
        <v>24</v>
      </c>
      <c r="C20" s="11" t="str">
        <f aca="false">IFERROR(-PERCENTILE(E20:E119,1-C7),"[fill in P&amp;L history in col E]")</f>
        <v>[fill in P&amp;L history in col E]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25</v>
      </c>
    </row>
    <row r="4" customFormat="false" ht="15" hidden="false" customHeight="false" outlineLevel="0" collapsed="false">
      <c r="A4" s="15"/>
      <c r="B4" s="15" t="s">
        <v>26</v>
      </c>
      <c r="C4" s="15" t="s">
        <v>27</v>
      </c>
      <c r="D4" s="15" t="s">
        <v>28</v>
      </c>
      <c r="E4" s="16" t="s">
        <v>29</v>
      </c>
    </row>
    <row r="5" customFormat="false" ht="15" hidden="false" customHeight="false" outlineLevel="0" collapsed="false">
      <c r="B5" s="5" t="s">
        <v>30</v>
      </c>
      <c r="C5" s="17" t="n">
        <v>-0.4</v>
      </c>
      <c r="D5" s="11" t="n">
        <f aca="false">VaR!$C$5*C5</f>
        <v>-0</v>
      </c>
      <c r="E5" s="13" t="s">
        <v>31</v>
      </c>
    </row>
    <row r="6" customFormat="false" ht="15" hidden="false" customHeight="false" outlineLevel="0" collapsed="false">
      <c r="B6" s="5" t="s">
        <v>32</v>
      </c>
      <c r="C6" s="17" t="n">
        <v>-0.1</v>
      </c>
      <c r="D6" s="11" t="n">
        <f aca="false">VaR!$C$5*C6</f>
        <v>-0</v>
      </c>
      <c r="E6" s="13" t="s">
        <v>31</v>
      </c>
    </row>
    <row r="7" customFormat="false" ht="15" hidden="false" customHeight="false" outlineLevel="0" collapsed="false">
      <c r="B7" s="5" t="s">
        <v>33</v>
      </c>
      <c r="C7" s="17" t="n">
        <v>-0.08</v>
      </c>
      <c r="D7" s="11" t="n">
        <f aca="false">VaR!$C$5*C7</f>
        <v>-0</v>
      </c>
      <c r="E7" s="13" t="s">
        <v>31</v>
      </c>
    </row>
    <row r="8" customFormat="false" ht="15" hidden="false" customHeight="false" outlineLevel="0" collapsed="false">
      <c r="B8" s="5" t="s">
        <v>34</v>
      </c>
      <c r="C8" s="17" t="n">
        <v>-0.15</v>
      </c>
      <c r="D8" s="11" t="n">
        <f aca="false">VaR!$C$5*C8</f>
        <v>-0</v>
      </c>
      <c r="E8" s="13" t="s">
        <v>31</v>
      </c>
    </row>
    <row r="9" customFormat="false" ht="15" hidden="false" customHeight="false" outlineLevel="0" collapsed="false">
      <c r="B9" s="5" t="s">
        <v>35</v>
      </c>
      <c r="C9" s="17" t="n">
        <v>-0.25</v>
      </c>
      <c r="D9" s="11" t="n">
        <f aca="false">VaR!$C$5*C9</f>
        <v>-0</v>
      </c>
      <c r="E9" s="1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36</v>
      </c>
    </row>
    <row r="4" customFormat="false" ht="15" hidden="false" customHeight="false" outlineLevel="0" collapsed="false">
      <c r="B4" s="4" t="s">
        <v>37</v>
      </c>
      <c r="C4" s="18" t="n">
        <v>0.9</v>
      </c>
      <c r="D4" s="18" t="n">
        <v>0.95</v>
      </c>
      <c r="E4" s="18" t="n">
        <v>0.975</v>
      </c>
      <c r="F4" s="18" t="n">
        <v>0.99</v>
      </c>
      <c r="G4" s="18" t="n">
        <v>0.995</v>
      </c>
    </row>
    <row r="5" customFormat="false" ht="15" hidden="false" customHeight="false" outlineLevel="0" collapsed="false">
      <c r="B5" s="19" t="n">
        <v>0.01</v>
      </c>
      <c r="C5" s="11" t="n">
        <f aca="false">VaR!$C$5*B5*NORMSINV(C4)</f>
        <v>0</v>
      </c>
      <c r="D5" s="11" t="n">
        <f aca="false">VaR!$C$5*B5*NORMSINV(D4)</f>
        <v>0</v>
      </c>
      <c r="E5" s="11" t="n">
        <f aca="false">VaR!$C$5*B5*NORMSINV(E4)</f>
        <v>0</v>
      </c>
      <c r="F5" s="11" t="n">
        <f aca="false">VaR!$C$5*B5*NORMSINV(F4)</f>
        <v>0</v>
      </c>
      <c r="G5" s="11" t="n">
        <f aca="false">VaR!$C$5*B5*NORMSINV(G4)</f>
        <v>0</v>
      </c>
    </row>
    <row r="6" customFormat="false" ht="15" hidden="false" customHeight="false" outlineLevel="0" collapsed="false">
      <c r="B6" s="19" t="n">
        <v>0.015</v>
      </c>
      <c r="C6" s="11" t="n">
        <f aca="false">VaR!$C$5*B6*NORMSINV(C4)</f>
        <v>0</v>
      </c>
      <c r="D6" s="11" t="n">
        <f aca="false">VaR!$C$5*B6*NORMSINV(D4)</f>
        <v>0</v>
      </c>
      <c r="E6" s="11" t="n">
        <f aca="false">VaR!$C$5*B6*NORMSINV(E4)</f>
        <v>0</v>
      </c>
      <c r="F6" s="11" t="n">
        <f aca="false">VaR!$C$5*B6*NORMSINV(F4)</f>
        <v>0</v>
      </c>
      <c r="G6" s="11" t="n">
        <f aca="false">VaR!$C$5*B6*NORMSINV(G4)</f>
        <v>0</v>
      </c>
    </row>
    <row r="7" customFormat="false" ht="15" hidden="false" customHeight="false" outlineLevel="0" collapsed="false">
      <c r="B7" s="19" t="n">
        <v>0.02</v>
      </c>
      <c r="C7" s="11" t="n">
        <f aca="false">VaR!$C$5*B7*NORMSINV(C4)</f>
        <v>0</v>
      </c>
      <c r="D7" s="11" t="n">
        <f aca="false">VaR!$C$5*B7*NORMSINV(D4)</f>
        <v>0</v>
      </c>
      <c r="E7" s="11" t="n">
        <f aca="false">VaR!$C$5*B7*NORMSINV(E4)</f>
        <v>0</v>
      </c>
      <c r="F7" s="11" t="n">
        <f aca="false">VaR!$C$5*B7*NORMSINV(F4)</f>
        <v>0</v>
      </c>
      <c r="G7" s="11" t="n">
        <f aca="false">VaR!$C$5*B7*NORMSINV(G4)</f>
        <v>0</v>
      </c>
    </row>
    <row r="8" customFormat="false" ht="15" hidden="false" customHeight="false" outlineLevel="0" collapsed="false">
      <c r="B8" s="19" t="n">
        <v>0.025</v>
      </c>
      <c r="C8" s="11" t="n">
        <f aca="false">VaR!$C$5*B8*NORMSINV(C4)</f>
        <v>0</v>
      </c>
      <c r="D8" s="11" t="n">
        <f aca="false">VaR!$C$5*B8*NORMSINV(D4)</f>
        <v>0</v>
      </c>
      <c r="E8" s="11" t="n">
        <f aca="false">VaR!$C$5*B8*NORMSINV(E4)</f>
        <v>0</v>
      </c>
      <c r="F8" s="11" t="n">
        <f aca="false">VaR!$C$5*B8*NORMSINV(F4)</f>
        <v>0</v>
      </c>
      <c r="G8" s="11" t="n">
        <f aca="false">VaR!$C$5*B8*NORMSINV(G4)</f>
        <v>0</v>
      </c>
    </row>
    <row r="9" customFormat="false" ht="15" hidden="false" customHeight="false" outlineLevel="0" collapsed="false">
      <c r="B9" s="19" t="n">
        <v>0.03</v>
      </c>
      <c r="C9" s="11" t="n">
        <f aca="false">VaR!$C$5*B9*NORMSINV(C4)</f>
        <v>0</v>
      </c>
      <c r="D9" s="11" t="n">
        <f aca="false">VaR!$C$5*B9*NORMSINV(D4)</f>
        <v>0</v>
      </c>
      <c r="E9" s="11" t="n">
        <f aca="false">VaR!$C$5*B9*NORMSINV(E4)</f>
        <v>0</v>
      </c>
      <c r="F9" s="11" t="n">
        <f aca="false">VaR!$C$5*B9*NORMSINV(F4)</f>
        <v>0</v>
      </c>
      <c r="G9" s="11" t="n">
        <f aca="false">VaR!$C$5*B9*NORMSINV(G4)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38</v>
      </c>
    </row>
    <row r="4" customFormat="false" ht="15" hidden="false" customHeight="false" outlineLevel="0" collapsed="false">
      <c r="B4" s="15" t="s">
        <v>39</v>
      </c>
      <c r="C4" s="15" t="s">
        <v>40</v>
      </c>
      <c r="D4" s="15" t="s">
        <v>41</v>
      </c>
      <c r="E4" s="15" t="s">
        <v>42</v>
      </c>
      <c r="F4" s="15" t="s">
        <v>43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2026-08-03T21:41:43Z</dcterms:created>
  <dc:creator>openpyxl</dc:creator>
  <dc:description/>
  <dc:language>en-US</dc:language>
  <cp:lastModifiedBy/>
  <dcterms:modified xsi:type="dcterms:W3CDTF">2026-08-03T21:41:43Z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