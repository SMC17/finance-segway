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ositions" sheetId="3" state="visible" r:id="rId5"/>
    <sheet name="Factors" sheetId="4" state="visible" r:id="rId6"/>
    <sheet name="VaR &amp; ES" sheetId="5" state="visible" r:id="rId7"/>
    <sheet name="Risk Contributions" sheetId="6" state="visible" r:id="rId8"/>
    <sheet name="Stress" sheetId="7" state="visible" r:id="rId9"/>
    <sheet name="Liquidity" sheetId="8" state="visible" r:id="rId10"/>
    <sheet name="P&amp;L Explain" sheetId="9" state="visible" r:id="rId11"/>
    <sheet name="Limits" sheetId="10" state="visible" r:id="rId12"/>
    <sheet name="Checks" sheetId="11" state="visible" r:id="rId13"/>
    <sheet name="Sources" sheetId="12" state="visible" r:id="rId14"/>
    <sheet name="RefreshLo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<sst xmlns="http://schemas.openxmlformats.org/spreadsheetml/2006/main" count="271" uniqueCount="212">
  <si>
    <t xml:space="preserve">[PORTFOLIO] — Multi-Asset Risk Model</t>
  </si>
  <si>
    <t xml:space="preserve">Portfolio / desk:</t>
  </si>
  <si>
    <t xml:space="preserve">Adversarial Crowded Levered Book</t>
  </si>
  <si>
    <t xml:space="preserve">Risk horizon:</t>
  </si>
  <si>
    <t xml:space="preserve">1-day and stressed liquidation</t>
  </si>
  <si>
    <t xml:space="preserve">Last refreshed:</t>
  </si>
  <si>
    <t xml:space="preserve">2026-08-03</t>
  </si>
  <si>
    <t xml:space="preserve">Next limit review:</t>
  </si>
  <si>
    <t xml:space="preserve">[date]</t>
  </si>
  <si>
    <t xml:space="preserve">Refresh cadence:</t>
  </si>
  <si>
    <t xml:space="preserve">Intraday / daily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</si>
  <si>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</si>
  <si>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</si>
  <si>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</si>
  <si>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</si>
  <si>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</si>
  <si>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</si>
  <si>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</si>
  <si>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</si>
  <si>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</si>
  <si>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</si>
  <si>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</si>
  <si>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</si>
  <si>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</si>
  <si>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Risk and Liquidity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</si>
  <si>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</si>
  <si>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</si>
  <si>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</si>
  <si>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</si>
  <si>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VaR confidence</t>
  </si>
  <si>
    <t xml:space="preserve">%</t>
  </si>
  <si>
    <t xml:space="preserve">Trading days per year</t>
  </si>
  <si>
    <t xml:space="preserve">days</t>
  </si>
  <si>
    <t xml:space="preserve">Equity annual volatility</t>
  </si>
  <si>
    <t xml:space="preserve">Rates annual volatility</t>
  </si>
  <si>
    <t xml:space="preserve">yield change</t>
  </si>
  <si>
    <t xml:space="preserve">Credit annual volatility</t>
  </si>
  <si>
    <t xml:space="preserve">spread change</t>
  </si>
  <si>
    <t xml:space="preserve">FX annual volatility</t>
  </si>
  <si>
    <t xml:space="preserve">Volatility-factor annual volatility</t>
  </si>
  <si>
    <t xml:space="preserve">Maximum portfolio VaR</t>
  </si>
  <si>
    <t xml:space="preserve">$mm</t>
  </si>
  <si>
    <t xml:space="preserve">Maximum stress loss</t>
  </si>
  <si>
    <t xml:space="preserve">Maximum illiquid NAV</t>
  </si>
  <si>
    <t xml:space="preserve">Maximum single-name concentration</t>
  </si>
  <si>
    <t xml:space="preserve">Maximum gross leverage</t>
  </si>
  <si>
    <t xml:space="preserve">x</t>
  </si>
  <si>
    <t xml:space="preserve">Liquidity impact coefficient</t>
  </si>
  <si>
    <t xml:space="preserve">loss coefficient</t>
  </si>
  <si>
    <t xml:space="preserve">Available capital / NAV</t>
  </si>
  <si>
    <t xml:space="preserve">Position-Level Risk Inventory</t>
  </si>
  <si>
    <t xml:space="preserve">Instrument</t>
  </si>
  <si>
    <t xml:space="preserve">Asset class</t>
  </si>
  <si>
    <t xml:space="preserve">Market value</t>
  </si>
  <si>
    <t xml:space="preserve">Gross notional</t>
  </si>
  <si>
    <t xml:space="preserve">Delta</t>
  </si>
  <si>
    <t xml:space="preserve">Beta</t>
  </si>
  <si>
    <t xml:space="preserve">Duration</t>
  </si>
  <si>
    <t xml:space="preserve">Spread duration</t>
  </si>
  <si>
    <t xml:space="preserve">DV01</t>
  </si>
  <si>
    <t xml:space="preserve">Vega</t>
  </si>
  <si>
    <t xml:space="preserve">FX delta</t>
  </si>
  <si>
    <t xml:space="preserve">Days to liquidate</t>
  </si>
  <si>
    <t xml:space="preserve">Equity</t>
  </si>
  <si>
    <t xml:space="preserve">Rates</t>
  </si>
  <si>
    <t xml:space="preserve">Credit</t>
  </si>
  <si>
    <t xml:space="preserve">FX</t>
  </si>
  <si>
    <t xml:space="preserve">Volatility</t>
  </si>
  <si>
    <t xml:space="preserve">Weighted risk exposure</t>
  </si>
  <si>
    <t xml:space="preserve">Equity Index Future</t>
  </si>
  <si>
    <t xml:space="preserve">Single Name A</t>
  </si>
  <si>
    <t xml:space="preserve">Single Name Put</t>
  </si>
  <si>
    <t xml:space="preserve">Option</t>
  </si>
  <si>
    <t xml:space="preserve">10Y Treasury</t>
  </si>
  <si>
    <t xml:space="preserve">IG Credit ETF</t>
  </si>
  <si>
    <t xml:space="preserve">HY Bond</t>
  </si>
  <si>
    <t xml:space="preserve">EURUSD Forward</t>
  </si>
  <si>
    <t xml:space="preserve">Commodity Future</t>
  </si>
  <si>
    <t xml:space="preserve">Commodity</t>
  </si>
  <si>
    <t xml:space="preserve">Variance Swap</t>
  </si>
  <si>
    <t xml:space="preserve">Private Credit Position</t>
  </si>
  <si>
    <t xml:space="preserve">Private</t>
  </si>
  <si>
    <t xml:space="preserve">Cash</t>
  </si>
  <si>
    <t xml:space="preserve">Short Equity Basket</t>
  </si>
  <si>
    <t xml:space="preserve">Portfolio total</t>
  </si>
  <si>
    <t xml:space="preserve">Factor Exposure and Covariance</t>
  </si>
  <si>
    <t xml:space="preserve">Factor</t>
  </si>
  <si>
    <t xml:space="preserve">Exposure</t>
  </si>
  <si>
    <t xml:space="preserve">Annual vol</t>
  </si>
  <si>
    <t xml:space="preserve">Annual portfolio variance</t>
  </si>
  <si>
    <t xml:space="preserve">Annual portfolio volatility</t>
  </si>
  <si>
    <t xml:space="preserve">Parametric VaR and Expected Shortfall</t>
  </si>
  <si>
    <t xml:space="preserve">Metric</t>
  </si>
  <si>
    <t xml:space="preserve">Value</t>
  </si>
  <si>
    <t xml:space="preserve">Units</t>
  </si>
  <si>
    <t xml:space="preserve">Method</t>
  </si>
  <si>
    <t xml:space="preserve">factor covariance</t>
  </si>
  <si>
    <t xml:space="preserve">Daily portfolio volatility</t>
  </si>
  <si>
    <t xml:space="preserve">annual / sqrt(days)</t>
  </si>
  <si>
    <t xml:space="preserve">Normal quantile</t>
  </si>
  <si>
    <t xml:space="preserve">z</t>
  </si>
  <si>
    <t xml:space="preserve">confidence quantile</t>
  </si>
  <si>
    <t xml:space="preserve">One-day VaR</t>
  </si>
  <si>
    <t xml:space="preserve">sigma x z</t>
  </si>
  <si>
    <t xml:space="preserve">One-day expected shortfall</t>
  </si>
  <si>
    <t xml:space="preserve">normal tail expectation</t>
  </si>
  <si>
    <t xml:space="preserve">VaR / NAV</t>
  </si>
  <si>
    <t xml:space="preserve">capital consumption</t>
  </si>
  <si>
    <t xml:space="preserve">Diversification benefit</t>
  </si>
  <si>
    <t xml:space="preserve">1 - portfolio / standalone</t>
  </si>
  <si>
    <t xml:space="preserve">Position-Level VaR, Stress, and Liquidity Contributions</t>
  </si>
  <si>
    <t xml:space="preserve">Standalone VaR</t>
  </si>
  <si>
    <t xml:space="preserve">Component VaR</t>
  </si>
  <si>
    <t xml:space="preserve">% portfolio VaR</t>
  </si>
  <si>
    <t xml:space="preserve">Worst stress loss</t>
  </si>
  <si>
    <t xml:space="preserve">Liquidation loss</t>
  </si>
  <si>
    <t xml:space="preserve">Liquidity-adjusted risk</t>
  </si>
  <si>
    <t xml:space="preserve">Risk concentration</t>
  </si>
  <si>
    <t xml:space="preserve">Component VaR reconciliation</t>
  </si>
  <si>
    <t xml:space="preserve">Largest risk concentration</t>
  </si>
  <si>
    <t xml:space="preserve">Largest contributor</t>
  </si>
  <si>
    <t xml:space="preserve">Portfolio Stress Matrix</t>
  </si>
  <si>
    <t xml:space="preserve">Scenario</t>
  </si>
  <si>
    <t xml:space="preserve">Vol</t>
  </si>
  <si>
    <t xml:space="preserve">Liquidity</t>
  </si>
  <si>
    <t xml:space="preserve">P&amp;L</t>
  </si>
  <si>
    <t xml:space="preserve">Global risk-off</t>
  </si>
  <si>
    <t xml:space="preserve">Inflation / rates shock</t>
  </si>
  <si>
    <t xml:space="preserve">Credit crisis</t>
  </si>
  <si>
    <t xml:space="preserve">Dollar squeeze</t>
  </si>
  <si>
    <t xml:space="preserve">Volatility normalization</t>
  </si>
  <si>
    <t xml:space="preserve">Idiosyncratic concentration</t>
  </si>
  <si>
    <t xml:space="preserve">Liquidity and Liquidation Cost</t>
  </si>
  <si>
    <t xml:space="preserve">Days</t>
  </si>
  <si>
    <t xml:space="preserve">ADV participation proxy</t>
  </si>
  <si>
    <t xml:space="preserve">Impact loss</t>
  </si>
  <si>
    <t xml:space="preserve">Illiquid?</t>
  </si>
  <si>
    <t xml:space="preserve">Illiquid gross notional</t>
  </si>
  <si>
    <t xml:space="preserve">Illiquid NAV ratio</t>
  </si>
  <si>
    <t xml:space="preserve">Total modeled liquidation loss</t>
  </si>
  <si>
    <t xml:space="preserve">Daily P&amp;L Explain</t>
  </si>
  <si>
    <t xml:space="preserve">Driver</t>
  </si>
  <si>
    <t xml:space="preserve">Move</t>
  </si>
  <si>
    <t xml:space="preserve">First-order P&amp;L</t>
  </si>
  <si>
    <t xml:space="preserve">Convexity / residual</t>
  </si>
  <si>
    <t xml:space="preserve">Explained P&amp;L</t>
  </si>
  <si>
    <t xml:space="preserve">Notes</t>
  </si>
  <si>
    <t xml:space="preserve">delta/beta</t>
  </si>
  <si>
    <t xml:space="preserve">duration</t>
  </si>
  <si>
    <t xml:space="preserve">spread duration</t>
  </si>
  <si>
    <t xml:space="preserve">currency delta</t>
  </si>
  <si>
    <t xml:space="preserve">vega / convexity</t>
  </si>
  <si>
    <t xml:space="preserve">Actual P&amp;L</t>
  </si>
  <si>
    <t xml:space="preserve">Unexplained P&amp;L</t>
  </si>
  <si>
    <t xml:space="preserve">Risk Limit Dashboard</t>
  </si>
  <si>
    <t xml:space="preserve">Limit</t>
  </si>
  <si>
    <t xml:space="preserve">Actual</t>
  </si>
  <si>
    <t xml:space="preserve">Threshold</t>
  </si>
  <si>
    <t xml:space="preserve">Headroom</t>
  </si>
  <si>
    <t xml:space="preserve">Status</t>
  </si>
  <si>
    <t xml:space="preserve">Illiquid NAV</t>
  </si>
  <si>
    <t xml:space="preserve">Single-name concentration</t>
  </si>
  <si>
    <t xml:space="preserve">Gross leverage</t>
  </si>
  <si>
    <t xml:space="preserve">Risk Model Checks</t>
  </si>
  <si>
    <t xml:space="preserve">Check</t>
  </si>
  <si>
    <t xml:space="preserve">Correlation diagonal equals one</t>
  </si>
  <si>
    <t xml:space="preserve">Correlation matrix bounded</t>
  </si>
  <si>
    <t xml:space="preserve">Portfolio variance nonnegative</t>
  </si>
  <si>
    <t xml:space="preserve">VaR and ES positive</t>
  </si>
  <si>
    <t xml:space="preserve">No risk limit breaches</t>
  </si>
  <si>
    <t xml:space="preserve">Liquidity loss nonnegative</t>
  </si>
  <si>
    <t xml:space="preserve">Position inventory populated</t>
  </si>
  <si>
    <t xml:space="preserve">P&amp;L explain complete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</si>
  <si>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</si>
  <si>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</si>
  <si>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</si>
  <si>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</si>
  <si>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</si>
  <si>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</si>
  <si>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Position and market-value feed</t>
  </si>
  <si>
    <t xml:space="preserve">[OMS / risk source]</t>
  </si>
  <si>
    <t xml:space="preserve">[timestamp]</t>
  </si>
  <si>
    <t xml:space="preserve">Reconcile to books and records</t>
  </si>
  <si>
    <t xml:space="preserve">Factor and covariance calibration</t>
  </si>
  <si>
    <t xml:space="preserve">[model dataset URL]</t>
  </si>
  <si>
    <t xml:space="preserve">[window]</t>
  </si>
  <si>
    <t xml:space="preserve">Document decay, winsorization, and regime treatment</t>
  </si>
  <si>
    <t xml:space="preserve">Curve, spread, volatility, and FX data</t>
  </si>
  <si>
    <t xml:space="preserve">[market data URL]</t>
  </si>
  <si>
    <t xml:space="preserve">Record interpolation and stale-data policy</t>
  </si>
  <si>
    <t xml:space="preserve">Liquidity and ADV data</t>
  </si>
  <si>
    <t xml:space="preserve">[venue / vendor source]</t>
  </si>
  <si>
    <t xml:space="preserve">[period]</t>
  </si>
  <si>
    <t xml:space="preserve">Document liquidation horizon and impact calibration</t>
  </si>
  <si>
    <t xml:space="preserve">Risk limit policy</t>
  </si>
  <si>
    <t xml:space="preserve">[approved policy URL]</t>
  </si>
  <si>
    <t xml:space="preserve">[effective date]</t>
  </si>
  <si>
    <t xml:space="preserve">Thresholds, escalation, exceptions, and ownership</t>
  </si>
  <si>
    <t xml:space="preserve">Finance-Segway benchmark fixture risk-adversarial-crowding</t>
  </si>
  <si>
    <t xml:space="preserve">repo://standards/benchmark_cases/risk-adversarial-crowding.json</t>
  </si>
  <si>
    <t xml:space="preserve">Synthetic engineering fixture; not investment evidence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</si>
  <si>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</si>
  <si>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</si>
  <si>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</si>
  <si>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</si>
  <si>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</si>
  <si>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</si>
  <si>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</si>
  <si>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</si>
  <si>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risk-adversarial-crowding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</si>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</sst>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"/>
    <numFmt numFmtId="167" formatCode="0.00%;[RED]\(0.00%\);\-"/>
    <numFmt numFmtId="168" formatCode="\$#,##0.0;[RED]&quot;($&quot;#,##0.0\);\-"/>
    <numFmt numFmtId="169" formatCode="0.0\x;[RED]\(0.0&quot;x)&quot;;\-"/>
    <numFmt numFmtId="170" formatCode="0.00"/>
    <numFmt numFmtId="171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24</v>
      </c>
      <c r="C2" s="2"/>
      <c r="D2" s="2"/>
      <c r="E2" s="2"/>
      <c r="F2" s="2"/>
    </row>
    <row r="4" customFormat="false" ht="15" hidden="false" customHeight="true" outlineLevel="0" collapsed="false">
      <c r="B4" s="10" t="s">
        <v>25</v>
      </c>
      <c r="C4" s="10" t="s">
        <v>26</v>
      </c>
      <c r="D4" s="10" t="s">
        <v>12</v>
      </c>
      <c r="E4" s="10" t="s">
        <v>27</v>
      </c>
      <c r="F4" s="10" t="s">
        <v>28</v>
      </c>
    </row>
    <row r="5" customFormat="false" ht="15" hidden="false" customHeight="true" outlineLevel="0" collapsed="false">
      <c r="B5" s="1" t="s">
        <v>29</v>
      </c>
      <c r="C5" s="11" t="n">
        <v>0.99</v>
      </c>
      <c r="D5" s="11" t="n">
        <v>0.995</v>
      </c>
      <c r="E5" s="12" t="n">
        <f aca="false">IF(Cover!$C$9="Downside",D5,C5)</f>
        <v>0.995</v>
      </c>
      <c r="F5" s="1" t="s">
        <v>30</v>
      </c>
    </row>
    <row r="6" customFormat="false" ht="15" hidden="false" customHeight="true" outlineLevel="0" collapsed="false">
      <c r="B6" s="1" t="s">
        <v>31</v>
      </c>
      <c r="C6" s="13" t="n">
        <v>252</v>
      </c>
      <c r="D6" s="13" t="n">
        <v>252</v>
      </c>
      <c r="E6" s="14" t="n">
        <f aca="false">IF(Cover!$C$9="Downside",D6,C6)</f>
        <v>252</v>
      </c>
      <c r="F6" s="1" t="s">
        <v>32</v>
      </c>
    </row>
    <row r="7" customFormat="false" ht="15" hidden="false" customHeight="true" outlineLevel="0" collapsed="false">
      <c r="B7" s="1" t="s">
        <v>33</v>
      </c>
      <c r="C7" s="11" t="n">
        <v>0.22</v>
      </c>
      <c r="D7" s="15" t="n">
        <v>0.45</v>
      </c>
      <c r="E7" s="12" t="n">
        <f aca="false">IF(Cover!$C$9="Downside",D7,C7)</f>
        <v>0.45</v>
      </c>
      <c r="F7" s="1" t="s">
        <v>30</v>
      </c>
    </row>
    <row r="8" customFormat="false" ht="15" hidden="false" customHeight="true" outlineLevel="0" collapsed="false">
      <c r="B8" s="1" t="s">
        <v>34</v>
      </c>
      <c r="C8" s="16" t="n">
        <v>0.012</v>
      </c>
      <c r="D8" s="16" t="n">
        <v>0.025</v>
      </c>
      <c r="E8" s="17" t="n">
        <f aca="false">IF(Cover!$C$9="Downside",D8,C8)</f>
        <v>0.025</v>
      </c>
      <c r="F8" s="1" t="s">
        <v>35</v>
      </c>
    </row>
    <row r="9" customFormat="false" ht="15" hidden="false" customHeight="true" outlineLevel="0" collapsed="false">
      <c r="B9" s="1" t="s">
        <v>36</v>
      </c>
      <c r="C9" s="16" t="n">
        <v>0.015</v>
      </c>
      <c r="D9" s="16" t="n">
        <v>0.035</v>
      </c>
      <c r="E9" s="17" t="n">
        <f aca="false">IF(Cover!$C$9="Downside",D9,C9)</f>
        <v>0.035</v>
      </c>
      <c r="F9" s="1" t="s">
        <v>37</v>
      </c>
    </row>
    <row r="10" customFormat="false" ht="15" hidden="false" customHeight="true" outlineLevel="0" collapsed="false">
      <c r="B10" s="1" t="s">
        <v>38</v>
      </c>
      <c r="C10" s="11" t="n">
        <v>0.12</v>
      </c>
      <c r="D10" s="11" t="n">
        <v>0.2</v>
      </c>
      <c r="E10" s="12" t="n">
        <f aca="false">IF(Cover!$C$9="Downside",D10,C10)</f>
        <v>0.2</v>
      </c>
      <c r="F10" s="1" t="s">
        <v>30</v>
      </c>
    </row>
    <row r="11" customFormat="false" ht="15" hidden="false" customHeight="true" outlineLevel="0" collapsed="false">
      <c r="B11" s="1" t="s">
        <v>39</v>
      </c>
      <c r="C11" s="11" t="n">
        <v>0.3</v>
      </c>
      <c r="D11" s="11" t="n">
        <v>0.5</v>
      </c>
      <c r="E11" s="12" t="n">
        <f aca="false">IF(Cover!$C$9="Downside",D11,C11)</f>
        <v>0.5</v>
      </c>
      <c r="F11" s="1" t="s">
        <v>30</v>
      </c>
    </row>
    <row r="12" customFormat="false" ht="15" hidden="false" customHeight="true" outlineLevel="0" collapsed="false">
      <c r="B12" s="1" t="s">
        <v>40</v>
      </c>
      <c r="C12" s="18" t="n">
        <v>12</v>
      </c>
      <c r="D12" s="19" t="n">
        <v>8</v>
      </c>
      <c r="E12" s="20" t="n">
        <f aca="false">IF(Cover!$C$9="Downside",D12,C12)</f>
        <v>8</v>
      </c>
      <c r="F12" s="1" t="s">
        <v>41</v>
      </c>
    </row>
    <row r="13" customFormat="false" ht="15" hidden="false" customHeight="true" outlineLevel="0" collapsed="false">
      <c r="B13" s="1" t="s">
        <v>42</v>
      </c>
      <c r="C13" s="18" t="n">
        <v>40</v>
      </c>
      <c r="D13" s="19" t="n">
        <v>22</v>
      </c>
      <c r="E13" s="20" t="n">
        <f aca="false">IF(Cover!$C$9="Downside",D13,C13)</f>
        <v>22</v>
      </c>
      <c r="F13" s="1" t="s">
        <v>41</v>
      </c>
    </row>
    <row r="14" customFormat="false" ht="15" hidden="false" customHeight="true" outlineLevel="0" collapsed="false">
      <c r="B14" s="1" t="s">
        <v>43</v>
      </c>
      <c r="C14" s="11" t="n">
        <v>0.25</v>
      </c>
      <c r="D14" s="11" t="n">
        <v>0.2</v>
      </c>
      <c r="E14" s="12" t="n">
        <f aca="false">IF(Cover!$C$9="Downside",D14,C14)</f>
        <v>0.2</v>
      </c>
      <c r="F14" s="1" t="s">
        <v>30</v>
      </c>
    </row>
    <row r="15" customFormat="false" ht="15" hidden="false" customHeight="true" outlineLevel="0" collapsed="false">
      <c r="B15" s="1" t="s">
        <v>44</v>
      </c>
      <c r="C15" s="11" t="n">
        <v>0.2</v>
      </c>
      <c r="D15" s="11" t="n">
        <v>0.15</v>
      </c>
      <c r="E15" s="12" t="n">
        <f aca="false">IF(Cover!$C$9="Downside",D15,C15)</f>
        <v>0.15</v>
      </c>
      <c r="F15" s="1" t="s">
        <v>30</v>
      </c>
    </row>
    <row r="16" customFormat="false" ht="15" hidden="false" customHeight="true" outlineLevel="0" collapsed="false">
      <c r="B16" s="1" t="s">
        <v>45</v>
      </c>
      <c r="C16" s="21" t="n">
        <v>4</v>
      </c>
      <c r="D16" s="21" t="n">
        <v>3</v>
      </c>
      <c r="E16" s="22" t="n">
        <f aca="false">IF(Cover!$C$9="Downside",D16,C16)</f>
        <v>3</v>
      </c>
      <c r="F16" s="1" t="s">
        <v>46</v>
      </c>
    </row>
    <row r="17" customFormat="false" ht="15" hidden="false" customHeight="true" outlineLevel="0" collapsed="false">
      <c r="B17" s="1" t="s">
        <v>47</v>
      </c>
      <c r="C17" s="16" t="n">
        <v>0.015</v>
      </c>
      <c r="D17" s="16" t="n">
        <v>0.03</v>
      </c>
      <c r="E17" s="17" t="n">
        <f aca="false">IF(Cover!$C$9="Downside",D17,C17)</f>
        <v>0.03</v>
      </c>
      <c r="F17" s="1" t="s">
        <v>48</v>
      </c>
    </row>
    <row r="18" customFormat="false" ht="15" hidden="false" customHeight="true" outlineLevel="0" collapsed="false">
      <c r="B18" s="1" t="s">
        <v>49</v>
      </c>
      <c r="C18" s="18" t="n">
        <v>250</v>
      </c>
      <c r="D18" s="18" t="n">
        <v>250</v>
      </c>
      <c r="E18" s="20" t="n">
        <f aca="false">IF(Cover!$C$9="Downside",D18,C18)</f>
        <v>250</v>
      </c>
      <c r="F18" s="1" t="s">
        <v>41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19" min="4" style="1" width="13"/>
  </cols>
  <sheetData>
    <row r="2" customFormat="false" ht="27.75" hidden="false" customHeight="true" outlineLevel="0" collapsed="false"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23.25" hidden="false" customHeight="true" outlineLevel="0" collapsed="false"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  <c r="H4" s="10" t="s">
        <v>57</v>
      </c>
      <c r="I4" s="10" t="s">
        <v>58</v>
      </c>
      <c r="J4" s="10" t="s">
        <v>59</v>
      </c>
      <c r="K4" s="10" t="s">
        <v>60</v>
      </c>
      <c r="L4" s="10" t="s">
        <v>61</v>
      </c>
      <c r="M4" s="10" t="s">
        <v>62</v>
      </c>
      <c r="N4" s="10" t="s">
        <v>63</v>
      </c>
      <c r="O4" s="10" t="s">
        <v>64</v>
      </c>
      <c r="P4" s="10" t="s">
        <v>65</v>
      </c>
      <c r="Q4" s="10" t="s">
        <v>66</v>
      </c>
      <c r="R4" s="10" t="s">
        <v>67</v>
      </c>
      <c r="S4" s="10" t="s">
        <v>68</v>
      </c>
    </row>
    <row r="5" customFormat="false" ht="15" hidden="false" customHeight="true" outlineLevel="0" collapsed="false">
      <c r="B5" s="1" t="s">
        <v>69</v>
      </c>
      <c r="C5" s="1" t="s">
        <v>63</v>
      </c>
      <c r="D5" s="18" t="n">
        <v>45</v>
      </c>
      <c r="E5" s="18" t="n">
        <v>120</v>
      </c>
      <c r="F5" s="16" t="n">
        <v>1</v>
      </c>
      <c r="G5" s="16" t="n">
        <v>1</v>
      </c>
      <c r="H5" s="23" t="n">
        <v>0</v>
      </c>
      <c r="I5" s="23" t="n">
        <v>0</v>
      </c>
      <c r="J5" s="18" t="n">
        <v>0</v>
      </c>
      <c r="K5" s="18" t="n">
        <v>0</v>
      </c>
      <c r="L5" s="18" t="n">
        <v>0</v>
      </c>
      <c r="M5" s="23" t="n">
        <v>0.2</v>
      </c>
      <c r="N5" s="16" t="n">
        <v>1</v>
      </c>
      <c r="O5" s="16" t="n">
        <v>0</v>
      </c>
      <c r="P5" s="16" t="n">
        <v>0</v>
      </c>
      <c r="Q5" s="16" t="n">
        <v>0</v>
      </c>
      <c r="R5" s="16" t="n">
        <v>0</v>
      </c>
      <c r="S5" s="20" t="n">
        <f aca="false">SUMPRODUCT(C5:Q5,C5:Q5)^0.5</f>
        <v>128.171915800615</v>
      </c>
    </row>
    <row r="6" customFormat="false" ht="15" hidden="false" customHeight="true" outlineLevel="0" collapsed="false">
      <c r="B6" s="1" t="s">
        <v>70</v>
      </c>
      <c r="C6" s="1" t="s">
        <v>63</v>
      </c>
      <c r="D6" s="18" t="n">
        <v>35</v>
      </c>
      <c r="E6" s="19" t="n">
        <v>90</v>
      </c>
      <c r="F6" s="16" t="n">
        <v>1</v>
      </c>
      <c r="G6" s="16" t="n">
        <v>1.2</v>
      </c>
      <c r="H6" s="23" t="n">
        <v>0</v>
      </c>
      <c r="I6" s="23" t="n">
        <v>0</v>
      </c>
      <c r="J6" s="18" t="n">
        <v>0</v>
      </c>
      <c r="K6" s="18" t="n">
        <v>0</v>
      </c>
      <c r="L6" s="18" t="n">
        <v>0</v>
      </c>
      <c r="M6" s="23" t="n">
        <v>1</v>
      </c>
      <c r="N6" s="16" t="n">
        <v>1.2</v>
      </c>
      <c r="O6" s="16" t="n">
        <v>0</v>
      </c>
      <c r="P6" s="16" t="n">
        <v>0.1</v>
      </c>
      <c r="Q6" s="16" t="n">
        <v>0</v>
      </c>
      <c r="R6" s="16" t="n">
        <v>0.1</v>
      </c>
      <c r="S6" s="20" t="n">
        <f aca="false">SUMPRODUCT(C6:Q6,C6:Q6)^0.5</f>
        <v>96.5913557208925</v>
      </c>
    </row>
    <row r="7" customFormat="false" ht="15" hidden="false" customHeight="true" outlineLevel="0" collapsed="false">
      <c r="B7" s="1" t="s">
        <v>71</v>
      </c>
      <c r="C7" s="1" t="s">
        <v>72</v>
      </c>
      <c r="D7" s="18" t="n">
        <v>8</v>
      </c>
      <c r="E7" s="18" t="n">
        <v>25</v>
      </c>
      <c r="F7" s="16" t="n">
        <v>-0.35</v>
      </c>
      <c r="G7" s="16" t="n">
        <v>-0.4</v>
      </c>
      <c r="H7" s="23" t="n">
        <v>0</v>
      </c>
      <c r="I7" s="23" t="n">
        <v>0</v>
      </c>
      <c r="J7" s="18" t="n">
        <v>0</v>
      </c>
      <c r="K7" s="18" t="n">
        <v>0.18</v>
      </c>
      <c r="L7" s="18" t="n">
        <v>0</v>
      </c>
      <c r="M7" s="23" t="n">
        <v>1.5</v>
      </c>
      <c r="N7" s="16" t="n">
        <v>-0.4</v>
      </c>
      <c r="O7" s="16" t="n">
        <v>0</v>
      </c>
      <c r="P7" s="16" t="n">
        <v>0</v>
      </c>
      <c r="Q7" s="16" t="n">
        <v>0</v>
      </c>
      <c r="R7" s="16" t="n">
        <v>0.8</v>
      </c>
      <c r="S7" s="20" t="n">
        <f aca="false">SUMPRODUCT(C7:Q7,C7:Q7)^0.5</f>
        <v>26.3006634897297</v>
      </c>
    </row>
    <row r="8" customFormat="false" ht="15" hidden="false" customHeight="true" outlineLevel="0" collapsed="false">
      <c r="B8" s="1" t="s">
        <v>73</v>
      </c>
      <c r="C8" s="1" t="s">
        <v>64</v>
      </c>
      <c r="D8" s="18" t="n">
        <v>50</v>
      </c>
      <c r="E8" s="18" t="n">
        <v>50</v>
      </c>
      <c r="F8" s="16" t="n">
        <v>1</v>
      </c>
      <c r="G8" s="16" t="n">
        <v>0</v>
      </c>
      <c r="H8" s="23" t="n">
        <v>8.2</v>
      </c>
      <c r="I8" s="23" t="n">
        <v>0</v>
      </c>
      <c r="J8" s="18" t="n">
        <v>0.041</v>
      </c>
      <c r="K8" s="18" t="n">
        <v>0</v>
      </c>
      <c r="L8" s="18" t="n">
        <v>0</v>
      </c>
      <c r="M8" s="23" t="n">
        <v>0.5</v>
      </c>
      <c r="N8" s="16" t="n">
        <v>0</v>
      </c>
      <c r="O8" s="16" t="n">
        <v>-8.2</v>
      </c>
      <c r="P8" s="16" t="n">
        <v>0</v>
      </c>
      <c r="Q8" s="16" t="n">
        <v>0</v>
      </c>
      <c r="R8" s="16" t="n">
        <v>0</v>
      </c>
      <c r="S8" s="20" t="n">
        <f aca="false">SUMPRODUCT(C8:Q8,C8:Q8)^0.5</f>
        <v>71.6640194309529</v>
      </c>
    </row>
    <row r="9" customFormat="false" ht="15" hidden="false" customHeight="true" outlineLevel="0" collapsed="false">
      <c r="B9" s="1" t="s">
        <v>74</v>
      </c>
      <c r="C9" s="1" t="s">
        <v>65</v>
      </c>
      <c r="D9" s="18" t="n">
        <v>32</v>
      </c>
      <c r="E9" s="18" t="n">
        <v>50</v>
      </c>
      <c r="F9" s="16" t="n">
        <v>1</v>
      </c>
      <c r="G9" s="16" t="n">
        <v>0.35</v>
      </c>
      <c r="H9" s="23" t="n">
        <v>5.5</v>
      </c>
      <c r="I9" s="23" t="n">
        <v>5</v>
      </c>
      <c r="J9" s="18" t="n">
        <v>0.018</v>
      </c>
      <c r="K9" s="18" t="n">
        <v>0</v>
      </c>
      <c r="L9" s="18" t="n">
        <v>0</v>
      </c>
      <c r="M9" s="23" t="n">
        <v>1</v>
      </c>
      <c r="N9" s="16" t="n">
        <v>0.35</v>
      </c>
      <c r="O9" s="16" t="n">
        <v>-2</v>
      </c>
      <c r="P9" s="16" t="n">
        <v>-5</v>
      </c>
      <c r="Q9" s="16" t="n">
        <v>0</v>
      </c>
      <c r="R9" s="16" t="n">
        <v>0</v>
      </c>
      <c r="S9" s="20" t="n">
        <f aca="false">SUMPRODUCT(C9:Q9,C9:Q9)^0.5</f>
        <v>60.0873973808152</v>
      </c>
    </row>
    <row r="10" customFormat="false" ht="15" hidden="false" customHeight="true" outlineLevel="0" collapsed="false">
      <c r="B10" s="1" t="s">
        <v>75</v>
      </c>
      <c r="C10" s="1" t="s">
        <v>65</v>
      </c>
      <c r="D10" s="18" t="n">
        <v>28</v>
      </c>
      <c r="E10" s="18" t="n">
        <v>40</v>
      </c>
      <c r="F10" s="16" t="n">
        <v>1</v>
      </c>
      <c r="G10" s="16" t="n">
        <v>0.55</v>
      </c>
      <c r="H10" s="23" t="n">
        <v>4</v>
      </c>
      <c r="I10" s="23" t="n">
        <v>3.8</v>
      </c>
      <c r="J10" s="18" t="n">
        <v>0.011</v>
      </c>
      <c r="K10" s="18" t="n">
        <v>0</v>
      </c>
      <c r="L10" s="18" t="n">
        <v>0</v>
      </c>
      <c r="M10" s="23" t="n">
        <v>4</v>
      </c>
      <c r="N10" s="16" t="n">
        <v>0.55</v>
      </c>
      <c r="O10" s="16" t="n">
        <v>-1</v>
      </c>
      <c r="P10" s="16" t="n">
        <v>-3.8</v>
      </c>
      <c r="Q10" s="16" t="n">
        <v>0</v>
      </c>
      <c r="R10" s="16" t="n">
        <v>0</v>
      </c>
      <c r="S10" s="20" t="n">
        <f aca="false">SUMPRODUCT(C10:Q10,C10:Q10)^0.5</f>
        <v>49.4720640462878</v>
      </c>
    </row>
    <row r="11" customFormat="false" ht="15" hidden="false" customHeight="true" outlineLevel="0" collapsed="false">
      <c r="B11" s="1" t="s">
        <v>76</v>
      </c>
      <c r="C11" s="1" t="s">
        <v>66</v>
      </c>
      <c r="D11" s="18" t="n">
        <v>5</v>
      </c>
      <c r="E11" s="18" t="n">
        <v>80</v>
      </c>
      <c r="F11" s="16" t="n">
        <v>1</v>
      </c>
      <c r="G11" s="16" t="n">
        <v>0</v>
      </c>
      <c r="H11" s="23" t="n">
        <v>0</v>
      </c>
      <c r="I11" s="23" t="n">
        <v>0</v>
      </c>
      <c r="J11" s="18" t="n">
        <v>0</v>
      </c>
      <c r="K11" s="18" t="n">
        <v>0</v>
      </c>
      <c r="L11" s="18" t="n">
        <v>80</v>
      </c>
      <c r="M11" s="23" t="n">
        <v>0.3</v>
      </c>
      <c r="N11" s="16" t="n">
        <v>0</v>
      </c>
      <c r="O11" s="16" t="n">
        <v>0</v>
      </c>
      <c r="P11" s="16" t="n">
        <v>0</v>
      </c>
      <c r="Q11" s="16" t="n">
        <v>1</v>
      </c>
      <c r="R11" s="16" t="n">
        <v>0</v>
      </c>
      <c r="S11" s="20" t="n">
        <f aca="false">SUMPRODUCT(C11:Q11,C11:Q11)^0.5</f>
        <v>113.256743728575</v>
      </c>
    </row>
    <row r="12" customFormat="false" ht="15" hidden="false" customHeight="true" outlineLevel="0" collapsed="false">
      <c r="B12" s="1" t="s">
        <v>77</v>
      </c>
      <c r="C12" s="1" t="s">
        <v>78</v>
      </c>
      <c r="D12" s="18" t="n">
        <v>20</v>
      </c>
      <c r="E12" s="18" t="n">
        <v>65</v>
      </c>
      <c r="F12" s="16" t="n">
        <v>1</v>
      </c>
      <c r="G12" s="16" t="n">
        <v>0.25</v>
      </c>
      <c r="H12" s="23" t="n">
        <v>0</v>
      </c>
      <c r="I12" s="23" t="n">
        <v>0</v>
      </c>
      <c r="J12" s="18" t="n">
        <v>0</v>
      </c>
      <c r="K12" s="18" t="n">
        <v>0</v>
      </c>
      <c r="L12" s="18" t="n">
        <v>0</v>
      </c>
      <c r="M12" s="23" t="n">
        <v>0.5</v>
      </c>
      <c r="N12" s="16" t="n">
        <v>0.25</v>
      </c>
      <c r="O12" s="16" t="n">
        <v>0</v>
      </c>
      <c r="P12" s="16" t="n">
        <v>0.2</v>
      </c>
      <c r="Q12" s="16" t="n">
        <v>0.1</v>
      </c>
      <c r="R12" s="16" t="n">
        <v>0.1</v>
      </c>
      <c r="S12" s="20" t="n">
        <f aca="false">SUMPRODUCT(C12:Q12,C12:Q12)^0.5</f>
        <v>68.017828545169</v>
      </c>
    </row>
    <row r="13" customFormat="false" ht="15" hidden="false" customHeight="true" outlineLevel="0" collapsed="false">
      <c r="B13" s="1" t="s">
        <v>79</v>
      </c>
      <c r="C13" s="1" t="s">
        <v>67</v>
      </c>
      <c r="D13" s="18" t="n">
        <v>6</v>
      </c>
      <c r="E13" s="18" t="n">
        <v>30</v>
      </c>
      <c r="F13" s="16" t="n">
        <v>0</v>
      </c>
      <c r="G13" s="16" t="n">
        <v>0</v>
      </c>
      <c r="H13" s="23" t="n">
        <v>0</v>
      </c>
      <c r="I13" s="23" t="n">
        <v>0</v>
      </c>
      <c r="J13" s="18" t="n">
        <v>0</v>
      </c>
      <c r="K13" s="18" t="n">
        <v>0.45</v>
      </c>
      <c r="L13" s="18" t="n">
        <v>0</v>
      </c>
      <c r="M13" s="23" t="n">
        <v>2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1</v>
      </c>
      <c r="S13" s="20" t="n">
        <f aca="false">SUMPRODUCT(C13:Q13,C13:Q13)^0.5</f>
        <v>30.6627216665449</v>
      </c>
    </row>
    <row r="14" customFormat="false" ht="15" hidden="false" customHeight="true" outlineLevel="0" collapsed="false">
      <c r="B14" s="1" t="s">
        <v>80</v>
      </c>
      <c r="C14" s="1" t="s">
        <v>81</v>
      </c>
      <c r="D14" s="18" t="n">
        <v>40</v>
      </c>
      <c r="E14" s="18" t="n">
        <v>40</v>
      </c>
      <c r="F14" s="16" t="n">
        <v>1</v>
      </c>
      <c r="G14" s="16" t="n">
        <v>0.2</v>
      </c>
      <c r="H14" s="23" t="n">
        <v>2</v>
      </c>
      <c r="I14" s="23" t="n">
        <v>2.5</v>
      </c>
      <c r="J14" s="18" t="n">
        <v>0.008</v>
      </c>
      <c r="K14" s="18" t="n">
        <v>0</v>
      </c>
      <c r="L14" s="18" t="n">
        <v>0</v>
      </c>
      <c r="M14" s="24" t="n">
        <v>35</v>
      </c>
      <c r="N14" s="16" t="n">
        <v>0.2</v>
      </c>
      <c r="O14" s="16" t="n">
        <v>-0.5</v>
      </c>
      <c r="P14" s="16" t="n">
        <v>-2.5</v>
      </c>
      <c r="Q14" s="16" t="n">
        <v>0</v>
      </c>
      <c r="R14" s="16" t="n">
        <v>0</v>
      </c>
      <c r="S14" s="20" t="n">
        <f aca="false">SUMPRODUCT(C14:Q14,C14:Q14)^0.5</f>
        <v>66.6545577136328</v>
      </c>
    </row>
    <row r="15" customFormat="false" ht="15" hidden="false" customHeight="true" outlineLevel="0" collapsed="false">
      <c r="B15" s="1" t="s">
        <v>82</v>
      </c>
      <c r="C15" s="1" t="s">
        <v>82</v>
      </c>
      <c r="D15" s="18" t="n">
        <v>25</v>
      </c>
      <c r="E15" s="18" t="n">
        <v>25</v>
      </c>
      <c r="F15" s="16" t="n">
        <v>1</v>
      </c>
      <c r="G15" s="16" t="n">
        <v>0</v>
      </c>
      <c r="H15" s="23" t="n">
        <v>0</v>
      </c>
      <c r="I15" s="23" t="n">
        <v>0</v>
      </c>
      <c r="J15" s="18" t="n">
        <v>0</v>
      </c>
      <c r="K15" s="18" t="n">
        <v>0</v>
      </c>
      <c r="L15" s="18" t="n">
        <v>0</v>
      </c>
      <c r="M15" s="23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20" t="n">
        <f aca="false">SUMPRODUCT(C15:Q15,C15:Q15)^0.5</f>
        <v>35.3694783676548</v>
      </c>
    </row>
    <row r="16" customFormat="false" ht="15" hidden="false" customHeight="true" outlineLevel="0" collapsed="false">
      <c r="B16" s="1" t="s">
        <v>83</v>
      </c>
      <c r="C16" s="1" t="s">
        <v>63</v>
      </c>
      <c r="D16" s="18" t="n">
        <v>-18</v>
      </c>
      <c r="E16" s="18" t="n">
        <v>60</v>
      </c>
      <c r="F16" s="16" t="n">
        <v>-1</v>
      </c>
      <c r="G16" s="16" t="n">
        <v>-0.9</v>
      </c>
      <c r="H16" s="23" t="n">
        <v>0</v>
      </c>
      <c r="I16" s="23" t="n">
        <v>0</v>
      </c>
      <c r="J16" s="18" t="n">
        <v>0</v>
      </c>
      <c r="K16" s="18" t="n">
        <v>0</v>
      </c>
      <c r="L16" s="18" t="n">
        <v>0</v>
      </c>
      <c r="M16" s="23" t="n">
        <v>0.5</v>
      </c>
      <c r="N16" s="16" t="n">
        <v>-0.9</v>
      </c>
      <c r="O16" s="16" t="n">
        <v>0</v>
      </c>
      <c r="P16" s="16" t="n">
        <v>-0.1</v>
      </c>
      <c r="Q16" s="16" t="n">
        <v>0</v>
      </c>
      <c r="R16" s="16" t="n">
        <v>0</v>
      </c>
      <c r="S16" s="20" t="n">
        <f aca="false">SUMPRODUCT(C16:Q16,C16:Q16)^0.5</f>
        <v>62.6648226679052</v>
      </c>
    </row>
    <row r="18" customFormat="false" ht="15" hidden="false" customHeight="true" outlineLevel="0" collapsed="false">
      <c r="B18" s="25" t="s">
        <v>84</v>
      </c>
      <c r="C18" s="25"/>
      <c r="D18" s="26" t="n">
        <f aca="false">SUM(D5:D16)</f>
        <v>276</v>
      </c>
      <c r="E18" s="26" t="n">
        <f aca="false">SUM(E5:E16)</f>
        <v>675</v>
      </c>
      <c r="F18" s="25"/>
      <c r="G18" s="25"/>
      <c r="H18" s="25"/>
      <c r="I18" s="25"/>
      <c r="J18" s="26" t="n">
        <f aca="false">SUM(J5:J16)</f>
        <v>0.078</v>
      </c>
      <c r="K18" s="26" t="n">
        <f aca="false">SUM(K5:K16)</f>
        <v>0.63</v>
      </c>
      <c r="L18" s="26" t="n">
        <f aca="false">SUM(L5:L16)</f>
        <v>80</v>
      </c>
      <c r="M18" s="25"/>
      <c r="N18" s="25"/>
      <c r="O18" s="25"/>
      <c r="P18" s="25"/>
      <c r="Q18" s="25"/>
      <c r="R18" s="25"/>
      <c r="S18" s="26" t="n">
        <f aca="false">SUM(S5:S16)</f>
        <v>808.913568558774</v>
      </c>
    </row>
  </sheetData>
  <mergeCells count="1">
    <mergeCell ref="B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9" min="5" style="1" width="12"/>
  </cols>
  <sheetData>
    <row r="2" customFormat="false" ht="27.75" hidden="false" customHeight="true" outlineLevel="0" collapsed="false">
      <c r="B2" s="2" t="s">
        <v>85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86</v>
      </c>
      <c r="C4" s="10" t="s">
        <v>87</v>
      </c>
      <c r="D4" s="10" t="s">
        <v>88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</row>
    <row r="5" customFormat="false" ht="15" hidden="false" customHeight="true" outlineLevel="0" collapsed="false">
      <c r="B5" s="1" t="s">
        <v>63</v>
      </c>
      <c r="C5" s="20" t="n">
        <f aca="false">SUMPRODUCT(Positions!$D$5:$D$16,Positions!$N$5:$N$16)</f>
        <v>139.6</v>
      </c>
      <c r="D5" s="17" t="n">
        <f aca="false">Assumptions!E7</f>
        <v>0.45</v>
      </c>
      <c r="E5" s="23" t="n">
        <v>1</v>
      </c>
      <c r="F5" s="23" t="n">
        <v>-0.2</v>
      </c>
      <c r="G5" s="23" t="n">
        <v>0.35</v>
      </c>
      <c r="H5" s="23" t="n">
        <v>0.1</v>
      </c>
      <c r="I5" s="23" t="n">
        <v>0.45</v>
      </c>
    </row>
    <row r="6" customFormat="false" ht="15" hidden="false" customHeight="true" outlineLevel="0" collapsed="false">
      <c r="B6" s="1" t="s">
        <v>64</v>
      </c>
      <c r="C6" s="20" t="n">
        <f aca="false">SUMPRODUCT(Positions!$D$5:$D$16,Positions!$O$5:$O$16)</f>
        <v>-522</v>
      </c>
      <c r="D6" s="17" t="n">
        <f aca="false">Assumptions!E8</f>
        <v>0.025</v>
      </c>
      <c r="E6" s="23" t="n">
        <v>-0.2</v>
      </c>
      <c r="F6" s="23" t="n">
        <v>1</v>
      </c>
      <c r="G6" s="23" t="n">
        <v>-0.25</v>
      </c>
      <c r="H6" s="23" t="n">
        <v>0.05</v>
      </c>
      <c r="I6" s="23" t="n">
        <v>-0.1</v>
      </c>
    </row>
    <row r="7" customFormat="false" ht="15" hidden="false" customHeight="true" outlineLevel="0" collapsed="false">
      <c r="B7" s="1" t="s">
        <v>65</v>
      </c>
      <c r="C7" s="20" t="n">
        <f aca="false">SUMPRODUCT(Positions!$D$5:$D$16,Positions!$P$5:$P$16)</f>
        <v>-357.1</v>
      </c>
      <c r="D7" s="17" t="n">
        <f aca="false">Assumptions!E9</f>
        <v>0.035</v>
      </c>
      <c r="E7" s="23" t="n">
        <v>0.35</v>
      </c>
      <c r="F7" s="23" t="n">
        <v>-0.25</v>
      </c>
      <c r="G7" s="23" t="n">
        <v>1</v>
      </c>
      <c r="H7" s="23" t="n">
        <v>0.1</v>
      </c>
      <c r="I7" s="23" t="n">
        <v>0.3</v>
      </c>
    </row>
    <row r="8" customFormat="false" ht="15" hidden="false" customHeight="true" outlineLevel="0" collapsed="false">
      <c r="B8" s="1" t="s">
        <v>66</v>
      </c>
      <c r="C8" s="20" t="n">
        <f aca="false">SUMPRODUCT(Positions!$D$5:$D$16,Positions!$Q$5:$Q$16)</f>
        <v>7</v>
      </c>
      <c r="D8" s="17" t="n">
        <f aca="false">Assumptions!E10</f>
        <v>0.2</v>
      </c>
      <c r="E8" s="23" t="n">
        <v>0.1</v>
      </c>
      <c r="F8" s="23" t="n">
        <v>0.05</v>
      </c>
      <c r="G8" s="23" t="n">
        <v>0.1</v>
      </c>
      <c r="H8" s="23" t="n">
        <v>1</v>
      </c>
      <c r="I8" s="23" t="n">
        <v>0.1</v>
      </c>
    </row>
    <row r="9" customFormat="false" ht="15" hidden="false" customHeight="true" outlineLevel="0" collapsed="false">
      <c r="B9" s="1" t="s">
        <v>67</v>
      </c>
      <c r="C9" s="20" t="n">
        <f aca="false">SUMPRODUCT(Positions!$D$5:$D$16,Positions!$R$5:$R$16)</f>
        <v>17.9</v>
      </c>
      <c r="D9" s="17" t="n">
        <f aca="false">Assumptions!E11</f>
        <v>0.5</v>
      </c>
      <c r="E9" s="23" t="n">
        <v>0.45</v>
      </c>
      <c r="F9" s="23" t="n">
        <v>-0.1</v>
      </c>
      <c r="G9" s="23" t="n">
        <v>0.3</v>
      </c>
      <c r="H9" s="23" t="n">
        <v>0.1</v>
      </c>
      <c r="I9" s="23" t="n">
        <v>1</v>
      </c>
    </row>
    <row r="12" customFormat="false" ht="15" hidden="false" customHeight="true" outlineLevel="0" collapsed="false">
      <c r="B12" s="1" t="s">
        <v>89</v>
      </c>
      <c r="C12" s="20" t="n">
        <f aca="false">$C$5*$C$5*$D$5*$D$5*E5+$C$5*$C$6*$D$5*$D$6*F5+$C$5*$C$7*$D$5*$D$7*G5+$C$5*$C$8*$D$5*$D$8*H5+$C$5*$C$9*$D$5*$D$9*I5+$C$6*$C$5*$D$6*$D$5*E6+$C$6*$C$6*$D$6*$D$6*F6+$C$6*$C$7*$D$6*$D$7*G6+$C$6*$C$8*$D$6*$D$8*H6+$C$6*$C$9*$D$6*$D$9*I6+$C$7*$C$5*$D$7*$D$5*E7+$C$7*$C$6*$D$7*$D$6*F7+$C$7*$C$7*$D$7*$D$7*G7+$C$7*$C$8*$D$7*$D$8*H7+$C$7*$C$9*$D$7*$D$9*I7+$C$8*$C$5*$D$8*$D$5*E8+$C$8*$C$6*$D$8*$D$6*F8+$C$8*$C$7*$D$8*$D$7*G8+$C$8*$C$8*$D$8*$D$8*H8+$C$8*$C$9*$D$8*$D$9*I8+$C$9*$C$5*$D$9*$D$5*E9+$C$9*$C$6*$D$9*$D$6*F9+$C$9*$C$7*$D$9*$D$7*G9+$C$9*$C$8*$D$9*$D$8*H9+$C$9*$C$9*$D$9*$D$9*I9</f>
        <v>4528.71522575</v>
      </c>
    </row>
    <row r="13" customFormat="false" ht="15" hidden="false" customHeight="true" outlineLevel="0" collapsed="false">
      <c r="B13" s="1" t="s">
        <v>90</v>
      </c>
      <c r="C13" s="20" t="n">
        <f aca="false">SQRT(MAX(0,C12))</f>
        <v>67.2957296249175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91</v>
      </c>
      <c r="C2" s="2"/>
      <c r="D2" s="2"/>
      <c r="E2" s="2"/>
    </row>
    <row r="4" customFormat="false" ht="15" hidden="false" customHeight="true" outlineLevel="0" collapsed="false">
      <c r="B4" s="10" t="s">
        <v>92</v>
      </c>
      <c r="C4" s="10" t="s">
        <v>93</v>
      </c>
      <c r="D4" s="10" t="s">
        <v>94</v>
      </c>
      <c r="E4" s="10" t="s">
        <v>95</v>
      </c>
    </row>
    <row r="5" customFormat="false" ht="15" hidden="false" customHeight="true" outlineLevel="0" collapsed="false">
      <c r="B5" s="1" t="s">
        <v>90</v>
      </c>
      <c r="C5" s="20" t="n">
        <f aca="false">Factors!C13</f>
        <v>67.2957296249175</v>
      </c>
      <c r="D5" s="1" t="s">
        <v>41</v>
      </c>
      <c r="E5" s="1" t="s">
        <v>96</v>
      </c>
    </row>
    <row r="6" customFormat="false" ht="15" hidden="false" customHeight="true" outlineLevel="0" collapsed="false">
      <c r="B6" s="1" t="s">
        <v>97</v>
      </c>
      <c r="C6" s="20" t="n">
        <f aca="false">C5/SQRT(Assumptions!E6)</f>
        <v>4.23923249724223</v>
      </c>
      <c r="D6" s="1" t="s">
        <v>41</v>
      </c>
      <c r="E6" s="1" t="s">
        <v>98</v>
      </c>
    </row>
    <row r="7" customFormat="false" ht="15" hidden="false" customHeight="true" outlineLevel="0" collapsed="false">
      <c r="B7" s="1" t="s">
        <v>99</v>
      </c>
      <c r="C7" s="27" t="n">
        <f aca="false">-NORMSINV(1-Assumptions!E5)</f>
        <v>2.5758293035489</v>
      </c>
      <c r="D7" s="1" t="s">
        <v>100</v>
      </c>
      <c r="E7" s="1" t="s">
        <v>101</v>
      </c>
    </row>
    <row r="8" customFormat="false" ht="15" hidden="false" customHeight="true" outlineLevel="0" collapsed="false">
      <c r="B8" s="1" t="s">
        <v>102</v>
      </c>
      <c r="C8" s="20" t="n">
        <f aca="false">C6*C7</f>
        <v>10.9195392909533</v>
      </c>
      <c r="D8" s="1" t="s">
        <v>41</v>
      </c>
      <c r="E8" s="1" t="s">
        <v>103</v>
      </c>
    </row>
    <row r="9" customFormat="false" ht="15" hidden="false" customHeight="true" outlineLevel="0" collapsed="false">
      <c r="B9" s="1" t="s">
        <v>104</v>
      </c>
      <c r="C9" s="20" t="n">
        <f aca="false">C6*(EXP(-((C7)^2)/2)/SQRT(2*PI()))/(1-Assumptions!E5)</f>
        <v>12.259642508296</v>
      </c>
      <c r="D9" s="1" t="s">
        <v>41</v>
      </c>
      <c r="E9" s="1" t="s">
        <v>105</v>
      </c>
    </row>
    <row r="10" customFormat="false" ht="15" hidden="false" customHeight="true" outlineLevel="0" collapsed="false">
      <c r="B10" s="1" t="s">
        <v>106</v>
      </c>
      <c r="C10" s="17" t="n">
        <f aca="false">C8/Assumptions!E18</f>
        <v>0.0436781571638133</v>
      </c>
      <c r="D10" s="1" t="s">
        <v>30</v>
      </c>
      <c r="E10" s="1" t="s">
        <v>107</v>
      </c>
    </row>
    <row r="11" customFormat="false" ht="15" hidden="false" customHeight="true" outlineLevel="0" collapsed="false">
      <c r="B11" s="1" t="s">
        <v>108</v>
      </c>
      <c r="C11" s="17" t="n">
        <f aca="false">1-C5/SUMPRODUCT(ABS(Factors!C5:C9),Factors!D5:D9)</f>
        <v>0.318306805462831</v>
      </c>
      <c r="D11" s="1" t="s">
        <v>30</v>
      </c>
      <c r="E11" s="1" t="s">
        <v>109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0" min="10" style="1" width="18"/>
  </cols>
  <sheetData>
    <row r="2" customFormat="false" ht="27.75" hidden="false" customHeight="true" outlineLevel="0" collapsed="false">
      <c r="B2" s="2" t="s">
        <v>110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0" t="s">
        <v>51</v>
      </c>
      <c r="C4" s="10" t="s">
        <v>54</v>
      </c>
      <c r="D4" s="10" t="s">
        <v>111</v>
      </c>
      <c r="E4" s="10" t="s">
        <v>112</v>
      </c>
      <c r="F4" s="10" t="s">
        <v>113</v>
      </c>
      <c r="G4" s="10" t="s">
        <v>114</v>
      </c>
      <c r="H4" s="10" t="s">
        <v>115</v>
      </c>
      <c r="I4" s="10" t="s">
        <v>116</v>
      </c>
      <c r="J4" s="10" t="s">
        <v>117</v>
      </c>
    </row>
    <row r="5" customFormat="false" ht="15" hidden="false" customHeight="true" outlineLevel="0" collapsed="false">
      <c r="B5" s="1" t="str">
        <f aca="false">Positions!B5</f>
        <v>Equity Index Future</v>
      </c>
      <c r="C5" s="20" t="n">
        <f aca="false">ABS(Positions!E5)</f>
        <v>120</v>
      </c>
      <c r="D5" s="20" t="n">
        <f aca="false">'VaR &amp; ES'!$C$7*SQRT(MAX(0,((Positions!$E$5*Positions!$N$5)*(Positions!$E$5*Positions!$N$5)*Factors!$D$5*Factors!$D$5*Factors!$E$5+(Positions!$E$5*Positions!$N$5)*(Positions!$E$5*Positions!$O$5)*Factors!$D$5*Factors!$D$6*Factors!$F$5+(Positions!$E$5*Positions!$N$5)*(Positions!$E$5*Positions!$P$5)*Factors!$D$5*Factors!$D$7*Factors!$G$5+(Positions!$E$5*Positions!$N$5)*(Positions!$E$5*Positions!$Q$5)*Factors!$D$5*Factors!$D$8*Factors!$H$5+(Positions!$E$5*Positions!$N$5)*(Positions!$E$5*Positions!$R$5)*Factors!$D$5*Factors!$D$9*Factors!$I$5+(Positions!$E$5*Positions!$O$5)*(Positions!$E$5*Positions!$N$5)*Factors!$D$6*Factors!$D$5*Factors!$E$6+(Positions!$E$5*Positions!$O$5)*(Positions!$E$5*Positions!$O$5)*Factors!$D$6*Factors!$D$6*Factors!$F$6+(Positions!$E$5*Positions!$O$5)*(Positions!$E$5*Positions!$P$5)*Factors!$D$6*Factors!$D$7*Factors!$G$6+(Positions!$E$5*Positions!$O$5)*(Positions!$E$5*Positions!$Q$5)*Factors!$D$6*Factors!$D$8*Factors!$H$6+(Positions!$E$5*Positions!$O$5)*(Positions!$E$5*Positions!$R$5)*Factors!$D$6*Factors!$D$9*Factors!$I$6+(Positions!$E$5*Positions!$P$5)*(Positions!$E$5*Positions!$N$5)*Factors!$D$7*Factors!$D$5*Factors!$E$7+(Positions!$E$5*Positions!$P$5)*(Positions!$E$5*Positions!$O$5)*Factors!$D$7*Factors!$D$6*Factors!$F$7+(Positions!$E$5*Positions!$P$5)*(Positions!$E$5*Positions!$P$5)*Factors!$D$7*Factors!$D$7*Factors!$G$7+(Positions!$E$5*Positions!$P$5)*(Positions!$E$5*Positions!$Q$5)*Factors!$D$7*Factors!$D$8*Factors!$H$7+(Positions!$E$5*Positions!$P$5)*(Positions!$E$5*Positions!$R$5)*Factors!$D$7*Factors!$D$9*Factors!$I$7+(Positions!$E$5*Positions!$Q$5)*(Positions!$E$5*Positions!$N$5)*Factors!$D$8*Factors!$D$5*Factors!$E$8+(Positions!$E$5*Positions!$Q$5)*(Positions!$E$5*Positions!$O$5)*Factors!$D$8*Factors!$D$6*Factors!$F$8+(Positions!$E$5*Positions!$Q$5)*(Positions!$E$5*Positions!$P$5)*Factors!$D$8*Factors!$D$7*Factors!$G$8+(Positions!$E$5*Positions!$Q$5)*(Positions!$E$5*Positions!$Q$5)*Factors!$D$8*Factors!$D$8*Factors!$H$8+(Positions!$E$5*Positions!$Q$5)*(Positions!$E$5*Positions!$R$5)*Factors!$D$8*Factors!$D$9*Factors!$I$8+(Positions!$E$5*Positions!$R$5)*(Positions!$E$5*Positions!$N$5)*Factors!$D$9*Factors!$D$5*Factors!$E$9+(Positions!$E$5*Positions!$R$5)*(Positions!$E$5*Positions!$O$5)*Factors!$D$9*Factors!$D$6*Factors!$F$9+(Positions!$E$5*Positions!$R$5)*(Positions!$E$5*Positions!$P$5)*Factors!$D$9*Factors!$D$7*Factors!$G$9+(Positions!$E$5*Positions!$R$5)*(Positions!$E$5*Positions!$Q$5)*Factors!$D$9*Factors!$D$8*Factors!$H$9+(Positions!$E$5*Positions!$R$5)*(Positions!$E$5*Positions!$R$5)*Factors!$D$9*Factors!$D$9*Factors!$I$9)/Assumptions!$E$6))</f>
        <v>8.76214768749826</v>
      </c>
      <c r="E5" s="20" t="n">
        <f aca="false">IFERROR('VaR &amp; ES'!$C$7*((Positions!$E$5*Positions!$N$5)*Factors!$D$5*Factors!$C$5*Factors!$D$5*Factors!$E$5+(Positions!$E$5*Positions!$N$5)*Factors!$D$5*Factors!$C$6*Factors!$D$6*Factors!$F$5+(Positions!$E$5*Positions!$N$5)*Factors!$D$5*Factors!$C$7*Factors!$D$7*Factors!$G$5+(Positions!$E$5*Positions!$N$5)*Factors!$D$5*Factors!$C$8*Factors!$D$8*Factors!$H$5+(Positions!$E$5*Positions!$N$5)*Factors!$D$5*Factors!$C$9*Factors!$D$9*Factors!$I$5+(Positions!$E$5*Positions!$O$5)*Factors!$D$6*Factors!$C$5*Factors!$D$5*Factors!$E$6+(Positions!$E$5*Positions!$O$5)*Factors!$D$6*Factors!$C$6*Factors!$D$6*Factors!$F$6+(Positions!$E$5*Positions!$O$5)*Factors!$D$6*Factors!$C$7*Factors!$D$7*Factors!$G$6+(Positions!$E$5*Positions!$O$5)*Factors!$D$6*Factors!$C$8*Factors!$D$8*Factors!$H$6+(Positions!$E$5*Positions!$O$5)*Factors!$D$6*Factors!$C$9*Factors!$D$9*Factors!$I$6+(Positions!$E$5*Positions!$P$5)*Factors!$D$7*Factors!$C$5*Factors!$D$5*Factors!$E$7+(Positions!$E$5*Positions!$P$5)*Factors!$D$7*Factors!$C$6*Factors!$D$6*Factors!$F$7+(Positions!$E$5*Positions!$P$5)*Factors!$D$7*Factors!$C$7*Factors!$D$7*Factors!$G$7+(Positions!$E$5*Positions!$P$5)*Factors!$D$7*Factors!$C$8*Factors!$D$8*Factors!$H$7+(Positions!$E$5*Positions!$P$5)*Factors!$D$7*Factors!$C$9*Factors!$D$9*Factors!$I$7+(Positions!$E$5*Positions!$Q$5)*Factors!$D$8*Factors!$C$5*Factors!$D$5*Factors!$E$8+(Positions!$E$5*Positions!$Q$5)*Factors!$D$8*Factors!$C$6*Factors!$D$6*Factors!$F$8+(Positions!$E$5*Positions!$Q$5)*Factors!$D$8*Factors!$C$7*Factors!$D$7*Factors!$G$8+(Positions!$E$5*Positions!$Q$5)*Factors!$D$8*Factors!$C$8*Factors!$D$8*Factors!$H$8+(Positions!$E$5*Positions!$Q$5)*Factors!$D$8*Factors!$C$9*Factors!$D$9*Factors!$I$8+(Positions!$E$5*Positions!$R$5)*Factors!$D$9*Factors!$C$5*Factors!$D$5*Factors!$E$9+(Positions!$E$5*Positions!$R$5)*Factors!$D$9*Factors!$C$6*Factors!$D$6*Factors!$F$9+(Positions!$E$5*Positions!$R$5)*Factors!$D$9*Factors!$C$7*Factors!$D$7*Factors!$G$9+(Positions!$E$5*Positions!$R$5)*Factors!$D$9*Factors!$C$8*Factors!$D$8*Factors!$H$9+(Positions!$E$5*Positions!$R$5)*Factors!$D$9*Factors!$C$9*Factors!$D$9*Factors!$I$9)/(Factors!$C$13*SQRT(Assumptions!$E$6)),0)</f>
        <v>8.49227403968565</v>
      </c>
      <c r="F5" s="17" t="n">
        <f aca="false">IFERROR(E5/'VaR &amp; ES'!$C$8,0)</f>
        <v>0.777713584191357</v>
      </c>
      <c r="G5" s="20" t="n">
        <f aca="false">-MIN((Positions!$E$5*Positions!$N$5*Stress!$C$5+Positions!$E$5*Positions!$O$5*Stress!$D$5+Positions!$E$5*Positions!$P$5*Stress!$E$5+Positions!$E$5*Positions!$Q$5*Stress!$F$5+Positions!$E$5*Positions!$R$5*Stress!$G$5),(Positions!$E$5*Positions!$N$5*Stress!$C$6+Positions!$E$5*Positions!$O$5*Stress!$D$6+Positions!$E$5*Positions!$P$5*Stress!$E$6+Positions!$E$5*Positions!$Q$5*Stress!$F$6+Positions!$E$5*Positions!$R$5*Stress!$G$6),(Positions!$E$5*Positions!$N$5*Stress!$C$7+Positions!$E$5*Positions!$O$5*Stress!$D$7+Positions!$E$5*Positions!$P$5*Stress!$E$7+Positions!$E$5*Positions!$Q$5*Stress!$F$7+Positions!$E$5*Positions!$R$5*Stress!$G$7),(Positions!$E$5*Positions!$N$5*Stress!$C$8+Positions!$E$5*Positions!$O$5*Stress!$D$8+Positions!$E$5*Positions!$P$5*Stress!$E$8+Positions!$E$5*Positions!$Q$5*Stress!$F$8+Positions!$E$5*Positions!$R$5*Stress!$G$8),(Positions!$E$5*Positions!$N$5*Stress!$C$9+Positions!$E$5*Positions!$O$5*Stress!$D$9+Positions!$E$5*Positions!$P$5*Stress!$E$9+Positions!$E$5*Positions!$Q$5*Stress!$F$9+Positions!$E$5*Positions!$R$5*Stress!$G$9),(Positions!$E$5*Positions!$N$5*Stress!$C$10+Positions!$E$5*Positions!$O$5*Stress!$D$10+Positions!$E$5*Positions!$P$5*Stress!$E$10+Positions!$E$5*Positions!$Q$5*Stress!$F$10+Positions!$E$5*Positions!$R$5*Stress!$G$10))</f>
        <v>30</v>
      </c>
      <c r="H5" s="20" t="n">
        <f aca="false">Liquidity!G5</f>
        <v>1.19719351819161</v>
      </c>
      <c r="I5" s="20" t="n">
        <f aca="false">ABS(E5)+G5+H5</f>
        <v>39.6894675578773</v>
      </c>
      <c r="J5" s="17" t="n">
        <f aca="false">IFERROR(I5/SUM($I$5:$I$16),0)</f>
        <v>0.289971240104572</v>
      </c>
    </row>
    <row r="6" customFormat="false" ht="15" hidden="false" customHeight="true" outlineLevel="0" collapsed="false">
      <c r="B6" s="1" t="str">
        <f aca="false">Positions!B6</f>
        <v>Single Name A</v>
      </c>
      <c r="C6" s="20" t="n">
        <f aca="false">ABS(Positions!E6)</f>
        <v>90</v>
      </c>
      <c r="D6" s="20" t="n">
        <f aca="false">'VaR &amp; ES'!$C$7*SQRT(MAX(0,((Positions!$E$6*Positions!$N$6)*(Positions!$E$6*Positions!$N$6)*Factors!$D$5*Factors!$D$5*Factors!$E$5+(Positions!$E$6*Positions!$N$6)*(Positions!$E$6*Positions!$O$6)*Factors!$D$5*Factors!$D$6*Factors!$F$5+(Positions!$E$6*Positions!$N$6)*(Positions!$E$6*Positions!$P$6)*Factors!$D$5*Factors!$D$7*Factors!$G$5+(Positions!$E$6*Positions!$N$6)*(Positions!$E$6*Positions!$Q$6)*Factors!$D$5*Factors!$D$8*Factors!$H$5+(Positions!$E$6*Positions!$N$6)*(Positions!$E$6*Positions!$R$6)*Factors!$D$5*Factors!$D$9*Factors!$I$5+(Positions!$E$6*Positions!$O$6)*(Positions!$E$6*Positions!$N$6)*Factors!$D$6*Factors!$D$5*Factors!$E$6+(Positions!$E$6*Positions!$O$6)*(Positions!$E$6*Positions!$O$6)*Factors!$D$6*Factors!$D$6*Factors!$F$6+(Positions!$E$6*Positions!$O$6)*(Positions!$E$6*Positions!$P$6)*Factors!$D$6*Factors!$D$7*Factors!$G$6+(Positions!$E$6*Positions!$O$6)*(Positions!$E$6*Positions!$Q$6)*Factors!$D$6*Factors!$D$8*Factors!$H$6+(Positions!$E$6*Positions!$O$6)*(Positions!$E$6*Positions!$R$6)*Factors!$D$6*Factors!$D$9*Factors!$I$6+(Positions!$E$6*Positions!$P$6)*(Positions!$E$6*Positions!$N$6)*Factors!$D$7*Factors!$D$5*Factors!$E$7+(Positions!$E$6*Positions!$P$6)*(Positions!$E$6*Positions!$O$6)*Factors!$D$7*Factors!$D$6*Factors!$F$7+(Positions!$E$6*Positions!$P$6)*(Positions!$E$6*Positions!$P$6)*Factors!$D$7*Factors!$D$7*Factors!$G$7+(Positions!$E$6*Positions!$P$6)*(Positions!$E$6*Positions!$Q$6)*Factors!$D$7*Factors!$D$8*Factors!$H$7+(Positions!$E$6*Positions!$P$6)*(Positions!$E$6*Positions!$R$6)*Factors!$D$7*Factors!$D$9*Factors!$I$7+(Positions!$E$6*Positions!$Q$6)*(Positions!$E$6*Positions!$N$6)*Factors!$D$8*Factors!$D$5*Factors!$E$8+(Positions!$E$6*Positions!$Q$6)*(Positions!$E$6*Positions!$O$6)*Factors!$D$8*Factors!$D$6*Factors!$F$8+(Positions!$E$6*Positions!$Q$6)*(Positions!$E$6*Positions!$P$6)*Factors!$D$8*Factors!$D$7*Factors!$G$8+(Positions!$E$6*Positions!$Q$6)*(Positions!$E$6*Positions!$Q$6)*Factors!$D$8*Factors!$D$8*Factors!$H$8+(Positions!$E$6*Positions!$Q$6)*(Positions!$E$6*Positions!$R$6)*Factors!$D$8*Factors!$D$9*Factors!$I$8+(Positions!$E$6*Positions!$R$6)*(Positions!$E$6*Positions!$N$6)*Factors!$D$9*Factors!$D$5*Factors!$E$9+(Positions!$E$6*Positions!$R$6)*(Positions!$E$6*Positions!$O$6)*Factors!$D$9*Factors!$D$6*Factors!$F$9+(Positions!$E$6*Positions!$R$6)*(Positions!$E$6*Positions!$P$6)*Factors!$D$9*Factors!$D$7*Factors!$G$9+(Positions!$E$6*Positions!$R$6)*(Positions!$E$6*Positions!$Q$6)*Factors!$D$9*Factors!$D$8*Factors!$H$9+(Positions!$E$6*Positions!$R$6)*(Positions!$E$6*Positions!$R$6)*Factors!$D$9*Factors!$D$9*Factors!$I$9)/Assumptions!$E$6))</f>
        <v>8.25896977498512</v>
      </c>
      <c r="E6" s="20" t="n">
        <f aca="false">IFERROR('VaR &amp; ES'!$C$7*((Positions!$E$6*Positions!$N$6)*Factors!$D$5*Factors!$C$5*Factors!$D$5*Factors!$E$5+(Positions!$E$6*Positions!$N$6)*Factors!$D$5*Factors!$C$6*Factors!$D$6*Factors!$F$5+(Positions!$E$6*Positions!$N$6)*Factors!$D$5*Factors!$C$7*Factors!$D$7*Factors!$G$5+(Positions!$E$6*Positions!$N$6)*Factors!$D$5*Factors!$C$8*Factors!$D$8*Factors!$H$5+(Positions!$E$6*Positions!$N$6)*Factors!$D$5*Factors!$C$9*Factors!$D$9*Factors!$I$5+(Positions!$E$6*Positions!$O$6)*Factors!$D$6*Factors!$C$5*Factors!$D$5*Factors!$E$6+(Positions!$E$6*Positions!$O$6)*Factors!$D$6*Factors!$C$6*Factors!$D$6*Factors!$F$6+(Positions!$E$6*Positions!$O$6)*Factors!$D$6*Factors!$C$7*Factors!$D$7*Factors!$G$6+(Positions!$E$6*Positions!$O$6)*Factors!$D$6*Factors!$C$8*Factors!$D$8*Factors!$H$6+(Positions!$E$6*Positions!$O$6)*Factors!$D$6*Factors!$C$9*Factors!$D$9*Factors!$I$6+(Positions!$E$6*Positions!$P$6)*Factors!$D$7*Factors!$C$5*Factors!$D$5*Factors!$E$7+(Positions!$E$6*Positions!$P$6)*Factors!$D$7*Factors!$C$6*Factors!$D$6*Factors!$F$7+(Positions!$E$6*Positions!$P$6)*Factors!$D$7*Factors!$C$7*Factors!$D$7*Factors!$G$7+(Positions!$E$6*Positions!$P$6)*Factors!$D$7*Factors!$C$8*Factors!$D$8*Factors!$H$7+(Positions!$E$6*Positions!$P$6)*Factors!$D$7*Factors!$C$9*Factors!$D$9*Factors!$I$7+(Positions!$E$6*Positions!$Q$6)*Factors!$D$8*Factors!$C$5*Factors!$D$5*Factors!$E$8+(Positions!$E$6*Positions!$Q$6)*Factors!$D$8*Factors!$C$6*Factors!$D$6*Factors!$F$8+(Positions!$E$6*Positions!$Q$6)*Factors!$D$8*Factors!$C$7*Factors!$D$7*Factors!$G$8+(Positions!$E$6*Positions!$Q$6)*Factors!$D$8*Factors!$C$8*Factors!$D$8*Factors!$H$8+(Positions!$E$6*Positions!$Q$6)*Factors!$D$8*Factors!$C$9*Factors!$D$9*Factors!$I$8+(Positions!$E$6*Positions!$R$6)*Factors!$D$9*Factors!$C$5*Factors!$D$5*Factors!$E$9+(Positions!$E$6*Positions!$R$6)*Factors!$D$9*Factors!$C$6*Factors!$D$6*Factors!$F$9+(Positions!$E$6*Positions!$R$6)*Factors!$D$9*Factors!$C$7*Factors!$D$7*Factors!$G$9+(Positions!$E$6*Positions!$R$6)*Factors!$D$9*Factors!$C$8*Factors!$D$8*Factors!$H$9+(Positions!$E$6*Positions!$R$6)*Factors!$D$9*Factors!$C$9*Factors!$D$9*Factors!$I$9)/(Factors!$C$13*SQRT(Assumptions!$E$6)),0)</f>
        <v>8.03370925521361</v>
      </c>
      <c r="F6" s="17" t="n">
        <f aca="false">IFERROR(E6/'VaR &amp; ES'!$C$8,0)</f>
        <v>0.735718700318193</v>
      </c>
      <c r="G6" s="20" t="n">
        <f aca="false">-MIN((Positions!$E$6*Positions!$N$6*Stress!$C$5+Positions!$E$6*Positions!$O$6*Stress!$D$5+Positions!$E$6*Positions!$P$6*Stress!$E$5+Positions!$E$6*Positions!$Q$6*Stress!$F$5+Positions!$E$6*Positions!$R$6*Stress!$G$5),(Positions!$E$6*Positions!$N$6*Stress!$C$6+Positions!$E$6*Positions!$O$6*Stress!$D$6+Positions!$E$6*Positions!$P$6*Stress!$E$6+Positions!$E$6*Positions!$Q$6*Stress!$F$6+Positions!$E$6*Positions!$R$6*Stress!$G$6),(Positions!$E$6*Positions!$N$6*Stress!$C$7+Positions!$E$6*Positions!$O$6*Stress!$D$7+Positions!$E$6*Positions!$P$6*Stress!$E$7+Positions!$E$6*Positions!$Q$6*Stress!$F$7+Positions!$E$6*Positions!$R$6*Stress!$G$7),(Positions!$E$6*Positions!$N$6*Stress!$C$8+Positions!$E$6*Positions!$O$6*Stress!$D$8+Positions!$E$6*Positions!$P$6*Stress!$E$8+Positions!$E$6*Positions!$Q$6*Stress!$F$8+Positions!$E$6*Positions!$R$6*Stress!$G$8),(Positions!$E$6*Positions!$N$6*Stress!$C$9+Positions!$E$6*Positions!$O$6*Stress!$D$9+Positions!$E$6*Positions!$P$6*Stress!$E$9+Positions!$E$6*Positions!$Q$6*Stress!$F$9+Positions!$E$6*Positions!$R$6*Stress!$G$9),(Positions!$E$6*Positions!$N$6*Stress!$C$10+Positions!$E$6*Positions!$O$6*Stress!$D$10+Positions!$E$6*Positions!$P$6*Stress!$E$10+Positions!$E$6*Positions!$Q$6*Stress!$F$10+Positions!$E$6*Positions!$R$6*Stress!$G$10))</f>
        <v>25.29</v>
      </c>
      <c r="H6" s="20" t="n">
        <f aca="false">Liquidity!G6</f>
        <v>0.5832</v>
      </c>
      <c r="I6" s="20" t="n">
        <f aca="false">ABS(E6)+G6+H6</f>
        <v>33.9069092552136</v>
      </c>
      <c r="J6" s="17" t="n">
        <f aca="false">IFERROR(I6/SUM($I$5:$I$16),0)</f>
        <v>0.247723870583799</v>
      </c>
    </row>
    <row r="7" customFormat="false" ht="15" hidden="false" customHeight="true" outlineLevel="0" collapsed="false">
      <c r="B7" s="1" t="str">
        <f aca="false">Positions!B7</f>
        <v>Single Name Put</v>
      </c>
      <c r="C7" s="20" t="n">
        <f aca="false">ABS(Positions!E7)</f>
        <v>25</v>
      </c>
      <c r="D7" s="20" t="n">
        <f aca="false">'VaR &amp; ES'!$C$7*SQRT(MAX(0,((Positions!$E$7*Positions!$N$7)*(Positions!$E$7*Positions!$N$7)*Factors!$D$5*Factors!$D$5*Factors!$E$5+(Positions!$E$7*Positions!$N$7)*(Positions!$E$7*Positions!$O$7)*Factors!$D$5*Factors!$D$6*Factors!$F$5+(Positions!$E$7*Positions!$N$7)*(Positions!$E$7*Positions!$P$7)*Factors!$D$5*Factors!$D$7*Factors!$G$5+(Positions!$E$7*Positions!$N$7)*(Positions!$E$7*Positions!$Q$7)*Factors!$D$5*Factors!$D$8*Factors!$H$5+(Positions!$E$7*Positions!$N$7)*(Positions!$E$7*Positions!$R$7)*Factors!$D$5*Factors!$D$9*Factors!$I$5+(Positions!$E$7*Positions!$O$7)*(Positions!$E$7*Positions!$N$7)*Factors!$D$6*Factors!$D$5*Factors!$E$6+(Positions!$E$7*Positions!$O$7)*(Positions!$E$7*Positions!$O$7)*Factors!$D$6*Factors!$D$6*Factors!$F$6+(Positions!$E$7*Positions!$O$7)*(Positions!$E$7*Positions!$P$7)*Factors!$D$6*Factors!$D$7*Factors!$G$6+(Positions!$E$7*Positions!$O$7)*(Positions!$E$7*Positions!$Q$7)*Factors!$D$6*Factors!$D$8*Factors!$H$6+(Positions!$E$7*Positions!$O$7)*(Positions!$E$7*Positions!$R$7)*Factors!$D$6*Factors!$D$9*Factors!$I$6+(Positions!$E$7*Positions!$P$7)*(Positions!$E$7*Positions!$N$7)*Factors!$D$7*Factors!$D$5*Factors!$E$7+(Positions!$E$7*Positions!$P$7)*(Positions!$E$7*Positions!$O$7)*Factors!$D$7*Factors!$D$6*Factors!$F$7+(Positions!$E$7*Positions!$P$7)*(Positions!$E$7*Positions!$P$7)*Factors!$D$7*Factors!$D$7*Factors!$G$7+(Positions!$E$7*Positions!$P$7)*(Positions!$E$7*Positions!$Q$7)*Factors!$D$7*Factors!$D$8*Factors!$H$7+(Positions!$E$7*Positions!$P$7)*(Positions!$E$7*Positions!$R$7)*Factors!$D$7*Factors!$D$9*Factors!$I$7+(Positions!$E$7*Positions!$Q$7)*(Positions!$E$7*Positions!$N$7)*Factors!$D$8*Factors!$D$5*Factors!$E$8+(Positions!$E$7*Positions!$Q$7)*(Positions!$E$7*Positions!$O$7)*Factors!$D$8*Factors!$D$6*Factors!$F$8+(Positions!$E$7*Positions!$Q$7)*(Positions!$E$7*Positions!$P$7)*Factors!$D$8*Factors!$D$7*Factors!$G$8+(Positions!$E$7*Positions!$Q$7)*(Positions!$E$7*Positions!$Q$7)*Factors!$D$8*Factors!$D$8*Factors!$H$8+(Positions!$E$7*Positions!$Q$7)*(Positions!$E$7*Positions!$R$7)*Factors!$D$8*Factors!$D$9*Factors!$I$8+(Positions!$E$7*Positions!$R$7)*(Positions!$E$7*Positions!$N$7)*Factors!$D$9*Factors!$D$5*Factors!$E$9+(Positions!$E$7*Positions!$R$7)*(Positions!$E$7*Positions!$O$7)*Factors!$D$9*Factors!$D$6*Factors!$F$9+(Positions!$E$7*Positions!$R$7)*(Positions!$E$7*Positions!$P$7)*Factors!$D$9*Factors!$D$7*Factors!$G$9+(Positions!$E$7*Positions!$R$7)*(Positions!$E$7*Positions!$Q$7)*Factors!$D$9*Factors!$D$8*Factors!$H$9+(Positions!$E$7*Positions!$R$7)*(Positions!$E$7*Positions!$R$7)*Factors!$D$9*Factors!$D$9*Factors!$I$9)/Assumptions!$E$6))</f>
        <v>1.44904594219269</v>
      </c>
      <c r="E7" s="20" t="n">
        <f aca="false">IFERROR('VaR &amp; ES'!$C$7*((Positions!$E$7*Positions!$N$7)*Factors!$D$5*Factors!$C$5*Factors!$D$5*Factors!$E$5+(Positions!$E$7*Positions!$N$7)*Factors!$D$5*Factors!$C$6*Factors!$D$6*Factors!$F$5+(Positions!$E$7*Positions!$N$7)*Factors!$D$5*Factors!$C$7*Factors!$D$7*Factors!$G$5+(Positions!$E$7*Positions!$N$7)*Factors!$D$5*Factors!$C$8*Factors!$D$8*Factors!$H$5+(Positions!$E$7*Positions!$N$7)*Factors!$D$5*Factors!$C$9*Factors!$D$9*Factors!$I$5+(Positions!$E$7*Positions!$O$7)*Factors!$D$6*Factors!$C$5*Factors!$D$5*Factors!$E$6+(Positions!$E$7*Positions!$O$7)*Factors!$D$6*Factors!$C$6*Factors!$D$6*Factors!$F$6+(Positions!$E$7*Positions!$O$7)*Factors!$D$6*Factors!$C$7*Factors!$D$7*Factors!$G$6+(Positions!$E$7*Positions!$O$7)*Factors!$D$6*Factors!$C$8*Factors!$D$8*Factors!$H$6+(Positions!$E$7*Positions!$O$7)*Factors!$D$6*Factors!$C$9*Factors!$D$9*Factors!$I$6+(Positions!$E$7*Positions!$P$7)*Factors!$D$7*Factors!$C$5*Factors!$D$5*Factors!$E$7+(Positions!$E$7*Positions!$P$7)*Factors!$D$7*Factors!$C$6*Factors!$D$6*Factors!$F$7+(Positions!$E$7*Positions!$P$7)*Factors!$D$7*Factors!$C$7*Factors!$D$7*Factors!$G$7+(Positions!$E$7*Positions!$P$7)*Factors!$D$7*Factors!$C$8*Factors!$D$8*Factors!$H$7+(Positions!$E$7*Positions!$P$7)*Factors!$D$7*Factors!$C$9*Factors!$D$9*Factors!$I$7+(Positions!$E$7*Positions!$Q$7)*Factors!$D$8*Factors!$C$5*Factors!$D$5*Factors!$E$8+(Positions!$E$7*Positions!$Q$7)*Factors!$D$8*Factors!$C$6*Factors!$D$6*Factors!$F$8+(Positions!$E$7*Positions!$Q$7)*Factors!$D$8*Factors!$C$7*Factors!$D$7*Factors!$G$8+(Positions!$E$7*Positions!$Q$7)*Factors!$D$8*Factors!$C$8*Factors!$D$8*Factors!$H$8+(Positions!$E$7*Positions!$Q$7)*Factors!$D$8*Factors!$C$9*Factors!$D$9*Factors!$I$8+(Positions!$E$7*Positions!$R$7)*Factors!$D$9*Factors!$C$5*Factors!$D$5*Factors!$E$9+(Positions!$E$7*Positions!$R$7)*Factors!$D$9*Factors!$C$6*Factors!$D$6*Factors!$F$9+(Positions!$E$7*Positions!$R$7)*Factors!$D$9*Factors!$C$7*Factors!$D$7*Factors!$G$9+(Positions!$E$7*Positions!$R$7)*Factors!$D$9*Factors!$C$8*Factors!$D$8*Factors!$H$9+(Positions!$E$7*Positions!$R$7)*Factors!$D$9*Factors!$C$9*Factors!$D$9*Factors!$I$9)/(Factors!$C$13*SQRT(Assumptions!$E$6)),0)</f>
        <v>0.134160093305302</v>
      </c>
      <c r="F7" s="17" t="n">
        <f aca="false">IFERROR(E7/'VaR &amp; ES'!$C$8,0)</f>
        <v>0.0122862411801982</v>
      </c>
      <c r="G7" s="20" t="n">
        <f aca="false">-MIN((Positions!$E$7*Positions!$N$7*Stress!$C$5+Positions!$E$7*Positions!$O$7*Stress!$D$5+Positions!$E$7*Positions!$P$7*Stress!$E$5+Positions!$E$7*Positions!$Q$7*Stress!$F$5+Positions!$E$7*Positions!$R$7*Stress!$G$5),(Positions!$E$7*Positions!$N$7*Stress!$C$6+Positions!$E$7*Positions!$O$7*Stress!$D$6+Positions!$E$7*Positions!$P$7*Stress!$E$6+Positions!$E$7*Positions!$Q$7*Stress!$F$6+Positions!$E$7*Positions!$R$7*Stress!$G$6),(Positions!$E$7*Positions!$N$7*Stress!$C$7+Positions!$E$7*Positions!$O$7*Stress!$D$7+Positions!$E$7*Positions!$P$7*Stress!$E$7+Positions!$E$7*Positions!$Q$7*Stress!$F$7+Positions!$E$7*Positions!$R$7*Stress!$G$7),(Positions!$E$7*Positions!$N$7*Stress!$C$8+Positions!$E$7*Positions!$O$7*Stress!$D$8+Positions!$E$7*Positions!$P$7*Stress!$E$8+Positions!$E$7*Positions!$Q$7*Stress!$F$8+Positions!$E$7*Positions!$R$7*Stress!$G$8),(Positions!$E$7*Positions!$N$7*Stress!$C$9+Positions!$E$7*Positions!$O$7*Stress!$D$9+Positions!$E$7*Positions!$P$7*Stress!$E$9+Positions!$E$7*Positions!$Q$7*Stress!$F$9+Positions!$E$7*Positions!$R$7*Stress!$G$9),(Positions!$E$7*Positions!$N$7*Stress!$C$10+Positions!$E$7*Positions!$O$7*Stress!$D$10+Positions!$E$7*Positions!$P$7*Stress!$E$10+Positions!$E$7*Positions!$Q$7*Stress!$F$10+Positions!$E$7*Positions!$R$7*Stress!$G$10))</f>
        <v>6.5</v>
      </c>
      <c r="H7" s="20" t="n">
        <f aca="false">Liquidity!G7</f>
        <v>0.0129099444873581</v>
      </c>
      <c r="I7" s="20" t="n">
        <f aca="false">ABS(E7)+G7+H7</f>
        <v>6.64707003779266</v>
      </c>
      <c r="J7" s="17" t="n">
        <f aca="false">IFERROR(I7/SUM($I$5:$I$16),0)</f>
        <v>0.0485634920425666</v>
      </c>
    </row>
    <row r="8" customFormat="false" ht="15" hidden="false" customHeight="true" outlineLevel="0" collapsed="false">
      <c r="B8" s="1" t="str">
        <f aca="false">Positions!B8</f>
        <v>10Y Treasury</v>
      </c>
      <c r="C8" s="20" t="n">
        <f aca="false">ABS(Positions!E8)</f>
        <v>50</v>
      </c>
      <c r="D8" s="20" t="n">
        <f aca="false">'VaR &amp; ES'!$C$7*SQRT(MAX(0,((Positions!$E$8*Positions!$N$8)*(Positions!$E$8*Positions!$N$8)*Factors!$D$5*Factors!$D$5*Factors!$E$5+(Positions!$E$8*Positions!$N$8)*(Positions!$E$8*Positions!$O$8)*Factors!$D$5*Factors!$D$6*Factors!$F$5+(Positions!$E$8*Positions!$N$8)*(Positions!$E$8*Positions!$P$8)*Factors!$D$5*Factors!$D$7*Factors!$G$5+(Positions!$E$8*Positions!$N$8)*(Positions!$E$8*Positions!$Q$8)*Factors!$D$5*Factors!$D$8*Factors!$H$5+(Positions!$E$8*Positions!$N$8)*(Positions!$E$8*Positions!$R$8)*Factors!$D$5*Factors!$D$9*Factors!$I$5+(Positions!$E$8*Positions!$O$8)*(Positions!$E$8*Positions!$N$8)*Factors!$D$6*Factors!$D$5*Factors!$E$6+(Positions!$E$8*Positions!$O$8)*(Positions!$E$8*Positions!$O$8)*Factors!$D$6*Factors!$D$6*Factors!$F$6+(Positions!$E$8*Positions!$O$8)*(Positions!$E$8*Positions!$P$8)*Factors!$D$6*Factors!$D$7*Factors!$G$6+(Positions!$E$8*Positions!$O$8)*(Positions!$E$8*Positions!$Q$8)*Factors!$D$6*Factors!$D$8*Factors!$H$6+(Positions!$E$8*Positions!$O$8)*(Positions!$E$8*Positions!$R$8)*Factors!$D$6*Factors!$D$9*Factors!$I$6+(Positions!$E$8*Positions!$P$8)*(Positions!$E$8*Positions!$N$8)*Factors!$D$7*Factors!$D$5*Factors!$E$7+(Positions!$E$8*Positions!$P$8)*(Positions!$E$8*Positions!$O$8)*Factors!$D$7*Factors!$D$6*Factors!$F$7+(Positions!$E$8*Positions!$P$8)*(Positions!$E$8*Positions!$P$8)*Factors!$D$7*Factors!$D$7*Factors!$G$7+(Positions!$E$8*Positions!$P$8)*(Positions!$E$8*Positions!$Q$8)*Factors!$D$7*Factors!$D$8*Factors!$H$7+(Positions!$E$8*Positions!$P$8)*(Positions!$E$8*Positions!$R$8)*Factors!$D$7*Factors!$D$9*Factors!$I$7+(Positions!$E$8*Positions!$Q$8)*(Positions!$E$8*Positions!$N$8)*Factors!$D$8*Factors!$D$5*Factors!$E$8+(Positions!$E$8*Positions!$Q$8)*(Positions!$E$8*Positions!$O$8)*Factors!$D$8*Factors!$D$6*Factors!$F$8+(Positions!$E$8*Positions!$Q$8)*(Positions!$E$8*Positions!$P$8)*Factors!$D$8*Factors!$D$7*Factors!$G$8+(Positions!$E$8*Positions!$Q$8)*(Positions!$E$8*Positions!$Q$8)*Factors!$D$8*Factors!$D$8*Factors!$H$8+(Positions!$E$8*Positions!$Q$8)*(Positions!$E$8*Positions!$R$8)*Factors!$D$8*Factors!$D$9*Factors!$I$8+(Positions!$E$8*Positions!$R$8)*(Positions!$E$8*Positions!$N$8)*Factors!$D$9*Factors!$D$5*Factors!$E$9+(Positions!$E$8*Positions!$R$8)*(Positions!$E$8*Positions!$O$8)*Factors!$D$9*Factors!$D$6*Factors!$F$9+(Positions!$E$8*Positions!$R$8)*(Positions!$E$8*Positions!$P$8)*Factors!$D$9*Factors!$D$7*Factors!$G$9+(Positions!$E$8*Positions!$R$8)*(Positions!$E$8*Positions!$Q$8)*Factors!$D$9*Factors!$D$8*Factors!$H$9+(Positions!$E$8*Positions!$R$8)*(Positions!$E$8*Positions!$R$8)*Factors!$D$9*Factors!$D$9*Factors!$I$9)/Assumptions!$E$6))</f>
        <v>1.66318544068254</v>
      </c>
      <c r="E8" s="20" t="n">
        <f aca="false">IFERROR('VaR &amp; ES'!$C$7*((Positions!$E$8*Positions!$N$8)*Factors!$D$5*Factors!$C$5*Factors!$D$5*Factors!$E$5+(Positions!$E$8*Positions!$N$8)*Factors!$D$5*Factors!$C$6*Factors!$D$6*Factors!$F$5+(Positions!$E$8*Positions!$N$8)*Factors!$D$5*Factors!$C$7*Factors!$D$7*Factors!$G$5+(Positions!$E$8*Positions!$N$8)*Factors!$D$5*Factors!$C$8*Factors!$D$8*Factors!$H$5+(Positions!$E$8*Positions!$N$8)*Factors!$D$5*Factors!$C$9*Factors!$D$9*Factors!$I$5+(Positions!$E$8*Positions!$O$8)*Factors!$D$6*Factors!$C$5*Factors!$D$5*Factors!$E$6+(Positions!$E$8*Positions!$O$8)*Factors!$D$6*Factors!$C$6*Factors!$D$6*Factors!$F$6+(Positions!$E$8*Positions!$O$8)*Factors!$D$6*Factors!$C$7*Factors!$D$7*Factors!$G$6+(Positions!$E$8*Positions!$O$8)*Factors!$D$6*Factors!$C$8*Factors!$D$8*Factors!$H$6+(Positions!$E$8*Positions!$O$8)*Factors!$D$6*Factors!$C$9*Factors!$D$9*Factors!$I$6+(Positions!$E$8*Positions!$P$8)*Factors!$D$7*Factors!$C$5*Factors!$D$5*Factors!$E$7+(Positions!$E$8*Positions!$P$8)*Factors!$D$7*Factors!$C$6*Factors!$D$6*Factors!$F$7+(Positions!$E$8*Positions!$P$8)*Factors!$D$7*Factors!$C$7*Factors!$D$7*Factors!$G$7+(Positions!$E$8*Positions!$P$8)*Factors!$D$7*Factors!$C$8*Factors!$D$8*Factors!$H$7+(Positions!$E$8*Positions!$P$8)*Factors!$D$7*Factors!$C$9*Factors!$D$9*Factors!$I$7+(Positions!$E$8*Positions!$Q$8)*Factors!$D$8*Factors!$C$5*Factors!$D$5*Factors!$E$8+(Positions!$E$8*Positions!$Q$8)*Factors!$D$8*Factors!$C$6*Factors!$D$6*Factors!$F$8+(Positions!$E$8*Positions!$Q$8)*Factors!$D$8*Factors!$C$7*Factors!$D$7*Factors!$G$8+(Positions!$E$8*Positions!$Q$8)*Factors!$D$8*Factors!$C$8*Factors!$D$8*Factors!$H$8+(Positions!$E$8*Positions!$Q$8)*Factors!$D$8*Factors!$C$9*Factors!$D$9*Factors!$I$8+(Positions!$E$8*Positions!$R$8)*Factors!$D$9*Factors!$C$5*Factors!$D$5*Factors!$E$9+(Positions!$E$8*Positions!$R$8)*Factors!$D$9*Factors!$C$6*Factors!$D$6*Factors!$F$9+(Positions!$E$8*Positions!$R$8)*Factors!$D$9*Factors!$C$7*Factors!$D$7*Factors!$G$9+(Positions!$E$8*Positions!$R$8)*Factors!$D$9*Factors!$C$8*Factors!$D$8*Factors!$H$9+(Positions!$E$8*Positions!$R$8)*Factors!$D$9*Factors!$C$9*Factors!$D$9*Factors!$I$9)/(Factors!$C$13*SQRT(Assumptions!$E$6)),0)</f>
        <v>0.576204898508975</v>
      </c>
      <c r="F8" s="17" t="n">
        <f aca="false">IFERROR(E8/'VaR &amp; ES'!$C$8,0)</f>
        <v>0.05276824261133</v>
      </c>
      <c r="G8" s="20" t="n">
        <f aca="false">-MIN((Positions!$E$8*Positions!$N$8*Stress!$C$5+Positions!$E$8*Positions!$O$8*Stress!$D$5+Positions!$E$8*Positions!$P$8*Stress!$E$5+Positions!$E$8*Positions!$Q$8*Stress!$F$5+Positions!$E$8*Positions!$R$8*Stress!$G$5),(Positions!$E$8*Positions!$N$8*Stress!$C$6+Positions!$E$8*Positions!$O$8*Stress!$D$6+Positions!$E$8*Positions!$P$8*Stress!$E$6+Positions!$E$8*Positions!$Q$8*Stress!$F$6+Positions!$E$8*Positions!$R$8*Stress!$G$6),(Positions!$E$8*Positions!$N$8*Stress!$C$7+Positions!$E$8*Positions!$O$8*Stress!$D$7+Positions!$E$8*Positions!$P$8*Stress!$E$7+Positions!$E$8*Positions!$Q$8*Stress!$F$7+Positions!$E$8*Positions!$R$8*Stress!$G$7),(Positions!$E$8*Positions!$N$8*Stress!$C$8+Positions!$E$8*Positions!$O$8*Stress!$D$8+Positions!$E$8*Positions!$P$8*Stress!$E$8+Positions!$E$8*Positions!$Q$8*Stress!$F$8+Positions!$E$8*Positions!$R$8*Stress!$G$8),(Positions!$E$8*Positions!$N$8*Stress!$C$9+Positions!$E$8*Positions!$O$8*Stress!$D$9+Positions!$E$8*Positions!$P$8*Stress!$E$9+Positions!$E$8*Positions!$Q$8*Stress!$F$9+Positions!$E$8*Positions!$R$8*Stress!$G$9),(Positions!$E$8*Positions!$N$8*Stress!$C$10+Positions!$E$8*Positions!$O$8*Stress!$D$10+Positions!$E$8*Positions!$P$8*Stress!$E$10+Positions!$E$8*Positions!$Q$8*Stress!$F$10+Positions!$E$8*Positions!$R$8*Stress!$G$10))</f>
        <v>10.25</v>
      </c>
      <c r="H8" s="20" t="n">
        <f aca="false">Liquidity!G8</f>
        <v>0.134164078649987</v>
      </c>
      <c r="I8" s="20" t="n">
        <f aca="false">ABS(E8)+G8+H8</f>
        <v>10.960368977159</v>
      </c>
      <c r="J8" s="17" t="n">
        <f aca="false">IFERROR(I8/SUM($I$5:$I$16),0)</f>
        <v>0.0800764530205867</v>
      </c>
    </row>
    <row r="9" customFormat="false" ht="15" hidden="false" customHeight="true" outlineLevel="0" collapsed="false">
      <c r="B9" s="1" t="str">
        <f aca="false">Positions!B9</f>
        <v>IG Credit ETF</v>
      </c>
      <c r="C9" s="20" t="n">
        <f aca="false">ABS(Positions!E9)</f>
        <v>50</v>
      </c>
      <c r="D9" s="20" t="n">
        <f aca="false">'VaR &amp; ES'!$C$7*SQRT(MAX(0,((Positions!$E$9*Positions!$N$9)*(Positions!$E$9*Positions!$N$9)*Factors!$D$5*Factors!$D$5*Factors!$E$5+(Positions!$E$9*Positions!$N$9)*(Positions!$E$9*Positions!$O$9)*Factors!$D$5*Factors!$D$6*Factors!$F$5+(Positions!$E$9*Positions!$N$9)*(Positions!$E$9*Positions!$P$9)*Factors!$D$5*Factors!$D$7*Factors!$G$5+(Positions!$E$9*Positions!$N$9)*(Positions!$E$9*Positions!$Q$9)*Factors!$D$5*Factors!$D$8*Factors!$H$5+(Positions!$E$9*Positions!$N$9)*(Positions!$E$9*Positions!$R$9)*Factors!$D$5*Factors!$D$9*Factors!$I$5+(Positions!$E$9*Positions!$O$9)*(Positions!$E$9*Positions!$N$9)*Factors!$D$6*Factors!$D$5*Factors!$E$6+(Positions!$E$9*Positions!$O$9)*(Positions!$E$9*Positions!$O$9)*Factors!$D$6*Factors!$D$6*Factors!$F$6+(Positions!$E$9*Positions!$O$9)*(Positions!$E$9*Positions!$P$9)*Factors!$D$6*Factors!$D$7*Factors!$G$6+(Positions!$E$9*Positions!$O$9)*(Positions!$E$9*Positions!$Q$9)*Factors!$D$6*Factors!$D$8*Factors!$H$6+(Positions!$E$9*Positions!$O$9)*(Positions!$E$9*Positions!$R$9)*Factors!$D$6*Factors!$D$9*Factors!$I$6+(Positions!$E$9*Positions!$P$9)*(Positions!$E$9*Positions!$N$9)*Factors!$D$7*Factors!$D$5*Factors!$E$7+(Positions!$E$9*Positions!$P$9)*(Positions!$E$9*Positions!$O$9)*Factors!$D$7*Factors!$D$6*Factors!$F$7+(Positions!$E$9*Positions!$P$9)*(Positions!$E$9*Positions!$P$9)*Factors!$D$7*Factors!$D$7*Factors!$G$7+(Positions!$E$9*Positions!$P$9)*(Positions!$E$9*Positions!$Q$9)*Factors!$D$7*Factors!$D$8*Factors!$H$7+(Positions!$E$9*Positions!$P$9)*(Positions!$E$9*Positions!$R$9)*Factors!$D$7*Factors!$D$9*Factors!$I$7+(Positions!$E$9*Positions!$Q$9)*(Positions!$E$9*Positions!$N$9)*Factors!$D$8*Factors!$D$5*Factors!$E$8+(Positions!$E$9*Positions!$Q$9)*(Positions!$E$9*Positions!$O$9)*Factors!$D$8*Factors!$D$6*Factors!$F$8+(Positions!$E$9*Positions!$Q$9)*(Positions!$E$9*Positions!$P$9)*Factors!$D$8*Factors!$D$7*Factors!$G$8+(Positions!$E$9*Positions!$Q$9)*(Positions!$E$9*Positions!$Q$9)*Factors!$D$8*Factors!$D$8*Factors!$H$8+(Positions!$E$9*Positions!$Q$9)*(Positions!$E$9*Positions!$R$9)*Factors!$D$8*Factors!$D$9*Factors!$I$8+(Positions!$E$9*Positions!$R$9)*(Positions!$E$9*Positions!$N$9)*Factors!$D$9*Factors!$D$5*Factors!$E$9+(Positions!$E$9*Positions!$R$9)*(Positions!$E$9*Positions!$O$9)*Factors!$D$9*Factors!$D$6*Factors!$F$9+(Positions!$E$9*Positions!$R$9)*(Positions!$E$9*Positions!$P$9)*Factors!$D$9*Factors!$D$7*Factors!$G$9+(Positions!$E$9*Positions!$R$9)*(Positions!$E$9*Positions!$Q$9)*Factors!$D$9*Factors!$D$8*Factors!$H$9+(Positions!$E$9*Positions!$R$9)*(Positions!$E$9*Positions!$R$9)*Factors!$D$9*Factors!$D$9*Factors!$I$9)/Assumptions!$E$6))</f>
        <v>1.56926098863555</v>
      </c>
      <c r="E9" s="20" t="n">
        <f aca="false">IFERROR('VaR &amp; ES'!$C$7*((Positions!$E$9*Positions!$N$9)*Factors!$D$5*Factors!$C$5*Factors!$D$5*Factors!$E$5+(Positions!$E$9*Positions!$N$9)*Factors!$D$5*Factors!$C$6*Factors!$D$6*Factors!$F$5+(Positions!$E$9*Positions!$N$9)*Factors!$D$5*Factors!$C$7*Factors!$D$7*Factors!$G$5+(Positions!$E$9*Positions!$N$9)*Factors!$D$5*Factors!$C$8*Factors!$D$8*Factors!$H$5+(Positions!$E$9*Positions!$N$9)*Factors!$D$5*Factors!$C$9*Factors!$D$9*Factors!$I$5+(Positions!$E$9*Positions!$O$9)*Factors!$D$6*Factors!$C$5*Factors!$D$5*Factors!$E$6+(Positions!$E$9*Positions!$O$9)*Factors!$D$6*Factors!$C$6*Factors!$D$6*Factors!$F$6+(Positions!$E$9*Positions!$O$9)*Factors!$D$6*Factors!$C$7*Factors!$D$7*Factors!$G$6+(Positions!$E$9*Positions!$O$9)*Factors!$D$6*Factors!$C$8*Factors!$D$8*Factors!$H$6+(Positions!$E$9*Positions!$O$9)*Factors!$D$6*Factors!$C$9*Factors!$D$9*Factors!$I$6+(Positions!$E$9*Positions!$P$9)*Factors!$D$7*Factors!$C$5*Factors!$D$5*Factors!$E$7+(Positions!$E$9*Positions!$P$9)*Factors!$D$7*Factors!$C$6*Factors!$D$6*Factors!$F$7+(Positions!$E$9*Positions!$P$9)*Factors!$D$7*Factors!$C$7*Factors!$D$7*Factors!$G$7+(Positions!$E$9*Positions!$P$9)*Factors!$D$7*Factors!$C$8*Factors!$D$8*Factors!$H$7+(Positions!$E$9*Positions!$P$9)*Factors!$D$7*Factors!$C$9*Factors!$D$9*Factors!$I$7+(Positions!$E$9*Positions!$Q$9)*Factors!$D$8*Factors!$C$5*Factors!$D$5*Factors!$E$8+(Positions!$E$9*Positions!$Q$9)*Factors!$D$8*Factors!$C$6*Factors!$D$6*Factors!$F$8+(Positions!$E$9*Positions!$Q$9)*Factors!$D$8*Factors!$C$7*Factors!$D$7*Factors!$G$8+(Positions!$E$9*Positions!$Q$9)*Factors!$D$8*Factors!$C$8*Factors!$D$8*Factors!$H$8+(Positions!$E$9*Positions!$Q$9)*Factors!$D$8*Factors!$C$9*Factors!$D$9*Factors!$I$8+(Positions!$E$9*Positions!$R$9)*Factors!$D$9*Factors!$C$5*Factors!$D$5*Factors!$E$9+(Positions!$E$9*Positions!$R$9)*Factors!$D$9*Factors!$C$6*Factors!$D$6*Factors!$F$9+(Positions!$E$9*Positions!$R$9)*Factors!$D$9*Factors!$C$7*Factors!$D$7*Factors!$G$9+(Positions!$E$9*Positions!$R$9)*Factors!$D$9*Factors!$C$8*Factors!$D$8*Factors!$H$9+(Positions!$E$9*Positions!$R$9)*Factors!$D$9*Factors!$C$9*Factors!$D$9*Factors!$I$9)/(Factors!$C$13*SQRT(Assumptions!$E$6)),0)</f>
        <v>1.05037493810794</v>
      </c>
      <c r="F9" s="17" t="n">
        <f aca="false">IFERROR(E9/'VaR &amp; ES'!$C$8,0)</f>
        <v>0.0961922394453177</v>
      </c>
      <c r="G9" s="20" t="n">
        <f aca="false">-MIN((Positions!$E$9*Positions!$N$9*Stress!$C$5+Positions!$E$9*Positions!$O$9*Stress!$D$5+Positions!$E$9*Positions!$P$9*Stress!$E$5+Positions!$E$9*Positions!$Q$9*Stress!$F$5+Positions!$E$9*Positions!$R$9*Stress!$G$5),(Positions!$E$9*Positions!$N$9*Stress!$C$6+Positions!$E$9*Positions!$O$9*Stress!$D$6+Positions!$E$9*Positions!$P$9*Stress!$E$6+Positions!$E$9*Positions!$Q$9*Stress!$F$6+Positions!$E$9*Positions!$R$9*Stress!$G$6),(Positions!$E$9*Positions!$N$9*Stress!$C$7+Positions!$E$9*Positions!$O$9*Stress!$D$7+Positions!$E$9*Positions!$P$9*Stress!$E$7+Positions!$E$9*Positions!$Q$9*Stress!$F$7+Positions!$E$9*Positions!$R$9*Stress!$G$7),(Positions!$E$9*Positions!$N$9*Stress!$C$8+Positions!$E$9*Positions!$O$9*Stress!$D$8+Positions!$E$9*Positions!$P$9*Stress!$E$8+Positions!$E$9*Positions!$Q$9*Stress!$F$8+Positions!$E$9*Positions!$R$9*Stress!$G$8),(Positions!$E$9*Positions!$N$9*Stress!$C$9+Positions!$E$9*Positions!$O$9*Stress!$D$9+Positions!$E$9*Positions!$P$9*Stress!$E$9+Positions!$E$9*Positions!$Q$9*Stress!$F$9+Positions!$E$9*Positions!$R$9*Stress!$G$9),(Positions!$E$9*Positions!$N$9*Stress!$C$10+Positions!$E$9*Positions!$O$9*Stress!$D$10+Positions!$E$9*Positions!$P$9*Stress!$E$10+Positions!$E$9*Positions!$Q$9*Stress!$F$10+Positions!$E$9*Positions!$R$9*Stress!$G$10))</f>
        <v>6.9</v>
      </c>
      <c r="H9" s="20" t="n">
        <f aca="false">Liquidity!G9</f>
        <v>0.134164078649987</v>
      </c>
      <c r="I9" s="20" t="n">
        <f aca="false">ABS(E9)+G9+H9</f>
        <v>8.08453901675792</v>
      </c>
      <c r="J9" s="17" t="n">
        <f aca="false">IFERROR(I9/SUM($I$5:$I$16),0)</f>
        <v>0.0590656400452975</v>
      </c>
    </row>
    <row r="10" customFormat="false" ht="15" hidden="false" customHeight="true" outlineLevel="0" collapsed="false">
      <c r="B10" s="1" t="str">
        <f aca="false">Positions!B10</f>
        <v>HY Bond</v>
      </c>
      <c r="C10" s="20" t="n">
        <f aca="false">ABS(Positions!E10)</f>
        <v>40</v>
      </c>
      <c r="D10" s="20" t="n">
        <f aca="false">'VaR &amp; ES'!$C$7*SQRT(MAX(0,((Positions!$E$10*Positions!$N$10)*(Positions!$E$10*Positions!$N$10)*Factors!$D$5*Factors!$D$5*Factors!$E$5+(Positions!$E$10*Positions!$N$10)*(Positions!$E$10*Positions!$O$10)*Factors!$D$5*Factors!$D$6*Factors!$F$5+(Positions!$E$10*Positions!$N$10)*(Positions!$E$10*Positions!$P$10)*Factors!$D$5*Factors!$D$7*Factors!$G$5+(Positions!$E$10*Positions!$N$10)*(Positions!$E$10*Positions!$Q$10)*Factors!$D$5*Factors!$D$8*Factors!$H$5+(Positions!$E$10*Positions!$N$10)*(Positions!$E$10*Positions!$R$10)*Factors!$D$5*Factors!$D$9*Factors!$I$5+(Positions!$E$10*Positions!$O$10)*(Positions!$E$10*Positions!$N$10)*Factors!$D$6*Factors!$D$5*Factors!$E$6+(Positions!$E$10*Positions!$O$10)*(Positions!$E$10*Positions!$O$10)*Factors!$D$6*Factors!$D$6*Factors!$F$6+(Positions!$E$10*Positions!$O$10)*(Positions!$E$10*Positions!$P$10)*Factors!$D$6*Factors!$D$7*Factors!$G$6+(Positions!$E$10*Positions!$O$10)*(Positions!$E$10*Positions!$Q$10)*Factors!$D$6*Factors!$D$8*Factors!$H$6+(Positions!$E$10*Positions!$O$10)*(Positions!$E$10*Positions!$R$10)*Factors!$D$6*Factors!$D$9*Factors!$I$6+(Positions!$E$10*Positions!$P$10)*(Positions!$E$10*Positions!$N$10)*Factors!$D$7*Factors!$D$5*Factors!$E$7+(Positions!$E$10*Positions!$P$10)*(Positions!$E$10*Positions!$O$10)*Factors!$D$7*Factors!$D$6*Factors!$F$7+(Positions!$E$10*Positions!$P$10)*(Positions!$E$10*Positions!$P$10)*Factors!$D$7*Factors!$D$7*Factors!$G$7+(Positions!$E$10*Positions!$P$10)*(Positions!$E$10*Positions!$Q$10)*Factors!$D$7*Factors!$D$8*Factors!$H$7+(Positions!$E$10*Positions!$P$10)*(Positions!$E$10*Positions!$R$10)*Factors!$D$7*Factors!$D$9*Factors!$I$7+(Positions!$E$10*Positions!$Q$10)*(Positions!$E$10*Positions!$N$10)*Factors!$D$8*Factors!$D$5*Factors!$E$8+(Positions!$E$10*Positions!$Q$10)*(Positions!$E$10*Positions!$O$10)*Factors!$D$8*Factors!$D$6*Factors!$F$8+(Positions!$E$10*Positions!$Q$10)*(Positions!$E$10*Positions!$P$10)*Factors!$D$8*Factors!$D$7*Factors!$G$8+(Positions!$E$10*Positions!$Q$10)*(Positions!$E$10*Positions!$Q$10)*Factors!$D$8*Factors!$D$8*Factors!$H$8+(Positions!$E$10*Positions!$Q$10)*(Positions!$E$10*Positions!$R$10)*Factors!$D$8*Factors!$D$9*Factors!$I$8+(Positions!$E$10*Positions!$R$10)*(Positions!$E$10*Positions!$N$10)*Factors!$D$9*Factors!$D$5*Factors!$E$9+(Positions!$E$10*Positions!$R$10)*(Positions!$E$10*Positions!$O$10)*Factors!$D$9*Factors!$D$6*Factors!$F$9+(Positions!$E$10*Positions!$R$10)*(Positions!$E$10*Positions!$P$10)*Factors!$D$9*Factors!$D$7*Factors!$G$9+(Positions!$E$10*Positions!$R$10)*(Positions!$E$10*Positions!$Q$10)*Factors!$D$9*Factors!$D$8*Factors!$H$9+(Positions!$E$10*Positions!$R$10)*(Positions!$E$10*Positions!$R$10)*Factors!$D$9*Factors!$D$9*Factors!$I$9)/Assumptions!$E$6))</f>
        <v>1.55420226779264</v>
      </c>
      <c r="E10" s="20" t="n">
        <f aca="false">IFERROR('VaR &amp; ES'!$C$7*((Positions!$E$10*Positions!$N$10)*Factors!$D$5*Factors!$C$5*Factors!$D$5*Factors!$E$5+(Positions!$E$10*Positions!$N$10)*Factors!$D$5*Factors!$C$6*Factors!$D$6*Factors!$F$5+(Positions!$E$10*Positions!$N$10)*Factors!$D$5*Factors!$C$7*Factors!$D$7*Factors!$G$5+(Positions!$E$10*Positions!$N$10)*Factors!$D$5*Factors!$C$8*Factors!$D$8*Factors!$H$5+(Positions!$E$10*Positions!$N$10)*Factors!$D$5*Factors!$C$9*Factors!$D$9*Factors!$I$5+(Positions!$E$10*Positions!$O$10)*Factors!$D$6*Factors!$C$5*Factors!$D$5*Factors!$E$6+(Positions!$E$10*Positions!$O$10)*Factors!$D$6*Factors!$C$6*Factors!$D$6*Factors!$F$6+(Positions!$E$10*Positions!$O$10)*Factors!$D$6*Factors!$C$7*Factors!$D$7*Factors!$G$6+(Positions!$E$10*Positions!$O$10)*Factors!$D$6*Factors!$C$8*Factors!$D$8*Factors!$H$6+(Positions!$E$10*Positions!$O$10)*Factors!$D$6*Factors!$C$9*Factors!$D$9*Factors!$I$6+(Positions!$E$10*Positions!$P$10)*Factors!$D$7*Factors!$C$5*Factors!$D$5*Factors!$E$7+(Positions!$E$10*Positions!$P$10)*Factors!$D$7*Factors!$C$6*Factors!$D$6*Factors!$F$7+(Positions!$E$10*Positions!$P$10)*Factors!$D$7*Factors!$C$7*Factors!$D$7*Factors!$G$7+(Positions!$E$10*Positions!$P$10)*Factors!$D$7*Factors!$C$8*Factors!$D$8*Factors!$H$7+(Positions!$E$10*Positions!$P$10)*Factors!$D$7*Factors!$C$9*Factors!$D$9*Factors!$I$7+(Positions!$E$10*Positions!$Q$10)*Factors!$D$8*Factors!$C$5*Factors!$D$5*Factors!$E$8+(Positions!$E$10*Positions!$Q$10)*Factors!$D$8*Factors!$C$6*Factors!$D$6*Factors!$F$8+(Positions!$E$10*Positions!$Q$10)*Factors!$D$8*Factors!$C$7*Factors!$D$7*Factors!$G$8+(Positions!$E$10*Positions!$Q$10)*Factors!$D$8*Factors!$C$8*Factors!$D$8*Factors!$H$8+(Positions!$E$10*Positions!$Q$10)*Factors!$D$8*Factors!$C$9*Factors!$D$9*Factors!$I$8+(Positions!$E$10*Positions!$R$10)*Factors!$D$9*Factors!$C$5*Factors!$D$5*Factors!$E$9+(Positions!$E$10*Positions!$R$10)*Factors!$D$9*Factors!$C$6*Factors!$D$6*Factors!$F$9+(Positions!$E$10*Positions!$R$10)*Factors!$D$9*Factors!$C$7*Factors!$D$7*Factors!$G$9+(Positions!$E$10*Positions!$R$10)*Factors!$D$9*Factors!$C$8*Factors!$D$8*Factors!$H$9+(Positions!$E$10*Positions!$R$10)*Factors!$D$9*Factors!$C$9*Factors!$D$9*Factors!$I$9)/(Factors!$C$13*SQRT(Assumptions!$E$6)),0)</f>
        <v>1.41333137986071</v>
      </c>
      <c r="F10" s="17" t="n">
        <f aca="false">IFERROR(E10/'VaR &amp; ES'!$C$8,0)</f>
        <v>0.129431411179741</v>
      </c>
      <c r="G10" s="20" t="n">
        <f aca="false">-MIN((Positions!$E$10*Positions!$N$10*Stress!$C$5+Positions!$E$10*Positions!$O$10*Stress!$D$5+Positions!$E$10*Positions!$P$10*Stress!$E$5+Positions!$E$10*Positions!$Q$10*Stress!$F$5+Positions!$E$10*Positions!$R$10*Stress!$G$5),(Positions!$E$10*Positions!$N$10*Stress!$C$6+Positions!$E$10*Positions!$O$10*Stress!$D$6+Positions!$E$10*Positions!$P$10*Stress!$E$6+Positions!$E$10*Positions!$Q$10*Stress!$F$6+Positions!$E$10*Positions!$R$10*Stress!$G$6),(Positions!$E$10*Positions!$N$10*Stress!$C$7+Positions!$E$10*Positions!$O$10*Stress!$D$7+Positions!$E$10*Positions!$P$10*Stress!$E$7+Positions!$E$10*Positions!$Q$10*Stress!$F$7+Positions!$E$10*Positions!$R$10*Stress!$G$7),(Positions!$E$10*Positions!$N$10*Stress!$C$8+Positions!$E$10*Positions!$O$10*Stress!$D$8+Positions!$E$10*Positions!$P$10*Stress!$E$8+Positions!$E$10*Positions!$Q$10*Stress!$F$8+Positions!$E$10*Positions!$R$10*Stress!$G$8),(Positions!$E$10*Positions!$N$10*Stress!$C$9+Positions!$E$10*Positions!$O$10*Stress!$D$9+Positions!$E$10*Positions!$P$10*Stress!$E$9+Positions!$E$10*Positions!$Q$10*Stress!$F$9+Positions!$E$10*Positions!$R$10*Stress!$G$9),(Positions!$E$10*Positions!$N$10*Stress!$C$10+Positions!$E$10*Positions!$O$10*Stress!$D$10+Positions!$E$10*Positions!$P$10*Stress!$E$10+Positions!$E$10*Positions!$Q$10*Stress!$F$10+Positions!$E$10*Positions!$R$10*Stress!$G$10))</f>
        <v>4.584</v>
      </c>
      <c r="H10" s="20" t="n">
        <f aca="false">Liquidity!G10</f>
        <v>0.0096</v>
      </c>
      <c r="I10" s="20" t="n">
        <f aca="false">ABS(E10)+G10+H10</f>
        <v>6.00693137986071</v>
      </c>
      <c r="J10" s="17" t="n">
        <f aca="false">IFERROR(I10/SUM($I$5:$I$16),0)</f>
        <v>0.0438866391669588</v>
      </c>
    </row>
    <row r="11" customFormat="false" ht="15" hidden="false" customHeight="true" outlineLevel="0" collapsed="false">
      <c r="B11" s="1" t="str">
        <f aca="false">Positions!B11</f>
        <v>EURUSD Forward</v>
      </c>
      <c r="C11" s="20" t="n">
        <f aca="false">ABS(Positions!E11)</f>
        <v>80</v>
      </c>
      <c r="D11" s="20" t="n">
        <f aca="false">'VaR &amp; ES'!$C$7*SQRT(MAX(0,((Positions!$E$11*Positions!$N$11)*(Positions!$E$11*Positions!$N$11)*Factors!$D$5*Factors!$D$5*Factors!$E$5+(Positions!$E$11*Positions!$N$11)*(Positions!$E$11*Positions!$O$11)*Factors!$D$5*Factors!$D$6*Factors!$F$5+(Positions!$E$11*Positions!$N$11)*(Positions!$E$11*Positions!$P$11)*Factors!$D$5*Factors!$D$7*Factors!$G$5+(Positions!$E$11*Positions!$N$11)*(Positions!$E$11*Positions!$Q$11)*Factors!$D$5*Factors!$D$8*Factors!$H$5+(Positions!$E$11*Positions!$N$11)*(Positions!$E$11*Positions!$R$11)*Factors!$D$5*Factors!$D$9*Factors!$I$5+(Positions!$E$11*Positions!$O$11)*(Positions!$E$11*Positions!$N$11)*Factors!$D$6*Factors!$D$5*Factors!$E$6+(Positions!$E$11*Positions!$O$11)*(Positions!$E$11*Positions!$O$11)*Factors!$D$6*Factors!$D$6*Factors!$F$6+(Positions!$E$11*Positions!$O$11)*(Positions!$E$11*Positions!$P$11)*Factors!$D$6*Factors!$D$7*Factors!$G$6+(Positions!$E$11*Positions!$O$11)*(Positions!$E$11*Positions!$Q$11)*Factors!$D$6*Factors!$D$8*Factors!$H$6+(Positions!$E$11*Positions!$O$11)*(Positions!$E$11*Positions!$R$11)*Factors!$D$6*Factors!$D$9*Factors!$I$6+(Positions!$E$11*Positions!$P$11)*(Positions!$E$11*Positions!$N$11)*Factors!$D$7*Factors!$D$5*Factors!$E$7+(Positions!$E$11*Positions!$P$11)*(Positions!$E$11*Positions!$O$11)*Factors!$D$7*Factors!$D$6*Factors!$F$7+(Positions!$E$11*Positions!$P$11)*(Positions!$E$11*Positions!$P$11)*Factors!$D$7*Factors!$D$7*Factors!$G$7+(Positions!$E$11*Positions!$P$11)*(Positions!$E$11*Positions!$Q$11)*Factors!$D$7*Factors!$D$8*Factors!$H$7+(Positions!$E$11*Positions!$P$11)*(Positions!$E$11*Positions!$R$11)*Factors!$D$7*Factors!$D$9*Factors!$I$7+(Positions!$E$11*Positions!$Q$11)*(Positions!$E$11*Positions!$N$11)*Factors!$D$8*Factors!$D$5*Factors!$E$8+(Positions!$E$11*Positions!$Q$11)*(Positions!$E$11*Positions!$O$11)*Factors!$D$8*Factors!$D$6*Factors!$F$8+(Positions!$E$11*Positions!$Q$11)*(Positions!$E$11*Positions!$P$11)*Factors!$D$8*Factors!$D$7*Factors!$G$8+(Positions!$E$11*Positions!$Q$11)*(Positions!$E$11*Positions!$Q$11)*Factors!$D$8*Factors!$D$8*Factors!$H$8+(Positions!$E$11*Positions!$Q$11)*(Positions!$E$11*Positions!$R$11)*Factors!$D$8*Factors!$D$9*Factors!$I$8+(Positions!$E$11*Positions!$R$11)*(Positions!$E$11*Positions!$N$11)*Factors!$D$9*Factors!$D$5*Factors!$E$9+(Positions!$E$11*Positions!$R$11)*(Positions!$E$11*Positions!$O$11)*Factors!$D$9*Factors!$D$6*Factors!$F$9+(Positions!$E$11*Positions!$R$11)*(Positions!$E$11*Positions!$P$11)*Factors!$D$9*Factors!$D$7*Factors!$G$9+(Positions!$E$11*Positions!$R$11)*(Positions!$E$11*Positions!$Q$11)*Factors!$D$9*Factors!$D$8*Factors!$H$9+(Positions!$E$11*Positions!$R$11)*(Positions!$E$11*Positions!$R$11)*Factors!$D$9*Factors!$D$9*Factors!$I$9)/Assumptions!$E$6))</f>
        <v>2.59619190740689</v>
      </c>
      <c r="E11" s="20" t="n">
        <f aca="false">IFERROR('VaR &amp; ES'!$C$7*((Positions!$E$11*Positions!$N$11)*Factors!$D$5*Factors!$C$5*Factors!$D$5*Factors!$E$5+(Positions!$E$11*Positions!$N$11)*Factors!$D$5*Factors!$C$6*Factors!$D$6*Factors!$F$5+(Positions!$E$11*Positions!$N$11)*Factors!$D$5*Factors!$C$7*Factors!$D$7*Factors!$G$5+(Positions!$E$11*Positions!$N$11)*Factors!$D$5*Factors!$C$8*Factors!$D$8*Factors!$H$5+(Positions!$E$11*Positions!$N$11)*Factors!$D$5*Factors!$C$9*Factors!$D$9*Factors!$I$5+(Positions!$E$11*Positions!$O$11)*Factors!$D$6*Factors!$C$5*Factors!$D$5*Factors!$E$6+(Positions!$E$11*Positions!$O$11)*Factors!$D$6*Factors!$C$6*Factors!$D$6*Factors!$F$6+(Positions!$E$11*Positions!$O$11)*Factors!$D$6*Factors!$C$7*Factors!$D$7*Factors!$G$6+(Positions!$E$11*Positions!$O$11)*Factors!$D$6*Factors!$C$8*Factors!$D$8*Factors!$H$6+(Positions!$E$11*Positions!$O$11)*Factors!$D$6*Factors!$C$9*Factors!$D$9*Factors!$I$6+(Positions!$E$11*Positions!$P$11)*Factors!$D$7*Factors!$C$5*Factors!$D$5*Factors!$E$7+(Positions!$E$11*Positions!$P$11)*Factors!$D$7*Factors!$C$6*Factors!$D$6*Factors!$F$7+(Positions!$E$11*Positions!$P$11)*Factors!$D$7*Factors!$C$7*Factors!$D$7*Factors!$G$7+(Positions!$E$11*Positions!$P$11)*Factors!$D$7*Factors!$C$8*Factors!$D$8*Factors!$H$7+(Positions!$E$11*Positions!$P$11)*Factors!$D$7*Factors!$C$9*Factors!$D$9*Factors!$I$7+(Positions!$E$11*Positions!$Q$11)*Factors!$D$8*Factors!$C$5*Factors!$D$5*Factors!$E$8+(Positions!$E$11*Positions!$Q$11)*Factors!$D$8*Factors!$C$6*Factors!$D$6*Factors!$F$8+(Positions!$E$11*Positions!$Q$11)*Factors!$D$8*Factors!$C$7*Factors!$D$7*Factors!$G$8+(Positions!$E$11*Positions!$Q$11)*Factors!$D$8*Factors!$C$8*Factors!$D$8*Factors!$H$8+(Positions!$E$11*Positions!$Q$11)*Factors!$D$8*Factors!$C$9*Factors!$D$9*Factors!$I$8+(Positions!$E$11*Positions!$R$11)*Factors!$D$9*Factors!$C$5*Factors!$D$5*Factors!$E$9+(Positions!$E$11*Positions!$R$11)*Factors!$D$9*Factors!$C$6*Factors!$D$6*Factors!$F$9+(Positions!$E$11*Positions!$R$11)*Factors!$D$9*Factors!$C$7*Factors!$D$7*Factors!$G$9+(Positions!$E$11*Positions!$R$11)*Factors!$D$9*Factors!$C$8*Factors!$D$8*Factors!$H$9+(Positions!$E$11*Positions!$R$11)*Factors!$D$9*Factors!$C$9*Factors!$D$9*Factors!$I$9)/(Factors!$C$13*SQRT(Assumptions!$E$6)),0)</f>
        <v>0.257500325969527</v>
      </c>
      <c r="F11" s="17" t="n">
        <f aca="false">IFERROR(E11/'VaR &amp; ES'!$C$8,0)</f>
        <v>0.0235816108270119</v>
      </c>
      <c r="G11" s="20" t="n">
        <f aca="false">-MIN((Positions!$E$11*Positions!$N$11*Stress!$C$5+Positions!$E$11*Positions!$O$11*Stress!$D$5+Positions!$E$11*Positions!$P$11*Stress!$E$5+Positions!$E$11*Positions!$Q$11*Stress!$F$5+Positions!$E$11*Positions!$R$11*Stress!$G$5),(Positions!$E$11*Positions!$N$11*Stress!$C$6+Positions!$E$11*Positions!$O$11*Stress!$D$6+Positions!$E$11*Positions!$P$11*Stress!$E$6+Positions!$E$11*Positions!$Q$11*Stress!$F$6+Positions!$E$11*Positions!$R$11*Stress!$G$6),(Positions!$E$11*Positions!$N$11*Stress!$C$7+Positions!$E$11*Positions!$O$11*Stress!$D$7+Positions!$E$11*Positions!$P$11*Stress!$E$7+Positions!$E$11*Positions!$Q$11*Stress!$F$7+Positions!$E$11*Positions!$R$11*Stress!$G$7),(Positions!$E$11*Positions!$N$11*Stress!$C$8+Positions!$E$11*Positions!$O$11*Stress!$D$8+Positions!$E$11*Positions!$P$11*Stress!$E$8+Positions!$E$11*Positions!$Q$11*Stress!$F$8+Positions!$E$11*Positions!$R$11*Stress!$G$8),(Positions!$E$11*Positions!$N$11*Stress!$C$9+Positions!$E$11*Positions!$O$11*Stress!$D$9+Positions!$E$11*Positions!$P$11*Stress!$E$9+Positions!$E$11*Positions!$Q$11*Stress!$F$9+Positions!$E$11*Positions!$R$11*Stress!$G$9),(Positions!$E$11*Positions!$N$11*Stress!$C$10+Positions!$E$11*Positions!$O$11*Stress!$D$10+Positions!$E$11*Positions!$P$11*Stress!$E$10+Positions!$E$11*Positions!$Q$11*Stress!$F$10+Positions!$E$11*Positions!$R$11*Stress!$G$10))</f>
        <v>6.4</v>
      </c>
      <c r="H11" s="20" t="n">
        <f aca="false">Liquidity!G11</f>
        <v>0.434446406361015</v>
      </c>
      <c r="I11" s="20" t="n">
        <f aca="false">ABS(E11)+G11+H11</f>
        <v>7.09194673233054</v>
      </c>
      <c r="J11" s="17" t="n">
        <f aca="false">IFERROR(I11/SUM($I$5:$I$16),0)</f>
        <v>0.0518137610621914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0" t="n">
        <f aca="false">ABS(Positions!E12)</f>
        <v>65</v>
      </c>
      <c r="D12" s="20" t="n">
        <f aca="false">'VaR &amp; ES'!$C$7*SQRT(MAX(0,((Positions!$E$12*Positions!$N$12)*(Positions!$E$12*Positions!$N$12)*Factors!$D$5*Factors!$D$5*Factors!$E$5+(Positions!$E$12*Positions!$N$12)*(Positions!$E$12*Positions!$O$12)*Factors!$D$5*Factors!$D$6*Factors!$F$5+(Positions!$E$12*Positions!$N$12)*(Positions!$E$12*Positions!$P$12)*Factors!$D$5*Factors!$D$7*Factors!$G$5+(Positions!$E$12*Positions!$N$12)*(Positions!$E$12*Positions!$Q$12)*Factors!$D$5*Factors!$D$8*Factors!$H$5+(Positions!$E$12*Positions!$N$12)*(Positions!$E$12*Positions!$R$12)*Factors!$D$5*Factors!$D$9*Factors!$I$5+(Positions!$E$12*Positions!$O$12)*(Positions!$E$12*Positions!$N$12)*Factors!$D$6*Factors!$D$5*Factors!$E$6+(Positions!$E$12*Positions!$O$12)*(Positions!$E$12*Positions!$O$12)*Factors!$D$6*Factors!$D$6*Factors!$F$6+(Positions!$E$12*Positions!$O$12)*(Positions!$E$12*Positions!$P$12)*Factors!$D$6*Factors!$D$7*Factors!$G$6+(Positions!$E$12*Positions!$O$12)*(Positions!$E$12*Positions!$Q$12)*Factors!$D$6*Factors!$D$8*Factors!$H$6+(Positions!$E$12*Positions!$O$12)*(Positions!$E$12*Positions!$R$12)*Factors!$D$6*Factors!$D$9*Factors!$I$6+(Positions!$E$12*Positions!$P$12)*(Positions!$E$12*Positions!$N$12)*Factors!$D$7*Factors!$D$5*Factors!$E$7+(Positions!$E$12*Positions!$P$12)*(Positions!$E$12*Positions!$O$12)*Factors!$D$7*Factors!$D$6*Factors!$F$7+(Positions!$E$12*Positions!$P$12)*(Positions!$E$12*Positions!$P$12)*Factors!$D$7*Factors!$D$7*Factors!$G$7+(Positions!$E$12*Positions!$P$12)*(Positions!$E$12*Positions!$Q$12)*Factors!$D$7*Factors!$D$8*Factors!$H$7+(Positions!$E$12*Positions!$P$12)*(Positions!$E$12*Positions!$R$12)*Factors!$D$7*Factors!$D$9*Factors!$I$7+(Positions!$E$12*Positions!$Q$12)*(Positions!$E$12*Positions!$N$12)*Factors!$D$8*Factors!$D$5*Factors!$E$8+(Positions!$E$12*Positions!$Q$12)*(Positions!$E$12*Positions!$O$12)*Factors!$D$8*Factors!$D$6*Factors!$F$8+(Positions!$E$12*Positions!$Q$12)*(Positions!$E$12*Positions!$P$12)*Factors!$D$8*Factors!$D$7*Factors!$G$8+(Positions!$E$12*Positions!$Q$12)*(Positions!$E$12*Positions!$Q$12)*Factors!$D$8*Factors!$D$8*Factors!$H$8+(Positions!$E$12*Positions!$Q$12)*(Positions!$E$12*Positions!$R$12)*Factors!$D$8*Factors!$D$9*Factors!$I$8+(Positions!$E$12*Positions!$R$12)*(Positions!$E$12*Positions!$N$12)*Factors!$D$9*Factors!$D$5*Factors!$E$9+(Positions!$E$12*Positions!$R$12)*(Positions!$E$12*Positions!$O$12)*Factors!$D$9*Factors!$D$6*Factors!$F$9+(Positions!$E$12*Positions!$R$12)*(Positions!$E$12*Positions!$P$12)*Factors!$D$9*Factors!$D$7*Factors!$G$9+(Positions!$E$12*Positions!$R$12)*(Positions!$E$12*Positions!$Q$12)*Factors!$D$9*Factors!$D$8*Factors!$H$9+(Positions!$E$12*Positions!$R$12)*(Positions!$E$12*Positions!$R$12)*Factors!$D$9*Factors!$D$9*Factors!$I$9)/Assumptions!$E$6))</f>
        <v>1.56817696951637</v>
      </c>
      <c r="E12" s="20" t="n">
        <f aca="false">IFERROR('VaR &amp; ES'!$C$7*((Positions!$E$12*Positions!$N$12)*Factors!$D$5*Factors!$C$5*Factors!$D$5*Factors!$E$5+(Positions!$E$12*Positions!$N$12)*Factors!$D$5*Factors!$C$6*Factors!$D$6*Factors!$F$5+(Positions!$E$12*Positions!$N$12)*Factors!$D$5*Factors!$C$7*Factors!$D$7*Factors!$G$5+(Positions!$E$12*Positions!$N$12)*Factors!$D$5*Factors!$C$8*Factors!$D$8*Factors!$H$5+(Positions!$E$12*Positions!$N$12)*Factors!$D$5*Factors!$C$9*Factors!$D$9*Factors!$I$5+(Positions!$E$12*Positions!$O$12)*Factors!$D$6*Factors!$C$5*Factors!$D$5*Factors!$E$6+(Positions!$E$12*Positions!$O$12)*Factors!$D$6*Factors!$C$6*Factors!$D$6*Factors!$F$6+(Positions!$E$12*Positions!$O$12)*Factors!$D$6*Factors!$C$7*Factors!$D$7*Factors!$G$6+(Positions!$E$12*Positions!$O$12)*Factors!$D$6*Factors!$C$8*Factors!$D$8*Factors!$H$6+(Positions!$E$12*Positions!$O$12)*Factors!$D$6*Factors!$C$9*Factors!$D$9*Factors!$I$6+(Positions!$E$12*Positions!$P$12)*Factors!$D$7*Factors!$C$5*Factors!$D$5*Factors!$E$7+(Positions!$E$12*Positions!$P$12)*Factors!$D$7*Factors!$C$6*Factors!$D$6*Factors!$F$7+(Positions!$E$12*Positions!$P$12)*Factors!$D$7*Factors!$C$7*Factors!$D$7*Factors!$G$7+(Positions!$E$12*Positions!$P$12)*Factors!$D$7*Factors!$C$8*Factors!$D$8*Factors!$H$7+(Positions!$E$12*Positions!$P$12)*Factors!$D$7*Factors!$C$9*Factors!$D$9*Factors!$I$7+(Positions!$E$12*Positions!$Q$12)*Factors!$D$8*Factors!$C$5*Factors!$D$5*Factors!$E$8+(Positions!$E$12*Positions!$Q$12)*Factors!$D$8*Factors!$C$6*Factors!$D$6*Factors!$F$8+(Positions!$E$12*Positions!$Q$12)*Factors!$D$8*Factors!$C$7*Factors!$D$7*Factors!$G$8+(Positions!$E$12*Positions!$Q$12)*Factors!$D$8*Factors!$C$8*Factors!$D$8*Factors!$H$8+(Positions!$E$12*Positions!$Q$12)*Factors!$D$8*Factors!$C$9*Factors!$D$9*Factors!$I$8+(Positions!$E$12*Positions!$R$12)*Factors!$D$9*Factors!$C$5*Factors!$D$5*Factors!$E$9+(Positions!$E$12*Positions!$R$12)*Factors!$D$9*Factors!$C$6*Factors!$D$6*Factors!$F$9+(Positions!$E$12*Positions!$R$12)*Factors!$D$9*Factors!$C$7*Factors!$D$7*Factors!$G$9+(Positions!$E$12*Positions!$R$12)*Factors!$D$9*Factors!$C$8*Factors!$D$8*Factors!$H$9+(Positions!$E$12*Positions!$R$12)*Factors!$D$9*Factors!$C$9*Factors!$D$9*Factors!$I$9)/(Factors!$C$13*SQRT(Assumptions!$E$6)),0)</f>
        <v>1.46160667584396</v>
      </c>
      <c r="F12" s="17" t="n">
        <f aca="false">IFERROR(E12/'VaR &amp; ES'!$C$8,0)</f>
        <v>0.133852412349931</v>
      </c>
      <c r="G12" s="20" t="n">
        <f aca="false">-MIN((Positions!$E$12*Positions!$N$12*Stress!$C$5+Positions!$E$12*Positions!$O$12*Stress!$D$5+Positions!$E$12*Positions!$P$12*Stress!$E$5+Positions!$E$12*Positions!$Q$12*Stress!$F$5+Positions!$E$12*Positions!$R$12*Stress!$G$5),(Positions!$E$12*Positions!$N$12*Stress!$C$6+Positions!$E$12*Positions!$O$12*Stress!$D$6+Positions!$E$12*Positions!$P$12*Stress!$E$6+Positions!$E$12*Positions!$Q$12*Stress!$F$6+Positions!$E$12*Positions!$R$12*Stress!$G$6),(Positions!$E$12*Positions!$N$12*Stress!$C$7+Positions!$E$12*Positions!$O$12*Stress!$D$7+Positions!$E$12*Positions!$P$12*Stress!$E$7+Positions!$E$12*Positions!$Q$12*Stress!$F$7+Positions!$E$12*Positions!$R$12*Stress!$G$7),(Positions!$E$12*Positions!$N$12*Stress!$C$8+Positions!$E$12*Positions!$O$12*Stress!$D$8+Positions!$E$12*Positions!$P$12*Stress!$E$8+Positions!$E$12*Positions!$Q$12*Stress!$F$8+Positions!$E$12*Positions!$R$12*Stress!$G$8),(Positions!$E$12*Positions!$N$12*Stress!$C$9+Positions!$E$12*Positions!$O$12*Stress!$D$9+Positions!$E$12*Positions!$P$12*Stress!$E$9+Positions!$E$12*Positions!$Q$12*Stress!$F$9+Positions!$E$12*Positions!$R$12*Stress!$G$9),(Positions!$E$12*Positions!$N$12*Stress!$C$10+Positions!$E$12*Positions!$O$12*Stress!$D$10+Positions!$E$12*Positions!$P$12*Stress!$E$10+Positions!$E$12*Positions!$Q$12*Stress!$F$10+Positions!$E$12*Positions!$R$12*Stress!$G$10))</f>
        <v>2.8925</v>
      </c>
      <c r="H12" s="20" t="n">
        <f aca="false">Liquidity!G12</f>
        <v>0.258520289339154</v>
      </c>
      <c r="I12" s="20" t="n">
        <f aca="false">ABS(E12)+G12+H12</f>
        <v>4.61262696518311</v>
      </c>
      <c r="J12" s="17" t="n">
        <f aca="false">IFERROR(I12/SUM($I$5:$I$16),0)</f>
        <v>0.0336998514601759</v>
      </c>
    </row>
    <row r="13" customFormat="false" ht="15" hidden="false" customHeight="true" outlineLevel="0" collapsed="false">
      <c r="B13" s="1" t="str">
        <f aca="false">Positions!B13</f>
        <v>Variance Swap</v>
      </c>
      <c r="C13" s="20" t="n">
        <f aca="false">ABS(Positions!E13)</f>
        <v>30</v>
      </c>
      <c r="D13" s="20" t="n">
        <f aca="false">'VaR &amp; ES'!$C$7*SQRT(MAX(0,((Positions!$E$13*Positions!$N$13)*(Positions!$E$13*Positions!$N$13)*Factors!$D$5*Factors!$D$5*Factors!$E$5+(Positions!$E$13*Positions!$N$13)*(Positions!$E$13*Positions!$O$13)*Factors!$D$5*Factors!$D$6*Factors!$F$5+(Positions!$E$13*Positions!$N$13)*(Positions!$E$13*Positions!$P$13)*Factors!$D$5*Factors!$D$7*Factors!$G$5+(Positions!$E$13*Positions!$N$13)*(Positions!$E$13*Positions!$Q$13)*Factors!$D$5*Factors!$D$8*Factors!$H$5+(Positions!$E$13*Positions!$N$13)*(Positions!$E$13*Positions!$R$13)*Factors!$D$5*Factors!$D$9*Factors!$I$5+(Positions!$E$13*Positions!$O$13)*(Positions!$E$13*Positions!$N$13)*Factors!$D$6*Factors!$D$5*Factors!$E$6+(Positions!$E$13*Positions!$O$13)*(Positions!$E$13*Positions!$O$13)*Factors!$D$6*Factors!$D$6*Factors!$F$6+(Positions!$E$13*Positions!$O$13)*(Positions!$E$13*Positions!$P$13)*Factors!$D$6*Factors!$D$7*Factors!$G$6+(Positions!$E$13*Positions!$O$13)*(Positions!$E$13*Positions!$Q$13)*Factors!$D$6*Factors!$D$8*Factors!$H$6+(Positions!$E$13*Positions!$O$13)*(Positions!$E$13*Positions!$R$13)*Factors!$D$6*Factors!$D$9*Factors!$I$6+(Positions!$E$13*Positions!$P$13)*(Positions!$E$13*Positions!$N$13)*Factors!$D$7*Factors!$D$5*Factors!$E$7+(Positions!$E$13*Positions!$P$13)*(Positions!$E$13*Positions!$O$13)*Factors!$D$7*Factors!$D$6*Factors!$F$7+(Positions!$E$13*Positions!$P$13)*(Positions!$E$13*Positions!$P$13)*Factors!$D$7*Factors!$D$7*Factors!$G$7+(Positions!$E$13*Positions!$P$13)*(Positions!$E$13*Positions!$Q$13)*Factors!$D$7*Factors!$D$8*Factors!$H$7+(Positions!$E$13*Positions!$P$13)*(Positions!$E$13*Positions!$R$13)*Factors!$D$7*Factors!$D$9*Factors!$I$7+(Positions!$E$13*Positions!$Q$13)*(Positions!$E$13*Positions!$N$13)*Factors!$D$8*Factors!$D$5*Factors!$E$8+(Positions!$E$13*Positions!$Q$13)*(Positions!$E$13*Positions!$O$13)*Factors!$D$8*Factors!$D$6*Factors!$F$8+(Positions!$E$13*Positions!$Q$13)*(Positions!$E$13*Positions!$P$13)*Factors!$D$8*Factors!$D$7*Factors!$G$8+(Positions!$E$13*Positions!$Q$13)*(Positions!$E$13*Positions!$Q$13)*Factors!$D$8*Factors!$D$8*Factors!$H$8+(Positions!$E$13*Positions!$Q$13)*(Positions!$E$13*Positions!$R$13)*Factors!$D$8*Factors!$D$9*Factors!$I$8+(Positions!$E$13*Positions!$R$13)*(Positions!$E$13*Positions!$N$13)*Factors!$D$9*Factors!$D$5*Factors!$E$9+(Positions!$E$13*Positions!$R$13)*(Positions!$E$13*Positions!$O$13)*Factors!$D$9*Factors!$D$6*Factors!$F$9+(Positions!$E$13*Positions!$R$13)*(Positions!$E$13*Positions!$P$13)*Factors!$D$9*Factors!$D$7*Factors!$G$9+(Positions!$E$13*Positions!$R$13)*(Positions!$E$13*Positions!$Q$13)*Factors!$D$9*Factors!$D$8*Factors!$H$9+(Positions!$E$13*Positions!$R$13)*(Positions!$E$13*Positions!$R$13)*Factors!$D$9*Factors!$D$9*Factors!$I$9)/Assumptions!$E$6))</f>
        <v>2.43392991319396</v>
      </c>
      <c r="E13" s="20" t="n">
        <f aca="false">IFERROR('VaR &amp; ES'!$C$7*((Positions!$E$13*Positions!$N$13)*Factors!$D$5*Factors!$C$5*Factors!$D$5*Factors!$E$5+(Positions!$E$13*Positions!$N$13)*Factors!$D$5*Factors!$C$6*Factors!$D$6*Factors!$F$5+(Positions!$E$13*Positions!$N$13)*Factors!$D$5*Factors!$C$7*Factors!$D$7*Factors!$G$5+(Positions!$E$13*Positions!$N$13)*Factors!$D$5*Factors!$C$8*Factors!$D$8*Factors!$H$5+(Positions!$E$13*Positions!$N$13)*Factors!$D$5*Factors!$C$9*Factors!$D$9*Factors!$I$5+(Positions!$E$13*Positions!$O$13)*Factors!$D$6*Factors!$C$5*Factors!$D$5*Factors!$E$6+(Positions!$E$13*Positions!$O$13)*Factors!$D$6*Factors!$C$6*Factors!$D$6*Factors!$F$6+(Positions!$E$13*Positions!$O$13)*Factors!$D$6*Factors!$C$7*Factors!$D$7*Factors!$G$6+(Positions!$E$13*Positions!$O$13)*Factors!$D$6*Factors!$C$8*Factors!$D$8*Factors!$H$6+(Positions!$E$13*Positions!$O$13)*Factors!$D$6*Factors!$C$9*Factors!$D$9*Factors!$I$6+(Positions!$E$13*Positions!$P$13)*Factors!$D$7*Factors!$C$5*Factors!$D$5*Factors!$E$7+(Positions!$E$13*Positions!$P$13)*Factors!$D$7*Factors!$C$6*Factors!$D$6*Factors!$F$7+(Positions!$E$13*Positions!$P$13)*Factors!$D$7*Factors!$C$7*Factors!$D$7*Factors!$G$7+(Positions!$E$13*Positions!$P$13)*Factors!$D$7*Factors!$C$8*Factors!$D$8*Factors!$H$7+(Positions!$E$13*Positions!$P$13)*Factors!$D$7*Factors!$C$9*Factors!$D$9*Factors!$I$7+(Positions!$E$13*Positions!$Q$13)*Factors!$D$8*Factors!$C$5*Factors!$D$5*Factors!$E$8+(Positions!$E$13*Positions!$Q$13)*Factors!$D$8*Factors!$C$6*Factors!$D$6*Factors!$F$8+(Positions!$E$13*Positions!$Q$13)*Factors!$D$8*Factors!$C$7*Factors!$D$7*Factors!$G$8+(Positions!$E$13*Positions!$Q$13)*Factors!$D$8*Factors!$C$8*Factors!$D$8*Factors!$H$8+(Positions!$E$13*Positions!$Q$13)*Factors!$D$8*Factors!$C$9*Factors!$D$9*Factors!$I$8+(Positions!$E$13*Positions!$R$13)*Factors!$D$9*Factors!$C$5*Factors!$D$5*Factors!$E$9+(Positions!$E$13*Positions!$R$13)*Factors!$D$9*Factors!$C$6*Factors!$D$6*Factors!$F$9+(Positions!$E$13*Positions!$R$13)*Factors!$D$9*Factors!$C$7*Factors!$D$7*Factors!$G$9+(Positions!$E$13*Positions!$R$13)*Factors!$D$9*Factors!$C$8*Factors!$D$8*Factors!$H$9+(Positions!$E$13*Positions!$R$13)*Factors!$D$9*Factors!$C$9*Factors!$D$9*Factors!$I$9)/(Factors!$C$13*SQRT(Assumptions!$E$6)),0)</f>
        <v>1.26277439491866</v>
      </c>
      <c r="F13" s="17" t="n">
        <f aca="false">IFERROR(E13/'VaR &amp; ES'!$C$8,0)</f>
        <v>0.115643559794217</v>
      </c>
      <c r="G13" s="20" t="n">
        <f aca="false">-MIN((Positions!$E$13*Positions!$N$13*Stress!$C$5+Positions!$E$13*Positions!$O$13*Stress!$D$5+Positions!$E$13*Positions!$P$13*Stress!$E$5+Positions!$E$13*Positions!$Q$13*Stress!$F$5+Positions!$E$13*Positions!$R$13*Stress!$G$5),(Positions!$E$13*Positions!$N$13*Stress!$C$6+Positions!$E$13*Positions!$O$13*Stress!$D$6+Positions!$E$13*Positions!$P$13*Stress!$E$6+Positions!$E$13*Positions!$Q$13*Stress!$F$6+Positions!$E$13*Positions!$R$13*Stress!$G$6),(Positions!$E$13*Positions!$N$13*Stress!$C$7+Positions!$E$13*Positions!$O$13*Stress!$D$7+Positions!$E$13*Positions!$P$13*Stress!$E$7+Positions!$E$13*Positions!$Q$13*Stress!$F$7+Positions!$E$13*Positions!$R$13*Stress!$G$7),(Positions!$E$13*Positions!$N$13*Stress!$C$8+Positions!$E$13*Positions!$O$13*Stress!$D$8+Positions!$E$13*Positions!$P$13*Stress!$E$8+Positions!$E$13*Positions!$Q$13*Stress!$F$8+Positions!$E$13*Positions!$R$13*Stress!$G$8),(Positions!$E$13*Positions!$N$13*Stress!$C$9+Positions!$E$13*Positions!$O$13*Stress!$D$9+Positions!$E$13*Positions!$P$13*Stress!$E$9+Positions!$E$13*Positions!$Q$13*Stress!$F$9+Positions!$E$13*Positions!$R$13*Stress!$G$9),(Positions!$E$13*Positions!$N$13*Stress!$C$10+Positions!$E$13*Positions!$O$13*Stress!$D$10+Positions!$E$13*Positions!$P$13*Stress!$E$10+Positions!$E$13*Positions!$Q$13*Stress!$F$10+Positions!$E$13*Positions!$R$13*Stress!$G$10))</f>
        <v>9</v>
      </c>
      <c r="H13" s="20" t="n">
        <f aca="false">Liquidity!G13</f>
        <v>0.0132272446110292</v>
      </c>
      <c r="I13" s="20" t="n">
        <f aca="false">ABS(E13)+G13+H13</f>
        <v>10.2760016395297</v>
      </c>
      <c r="J13" s="17" t="n">
        <f aca="false">IFERROR(I13/SUM($I$5:$I$16),0)</f>
        <v>0.0750764654221127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0" t="n">
        <f aca="false">ABS(Positions!E14)</f>
        <v>40</v>
      </c>
      <c r="D14" s="20" t="n">
        <f aca="false">'VaR &amp; ES'!$C$7*SQRT(MAX(0,((Positions!$E$14*Positions!$N$14)*(Positions!$E$14*Positions!$N$14)*Factors!$D$5*Factors!$D$5*Factors!$E$5+(Positions!$E$14*Positions!$N$14)*(Positions!$E$14*Positions!$O$14)*Factors!$D$5*Factors!$D$6*Factors!$F$5+(Positions!$E$14*Positions!$N$14)*(Positions!$E$14*Positions!$P$14)*Factors!$D$5*Factors!$D$7*Factors!$G$5+(Positions!$E$14*Positions!$N$14)*(Positions!$E$14*Positions!$Q$14)*Factors!$D$5*Factors!$D$8*Factors!$H$5+(Positions!$E$14*Positions!$N$14)*(Positions!$E$14*Positions!$R$14)*Factors!$D$5*Factors!$D$9*Factors!$I$5+(Positions!$E$14*Positions!$O$14)*(Positions!$E$14*Positions!$N$14)*Factors!$D$6*Factors!$D$5*Factors!$E$6+(Positions!$E$14*Positions!$O$14)*(Positions!$E$14*Positions!$O$14)*Factors!$D$6*Factors!$D$6*Factors!$F$6+(Positions!$E$14*Positions!$O$14)*(Positions!$E$14*Positions!$P$14)*Factors!$D$6*Factors!$D$7*Factors!$G$6+(Positions!$E$14*Positions!$O$14)*(Positions!$E$14*Positions!$Q$14)*Factors!$D$6*Factors!$D$8*Factors!$H$6+(Positions!$E$14*Positions!$O$14)*(Positions!$E$14*Positions!$R$14)*Factors!$D$6*Factors!$D$9*Factors!$I$6+(Positions!$E$14*Positions!$P$14)*(Positions!$E$14*Positions!$N$14)*Factors!$D$7*Factors!$D$5*Factors!$E$7+(Positions!$E$14*Positions!$P$14)*(Positions!$E$14*Positions!$O$14)*Factors!$D$7*Factors!$D$6*Factors!$F$7+(Positions!$E$14*Positions!$P$14)*(Positions!$E$14*Positions!$P$14)*Factors!$D$7*Factors!$D$7*Factors!$G$7+(Positions!$E$14*Positions!$P$14)*(Positions!$E$14*Positions!$Q$14)*Factors!$D$7*Factors!$D$8*Factors!$H$7+(Positions!$E$14*Positions!$P$14)*(Positions!$E$14*Positions!$R$14)*Factors!$D$7*Factors!$D$9*Factors!$I$7+(Positions!$E$14*Positions!$Q$14)*(Positions!$E$14*Positions!$N$14)*Factors!$D$8*Factors!$D$5*Factors!$E$8+(Positions!$E$14*Positions!$Q$14)*(Positions!$E$14*Positions!$O$14)*Factors!$D$8*Factors!$D$6*Factors!$F$8+(Positions!$E$14*Positions!$Q$14)*(Positions!$E$14*Positions!$P$14)*Factors!$D$8*Factors!$D$7*Factors!$G$8+(Positions!$E$14*Positions!$Q$14)*(Positions!$E$14*Positions!$Q$14)*Factors!$D$8*Factors!$D$8*Factors!$H$8+(Positions!$E$14*Positions!$Q$14)*(Positions!$E$14*Positions!$R$14)*Factors!$D$8*Factors!$D$9*Factors!$I$8+(Positions!$E$14*Positions!$R$14)*(Positions!$E$14*Positions!$N$14)*Factors!$D$9*Factors!$D$5*Factors!$E$9+(Positions!$E$14*Positions!$R$14)*(Positions!$E$14*Positions!$O$14)*Factors!$D$9*Factors!$D$6*Factors!$F$9+(Positions!$E$14*Positions!$R$14)*(Positions!$E$14*Positions!$P$14)*Factors!$D$9*Factors!$D$7*Factors!$G$9+(Positions!$E$14*Positions!$R$14)*(Positions!$E$14*Positions!$Q$14)*Factors!$D$9*Factors!$D$8*Factors!$H$9+(Positions!$E$14*Positions!$R$14)*(Positions!$E$14*Positions!$R$14)*Factors!$D$9*Factors!$D$9*Factors!$I$9)/Assumptions!$E$6))</f>
        <v>0.658811672116398</v>
      </c>
      <c r="E14" s="20" t="n">
        <f aca="false">IFERROR('VaR &amp; ES'!$C$7*((Positions!$E$14*Positions!$N$14)*Factors!$D$5*Factors!$C$5*Factors!$D$5*Factors!$E$5+(Positions!$E$14*Positions!$N$14)*Factors!$D$5*Factors!$C$6*Factors!$D$6*Factors!$F$5+(Positions!$E$14*Positions!$N$14)*Factors!$D$5*Factors!$C$7*Factors!$D$7*Factors!$G$5+(Positions!$E$14*Positions!$N$14)*Factors!$D$5*Factors!$C$8*Factors!$D$8*Factors!$H$5+(Positions!$E$14*Positions!$N$14)*Factors!$D$5*Factors!$C$9*Factors!$D$9*Factors!$I$5+(Positions!$E$14*Positions!$O$14)*Factors!$D$6*Factors!$C$5*Factors!$D$5*Factors!$E$6+(Positions!$E$14*Positions!$O$14)*Factors!$D$6*Factors!$C$6*Factors!$D$6*Factors!$F$6+(Positions!$E$14*Positions!$O$14)*Factors!$D$6*Factors!$C$7*Factors!$D$7*Factors!$G$6+(Positions!$E$14*Positions!$O$14)*Factors!$D$6*Factors!$C$8*Factors!$D$8*Factors!$H$6+(Positions!$E$14*Positions!$O$14)*Factors!$D$6*Factors!$C$9*Factors!$D$9*Factors!$I$6+(Positions!$E$14*Positions!$P$14)*Factors!$D$7*Factors!$C$5*Factors!$D$5*Factors!$E$7+(Positions!$E$14*Positions!$P$14)*Factors!$D$7*Factors!$C$6*Factors!$D$6*Factors!$F$7+(Positions!$E$14*Positions!$P$14)*Factors!$D$7*Factors!$C$7*Factors!$D$7*Factors!$G$7+(Positions!$E$14*Positions!$P$14)*Factors!$D$7*Factors!$C$8*Factors!$D$8*Factors!$H$7+(Positions!$E$14*Positions!$P$14)*Factors!$D$7*Factors!$C$9*Factors!$D$9*Factors!$I$7+(Positions!$E$14*Positions!$Q$14)*Factors!$D$8*Factors!$C$5*Factors!$D$5*Factors!$E$8+(Positions!$E$14*Positions!$Q$14)*Factors!$D$8*Factors!$C$6*Factors!$D$6*Factors!$F$8+(Positions!$E$14*Positions!$Q$14)*Factors!$D$8*Factors!$C$7*Factors!$D$7*Factors!$G$8+(Positions!$E$14*Positions!$Q$14)*Factors!$D$8*Factors!$C$8*Factors!$D$8*Factors!$H$8+(Positions!$E$14*Positions!$Q$14)*Factors!$D$8*Factors!$C$9*Factors!$D$9*Factors!$I$8+(Positions!$E$14*Positions!$R$14)*Factors!$D$9*Factors!$C$5*Factors!$D$5*Factors!$E$9+(Positions!$E$14*Positions!$R$14)*Factors!$D$9*Factors!$C$6*Factors!$D$6*Factors!$F$9+(Positions!$E$14*Positions!$R$14)*Factors!$D$9*Factors!$C$7*Factors!$D$7*Factors!$G$9+(Positions!$E$14*Positions!$R$14)*Factors!$D$9*Factors!$C$8*Factors!$D$8*Factors!$H$9+(Positions!$E$14*Positions!$R$14)*Factors!$D$9*Factors!$C$9*Factors!$D$9*Factors!$I$9)/(Factors!$C$13*SQRT(Assumptions!$E$6)),0)</f>
        <v>0.46281136954906</v>
      </c>
      <c r="F14" s="17" t="n">
        <f aca="false">IFERROR(E14/'VaR &amp; ES'!$C$8,0)</f>
        <v>0.0423837816978682</v>
      </c>
      <c r="G14" s="20" t="n">
        <f aca="false">-MIN((Positions!$E$14*Positions!$N$14*Stress!$C$5+Positions!$E$14*Positions!$O$14*Stress!$D$5+Positions!$E$14*Positions!$P$14*Stress!$E$5+Positions!$E$14*Positions!$Q$14*Stress!$F$5+Positions!$E$14*Positions!$R$14*Stress!$G$5),(Positions!$E$14*Positions!$N$14*Stress!$C$6+Positions!$E$14*Positions!$O$14*Stress!$D$6+Positions!$E$14*Positions!$P$14*Stress!$E$6+Positions!$E$14*Positions!$Q$14*Stress!$F$6+Positions!$E$14*Positions!$R$14*Stress!$G$6),(Positions!$E$14*Positions!$N$14*Stress!$C$7+Positions!$E$14*Positions!$O$14*Stress!$D$7+Positions!$E$14*Positions!$P$14*Stress!$E$7+Positions!$E$14*Positions!$Q$14*Stress!$F$7+Positions!$E$14*Positions!$R$14*Stress!$G$7),(Positions!$E$14*Positions!$N$14*Stress!$C$8+Positions!$E$14*Positions!$O$14*Stress!$D$8+Positions!$E$14*Positions!$P$14*Stress!$E$8+Positions!$E$14*Positions!$Q$14*Stress!$F$8+Positions!$E$14*Positions!$R$14*Stress!$G$8),(Positions!$E$14*Positions!$N$14*Stress!$C$9+Positions!$E$14*Positions!$O$14*Stress!$D$9+Positions!$E$14*Positions!$P$14*Stress!$E$9+Positions!$E$14*Positions!$Q$14*Stress!$F$9+Positions!$E$14*Positions!$R$14*Stress!$G$9),(Positions!$E$14*Positions!$N$14*Stress!$C$10+Positions!$E$14*Positions!$O$14*Stress!$D$10+Positions!$E$14*Positions!$P$14*Stress!$E$10+Positions!$E$14*Positions!$Q$14*Stress!$F$10+Positions!$E$14*Positions!$R$14*Stress!$G$10))</f>
        <v>2.34</v>
      </c>
      <c r="H14" s="20" t="n">
        <f aca="false">Liquidity!G14</f>
        <v>0.000370901981503715</v>
      </c>
      <c r="I14" s="20" t="n">
        <f aca="false">ABS(E14)+G14+H14</f>
        <v>2.80318227153056</v>
      </c>
      <c r="J14" s="17" t="n">
        <f aca="false">IFERROR(I14/SUM($I$5:$I$16),0)</f>
        <v>0.0204800489784737</v>
      </c>
    </row>
    <row r="15" customFormat="false" ht="15" hidden="false" customHeight="true" outlineLevel="0" collapsed="false">
      <c r="B15" s="1" t="str">
        <f aca="false">Positions!B15</f>
        <v>Cash</v>
      </c>
      <c r="C15" s="20" t="n">
        <f aca="false">ABS(Positions!E15)</f>
        <v>25</v>
      </c>
      <c r="D15" s="20" t="n">
        <f aca="false">'VaR &amp; ES'!$C$7*SQRT(MAX(0,((Positions!$E$15*Positions!$N$15)*(Positions!$E$15*Positions!$N$15)*Factors!$D$5*Factors!$D$5*Factors!$E$5+(Positions!$E$15*Positions!$N$15)*(Positions!$E$15*Positions!$O$15)*Factors!$D$5*Factors!$D$6*Factors!$F$5+(Positions!$E$15*Positions!$N$15)*(Positions!$E$15*Positions!$P$15)*Factors!$D$5*Factors!$D$7*Factors!$G$5+(Positions!$E$15*Positions!$N$15)*(Positions!$E$15*Positions!$Q$15)*Factors!$D$5*Factors!$D$8*Factors!$H$5+(Positions!$E$15*Positions!$N$15)*(Positions!$E$15*Positions!$R$15)*Factors!$D$5*Factors!$D$9*Factors!$I$5+(Positions!$E$15*Positions!$O$15)*(Positions!$E$15*Positions!$N$15)*Factors!$D$6*Factors!$D$5*Factors!$E$6+(Positions!$E$15*Positions!$O$15)*(Positions!$E$15*Positions!$O$15)*Factors!$D$6*Factors!$D$6*Factors!$F$6+(Positions!$E$15*Positions!$O$15)*(Positions!$E$15*Positions!$P$15)*Factors!$D$6*Factors!$D$7*Factors!$G$6+(Positions!$E$15*Positions!$O$15)*(Positions!$E$15*Positions!$Q$15)*Factors!$D$6*Factors!$D$8*Factors!$H$6+(Positions!$E$15*Positions!$O$15)*(Positions!$E$15*Positions!$R$15)*Factors!$D$6*Factors!$D$9*Factors!$I$6+(Positions!$E$15*Positions!$P$15)*(Positions!$E$15*Positions!$N$15)*Factors!$D$7*Factors!$D$5*Factors!$E$7+(Positions!$E$15*Positions!$P$15)*(Positions!$E$15*Positions!$O$15)*Factors!$D$7*Factors!$D$6*Factors!$F$7+(Positions!$E$15*Positions!$P$15)*(Positions!$E$15*Positions!$P$15)*Factors!$D$7*Factors!$D$7*Factors!$G$7+(Positions!$E$15*Positions!$P$15)*(Positions!$E$15*Positions!$Q$15)*Factors!$D$7*Factors!$D$8*Factors!$H$7+(Positions!$E$15*Positions!$P$15)*(Positions!$E$15*Positions!$R$15)*Factors!$D$7*Factors!$D$9*Factors!$I$7+(Positions!$E$15*Positions!$Q$15)*(Positions!$E$15*Positions!$N$15)*Factors!$D$8*Factors!$D$5*Factors!$E$8+(Positions!$E$15*Positions!$Q$15)*(Positions!$E$15*Positions!$O$15)*Factors!$D$8*Factors!$D$6*Factors!$F$8+(Positions!$E$15*Positions!$Q$15)*(Positions!$E$15*Positions!$P$15)*Factors!$D$8*Factors!$D$7*Factors!$G$8+(Positions!$E$15*Positions!$Q$15)*(Positions!$E$15*Positions!$Q$15)*Factors!$D$8*Factors!$D$8*Factors!$H$8+(Positions!$E$15*Positions!$Q$15)*(Positions!$E$15*Positions!$R$15)*Factors!$D$8*Factors!$D$9*Factors!$I$8+(Positions!$E$15*Positions!$R$15)*(Positions!$E$15*Positions!$N$15)*Factors!$D$9*Factors!$D$5*Factors!$E$9+(Positions!$E$15*Positions!$R$15)*(Positions!$E$15*Positions!$O$15)*Factors!$D$9*Factors!$D$6*Factors!$F$9+(Positions!$E$15*Positions!$R$15)*(Positions!$E$15*Positions!$P$15)*Factors!$D$9*Factors!$D$7*Factors!$G$9+(Positions!$E$15*Positions!$R$15)*(Positions!$E$15*Positions!$Q$15)*Factors!$D$9*Factors!$D$8*Factors!$H$9+(Positions!$E$15*Positions!$R$15)*(Positions!$E$15*Positions!$R$15)*Factors!$D$9*Factors!$D$9*Factors!$I$9)/Assumptions!$E$6))</f>
        <v>0</v>
      </c>
      <c r="E15" s="20" t="n">
        <f aca="false">IFERROR('VaR &amp; ES'!$C$7*((Positions!$E$15*Positions!$N$15)*Factors!$D$5*Factors!$C$5*Factors!$D$5*Factors!$E$5+(Positions!$E$15*Positions!$N$15)*Factors!$D$5*Factors!$C$6*Factors!$D$6*Factors!$F$5+(Positions!$E$15*Positions!$N$15)*Factors!$D$5*Factors!$C$7*Factors!$D$7*Factors!$G$5+(Positions!$E$15*Positions!$N$15)*Factors!$D$5*Factors!$C$8*Factors!$D$8*Factors!$H$5+(Positions!$E$15*Positions!$N$15)*Factors!$D$5*Factors!$C$9*Factors!$D$9*Factors!$I$5+(Positions!$E$15*Positions!$O$15)*Factors!$D$6*Factors!$C$5*Factors!$D$5*Factors!$E$6+(Positions!$E$15*Positions!$O$15)*Factors!$D$6*Factors!$C$6*Factors!$D$6*Factors!$F$6+(Positions!$E$15*Positions!$O$15)*Factors!$D$6*Factors!$C$7*Factors!$D$7*Factors!$G$6+(Positions!$E$15*Positions!$O$15)*Factors!$D$6*Factors!$C$8*Factors!$D$8*Factors!$H$6+(Positions!$E$15*Positions!$O$15)*Factors!$D$6*Factors!$C$9*Factors!$D$9*Factors!$I$6+(Positions!$E$15*Positions!$P$15)*Factors!$D$7*Factors!$C$5*Factors!$D$5*Factors!$E$7+(Positions!$E$15*Positions!$P$15)*Factors!$D$7*Factors!$C$6*Factors!$D$6*Factors!$F$7+(Positions!$E$15*Positions!$P$15)*Factors!$D$7*Factors!$C$7*Factors!$D$7*Factors!$G$7+(Positions!$E$15*Positions!$P$15)*Factors!$D$7*Factors!$C$8*Factors!$D$8*Factors!$H$7+(Positions!$E$15*Positions!$P$15)*Factors!$D$7*Factors!$C$9*Factors!$D$9*Factors!$I$7+(Positions!$E$15*Positions!$Q$15)*Factors!$D$8*Factors!$C$5*Factors!$D$5*Factors!$E$8+(Positions!$E$15*Positions!$Q$15)*Factors!$D$8*Factors!$C$6*Factors!$D$6*Factors!$F$8+(Positions!$E$15*Positions!$Q$15)*Factors!$D$8*Factors!$C$7*Factors!$D$7*Factors!$G$8+(Positions!$E$15*Positions!$Q$15)*Factors!$D$8*Factors!$C$8*Factors!$D$8*Factors!$H$8+(Positions!$E$15*Positions!$Q$15)*Factors!$D$8*Factors!$C$9*Factors!$D$9*Factors!$I$8+(Positions!$E$15*Positions!$R$15)*Factors!$D$9*Factors!$C$5*Factors!$D$5*Factors!$E$9+(Positions!$E$15*Positions!$R$15)*Factors!$D$9*Factors!$C$6*Factors!$D$6*Factors!$F$9+(Positions!$E$15*Positions!$R$15)*Factors!$D$9*Factors!$C$7*Factors!$D$7*Factors!$G$9+(Positions!$E$15*Positions!$R$15)*Factors!$D$9*Factors!$C$8*Factors!$D$8*Factors!$H$9+(Positions!$E$15*Positions!$R$15)*Factors!$D$9*Factors!$C$9*Factors!$D$9*Factors!$I$9)/(Factors!$C$13*SQRT(Assumptions!$E$6)),0)</f>
        <v>0</v>
      </c>
      <c r="F15" s="17" t="n">
        <f aca="false">IFERROR(E15/'VaR &amp; ES'!$C$8,0)</f>
        <v>0</v>
      </c>
      <c r="G15" s="20" t="n">
        <f aca="false">-MIN((Positions!$E$15*Positions!$N$15*Stress!$C$5+Positions!$E$15*Positions!$O$15*Stress!$D$5+Positions!$E$15*Positions!$P$15*Stress!$E$5+Positions!$E$15*Positions!$Q$15*Stress!$F$5+Positions!$E$15*Positions!$R$15*Stress!$G$5),(Positions!$E$15*Positions!$N$15*Stress!$C$6+Positions!$E$15*Positions!$O$15*Stress!$D$6+Positions!$E$15*Positions!$P$15*Stress!$E$6+Positions!$E$15*Positions!$Q$15*Stress!$F$6+Positions!$E$15*Positions!$R$15*Stress!$G$6),(Positions!$E$15*Positions!$N$15*Stress!$C$7+Positions!$E$15*Positions!$O$15*Stress!$D$7+Positions!$E$15*Positions!$P$15*Stress!$E$7+Positions!$E$15*Positions!$Q$15*Stress!$F$7+Positions!$E$15*Positions!$R$15*Stress!$G$7),(Positions!$E$15*Positions!$N$15*Stress!$C$8+Positions!$E$15*Positions!$O$15*Stress!$D$8+Positions!$E$15*Positions!$P$15*Stress!$E$8+Positions!$E$15*Positions!$Q$15*Stress!$F$8+Positions!$E$15*Positions!$R$15*Stress!$G$8),(Positions!$E$15*Positions!$N$15*Stress!$C$9+Positions!$E$15*Positions!$O$15*Stress!$D$9+Positions!$E$15*Positions!$P$15*Stress!$E$9+Positions!$E$15*Positions!$Q$15*Stress!$F$9+Positions!$E$15*Positions!$R$15*Stress!$G$9),(Positions!$E$15*Positions!$N$15*Stress!$C$10+Positions!$E$15*Positions!$O$15*Stress!$D$10+Positions!$E$15*Positions!$P$15*Stress!$E$10+Positions!$E$15*Positions!$Q$15*Stress!$F$10+Positions!$E$15*Positions!$R$15*Stress!$G$10))</f>
        <v>-0</v>
      </c>
      <c r="H15" s="20" t="n">
        <f aca="false">Liquidity!G15</f>
        <v>0.0237170824512628</v>
      </c>
      <c r="I15" s="20" t="n">
        <f aca="false">ABS(E15)+G15+H15</f>
        <v>0.0237170824512628</v>
      </c>
      <c r="J15" s="17" t="n">
        <f aca="false">IFERROR(I15/SUM($I$5:$I$16),0)</f>
        <v>0.000173276998488989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0" t="n">
        <f aca="false">ABS(Positions!E16)</f>
        <v>60</v>
      </c>
      <c r="D16" s="20" t="n">
        <f aca="false">'VaR &amp; ES'!$C$7*SQRT(MAX(0,((Positions!$E$16*Positions!$N$16)*(Positions!$E$16*Positions!$N$16)*Factors!$D$5*Factors!$D$5*Factors!$E$5+(Positions!$E$16*Positions!$N$16)*(Positions!$E$16*Positions!$O$16)*Factors!$D$5*Factors!$D$6*Factors!$F$5+(Positions!$E$16*Positions!$N$16)*(Positions!$E$16*Positions!$P$16)*Factors!$D$5*Factors!$D$7*Factors!$G$5+(Positions!$E$16*Positions!$N$16)*(Positions!$E$16*Positions!$Q$16)*Factors!$D$5*Factors!$D$8*Factors!$H$5+(Positions!$E$16*Positions!$N$16)*(Positions!$E$16*Positions!$R$16)*Factors!$D$5*Factors!$D$9*Factors!$I$5+(Positions!$E$16*Positions!$O$16)*(Positions!$E$16*Positions!$N$16)*Factors!$D$6*Factors!$D$5*Factors!$E$6+(Positions!$E$16*Positions!$O$16)*(Positions!$E$16*Positions!$O$16)*Factors!$D$6*Factors!$D$6*Factors!$F$6+(Positions!$E$16*Positions!$O$16)*(Positions!$E$16*Positions!$P$16)*Factors!$D$6*Factors!$D$7*Factors!$G$6+(Positions!$E$16*Positions!$O$16)*(Positions!$E$16*Positions!$Q$16)*Factors!$D$6*Factors!$D$8*Factors!$H$6+(Positions!$E$16*Positions!$O$16)*(Positions!$E$16*Positions!$R$16)*Factors!$D$6*Factors!$D$9*Factors!$I$6+(Positions!$E$16*Positions!$P$16)*(Positions!$E$16*Positions!$N$16)*Factors!$D$7*Factors!$D$5*Factors!$E$7+(Positions!$E$16*Positions!$P$16)*(Positions!$E$16*Positions!$O$16)*Factors!$D$7*Factors!$D$6*Factors!$F$7+(Positions!$E$16*Positions!$P$16)*(Positions!$E$16*Positions!$P$16)*Factors!$D$7*Factors!$D$7*Factors!$G$7+(Positions!$E$16*Positions!$P$16)*(Positions!$E$16*Positions!$Q$16)*Factors!$D$7*Factors!$D$8*Factors!$H$7+(Positions!$E$16*Positions!$P$16)*(Positions!$E$16*Positions!$R$16)*Factors!$D$7*Factors!$D$9*Factors!$I$7+(Positions!$E$16*Positions!$Q$16)*(Positions!$E$16*Positions!$N$16)*Factors!$D$8*Factors!$D$5*Factors!$E$8+(Positions!$E$16*Positions!$Q$16)*(Positions!$E$16*Positions!$O$16)*Factors!$D$8*Factors!$D$6*Factors!$F$8+(Positions!$E$16*Positions!$Q$16)*(Positions!$E$16*Positions!$P$16)*Factors!$D$8*Factors!$D$7*Factors!$G$8+(Positions!$E$16*Positions!$Q$16)*(Positions!$E$16*Positions!$Q$16)*Factors!$D$8*Factors!$D$8*Factors!$H$8+(Positions!$E$16*Positions!$Q$16)*(Positions!$E$16*Positions!$R$16)*Factors!$D$8*Factors!$D$9*Factors!$I$8+(Positions!$E$16*Positions!$R$16)*(Positions!$E$16*Positions!$N$16)*Factors!$D$9*Factors!$D$5*Factors!$E$9+(Positions!$E$16*Positions!$R$16)*(Positions!$E$16*Positions!$O$16)*Factors!$D$9*Factors!$D$6*Factors!$F$9+(Positions!$E$16*Positions!$R$16)*(Positions!$E$16*Positions!$P$16)*Factors!$D$9*Factors!$D$7*Factors!$G$9+(Positions!$E$16*Positions!$R$16)*(Positions!$E$16*Positions!$Q$16)*Factors!$D$9*Factors!$D$8*Factors!$H$9+(Positions!$E$16*Positions!$R$16)*(Positions!$E$16*Positions!$R$16)*Factors!$D$9*Factors!$D$9*Factors!$I$9)/Assumptions!$E$6))</f>
        <v>3.9550215253491</v>
      </c>
      <c r="E16" s="20" t="n">
        <f aca="false">IFERROR('VaR &amp; ES'!$C$7*((Positions!$E$16*Positions!$N$16)*Factors!$D$5*Factors!$C$5*Factors!$D$5*Factors!$E$5+(Positions!$E$16*Positions!$N$16)*Factors!$D$5*Factors!$C$6*Factors!$D$6*Factors!$F$5+(Positions!$E$16*Positions!$N$16)*Factors!$D$5*Factors!$C$7*Factors!$D$7*Factors!$G$5+(Positions!$E$16*Positions!$N$16)*Factors!$D$5*Factors!$C$8*Factors!$D$8*Factors!$H$5+(Positions!$E$16*Positions!$N$16)*Factors!$D$5*Factors!$C$9*Factors!$D$9*Factors!$I$5+(Positions!$E$16*Positions!$O$16)*Factors!$D$6*Factors!$C$5*Factors!$D$5*Factors!$E$6+(Positions!$E$16*Positions!$O$16)*Factors!$D$6*Factors!$C$6*Factors!$D$6*Factors!$F$6+(Positions!$E$16*Positions!$O$16)*Factors!$D$6*Factors!$C$7*Factors!$D$7*Factors!$G$6+(Positions!$E$16*Positions!$O$16)*Factors!$D$6*Factors!$C$8*Factors!$D$8*Factors!$H$6+(Positions!$E$16*Positions!$O$16)*Factors!$D$6*Factors!$C$9*Factors!$D$9*Factors!$I$6+(Positions!$E$16*Positions!$P$16)*Factors!$D$7*Factors!$C$5*Factors!$D$5*Factors!$E$7+(Positions!$E$16*Positions!$P$16)*Factors!$D$7*Factors!$C$6*Factors!$D$6*Factors!$F$7+(Positions!$E$16*Positions!$P$16)*Factors!$D$7*Factors!$C$7*Factors!$D$7*Factors!$G$7+(Positions!$E$16*Positions!$P$16)*Factors!$D$7*Factors!$C$8*Factors!$D$8*Factors!$H$7+(Positions!$E$16*Positions!$P$16)*Factors!$D$7*Factors!$C$9*Factors!$D$9*Factors!$I$7+(Positions!$E$16*Positions!$Q$16)*Factors!$D$8*Factors!$C$5*Factors!$D$5*Factors!$E$8+(Positions!$E$16*Positions!$Q$16)*Factors!$D$8*Factors!$C$6*Factors!$D$6*Factors!$F$8+(Positions!$E$16*Positions!$Q$16)*Factors!$D$8*Factors!$C$7*Factors!$D$7*Factors!$G$8+(Positions!$E$16*Positions!$Q$16)*Factors!$D$8*Factors!$C$8*Factors!$D$8*Factors!$H$8+(Positions!$E$16*Positions!$Q$16)*Factors!$D$8*Factors!$C$9*Factors!$D$9*Factors!$I$8+(Positions!$E$16*Positions!$R$16)*Factors!$D$9*Factors!$C$5*Factors!$D$5*Factors!$E$9+(Positions!$E$16*Positions!$R$16)*Factors!$D$9*Factors!$C$6*Factors!$D$6*Factors!$F$9+(Positions!$E$16*Positions!$R$16)*Factors!$D$9*Factors!$C$7*Factors!$D$7*Factors!$G$9+(Positions!$E$16*Positions!$R$16)*Factors!$D$9*Factors!$C$8*Factors!$D$8*Factors!$H$9+(Positions!$E$16*Positions!$R$16)*Factors!$D$9*Factors!$C$9*Factors!$D$9*Factors!$I$9)/(Factors!$C$13*SQRT(Assumptions!$E$6)),0)</f>
        <v>-3.82941018520583</v>
      </c>
      <c r="F16" s="17" t="n">
        <f aca="false">IFERROR(E16/'VaR &amp; ES'!$C$8,0)</f>
        <v>-0.350693383957915</v>
      </c>
      <c r="G16" s="20" t="n">
        <f aca="false">-MIN((Positions!$E$16*Positions!$N$16*Stress!$C$5+Positions!$E$16*Positions!$O$16*Stress!$D$5+Positions!$E$16*Positions!$P$16*Stress!$E$5+Positions!$E$16*Positions!$Q$16*Stress!$F$5+Positions!$E$16*Positions!$R$16*Stress!$G$5),(Positions!$E$16*Positions!$N$16*Stress!$C$6+Positions!$E$16*Positions!$O$16*Stress!$D$6+Positions!$E$16*Positions!$P$16*Stress!$E$6+Positions!$E$16*Positions!$Q$16*Stress!$F$6+Positions!$E$16*Positions!$R$16*Stress!$G$6),(Positions!$E$16*Positions!$N$16*Stress!$C$7+Positions!$E$16*Positions!$O$16*Stress!$D$7+Positions!$E$16*Positions!$P$16*Stress!$E$7+Positions!$E$16*Positions!$Q$16*Stress!$F$7+Positions!$E$16*Positions!$R$16*Stress!$G$7),(Positions!$E$16*Positions!$N$16*Stress!$C$8+Positions!$E$16*Positions!$O$16*Stress!$D$8+Positions!$E$16*Positions!$P$16*Stress!$E$8+Positions!$E$16*Positions!$Q$16*Stress!$F$8+Positions!$E$16*Positions!$R$16*Stress!$G$8),(Positions!$E$16*Positions!$N$16*Stress!$C$9+Positions!$E$16*Positions!$O$16*Stress!$D$9+Positions!$E$16*Positions!$P$16*Stress!$E$9+Positions!$E$16*Positions!$Q$16*Stress!$F$9+Positions!$E$16*Positions!$R$16*Stress!$G$9),(Positions!$E$16*Positions!$N$16*Stress!$C$10+Positions!$E$16*Positions!$O$16*Stress!$D$10+Positions!$E$16*Positions!$P$16*Stress!$E$10+Positions!$E$16*Positions!$Q$16*Stress!$F$10+Positions!$E$16*Positions!$R$16*Stress!$G$10))</f>
        <v>2.73</v>
      </c>
      <c r="H16" s="20" t="n">
        <f aca="false">Liquidity!G16</f>
        <v>0.211635913776467</v>
      </c>
      <c r="I16" s="20" t="n">
        <f aca="false">ABS(E16)+G16+H16</f>
        <v>6.7710460989823</v>
      </c>
      <c r="J16" s="17" t="n">
        <f aca="false">IFERROR(I16/SUM($I$5:$I$16),0)</f>
        <v>0.0494692611147774</v>
      </c>
    </row>
    <row r="18" customFormat="false" ht="15" hidden="false" customHeight="true" outlineLevel="0" collapsed="false">
      <c r="B18" s="25" t="s">
        <v>84</v>
      </c>
      <c r="C18" s="26" t="n">
        <f aca="false">SUM(C5:C16)</f>
        <v>675</v>
      </c>
      <c r="D18" s="26" t="n">
        <f aca="false">SUM(D5:D16)</f>
        <v>34.4689440893695</v>
      </c>
      <c r="E18" s="26" t="n">
        <f aca="false">SUM(E5:E16)</f>
        <v>19.3153371857576</v>
      </c>
      <c r="F18" s="28" t="n">
        <f aca="false">SUM(F5:F16)</f>
        <v>1.76887839963725</v>
      </c>
      <c r="G18" s="26" t="n">
        <f aca="false">SUM(G5:G16)</f>
        <v>106.8865</v>
      </c>
      <c r="H18" s="26" t="n">
        <f aca="false">SUM(H5:H16)</f>
        <v>3.01314945849937</v>
      </c>
      <c r="I18" s="26" t="n">
        <f aca="false">SUM(I5:I16)</f>
        <v>136.873807014669</v>
      </c>
      <c r="J18" s="28" t="n">
        <f aca="false">SUM(J5:J16)</f>
        <v>1</v>
      </c>
    </row>
    <row r="20" customFormat="false" ht="15" hidden="false" customHeight="true" outlineLevel="0" collapsed="false">
      <c r="B20" s="1" t="s">
        <v>118</v>
      </c>
      <c r="C20" s="20" t="n">
        <f aca="false">E18-'VaR &amp; ES'!C8</f>
        <v>8.39579789480425</v>
      </c>
      <c r="D20" s="1" t="str">
        <f aca="false">IF(ABS(C20)&lt;0.01,"PASS","REVIEW")</f>
        <v>REVIEW</v>
      </c>
    </row>
    <row r="21" customFormat="false" ht="15" hidden="false" customHeight="true" outlineLevel="0" collapsed="false">
      <c r="B21" s="1" t="s">
        <v>119</v>
      </c>
      <c r="C21" s="17" t="n">
        <f aca="false">MAX(J5:J16)</f>
        <v>0.289971240104572</v>
      </c>
    </row>
    <row r="22" customFormat="false" ht="15" hidden="false" customHeight="true" outlineLevel="0" collapsed="false">
      <c r="B22" s="1" t="s">
        <v>120</v>
      </c>
      <c r="C22" s="1" t="str">
        <f aca="false">INDEX(B5:B16,MATCH(MAX(J5:J16),J5:J16,0))</f>
        <v>Equity Index Future</v>
      </c>
    </row>
  </sheetData>
  <mergeCells count="1">
    <mergeCell ref="B2:J2"/>
  </mergeCells>
  <conditionalFormatting sqref="D20">
    <cfRule type="expression" priority="2" aboveAverage="0" equalAverage="0" bottom="0" percent="0" rank="0" text="" dxfId="0">
      <formula>D20="PASS"</formula>
    </cfRule>
    <cfRule type="expression" priority="3" aboveAverage="0" equalAverage="0" bottom="0" percent="0" rank="0" text="" dxfId="1">
      <formula>D20="FAIL"</formula>
    </cfRule>
    <cfRule type="expression" priority="4" aboveAverage="0" equalAverage="0" bottom="0" percent="0" rank="0" text="" dxfId="2">
      <formula>D20="REVIEW"</formula>
    </cfRule>
    <cfRule type="expression" priority="5" aboveAverage="0" equalAverage="0" bottom="0" percent="0" rank="0" text="" dxfId="1">
      <formula>D20="BREACH"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3"/>
    <col collapsed="false" customWidth="true" hidden="false" outlineLevel="0" max="9" min="9" style="1" width="16"/>
  </cols>
  <sheetData>
    <row r="2" customFormat="false" ht="27.75" hidden="false" customHeight="true" outlineLevel="0" collapsed="false">
      <c r="B2" s="2" t="s">
        <v>121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0" t="s">
        <v>122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123</v>
      </c>
      <c r="H4" s="10" t="s">
        <v>124</v>
      </c>
      <c r="I4" s="10" t="s">
        <v>125</v>
      </c>
    </row>
    <row r="5" customFormat="false" ht="15" hidden="false" customHeight="true" outlineLevel="0" collapsed="false">
      <c r="B5" s="1" t="s">
        <v>126</v>
      </c>
      <c r="C5" s="16" t="n">
        <v>-0.18</v>
      </c>
      <c r="D5" s="16" t="n">
        <v>-0.015</v>
      </c>
      <c r="E5" s="16" t="n">
        <v>-0.025</v>
      </c>
      <c r="F5" s="16" t="n">
        <v>-0.08</v>
      </c>
      <c r="G5" s="16" t="n">
        <v>0.4</v>
      </c>
      <c r="H5" s="21" t="n">
        <v>0.5</v>
      </c>
      <c r="I5" s="20" t="n">
        <f aca="false">(Factors!$C$5*C5+Factors!$C$6*D5+Factors!$C$7*E5+Factors!$C$8*F5+Factors!$C$9*G5)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5)</f>
        <v>-23.5805</v>
      </c>
    </row>
    <row r="6" customFormat="false" ht="15" hidden="false" customHeight="true" outlineLevel="0" collapsed="false">
      <c r="B6" s="1" t="s">
        <v>127</v>
      </c>
      <c r="C6" s="16" t="n">
        <v>-0.08</v>
      </c>
      <c r="D6" s="16" t="n">
        <v>0.025</v>
      </c>
      <c r="E6" s="16" t="n">
        <v>0.012</v>
      </c>
      <c r="F6" s="16" t="n">
        <v>0.05</v>
      </c>
      <c r="G6" s="16" t="n">
        <v>0.2</v>
      </c>
      <c r="H6" s="21" t="n">
        <v>0.7</v>
      </c>
      <c r="I6" s="20" t="n">
        <f aca="false">(Factors!$C$5*C6+Factors!$C$6*D6+Factors!$C$7*E6+Factors!$C$8*F6+Factors!$C$9*G6)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6)</f>
        <v>-37.6592</v>
      </c>
    </row>
    <row r="7" customFormat="false" ht="15" hidden="false" customHeight="true" outlineLevel="0" collapsed="false">
      <c r="B7" s="1" t="s">
        <v>128</v>
      </c>
      <c r="C7" s="16" t="n">
        <v>-0.12</v>
      </c>
      <c r="D7" s="16" t="n">
        <v>-0.01</v>
      </c>
      <c r="E7" s="16" t="n">
        <v>-0.05</v>
      </c>
      <c r="F7" s="16" t="n">
        <v>-0.04</v>
      </c>
      <c r="G7" s="16" t="n">
        <v>0.35</v>
      </c>
      <c r="H7" s="21" t="n">
        <v>0.35</v>
      </c>
      <c r="I7" s="20" t="n">
        <f aca="false">(Factors!$C$5*C7+Factors!$C$6*D7+Factors!$C$7*E7+Factors!$C$8*F7+Factors!$C$9*G7)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7)</f>
        <v>-16.045</v>
      </c>
    </row>
    <row r="8" customFormat="false" ht="15" hidden="false" customHeight="true" outlineLevel="0" collapsed="false">
      <c r="B8" s="1" t="s">
        <v>129</v>
      </c>
      <c r="C8" s="16" t="n">
        <v>-0.07</v>
      </c>
      <c r="D8" s="16" t="n">
        <v>0.01</v>
      </c>
      <c r="E8" s="16" t="n">
        <v>-0.015</v>
      </c>
      <c r="F8" s="16" t="n">
        <v>0.12</v>
      </c>
      <c r="G8" s="16" t="n">
        <v>0.25</v>
      </c>
      <c r="H8" s="21" t="n">
        <v>0.45</v>
      </c>
      <c r="I8" s="20" t="n">
        <f aca="false">(Factors!$C$5*C8+Factors!$C$6*D8+Factors!$C$7*E8+Factors!$C$8*F8+Factors!$C$9*G8)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8)</f>
        <v>-28.3115</v>
      </c>
    </row>
    <row r="9" customFormat="false" ht="15" hidden="false" customHeight="true" outlineLevel="0" collapsed="false">
      <c r="B9" s="1" t="s">
        <v>130</v>
      </c>
      <c r="C9" s="16" t="n">
        <v>0.05</v>
      </c>
      <c r="D9" s="16" t="n">
        <v>0.005</v>
      </c>
      <c r="E9" s="16" t="n">
        <v>0.005</v>
      </c>
      <c r="F9" s="16" t="n">
        <v>0</v>
      </c>
      <c r="G9" s="16" t="n">
        <v>-0.3</v>
      </c>
      <c r="H9" s="21" t="n">
        <v>1</v>
      </c>
      <c r="I9" s="20" t="n">
        <f aca="false">(Factors!$C$5*C9+Factors!$C$6*D9+Factors!$C$7*E9+Factors!$C$8*F9+Factors!$C$9*G9)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9)</f>
        <v>-2.7855</v>
      </c>
    </row>
    <row r="10" customFormat="false" ht="15" hidden="false" customHeight="true" outlineLevel="0" collapsed="false">
      <c r="B10" s="1" t="s">
        <v>131</v>
      </c>
      <c r="C10" s="16" t="n">
        <v>-0.25</v>
      </c>
      <c r="D10" s="16" t="n">
        <v>0</v>
      </c>
      <c r="E10" s="16" t="n">
        <v>-0.01</v>
      </c>
      <c r="F10" s="16" t="n">
        <v>0</v>
      </c>
      <c r="G10" s="16" t="n">
        <v>0.2</v>
      </c>
      <c r="H10" s="21" t="n">
        <v>0.3</v>
      </c>
      <c r="I10" s="20" t="n">
        <f aca="false">(Factors!$C$5*C10+Factors!$C$6*D10+Factors!$C$7*E10+Factors!$C$8*F10+Factors!$C$9*G10)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10)</f>
        <v>-58.283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</cols>
  <sheetData>
    <row r="2" customFormat="false" ht="27.75" hidden="false" customHeight="true" outlineLevel="0" collapsed="false">
      <c r="B2" s="2" t="s">
        <v>132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51</v>
      </c>
      <c r="C4" s="10" t="s">
        <v>54</v>
      </c>
      <c r="D4" s="10" t="s">
        <v>133</v>
      </c>
      <c r="E4" s="10" t="s">
        <v>134</v>
      </c>
      <c r="F4" s="10" t="s">
        <v>135</v>
      </c>
      <c r="G4" s="10" t="s">
        <v>115</v>
      </c>
      <c r="H4" s="10" t="s">
        <v>136</v>
      </c>
    </row>
    <row r="5" customFormat="false" ht="15" hidden="false" customHeight="true" outlineLevel="0" collapsed="false">
      <c r="B5" s="1" t="str">
        <f aca="false">Positions!B5</f>
        <v>Equity Index Future</v>
      </c>
      <c r="C5" s="20" t="n">
        <f aca="false">ABS(Positions!E5)</f>
        <v>120</v>
      </c>
      <c r="D5" s="29" t="n">
        <f aca="false">Positions!M5</f>
        <v>0.2</v>
      </c>
      <c r="E5" s="17" t="n">
        <f aca="false">MIN(1,C5/MAX(1,Assumptions!$E$18)/MAX(1,D5))</f>
        <v>0.48</v>
      </c>
      <c r="F5" s="17" t="n">
        <f aca="false">Assumptions!$E$17*E5^1.5</f>
        <v>0.00997661265159673</v>
      </c>
      <c r="G5" s="20" t="n">
        <f aca="false">C5*F5</f>
        <v>1.19719351819161</v>
      </c>
      <c r="H5" s="1" t="str">
        <f aca="false">IF(D5&gt;5,"YES","NO")</f>
        <v>NO</v>
      </c>
    </row>
    <row r="6" customFormat="false" ht="15" hidden="false" customHeight="true" outlineLevel="0" collapsed="false">
      <c r="B6" s="1" t="str">
        <f aca="false">Positions!B6</f>
        <v>Single Name A</v>
      </c>
      <c r="C6" s="20" t="n">
        <f aca="false">ABS(Positions!E6)</f>
        <v>90</v>
      </c>
      <c r="D6" s="29" t="n">
        <f aca="false">Positions!M6</f>
        <v>1</v>
      </c>
      <c r="E6" s="17" t="n">
        <f aca="false">MIN(1,C6/MAX(1,Assumptions!$E$18)/MAX(1,D6))</f>
        <v>0.36</v>
      </c>
      <c r="F6" s="17" t="n">
        <f aca="false">Assumptions!$E$17*E6^1.5</f>
        <v>0.00648</v>
      </c>
      <c r="G6" s="20" t="n">
        <f aca="false">C6*F6</f>
        <v>0.5832</v>
      </c>
      <c r="H6" s="1" t="str">
        <f aca="false">IF(D6&gt;5,"YES","NO")</f>
        <v>NO</v>
      </c>
    </row>
    <row r="7" customFormat="false" ht="15" hidden="false" customHeight="true" outlineLevel="0" collapsed="false">
      <c r="B7" s="1" t="str">
        <f aca="false">Positions!B7</f>
        <v>Single Name Put</v>
      </c>
      <c r="C7" s="20" t="n">
        <f aca="false">ABS(Positions!E7)</f>
        <v>25</v>
      </c>
      <c r="D7" s="29" t="n">
        <f aca="false">Positions!M7</f>
        <v>1.5</v>
      </c>
      <c r="E7" s="17" t="n">
        <f aca="false">MIN(1,C7/MAX(1,Assumptions!$E$18)/MAX(1,D7))</f>
        <v>0.0666666666666667</v>
      </c>
      <c r="F7" s="17" t="n">
        <f aca="false">Assumptions!$E$17*E7^1.5</f>
        <v>0.000516397779494322</v>
      </c>
      <c r="G7" s="20" t="n">
        <f aca="false">C7*F7</f>
        <v>0.0129099444873581</v>
      </c>
      <c r="H7" s="1" t="str">
        <f aca="false">IF(D7&gt;5,"YES","NO")</f>
        <v>NO</v>
      </c>
    </row>
    <row r="8" customFormat="false" ht="15" hidden="false" customHeight="true" outlineLevel="0" collapsed="false">
      <c r="B8" s="1" t="str">
        <f aca="false">Positions!B8</f>
        <v>10Y Treasury</v>
      </c>
      <c r="C8" s="20" t="n">
        <f aca="false">ABS(Positions!E8)</f>
        <v>50</v>
      </c>
      <c r="D8" s="29" t="n">
        <f aca="false">Positions!M8</f>
        <v>0.5</v>
      </c>
      <c r="E8" s="17" t="n">
        <f aca="false">MIN(1,C8/MAX(1,Assumptions!$E$18)/MAX(1,D8))</f>
        <v>0.2</v>
      </c>
      <c r="F8" s="17" t="n">
        <f aca="false">Assumptions!$E$17*E8^1.5</f>
        <v>0.00268328157299975</v>
      </c>
      <c r="G8" s="20" t="n">
        <f aca="false">C8*F8</f>
        <v>0.134164078649987</v>
      </c>
      <c r="H8" s="1" t="str">
        <f aca="false">IF(D8&gt;5,"YES","NO")</f>
        <v>NO</v>
      </c>
    </row>
    <row r="9" customFormat="false" ht="15" hidden="false" customHeight="true" outlineLevel="0" collapsed="false">
      <c r="B9" s="1" t="str">
        <f aca="false">Positions!B9</f>
        <v>IG Credit ETF</v>
      </c>
      <c r="C9" s="20" t="n">
        <f aca="false">ABS(Positions!E9)</f>
        <v>50</v>
      </c>
      <c r="D9" s="29" t="n">
        <f aca="false">Positions!M9</f>
        <v>1</v>
      </c>
      <c r="E9" s="17" t="n">
        <f aca="false">MIN(1,C9/MAX(1,Assumptions!$E$18)/MAX(1,D9))</f>
        <v>0.2</v>
      </c>
      <c r="F9" s="17" t="n">
        <f aca="false">Assumptions!$E$17*E9^1.5</f>
        <v>0.00268328157299975</v>
      </c>
      <c r="G9" s="20" t="n">
        <f aca="false">C9*F9</f>
        <v>0.134164078649987</v>
      </c>
      <c r="H9" s="1" t="str">
        <f aca="false">IF(D9&gt;5,"YES","NO")</f>
        <v>NO</v>
      </c>
    </row>
    <row r="10" customFormat="false" ht="15" hidden="false" customHeight="true" outlineLevel="0" collapsed="false">
      <c r="B10" s="1" t="str">
        <f aca="false">Positions!B10</f>
        <v>HY Bond</v>
      </c>
      <c r="C10" s="20" t="n">
        <f aca="false">ABS(Positions!E10)</f>
        <v>40</v>
      </c>
      <c r="D10" s="29" t="n">
        <f aca="false">Positions!M10</f>
        <v>4</v>
      </c>
      <c r="E10" s="17" t="n">
        <f aca="false">MIN(1,C10/MAX(1,Assumptions!$E$18)/MAX(1,D10))</f>
        <v>0.04</v>
      </c>
      <c r="F10" s="17" t="n">
        <f aca="false">Assumptions!$E$17*E10^1.5</f>
        <v>0.00024</v>
      </c>
      <c r="G10" s="20" t="n">
        <f aca="false">C10*F10</f>
        <v>0.0096</v>
      </c>
      <c r="H10" s="1" t="str">
        <f aca="false">IF(D10&gt;5,"YES","NO")</f>
        <v>NO</v>
      </c>
    </row>
    <row r="11" customFormat="false" ht="15" hidden="false" customHeight="true" outlineLevel="0" collapsed="false">
      <c r="B11" s="1" t="str">
        <f aca="false">Positions!B11</f>
        <v>EURUSD Forward</v>
      </c>
      <c r="C11" s="20" t="n">
        <f aca="false">ABS(Positions!E11)</f>
        <v>80</v>
      </c>
      <c r="D11" s="29" t="n">
        <f aca="false">Positions!M11</f>
        <v>0.3</v>
      </c>
      <c r="E11" s="17" t="n">
        <f aca="false">MIN(1,C11/MAX(1,Assumptions!$E$18)/MAX(1,D11))</f>
        <v>0.32</v>
      </c>
      <c r="F11" s="17" t="n">
        <f aca="false">Assumptions!$E$17*E11^1.5</f>
        <v>0.00543058007951269</v>
      </c>
      <c r="G11" s="20" t="n">
        <f aca="false">C11*F11</f>
        <v>0.434446406361015</v>
      </c>
      <c r="H11" s="1" t="str">
        <f aca="false">IF(D11&gt;5,"YES","NO")</f>
        <v>NO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0" t="n">
        <f aca="false">ABS(Positions!E12)</f>
        <v>65</v>
      </c>
      <c r="D12" s="29" t="n">
        <f aca="false">Positions!M12</f>
        <v>0.5</v>
      </c>
      <c r="E12" s="17" t="n">
        <f aca="false">MIN(1,C12/MAX(1,Assumptions!$E$18)/MAX(1,D12))</f>
        <v>0.26</v>
      </c>
      <c r="F12" s="17" t="n">
        <f aca="false">Assumptions!$E$17*E12^1.5</f>
        <v>0.00397723522060237</v>
      </c>
      <c r="G12" s="20" t="n">
        <f aca="false">C12*F12</f>
        <v>0.258520289339154</v>
      </c>
      <c r="H12" s="1" t="str">
        <f aca="false">IF(D12&gt;5,"YES","NO")</f>
        <v>NO</v>
      </c>
    </row>
    <row r="13" customFormat="false" ht="15" hidden="false" customHeight="true" outlineLevel="0" collapsed="false">
      <c r="B13" s="1" t="str">
        <f aca="false">Positions!B13</f>
        <v>Variance Swap</v>
      </c>
      <c r="C13" s="20" t="n">
        <f aca="false">ABS(Positions!E13)</f>
        <v>30</v>
      </c>
      <c r="D13" s="29" t="n">
        <f aca="false">Positions!M13</f>
        <v>2</v>
      </c>
      <c r="E13" s="17" t="n">
        <f aca="false">MIN(1,C13/MAX(1,Assumptions!$E$18)/MAX(1,D13))</f>
        <v>0.06</v>
      </c>
      <c r="F13" s="17" t="n">
        <f aca="false">Assumptions!$E$17*E13^1.5</f>
        <v>0.000440908153700972</v>
      </c>
      <c r="G13" s="20" t="n">
        <f aca="false">C13*F13</f>
        <v>0.0132272446110292</v>
      </c>
      <c r="H13" s="1" t="str">
        <f aca="false">IF(D13&gt;5,"YES","NO")</f>
        <v>NO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0" t="n">
        <f aca="false">ABS(Positions!E14)</f>
        <v>40</v>
      </c>
      <c r="D14" s="29" t="n">
        <f aca="false">Positions!M14</f>
        <v>35</v>
      </c>
      <c r="E14" s="17" t="n">
        <f aca="false">MIN(1,C14/MAX(1,Assumptions!$E$18)/MAX(1,D14))</f>
        <v>0.00457142857142857</v>
      </c>
      <c r="F14" s="17" t="n">
        <f aca="false">Assumptions!$E$17*E14^1.5</f>
        <v>9.27254953759287E-006</v>
      </c>
      <c r="G14" s="20" t="n">
        <f aca="false">C14*F14</f>
        <v>0.000370901981503715</v>
      </c>
      <c r="H14" s="1" t="str">
        <f aca="false">IF(D14&gt;5,"YES","NO")</f>
        <v>YES</v>
      </c>
    </row>
    <row r="15" customFormat="false" ht="15" hidden="false" customHeight="true" outlineLevel="0" collapsed="false">
      <c r="B15" s="1" t="str">
        <f aca="false">Positions!B15</f>
        <v>Cash</v>
      </c>
      <c r="C15" s="20" t="n">
        <f aca="false">ABS(Positions!E15)</f>
        <v>25</v>
      </c>
      <c r="D15" s="29" t="n">
        <f aca="false">Positions!M15</f>
        <v>0</v>
      </c>
      <c r="E15" s="17" t="n">
        <f aca="false">MIN(1,C15/MAX(1,Assumptions!$E$18)/MAX(1,D15))</f>
        <v>0.1</v>
      </c>
      <c r="F15" s="17" t="n">
        <f aca="false">Assumptions!$E$17*E15^1.5</f>
        <v>0.000948683298050514</v>
      </c>
      <c r="G15" s="20" t="n">
        <f aca="false">C15*F15</f>
        <v>0.0237170824512628</v>
      </c>
      <c r="H15" s="1" t="str">
        <f aca="false">IF(D15&gt;5,"YES","NO")</f>
        <v>NO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0" t="n">
        <f aca="false">ABS(Positions!E16)</f>
        <v>60</v>
      </c>
      <c r="D16" s="29" t="n">
        <f aca="false">Positions!M16</f>
        <v>0.5</v>
      </c>
      <c r="E16" s="17" t="n">
        <f aca="false">MIN(1,C16/MAX(1,Assumptions!$E$18)/MAX(1,D16))</f>
        <v>0.24</v>
      </c>
      <c r="F16" s="17" t="n">
        <f aca="false">Assumptions!$E$17*E16^1.5</f>
        <v>0.00352726522960778</v>
      </c>
      <c r="G16" s="20" t="n">
        <f aca="false">C16*F16</f>
        <v>0.211635913776467</v>
      </c>
      <c r="H16" s="1" t="str">
        <f aca="false">IF(D16&gt;5,"YES","NO")</f>
        <v>NO</v>
      </c>
    </row>
    <row r="19" customFormat="false" ht="15" hidden="false" customHeight="true" outlineLevel="0" collapsed="false">
      <c r="B19" s="1" t="s">
        <v>137</v>
      </c>
      <c r="C19" s="20" t="n">
        <f aca="false">SUMIF(H5:H16,"YES",C5:C16)</f>
        <v>40</v>
      </c>
    </row>
    <row r="20" customFormat="false" ht="15" hidden="false" customHeight="true" outlineLevel="0" collapsed="false">
      <c r="B20" s="1" t="s">
        <v>138</v>
      </c>
      <c r="C20" s="17" t="n">
        <f aca="false">C19/Assumptions!E18</f>
        <v>0.16</v>
      </c>
    </row>
    <row r="21" customFormat="false" ht="15" hidden="false" customHeight="true" outlineLevel="0" collapsed="false">
      <c r="B21" s="1" t="s">
        <v>139</v>
      </c>
      <c r="C21" s="20" t="n">
        <f aca="false">SUM(G5:G16)</f>
        <v>3.01314945849937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8"/>
    <col collapsed="false" customWidth="true" hidden="false" outlineLevel="0" max="8" min="8" style="1" width="32"/>
  </cols>
  <sheetData>
    <row r="2" customFormat="false" ht="27.75" hidden="false" customHeight="true" outlineLevel="0" collapsed="false">
      <c r="B2" s="2" t="s">
        <v>140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141</v>
      </c>
      <c r="C4" s="10" t="s">
        <v>87</v>
      </c>
      <c r="D4" s="10" t="s">
        <v>142</v>
      </c>
      <c r="E4" s="10" t="s">
        <v>143</v>
      </c>
      <c r="F4" s="10" t="s">
        <v>144</v>
      </c>
      <c r="G4" s="10" t="s">
        <v>145</v>
      </c>
      <c r="H4" s="10" t="s">
        <v>146</v>
      </c>
    </row>
    <row r="5" customFormat="false" ht="15" hidden="false" customHeight="true" outlineLevel="0" collapsed="false">
      <c r="B5" s="1" t="s">
        <v>63</v>
      </c>
      <c r="C5" s="20" t="n">
        <f aca="false">Factors!C5</f>
        <v>139.6</v>
      </c>
      <c r="D5" s="16" t="n">
        <v>-0.012</v>
      </c>
      <c r="E5" s="20" t="n">
        <f aca="false">C5*D5</f>
        <v>-1.6752</v>
      </c>
      <c r="F5" s="18" t="n">
        <v>0.5</v>
      </c>
      <c r="G5" s="20" t="n">
        <f aca="false">E5+F5</f>
        <v>-1.1752</v>
      </c>
      <c r="H5" s="1" t="s">
        <v>147</v>
      </c>
    </row>
    <row r="6" customFormat="false" ht="15" hidden="false" customHeight="true" outlineLevel="0" collapsed="false">
      <c r="B6" s="1" t="s">
        <v>64</v>
      </c>
      <c r="C6" s="20" t="n">
        <f aca="false">Factors!C6</f>
        <v>-522</v>
      </c>
      <c r="D6" s="16" t="n">
        <v>0.0015</v>
      </c>
      <c r="E6" s="20" t="n">
        <f aca="false">C6*D6</f>
        <v>-0.783</v>
      </c>
      <c r="F6" s="18" t="n">
        <v>0</v>
      </c>
      <c r="G6" s="20" t="n">
        <f aca="false">E6+F6</f>
        <v>-0.783</v>
      </c>
      <c r="H6" s="1" t="s">
        <v>148</v>
      </c>
    </row>
    <row r="7" customFormat="false" ht="15" hidden="false" customHeight="true" outlineLevel="0" collapsed="false">
      <c r="B7" s="1" t="s">
        <v>65</v>
      </c>
      <c r="C7" s="20" t="n">
        <f aca="false">Factors!C7</f>
        <v>-357.1</v>
      </c>
      <c r="D7" s="16" t="n">
        <v>0.002</v>
      </c>
      <c r="E7" s="20" t="n">
        <f aca="false">C7*D7</f>
        <v>-0.7142</v>
      </c>
      <c r="F7" s="18" t="n">
        <v>0</v>
      </c>
      <c r="G7" s="20" t="n">
        <f aca="false">E7+F7</f>
        <v>-0.7142</v>
      </c>
      <c r="H7" s="1" t="s">
        <v>149</v>
      </c>
    </row>
    <row r="8" customFormat="false" ht="15" hidden="false" customHeight="true" outlineLevel="0" collapsed="false">
      <c r="B8" s="1" t="s">
        <v>66</v>
      </c>
      <c r="C8" s="20" t="n">
        <f aca="false">Factors!C8</f>
        <v>7</v>
      </c>
      <c r="D8" s="16" t="n">
        <v>-0.006</v>
      </c>
      <c r="E8" s="20" t="n">
        <f aca="false">C8*D8</f>
        <v>-0.042</v>
      </c>
      <c r="F8" s="18" t="n">
        <v>0</v>
      </c>
      <c r="G8" s="20" t="n">
        <f aca="false">E8+F8</f>
        <v>-0.042</v>
      </c>
      <c r="H8" s="1" t="s">
        <v>150</v>
      </c>
    </row>
    <row r="9" customFormat="false" ht="15" hidden="false" customHeight="true" outlineLevel="0" collapsed="false">
      <c r="B9" s="1" t="s">
        <v>67</v>
      </c>
      <c r="C9" s="20" t="n">
        <f aca="false">Factors!C9</f>
        <v>17.9</v>
      </c>
      <c r="D9" s="16" t="n">
        <v>0.025</v>
      </c>
      <c r="E9" s="20" t="n">
        <f aca="false">C9*D9</f>
        <v>0.4475</v>
      </c>
      <c r="F9" s="18" t="n">
        <v>0.8</v>
      </c>
      <c r="G9" s="20" t="n">
        <f aca="false">E9+F9</f>
        <v>1.2475</v>
      </c>
      <c r="H9" s="1" t="s">
        <v>151</v>
      </c>
    </row>
    <row r="12" customFormat="false" ht="15" hidden="false" customHeight="true" outlineLevel="0" collapsed="false">
      <c r="B12" s="1" t="s">
        <v>145</v>
      </c>
      <c r="G12" s="20" t="n">
        <f aca="false">SUM(G5:G9)</f>
        <v>-1.4669</v>
      </c>
    </row>
    <row r="13" customFormat="false" ht="15" hidden="false" customHeight="true" outlineLevel="0" collapsed="false">
      <c r="B13" s="1" t="s">
        <v>152</v>
      </c>
      <c r="G13" s="18" t="n">
        <v>-1.5</v>
      </c>
    </row>
    <row r="14" customFormat="false" ht="15" hidden="false" customHeight="true" outlineLevel="0" collapsed="false">
      <c r="B14" s="1" t="s">
        <v>153</v>
      </c>
      <c r="G14" s="20" t="n">
        <f aca="false">G13-G12</f>
        <v>-0.0331000000000001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8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154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155</v>
      </c>
      <c r="C4" s="10" t="s">
        <v>156</v>
      </c>
      <c r="D4" s="10" t="s">
        <v>157</v>
      </c>
      <c r="E4" s="10" t="s">
        <v>158</v>
      </c>
      <c r="F4" s="10" t="s">
        <v>159</v>
      </c>
    </row>
    <row r="5" customFormat="false" ht="15" hidden="false" customHeight="true" outlineLevel="0" collapsed="false">
      <c r="B5" s="1" t="s">
        <v>102</v>
      </c>
      <c r="C5" s="20" t="n">
        <f aca="false">'VaR &amp; ES'!C8</f>
        <v>10.9195392909533</v>
      </c>
      <c r="D5" s="20" t="n">
        <f aca="false">Assumptions!E12</f>
        <v>8</v>
      </c>
      <c r="E5" s="20" t="n">
        <f aca="false">D5-C5</f>
        <v>-2.91953929095332</v>
      </c>
      <c r="F5" s="1" t="str">
        <f aca="false">IF(C5&lt;=D5,"PASS","BREACH")</f>
        <v>BREACH</v>
      </c>
    </row>
    <row r="6" customFormat="false" ht="15" hidden="false" customHeight="true" outlineLevel="0" collapsed="false">
      <c r="B6" s="1" t="s">
        <v>114</v>
      </c>
      <c r="C6" s="20" t="n">
        <f aca="false">-MIN(Stress!I5:I10)</f>
        <v>58.283</v>
      </c>
      <c r="D6" s="20" t="n">
        <f aca="false">Assumptions!E13</f>
        <v>22</v>
      </c>
      <c r="E6" s="20" t="n">
        <f aca="false">D6-C6</f>
        <v>-36.283</v>
      </c>
      <c r="F6" s="1" t="str">
        <f aca="false">IF(C6&lt;=D6,"PASS","BREACH")</f>
        <v>BREACH</v>
      </c>
    </row>
    <row r="7" customFormat="false" ht="15" hidden="false" customHeight="true" outlineLevel="0" collapsed="false">
      <c r="B7" s="1" t="s">
        <v>160</v>
      </c>
      <c r="C7" s="17" t="n">
        <f aca="false">Liquidity!C20</f>
        <v>0.16</v>
      </c>
      <c r="D7" s="17" t="n">
        <f aca="false">Assumptions!E14</f>
        <v>0.2</v>
      </c>
      <c r="E7" s="17" t="n">
        <f aca="false">D7-C7</f>
        <v>0.04</v>
      </c>
      <c r="F7" s="1" t="str">
        <f aca="false">IF(C7&lt;=D7,"PASS","BREACH")</f>
        <v>PASS</v>
      </c>
    </row>
    <row r="8" customFormat="false" ht="15" hidden="false" customHeight="true" outlineLevel="0" collapsed="false">
      <c r="B8" s="1" t="s">
        <v>161</v>
      </c>
      <c r="C8" s="17" t="n">
        <f aca="false">MAX(ABS(Positions!D5:D16))/Assumptions!E18</f>
        <v>0.2</v>
      </c>
      <c r="D8" s="17" t="n">
        <f aca="false">Assumptions!E15</f>
        <v>0.15</v>
      </c>
      <c r="E8" s="17" t="n">
        <f aca="false">D8-C8</f>
        <v>-0.05</v>
      </c>
      <c r="F8" s="1" t="str">
        <f aca="false">IF(C8&lt;=D8,"PASS","BREACH")</f>
        <v>BREACH</v>
      </c>
    </row>
    <row r="9" customFormat="false" ht="15" hidden="false" customHeight="true" outlineLevel="0" collapsed="false">
      <c r="B9" s="1" t="s">
        <v>162</v>
      </c>
      <c r="C9" s="22" t="n">
        <f aca="false">SUM(ABS(Positions!E5:E16))/Assumptions!E18</f>
        <v>0.2</v>
      </c>
      <c r="D9" s="22" t="n">
        <f aca="false">Assumptions!E16</f>
        <v>3</v>
      </c>
      <c r="E9" s="22" t="n">
        <f aca="false">D9-C9</f>
        <v>2.8</v>
      </c>
      <c r="F9" s="1" t="str">
        <f aca="false">IF(C9&lt;=D9,"PASS","BREACH")</f>
        <v>PASS</v>
      </c>
    </row>
    <row r="10" customFormat="false" ht="15" hidden="false" customHeight="true" outlineLevel="0" collapsed="false">
      <c r="B10" s="1" t="s">
        <v>153</v>
      </c>
      <c r="C10" s="20" t="n">
        <f aca="false">ABS('P&amp;L Explain'!G14)</f>
        <v>0.0331000000000001</v>
      </c>
      <c r="D10" s="18" t="n">
        <v>5</v>
      </c>
      <c r="E10" s="20" t="n">
        <f aca="false">D10-C10</f>
        <v>4.9669</v>
      </c>
      <c r="F10" s="1" t="str">
        <f aca="false">IF(C10&lt;=D10,"PASS","BREACH")</f>
        <v>PASS</v>
      </c>
    </row>
  </sheetData>
  <mergeCells count="1">
    <mergeCell ref="B2:F2"/>
  </mergeCells>
  <conditionalFormatting sqref="F5:F10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  <cfRule type="expression" priority="4" aboveAverage="0" equalAverage="0" bottom="0" percent="0" rank="0" text="" dxfId="2">
      <formula>F5="REVIEW"</formula>
    </cfRule>
    <cfRule type="expression" priority="5" aboveAverage="0" equalAverage="0" bottom="0" percent="0" rank="0" text="" dxfId="1">
      <formula>F5="BREACH"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163</v>
      </c>
      <c r="C2" s="2"/>
    </row>
    <row r="4" customFormat="false" ht="15" hidden="false" customHeight="true" outlineLevel="0" collapsed="false">
      <c r="B4" s="10" t="s">
        <v>164</v>
      </c>
      <c r="C4" s="10" t="s">
        <v>159</v>
      </c>
    </row>
    <row r="5" customFormat="false" ht="15" hidden="false" customHeight="true" outlineLevel="0" collapsed="false">
      <c r="B5" s="1" t="s">
        <v>165</v>
      </c>
      <c r="C5" s="1" t="str">
        <f aca="false">IF(AND(Factors!E5=1,Factors!F6=1,Factors!G7=1,Factors!H8=1,Factors!I9=1),"PASS","FAIL")</f>
        <v>PASS</v>
      </c>
    </row>
    <row r="6" customFormat="false" ht="15" hidden="false" customHeight="true" outlineLevel="0" collapsed="false">
      <c r="B6" s="1" t="s">
        <v>166</v>
      </c>
      <c r="C6" s="1" t="str">
        <f aca="false">IF(AND(MIN(Factors!E5:I9)&gt;=-1,MAX(Factors!E5:I9)&lt;=1),"PASS","FAIL")</f>
        <v>PASS</v>
      </c>
    </row>
    <row r="7" customFormat="false" ht="15" hidden="false" customHeight="true" outlineLevel="0" collapsed="false">
      <c r="B7" s="1" t="s">
        <v>167</v>
      </c>
      <c r="C7" s="1" t="str">
        <f aca="false">IF(Factors!C12&gt;=0,"PASS","FAIL")</f>
        <v>PASS</v>
      </c>
    </row>
    <row r="8" customFormat="false" ht="15" hidden="false" customHeight="true" outlineLevel="0" collapsed="false">
      <c r="B8" s="1" t="s">
        <v>168</v>
      </c>
      <c r="C8" s="1" t="str">
        <f aca="false">IF(AND('VaR &amp; ES'!C8&gt;=0,'VaR &amp; ES'!C9&gt;='VaR &amp; ES'!C8),"PASS","FAIL")</f>
        <v>PASS</v>
      </c>
    </row>
    <row r="9" customFormat="false" ht="15" hidden="false" customHeight="true" outlineLevel="0" collapsed="false">
      <c r="B9" s="1" t="s">
        <v>169</v>
      </c>
      <c r="C9" s="1" t="str">
        <f aca="false">IF(COUNTIF(Limits!F5:F10,"BREACH")=0,"PASS","REVIEW")</f>
        <v>REVIEW</v>
      </c>
    </row>
    <row r="10" customFormat="false" ht="15" hidden="false" customHeight="true" outlineLevel="0" collapsed="false">
      <c r="B10" s="1" t="s">
        <v>170</v>
      </c>
      <c r="C10" s="1" t="str">
        <f aca="false">IF(Liquidity!C21&gt;=0,"PASS","FAIL")</f>
        <v>PASS</v>
      </c>
    </row>
    <row r="11" customFormat="false" ht="15" hidden="false" customHeight="true" outlineLevel="0" collapsed="false">
      <c r="B11" s="1" t="s">
        <v>171</v>
      </c>
      <c r="C11" s="1" t="str">
        <f aca="false">IF(COUNTA(Positions!B5:B16)=12,"PASS","FAIL")</f>
        <v>PASS</v>
      </c>
    </row>
    <row r="12" customFormat="false" ht="15" hidden="false" customHeight="true" outlineLevel="0" collapsed="false">
      <c r="B12" s="1" t="s">
        <v>172</v>
      </c>
      <c r="C12" s="1" t="str">
        <f aca="false">IF(COUNT('P&amp;L Explain'!G5:G9)=5,"PASS","FAIL")</f>
        <v>PASS</v>
      </c>
    </row>
    <row r="13" customFormat="false" ht="15" hidden="false" customHeight="true" outlineLevel="0" collapsed="false">
      <c r="B13" s="1" t="s">
        <v>173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174</v>
      </c>
      <c r="C2" s="2"/>
      <c r="D2" s="2"/>
      <c r="E2" s="2"/>
    </row>
    <row r="4" customFormat="false" ht="15" hidden="false" customHeight="true" outlineLevel="0" collapsed="false">
      <c r="B4" s="10" t="s">
        <v>175</v>
      </c>
      <c r="C4" s="10" t="s">
        <v>176</v>
      </c>
      <c r="D4" s="10" t="s">
        <v>177</v>
      </c>
      <c r="E4" s="10" t="s">
        <v>178</v>
      </c>
    </row>
    <row r="5" customFormat="false" ht="15" hidden="false" customHeight="true" outlineLevel="0" collapsed="false">
      <c r="B5" s="30" t="s">
        <v>179</v>
      </c>
      <c r="C5" s="30" t="s">
        <v>180</v>
      </c>
      <c r="D5" s="30" t="s">
        <v>181</v>
      </c>
      <c r="E5" s="30" t="s">
        <v>182</v>
      </c>
    </row>
    <row r="6" customFormat="false" ht="15" hidden="false" customHeight="true" outlineLevel="0" collapsed="false">
      <c r="B6" s="30" t="s">
        <v>183</v>
      </c>
      <c r="C6" s="30" t="s">
        <v>184</v>
      </c>
      <c r="D6" s="30" t="s">
        <v>185</v>
      </c>
      <c r="E6" s="30" t="s">
        <v>186</v>
      </c>
    </row>
    <row r="7" customFormat="false" ht="15" hidden="false" customHeight="true" outlineLevel="0" collapsed="false">
      <c r="B7" s="30" t="s">
        <v>187</v>
      </c>
      <c r="C7" s="30" t="s">
        <v>188</v>
      </c>
      <c r="D7" s="30" t="s">
        <v>181</v>
      </c>
      <c r="E7" s="30" t="s">
        <v>189</v>
      </c>
    </row>
    <row r="8" customFormat="false" ht="15" hidden="false" customHeight="true" outlineLevel="0" collapsed="false">
      <c r="B8" s="30" t="s">
        <v>190</v>
      </c>
      <c r="C8" s="30" t="s">
        <v>191</v>
      </c>
      <c r="D8" s="30" t="s">
        <v>192</v>
      </c>
      <c r="E8" s="30" t="s">
        <v>193</v>
      </c>
    </row>
    <row r="9" customFormat="false" ht="15" hidden="false" customHeight="true" outlineLevel="0" collapsed="false">
      <c r="B9" s="30" t="s">
        <v>194</v>
      </c>
      <c r="C9" s="30" t="s">
        <v>195</v>
      </c>
      <c r="D9" s="30" t="s">
        <v>196</v>
      </c>
      <c r="E9" s="30" t="s">
        <v>197</v>
      </c>
    </row>
    <row r="10" customFormat="false" ht="15" hidden="false" customHeight="false" outlineLevel="0" collapsed="false">
      <c r="B10" s="31" t="s">
        <v>198</v>
      </c>
      <c r="C10" s="31" t="s">
        <v>199</v>
      </c>
      <c r="D10" s="31" t="s">
        <v>6</v>
      </c>
      <c r="E10" s="31" t="s">
        <v>200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0" t="s">
        <v>202</v>
      </c>
      <c r="C4" s="10" t="s">
        <v>203</v>
      </c>
      <c r="D4" s="10" t="s">
        <v>204</v>
      </c>
      <c r="E4" s="10" t="s">
        <v>205</v>
      </c>
      <c r="F4" s="10" t="s">
        <v>206</v>
      </c>
      <c r="G4" s="10" t="s">
        <v>207</v>
      </c>
    </row>
    <row r="5" customFormat="false" ht="15" hidden="false" customHeight="true" outlineLevel="0" collapsed="false">
      <c r="B5" s="32" t="s">
        <v>6</v>
      </c>
      <c r="C5" s="32" t="s">
        <v>208</v>
      </c>
      <c r="D5" s="32" t="s">
        <v>199</v>
      </c>
      <c r="E5" s="32" t="s">
        <v>209</v>
      </c>
      <c r="F5" s="32" t="s">
        <v>210</v>
      </c>
      <c r="G5" s="32" t="s">
        <v>211</v>
      </c>
    </row>
    <row r="6" customFormat="false" ht="15" hidden="false" customHeight="true" outlineLevel="0" collapsed="false">
      <c r="B6" s="32"/>
      <c r="C6" s="32"/>
      <c r="D6" s="32"/>
      <c r="E6" s="32"/>
      <c r="F6" s="32"/>
      <c r="G6" s="32"/>
    </row>
    <row r="7" customFormat="false" ht="15" hidden="false" customHeight="true" outlineLevel="0" collapsed="false">
      <c r="B7" s="32"/>
      <c r="C7" s="32"/>
      <c r="D7" s="32"/>
      <c r="E7" s="32"/>
      <c r="F7" s="32"/>
      <c r="G7" s="32"/>
    </row>
    <row r="8" customFormat="false" ht="15" hidden="false" customHeight="true" outlineLevel="0" collapsed="false">
      <c r="B8" s="32"/>
      <c r="C8" s="32"/>
      <c r="D8" s="32"/>
      <c r="E8" s="32"/>
      <c r="F8" s="32"/>
      <c r="G8" s="32"/>
    </row>
    <row r="9" customFormat="false" ht="15" hidden="false" customHeight="true" outlineLevel="0" collapsed="false">
      <c r="B9" s="32"/>
      <c r="C9" s="32"/>
      <c r="D9" s="32"/>
      <c r="E9" s="32"/>
      <c r="F9" s="32"/>
      <c r="G9" s="32"/>
    </row>
    <row r="10" customFormat="false" ht="15" hidden="false" customHeight="true" outlineLevel="0" collapsed="false">
      <c r="B10" s="32"/>
      <c r="C10" s="32"/>
      <c r="D10" s="32"/>
      <c r="E10" s="32"/>
      <c r="F10" s="32"/>
      <c r="G10" s="32"/>
    </row>
    <row r="11" customFormat="false" ht="15" hidden="false" customHeight="true" outlineLevel="0" collapsed="false">
      <c r="B11" s="32"/>
      <c r="C11" s="32"/>
      <c r="D11" s="32"/>
      <c r="E11" s="32"/>
      <c r="F11" s="32"/>
      <c r="G11" s="32"/>
    </row>
    <row r="12" customFormat="false" ht="15" hidden="false" customHeight="true" outlineLevel="0" collapsed="false">
      <c r="B12" s="32"/>
      <c r="C12" s="32"/>
      <c r="D12" s="32"/>
      <c r="E12" s="32"/>
      <c r="F12" s="32"/>
      <c r="G12" s="32"/>
    </row>
    <row r="13" customFormat="false" ht="15" hidden="false" customHeight="true" outlineLevel="0" collapsed="false">
      <c r="B13" s="32"/>
      <c r="C13" s="32"/>
      <c r="D13" s="32"/>
      <c r="E13" s="32"/>
      <c r="F13" s="32"/>
      <c r="G13" s="32"/>
    </row>
    <row r="14" customFormat="false" ht="15" hidden="false" customHeight="true" outlineLevel="0" collapsed="false">
      <c r="B14" s="32"/>
      <c r="C14" s="32"/>
      <c r="D14" s="32"/>
      <c r="E14" s="32"/>
      <c r="F14" s="32"/>
      <c r="G14" s="32"/>
    </row>
    <row r="15" customFormat="false" ht="15" hidden="false" customHeight="true" outlineLevel="0" collapsed="false">
      <c r="B15" s="32"/>
      <c r="C15" s="32"/>
      <c r="D15" s="32"/>
      <c r="E15" s="32"/>
      <c r="F15" s="32"/>
      <c r="G15" s="32"/>
    </row>
    <row r="16" customFormat="false" ht="15" hidden="false" customHeight="true" outlineLevel="0" collapsed="false">
      <c r="B16" s="32"/>
      <c r="C16" s="32"/>
      <c r="D16" s="32"/>
      <c r="E16" s="32"/>
      <c r="F16" s="32"/>
      <c r="G16" s="32"/>
    </row>
    <row r="17" customFormat="false" ht="15" hidden="false" customHeight="true" outlineLevel="0" collapsed="false">
      <c r="B17" s="32"/>
      <c r="C17" s="32"/>
      <c r="D17" s="32"/>
      <c r="E17" s="32"/>
      <c r="F17" s="32"/>
      <c r="G17" s="32"/>
    </row>
    <row r="18" customFormat="false" ht="15" hidden="false" customHeight="true" outlineLevel="0" collapsed="false">
      <c r="B18" s="32"/>
      <c r="C18" s="32"/>
      <c r="D18" s="32"/>
      <c r="E18" s="32"/>
      <c r="F18" s="32"/>
      <c r="G18" s="32"/>
    </row>
    <row r="19" customFormat="false" ht="15" hidden="false" customHeight="true" outlineLevel="0" collapsed="false">
      <c r="B19" s="32"/>
      <c r="C19" s="32"/>
      <c r="D19" s="32"/>
      <c r="E19" s="32"/>
      <c r="F19" s="32"/>
      <c r="G19" s="32"/>
    </row>
    <row r="20" customFormat="false" ht="15" hidden="false" customHeight="true" outlineLevel="0" collapsed="false">
      <c r="B20" s="32"/>
      <c r="C20" s="32"/>
      <c r="D20" s="32"/>
      <c r="E20" s="32"/>
      <c r="F20" s="32"/>
      <c r="G20" s="32"/>
    </row>
    <row r="21" customFormat="false" ht="15" hidden="false" customHeight="true" outlineLevel="0" collapsed="false">
      <c r="B21" s="32"/>
      <c r="C21" s="32"/>
      <c r="D21" s="32"/>
      <c r="E21" s="32"/>
      <c r="F21" s="32"/>
      <c r="G21" s="32"/>
    </row>
    <row r="22" customFormat="false" ht="15" hidden="false" customHeight="true" outlineLevel="0" collapsed="false">
      <c r="B22" s="32"/>
      <c r="C22" s="32"/>
      <c r="D22" s="32"/>
      <c r="E22" s="32"/>
      <c r="F22" s="32"/>
      <c r="G22" s="32"/>
    </row>
    <row r="23" customFormat="false" ht="15" hidden="false" customHeight="true" outlineLevel="0" collapsed="false">
      <c r="B23" s="32"/>
      <c r="C23" s="32"/>
      <c r="D23" s="32"/>
      <c r="E23" s="32"/>
      <c r="F23" s="32"/>
      <c r="G23" s="32"/>
    </row>
    <row r="24" customFormat="false" ht="15" hidden="false" customHeight="true" outlineLevel="0" collapsed="false">
      <c r="B24" s="32"/>
      <c r="C24" s="32"/>
      <c r="D24" s="32"/>
      <c r="E24" s="32"/>
      <c r="F24" s="32"/>
      <c r="G24" s="32"/>
    </row>
    <row r="25" customFormat="false" ht="15" hidden="false" customHeight="true" outlineLevel="0" collapsed="false">
      <c r="B25" s="32"/>
      <c r="C25" s="32"/>
      <c r="D25" s="32"/>
      <c r="E25" s="32"/>
      <c r="F25" s="32"/>
      <c r="G25" s="32"/>
    </row>
    <row r="26" customFormat="false" ht="15" hidden="false" customHeight="true" outlineLevel="0" collapsed="false">
      <c r="B26" s="32"/>
      <c r="C26" s="32"/>
      <c r="D26" s="32"/>
      <c r="E26" s="32"/>
      <c r="F26" s="32"/>
      <c r="G26" s="32"/>
    </row>
    <row r="27" customFormat="false" ht="15" hidden="false" customHeight="true" outlineLevel="0" collapsed="false">
      <c r="B27" s="32"/>
      <c r="C27" s="32"/>
      <c r="D27" s="32"/>
      <c r="E27" s="32"/>
      <c r="F27" s="32"/>
      <c r="G27" s="32"/>
    </row>
    <row r="28" customFormat="false" ht="15" hidden="false" customHeight="true" outlineLevel="0" collapsed="false">
      <c r="B28" s="32"/>
      <c r="C28" s="32"/>
      <c r="D28" s="32"/>
      <c r="E28" s="32"/>
      <c r="F28" s="32"/>
      <c r="G28" s="32"/>
    </row>
    <row r="29" customFormat="false" ht="15" hidden="false" customHeight="true" outlineLevel="0" collapsed="false">
      <c r="B29" s="32"/>
      <c r="C29" s="32"/>
      <c r="D29" s="32"/>
      <c r="E29" s="32"/>
      <c r="F29" s="32"/>
      <c r="G29" s="32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2026-08-04T02:36:02Z</dcterms:created>
  <dc:creator>openpyxl</dc:creator>
  <dc:description/>
  <dc:language>en-US</dc:language>
  <cp:lastModifiedBy/>
  <dcterms:modified xsi:type="dcterms:W3CDTF">2026-08-04T02:36:49Z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