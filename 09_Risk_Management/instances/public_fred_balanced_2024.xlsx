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sitions" sheetId="6" state="visible" r:id="rId8"/>
    <sheet name="Factors" sheetId="7" state="visible" r:id="rId9"/>
    <sheet name="VaR &amp; ES" sheetId="8" state="visible" r:id="rId10"/>
    <sheet name="Risk Contributions" sheetId="9" state="visible" r:id="rId11"/>
    <sheet name="Stress" sheetId="10" state="visible" r:id="rId12"/>
    <sheet name="Liquidity" sheetId="11" state="visible" r:id="rId13"/>
    <sheet name="P&amp;L Explain" sheetId="12" state="visible" r:id="rId14"/>
    <sheet name="Limits" sheetId="13" state="visible" r:id="rId15"/>
    <sheet name="Checks" sheetId="14" state="visible" r:id="rId16"/>
    <sheet name="Sources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<sst xmlns="http://schemas.openxmlformats.org/spreadsheetml/2006/main" count="457" uniqueCount="320">
  <si>
    <t xml:space="preserve">[PORTFOLIO] — Multi-Asset Risk Model</t>
  </si>
  <si>
    <t xml:space="preserve">Portfolio / desk:</t>
  </si>
  <si>
    <t xml:space="preserve">Balanced public-market risk regime</t>
  </si>
  <si>
    <t xml:space="preserve">Risk horizon:</t>
  </si>
  <si>
    <t xml:space="preserve">1-day and stressed liquidation</t>
  </si>
  <si>
    <t xml:space="preserve">Last refreshed:</t>
  </si>
  <si>
    <t xml:space="preserve">2024-01-02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</si>
  <si>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</si>
  <si>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</si>
  <si>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</si>
  <si>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</si>
  <si>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</si>
  <si>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</si>
  <si>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</si>
  <si>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</si>
  <si>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</si>
  <si>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</si>
  <si>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</si>
  <si>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</si>
  <si>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</si>
  <si>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</si>
  <si>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</si>
  <si>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</si>
  <si>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</si>
  <si>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Management — Institutional Decision Surface</t>
  </si>
  <si>
    <t xml:space="preserve">Model ID</t>
  </si>
  <si>
    <t xml:space="preserve">09</t>
  </si>
  <si>
    <t xml:space="preserve">Domain</t>
  </si>
  <si>
    <t xml:space="preserve">Risk Management</t>
  </si>
  <si>
    <t xml:space="preserve">Declared maturity</t>
  </si>
  <si>
    <t xml:space="preserve">M2</t>
  </si>
  <si>
    <t xml:space="preserve">Canonical builder</t>
  </si>
  <si>
    <t xml:space="preserve">tools/builders/build_risk_release.py</t>
  </si>
  <si>
    <t xml:space="preserve">Decision arena</t>
  </si>
  <si>
    <t xml:space="preserve">trading desk, independent risk, model validation, senior risk committee and regulator</t>
  </si>
  <si>
    <t xml:space="preserve">Committee artifact</t>
  </si>
  <si>
    <t xml:space="preserve">daily risk and limit pack</t>
  </si>
  <si>
    <t xml:space="preserve">Operating cadence</t>
  </si>
  <si>
    <t xml:space="preserve">intraday monitoring; daily sign-off; monthly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</si>
  <si>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</si>
  <si>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</si>
  <si>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</si>
  <si>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</si>
  <si>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</si>
  <si>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</si>
  <si>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VaR / ES and stress loss</t>
  </si>
  <si>
    <t xml:space="preserve">OPEN</t>
  </si>
  <si>
    <t xml:space="preserve">factor and component risk</t>
  </si>
  <si>
    <t xml:space="preserve">liquidity horizon and liquidation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</si>
  <si>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</si>
  <si>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</si>
  <si>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</si>
  <si>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risk is missing from the factor map?</t>
  </si>
  <si>
    <t xml:space="preserve">Where does diversification disappear under stress?</t>
  </si>
  <si>
    <t xml:space="preserve">Which desk would fail model eligibility?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</si>
  <si>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</si>
  <si>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</si>
  <si>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</si>
  <si>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historical and hypothetical stress</t>
  </si>
  <si>
    <t xml:space="preserve">correlation break</t>
  </si>
  <si>
    <t xml:space="preserve">basis and spread dislocation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</si>
  <si>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</si>
  <si>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</si>
  <si>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</si>
  <si>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risk appetite and limits</t>
  </si>
  <si>
    <t xml:space="preserve">product control P&amp;L</t>
  </si>
  <si>
    <t xml:space="preserve">market data hierarchy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</si>
  <si>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</si>
  <si>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</si>
  <si>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</si>
  <si>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component risk reconciles to total</t>
  </si>
  <si>
    <t xml:space="preserve">ES not below VaR at same confidence</t>
  </si>
  <si>
    <t xml:space="preserve">stress loss sign conventions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</si>
  <si>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</si>
  <si>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</si>
  <si>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</si>
  <si>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diversification masking concentration</t>
  </si>
  <si>
    <t xml:space="preserve">using stale sensitivities</t>
  </si>
  <si>
    <t xml:space="preserve">mapping risks to wrong buckets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</si>
  <si>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</si>
  <si>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</si>
  <si>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</si>
  <si>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</si>
  <si>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</si>
  <si>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</si>
  <si>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</si>
  <si>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</si>
  <si>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</si>
  <si>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</si>
  <si>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</si>
  <si>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</si>
  <si>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</si>
  <si>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</si>
  <si>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</si>
  <si>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</si>
  <si>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</si>
  <si>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</si>
  <si>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</si>
  <si>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</si>
  <si>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</si>
  <si>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</si>
  <si>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</si>
  <si>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</si>
  <si>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</si>
  <si>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</si>
  <si>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</si>
  <si>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</si>
  <si>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</si>
  <si>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</si>
  <si>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</si>
  <si>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</si>
  <si>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</si>
  <si>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</si>
  <si>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</t>
  </si>
  <si>
    <t xml:space="preserve">intraday/daily</t>
  </si>
  <si>
    <t xml:space="preserve">front-to-back reconciliation</t>
  </si>
  <si>
    <t xml:space="preserve">TO MAP</t>
  </si>
  <si>
    <t xml:space="preserve">market data</t>
  </si>
  <si>
    <t xml:space="preserve">source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</si>
  <si>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</si>
  <si>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</si>
  <si>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</si>
  <si>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</si>
  <si>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</si>
  <si>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</si>
  <si>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Risk and Liquidity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</si>
  <si>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</si>
  <si>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</si>
  <si>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</si>
  <si>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</si>
  <si>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</si>
  <si>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</si>
  <si>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</si>
  <si>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</si>
  <si>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</si>
  <si>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</si>
  <si>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</si>
  <si>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</si>
  <si>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</si>
  <si>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</si>
  <si>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</si>
  <si>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</si>
  <si>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</si>
  <si>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</si>
  <si>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</si>
  <si>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</si>
  <si>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</si>
  <si>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</si>
  <si>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</si>
  <si>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</si>
  <si>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</si>
  <si>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</si>
  <si>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</si>
  <si>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</si>
  <si>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</si>
  <si>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</si>
  <si>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</si>
  <si>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</si>
  <si>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</si>
  <si>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</si>
  <si>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</si>
  <si>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</si>
  <si>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</si>
  <si>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</si>
  <si>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</si>
  <si>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</si>
  <si>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</si>
  <si>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</si>
  <si>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</si>
  <si>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</si>
  <si>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</si>
  <si>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</si>
  <si>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</si>
  <si>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</si>
  <si>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</si>
  <si>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</si>
  <si>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</si>
  <si>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</si>
  <si>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</si>
  <si>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</si>
  <si>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</si>
  <si>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</si>
  <si>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</si>
  <si>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</si>
  <si>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</si>
  <si>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</si>
  <si>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</si>
  <si>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</si>
  <si>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</si>
  <si>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</si>
  <si>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</si>
  <si>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</si>
  <si>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</si>
  <si>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</si>
  <si>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</si>
  <si>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</si>
  <si>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</si>
  <si>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</si>
  <si>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</si>
  <si>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</si>
  <si>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</si>
  <si>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</si>
  <si>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</si>
  <si>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</si>
  <si>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</si>
  <si>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</si>
  <si>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</si>
  <si>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</si>
  <si>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</si>
  <si>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</si>
  <si>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</si>
  <si>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</si>
  <si>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</si>
  <si>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</si>
  <si>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</si>
  <si>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</si>
  <si>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</si>
  <si>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</si>
  <si>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</si>
  <si>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</si>
  <si>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</si>
  <si>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</si>
  <si>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</si>
  <si>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</si>
  <si>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</si>
  <si>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</si>
  <si>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</si>
  <si>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</si>
  <si>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</si>
  <si>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</si>
  <si>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</si>
  <si>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</si>
  <si>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</si>
  <si>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</si>
  <si>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</si>
  <si>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</si>
  <si>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</si>
  <si>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</si>
  <si>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</si>
  <si>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</si>
  <si>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</si>
  <si>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</si>
  <si>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</si>
  <si>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</si>
  <si>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</si>
  <si>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</si>
  <si>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</si>
  <si>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</si>
  <si>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</si>
  <si>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</si>
  <si>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</si>
  <si>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</si>
  <si>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</si>
  <si>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</si>
  <si>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</si>
  <si>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</si>
  <si>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</si>
  <si>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</si>
  <si>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</si>
  <si>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</si>
  <si>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</si>
  <si>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</si>
  <si>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</si>
  <si>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</si>
  <si>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</si>
  <si>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</si>
  <si>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</si>
  <si>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</si>
  <si>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</si>
  <si>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</si>
  <si>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</si>
  <si>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</si>
  <si>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</si>
  <si>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</si>
  <si>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</si>
  <si>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</si>
  <si>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</si>
  <si>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</si>
  <si>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Position and market-value feed</t>
  </si>
  <si>
    <t xml:space="preserve">[OMS / risk source]</t>
  </si>
  <si>
    <t xml:space="preserve">[timestamp]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</si>
  <si>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</si>
  <si>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</si>
  <si>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</si>
  <si>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</si>
  <si>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</si>
  <si>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</si>
  <si>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</si>
  <si>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</si>
  <si>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</si>
  <si>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</si>
  <si>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</si>
  <si>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</si>
  <si>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</si>
  <si>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</si>
  <si>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</si>
  <si>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</si>
  <si>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</si>
  <si>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</si>
  <si>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</si>
  <si>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</si>
  <si>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</si>
  <si>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</si>
  <si>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</si>
  <si>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repo://09_Risk_Management/sources/snapshots/risk-fred-balanced-2024.json</t>
  </si>
  <si>
    <t xml:space="preserve">Immutable curated observation package with SHA-256 digest</t>
  </si>
  <si>
    <t xml:space="preserve">Retained modeler assumption from risk-reference-balanced.json</t>
  </si>
  <si>
    <t xml:space="preserve">repo://standards/benchmark_cases/risk-reference-balanced.json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</si>
  <si>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</si>
  <si>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</si>
  <si>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</si>
  <si>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</si>
  <si>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</si>
  <si>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</si>
  <si>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</si>
  <si>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</si>
  <si>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</si>
  <si>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risk-fred-balanced-2024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</si>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</sst>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</v>
      </c>
      <c r="D4" s="16" t="s">
        <v>127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0.99</v>
      </c>
      <c r="D5" s="18" t="n">
        <v>0.995</v>
      </c>
      <c r="E5" s="19" t="n">
        <f aca="false">IF(Cover!$C$9="Downside",D5,C5)</f>
        <v>0.99</v>
      </c>
      <c r="F5" s="1" t="s">
        <v>131</v>
      </c>
    </row>
    <row r="6" customFormat="false" ht="15" hidden="false" customHeight="true" outlineLevel="0" collapsed="false">
      <c r="B6" s="1" t="s">
        <v>132</v>
      </c>
      <c r="C6" s="20" t="n">
        <v>252</v>
      </c>
      <c r="D6" s="20" t="n">
        <v>252</v>
      </c>
      <c r="E6" s="21" t="n">
        <f aca="false">IF(Cover!$C$9="Downside",D6,C6)</f>
        <v>252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7" t="n">
        <v>0.132</v>
      </c>
      <c r="D7" s="18" t="n">
        <v>0.35</v>
      </c>
      <c r="E7" s="19" t="n">
        <f aca="false">IF(Cover!$C$9="Downside",D7,C7)</f>
        <v>0.132</v>
      </c>
      <c r="F7" s="1" t="s">
        <v>131</v>
      </c>
    </row>
    <row r="8" customFormat="false" ht="15" hidden="false" customHeight="true" outlineLevel="0" collapsed="false">
      <c r="B8" s="1" t="s">
        <v>135</v>
      </c>
      <c r="C8" s="22" t="n">
        <v>0.012</v>
      </c>
      <c r="D8" s="22" t="n">
        <v>0.025</v>
      </c>
      <c r="E8" s="23" t="n">
        <f aca="false">IF(Cover!$C$9="Downside",D8,C8)</f>
        <v>0.012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2" t="n">
        <v>0.015</v>
      </c>
      <c r="D9" s="22" t="n">
        <v>0.035</v>
      </c>
      <c r="E9" s="23" t="n">
        <f aca="false">IF(Cover!$C$9="Downside",D9,C9)</f>
        <v>0.015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8" t="n">
        <v>0.12</v>
      </c>
      <c r="D10" s="18" t="n">
        <v>0.2</v>
      </c>
      <c r="E10" s="19" t="n">
        <f aca="false">IF(Cover!$C$9="Downside",D10,C10)</f>
        <v>0.12</v>
      </c>
      <c r="F10" s="1" t="s">
        <v>131</v>
      </c>
    </row>
    <row r="11" customFormat="false" ht="15" hidden="false" customHeight="true" outlineLevel="0" collapsed="false">
      <c r="B11" s="1" t="s">
        <v>140</v>
      </c>
      <c r="C11" s="17" t="n">
        <v>0.132</v>
      </c>
      <c r="D11" s="18" t="n">
        <v>0.5</v>
      </c>
      <c r="E11" s="19" t="n">
        <f aca="false">IF(Cover!$C$9="Downside",D11,C11)</f>
        <v>0.132</v>
      </c>
      <c r="F11" s="1" t="s">
        <v>131</v>
      </c>
    </row>
    <row r="12" customFormat="false" ht="15" hidden="false" customHeight="true" outlineLevel="0" collapsed="false">
      <c r="B12" s="1" t="s">
        <v>141</v>
      </c>
      <c r="C12" s="24" t="n">
        <v>12</v>
      </c>
      <c r="D12" s="25" t="n">
        <v>10</v>
      </c>
      <c r="E12" s="26" t="n">
        <f aca="false">IF(Cover!$C$9="Downside",D12,C12)</f>
        <v>12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5" t="n">
        <v>40</v>
      </c>
      <c r="D13" s="25" t="n">
        <v>30</v>
      </c>
      <c r="E13" s="26" t="n">
        <f aca="false">IF(Cover!$C$9="Downside",D13,C13)</f>
        <v>40</v>
      </c>
      <c r="F13" s="1" t="s">
        <v>142</v>
      </c>
    </row>
    <row r="14" customFormat="false" ht="15" hidden="false" customHeight="true" outlineLevel="0" collapsed="false">
      <c r="B14" s="1" t="s">
        <v>144</v>
      </c>
      <c r="C14" s="18" t="n">
        <v>0.25</v>
      </c>
      <c r="D14" s="18" t="n">
        <v>0.2</v>
      </c>
      <c r="E14" s="19" t="n">
        <f aca="false">IF(Cover!$C$9="Downside",D14,C14)</f>
        <v>0.25</v>
      </c>
      <c r="F14" s="1" t="s">
        <v>131</v>
      </c>
    </row>
    <row r="15" customFormat="false" ht="15" hidden="false" customHeight="true" outlineLevel="0" collapsed="false">
      <c r="B15" s="1" t="s">
        <v>145</v>
      </c>
      <c r="C15" s="18" t="n">
        <v>0.2</v>
      </c>
      <c r="D15" s="18" t="n">
        <v>0.15</v>
      </c>
      <c r="E15" s="19" t="n">
        <f aca="false">IF(Cover!$C$9="Downside",D15,C15)</f>
        <v>0.2</v>
      </c>
      <c r="F15" s="1" t="s">
        <v>131</v>
      </c>
    </row>
    <row r="16" customFormat="false" ht="15" hidden="false" customHeight="true" outlineLevel="0" collapsed="false">
      <c r="B16" s="1" t="s">
        <v>146</v>
      </c>
      <c r="C16" s="27" t="n">
        <v>4</v>
      </c>
      <c r="D16" s="27" t="n">
        <v>3</v>
      </c>
      <c r="E16" s="28" t="n">
        <f aca="false">IF(Cover!$C$9="Downside",D16,C16)</f>
        <v>4</v>
      </c>
      <c r="F16" s="1" t="s">
        <v>147</v>
      </c>
    </row>
    <row r="17" customFormat="false" ht="15" hidden="false" customHeight="true" outlineLevel="0" collapsed="false">
      <c r="B17" s="1" t="s">
        <v>148</v>
      </c>
      <c r="C17" s="22" t="n">
        <v>0.015</v>
      </c>
      <c r="D17" s="22" t="n">
        <v>0.03</v>
      </c>
      <c r="E17" s="23" t="n">
        <f aca="false">IF(Cover!$C$9="Downside",D17,C17)</f>
        <v>0.015</v>
      </c>
      <c r="F17" s="1" t="s">
        <v>149</v>
      </c>
    </row>
    <row r="18" customFormat="false" ht="15" hidden="false" customHeight="true" outlineLevel="0" collapsed="false">
      <c r="B18" s="1" t="s">
        <v>150</v>
      </c>
      <c r="C18" s="24" t="n">
        <v>300</v>
      </c>
      <c r="D18" s="25" t="n">
        <v>250</v>
      </c>
      <c r="E18" s="26" t="n">
        <f aca="false">IF(Cover!$C$9="Downside",D18,C18)</f>
        <v>300</v>
      </c>
      <c r="F18" s="1" t="s">
        <v>142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19" min="4" style="1" width="13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2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  <c r="M4" s="16" t="s">
        <v>163</v>
      </c>
      <c r="N4" s="16" t="s">
        <v>164</v>
      </c>
      <c r="O4" s="16" t="s">
        <v>165</v>
      </c>
      <c r="P4" s="16" t="s">
        <v>166</v>
      </c>
      <c r="Q4" s="16" t="s">
        <v>167</v>
      </c>
      <c r="R4" s="16" t="s">
        <v>168</v>
      </c>
      <c r="S4" s="16" t="s">
        <v>169</v>
      </c>
    </row>
    <row r="5" customFormat="false" ht="15" hidden="false" customHeight="true" outlineLevel="0" collapsed="false">
      <c r="B5" s="1" t="s">
        <v>170</v>
      </c>
      <c r="C5" s="1" t="s">
        <v>164</v>
      </c>
      <c r="D5" s="24" t="n">
        <v>50</v>
      </c>
      <c r="E5" s="24" t="n">
        <v>140</v>
      </c>
      <c r="F5" s="22" t="n">
        <v>1</v>
      </c>
      <c r="G5" s="22" t="n">
        <v>1</v>
      </c>
      <c r="H5" s="29" t="n">
        <v>0</v>
      </c>
      <c r="I5" s="29" t="n">
        <v>0</v>
      </c>
      <c r="J5" s="25" t="n">
        <v>0</v>
      </c>
      <c r="K5" s="25" t="n">
        <v>0</v>
      </c>
      <c r="L5" s="25" t="n">
        <v>0</v>
      </c>
      <c r="M5" s="29" t="n">
        <v>0.2</v>
      </c>
      <c r="N5" s="22" t="n">
        <v>1</v>
      </c>
      <c r="O5" s="22" t="n">
        <v>0</v>
      </c>
      <c r="P5" s="22" t="n">
        <v>0</v>
      </c>
      <c r="Q5" s="22" t="n">
        <v>0</v>
      </c>
      <c r="R5" s="22" t="n">
        <v>0</v>
      </c>
      <c r="S5" s="26" t="n">
        <f aca="false">SUMPRODUCT(C5:Q5,C5:Q5)^0.5</f>
        <v>148.670911748062</v>
      </c>
    </row>
    <row r="6" customFormat="false" ht="15" hidden="false" customHeight="true" outlineLevel="0" collapsed="false">
      <c r="B6" s="1" t="s">
        <v>171</v>
      </c>
      <c r="C6" s="1" t="s">
        <v>164</v>
      </c>
      <c r="D6" s="25" t="n">
        <v>35</v>
      </c>
      <c r="E6" s="25" t="n">
        <v>35</v>
      </c>
      <c r="F6" s="22" t="n">
        <v>1</v>
      </c>
      <c r="G6" s="22" t="n">
        <v>1.2</v>
      </c>
      <c r="H6" s="29" t="n">
        <v>0</v>
      </c>
      <c r="I6" s="29" t="n">
        <v>0</v>
      </c>
      <c r="J6" s="25" t="n">
        <v>0</v>
      </c>
      <c r="K6" s="25" t="n">
        <v>0</v>
      </c>
      <c r="L6" s="25" t="n">
        <v>0</v>
      </c>
      <c r="M6" s="29" t="n">
        <v>1</v>
      </c>
      <c r="N6" s="22" t="n">
        <v>1.2</v>
      </c>
      <c r="O6" s="22" t="n">
        <v>0</v>
      </c>
      <c r="P6" s="22" t="n">
        <v>0.1</v>
      </c>
      <c r="Q6" s="22" t="n">
        <v>0</v>
      </c>
      <c r="R6" s="22" t="n">
        <v>0.1</v>
      </c>
      <c r="S6" s="26" t="n">
        <f aca="false">SUMPRODUCT(C6:Q6,C6:Q6)^0.5</f>
        <v>49.5468465192286</v>
      </c>
    </row>
    <row r="7" customFormat="false" ht="15" hidden="false" customHeight="true" outlineLevel="0" collapsed="false">
      <c r="B7" s="1" t="s">
        <v>172</v>
      </c>
      <c r="C7" s="1" t="s">
        <v>173</v>
      </c>
      <c r="D7" s="25" t="n">
        <v>8</v>
      </c>
      <c r="E7" s="25" t="n">
        <v>25</v>
      </c>
      <c r="F7" s="22" t="n">
        <v>-0.35</v>
      </c>
      <c r="G7" s="22" t="n">
        <v>-0.4</v>
      </c>
      <c r="H7" s="29" t="n">
        <v>0</v>
      </c>
      <c r="I7" s="29" t="n">
        <v>0</v>
      </c>
      <c r="J7" s="25" t="n">
        <v>0</v>
      </c>
      <c r="K7" s="25" t="n">
        <v>0.18</v>
      </c>
      <c r="L7" s="25" t="n">
        <v>0</v>
      </c>
      <c r="M7" s="29" t="n">
        <v>1.5</v>
      </c>
      <c r="N7" s="22" t="n">
        <v>-0.4</v>
      </c>
      <c r="O7" s="22" t="n">
        <v>0</v>
      </c>
      <c r="P7" s="22" t="n">
        <v>0</v>
      </c>
      <c r="Q7" s="22" t="n">
        <v>0</v>
      </c>
      <c r="R7" s="22" t="n">
        <v>0.8</v>
      </c>
      <c r="S7" s="26" t="n">
        <f aca="false">SUMPRODUCT(C7:Q7,C7:Q7)^0.5</f>
        <v>26.3006634897297</v>
      </c>
    </row>
    <row r="8" customFormat="false" ht="15" hidden="false" customHeight="true" outlineLevel="0" collapsed="false">
      <c r="B8" s="1" t="s">
        <v>174</v>
      </c>
      <c r="C8" s="1" t="s">
        <v>165</v>
      </c>
      <c r="D8" s="25" t="n">
        <v>50</v>
      </c>
      <c r="E8" s="25" t="n">
        <v>50</v>
      </c>
      <c r="F8" s="22" t="n">
        <v>1</v>
      </c>
      <c r="G8" s="22" t="n">
        <v>0</v>
      </c>
      <c r="H8" s="29" t="n">
        <v>8.2</v>
      </c>
      <c r="I8" s="29" t="n">
        <v>0</v>
      </c>
      <c r="J8" s="25" t="n">
        <v>0.041</v>
      </c>
      <c r="K8" s="25" t="n">
        <v>0</v>
      </c>
      <c r="L8" s="25" t="n">
        <v>0</v>
      </c>
      <c r="M8" s="29" t="n">
        <v>0.5</v>
      </c>
      <c r="N8" s="22" t="n">
        <v>0</v>
      </c>
      <c r="O8" s="22" t="n">
        <v>-8.2</v>
      </c>
      <c r="P8" s="22" t="n">
        <v>0</v>
      </c>
      <c r="Q8" s="22" t="n">
        <v>0</v>
      </c>
      <c r="R8" s="22" t="n">
        <v>0</v>
      </c>
      <c r="S8" s="26" t="n">
        <f aca="false">SUMPRODUCT(C8:Q8,C8:Q8)^0.5</f>
        <v>71.6640194309529</v>
      </c>
    </row>
    <row r="9" customFormat="false" ht="15" hidden="false" customHeight="true" outlineLevel="0" collapsed="false">
      <c r="B9" s="1" t="s">
        <v>175</v>
      </c>
      <c r="C9" s="1" t="s">
        <v>166</v>
      </c>
      <c r="D9" s="25" t="n">
        <v>32</v>
      </c>
      <c r="E9" s="25" t="n">
        <v>50</v>
      </c>
      <c r="F9" s="22" t="n">
        <v>1</v>
      </c>
      <c r="G9" s="22" t="n">
        <v>0.35</v>
      </c>
      <c r="H9" s="29" t="n">
        <v>5.5</v>
      </c>
      <c r="I9" s="29" t="n">
        <v>5</v>
      </c>
      <c r="J9" s="25" t="n">
        <v>0.018</v>
      </c>
      <c r="K9" s="25" t="n">
        <v>0</v>
      </c>
      <c r="L9" s="25" t="n">
        <v>0</v>
      </c>
      <c r="M9" s="29" t="n">
        <v>1</v>
      </c>
      <c r="N9" s="22" t="n">
        <v>0.35</v>
      </c>
      <c r="O9" s="22" t="n">
        <v>-2</v>
      </c>
      <c r="P9" s="22" t="n">
        <v>-5</v>
      </c>
      <c r="Q9" s="22" t="n">
        <v>0</v>
      </c>
      <c r="R9" s="22" t="n">
        <v>0</v>
      </c>
      <c r="S9" s="26" t="n">
        <f aca="false">SUMPRODUCT(C9:Q9,C9:Q9)^0.5</f>
        <v>60.0873973808152</v>
      </c>
    </row>
    <row r="10" customFormat="false" ht="15" hidden="false" customHeight="true" outlineLevel="0" collapsed="false">
      <c r="B10" s="1" t="s">
        <v>176</v>
      </c>
      <c r="C10" s="1" t="s">
        <v>166</v>
      </c>
      <c r="D10" s="25" t="n">
        <v>28</v>
      </c>
      <c r="E10" s="25" t="n">
        <v>40</v>
      </c>
      <c r="F10" s="22" t="n">
        <v>1</v>
      </c>
      <c r="G10" s="22" t="n">
        <v>0.55</v>
      </c>
      <c r="H10" s="29" t="n">
        <v>4</v>
      </c>
      <c r="I10" s="29" t="n">
        <v>3.8</v>
      </c>
      <c r="J10" s="25" t="n">
        <v>0.011</v>
      </c>
      <c r="K10" s="25" t="n">
        <v>0</v>
      </c>
      <c r="L10" s="25" t="n">
        <v>0</v>
      </c>
      <c r="M10" s="29" t="n">
        <v>4</v>
      </c>
      <c r="N10" s="22" t="n">
        <v>0.55</v>
      </c>
      <c r="O10" s="22" t="n">
        <v>-1</v>
      </c>
      <c r="P10" s="22" t="n">
        <v>-3.8</v>
      </c>
      <c r="Q10" s="22" t="n">
        <v>0</v>
      </c>
      <c r="R10" s="22" t="n">
        <v>0</v>
      </c>
      <c r="S10" s="26" t="n">
        <f aca="false">SUMPRODUCT(C10:Q10,C10:Q10)^0.5</f>
        <v>49.4720640462878</v>
      </c>
    </row>
    <row r="11" customFormat="false" ht="15" hidden="false" customHeight="true" outlineLevel="0" collapsed="false">
      <c r="B11" s="1" t="s">
        <v>177</v>
      </c>
      <c r="C11" s="1" t="s">
        <v>167</v>
      </c>
      <c r="D11" s="25" t="n">
        <v>5</v>
      </c>
      <c r="E11" s="25" t="n">
        <v>80</v>
      </c>
      <c r="F11" s="22" t="n">
        <v>1</v>
      </c>
      <c r="G11" s="22" t="n">
        <v>0</v>
      </c>
      <c r="H11" s="29" t="n">
        <v>0</v>
      </c>
      <c r="I11" s="29" t="n">
        <v>0</v>
      </c>
      <c r="J11" s="25" t="n">
        <v>0</v>
      </c>
      <c r="K11" s="25" t="n">
        <v>0</v>
      </c>
      <c r="L11" s="25" t="n">
        <v>80</v>
      </c>
      <c r="M11" s="29" t="n">
        <v>0.3</v>
      </c>
      <c r="N11" s="22" t="n">
        <v>0</v>
      </c>
      <c r="O11" s="22" t="n">
        <v>0</v>
      </c>
      <c r="P11" s="22" t="n">
        <v>0</v>
      </c>
      <c r="Q11" s="22" t="n">
        <v>1</v>
      </c>
      <c r="R11" s="22" t="n">
        <v>0</v>
      </c>
      <c r="S11" s="26" t="n">
        <f aca="false">SUMPRODUCT(C11:Q11,C11:Q11)^0.5</f>
        <v>113.256743728575</v>
      </c>
    </row>
    <row r="12" customFormat="false" ht="15" hidden="false" customHeight="true" outlineLevel="0" collapsed="false">
      <c r="B12" s="1" t="s">
        <v>178</v>
      </c>
      <c r="C12" s="1" t="s">
        <v>179</v>
      </c>
      <c r="D12" s="25" t="n">
        <v>20</v>
      </c>
      <c r="E12" s="25" t="n">
        <v>65</v>
      </c>
      <c r="F12" s="22" t="n">
        <v>1</v>
      </c>
      <c r="G12" s="22" t="n">
        <v>0.25</v>
      </c>
      <c r="H12" s="29" t="n">
        <v>0</v>
      </c>
      <c r="I12" s="29" t="n">
        <v>0</v>
      </c>
      <c r="J12" s="25" t="n">
        <v>0</v>
      </c>
      <c r="K12" s="25" t="n">
        <v>0</v>
      </c>
      <c r="L12" s="25" t="n">
        <v>0</v>
      </c>
      <c r="M12" s="29" t="n">
        <v>0.5</v>
      </c>
      <c r="N12" s="22" t="n">
        <v>0.25</v>
      </c>
      <c r="O12" s="22" t="n">
        <v>0</v>
      </c>
      <c r="P12" s="22" t="n">
        <v>0.2</v>
      </c>
      <c r="Q12" s="22" t="n">
        <v>0.1</v>
      </c>
      <c r="R12" s="22" t="n">
        <v>0.1</v>
      </c>
      <c r="S12" s="26" t="n">
        <f aca="false">SUMPRODUCT(C12:Q12,C12:Q12)^0.5</f>
        <v>68.017828545169</v>
      </c>
    </row>
    <row r="13" customFormat="false" ht="15" hidden="false" customHeight="true" outlineLevel="0" collapsed="false">
      <c r="B13" s="1" t="s">
        <v>180</v>
      </c>
      <c r="C13" s="1" t="s">
        <v>168</v>
      </c>
      <c r="D13" s="25" t="n">
        <v>6</v>
      </c>
      <c r="E13" s="25" t="n">
        <v>30</v>
      </c>
      <c r="F13" s="22" t="n">
        <v>0</v>
      </c>
      <c r="G13" s="22" t="n">
        <v>0</v>
      </c>
      <c r="H13" s="29" t="n">
        <v>0</v>
      </c>
      <c r="I13" s="29" t="n">
        <v>0</v>
      </c>
      <c r="J13" s="25" t="n">
        <v>0</v>
      </c>
      <c r="K13" s="25" t="n">
        <v>0.45</v>
      </c>
      <c r="L13" s="25" t="n">
        <v>0</v>
      </c>
      <c r="M13" s="29" t="n">
        <v>2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1</v>
      </c>
      <c r="S13" s="26" t="n">
        <f aca="false">SUMPRODUCT(C13:Q13,C13:Q13)^0.5</f>
        <v>30.6627216665449</v>
      </c>
    </row>
    <row r="14" customFormat="false" ht="15" hidden="false" customHeight="true" outlineLevel="0" collapsed="false">
      <c r="B14" s="1" t="s">
        <v>181</v>
      </c>
      <c r="C14" s="1" t="s">
        <v>182</v>
      </c>
      <c r="D14" s="25" t="n">
        <v>40</v>
      </c>
      <c r="E14" s="25" t="n">
        <v>40</v>
      </c>
      <c r="F14" s="22" t="n">
        <v>1</v>
      </c>
      <c r="G14" s="22" t="n">
        <v>0.2</v>
      </c>
      <c r="H14" s="29" t="n">
        <v>2</v>
      </c>
      <c r="I14" s="29" t="n">
        <v>2.5</v>
      </c>
      <c r="J14" s="25" t="n">
        <v>0.008</v>
      </c>
      <c r="K14" s="25" t="n">
        <v>0</v>
      </c>
      <c r="L14" s="25" t="n">
        <v>0</v>
      </c>
      <c r="M14" s="29" t="n">
        <v>20</v>
      </c>
      <c r="N14" s="22" t="n">
        <v>0.2</v>
      </c>
      <c r="O14" s="22" t="n">
        <v>-0.5</v>
      </c>
      <c r="P14" s="22" t="n">
        <v>-2.5</v>
      </c>
      <c r="Q14" s="22" t="n">
        <v>0</v>
      </c>
      <c r="R14" s="22" t="n">
        <v>0</v>
      </c>
      <c r="S14" s="26" t="n">
        <f aca="false">SUMPRODUCT(C14:Q14,C14:Q14)^0.5</f>
        <v>60.1484003444813</v>
      </c>
    </row>
    <row r="15" customFormat="false" ht="15" hidden="false" customHeight="true" outlineLevel="0" collapsed="false">
      <c r="B15" s="1" t="s">
        <v>183</v>
      </c>
      <c r="C15" s="1" t="s">
        <v>183</v>
      </c>
      <c r="D15" s="25" t="n">
        <v>25</v>
      </c>
      <c r="E15" s="25" t="n">
        <v>25</v>
      </c>
      <c r="F15" s="22" t="n">
        <v>1</v>
      </c>
      <c r="G15" s="22" t="n">
        <v>0</v>
      </c>
      <c r="H15" s="29" t="n">
        <v>0</v>
      </c>
      <c r="I15" s="29" t="n">
        <v>0</v>
      </c>
      <c r="J15" s="25" t="n">
        <v>0</v>
      </c>
      <c r="K15" s="25" t="n">
        <v>0</v>
      </c>
      <c r="L15" s="25" t="n">
        <v>0</v>
      </c>
      <c r="M15" s="29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6" t="n">
        <f aca="false">SUMPRODUCT(C15:Q15,C15:Q15)^0.5</f>
        <v>35.3694783676548</v>
      </c>
    </row>
    <row r="16" customFormat="false" ht="15" hidden="false" customHeight="true" outlineLevel="0" collapsed="false">
      <c r="B16" s="1" t="s">
        <v>184</v>
      </c>
      <c r="C16" s="1" t="s">
        <v>164</v>
      </c>
      <c r="D16" s="25" t="n">
        <v>-18</v>
      </c>
      <c r="E16" s="25" t="n">
        <v>60</v>
      </c>
      <c r="F16" s="22" t="n">
        <v>-1</v>
      </c>
      <c r="G16" s="22" t="n">
        <v>-0.9</v>
      </c>
      <c r="H16" s="29" t="n">
        <v>0</v>
      </c>
      <c r="I16" s="29" t="n">
        <v>0</v>
      </c>
      <c r="J16" s="25" t="n">
        <v>0</v>
      </c>
      <c r="K16" s="25" t="n">
        <v>0</v>
      </c>
      <c r="L16" s="25" t="n">
        <v>0</v>
      </c>
      <c r="M16" s="29" t="n">
        <v>0.5</v>
      </c>
      <c r="N16" s="22" t="n">
        <v>-0.9</v>
      </c>
      <c r="O16" s="22" t="n">
        <v>0</v>
      </c>
      <c r="P16" s="22" t="n">
        <v>-0.1</v>
      </c>
      <c r="Q16" s="22" t="n">
        <v>0</v>
      </c>
      <c r="R16" s="22" t="n">
        <v>0</v>
      </c>
      <c r="S16" s="26" t="n">
        <f aca="false">SUMPRODUCT(C16:Q16,C16:Q16)^0.5</f>
        <v>62.6648226679052</v>
      </c>
    </row>
    <row r="18" customFormat="false" ht="15" hidden="false" customHeight="true" outlineLevel="0" collapsed="false">
      <c r="B18" s="30" t="s">
        <v>185</v>
      </c>
      <c r="C18" s="30"/>
      <c r="D18" s="31" t="n">
        <f aca="false">SUM(D5:D16)</f>
        <v>281</v>
      </c>
      <c r="E18" s="31" t="n">
        <f aca="false">SUM(E5:E16)</f>
        <v>640</v>
      </c>
      <c r="F18" s="30"/>
      <c r="G18" s="30"/>
      <c r="H18" s="30"/>
      <c r="I18" s="30"/>
      <c r="J18" s="31" t="n">
        <f aca="false">SUM(J5:J16)</f>
        <v>0.078</v>
      </c>
      <c r="K18" s="31" t="n">
        <f aca="false">SUM(K5:K16)</f>
        <v>0.63</v>
      </c>
      <c r="L18" s="31" t="n">
        <f aca="false">SUM(L5:L16)</f>
        <v>80</v>
      </c>
      <c r="M18" s="30"/>
      <c r="N18" s="30"/>
      <c r="O18" s="30"/>
      <c r="P18" s="30"/>
      <c r="Q18" s="30"/>
      <c r="R18" s="30"/>
      <c r="S18" s="31" t="n">
        <f aca="false">SUM(S5:S16)</f>
        <v>775.861897935406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9" min="5" style="1" width="12"/>
  </cols>
  <sheetData>
    <row r="2" customFormat="false" ht="27.75" hidden="false" customHeight="true" outlineLevel="0" collapsed="false">
      <c r="B2" s="2" t="s">
        <v>186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187</v>
      </c>
      <c r="C4" s="16" t="s">
        <v>188</v>
      </c>
      <c r="D4" s="16" t="s">
        <v>189</v>
      </c>
      <c r="E4" s="16" t="s">
        <v>164</v>
      </c>
      <c r="F4" s="16" t="s">
        <v>165</v>
      </c>
      <c r="G4" s="16" t="s">
        <v>166</v>
      </c>
      <c r="H4" s="16" t="s">
        <v>167</v>
      </c>
      <c r="I4" s="16" t="s">
        <v>168</v>
      </c>
    </row>
    <row r="5" customFormat="false" ht="15" hidden="false" customHeight="true" outlineLevel="0" collapsed="false">
      <c r="B5" s="1" t="s">
        <v>164</v>
      </c>
      <c r="C5" s="26" t="n">
        <f aca="false">SUMPRODUCT(Positions!$D$5:$D$16,Positions!$N$5:$N$16)</f>
        <v>144.6</v>
      </c>
      <c r="D5" s="23" t="n">
        <f aca="false">Assumptions!E7</f>
        <v>0.132</v>
      </c>
      <c r="E5" s="29" t="n">
        <v>1</v>
      </c>
      <c r="F5" s="29" t="n">
        <v>-0.2</v>
      </c>
      <c r="G5" s="29" t="n">
        <v>0.35</v>
      </c>
      <c r="H5" s="29" t="n">
        <v>0.1</v>
      </c>
      <c r="I5" s="29" t="n">
        <v>0.45</v>
      </c>
    </row>
    <row r="6" customFormat="false" ht="15" hidden="false" customHeight="true" outlineLevel="0" collapsed="false">
      <c r="B6" s="1" t="s">
        <v>165</v>
      </c>
      <c r="C6" s="26" t="n">
        <f aca="false">SUMPRODUCT(Positions!$D$5:$D$16,Positions!$O$5:$O$16)</f>
        <v>-522</v>
      </c>
      <c r="D6" s="23" t="n">
        <f aca="false">Assumptions!E8</f>
        <v>0.012</v>
      </c>
      <c r="E6" s="29" t="n">
        <v>-0.2</v>
      </c>
      <c r="F6" s="29" t="n">
        <v>1</v>
      </c>
      <c r="G6" s="29" t="n">
        <v>-0.25</v>
      </c>
      <c r="H6" s="29" t="n">
        <v>0.05</v>
      </c>
      <c r="I6" s="29" t="n">
        <v>-0.1</v>
      </c>
    </row>
    <row r="7" customFormat="false" ht="15" hidden="false" customHeight="true" outlineLevel="0" collapsed="false">
      <c r="B7" s="1" t="s">
        <v>166</v>
      </c>
      <c r="C7" s="26" t="n">
        <f aca="false">SUMPRODUCT(Positions!$D$5:$D$16,Positions!$P$5:$P$16)</f>
        <v>-357.1</v>
      </c>
      <c r="D7" s="23" t="n">
        <f aca="false">Assumptions!E9</f>
        <v>0.015</v>
      </c>
      <c r="E7" s="29" t="n">
        <v>0.35</v>
      </c>
      <c r="F7" s="29" t="n">
        <v>-0.25</v>
      </c>
      <c r="G7" s="29" t="n">
        <v>1</v>
      </c>
      <c r="H7" s="29" t="n">
        <v>0.1</v>
      </c>
      <c r="I7" s="29" t="n">
        <v>0.3</v>
      </c>
    </row>
    <row r="8" customFormat="false" ht="15" hidden="false" customHeight="true" outlineLevel="0" collapsed="false">
      <c r="B8" s="1" t="s">
        <v>167</v>
      </c>
      <c r="C8" s="26" t="n">
        <f aca="false">SUMPRODUCT(Positions!$D$5:$D$16,Positions!$Q$5:$Q$16)</f>
        <v>7</v>
      </c>
      <c r="D8" s="23" t="n">
        <f aca="false">Assumptions!E10</f>
        <v>0.12</v>
      </c>
      <c r="E8" s="29" t="n">
        <v>0.1</v>
      </c>
      <c r="F8" s="29" t="n">
        <v>0.05</v>
      </c>
      <c r="G8" s="29" t="n">
        <v>0.1</v>
      </c>
      <c r="H8" s="29" t="n">
        <v>1</v>
      </c>
      <c r="I8" s="29" t="n">
        <v>0.1</v>
      </c>
    </row>
    <row r="9" customFormat="false" ht="15" hidden="false" customHeight="true" outlineLevel="0" collapsed="false">
      <c r="B9" s="1" t="s">
        <v>168</v>
      </c>
      <c r="C9" s="26" t="n">
        <f aca="false">SUMPRODUCT(Positions!$D$5:$D$16,Positions!$R$5:$R$16)</f>
        <v>17.9</v>
      </c>
      <c r="D9" s="23" t="n">
        <f aca="false">Assumptions!E11</f>
        <v>0.132</v>
      </c>
      <c r="E9" s="29" t="n">
        <v>0.45</v>
      </c>
      <c r="F9" s="29" t="n">
        <v>-0.1</v>
      </c>
      <c r="G9" s="29" t="n">
        <v>0.3</v>
      </c>
      <c r="H9" s="29" t="n">
        <v>0.1</v>
      </c>
      <c r="I9" s="29" t="n">
        <v>1</v>
      </c>
    </row>
    <row r="12" customFormat="false" ht="15" hidden="false" customHeight="true" outlineLevel="0" collapsed="false">
      <c r="B12" s="1" t="s">
        <v>190</v>
      </c>
      <c r="C12" s="26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436.152492954</v>
      </c>
    </row>
    <row r="13" customFormat="false" ht="15" hidden="false" customHeight="true" outlineLevel="0" collapsed="false">
      <c r="B13" s="1" t="s">
        <v>191</v>
      </c>
      <c r="C13" s="26" t="n">
        <f aca="false">SQRT(MAX(0,C12))</f>
        <v>20.8842642425823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</row>
    <row r="4" customFormat="false" ht="15" hidden="false" customHeight="true" outlineLevel="0" collapsed="false">
      <c r="B4" s="16" t="s">
        <v>193</v>
      </c>
      <c r="C4" s="16" t="s">
        <v>194</v>
      </c>
      <c r="D4" s="16" t="s">
        <v>195</v>
      </c>
      <c r="E4" s="16" t="s">
        <v>196</v>
      </c>
    </row>
    <row r="5" customFormat="false" ht="15" hidden="false" customHeight="true" outlineLevel="0" collapsed="false">
      <c r="B5" s="1" t="s">
        <v>191</v>
      </c>
      <c r="C5" s="26" t="n">
        <f aca="false">Factors!C13</f>
        <v>20.8842642425823</v>
      </c>
      <c r="D5" s="1" t="s">
        <v>142</v>
      </c>
      <c r="E5" s="1" t="s">
        <v>197</v>
      </c>
    </row>
    <row r="6" customFormat="false" ht="15" hidden="false" customHeight="true" outlineLevel="0" collapsed="false">
      <c r="B6" s="1" t="s">
        <v>198</v>
      </c>
      <c r="C6" s="26" t="n">
        <f aca="false">C5/SQRT(Assumptions!E6)</f>
        <v>1.31558498810551</v>
      </c>
      <c r="D6" s="1" t="s">
        <v>142</v>
      </c>
      <c r="E6" s="1" t="s">
        <v>199</v>
      </c>
    </row>
    <row r="7" customFormat="false" ht="15" hidden="false" customHeight="true" outlineLevel="0" collapsed="false">
      <c r="B7" s="1" t="s">
        <v>200</v>
      </c>
      <c r="C7" s="32" t="n">
        <f aca="false">-NORMSINV(1-Assumptions!E5)</f>
        <v>2.32634787404084</v>
      </c>
      <c r="D7" s="1" t="s">
        <v>201</v>
      </c>
      <c r="E7" s="1" t="s">
        <v>202</v>
      </c>
    </row>
    <row r="8" customFormat="false" ht="15" hidden="false" customHeight="true" outlineLevel="0" collapsed="false">
      <c r="B8" s="1" t="s">
        <v>203</v>
      </c>
      <c r="C8" s="26" t="n">
        <f aca="false">C6*C7</f>
        <v>3.06050834019929</v>
      </c>
      <c r="D8" s="1" t="s">
        <v>142</v>
      </c>
      <c r="E8" s="1" t="s">
        <v>204</v>
      </c>
    </row>
    <row r="9" customFormat="false" ht="15" hidden="false" customHeight="true" outlineLevel="0" collapsed="false">
      <c r="B9" s="1" t="s">
        <v>205</v>
      </c>
      <c r="C9" s="26" t="n">
        <f aca="false">C6*(EXP(-((C7)^2)/2)/SQRT(2*PI()))/(1-Assumptions!E5)</f>
        <v>3.50631581837227</v>
      </c>
      <c r="D9" s="1" t="s">
        <v>142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23" t="n">
        <f aca="false">C8/Assumptions!E18</f>
        <v>0.010201694467331</v>
      </c>
      <c r="D10" s="1" t="s">
        <v>131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3" t="n">
        <f aca="false">1-C5/SUMPRODUCT(ABS(Factors!C5:C9),Factors!D5:D9)</f>
        <v>0.384135762003443</v>
      </c>
      <c r="D11" s="1" t="s">
        <v>131</v>
      </c>
      <c r="E11" s="1" t="s">
        <v>210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20"/>
    <col collapsed="false" customWidth="true" hidden="false" outlineLevel="0" max="10" min="10" style="1" width="18"/>
  </cols>
  <sheetData>
    <row r="2" customFormat="false" ht="27.7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212</v>
      </c>
      <c r="E4" s="16" t="s">
        <v>213</v>
      </c>
      <c r="F4" s="16" t="s">
        <v>214</v>
      </c>
      <c r="G4" s="16" t="s">
        <v>215</v>
      </c>
      <c r="H4" s="16" t="s">
        <v>216</v>
      </c>
      <c r="I4" s="16" t="s">
        <v>217</v>
      </c>
      <c r="J4" s="16" t="s">
        <v>218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140</v>
      </c>
      <c r="D5" s="26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2.70817269260379</v>
      </c>
      <c r="E5" s="26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2.54325437057073</v>
      </c>
      <c r="F5" s="23" t="n">
        <f aca="false">IFERROR(E5/'VaR &amp; ES'!$C$8,0)</f>
        <v>0.830990831544383</v>
      </c>
      <c r="G5" s="26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35</v>
      </c>
      <c r="H5" s="26" t="n">
        <f aca="false">Liquidity!G5</f>
        <v>0.669467450042694</v>
      </c>
      <c r="I5" s="26" t="n">
        <f aca="false">ABS(E5)+G5+H5</f>
        <v>38.2127218206134</v>
      </c>
      <c r="J5" s="23" t="n">
        <f aca="false">IFERROR(I5/SUM($I$5:$I$16),0)</f>
        <v>0.368095154984774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35</v>
      </c>
      <c r="D6" s="26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0.847888498679922</v>
      </c>
      <c r="E6" s="26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0.79693177141145</v>
      </c>
      <c r="F6" s="23" t="n">
        <f aca="false">IFERROR(E6/'VaR &amp; ES'!$C$8,0)</f>
        <v>0.260391961996599</v>
      </c>
      <c r="G6" s="26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9.835</v>
      </c>
      <c r="H6" s="26" t="n">
        <f aca="false">Liquidity!G6</f>
        <v>0.0209208578138342</v>
      </c>
      <c r="I6" s="26" t="n">
        <f aca="false">ABS(E6)+G6+H6</f>
        <v>10.6528526292253</v>
      </c>
      <c r="J6" s="23" t="n">
        <f aca="false">IFERROR(I6/SUM($I$5:$I$16),0)</f>
        <v>0.102616700741515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26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0.346037613455469</v>
      </c>
      <c r="E7" s="26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0.00461731970170186</v>
      </c>
      <c r="F7" s="23" t="n">
        <f aca="false">IFERROR(E7/'VaR &amp; ES'!$C$8,0)</f>
        <v>0.00150867737919681</v>
      </c>
      <c r="G7" s="26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26" t="n">
        <f aca="false">Liquidity!G7</f>
        <v>0.00491046375823991</v>
      </c>
      <c r="I7" s="26" t="n">
        <f aca="false">ABS(E7)+G7+H7</f>
        <v>6.50952778345994</v>
      </c>
      <c r="J7" s="23" t="n">
        <f aca="false">IFERROR(I7/SUM($I$5:$I$16),0)</f>
        <v>0.0627049193087789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26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0.721007015563346</v>
      </c>
      <c r="E8" s="26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0.308526439591325</v>
      </c>
      <c r="F8" s="23" t="n">
        <f aca="false">IFERROR(E8/'VaR &amp; ES'!$C$8,0)</f>
        <v>0.100808887052807</v>
      </c>
      <c r="G8" s="26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26" t="n">
        <f aca="false">Liquidity!G8</f>
        <v>0.0510310363079829</v>
      </c>
      <c r="I8" s="26" t="n">
        <f aca="false">ABS(E8)+G8+H8</f>
        <v>10.6095574758993</v>
      </c>
      <c r="J8" s="23" t="n">
        <f aca="false">IFERROR(I8/SUM($I$5:$I$16),0)</f>
        <v>0.102199647587112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26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0.541103643322828</v>
      </c>
      <c r="E9" s="26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0.296246457419839</v>
      </c>
      <c r="F9" s="23" t="n">
        <f aca="false">IFERROR(E9/'VaR &amp; ES'!$C$8,0)</f>
        <v>0.0967964875405462</v>
      </c>
      <c r="G9" s="26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26" t="n">
        <f aca="false">Liquidity!G9</f>
        <v>0.0510310363079829</v>
      </c>
      <c r="I9" s="26" t="n">
        <f aca="false">ABS(E9)+G9+H9</f>
        <v>7.24727749372782</v>
      </c>
      <c r="J9" s="23" t="n">
        <f aca="false">IFERROR(I9/SUM($I$5:$I$16),0)</f>
        <v>0.0698115079264611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26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0.445403847409219</v>
      </c>
      <c r="E10" s="26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0.370832699147504</v>
      </c>
      <c r="F10" s="23" t="n">
        <f aca="false">IFERROR(E10/'VaR &amp; ES'!$C$8,0)</f>
        <v>0.121167027802759</v>
      </c>
      <c r="G10" s="26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26" t="n">
        <f aca="false">Liquidity!G10</f>
        <v>0.00365148371670111</v>
      </c>
      <c r="I10" s="26" t="n">
        <f aca="false">ABS(E10)+G10+H10</f>
        <v>4.95848418286421</v>
      </c>
      <c r="J10" s="23" t="n">
        <f aca="false">IFERROR(I10/SUM($I$5:$I$16),0)</f>
        <v>0.0477640407911579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26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1.40684295719677</v>
      </c>
      <c r="E11" s="26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0.143899136120311</v>
      </c>
      <c r="F11" s="23" t="n">
        <f aca="false">IFERROR(E11/'VaR &amp; ES'!$C$8,0)</f>
        <v>0.0470180506389146</v>
      </c>
      <c r="G11" s="26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26" t="n">
        <f aca="false">Liquidity!G11</f>
        <v>0.165247289438183</v>
      </c>
      <c r="I11" s="26" t="n">
        <f aca="false">ABS(E11)+G11+H11</f>
        <v>6.70914642555849</v>
      </c>
      <c r="J11" s="23" t="n">
        <f aca="false">IFERROR(I11/SUM($I$5:$I$16),0)</f>
        <v>0.0646278039267879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26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0.428056475164989</v>
      </c>
      <c r="E12" s="26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0.372470791209147</v>
      </c>
      <c r="F12" s="23" t="n">
        <f aca="false">IFERROR(E12/'VaR &amp; ES'!$C$8,0)</f>
        <v>0.121702263090351</v>
      </c>
      <c r="G12" s="26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26" t="n">
        <f aca="false">Liquidity!G12</f>
        <v>0.0983315236415396</v>
      </c>
      <c r="I12" s="26" t="n">
        <f aca="false">ABS(E12)+G12+H12</f>
        <v>3.36330231485069</v>
      </c>
      <c r="J12" s="23" t="n">
        <f aca="false">IFERROR(I12/SUM($I$5:$I$16),0)</f>
        <v>0.0323979875774716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26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0.580322719843669</v>
      </c>
      <c r="E13" s="26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0.27941751925656</v>
      </c>
      <c r="F13" s="23" t="n">
        <f aca="false">IFERROR(E13/'VaR &amp; ES'!$C$8,0)</f>
        <v>0.0912977480199791</v>
      </c>
      <c r="G13" s="26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26" t="n">
        <f aca="false">Liquidity!G13</f>
        <v>0.00503115294937453</v>
      </c>
      <c r="I13" s="26" t="n">
        <f aca="false">ABS(E13)+G13+H13</f>
        <v>9.28444867220594</v>
      </c>
      <c r="J13" s="23" t="n">
        <f aca="false">IFERROR(I13/SUM($I$5:$I$16),0)</f>
        <v>0.0894351517012394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26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0.21910054737267</v>
      </c>
      <c r="E14" s="26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0.121614615390902</v>
      </c>
      <c r="F14" s="23" t="n">
        <f aca="false">IFERROR(E14/'VaR &amp; ES'!$C$8,0)</f>
        <v>0.0397367371274613</v>
      </c>
      <c r="G14" s="26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26" t="n">
        <f aca="false">Liquidity!G14</f>
        <v>0.00032659863237109</v>
      </c>
      <c r="I14" s="26" t="n">
        <f aca="false">ABS(E14)+G14+H14</f>
        <v>2.46194121402327</v>
      </c>
      <c r="J14" s="23" t="n">
        <f aca="false">IFERROR(I14/SUM($I$5:$I$16),0)</f>
        <v>0.0237153646629391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26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26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23" t="n">
        <f aca="false">IFERROR(E15/'VaR &amp; ES'!$C$8,0)</f>
        <v>0</v>
      </c>
      <c r="G15" s="26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26" t="n">
        <f aca="false">Liquidity!G15</f>
        <v>0.0090210979560879</v>
      </c>
      <c r="I15" s="26" t="n">
        <f aca="false">ABS(E15)+G15+H15</f>
        <v>0.0090210979560879</v>
      </c>
      <c r="J15" s="23" t="n">
        <f aca="false">IFERROR(I15/SUM($I$5:$I$16),0)</f>
        <v>8.68983493473038E-005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26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1.04926984009167</v>
      </c>
      <c r="E16" s="26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-0.983295399494937</v>
      </c>
      <c r="F16" s="23" t="n">
        <f aca="false">IFERROR(E16/'VaR &amp; ES'!$C$8,0)</f>
        <v>-0.321284992620182</v>
      </c>
      <c r="G16" s="26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26" t="n">
        <f aca="false">Liquidity!G16</f>
        <v>0.0804984471899924</v>
      </c>
      <c r="I16" s="26" t="n">
        <f aca="false">ABS(E16)+G16+H16</f>
        <v>3.79379384668493</v>
      </c>
      <c r="J16" s="23" t="n">
        <f aca="false">IFERROR(I16/SUM($I$5:$I$16),0)</f>
        <v>0.0365448224424165</v>
      </c>
    </row>
    <row r="18" customFormat="false" ht="15" hidden="false" customHeight="true" outlineLevel="0" collapsed="false">
      <c r="B18" s="30" t="s">
        <v>185</v>
      </c>
      <c r="C18" s="31" t="n">
        <f aca="false">SUM(C5:C16)</f>
        <v>640</v>
      </c>
      <c r="D18" s="31" t="n">
        <f aca="false">SUM(D5:D16)</f>
        <v>9.29320585070433</v>
      </c>
      <c r="E18" s="31" t="n">
        <f aca="false">SUM(E5:E16)</f>
        <v>4.25451572032453</v>
      </c>
      <c r="F18" s="33" t="n">
        <f aca="false">SUM(F5:F16)</f>
        <v>1.39013367957281</v>
      </c>
      <c r="G18" s="31" t="n">
        <f aca="false">SUM(G5:G16)</f>
        <v>96.4315</v>
      </c>
      <c r="H18" s="31" t="n">
        <f aca="false">SUM(H5:H16)</f>
        <v>1.15946843775498</v>
      </c>
      <c r="I18" s="31" t="n">
        <f aca="false">SUM(I5:I16)</f>
        <v>103.812074957069</v>
      </c>
      <c r="J18" s="33" t="n">
        <f aca="false">SUM(J5:J16)</f>
        <v>1</v>
      </c>
    </row>
    <row r="20" customFormat="false" ht="15" hidden="false" customHeight="true" outlineLevel="0" collapsed="false">
      <c r="B20" s="1" t="s">
        <v>219</v>
      </c>
      <c r="C20" s="26" t="n">
        <f aca="false">E18-'VaR &amp; ES'!C8</f>
        <v>1.19400738012524</v>
      </c>
      <c r="D20" s="1" t="str">
        <f aca="false">IF(ABS(C20)&lt;0.01,"PASS","REVIEW")</f>
        <v>REVIEW</v>
      </c>
    </row>
    <row r="21" customFormat="false" ht="15" hidden="false" customHeight="true" outlineLevel="0" collapsed="false">
      <c r="B21" s="1" t="s">
        <v>220</v>
      </c>
      <c r="C21" s="23" t="n">
        <f aca="false">MAX(J5:J16)</f>
        <v>0.368095154984774</v>
      </c>
    </row>
    <row r="22" customFormat="false" ht="15" hidden="false" customHeight="true" outlineLevel="0" collapsed="false">
      <c r="B22" s="1" t="s">
        <v>221</v>
      </c>
      <c r="C22" s="1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3"/>
    <col collapsed="false" customWidth="true" hidden="false" outlineLevel="0" max="9" min="9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223</v>
      </c>
      <c r="C4" s="16" t="s">
        <v>164</v>
      </c>
      <c r="D4" s="16" t="s">
        <v>165</v>
      </c>
      <c r="E4" s="16" t="s">
        <v>166</v>
      </c>
      <c r="F4" s="16" t="s">
        <v>167</v>
      </c>
      <c r="G4" s="16" t="s">
        <v>224</v>
      </c>
      <c r="H4" s="16" t="s">
        <v>225</v>
      </c>
      <c r="I4" s="16" t="s">
        <v>226</v>
      </c>
    </row>
    <row r="5" customFormat="false" ht="15" hidden="false" customHeight="true" outlineLevel="0" collapsed="false">
      <c r="B5" s="1" t="s">
        <v>227</v>
      </c>
      <c r="C5" s="22" t="n">
        <v>-0.18</v>
      </c>
      <c r="D5" s="22" t="n">
        <v>-0.015</v>
      </c>
      <c r="E5" s="22" t="n">
        <v>-0.025</v>
      </c>
      <c r="F5" s="22" t="n">
        <v>-0.08</v>
      </c>
      <c r="G5" s="22" t="n">
        <v>0.4</v>
      </c>
      <c r="H5" s="27" t="n">
        <v>0.5</v>
      </c>
      <c r="I5" s="26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-9.0755</v>
      </c>
    </row>
    <row r="6" customFormat="false" ht="15" hidden="false" customHeight="true" outlineLevel="0" collapsed="false">
      <c r="B6" s="1" t="s">
        <v>228</v>
      </c>
      <c r="C6" s="22" t="n">
        <v>-0.08</v>
      </c>
      <c r="D6" s="22" t="n">
        <v>0.025</v>
      </c>
      <c r="E6" s="22" t="n">
        <v>0.012</v>
      </c>
      <c r="F6" s="22" t="n">
        <v>0.05</v>
      </c>
      <c r="G6" s="22" t="n">
        <v>0.2</v>
      </c>
      <c r="H6" s="27" t="n">
        <v>0.7</v>
      </c>
      <c r="I6" s="26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-28.8162</v>
      </c>
    </row>
    <row r="7" customFormat="false" ht="15" hidden="false" customHeight="true" outlineLevel="0" collapsed="false">
      <c r="B7" s="1" t="s">
        <v>229</v>
      </c>
      <c r="C7" s="22" t="n">
        <v>-0.12</v>
      </c>
      <c r="D7" s="22" t="n">
        <v>-0.01</v>
      </c>
      <c r="E7" s="22" t="n">
        <v>-0.05</v>
      </c>
      <c r="F7" s="22" t="n">
        <v>-0.04</v>
      </c>
      <c r="G7" s="22" t="n">
        <v>0.35</v>
      </c>
      <c r="H7" s="27" t="n">
        <v>0.35</v>
      </c>
      <c r="I7" s="26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3.3815</v>
      </c>
    </row>
    <row r="8" customFormat="false" ht="15" hidden="false" customHeight="true" outlineLevel="0" collapsed="false">
      <c r="B8" s="1" t="s">
        <v>230</v>
      </c>
      <c r="C8" s="22" t="n">
        <v>-0.07</v>
      </c>
      <c r="D8" s="22" t="n">
        <v>0.01</v>
      </c>
      <c r="E8" s="22" t="n">
        <v>-0.015</v>
      </c>
      <c r="F8" s="22" t="n">
        <v>0.12</v>
      </c>
      <c r="G8" s="22" t="n">
        <v>0.25</v>
      </c>
      <c r="H8" s="27" t="n">
        <v>0.45</v>
      </c>
      <c r="I8" s="26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-11.716</v>
      </c>
    </row>
    <row r="9" customFormat="false" ht="15" hidden="false" customHeight="true" outlineLevel="0" collapsed="false">
      <c r="B9" s="1" t="s">
        <v>231</v>
      </c>
      <c r="C9" s="22" t="n">
        <v>0.05</v>
      </c>
      <c r="D9" s="22" t="n">
        <v>0.005</v>
      </c>
      <c r="E9" s="22" t="n">
        <v>0.005</v>
      </c>
      <c r="F9" s="22" t="n">
        <v>0</v>
      </c>
      <c r="G9" s="22" t="n">
        <v>-0.3</v>
      </c>
      <c r="H9" s="27" t="n">
        <v>1</v>
      </c>
      <c r="I9" s="26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-2.5355</v>
      </c>
    </row>
    <row r="10" customFormat="false" ht="15" hidden="false" customHeight="true" outlineLevel="0" collapsed="false">
      <c r="B10" s="1" t="s">
        <v>232</v>
      </c>
      <c r="C10" s="22" t="n">
        <v>-0.25</v>
      </c>
      <c r="D10" s="22" t="n">
        <v>0</v>
      </c>
      <c r="E10" s="22" t="n">
        <v>-0.01</v>
      </c>
      <c r="F10" s="22" t="n">
        <v>0</v>
      </c>
      <c r="G10" s="22" t="n">
        <v>0.2</v>
      </c>
      <c r="H10" s="27" t="n">
        <v>0.3</v>
      </c>
      <c r="I10" s="26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-37.966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234</v>
      </c>
      <c r="E4" s="16" t="s">
        <v>235</v>
      </c>
      <c r="F4" s="16" t="s">
        <v>236</v>
      </c>
      <c r="G4" s="16" t="s">
        <v>216</v>
      </c>
      <c r="H4" s="16" t="s">
        <v>237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140</v>
      </c>
      <c r="D5" s="34" t="n">
        <f aca="false">Positions!M5</f>
        <v>0.2</v>
      </c>
      <c r="E5" s="23" t="n">
        <f aca="false">MIN(1,C5/MAX(1,Assumptions!$E$18)/MAX(1,D5))</f>
        <v>0.466666666666667</v>
      </c>
      <c r="F5" s="23" t="n">
        <f aca="false">Assumptions!$E$17*E5^1.5</f>
        <v>0.00478191035744781</v>
      </c>
      <c r="G5" s="26" t="n">
        <f aca="false">C5*F5</f>
        <v>0.669467450042694</v>
      </c>
      <c r="H5" s="1" t="str">
        <f aca="false">IF(D5&gt;5,"YES","NO")</f>
        <v>NO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35</v>
      </c>
      <c r="D6" s="34" t="n">
        <f aca="false">Positions!M6</f>
        <v>1</v>
      </c>
      <c r="E6" s="23" t="n">
        <f aca="false">MIN(1,C6/MAX(1,Assumptions!$E$18)/MAX(1,D6))</f>
        <v>0.116666666666667</v>
      </c>
      <c r="F6" s="23" t="n">
        <f aca="false">Assumptions!$E$17*E6^1.5</f>
        <v>0.000597738794680977</v>
      </c>
      <c r="G6" s="26" t="n">
        <f aca="false">C6*F6</f>
        <v>0.0209208578138342</v>
      </c>
      <c r="H6" s="1" t="str">
        <f aca="false">IF(D6&gt;5,"YES","NO")</f>
        <v>NO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34" t="n">
        <f aca="false">Positions!M7</f>
        <v>1.5</v>
      </c>
      <c r="E7" s="23" t="n">
        <f aca="false">MIN(1,C7/MAX(1,Assumptions!$E$18)/MAX(1,D7))</f>
        <v>0.0555555555555556</v>
      </c>
      <c r="F7" s="23" t="n">
        <f aca="false">Assumptions!$E$17*E7^1.5</f>
        <v>0.000196418550329597</v>
      </c>
      <c r="G7" s="26" t="n">
        <f aca="false">C7*F7</f>
        <v>0.00491046375823991</v>
      </c>
      <c r="H7" s="1" t="str">
        <f aca="false">IF(D7&gt;5,"YES","NO")</f>
        <v>NO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34" t="n">
        <f aca="false">Positions!M8</f>
        <v>0.5</v>
      </c>
      <c r="E8" s="23" t="n">
        <f aca="false">MIN(1,C8/MAX(1,Assumptions!$E$18)/MAX(1,D8))</f>
        <v>0.166666666666667</v>
      </c>
      <c r="F8" s="23" t="n">
        <f aca="false">Assumptions!$E$17*E8^1.5</f>
        <v>0.00102062072615966</v>
      </c>
      <c r="G8" s="26" t="n">
        <f aca="false">C8*F8</f>
        <v>0.0510310363079829</v>
      </c>
      <c r="H8" s="1" t="str">
        <f aca="false">IF(D8&gt;5,"YES","NO")</f>
        <v>NO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34" t="n">
        <f aca="false">Positions!M9</f>
        <v>1</v>
      </c>
      <c r="E9" s="23" t="n">
        <f aca="false">MIN(1,C9/MAX(1,Assumptions!$E$18)/MAX(1,D9))</f>
        <v>0.166666666666667</v>
      </c>
      <c r="F9" s="23" t="n">
        <f aca="false">Assumptions!$E$17*E9^1.5</f>
        <v>0.00102062072615966</v>
      </c>
      <c r="G9" s="26" t="n">
        <f aca="false">C9*F9</f>
        <v>0.0510310363079829</v>
      </c>
      <c r="H9" s="1" t="str">
        <f aca="false">IF(D9&gt;5,"YES","NO")</f>
        <v>NO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34" t="n">
        <f aca="false">Positions!M10</f>
        <v>4</v>
      </c>
      <c r="E10" s="23" t="n">
        <f aca="false">MIN(1,C10/MAX(1,Assumptions!$E$18)/MAX(1,D10))</f>
        <v>0.0333333333333333</v>
      </c>
      <c r="F10" s="23" t="n">
        <f aca="false">Assumptions!$E$17*E10^1.5</f>
        <v>9.12870929175277E-005</v>
      </c>
      <c r="G10" s="26" t="n">
        <f aca="false">C10*F10</f>
        <v>0.00365148371670111</v>
      </c>
      <c r="H10" s="1" t="str">
        <f aca="false">IF(D10&gt;5,"YES","NO")</f>
        <v>NO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34" t="n">
        <f aca="false">Positions!M11</f>
        <v>0.3</v>
      </c>
      <c r="E11" s="23" t="n">
        <f aca="false">MIN(1,C11/MAX(1,Assumptions!$E$18)/MAX(1,D11))</f>
        <v>0.266666666666667</v>
      </c>
      <c r="F11" s="23" t="n">
        <f aca="false">Assumptions!$E$17*E11^1.5</f>
        <v>0.00206559111797729</v>
      </c>
      <c r="G11" s="26" t="n">
        <f aca="false">C11*F11</f>
        <v>0.165247289438183</v>
      </c>
      <c r="H11" s="1" t="str">
        <f aca="false">IF(D11&gt;5,"YES","NO")</f>
        <v>NO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34" t="n">
        <f aca="false">Positions!M12</f>
        <v>0.5</v>
      </c>
      <c r="E12" s="23" t="n">
        <f aca="false">MIN(1,C12/MAX(1,Assumptions!$E$18)/MAX(1,D12))</f>
        <v>0.216666666666667</v>
      </c>
      <c r="F12" s="23" t="n">
        <f aca="false">Assumptions!$E$17*E12^1.5</f>
        <v>0.0015127926714083</v>
      </c>
      <c r="G12" s="26" t="n">
        <f aca="false">C12*F12</f>
        <v>0.0983315236415396</v>
      </c>
      <c r="H12" s="1" t="str">
        <f aca="false">IF(D12&gt;5,"YES","NO")</f>
        <v>NO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34" t="n">
        <f aca="false">Positions!M13</f>
        <v>2</v>
      </c>
      <c r="E13" s="23" t="n">
        <f aca="false">MIN(1,C13/MAX(1,Assumptions!$E$18)/MAX(1,D13))</f>
        <v>0.05</v>
      </c>
      <c r="F13" s="23" t="n">
        <f aca="false">Assumptions!$E$17*E13^1.5</f>
        <v>0.000167705098312484</v>
      </c>
      <c r="G13" s="26" t="n">
        <f aca="false">C13*F13</f>
        <v>0.00503115294937453</v>
      </c>
      <c r="H13" s="1" t="str">
        <f aca="false">IF(D13&gt;5,"YES","NO")</f>
        <v>NO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34" t="n">
        <f aca="false">Positions!M14</f>
        <v>20</v>
      </c>
      <c r="E14" s="23" t="n">
        <f aca="false">MIN(1,C14/MAX(1,Assumptions!$E$18)/MAX(1,D14))</f>
        <v>0.00666666666666667</v>
      </c>
      <c r="F14" s="23" t="n">
        <f aca="false">Assumptions!$E$17*E14^1.5</f>
        <v>8.16496580927726E-006</v>
      </c>
      <c r="G14" s="26" t="n">
        <f aca="false">C14*F14</f>
        <v>0.00032659863237109</v>
      </c>
      <c r="H14" s="1" t="str">
        <f aca="false">IF(D14&gt;5,"YES","NO")</f>
        <v>YES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34" t="n">
        <f aca="false">Positions!M15</f>
        <v>0</v>
      </c>
      <c r="E15" s="23" t="n">
        <f aca="false">MIN(1,C15/MAX(1,Assumptions!$E$18)/MAX(1,D15))</f>
        <v>0.0833333333333333</v>
      </c>
      <c r="F15" s="23" t="n">
        <f aca="false">Assumptions!$E$17*E15^1.5</f>
        <v>0.000360843918243516</v>
      </c>
      <c r="G15" s="26" t="n">
        <f aca="false">C15*F15</f>
        <v>0.0090210979560879</v>
      </c>
      <c r="H15" s="1" t="str">
        <f aca="false">IF(D15&gt;5,"YES","NO")</f>
        <v>NO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34" t="n">
        <f aca="false">Positions!M16</f>
        <v>0.5</v>
      </c>
      <c r="E16" s="23" t="n">
        <f aca="false">MIN(1,C16/MAX(1,Assumptions!$E$18)/MAX(1,D16))</f>
        <v>0.2</v>
      </c>
      <c r="F16" s="23" t="n">
        <f aca="false">Assumptions!$E$17*E16^1.5</f>
        <v>0.00134164078649987</v>
      </c>
      <c r="G16" s="26" t="n">
        <f aca="false">C16*F16</f>
        <v>0.0804984471899924</v>
      </c>
      <c r="H16" s="1" t="str">
        <f aca="false">IF(D16&gt;5,"YES","NO")</f>
        <v>NO</v>
      </c>
    </row>
    <row r="19" customFormat="false" ht="15" hidden="false" customHeight="true" outlineLevel="0" collapsed="false">
      <c r="B19" s="1" t="s">
        <v>238</v>
      </c>
      <c r="C19" s="26" t="n">
        <f aca="false">SUMIF(H5:H16,"YES",C5:C16)</f>
        <v>40</v>
      </c>
    </row>
    <row r="20" customFormat="false" ht="15" hidden="false" customHeight="true" outlineLevel="0" collapsed="false">
      <c r="B20" s="1" t="s">
        <v>239</v>
      </c>
      <c r="C20" s="23" t="n">
        <f aca="false">C19/Assumptions!E18</f>
        <v>0.133333333333333</v>
      </c>
    </row>
    <row r="21" customFormat="false" ht="15" hidden="false" customHeight="true" outlineLevel="0" collapsed="false">
      <c r="B21" s="1" t="s">
        <v>240</v>
      </c>
      <c r="C21" s="26" t="n">
        <f aca="false">SUM(G5:G16)</f>
        <v>1.15946843775498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8"/>
    <col collapsed="false" customWidth="true" hidden="false" outlineLevel="0" max="8" min="8" style="1" width="32"/>
  </cols>
  <sheetData>
    <row r="2" customFormat="false" ht="27.75" hidden="false" customHeight="true" outlineLevel="0" collapsed="false">
      <c r="B2" s="2" t="s">
        <v>241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242</v>
      </c>
      <c r="C4" s="16" t="s">
        <v>188</v>
      </c>
      <c r="D4" s="16" t="s">
        <v>243</v>
      </c>
      <c r="E4" s="16" t="s">
        <v>244</v>
      </c>
      <c r="F4" s="16" t="s">
        <v>245</v>
      </c>
      <c r="G4" s="16" t="s">
        <v>246</v>
      </c>
      <c r="H4" s="16" t="s">
        <v>247</v>
      </c>
    </row>
    <row r="5" customFormat="false" ht="15" hidden="false" customHeight="true" outlineLevel="0" collapsed="false">
      <c r="B5" s="1" t="s">
        <v>164</v>
      </c>
      <c r="C5" s="26" t="n">
        <f aca="false">Factors!C5</f>
        <v>144.6</v>
      </c>
      <c r="D5" s="22" t="n">
        <v>-0.012</v>
      </c>
      <c r="E5" s="26" t="n">
        <f aca="false">C5*D5</f>
        <v>-1.7352</v>
      </c>
      <c r="F5" s="25" t="n">
        <v>0.5</v>
      </c>
      <c r="G5" s="26" t="n">
        <f aca="false">E5+F5</f>
        <v>-1.2352</v>
      </c>
      <c r="H5" s="1" t="s">
        <v>248</v>
      </c>
    </row>
    <row r="6" customFormat="false" ht="15" hidden="false" customHeight="true" outlineLevel="0" collapsed="false">
      <c r="B6" s="1" t="s">
        <v>165</v>
      </c>
      <c r="C6" s="26" t="n">
        <f aca="false">Factors!C6</f>
        <v>-522</v>
      </c>
      <c r="D6" s="22" t="n">
        <v>0.0015</v>
      </c>
      <c r="E6" s="26" t="n">
        <f aca="false">C6*D6</f>
        <v>-0.783</v>
      </c>
      <c r="F6" s="25" t="n">
        <v>0</v>
      </c>
      <c r="G6" s="26" t="n">
        <f aca="false">E6+F6</f>
        <v>-0.783</v>
      </c>
      <c r="H6" s="1" t="s">
        <v>249</v>
      </c>
    </row>
    <row r="7" customFormat="false" ht="15" hidden="false" customHeight="true" outlineLevel="0" collapsed="false">
      <c r="B7" s="1" t="s">
        <v>166</v>
      </c>
      <c r="C7" s="26" t="n">
        <f aca="false">Factors!C7</f>
        <v>-357.1</v>
      </c>
      <c r="D7" s="22" t="n">
        <v>0.002</v>
      </c>
      <c r="E7" s="26" t="n">
        <f aca="false">C7*D7</f>
        <v>-0.7142</v>
      </c>
      <c r="F7" s="25" t="n">
        <v>0</v>
      </c>
      <c r="G7" s="26" t="n">
        <f aca="false">E7+F7</f>
        <v>-0.7142</v>
      </c>
      <c r="H7" s="1" t="s">
        <v>250</v>
      </c>
    </row>
    <row r="8" customFormat="false" ht="15" hidden="false" customHeight="true" outlineLevel="0" collapsed="false">
      <c r="B8" s="1" t="s">
        <v>167</v>
      </c>
      <c r="C8" s="26" t="n">
        <f aca="false">Factors!C8</f>
        <v>7</v>
      </c>
      <c r="D8" s="22" t="n">
        <v>-0.006</v>
      </c>
      <c r="E8" s="26" t="n">
        <f aca="false">C8*D8</f>
        <v>-0.042</v>
      </c>
      <c r="F8" s="25" t="n">
        <v>0</v>
      </c>
      <c r="G8" s="26" t="n">
        <f aca="false">E8+F8</f>
        <v>-0.042</v>
      </c>
      <c r="H8" s="1" t="s">
        <v>251</v>
      </c>
    </row>
    <row r="9" customFormat="false" ht="15" hidden="false" customHeight="true" outlineLevel="0" collapsed="false">
      <c r="B9" s="1" t="s">
        <v>168</v>
      </c>
      <c r="C9" s="26" t="n">
        <f aca="false">Factors!C9</f>
        <v>17.9</v>
      </c>
      <c r="D9" s="22" t="n">
        <v>0.025</v>
      </c>
      <c r="E9" s="26" t="n">
        <f aca="false">C9*D9</f>
        <v>0.4475</v>
      </c>
      <c r="F9" s="25" t="n">
        <v>0.8</v>
      </c>
      <c r="G9" s="26" t="n">
        <f aca="false">E9+F9</f>
        <v>1.2475</v>
      </c>
      <c r="H9" s="1" t="s">
        <v>252</v>
      </c>
    </row>
    <row r="12" customFormat="false" ht="15" hidden="false" customHeight="true" outlineLevel="0" collapsed="false">
      <c r="B12" s="1" t="s">
        <v>246</v>
      </c>
      <c r="G12" s="26" t="n">
        <f aca="false">SUM(G5:G9)</f>
        <v>-1.5269</v>
      </c>
    </row>
    <row r="13" customFormat="false" ht="15" hidden="false" customHeight="true" outlineLevel="0" collapsed="false">
      <c r="B13" s="1" t="s">
        <v>253</v>
      </c>
      <c r="G13" s="25" t="n">
        <v>-1.5</v>
      </c>
    </row>
    <row r="14" customFormat="false" ht="15" hidden="false" customHeight="true" outlineLevel="0" collapsed="false">
      <c r="B14" s="1" t="s">
        <v>254</v>
      </c>
      <c r="G14" s="26" t="n">
        <f aca="false">G13-G12</f>
        <v>0.0268999999999999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8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255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256</v>
      </c>
      <c r="C4" s="16" t="s">
        <v>257</v>
      </c>
      <c r="D4" s="16" t="s">
        <v>258</v>
      </c>
      <c r="E4" s="16" t="s">
        <v>259</v>
      </c>
      <c r="F4" s="16" t="s">
        <v>44</v>
      </c>
    </row>
    <row r="5" customFormat="false" ht="15" hidden="false" customHeight="true" outlineLevel="0" collapsed="false">
      <c r="B5" s="1" t="s">
        <v>203</v>
      </c>
      <c r="C5" s="26" t="n">
        <f aca="false">'VaR &amp; ES'!C8</f>
        <v>3.06050834019929</v>
      </c>
      <c r="D5" s="26" t="n">
        <f aca="false">Assumptions!E12</f>
        <v>12</v>
      </c>
      <c r="E5" s="26" t="n">
        <f aca="false">D5-C5</f>
        <v>8.93949165980071</v>
      </c>
      <c r="F5" s="1" t="str">
        <f aca="false">IF(C5&lt;=D5,"PASS","BREACH")</f>
        <v>PASS</v>
      </c>
    </row>
    <row r="6" customFormat="false" ht="15" hidden="false" customHeight="true" outlineLevel="0" collapsed="false">
      <c r="B6" s="1" t="s">
        <v>215</v>
      </c>
      <c r="C6" s="26" t="n">
        <f aca="false">-MIN(Stress!I5:I10)</f>
        <v>37.966</v>
      </c>
      <c r="D6" s="26" t="n">
        <f aca="false">Assumptions!E13</f>
        <v>40</v>
      </c>
      <c r="E6" s="26" t="n">
        <f aca="false">D6-C6</f>
        <v>2.034</v>
      </c>
      <c r="F6" s="1" t="str">
        <f aca="false">IF(C6&lt;=D6,"PASS","BREACH")</f>
        <v>PASS</v>
      </c>
    </row>
    <row r="7" customFormat="false" ht="15" hidden="false" customHeight="true" outlineLevel="0" collapsed="false">
      <c r="B7" s="1" t="s">
        <v>260</v>
      </c>
      <c r="C7" s="23" t="n">
        <f aca="false">Liquidity!C20</f>
        <v>0.133333333333333</v>
      </c>
      <c r="D7" s="23" t="n">
        <f aca="false">Assumptions!E14</f>
        <v>0.25</v>
      </c>
      <c r="E7" s="23" t="n">
        <f aca="false">D7-C7</f>
        <v>0.116666666666667</v>
      </c>
      <c r="F7" s="1" t="str">
        <f aca="false">IF(C7&lt;=D7,"PASS","BREACH")</f>
        <v>PASS</v>
      </c>
    </row>
    <row r="8" customFormat="false" ht="15" hidden="false" customHeight="true" outlineLevel="0" collapsed="false">
      <c r="B8" s="1" t="s">
        <v>261</v>
      </c>
      <c r="C8" s="23" t="n">
        <f aca="false">MAX(ABS(Positions!D5:D16))/Assumptions!E18</f>
        <v>0.166666666666667</v>
      </c>
      <c r="D8" s="23" t="n">
        <f aca="false">Assumptions!E15</f>
        <v>0.2</v>
      </c>
      <c r="E8" s="23" t="n">
        <f aca="false">D8-C8</f>
        <v>0.0333333333333334</v>
      </c>
      <c r="F8" s="1" t="str">
        <f aca="false">IF(C8&lt;=D8,"PASS","BREACH")</f>
        <v>PASS</v>
      </c>
    </row>
    <row r="9" customFormat="false" ht="15" hidden="false" customHeight="true" outlineLevel="0" collapsed="false">
      <c r="B9" s="1" t="s">
        <v>262</v>
      </c>
      <c r="C9" s="28" t="n">
        <f aca="false">SUM(ABS(Positions!E5:E16))/Assumptions!E18</f>
        <v>0.166666666666667</v>
      </c>
      <c r="D9" s="28" t="n">
        <f aca="false">Assumptions!E16</f>
        <v>4</v>
      </c>
      <c r="E9" s="28" t="n">
        <f aca="false">D9-C9</f>
        <v>3.83333333333333</v>
      </c>
      <c r="F9" s="1" t="str">
        <f aca="false">IF(C9&lt;=D9,"PASS","BREACH")</f>
        <v>PASS</v>
      </c>
    </row>
    <row r="10" customFormat="false" ht="15" hidden="false" customHeight="true" outlineLevel="0" collapsed="false">
      <c r="B10" s="1" t="s">
        <v>254</v>
      </c>
      <c r="C10" s="26" t="n">
        <f aca="false">ABS('P&amp;L Explain'!G14)</f>
        <v>0.0268999999999999</v>
      </c>
      <c r="D10" s="25" t="n">
        <v>5</v>
      </c>
      <c r="E10" s="26" t="n">
        <f aca="false">D10-C10</f>
        <v>4.9731</v>
      </c>
      <c r="F10" s="1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263</v>
      </c>
      <c r="C2" s="2"/>
    </row>
    <row r="4" customFormat="false" ht="15" hidden="false" customHeight="true" outlineLevel="0" collapsed="false">
      <c r="B4" s="16" t="s">
        <v>264</v>
      </c>
      <c r="C4" s="16" t="s">
        <v>44</v>
      </c>
    </row>
    <row r="5" customFormat="false" ht="15" hidden="false" customHeight="true" outlineLevel="0" collapsed="false">
      <c r="B5" s="1" t="s">
        <v>265</v>
      </c>
      <c r="C5" s="1" t="str">
        <f aca="false">IF(AND(Factors!E5=1,Factors!F6=1,Factors!G7=1,Factors!H8=1,Factors!I9=1),"PASS","FAIL")</f>
        <v>PASS</v>
      </c>
    </row>
    <row r="6" customFormat="false" ht="15" hidden="false" customHeight="true" outlineLevel="0" collapsed="false">
      <c r="B6" s="1" t="s">
        <v>266</v>
      </c>
      <c r="C6" s="1" t="str">
        <f aca="false">IF(AND(MIN(Factors!E5:I9)&gt;=-1,MAX(Factors!E5:I9)&lt;=1),"PASS","FAIL")</f>
        <v>PASS</v>
      </c>
    </row>
    <row r="7" customFormat="false" ht="15" hidden="false" customHeight="true" outlineLevel="0" collapsed="false">
      <c r="B7" s="1" t="s">
        <v>267</v>
      </c>
      <c r="C7" s="1" t="str">
        <f aca="false">IF(Factors!C12&gt;=0,"PASS","FAIL")</f>
        <v>PASS</v>
      </c>
    </row>
    <row r="8" customFormat="false" ht="15" hidden="false" customHeight="true" outlineLevel="0" collapsed="false">
      <c r="B8" s="1" t="s">
        <v>268</v>
      </c>
      <c r="C8" s="1" t="str">
        <f aca="false">IF(AND('VaR &amp; ES'!C8&gt;=0,'VaR &amp; ES'!C9&gt;='VaR &amp; ES'!C8),"PASS","FAIL")</f>
        <v>PASS</v>
      </c>
    </row>
    <row r="9" customFormat="false" ht="15" hidden="false" customHeight="true" outlineLevel="0" collapsed="false">
      <c r="B9" s="1" t="s">
        <v>269</v>
      </c>
      <c r="C9" s="1" t="str">
        <f aca="false">IF(COUNTIF(Limits!F5:F10,"BREACH")=0,"PASS","REVIEW")</f>
        <v>PASS</v>
      </c>
    </row>
    <row r="10" customFormat="false" ht="15" hidden="false" customHeight="true" outlineLevel="0" collapsed="false">
      <c r="B10" s="1" t="s">
        <v>270</v>
      </c>
      <c r="C10" s="1" t="str">
        <f aca="false">IF(Liquidity!C21&gt;=0,"PASS","FAIL")</f>
        <v>PASS</v>
      </c>
    </row>
    <row r="11" customFormat="false" ht="15" hidden="false" customHeight="true" outlineLevel="0" collapsed="false">
      <c r="B11" s="1" t="s">
        <v>271</v>
      </c>
      <c r="C11" s="1" t="str">
        <f aca="false">IF(COUNTA(Positions!B5:B16)=12,"PASS","FAIL")</f>
        <v>PASS</v>
      </c>
    </row>
    <row r="12" customFormat="false" ht="15" hidden="false" customHeight="true" outlineLevel="0" collapsed="false">
      <c r="B12" s="1" t="s">
        <v>272</v>
      </c>
      <c r="C12" s="1" t="str">
        <f aca="false">IF(COUNT('P&amp;L Explain'!G5:G9)=5,"PASS","FAIL")</f>
        <v>PASS</v>
      </c>
    </row>
    <row r="13" customFormat="false" ht="15" hidden="false" customHeight="true" outlineLevel="0" collapsed="false">
      <c r="B13" s="1" t="s">
        <v>273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</row>
    <row r="4" customFormat="false" ht="15" hidden="false" customHeight="true" outlineLevel="0" collapsed="false">
      <c r="B4" s="16" t="s">
        <v>275</v>
      </c>
      <c r="C4" s="16" t="s">
        <v>276</v>
      </c>
      <c r="D4" s="16" t="s">
        <v>110</v>
      </c>
      <c r="E4" s="16" t="s">
        <v>277</v>
      </c>
    </row>
    <row r="5" customFormat="false" ht="15" hidden="false" customHeight="true" outlineLevel="0" collapsed="false">
      <c r="B5" s="35" t="s">
        <v>278</v>
      </c>
      <c r="C5" s="35" t="s">
        <v>279</v>
      </c>
      <c r="D5" s="35" t="s">
        <v>280</v>
      </c>
      <c r="E5" s="35" t="s">
        <v>281</v>
      </c>
    </row>
    <row r="6" customFormat="false" ht="15" hidden="false" customHeight="true" outlineLevel="0" collapsed="false">
      <c r="B6" s="35" t="s">
        <v>282</v>
      </c>
      <c r="C6" s="35" t="s">
        <v>283</v>
      </c>
      <c r="D6" s="35" t="s">
        <v>284</v>
      </c>
      <c r="E6" s="35" t="s">
        <v>285</v>
      </c>
    </row>
    <row r="7" customFormat="false" ht="15" hidden="false" customHeight="true" outlineLevel="0" collapsed="false">
      <c r="B7" s="35" t="s">
        <v>286</v>
      </c>
      <c r="C7" s="35" t="s">
        <v>287</v>
      </c>
      <c r="D7" s="35" t="s">
        <v>280</v>
      </c>
      <c r="E7" s="35" t="s">
        <v>288</v>
      </c>
    </row>
    <row r="8" customFormat="false" ht="15" hidden="false" customHeight="true" outlineLevel="0" collapsed="false">
      <c r="B8" s="35" t="s">
        <v>289</v>
      </c>
      <c r="C8" s="35" t="s">
        <v>290</v>
      </c>
      <c r="D8" s="35" t="s">
        <v>291</v>
      </c>
      <c r="E8" s="35" t="s">
        <v>292</v>
      </c>
    </row>
    <row r="9" customFormat="false" ht="15" hidden="false" customHeight="true" outlineLevel="0" collapsed="false">
      <c r="B9" s="35" t="s">
        <v>293</v>
      </c>
      <c r="C9" s="35" t="s">
        <v>294</v>
      </c>
      <c r="D9" s="35" t="s">
        <v>295</v>
      </c>
      <c r="E9" s="35" t="s">
        <v>296</v>
      </c>
    </row>
    <row r="10" customFormat="false" ht="15" hidden="false" customHeight="false" outlineLevel="0" collapsed="false">
      <c r="B10" s="36" t="s">
        <v>297</v>
      </c>
      <c r="C10" s="36" t="s">
        <v>298</v>
      </c>
      <c r="D10" s="36" t="s">
        <v>6</v>
      </c>
      <c r="E10" s="36" t="s">
        <v>299</v>
      </c>
    </row>
    <row r="11" customFormat="false" ht="15" hidden="false" customHeight="false" outlineLevel="0" collapsed="false">
      <c r="B11" s="36" t="s">
        <v>300</v>
      </c>
      <c r="C11" s="36" t="s">
        <v>301</v>
      </c>
      <c r="D11" s="36" t="s">
        <v>6</v>
      </c>
      <c r="E11" s="36" t="s">
        <v>302</v>
      </c>
    </row>
    <row r="12" customFormat="false" ht="15" hidden="false" customHeight="false" outlineLevel="0" collapsed="false">
      <c r="B12" s="36" t="s">
        <v>303</v>
      </c>
      <c r="C12" s="36" t="s">
        <v>304</v>
      </c>
      <c r="D12" s="36" t="s">
        <v>6</v>
      </c>
      <c r="E12" s="36" t="s">
        <v>305</v>
      </c>
    </row>
    <row r="13" customFormat="false" ht="15" hidden="false" customHeight="false" outlineLevel="0" collapsed="false">
      <c r="B13" s="36" t="s">
        <v>306</v>
      </c>
      <c r="C13" s="36" t="s">
        <v>307</v>
      </c>
      <c r="D13" s="36" t="s">
        <v>6</v>
      </c>
      <c r="E13" s="36" t="s">
        <v>308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310</v>
      </c>
      <c r="D4" s="16" t="s">
        <v>311</v>
      </c>
      <c r="E4" s="16" t="s">
        <v>312</v>
      </c>
      <c r="F4" s="16" t="s">
        <v>313</v>
      </c>
      <c r="G4" s="16" t="s">
        <v>314</v>
      </c>
    </row>
    <row r="5" customFormat="false" ht="15" hidden="false" customHeight="true" outlineLevel="0" collapsed="false">
      <c r="B5" s="37" t="s">
        <v>315</v>
      </c>
      <c r="C5" s="37" t="s">
        <v>316</v>
      </c>
      <c r="D5" s="37" t="s">
        <v>304</v>
      </c>
      <c r="E5" s="37" t="s">
        <v>317</v>
      </c>
      <c r="F5" s="37" t="s">
        <v>318</v>
      </c>
      <c r="G5" s="37" t="s">
        <v>319</v>
      </c>
    </row>
    <row r="6" customFormat="false" ht="15" hidden="false" customHeight="true" outlineLevel="0" collapsed="false">
      <c r="B6" s="37"/>
      <c r="C6" s="37"/>
      <c r="D6" s="37"/>
      <c r="E6" s="37"/>
      <c r="F6" s="37"/>
      <c r="G6" s="37"/>
    </row>
    <row r="7" customFormat="false" ht="15" hidden="false" customHeight="true" outlineLevel="0" collapsed="false">
      <c r="B7" s="37"/>
      <c r="C7" s="37"/>
      <c r="D7" s="37"/>
      <c r="E7" s="37"/>
      <c r="F7" s="37"/>
      <c r="G7" s="37"/>
    </row>
    <row r="8" customFormat="false" ht="15" hidden="false" customHeight="true" outlineLevel="0" collapsed="false">
      <c r="B8" s="37"/>
      <c r="C8" s="37"/>
      <c r="D8" s="37"/>
      <c r="E8" s="37"/>
      <c r="F8" s="37"/>
      <c r="G8" s="37"/>
    </row>
    <row r="9" customFormat="false" ht="15" hidden="false" customHeight="true" outlineLevel="0" collapsed="false">
      <c r="B9" s="37"/>
      <c r="C9" s="37"/>
      <c r="D9" s="37"/>
      <c r="E9" s="37"/>
      <c r="F9" s="37"/>
      <c r="G9" s="37"/>
    </row>
    <row r="10" customFormat="false" ht="15" hidden="false" customHeight="true" outlineLevel="0" collapsed="false">
      <c r="B10" s="37"/>
      <c r="C10" s="37"/>
      <c r="D10" s="37"/>
      <c r="E10" s="37"/>
      <c r="F10" s="37"/>
      <c r="G10" s="37"/>
    </row>
    <row r="11" customFormat="false" ht="15" hidden="false" customHeight="true" outlineLevel="0" collapsed="false">
      <c r="B11" s="37"/>
      <c r="C11" s="37"/>
      <c r="D11" s="37"/>
      <c r="E11" s="37"/>
      <c r="F11" s="37"/>
      <c r="G11" s="37"/>
    </row>
    <row r="12" customFormat="false" ht="15" hidden="false" customHeight="true" outlineLevel="0" collapsed="false">
      <c r="B12" s="37"/>
      <c r="C12" s="37"/>
      <c r="D12" s="37"/>
      <c r="E12" s="37"/>
      <c r="F12" s="37"/>
      <c r="G12" s="37"/>
    </row>
    <row r="13" customFormat="false" ht="15" hidden="false" customHeight="true" outlineLevel="0" collapsed="false">
      <c r="B13" s="37"/>
      <c r="C13" s="37"/>
      <c r="D13" s="37"/>
      <c r="E13" s="37"/>
      <c r="F13" s="37"/>
      <c r="G13" s="37"/>
    </row>
    <row r="14" customFormat="false" ht="15" hidden="false" customHeight="true" outlineLevel="0" collapsed="false">
      <c r="B14" s="37"/>
      <c r="C14" s="37"/>
      <c r="D14" s="37"/>
      <c r="E14" s="37"/>
      <c r="F14" s="37"/>
      <c r="G14" s="37"/>
    </row>
    <row r="15" customFormat="false" ht="15" hidden="false" customHeight="true" outlineLevel="0" collapsed="false">
      <c r="B15" s="37"/>
      <c r="C15" s="37"/>
      <c r="D15" s="37"/>
      <c r="E15" s="37"/>
      <c r="F15" s="37"/>
      <c r="G15" s="37"/>
    </row>
    <row r="16" customFormat="false" ht="15" hidden="false" customHeight="true" outlineLevel="0" collapsed="false">
      <c r="B16" s="37"/>
      <c r="C16" s="37"/>
      <c r="D16" s="37"/>
      <c r="E16" s="37"/>
      <c r="F16" s="37"/>
      <c r="G16" s="37"/>
    </row>
    <row r="17" customFormat="false" ht="15" hidden="false" customHeight="true" outlineLevel="0" collapsed="false">
      <c r="B17" s="37"/>
      <c r="C17" s="37"/>
      <c r="D17" s="37"/>
      <c r="E17" s="37"/>
      <c r="F17" s="37"/>
      <c r="G17" s="37"/>
    </row>
    <row r="18" customFormat="false" ht="15" hidden="false" customHeight="true" outlineLevel="0" collapsed="false">
      <c r="B18" s="37"/>
      <c r="C18" s="37"/>
      <c r="D18" s="37"/>
      <c r="E18" s="37"/>
      <c r="F18" s="37"/>
      <c r="G18" s="37"/>
    </row>
    <row r="19" customFormat="false" ht="15" hidden="false" customHeight="true" outlineLevel="0" collapsed="false">
      <c r="B19" s="37"/>
      <c r="C19" s="37"/>
      <c r="D19" s="37"/>
      <c r="E19" s="37"/>
      <c r="F19" s="37"/>
      <c r="G19" s="37"/>
    </row>
    <row r="20" customFormat="false" ht="15" hidden="false" customHeight="true" outlineLevel="0" collapsed="false">
      <c r="B20" s="37"/>
      <c r="C20" s="37"/>
      <c r="D20" s="37"/>
      <c r="E20" s="37"/>
      <c r="F20" s="37"/>
      <c r="G20" s="37"/>
    </row>
    <row r="21" customFormat="false" ht="15" hidden="false" customHeight="true" outlineLevel="0" collapsed="false">
      <c r="B21" s="37"/>
      <c r="C21" s="37"/>
      <c r="D21" s="37"/>
      <c r="E21" s="37"/>
      <c r="F21" s="37"/>
      <c r="G21" s="37"/>
    </row>
    <row r="22" customFormat="false" ht="15" hidden="false" customHeight="true" outlineLevel="0" collapsed="false">
      <c r="B22" s="37"/>
      <c r="C22" s="37"/>
      <c r="D22" s="37"/>
      <c r="E22" s="37"/>
      <c r="F22" s="37"/>
      <c r="G22" s="37"/>
    </row>
    <row r="23" customFormat="false" ht="15" hidden="false" customHeight="true" outlineLevel="0" collapsed="false">
      <c r="B23" s="37"/>
      <c r="C23" s="37"/>
      <c r="D23" s="37"/>
      <c r="E23" s="37"/>
      <c r="F23" s="37"/>
      <c r="G23" s="37"/>
    </row>
    <row r="24" customFormat="false" ht="15" hidden="false" customHeight="true" outlineLevel="0" collapsed="false">
      <c r="B24" s="37"/>
      <c r="C24" s="37"/>
      <c r="D24" s="37"/>
      <c r="E24" s="37"/>
      <c r="F24" s="37"/>
      <c r="G24" s="37"/>
    </row>
    <row r="25" customFormat="false" ht="15" hidden="false" customHeight="true" outlineLevel="0" collapsed="false">
      <c r="B25" s="37"/>
      <c r="C25" s="37"/>
      <c r="D25" s="37"/>
      <c r="E25" s="37"/>
      <c r="F25" s="37"/>
      <c r="G25" s="37"/>
    </row>
    <row r="26" customFormat="false" ht="15" hidden="false" customHeight="true" outlineLevel="0" collapsed="false">
      <c r="B26" s="37"/>
      <c r="C26" s="37"/>
      <c r="D26" s="37"/>
      <c r="E26" s="37"/>
      <c r="F26" s="37"/>
      <c r="G26" s="37"/>
    </row>
    <row r="27" customFormat="false" ht="15" hidden="false" customHeight="true" outlineLevel="0" collapsed="false">
      <c r="B27" s="37"/>
      <c r="C27" s="37"/>
      <c r="D27" s="37"/>
      <c r="E27" s="37"/>
      <c r="F27" s="37"/>
      <c r="G27" s="37"/>
    </row>
    <row r="28" customFormat="false" ht="15" hidden="false" customHeight="true" outlineLevel="0" collapsed="false">
      <c r="B28" s="37"/>
      <c r="C28" s="37"/>
      <c r="D28" s="37"/>
      <c r="E28" s="37"/>
      <c r="F28" s="37"/>
      <c r="G28" s="37"/>
    </row>
    <row r="29" customFormat="false" ht="15" hidden="false" customHeight="true" outlineLevel="0" collapsed="false">
      <c r="B29" s="37"/>
      <c r="C29" s="37"/>
      <c r="D29" s="37"/>
      <c r="E29" s="37"/>
      <c r="F29" s="37"/>
      <c r="G29" s="37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