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7.xml" ContentType="application/vnd.openxmlformats-officedocument.spreadsheetml.worksheet+xml"/>
  <Override PartName="/xl/worksheets/sheet1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1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itutional Surface" sheetId="2" state="visible" r:id="rId4"/>
    <sheet name="Challenge Log" sheetId="3" state="visible" r:id="rId5"/>
    <sheet name="Lineage Map" sheetId="4" state="visible" r:id="rId6"/>
    <sheet name="Assumptions" sheetId="5" state="visible" r:id="rId7"/>
    <sheet name="Positions" sheetId="6" state="visible" r:id="rId8"/>
    <sheet name="Factors" sheetId="7" state="visible" r:id="rId9"/>
    <sheet name="VaR &amp; ES" sheetId="8" state="visible" r:id="rId10"/>
    <sheet name="Risk Contributions" sheetId="9" state="visible" r:id="rId11"/>
    <sheet name="Stress" sheetId="10" state="visible" r:id="rId12"/>
    <sheet name="Liquidity" sheetId="11" state="visible" r:id="rId13"/>
    <sheet name="P&amp;L Explain" sheetId="12" state="visible" r:id="rId14"/>
    <sheet name="Limits" sheetId="13" state="visible" r:id="rId15"/>
    <sheet name="Checks" sheetId="14" state="visible" r:id="rId16"/>
    <sheet name="Sources" sheetId="15" state="visible" r:id="rId17"/>
    <sheet name="RefreshLog" sheetId="16" state="visible" r:id="rId18"/>
  </sheets>
  <definedNames>
    <definedName function="false" hidden="false" name="FS_DOMAIN" vbProcedure="false">'Institutional Surface'!$C$5</definedName>
    <definedName function="false" hidden="false" name="FS_MATURITY" vbProcedure="false">'Institutional Surface'!$C$6</definedName>
    <definedName function="false" hidden="false" name="FS_MODEL_ID" vbProcedure="false">'Institutional Surface'!$C$4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<sst xmlns="http://schemas.openxmlformats.org/spreadsheetml/2006/main" count="453" uniqueCount="317">
  <si>
    <t xml:space="preserve">[PORTFOLIO] — Multi-Asset Risk Model</t>
  </si>
  <si>
    <t xml:space="preserve">Portfolio / desk:</t>
  </si>
  <si>
    <t xml:space="preserve">[Name]</t>
  </si>
  <si>
    <t xml:space="preserve">Risk horizon:</t>
  </si>
  <si>
    <t xml:space="preserve">1-day and stressed liquidation</t>
  </si>
  <si>
    <t xml:space="preserve">Last refreshed:</t>
  </si>
  <si>
    <t xml:space="preserve">2020-03-16</t>
  </si>
  <si>
    <t xml:space="preserve">Next limit review:</t>
  </si>
  <si>
    <t xml:space="preserve">[date]</t>
  </si>
  <si>
    <t xml:space="preserve">Refresh cadence:</t>
  </si>
  <si>
    <t xml:space="preserve">Intraday / daily</t>
  </si>
  <si>
    <t xml:space="preserve">Active scenario:</t>
  </si>
  <si>
    <t xml:space="preserve">Downside</t>
  </si>
  <si>
    <t xml:space="preserve">Units:</t>
  </si>
  <si>
    <t xml:space="preserve">$ in millions unless noted</t>
  </si>
  <si>
    <t xml:space="preserve">Modeling conventions</t>
  </si>
  <si>
    <t xml:space="preserve">Blue text / yellow fill</t>
  </si>
  <si>
    <t xml:space="preserve">Hardcoded input or selected scenario</t>
  </si>
  <si>
    <t xml:space="preserve">Black text</t>
  </si>
  <si>
    <t xml:space="preserve">Formula / same-sheet calculation</t>
  </si>
  <si>
    <t xml:space="preserve">Green text</t>
  </si>
  <si>
    <t xml:space="preserve">Cross-sheet formula / link</t>
  </si>
  <si>
    <t xml:space="preserve">Checks</t>
  </si>
  <si>
    <t xml:space="preserve">PASS / REVIEW / FAIL must remain visible</t>
  </si>
  <si>
    <t xml:space="preserve">Risk Management — Institutional Decision Surface</t>
  </si>
  <si>
    <t xml:space="preserve">Model ID</t>
  </si>
  <si>
    <t xml:space="preserve">09</t>
  </si>
  <si>
    <t xml:space="preserve">Domain</t>
  </si>
  <si>
    <t xml:space="preserve">Risk Management</t>
  </si>
  <si>
    <t xml:space="preserve">Declared maturity</t>
  </si>
  <si>
    <t xml:space="preserve">M2</t>
  </si>
  <si>
    <t xml:space="preserve">Canonical builder</t>
  </si>
  <si>
    <t xml:space="preserve">tools/builders/build_risk_release.py</t>
  </si>
  <si>
    <t xml:space="preserve">Decision arena</t>
  </si>
  <si>
    <t xml:space="preserve">trading desk, independent risk, model validation, senior risk committee and regulator</t>
  </si>
  <si>
    <t xml:space="preserve">Committee artifact</t>
  </si>
  <si>
    <t xml:space="preserve">daily risk and limit pack</t>
  </si>
  <si>
    <t xml:space="preserve">Operating cadence</t>
  </si>
  <si>
    <t xml:space="preserve">intraday monitoring; daily sign-off; monthly committee</t>
  </si>
  <si>
    <t xml:space="preserve">Key decision outputs</t>
  </si>
  <si>
    <t xml:space="preserve">#</t>
  </si>
  <si>
    <t xml:space="preserve">Requirement</t>
  </si>
  <si>
    <t xml:space="preserve">Owner</t>
  </si>
  <si>
    <t xml:space="preserve">Evidence / location</t>
  </si>
  <si>
    <t xml:space="preserve">Status</t>
  </si>
  <si>
    <t xml:space="preserve">VaR / ES and stress loss</t>
  </si>
  <si>
    <t xml:space="preserve">OPEN</t>
  </si>
  <si>
    <t xml:space="preserve">factor and component risk</t>
  </si>
  <si>
    <t xml:space="preserve">liquidity horizon and liquidation cost</t>
  </si>
  <si>
    <t xml:space="preserve">base, downside and break-even outputs</t>
  </si>
  <si>
    <t xml:space="preserve">liquidity / funding requirement and binding constraint</t>
  </si>
  <si>
    <t xml:space="preserve">Insider questions</t>
  </si>
  <si>
    <t xml:space="preserve">What risk is missing from the factor map?</t>
  </si>
  <si>
    <t xml:space="preserve">Where does diversification disappear under stress?</t>
  </si>
  <si>
    <t xml:space="preserve">Which desk would fail model eligibility?</t>
  </si>
  <si>
    <t xml:space="preserve">Which assumption is owner-approved versus modeler judgement?</t>
  </si>
  <si>
    <t xml:space="preserve">What fails first and who must act?</t>
  </si>
  <si>
    <t xml:space="preserve">Scenario families</t>
  </si>
  <si>
    <t xml:space="preserve">historical and hypothetical stress</t>
  </si>
  <si>
    <t xml:space="preserve">correlation break</t>
  </si>
  <si>
    <t xml:space="preserve">basis and spread dislocation</t>
  </si>
  <si>
    <t xml:space="preserve">data freshness / source failure</t>
  </si>
  <si>
    <t xml:space="preserve">combined severe-but-plausible downside</t>
  </si>
  <si>
    <t xml:space="preserve">Primary diligence documents</t>
  </si>
  <si>
    <t xml:space="preserve">risk appetite and limits</t>
  </si>
  <si>
    <t xml:space="preserve">product control P&amp;L</t>
  </si>
  <si>
    <t xml:space="preserve">market data hierarchy</t>
  </si>
  <si>
    <t xml:space="preserve">approved model card and assumption register</t>
  </si>
  <si>
    <t xml:space="preserve">independent validation and challenge record</t>
  </si>
  <si>
    <t xml:space="preserve">Challenge tests</t>
  </si>
  <si>
    <t xml:space="preserve">component risk reconciles to total</t>
  </si>
  <si>
    <t xml:space="preserve">ES not below VaR at same confidence</t>
  </si>
  <si>
    <t xml:space="preserve">stress loss sign conventions consistent</t>
  </si>
  <si>
    <t xml:space="preserve">source-to-model lineage is reproducible</t>
  </si>
  <si>
    <t xml:space="preserve">units, signs, dates and legal definitions reconcile</t>
  </si>
  <si>
    <t xml:space="preserve">Known failure modes</t>
  </si>
  <si>
    <t xml:space="preserve">diversification masking concentration</t>
  </si>
  <si>
    <t xml:space="preserve">using stale sensitivities</t>
  </si>
  <si>
    <t xml:space="preserve">mapping risks to wrong buckets</t>
  </si>
  <si>
    <t xml:space="preserve">stale vintage presented as current</t>
  </si>
  <si>
    <t xml:space="preserve">decision output disconnected from a binding constraint</t>
  </si>
  <si>
    <t xml:space="preserve">Regulatory / methodological anchors</t>
  </si>
  <si>
    <t xml:space="preserve">Standard</t>
  </si>
  <si>
    <t xml:space="preserve">Scope</t>
  </si>
  <si>
    <t xml:space="preserve">Source URL</t>
  </si>
  <si>
    <t xml:space="preserve">Applicability</t>
  </si>
  <si>
    <t xml:space="preserve">Review note</t>
  </si>
  <si>
    <t xml:space="preserve">Federal Reserve SR 26-2 Model Risk Management</t>
  </si>
  <si>
    <t xml:space="preserve">governance, validation, change control, monitoring</t>
  </si>
  <si>
    <t xml:space="preserve">https://www.federalreserve.gov/supervisionreg/srletters/SR2602.htm</t>
  </si>
  <si>
    <t xml:space="preserve">Map explicitly</t>
  </si>
  <si>
    <t xml:space="preserve">Basel Framework</t>
  </si>
  <si>
    <t xml:space="preserve">prudential capital, liquidity, credit and market risk</t>
  </si>
  <si>
    <t xml:space="preserve">https://www.bis.org/basel_framework/</t>
  </si>
  <si>
    <t xml:space="preserve">Basel MAR21 Sensitivities-Based Method</t>
  </si>
  <si>
    <t xml:space="preserve">market-risk factors and aggregation</t>
  </si>
  <si>
    <t xml:space="preserve">https://www.bis.org/basel_framework/chapter/MAR/21.htm</t>
  </si>
  <si>
    <t xml:space="preserve">Independent Challenge, Override and Closure Log</t>
  </si>
  <si>
    <t xml:space="preserve">Date</t>
  </si>
  <si>
    <t xml:space="preserve">Reviewer</t>
  </si>
  <si>
    <t xml:space="preserve">Challenge</t>
  </si>
  <si>
    <t xml:space="preserve">Owner response</t>
  </si>
  <si>
    <t xml:space="preserve">Evidence</t>
  </si>
  <si>
    <t xml:space="preserve">Impact</t>
  </si>
  <si>
    <t xml:space="preserve">Closure</t>
  </si>
  <si>
    <t xml:space="preserve">Source, Transformation, Ownership and Refresh Map</t>
  </si>
  <si>
    <t xml:space="preserve">Source class</t>
  </si>
  <si>
    <t xml:space="preserve">Cadence</t>
  </si>
  <si>
    <t xml:space="preserve">Control</t>
  </si>
  <si>
    <t xml:space="preserve">System / provider</t>
  </si>
  <si>
    <t xml:space="preserve">As-of</t>
  </si>
  <si>
    <t xml:space="preserve">Transform</t>
  </si>
  <si>
    <t xml:space="preserve">Downstream</t>
  </si>
  <si>
    <t xml:space="preserve">positions</t>
  </si>
  <si>
    <t xml:space="preserve">intraday/daily</t>
  </si>
  <si>
    <t xml:space="preserve">front-to-back reconciliation</t>
  </si>
  <si>
    <t xml:space="preserve">TO MAP</t>
  </si>
  <si>
    <t xml:space="preserve">market data</t>
  </si>
  <si>
    <t xml:space="preserve">source and stale-point controls</t>
  </si>
  <si>
    <t xml:space="preserve">model governance evidence</t>
  </si>
  <si>
    <t xml:space="preserve">per release</t>
  </si>
  <si>
    <t xml:space="preserve">version, reviewer, sign-off and change log</t>
  </si>
  <si>
    <t xml:space="preserve">decision-use snapshot</t>
  </si>
  <si>
    <t xml:space="preserve">per decision</t>
  </si>
  <si>
    <t xml:space="preserve">immutable as-of date and source receipt</t>
  </si>
  <si>
    <t xml:space="preserve">Risk and Liquidity Assumptions</t>
  </si>
  <si>
    <t xml:space="preserve">Assumption</t>
  </si>
  <si>
    <t xml:space="preserve">Base</t>
  </si>
  <si>
    <t xml:space="preserve">Active</t>
  </si>
  <si>
    <t xml:space="preserve">Units / note</t>
  </si>
  <si>
    <t xml:space="preserve">VaR confidence</t>
  </si>
  <si>
    <t xml:space="preserve">%</t>
  </si>
  <si>
    <t xml:space="preserve">Trading days per year</t>
  </si>
  <si>
    <t xml:space="preserve">days</t>
  </si>
  <si>
    <t xml:space="preserve">Equity annual volatility</t>
  </si>
  <si>
    <t xml:space="preserve">Rates annual volatility</t>
  </si>
  <si>
    <t xml:space="preserve">yield change</t>
  </si>
  <si>
    <t xml:space="preserve">Credit annual volatility</t>
  </si>
  <si>
    <t xml:space="preserve">spread change</t>
  </si>
  <si>
    <t xml:space="preserve">FX annual volatility</t>
  </si>
  <si>
    <t xml:space="preserve">Volatility-factor annual volatility</t>
  </si>
  <si>
    <t xml:space="preserve">Maximum portfolio VaR</t>
  </si>
  <si>
    <t xml:space="preserve">$mm</t>
  </si>
  <si>
    <t xml:space="preserve">Maximum stress loss</t>
  </si>
  <si>
    <t xml:space="preserve">Maximum illiquid NAV</t>
  </si>
  <si>
    <t xml:space="preserve">Maximum single-name concentration</t>
  </si>
  <si>
    <t xml:space="preserve">Maximum gross leverage</t>
  </si>
  <si>
    <t xml:space="preserve">x</t>
  </si>
  <si>
    <t xml:space="preserve">Liquidity impact coefficient</t>
  </si>
  <si>
    <t xml:space="preserve">loss coefficient</t>
  </si>
  <si>
    <t xml:space="preserve">Available capital / NAV</t>
  </si>
  <si>
    <t xml:space="preserve">Position-Level Risk Inventory</t>
  </si>
  <si>
    <t xml:space="preserve">Instrument</t>
  </si>
  <si>
    <t xml:space="preserve">Asset class</t>
  </si>
  <si>
    <t xml:space="preserve">Market value</t>
  </si>
  <si>
    <t xml:space="preserve">Gross notional</t>
  </si>
  <si>
    <t xml:space="preserve">Delta</t>
  </si>
  <si>
    <t xml:space="preserve">Beta</t>
  </si>
  <si>
    <t xml:space="preserve">Duration</t>
  </si>
  <si>
    <t xml:space="preserve">Spread duration</t>
  </si>
  <si>
    <t xml:space="preserve">DV01</t>
  </si>
  <si>
    <t xml:space="preserve">Vega</t>
  </si>
  <si>
    <t xml:space="preserve">FX delta</t>
  </si>
  <si>
    <t xml:space="preserve">Days to liquidate</t>
  </si>
  <si>
    <t xml:space="preserve">Equity</t>
  </si>
  <si>
    <t xml:space="preserve">Rates</t>
  </si>
  <si>
    <t xml:space="preserve">Credit</t>
  </si>
  <si>
    <t xml:space="preserve">FX</t>
  </si>
  <si>
    <t xml:space="preserve">Volatility</t>
  </si>
  <si>
    <t xml:space="preserve">Weighted risk exposure</t>
  </si>
  <si>
    <t xml:space="preserve">Equity Index Future</t>
  </si>
  <si>
    <t xml:space="preserve">Single Name A</t>
  </si>
  <si>
    <t xml:space="preserve">Single Name Put</t>
  </si>
  <si>
    <t xml:space="preserve">Option</t>
  </si>
  <si>
    <t xml:space="preserve">10Y Treasury</t>
  </si>
  <si>
    <t xml:space="preserve">IG Credit ETF</t>
  </si>
  <si>
    <t xml:space="preserve">HY Bond</t>
  </si>
  <si>
    <t xml:space="preserve">EURUSD Forward</t>
  </si>
  <si>
    <t xml:space="preserve">Commodity Future</t>
  </si>
  <si>
    <t xml:space="preserve">Commodity</t>
  </si>
  <si>
    <t xml:space="preserve">Variance Swap</t>
  </si>
  <si>
    <t xml:space="preserve">Private Credit Position</t>
  </si>
  <si>
    <t xml:space="preserve">Private</t>
  </si>
  <si>
    <t xml:space="preserve">Cash</t>
  </si>
  <si>
    <t xml:space="preserve">Short Equity Basket</t>
  </si>
  <si>
    <t xml:space="preserve">Portfolio total</t>
  </si>
  <si>
    <t xml:space="preserve">Factor Exposure and Covariance</t>
  </si>
  <si>
    <t xml:space="preserve">Factor</t>
  </si>
  <si>
    <t xml:space="preserve">Exposure</t>
  </si>
  <si>
    <t xml:space="preserve">Annual vol</t>
  </si>
  <si>
    <t xml:space="preserve">Annual portfolio variance</t>
  </si>
  <si>
    <t xml:space="preserve">Annual portfolio volatility</t>
  </si>
  <si>
    <t xml:space="preserve">Parametric VaR and Expected Shortfall</t>
  </si>
  <si>
    <t xml:space="preserve">Metric</t>
  </si>
  <si>
    <t xml:space="preserve">Value</t>
  </si>
  <si>
    <t xml:space="preserve">Units</t>
  </si>
  <si>
    <t xml:space="preserve">Method</t>
  </si>
  <si>
    <t xml:space="preserve">factor covariance</t>
  </si>
  <si>
    <t xml:space="preserve">Daily portfolio volatility</t>
  </si>
  <si>
    <t xml:space="preserve">annual / sqrt(days)</t>
  </si>
  <si>
    <t xml:space="preserve">Normal quantile</t>
  </si>
  <si>
    <t xml:space="preserve">z</t>
  </si>
  <si>
    <t xml:space="preserve">confidence quantile</t>
  </si>
  <si>
    <t xml:space="preserve">One-day VaR</t>
  </si>
  <si>
    <t xml:space="preserve">sigma x z</t>
  </si>
  <si>
    <t xml:space="preserve">One-day expected shortfall</t>
  </si>
  <si>
    <t xml:space="preserve">normal tail expectation</t>
  </si>
  <si>
    <t xml:space="preserve">VaR / NAV</t>
  </si>
  <si>
    <t xml:space="preserve">capital consumption</t>
  </si>
  <si>
    <t xml:space="preserve">Diversification benefit</t>
  </si>
  <si>
    <t xml:space="preserve">1 - portfolio / standalone</t>
  </si>
  <si>
    <t xml:space="preserve">Position-Level VaR, Stress, and Liquidity Contributions</t>
  </si>
  <si>
    <t xml:space="preserve">Standalone VaR</t>
  </si>
  <si>
    <t xml:space="preserve">Component VaR</t>
  </si>
  <si>
    <t xml:space="preserve">% portfolio VaR</t>
  </si>
  <si>
    <t xml:space="preserve">Worst stress loss</t>
  </si>
  <si>
    <t xml:space="preserve">Liquidation loss</t>
  </si>
  <si>
    <t xml:space="preserve">Liquidity-adjusted risk</t>
  </si>
  <si>
    <t xml:space="preserve">Risk concentration</t>
  </si>
  <si>
    <t xml:space="preserve">Component VaR reconciliation</t>
  </si>
  <si>
    <t xml:space="preserve">Largest risk concentration</t>
  </si>
  <si>
    <t xml:space="preserve">Largest contributor</t>
  </si>
  <si>
    <t xml:space="preserve">Portfolio Stress Matrix</t>
  </si>
  <si>
    <t xml:space="preserve">Scenario</t>
  </si>
  <si>
    <t xml:space="preserve">Vol</t>
  </si>
  <si>
    <t xml:space="preserve">Liquidity</t>
  </si>
  <si>
    <t xml:space="preserve">P&amp;L</t>
  </si>
  <si>
    <t xml:space="preserve">Global risk-off</t>
  </si>
  <si>
    <t xml:space="preserve">Inflation / rates shock</t>
  </si>
  <si>
    <t xml:space="preserve">Credit crisis</t>
  </si>
  <si>
    <t xml:space="preserve">Dollar squeeze</t>
  </si>
  <si>
    <t xml:space="preserve">Volatility normalization</t>
  </si>
  <si>
    <t xml:space="preserve">Idiosyncratic concentration</t>
  </si>
  <si>
    <t xml:space="preserve">Liquidity and Liquidation Cost</t>
  </si>
  <si>
    <t xml:space="preserve">Days</t>
  </si>
  <si>
    <t xml:space="preserve">ADV participation proxy</t>
  </si>
  <si>
    <t xml:space="preserve">Impact loss</t>
  </si>
  <si>
    <t xml:space="preserve">Illiquid?</t>
  </si>
  <si>
    <t xml:space="preserve">Illiquid gross notional</t>
  </si>
  <si>
    <t xml:space="preserve">Illiquid NAV ratio</t>
  </si>
  <si>
    <t xml:space="preserve">Total modeled liquidation loss</t>
  </si>
  <si>
    <t xml:space="preserve">Daily P&amp;L Explain</t>
  </si>
  <si>
    <t xml:space="preserve">Driver</t>
  </si>
  <si>
    <t xml:space="preserve">Move</t>
  </si>
  <si>
    <t xml:space="preserve">First-order P&amp;L</t>
  </si>
  <si>
    <t xml:space="preserve">Convexity / residual</t>
  </si>
  <si>
    <t xml:space="preserve">Explained P&amp;L</t>
  </si>
  <si>
    <t xml:space="preserve">Notes</t>
  </si>
  <si>
    <t xml:space="preserve">delta/beta</t>
  </si>
  <si>
    <t xml:space="preserve">duration</t>
  </si>
  <si>
    <t xml:space="preserve">spread duration</t>
  </si>
  <si>
    <t xml:space="preserve">currency delta</t>
  </si>
  <si>
    <t xml:space="preserve">vega / convexity</t>
  </si>
  <si>
    <t xml:space="preserve">Actual P&amp;L</t>
  </si>
  <si>
    <t xml:space="preserve">Unexplained P&amp;L</t>
  </si>
  <si>
    <t xml:space="preserve">Risk Limit Dashboard</t>
  </si>
  <si>
    <t xml:space="preserve">Limit</t>
  </si>
  <si>
    <t xml:space="preserve">Actual</t>
  </si>
  <si>
    <t xml:space="preserve">Threshold</t>
  </si>
  <si>
    <t xml:space="preserve">Headroom</t>
  </si>
  <si>
    <t xml:space="preserve">Illiquid NAV</t>
  </si>
  <si>
    <t xml:space="preserve">Single-name concentration</t>
  </si>
  <si>
    <t xml:space="preserve">Gross leverage</t>
  </si>
  <si>
    <t xml:space="preserve">Risk Model Checks</t>
  </si>
  <si>
    <t xml:space="preserve">Check</t>
  </si>
  <si>
    <t xml:space="preserve">Correlation diagonal equals one</t>
  </si>
  <si>
    <t xml:space="preserve">Correlation matrix bounded</t>
  </si>
  <si>
    <t xml:space="preserve">Portfolio variance nonnegative</t>
  </si>
  <si>
    <t xml:space="preserve">VaR and ES positive</t>
  </si>
  <si>
    <t xml:space="preserve">No risk limit breaches</t>
  </si>
  <si>
    <t xml:space="preserve">Liquidity loss nonnegative</t>
  </si>
  <si>
    <t xml:space="preserve">Position inventory populated</t>
  </si>
  <si>
    <t xml:space="preserve">P&amp;L explain complete</t>
  </si>
  <si>
    <t xml:space="preserve">Overall</t>
  </si>
  <si>
    <t xml:space="preserve">Source Register</t>
  </si>
  <si>
    <t xml:space="preserve">Input / dataset</t>
  </si>
  <si>
    <t xml:space="preserve">Source URL or document</t>
  </si>
  <si>
    <t xml:space="preserve">Notes / transformation</t>
  </si>
  <si>
    <t xml:space="preserve">Position and market-value feed</t>
  </si>
  <si>
    <t xml:space="preserve">[OMS / risk source]</t>
  </si>
  <si>
    <t xml:space="preserve">[timestamp]</t>
  </si>
  <si>
    <t xml:space="preserve">Reconcile to books and records</t>
  </si>
  <si>
    <t xml:space="preserve">Factor and covariance calibration</t>
  </si>
  <si>
    <t xml:space="preserve">[model dataset URL]</t>
  </si>
  <si>
    <t xml:space="preserve">[window]</t>
  </si>
  <si>
    <t xml:space="preserve">Document decay, winsorization, and regime treatment</t>
  </si>
  <si>
    <t xml:space="preserve">Curve, spread, volatility, and FX data</t>
  </si>
  <si>
    <t xml:space="preserve">[market data URL]</t>
  </si>
  <si>
    <t xml:space="preserve">Record interpolation and stale-data policy</t>
  </si>
  <si>
    <t xml:space="preserve">Liquidity and ADV data</t>
  </si>
  <si>
    <t xml:space="preserve">[venue / vendor source]</t>
  </si>
  <si>
    <t xml:space="preserve">[period]</t>
  </si>
  <si>
    <t xml:space="preserve">Document liquidation horizon and impact calibration</t>
  </si>
  <si>
    <t xml:space="preserve">Risk limit policy</t>
  </si>
  <si>
    <t xml:space="preserve">[approved policy URL]</t>
  </si>
  <si>
    <t xml:space="preserve">[effective date]</t>
  </si>
  <si>
    <t xml:space="preserve">Thresholds, escalation, exceptions, and ownership</t>
  </si>
  <si>
    <t xml:space="preserve">CBOE VIX via FRED</t>
  </si>
  <si>
    <t xml:space="preserve">https://fred.stlouisfed.org/series/VIXCLS</t>
  </si>
  <si>
    <t xml:space="preserve">Federal Reserve Bank of St. Louis / CBOE; frozen curated observation as of case date</t>
  </si>
  <si>
    <t xml:space="preserve">S&amp;P 500 via FRED</t>
  </si>
  <si>
    <t xml:space="preserve">https://fred.stlouisfed.org/series/SP500</t>
  </si>
  <si>
    <t xml:space="preserve">Federal Reserve Bank of St. Louis / S&amp;P; frozen curated observation as of case date</t>
  </si>
  <si>
    <t xml:space="preserve">Frozen source snapshot</t>
  </si>
  <si>
    <t xml:space="preserve">repo://09_Risk_Management/sources/snapshots/risk-fred-covid-2020.json</t>
  </si>
  <si>
    <t xml:space="preserve">Immutable curated observation package with SHA-256 digest</t>
  </si>
  <si>
    <t xml:space="preserve">Refresh Log</t>
  </si>
  <si>
    <t xml:space="preserve">Trigger</t>
  </si>
  <si>
    <t xml:space="preserve">Source snapshot</t>
  </si>
  <si>
    <t xml:space="preserve">What changed</t>
  </si>
  <si>
    <t xml:space="preserve">Reviewer / challenge</t>
  </si>
  <si>
    <t xml:space="preserve">Next check</t>
  </si>
  <si>
    <t xml:space="preserve">2026-08-04</t>
  </si>
  <si>
    <t xml:space="preserve">External historical evidence materialization</t>
  </si>
  <si>
    <t xml:space="preserve">Generated public case risk-fred-covid-2020 from canonical release template</t>
  </si>
  <si>
    <t xml:space="preserve">External historical case; human stakeholder approval remains pending</t>
  </si>
  <si>
    <t xml:space="preserve">On source revision, builder change, monitoring breach, or annual review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</si>
</sst>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%;[RED]\(0.0%\);\-"/>
    <numFmt numFmtId="166" formatCode="0"/>
    <numFmt numFmtId="167" formatCode="0.00%;[RED]\(0.00%\);\-"/>
    <numFmt numFmtId="168" formatCode="\$#,##0.0;[RED]&quot;($&quot;#,##0.0\);\-"/>
    <numFmt numFmtId="169" formatCode="0.0\x;[RED]\(0.0&quot;x)&quot;;\-"/>
    <numFmt numFmtId="170" formatCode="0.00"/>
    <numFmt numFmtId="171" formatCode="0.0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0"/>
      <color rgb="FF111827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111827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5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7365D"/>
      </patternFill>
    </fill>
    <fill>
      <patternFill patternType="solid">
        <fgColor rgb="FFFFF2CC"/>
        <bgColor rgb="FFFCE4D6"/>
      </patternFill>
    </fill>
    <fill>
      <patternFill patternType="solid">
        <fgColor rgb="FFFFFF00"/>
        <bgColor rgb="FFFFFF00"/>
      </patternFill>
    </fill>
    <fill>
      <patternFill patternType="solid">
        <fgColor rgb="FF17365D"/>
        <bgColor rgb="FF333333"/>
      </patternFill>
    </fill>
    <fill>
      <patternFill patternType="solid">
        <fgColor rgb="FFD9EAF7"/>
        <bgColor rgb="FFE2F0D9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/>
      <right/>
      <top/>
      <bottom style="thin">
        <color rgb="FFB7B7B7"/>
      </bottom>
      <diagonal/>
    </border>
    <border diagonalUp="false" diagonalDown="false">
      <left/>
      <right/>
      <top style="thin">
        <color rgb="FF111827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B7B7B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111827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6"/>
    <col collapsed="false" customWidth="true" hidden="false" outlineLevel="0" max="3" min="3" style="1" width="46"/>
    <col collapsed="false" customWidth="true" hidden="false" outlineLevel="0" max="6" min="4" style="1" width="12"/>
  </cols>
  <sheetData>
    <row r="2" customFormat="false" ht="27.75" hidden="false" customHeight="true" outlineLevel="0" collapsed="false">
      <c r="B2" s="2" t="s">
        <v>0</v>
      </c>
      <c r="C2" s="2"/>
      <c r="D2" s="2"/>
      <c r="E2" s="2"/>
      <c r="F2" s="2"/>
    </row>
    <row r="4" customFormat="false" ht="15" hidden="false" customHeight="true" outlineLevel="0" collapsed="false">
      <c r="B4" s="3" t="s">
        <v>1</v>
      </c>
      <c r="C4" s="4" t="s">
        <v>2</v>
      </c>
    </row>
    <row r="5" customFormat="false" ht="15" hidden="false" customHeight="true" outlineLevel="0" collapsed="false">
      <c r="B5" s="3" t="s">
        <v>3</v>
      </c>
      <c r="C5" s="4" t="s">
        <v>4</v>
      </c>
    </row>
    <row r="6" customFormat="false" ht="15" hidden="false" customHeight="true" outlineLevel="0" collapsed="false">
      <c r="B6" s="3" t="s">
        <v>5</v>
      </c>
      <c r="C6" s="5" t="s">
        <v>6</v>
      </c>
    </row>
    <row r="7" customFormat="false" ht="15" hidden="false" customHeight="true" outlineLevel="0" collapsed="false">
      <c r="B7" s="3" t="s">
        <v>7</v>
      </c>
      <c r="C7" s="4" t="s">
        <v>8</v>
      </c>
    </row>
    <row r="8" customFormat="false" ht="15" hidden="false" customHeight="true" outlineLevel="0" collapsed="false">
      <c r="B8" s="3" t="s">
        <v>9</v>
      </c>
      <c r="C8" s="4" t="s">
        <v>10</v>
      </c>
    </row>
    <row r="9" customFormat="false" ht="15" hidden="false" customHeight="true" outlineLevel="0" collapsed="false">
      <c r="B9" s="3" t="s">
        <v>11</v>
      </c>
      <c r="C9" s="5" t="s">
        <v>12</v>
      </c>
    </row>
    <row r="10" customFormat="false" ht="15" hidden="false" customHeight="true" outlineLevel="0" collapsed="false">
      <c r="B10" s="3" t="s">
        <v>13</v>
      </c>
      <c r="C10" s="4" t="s">
        <v>14</v>
      </c>
    </row>
    <row r="13" customFormat="false" ht="15" hidden="false" customHeight="true" outlineLevel="0" collapsed="false">
      <c r="B13" s="6" t="s">
        <v>15</v>
      </c>
      <c r="C13" s="6"/>
      <c r="D13" s="6"/>
      <c r="E13" s="6"/>
      <c r="F13" s="6"/>
    </row>
    <row r="14" customFormat="false" ht="15" hidden="false" customHeight="true" outlineLevel="0" collapsed="false">
      <c r="B14" s="7" t="s">
        <v>16</v>
      </c>
      <c r="C14" s="8" t="s">
        <v>17</v>
      </c>
    </row>
    <row r="15" customFormat="false" ht="15" hidden="false" customHeight="true" outlineLevel="0" collapsed="false">
      <c r="B15" s="3" t="s">
        <v>18</v>
      </c>
      <c r="C15" s="8" t="s">
        <v>19</v>
      </c>
    </row>
    <row r="16" customFormat="false" ht="15" hidden="false" customHeight="true" outlineLevel="0" collapsed="false">
      <c r="B16" s="9" t="s">
        <v>20</v>
      </c>
      <c r="C16" s="8" t="s">
        <v>21</v>
      </c>
    </row>
    <row r="17" customFormat="false" ht="15" hidden="false" customHeight="true" outlineLevel="0" collapsed="false">
      <c r="B17" s="3" t="s">
        <v>22</v>
      </c>
      <c r="C17" s="8" t="s">
        <v>23</v>
      </c>
    </row>
  </sheetData>
  <mergeCells count="2">
    <mergeCell ref="B2:F2"/>
    <mergeCell ref="B13:F13"/>
  </mergeCells>
  <dataValidations count="1">
    <dataValidation allowBlank="false" errorStyle="stop" operator="between" showDropDown="false" showErrorMessage="false" showInputMessage="false" sqref="C9" type="list">
      <formula1>"Base,Downside"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26"/>
    <col collapsed="false" customWidth="true" hidden="false" outlineLevel="0" max="3" min="3" style="0" width="48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0"/>
  </cols>
  <sheetData>
    <row r="2" customFormat="false" ht="18.55" hidden="false" customHeight="false" outlineLevel="0" collapsed="false">
      <c r="B2" s="10" t="s">
        <v>24</v>
      </c>
      <c r="C2" s="10"/>
      <c r="D2" s="10"/>
      <c r="E2" s="10"/>
      <c r="F2" s="10"/>
    </row>
    <row r="4" customFormat="false" ht="15" hidden="false" customHeight="true" outlineLevel="0" collapsed="false">
      <c r="B4" s="11" t="s">
        <v>25</v>
      </c>
      <c r="C4" s="12" t="s">
        <v>26</v>
      </c>
      <c r="D4" s="12"/>
      <c r="E4" s="12"/>
      <c r="F4" s="12"/>
    </row>
    <row r="5" customFormat="false" ht="15" hidden="false" customHeight="true" outlineLevel="0" collapsed="false">
      <c r="B5" s="11" t="s">
        <v>27</v>
      </c>
      <c r="C5" s="12" t="s">
        <v>28</v>
      </c>
      <c r="D5" s="12"/>
      <c r="E5" s="12"/>
      <c r="F5" s="12"/>
    </row>
    <row r="6" customFormat="false" ht="15" hidden="false" customHeight="true" outlineLevel="0" collapsed="false">
      <c r="B6" s="11" t="s">
        <v>29</v>
      </c>
      <c r="C6" s="12" t="s">
        <v>30</v>
      </c>
      <c r="D6" s="12"/>
      <c r="E6" s="12"/>
      <c r="F6" s="12"/>
    </row>
    <row r="7" customFormat="false" ht="15" hidden="false" customHeight="true" outlineLevel="0" collapsed="false">
      <c r="B7" s="11" t="s">
        <v>31</v>
      </c>
      <c r="C7" s="12" t="s">
        <v>32</v>
      </c>
      <c r="D7" s="12"/>
      <c r="E7" s="12"/>
      <c r="F7" s="12"/>
    </row>
    <row r="8" customFormat="false" ht="15" hidden="false" customHeight="true" outlineLevel="0" collapsed="false">
      <c r="B8" s="11" t="s">
        <v>33</v>
      </c>
      <c r="C8" s="12" t="s">
        <v>34</v>
      </c>
      <c r="D8" s="12"/>
      <c r="E8" s="12"/>
      <c r="F8" s="12"/>
    </row>
    <row r="9" customFormat="false" ht="15" hidden="false" customHeight="true" outlineLevel="0" collapsed="false">
      <c r="B9" s="11" t="s">
        <v>35</v>
      </c>
      <c r="C9" s="12" t="s">
        <v>36</v>
      </c>
      <c r="D9" s="12"/>
      <c r="E9" s="12"/>
      <c r="F9" s="12"/>
    </row>
    <row r="10" customFormat="false" ht="15" hidden="false" customHeight="true" outlineLevel="0" collapsed="false">
      <c r="B10" s="11" t="s">
        <v>37</v>
      </c>
      <c r="C10" s="12" t="s">
        <v>38</v>
      </c>
      <c r="D10" s="12"/>
      <c r="E10" s="12"/>
      <c r="F10" s="12"/>
    </row>
    <row r="12" customFormat="false" ht="15" hidden="false" customHeight="false" outlineLevel="0" collapsed="false">
      <c r="B12" s="13" t="s">
        <v>39</v>
      </c>
      <c r="C12" s="13"/>
      <c r="D12" s="13"/>
      <c r="E12" s="13"/>
      <c r="F12" s="13"/>
    </row>
    <row r="13" customFormat="false" ht="15" hidden="false" customHeight="false" outlineLevel="0" collapsed="false">
      <c r="B13" s="14" t="s">
        <v>40</v>
      </c>
      <c r="C13" s="14" t="s">
        <v>41</v>
      </c>
      <c r="D13" s="14" t="s">
        <v>42</v>
      </c>
      <c r="E13" s="14" t="s">
        <v>43</v>
      </c>
      <c r="F13" s="14" t="s">
        <v>44</v>
      </c>
    </row>
    <row r="14" customFormat="false" ht="15" hidden="false" customHeight="false" outlineLevel="0" collapsed="false">
      <c r="B14" s="1" t="n">
        <v>1</v>
      </c>
      <c r="C14" s="1" t="s">
        <v>45</v>
      </c>
      <c r="D14" s="1"/>
      <c r="E14" s="1"/>
      <c r="F14" s="15" t="s">
        <v>46</v>
      </c>
    </row>
    <row r="15" customFormat="false" ht="15" hidden="false" customHeight="false" outlineLevel="0" collapsed="false">
      <c r="B15" s="1" t="n">
        <v>2</v>
      </c>
      <c r="C15" s="1" t="s">
        <v>47</v>
      </c>
      <c r="D15" s="1"/>
      <c r="E15" s="1"/>
      <c r="F15" s="15" t="s">
        <v>46</v>
      </c>
    </row>
    <row r="16" customFormat="false" ht="15" hidden="false" customHeight="false" outlineLevel="0" collapsed="false">
      <c r="B16" s="1" t="n">
        <v>3</v>
      </c>
      <c r="C16" s="1" t="s">
        <v>48</v>
      </c>
      <c r="D16" s="1"/>
      <c r="E16" s="1"/>
      <c r="F16" s="15" t="s">
        <v>46</v>
      </c>
    </row>
    <row r="17" customFormat="false" ht="15" hidden="false" customHeight="false" outlineLevel="0" collapsed="false">
      <c r="B17" s="1" t="n">
        <v>4</v>
      </c>
      <c r="C17" s="1" t="s">
        <v>49</v>
      </c>
      <c r="D17" s="1"/>
      <c r="E17" s="1"/>
      <c r="F17" s="15" t="s">
        <v>46</v>
      </c>
    </row>
    <row r="18" customFormat="false" ht="15" hidden="false" customHeight="false" outlineLevel="0" collapsed="false">
      <c r="B18" s="1" t="n">
        <v>5</v>
      </c>
      <c r="C18" s="1" t="s">
        <v>50</v>
      </c>
      <c r="D18" s="1"/>
      <c r="E18" s="1"/>
      <c r="F18" s="15" t="s">
        <v>46</v>
      </c>
    </row>
    <row r="20" customFormat="false" ht="15" hidden="false" customHeight="false" outlineLevel="0" collapsed="false">
      <c r="B20" s="13" t="s">
        <v>51</v>
      </c>
      <c r="C20" s="13"/>
      <c r="D20" s="13"/>
      <c r="E20" s="13"/>
      <c r="F20" s="13"/>
    </row>
    <row r="21" customFormat="false" ht="15" hidden="false" customHeight="false" outlineLevel="0" collapsed="false">
      <c r="B21" s="14" t="s">
        <v>40</v>
      </c>
      <c r="C21" s="14" t="s">
        <v>41</v>
      </c>
      <c r="D21" s="14" t="s">
        <v>42</v>
      </c>
      <c r="E21" s="14" t="s">
        <v>43</v>
      </c>
      <c r="F21" s="14" t="s">
        <v>44</v>
      </c>
    </row>
    <row r="22" customFormat="false" ht="15" hidden="false" customHeight="false" outlineLevel="0" collapsed="false">
      <c r="B22" s="1" t="n">
        <v>1</v>
      </c>
      <c r="C22" s="1" t="s">
        <v>52</v>
      </c>
      <c r="D22" s="1"/>
      <c r="E22" s="1"/>
      <c r="F22" s="15" t="s">
        <v>46</v>
      </c>
    </row>
    <row r="23" customFormat="false" ht="15" hidden="false" customHeight="false" outlineLevel="0" collapsed="false">
      <c r="B23" s="1" t="n">
        <v>2</v>
      </c>
      <c r="C23" s="1" t="s">
        <v>53</v>
      </c>
      <c r="D23" s="1"/>
      <c r="E23" s="1"/>
      <c r="F23" s="15" t="s">
        <v>46</v>
      </c>
    </row>
    <row r="24" customFormat="false" ht="15" hidden="false" customHeight="false" outlineLevel="0" collapsed="false">
      <c r="B24" s="1" t="n">
        <v>3</v>
      </c>
      <c r="C24" s="1" t="s">
        <v>54</v>
      </c>
      <c r="D24" s="1"/>
      <c r="E24" s="1"/>
      <c r="F24" s="15" t="s">
        <v>46</v>
      </c>
    </row>
    <row r="25" customFormat="false" ht="15" hidden="false" customHeight="false" outlineLevel="0" collapsed="false">
      <c r="B25" s="1" t="n">
        <v>4</v>
      </c>
      <c r="C25" s="1" t="s">
        <v>55</v>
      </c>
      <c r="D25" s="1"/>
      <c r="E25" s="1"/>
      <c r="F25" s="15" t="s">
        <v>46</v>
      </c>
    </row>
    <row r="26" customFormat="false" ht="15" hidden="false" customHeight="false" outlineLevel="0" collapsed="false">
      <c r="B26" s="1" t="n">
        <v>5</v>
      </c>
      <c r="C26" s="1" t="s">
        <v>56</v>
      </c>
      <c r="D26" s="1"/>
      <c r="E26" s="1"/>
      <c r="F26" s="15" t="s">
        <v>46</v>
      </c>
    </row>
    <row r="28" customFormat="false" ht="15" hidden="false" customHeight="false" outlineLevel="0" collapsed="false">
      <c r="B28" s="13" t="s">
        <v>57</v>
      </c>
      <c r="C28" s="13"/>
      <c r="D28" s="13"/>
      <c r="E28" s="13"/>
      <c r="F28" s="13"/>
    </row>
    <row r="29" customFormat="false" ht="15" hidden="false" customHeight="false" outlineLevel="0" collapsed="false">
      <c r="B29" s="14" t="s">
        <v>40</v>
      </c>
      <c r="C29" s="14" t="s">
        <v>41</v>
      </c>
      <c r="D29" s="14" t="s">
        <v>42</v>
      </c>
      <c r="E29" s="14" t="s">
        <v>43</v>
      </c>
      <c r="F29" s="14" t="s">
        <v>44</v>
      </c>
    </row>
    <row r="30" customFormat="false" ht="15" hidden="false" customHeight="false" outlineLevel="0" collapsed="false">
      <c r="B30" s="1" t="n">
        <v>1</v>
      </c>
      <c r="C30" s="1" t="s">
        <v>58</v>
      </c>
      <c r="D30" s="1"/>
      <c r="E30" s="1"/>
      <c r="F30" s="15" t="s">
        <v>46</v>
      </c>
    </row>
    <row r="31" customFormat="false" ht="15" hidden="false" customHeight="false" outlineLevel="0" collapsed="false">
      <c r="B31" s="1" t="n">
        <v>2</v>
      </c>
      <c r="C31" s="1" t="s">
        <v>59</v>
      </c>
      <c r="D31" s="1"/>
      <c r="E31" s="1"/>
      <c r="F31" s="15" t="s">
        <v>46</v>
      </c>
    </row>
    <row r="32" customFormat="false" ht="15" hidden="false" customHeight="false" outlineLevel="0" collapsed="false">
      <c r="B32" s="1" t="n">
        <v>3</v>
      </c>
      <c r="C32" s="1" t="s">
        <v>60</v>
      </c>
      <c r="D32" s="1"/>
      <c r="E32" s="1"/>
      <c r="F32" s="15" t="s">
        <v>46</v>
      </c>
    </row>
    <row r="33" customFormat="false" ht="15" hidden="false" customHeight="false" outlineLevel="0" collapsed="false">
      <c r="B33" s="1" t="n">
        <v>4</v>
      </c>
      <c r="C33" s="1" t="s">
        <v>61</v>
      </c>
      <c r="D33" s="1"/>
      <c r="E33" s="1"/>
      <c r="F33" s="15" t="s">
        <v>46</v>
      </c>
    </row>
    <row r="34" customFormat="false" ht="15" hidden="false" customHeight="false" outlineLevel="0" collapsed="false">
      <c r="B34" s="1" t="n">
        <v>5</v>
      </c>
      <c r="C34" s="1" t="s">
        <v>62</v>
      </c>
      <c r="D34" s="1"/>
      <c r="E34" s="1"/>
      <c r="F34" s="15" t="s">
        <v>46</v>
      </c>
    </row>
    <row r="36" customFormat="false" ht="15" hidden="false" customHeight="false" outlineLevel="0" collapsed="false">
      <c r="B36" s="13" t="s">
        <v>63</v>
      </c>
      <c r="C36" s="13"/>
      <c r="D36" s="13"/>
      <c r="E36" s="13"/>
      <c r="F36" s="13"/>
    </row>
    <row r="37" customFormat="false" ht="15" hidden="false" customHeight="false" outlineLevel="0" collapsed="false">
      <c r="B37" s="14" t="s">
        <v>40</v>
      </c>
      <c r="C37" s="14" t="s">
        <v>41</v>
      </c>
      <c r="D37" s="14" t="s">
        <v>42</v>
      </c>
      <c r="E37" s="14" t="s">
        <v>43</v>
      </c>
      <c r="F37" s="14" t="s">
        <v>44</v>
      </c>
    </row>
    <row r="38" customFormat="false" ht="15" hidden="false" customHeight="false" outlineLevel="0" collapsed="false">
      <c r="B38" s="1" t="n">
        <v>1</v>
      </c>
      <c r="C38" s="1" t="s">
        <v>64</v>
      </c>
      <c r="D38" s="1"/>
      <c r="E38" s="1"/>
      <c r="F38" s="15" t="s">
        <v>46</v>
      </c>
    </row>
    <row r="39" customFormat="false" ht="15" hidden="false" customHeight="false" outlineLevel="0" collapsed="false">
      <c r="B39" s="1" t="n">
        <v>2</v>
      </c>
      <c r="C39" s="1" t="s">
        <v>65</v>
      </c>
      <c r="D39" s="1"/>
      <c r="E39" s="1"/>
      <c r="F39" s="15" t="s">
        <v>46</v>
      </c>
    </row>
    <row r="40" customFormat="false" ht="15" hidden="false" customHeight="false" outlineLevel="0" collapsed="false">
      <c r="B40" s="1" t="n">
        <v>3</v>
      </c>
      <c r="C40" s="1" t="s">
        <v>66</v>
      </c>
      <c r="D40" s="1"/>
      <c r="E40" s="1"/>
      <c r="F40" s="15" t="s">
        <v>46</v>
      </c>
    </row>
    <row r="41" customFormat="false" ht="15" hidden="false" customHeight="false" outlineLevel="0" collapsed="false">
      <c r="B41" s="1" t="n">
        <v>4</v>
      </c>
      <c r="C41" s="1" t="s">
        <v>67</v>
      </c>
      <c r="D41" s="1"/>
      <c r="E41" s="1"/>
      <c r="F41" s="15" t="s">
        <v>46</v>
      </c>
    </row>
    <row r="42" customFormat="false" ht="15" hidden="false" customHeight="false" outlineLevel="0" collapsed="false">
      <c r="B42" s="1" t="n">
        <v>5</v>
      </c>
      <c r="C42" s="1" t="s">
        <v>68</v>
      </c>
      <c r="D42" s="1"/>
      <c r="E42" s="1"/>
      <c r="F42" s="15" t="s">
        <v>46</v>
      </c>
    </row>
    <row r="44" customFormat="false" ht="15" hidden="false" customHeight="false" outlineLevel="0" collapsed="false">
      <c r="B44" s="13" t="s">
        <v>69</v>
      </c>
      <c r="C44" s="13"/>
      <c r="D44" s="13"/>
      <c r="E44" s="13"/>
      <c r="F44" s="13"/>
    </row>
    <row r="45" customFormat="false" ht="15" hidden="false" customHeight="false" outlineLevel="0" collapsed="false">
      <c r="B45" s="14" t="s">
        <v>40</v>
      </c>
      <c r="C45" s="14" t="s">
        <v>41</v>
      </c>
      <c r="D45" s="14" t="s">
        <v>42</v>
      </c>
      <c r="E45" s="14" t="s">
        <v>43</v>
      </c>
      <c r="F45" s="14" t="s">
        <v>44</v>
      </c>
    </row>
    <row r="46" customFormat="false" ht="15" hidden="false" customHeight="false" outlineLevel="0" collapsed="false">
      <c r="B46" s="1" t="n">
        <v>1</v>
      </c>
      <c r="C46" s="1" t="s">
        <v>70</v>
      </c>
      <c r="D46" s="1"/>
      <c r="E46" s="1"/>
      <c r="F46" s="15" t="s">
        <v>46</v>
      </c>
    </row>
    <row r="47" customFormat="false" ht="15" hidden="false" customHeight="false" outlineLevel="0" collapsed="false">
      <c r="B47" s="1" t="n">
        <v>2</v>
      </c>
      <c r="C47" s="1" t="s">
        <v>71</v>
      </c>
      <c r="D47" s="1"/>
      <c r="E47" s="1"/>
      <c r="F47" s="15" t="s">
        <v>46</v>
      </c>
    </row>
    <row r="48" customFormat="false" ht="15" hidden="false" customHeight="false" outlineLevel="0" collapsed="false">
      <c r="B48" s="1" t="n">
        <v>3</v>
      </c>
      <c r="C48" s="1" t="s">
        <v>72</v>
      </c>
      <c r="D48" s="1"/>
      <c r="E48" s="1"/>
      <c r="F48" s="15" t="s">
        <v>46</v>
      </c>
    </row>
    <row r="49" customFormat="false" ht="15" hidden="false" customHeight="false" outlineLevel="0" collapsed="false">
      <c r="B49" s="1" t="n">
        <v>4</v>
      </c>
      <c r="C49" s="1" t="s">
        <v>73</v>
      </c>
      <c r="D49" s="1"/>
      <c r="E49" s="1"/>
      <c r="F49" s="15" t="s">
        <v>46</v>
      </c>
    </row>
    <row r="50" customFormat="false" ht="15" hidden="false" customHeight="false" outlineLevel="0" collapsed="false">
      <c r="B50" s="1" t="n">
        <v>5</v>
      </c>
      <c r="C50" s="1" t="s">
        <v>74</v>
      </c>
      <c r="D50" s="1"/>
      <c r="E50" s="1"/>
      <c r="F50" s="15" t="s">
        <v>46</v>
      </c>
    </row>
    <row r="52" customFormat="false" ht="15" hidden="false" customHeight="false" outlineLevel="0" collapsed="false">
      <c r="B52" s="13" t="s">
        <v>75</v>
      </c>
      <c r="C52" s="13"/>
      <c r="D52" s="13"/>
      <c r="E52" s="13"/>
      <c r="F52" s="13"/>
    </row>
    <row r="53" customFormat="false" ht="15" hidden="false" customHeight="false" outlineLevel="0" collapsed="false">
      <c r="B53" s="14" t="s">
        <v>40</v>
      </c>
      <c r="C53" s="14" t="s">
        <v>41</v>
      </c>
      <c r="D53" s="14" t="s">
        <v>42</v>
      </c>
      <c r="E53" s="14" t="s">
        <v>43</v>
      </c>
      <c r="F53" s="14" t="s">
        <v>44</v>
      </c>
    </row>
    <row r="54" customFormat="false" ht="15" hidden="false" customHeight="false" outlineLevel="0" collapsed="false">
      <c r="B54" s="1" t="n">
        <v>1</v>
      </c>
      <c r="C54" s="1" t="s">
        <v>76</v>
      </c>
      <c r="D54" s="1"/>
      <c r="E54" s="1"/>
      <c r="F54" s="15" t="s">
        <v>46</v>
      </c>
    </row>
    <row r="55" customFormat="false" ht="15" hidden="false" customHeight="false" outlineLevel="0" collapsed="false">
      <c r="B55" s="1" t="n">
        <v>2</v>
      </c>
      <c r="C55" s="1" t="s">
        <v>77</v>
      </c>
      <c r="D55" s="1"/>
      <c r="E55" s="1"/>
      <c r="F55" s="15" t="s">
        <v>46</v>
      </c>
    </row>
    <row r="56" customFormat="false" ht="15" hidden="false" customHeight="false" outlineLevel="0" collapsed="false">
      <c r="B56" s="1" t="n">
        <v>3</v>
      </c>
      <c r="C56" s="1" t="s">
        <v>78</v>
      </c>
      <c r="D56" s="1"/>
      <c r="E56" s="1"/>
      <c r="F56" s="15" t="s">
        <v>46</v>
      </c>
    </row>
    <row r="57" customFormat="false" ht="15" hidden="false" customHeight="false" outlineLevel="0" collapsed="false">
      <c r="B57" s="1" t="n">
        <v>4</v>
      </c>
      <c r="C57" s="1" t="s">
        <v>79</v>
      </c>
      <c r="D57" s="1"/>
      <c r="E57" s="1"/>
      <c r="F57" s="15" t="s">
        <v>46</v>
      </c>
    </row>
    <row r="58" customFormat="false" ht="15" hidden="false" customHeight="false" outlineLevel="0" collapsed="false">
      <c r="B58" s="1" t="n">
        <v>5</v>
      </c>
      <c r="C58" s="1" t="s">
        <v>80</v>
      </c>
      <c r="D58" s="1"/>
      <c r="E58" s="1"/>
      <c r="F58" s="15" t="s">
        <v>46</v>
      </c>
    </row>
    <row r="60" customFormat="false" ht="15" hidden="false" customHeight="false" outlineLevel="0" collapsed="false">
      <c r="B60" s="13" t="s">
        <v>81</v>
      </c>
      <c r="C60" s="13"/>
      <c r="D60" s="13"/>
      <c r="E60" s="13"/>
      <c r="F60" s="13"/>
    </row>
    <row r="61" customFormat="false" ht="15" hidden="false" customHeight="false" outlineLevel="0" collapsed="false">
      <c r="B61" s="14" t="s">
        <v>82</v>
      </c>
      <c r="C61" s="14" t="s">
        <v>83</v>
      </c>
      <c r="D61" s="14" t="s">
        <v>84</v>
      </c>
      <c r="E61" s="14" t="s">
        <v>85</v>
      </c>
      <c r="F61" s="14" t="s">
        <v>86</v>
      </c>
    </row>
    <row r="62" customFormat="false" ht="15" hidden="false" customHeight="false" outlineLevel="0" collapsed="false">
      <c r="B62" s="1" t="s">
        <v>87</v>
      </c>
      <c r="C62" s="1" t="s">
        <v>88</v>
      </c>
      <c r="D62" s="1" t="s">
        <v>89</v>
      </c>
      <c r="E62" s="1" t="s">
        <v>90</v>
      </c>
      <c r="F62" s="1"/>
    </row>
    <row r="63" customFormat="false" ht="15" hidden="false" customHeight="false" outlineLevel="0" collapsed="false">
      <c r="B63" s="1" t="s">
        <v>91</v>
      </c>
      <c r="C63" s="1" t="s">
        <v>92</v>
      </c>
      <c r="D63" s="1" t="s">
        <v>93</v>
      </c>
      <c r="E63" s="1" t="s">
        <v>90</v>
      </c>
      <c r="F63" s="1"/>
    </row>
    <row r="64" customFormat="false" ht="15" hidden="false" customHeight="false" outlineLevel="0" collapsed="false">
      <c r="B64" s="1" t="s">
        <v>94</v>
      </c>
      <c r="C64" s="1" t="s">
        <v>95</v>
      </c>
      <c r="D64" s="1" t="s">
        <v>96</v>
      </c>
      <c r="E64" s="1" t="s">
        <v>90</v>
      </c>
      <c r="F64" s="1"/>
    </row>
  </sheetData>
  <mergeCells count="15">
    <mergeCell ref="B2:F2"/>
    <mergeCell ref="C4:F4"/>
    <mergeCell ref="C5:F5"/>
    <mergeCell ref="C6:F6"/>
    <mergeCell ref="C7:F7"/>
    <mergeCell ref="C8:F8"/>
    <mergeCell ref="C9:F9"/>
    <mergeCell ref="C10:F10"/>
    <mergeCell ref="B12:F12"/>
    <mergeCell ref="B20:F20"/>
    <mergeCell ref="B28:F28"/>
    <mergeCell ref="B36:F36"/>
    <mergeCell ref="B44:F44"/>
    <mergeCell ref="B52:F52"/>
    <mergeCell ref="B60:F60"/>
  </mergeCells>
  <dataValidations count="6">
    <dataValidation allowBlank="false" errorStyle="stop" operator="between" showDropDown="false" showErrorMessage="false" showInputMessage="false" sqref="F14:F18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22:F26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0:F34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8:F42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46:F50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54:F58" type="list">
      <formula1>"OPEN,IN REVIEW,CLOSED,NOT APPLICABLE"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52"/>
    <col collapsed="false" customWidth="true" hidden="false" outlineLevel="0" max="5" min="5" style="0" width="46"/>
    <col collapsed="false" customWidth="true" hidden="false" outlineLevel="0" max="6" min="6" style="0" width="36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14"/>
  </cols>
  <sheetData>
    <row r="2" customFormat="false" ht="18.55" hidden="false" customHeight="false" outlineLevel="0" collapsed="false">
      <c r="B2" s="10" t="s">
        <v>97</v>
      </c>
      <c r="C2" s="10"/>
      <c r="D2" s="10"/>
      <c r="E2" s="10"/>
      <c r="F2" s="10"/>
      <c r="G2" s="10"/>
      <c r="H2" s="10"/>
      <c r="I2" s="10"/>
    </row>
    <row r="4" customFormat="false" ht="15" hidden="false" customHeight="false" outlineLevel="0" collapsed="false">
      <c r="B4" s="14" t="s">
        <v>98</v>
      </c>
      <c r="C4" s="14" t="s">
        <v>99</v>
      </c>
      <c r="D4" s="14" t="s">
        <v>100</v>
      </c>
      <c r="E4" s="14" t="s">
        <v>101</v>
      </c>
      <c r="F4" s="14" t="s">
        <v>102</v>
      </c>
      <c r="G4" s="14" t="s">
        <v>103</v>
      </c>
      <c r="H4" s="14" t="s">
        <v>44</v>
      </c>
      <c r="I4" s="14" t="s">
        <v>104</v>
      </c>
    </row>
    <row r="5" customFormat="false" ht="15" hidden="false" customHeight="false" outlineLevel="0" collapsed="false">
      <c r="B5" s="1"/>
      <c r="C5" s="1"/>
      <c r="D5" s="1" t="s">
        <v>70</v>
      </c>
      <c r="E5" s="1"/>
      <c r="F5" s="1"/>
      <c r="G5" s="1"/>
      <c r="H5" s="15" t="s">
        <v>46</v>
      </c>
      <c r="I5" s="1"/>
    </row>
    <row r="6" customFormat="false" ht="15" hidden="false" customHeight="false" outlineLevel="0" collapsed="false">
      <c r="B6" s="1"/>
      <c r="C6" s="1"/>
      <c r="D6" s="1" t="s">
        <v>71</v>
      </c>
      <c r="E6" s="1"/>
      <c r="F6" s="1"/>
      <c r="G6" s="1"/>
      <c r="H6" s="15" t="s">
        <v>46</v>
      </c>
      <c r="I6" s="1"/>
    </row>
    <row r="7" customFormat="false" ht="15" hidden="false" customHeight="false" outlineLevel="0" collapsed="false">
      <c r="B7" s="1"/>
      <c r="C7" s="1"/>
      <c r="D7" s="1" t="s">
        <v>72</v>
      </c>
      <c r="E7" s="1"/>
      <c r="F7" s="1"/>
      <c r="G7" s="1"/>
      <c r="H7" s="15" t="s">
        <v>46</v>
      </c>
      <c r="I7" s="1"/>
    </row>
    <row r="8" customFormat="false" ht="15" hidden="false" customHeight="false" outlineLevel="0" collapsed="false">
      <c r="B8" s="1"/>
      <c r="C8" s="1"/>
      <c r="D8" s="1" t="s">
        <v>73</v>
      </c>
      <c r="E8" s="1"/>
      <c r="F8" s="1"/>
      <c r="G8" s="1"/>
      <c r="H8" s="15" t="s">
        <v>46</v>
      </c>
      <c r="I8" s="1"/>
    </row>
    <row r="9" customFormat="false" ht="15" hidden="false" customHeight="false" outlineLevel="0" collapsed="false">
      <c r="B9" s="1"/>
      <c r="C9" s="1"/>
      <c r="D9" s="1" t="s">
        <v>74</v>
      </c>
      <c r="E9" s="1"/>
      <c r="F9" s="1"/>
      <c r="G9" s="1"/>
      <c r="H9" s="15" t="s">
        <v>46</v>
      </c>
      <c r="I9" s="1"/>
    </row>
  </sheetData>
  <mergeCells count="1">
    <mergeCell ref="B2:I2"/>
  </mergeCells>
  <dataValidations count="2">
    <dataValidation allowBlank="false" errorStyle="stop" operator="between" showDropDown="false" showErrorMessage="false" showInputMessage="false" sqref="H5:H54" type="list">
      <formula1>"OPEN,IN REVIEW,REMEDIATED,ACCEPTED RISK,CLOSED"</formula1>
      <formula2>0</formula2>
    </dataValidation>
    <dataValidation allowBlank="false" errorStyle="stop" operator="between" showDropDown="false" showErrorMessage="false" showInputMessage="false" sqref="G5:G54" type="list">
      <formula1>"LOW,MEDIUM,HIGH,CRITICAL"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42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42"/>
    <col collapsed="false" customWidth="true" hidden="false" outlineLevel="0" max="9" min="9" style="0" width="30"/>
    <col collapsed="false" customWidth="true" hidden="false" outlineLevel="0" max="10" min="10" style="0" width="15"/>
  </cols>
  <sheetData>
    <row r="2" customFormat="false" ht="18.55" hidden="false" customHeight="false" outlineLevel="0" collapsed="false">
      <c r="B2" s="10" t="s">
        <v>105</v>
      </c>
      <c r="C2" s="10"/>
      <c r="D2" s="10"/>
      <c r="E2" s="10"/>
      <c r="F2" s="10"/>
      <c r="G2" s="10"/>
      <c r="H2" s="10"/>
      <c r="I2" s="10"/>
      <c r="J2" s="10"/>
    </row>
    <row r="4" customFormat="false" ht="15" hidden="false" customHeight="false" outlineLevel="0" collapsed="false">
      <c r="B4" s="14" t="s">
        <v>106</v>
      </c>
      <c r="C4" s="14" t="s">
        <v>107</v>
      </c>
      <c r="D4" s="14" t="s">
        <v>108</v>
      </c>
      <c r="E4" s="14" t="s">
        <v>109</v>
      </c>
      <c r="F4" s="14" t="s">
        <v>110</v>
      </c>
      <c r="G4" s="14" t="s">
        <v>42</v>
      </c>
      <c r="H4" s="14" t="s">
        <v>111</v>
      </c>
      <c r="I4" s="14" t="s">
        <v>112</v>
      </c>
      <c r="J4" s="14" t="s">
        <v>44</v>
      </c>
    </row>
    <row r="5" customFormat="false" ht="15" hidden="false" customHeight="false" outlineLevel="0" collapsed="false">
      <c r="B5" s="1" t="s">
        <v>113</v>
      </c>
      <c r="C5" s="1" t="s">
        <v>114</v>
      </c>
      <c r="D5" s="1" t="s">
        <v>115</v>
      </c>
      <c r="E5" s="1"/>
      <c r="F5" s="1"/>
      <c r="G5" s="1"/>
      <c r="H5" s="1"/>
      <c r="I5" s="1"/>
      <c r="J5" s="15" t="s">
        <v>116</v>
      </c>
    </row>
    <row r="6" customFormat="false" ht="15" hidden="false" customHeight="false" outlineLevel="0" collapsed="false">
      <c r="B6" s="1" t="s">
        <v>117</v>
      </c>
      <c r="C6" s="1" t="s">
        <v>114</v>
      </c>
      <c r="D6" s="1" t="s">
        <v>118</v>
      </c>
      <c r="E6" s="1"/>
      <c r="F6" s="1"/>
      <c r="G6" s="1"/>
      <c r="H6" s="1"/>
      <c r="I6" s="1"/>
      <c r="J6" s="15" t="s">
        <v>116</v>
      </c>
    </row>
    <row r="7" customFormat="false" ht="15" hidden="false" customHeight="false" outlineLevel="0" collapsed="false">
      <c r="B7" s="1" t="s">
        <v>119</v>
      </c>
      <c r="C7" s="1" t="s">
        <v>120</v>
      </c>
      <c r="D7" s="1" t="s">
        <v>121</v>
      </c>
      <c r="E7" s="1"/>
      <c r="F7" s="1"/>
      <c r="G7" s="1"/>
      <c r="H7" s="1"/>
      <c r="I7" s="1"/>
      <c r="J7" s="15" t="s">
        <v>116</v>
      </c>
    </row>
    <row r="8" customFormat="false" ht="15" hidden="false" customHeight="false" outlineLevel="0" collapsed="false">
      <c r="B8" s="1" t="s">
        <v>122</v>
      </c>
      <c r="C8" s="1" t="s">
        <v>123</v>
      </c>
      <c r="D8" s="1" t="s">
        <v>124</v>
      </c>
      <c r="E8" s="1"/>
      <c r="F8" s="1"/>
      <c r="G8" s="1"/>
      <c r="H8" s="1"/>
      <c r="I8" s="1"/>
      <c r="J8" s="15" t="s">
        <v>116</v>
      </c>
    </row>
  </sheetData>
  <mergeCells count="1">
    <mergeCell ref="B2:J2"/>
  </mergeCells>
  <dataValidations count="1">
    <dataValidation allowBlank="false" errorStyle="stop" operator="between" showDropDown="false" showErrorMessage="false" showInputMessage="false" sqref="J5:J40" type="list">
      <formula1>"TO MAP,ACTIVE,STALE,EXCEPTION,RETIRED"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0"/>
    <col collapsed="false" customWidth="true" hidden="false" outlineLevel="0" max="5" min="3" style="1" width="15"/>
    <col collapsed="false" customWidth="true" hidden="false" outlineLevel="0" max="6" min="6" style="1" width="30"/>
  </cols>
  <sheetData>
    <row r="2" customFormat="false" ht="27.75" hidden="false" customHeight="true" outlineLevel="0" collapsed="false">
      <c r="B2" s="2" t="s">
        <v>125</v>
      </c>
      <c r="C2" s="2"/>
      <c r="D2" s="2"/>
      <c r="E2" s="2"/>
      <c r="F2" s="2"/>
    </row>
    <row r="4" customFormat="false" ht="15" hidden="false" customHeight="true" outlineLevel="0" collapsed="false">
      <c r="B4" s="16" t="s">
        <v>126</v>
      </c>
      <c r="C4" s="16" t="s">
        <v>127</v>
      </c>
      <c r="D4" s="16" t="s">
        <v>12</v>
      </c>
      <c r="E4" s="16" t="s">
        <v>128</v>
      </c>
      <c r="F4" s="16" t="s">
        <v>129</v>
      </c>
    </row>
    <row r="5" customFormat="false" ht="15" hidden="false" customHeight="true" outlineLevel="0" collapsed="false">
      <c r="B5" s="1" t="s">
        <v>130</v>
      </c>
      <c r="C5" s="17" t="n">
        <v>0.99</v>
      </c>
      <c r="D5" s="17" t="n">
        <v>0.995</v>
      </c>
      <c r="E5" s="18" t="n">
        <f aca="false">IF(Cover!$C$9="Downside",D5,C5)</f>
        <v>0.995</v>
      </c>
      <c r="F5" s="1" t="s">
        <v>131</v>
      </c>
    </row>
    <row r="6" customFormat="false" ht="15" hidden="false" customHeight="true" outlineLevel="0" collapsed="false">
      <c r="B6" s="1" t="s">
        <v>132</v>
      </c>
      <c r="C6" s="19" t="n">
        <v>252</v>
      </c>
      <c r="D6" s="19" t="n">
        <v>252</v>
      </c>
      <c r="E6" s="20" t="n">
        <f aca="false">IF(Cover!$C$9="Downside",D6,C6)</f>
        <v>252</v>
      </c>
      <c r="F6" s="1" t="s">
        <v>133</v>
      </c>
    </row>
    <row r="7" customFormat="false" ht="15" hidden="false" customHeight="true" outlineLevel="0" collapsed="false">
      <c r="B7" s="1" t="s">
        <v>134</v>
      </c>
      <c r="C7" s="17" t="n">
        <v>0.22</v>
      </c>
      <c r="D7" s="21" t="n">
        <v>0.8269</v>
      </c>
      <c r="E7" s="18" t="n">
        <f aca="false">IF(Cover!$C$9="Downside",D7,C7)</f>
        <v>0.8269</v>
      </c>
      <c r="F7" s="1" t="s">
        <v>131</v>
      </c>
    </row>
    <row r="8" customFormat="false" ht="15" hidden="false" customHeight="true" outlineLevel="0" collapsed="false">
      <c r="B8" s="1" t="s">
        <v>135</v>
      </c>
      <c r="C8" s="22" t="n">
        <v>0.012</v>
      </c>
      <c r="D8" s="22" t="n">
        <v>0.025</v>
      </c>
      <c r="E8" s="23" t="n">
        <f aca="false">IF(Cover!$C$9="Downside",D8,C8)</f>
        <v>0.025</v>
      </c>
      <c r="F8" s="1" t="s">
        <v>136</v>
      </c>
    </row>
    <row r="9" customFormat="false" ht="15" hidden="false" customHeight="true" outlineLevel="0" collapsed="false">
      <c r="B9" s="1" t="s">
        <v>137</v>
      </c>
      <c r="C9" s="22" t="n">
        <v>0.015</v>
      </c>
      <c r="D9" s="22" t="n">
        <v>0.035</v>
      </c>
      <c r="E9" s="23" t="n">
        <f aca="false">IF(Cover!$C$9="Downside",D9,C9)</f>
        <v>0.035</v>
      </c>
      <c r="F9" s="1" t="s">
        <v>138</v>
      </c>
    </row>
    <row r="10" customFormat="false" ht="15" hidden="false" customHeight="true" outlineLevel="0" collapsed="false">
      <c r="B10" s="1" t="s">
        <v>139</v>
      </c>
      <c r="C10" s="17" t="n">
        <v>0.12</v>
      </c>
      <c r="D10" s="17" t="n">
        <v>0.2</v>
      </c>
      <c r="E10" s="18" t="n">
        <f aca="false">IF(Cover!$C$9="Downside",D10,C10)</f>
        <v>0.2</v>
      </c>
      <c r="F10" s="1" t="s">
        <v>131</v>
      </c>
    </row>
    <row r="11" customFormat="false" ht="15" hidden="false" customHeight="true" outlineLevel="0" collapsed="false">
      <c r="B11" s="1" t="s">
        <v>140</v>
      </c>
      <c r="C11" s="17" t="n">
        <v>0.3</v>
      </c>
      <c r="D11" s="21" t="n">
        <v>0.8269</v>
      </c>
      <c r="E11" s="18" t="n">
        <f aca="false">IF(Cover!$C$9="Downside",D11,C11)</f>
        <v>0.8269</v>
      </c>
      <c r="F11" s="1" t="s">
        <v>131</v>
      </c>
    </row>
    <row r="12" customFormat="false" ht="15" hidden="false" customHeight="true" outlineLevel="0" collapsed="false">
      <c r="B12" s="1" t="s">
        <v>141</v>
      </c>
      <c r="C12" s="24" t="n">
        <v>12</v>
      </c>
      <c r="D12" s="24" t="n">
        <v>10</v>
      </c>
      <c r="E12" s="25" t="n">
        <f aca="false">IF(Cover!$C$9="Downside",D12,C12)</f>
        <v>10</v>
      </c>
      <c r="F12" s="1" t="s">
        <v>142</v>
      </c>
    </row>
    <row r="13" customFormat="false" ht="15" hidden="false" customHeight="true" outlineLevel="0" collapsed="false">
      <c r="B13" s="1" t="s">
        <v>143</v>
      </c>
      <c r="C13" s="24" t="n">
        <v>40</v>
      </c>
      <c r="D13" s="24" t="n">
        <v>30</v>
      </c>
      <c r="E13" s="25" t="n">
        <f aca="false">IF(Cover!$C$9="Downside",D13,C13)</f>
        <v>30</v>
      </c>
      <c r="F13" s="1" t="s">
        <v>142</v>
      </c>
    </row>
    <row r="14" customFormat="false" ht="15" hidden="false" customHeight="true" outlineLevel="0" collapsed="false">
      <c r="B14" s="1" t="s">
        <v>144</v>
      </c>
      <c r="C14" s="17" t="n">
        <v>0.25</v>
      </c>
      <c r="D14" s="17" t="n">
        <v>0.2</v>
      </c>
      <c r="E14" s="18" t="n">
        <f aca="false">IF(Cover!$C$9="Downside",D14,C14)</f>
        <v>0.2</v>
      </c>
      <c r="F14" s="1" t="s">
        <v>131</v>
      </c>
    </row>
    <row r="15" customFormat="false" ht="15" hidden="false" customHeight="true" outlineLevel="0" collapsed="false">
      <c r="B15" s="1" t="s">
        <v>145</v>
      </c>
      <c r="C15" s="17" t="n">
        <v>0.2</v>
      </c>
      <c r="D15" s="17" t="n">
        <v>0.15</v>
      </c>
      <c r="E15" s="18" t="n">
        <f aca="false">IF(Cover!$C$9="Downside",D15,C15)</f>
        <v>0.15</v>
      </c>
      <c r="F15" s="1" t="s">
        <v>131</v>
      </c>
    </row>
    <row r="16" customFormat="false" ht="15" hidden="false" customHeight="true" outlineLevel="0" collapsed="false">
      <c r="B16" s="1" t="s">
        <v>146</v>
      </c>
      <c r="C16" s="26" t="n">
        <v>4</v>
      </c>
      <c r="D16" s="26" t="n">
        <v>3</v>
      </c>
      <c r="E16" s="27" t="n">
        <f aca="false">IF(Cover!$C$9="Downside",D16,C16)</f>
        <v>3</v>
      </c>
      <c r="F16" s="1" t="s">
        <v>147</v>
      </c>
    </row>
    <row r="17" customFormat="false" ht="15" hidden="false" customHeight="true" outlineLevel="0" collapsed="false">
      <c r="B17" s="1" t="s">
        <v>148</v>
      </c>
      <c r="C17" s="22" t="n">
        <v>0.015</v>
      </c>
      <c r="D17" s="22" t="n">
        <v>0.03</v>
      </c>
      <c r="E17" s="23" t="n">
        <f aca="false">IF(Cover!$C$9="Downside",D17,C17)</f>
        <v>0.03</v>
      </c>
      <c r="F17" s="1" t="s">
        <v>149</v>
      </c>
    </row>
    <row r="18" customFormat="false" ht="15" hidden="false" customHeight="true" outlineLevel="0" collapsed="false">
      <c r="B18" s="1" t="s">
        <v>150</v>
      </c>
      <c r="C18" s="24" t="n">
        <v>250</v>
      </c>
      <c r="D18" s="24" t="n">
        <v>250</v>
      </c>
      <c r="E18" s="25" t="n">
        <f aca="false">IF(Cover!$C$9="Downside",D18,C18)</f>
        <v>250</v>
      </c>
      <c r="F18" s="1" t="s">
        <v>142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S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8"/>
    <col collapsed="false" customWidth="true" hidden="false" outlineLevel="0" max="3" min="3" style="1" width="16"/>
    <col collapsed="false" customWidth="true" hidden="false" outlineLevel="0" max="19" min="4" style="1" width="13"/>
  </cols>
  <sheetData>
    <row r="2" customFormat="false" ht="27.75" hidden="false" customHeight="true" outlineLevel="0" collapsed="false">
      <c r="B2" s="2" t="s">
        <v>151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4" customFormat="false" ht="23.25" hidden="false" customHeight="true" outlineLevel="0" collapsed="false">
      <c r="B4" s="16" t="s">
        <v>152</v>
      </c>
      <c r="C4" s="16" t="s">
        <v>153</v>
      </c>
      <c r="D4" s="16" t="s">
        <v>154</v>
      </c>
      <c r="E4" s="16" t="s">
        <v>155</v>
      </c>
      <c r="F4" s="16" t="s">
        <v>156</v>
      </c>
      <c r="G4" s="16" t="s">
        <v>157</v>
      </c>
      <c r="H4" s="16" t="s">
        <v>158</v>
      </c>
      <c r="I4" s="16" t="s">
        <v>159</v>
      </c>
      <c r="J4" s="16" t="s">
        <v>160</v>
      </c>
      <c r="K4" s="16" t="s">
        <v>161</v>
      </c>
      <c r="L4" s="16" t="s">
        <v>162</v>
      </c>
      <c r="M4" s="16" t="s">
        <v>163</v>
      </c>
      <c r="N4" s="16" t="s">
        <v>164</v>
      </c>
      <c r="O4" s="16" t="s">
        <v>165</v>
      </c>
      <c r="P4" s="16" t="s">
        <v>166</v>
      </c>
      <c r="Q4" s="16" t="s">
        <v>167</v>
      </c>
      <c r="R4" s="16" t="s">
        <v>168</v>
      </c>
      <c r="S4" s="16" t="s">
        <v>169</v>
      </c>
    </row>
    <row r="5" customFormat="false" ht="15" hidden="false" customHeight="true" outlineLevel="0" collapsed="false">
      <c r="B5" s="1" t="s">
        <v>170</v>
      </c>
      <c r="C5" s="1" t="s">
        <v>164</v>
      </c>
      <c r="D5" s="24" t="n">
        <v>45</v>
      </c>
      <c r="E5" s="24" t="n">
        <v>120</v>
      </c>
      <c r="F5" s="22" t="n">
        <v>1</v>
      </c>
      <c r="G5" s="22" t="n">
        <v>1</v>
      </c>
      <c r="H5" s="28" t="n">
        <v>0</v>
      </c>
      <c r="I5" s="28" t="n">
        <v>0</v>
      </c>
      <c r="J5" s="24" t="n">
        <v>0</v>
      </c>
      <c r="K5" s="24" t="n">
        <v>0</v>
      </c>
      <c r="L5" s="24" t="n">
        <v>0</v>
      </c>
      <c r="M5" s="28" t="n">
        <v>0.2</v>
      </c>
      <c r="N5" s="22" t="n">
        <v>1</v>
      </c>
      <c r="O5" s="22" t="n">
        <v>0</v>
      </c>
      <c r="P5" s="22" t="n">
        <v>0</v>
      </c>
      <c r="Q5" s="22" t="n">
        <v>0</v>
      </c>
      <c r="R5" s="22" t="n">
        <v>0</v>
      </c>
      <c r="S5" s="25" t="n">
        <f aca="false">SUMPRODUCT(C5:Q5,C5:Q5)^0.5</f>
        <v>128.171915800615</v>
      </c>
    </row>
    <row r="6" customFormat="false" ht="15" hidden="false" customHeight="true" outlineLevel="0" collapsed="false">
      <c r="B6" s="1" t="s">
        <v>171</v>
      </c>
      <c r="C6" s="1" t="s">
        <v>164</v>
      </c>
      <c r="D6" s="24" t="n">
        <v>35</v>
      </c>
      <c r="E6" s="24" t="n">
        <v>35</v>
      </c>
      <c r="F6" s="22" t="n">
        <v>1</v>
      </c>
      <c r="G6" s="22" t="n">
        <v>1.2</v>
      </c>
      <c r="H6" s="28" t="n">
        <v>0</v>
      </c>
      <c r="I6" s="28" t="n">
        <v>0</v>
      </c>
      <c r="J6" s="24" t="n">
        <v>0</v>
      </c>
      <c r="K6" s="24" t="n">
        <v>0</v>
      </c>
      <c r="L6" s="24" t="n">
        <v>0</v>
      </c>
      <c r="M6" s="28" t="n">
        <v>1</v>
      </c>
      <c r="N6" s="22" t="n">
        <v>1.2</v>
      </c>
      <c r="O6" s="22" t="n">
        <v>0</v>
      </c>
      <c r="P6" s="22" t="n">
        <v>0.1</v>
      </c>
      <c r="Q6" s="22" t="n">
        <v>0</v>
      </c>
      <c r="R6" s="22" t="n">
        <v>0.1</v>
      </c>
      <c r="S6" s="25" t="n">
        <f aca="false">SUMPRODUCT(C6:Q6,C6:Q6)^0.5</f>
        <v>49.5468465192286</v>
      </c>
    </row>
    <row r="7" customFormat="false" ht="15" hidden="false" customHeight="true" outlineLevel="0" collapsed="false">
      <c r="B7" s="1" t="s">
        <v>172</v>
      </c>
      <c r="C7" s="1" t="s">
        <v>173</v>
      </c>
      <c r="D7" s="24" t="n">
        <v>8</v>
      </c>
      <c r="E7" s="24" t="n">
        <v>25</v>
      </c>
      <c r="F7" s="22" t="n">
        <v>-0.35</v>
      </c>
      <c r="G7" s="22" t="n">
        <v>-0.4</v>
      </c>
      <c r="H7" s="28" t="n">
        <v>0</v>
      </c>
      <c r="I7" s="28" t="n">
        <v>0</v>
      </c>
      <c r="J7" s="24" t="n">
        <v>0</v>
      </c>
      <c r="K7" s="24" t="n">
        <v>0.18</v>
      </c>
      <c r="L7" s="24" t="n">
        <v>0</v>
      </c>
      <c r="M7" s="28" t="n">
        <v>1.5</v>
      </c>
      <c r="N7" s="22" t="n">
        <v>-0.4</v>
      </c>
      <c r="O7" s="22" t="n">
        <v>0</v>
      </c>
      <c r="P7" s="22" t="n">
        <v>0</v>
      </c>
      <c r="Q7" s="22" t="n">
        <v>0</v>
      </c>
      <c r="R7" s="22" t="n">
        <v>0.8</v>
      </c>
      <c r="S7" s="25" t="n">
        <f aca="false">SUMPRODUCT(C7:Q7,C7:Q7)^0.5</f>
        <v>26.3006634897297</v>
      </c>
    </row>
    <row r="8" customFormat="false" ht="15" hidden="false" customHeight="true" outlineLevel="0" collapsed="false">
      <c r="B8" s="1" t="s">
        <v>174</v>
      </c>
      <c r="C8" s="1" t="s">
        <v>165</v>
      </c>
      <c r="D8" s="24" t="n">
        <v>50</v>
      </c>
      <c r="E8" s="24" t="n">
        <v>50</v>
      </c>
      <c r="F8" s="22" t="n">
        <v>1</v>
      </c>
      <c r="G8" s="22" t="n">
        <v>0</v>
      </c>
      <c r="H8" s="28" t="n">
        <v>8.2</v>
      </c>
      <c r="I8" s="28" t="n">
        <v>0</v>
      </c>
      <c r="J8" s="24" t="n">
        <v>0.041</v>
      </c>
      <c r="K8" s="24" t="n">
        <v>0</v>
      </c>
      <c r="L8" s="24" t="n">
        <v>0</v>
      </c>
      <c r="M8" s="28" t="n">
        <v>0.5</v>
      </c>
      <c r="N8" s="22" t="n">
        <v>0</v>
      </c>
      <c r="O8" s="22" t="n">
        <v>-8.2</v>
      </c>
      <c r="P8" s="22" t="n">
        <v>0</v>
      </c>
      <c r="Q8" s="22" t="n">
        <v>0</v>
      </c>
      <c r="R8" s="22" t="n">
        <v>0</v>
      </c>
      <c r="S8" s="25" t="n">
        <f aca="false">SUMPRODUCT(C8:Q8,C8:Q8)^0.5</f>
        <v>71.6640194309529</v>
      </c>
    </row>
    <row r="9" customFormat="false" ht="15" hidden="false" customHeight="true" outlineLevel="0" collapsed="false">
      <c r="B9" s="1" t="s">
        <v>175</v>
      </c>
      <c r="C9" s="1" t="s">
        <v>166</v>
      </c>
      <c r="D9" s="24" t="n">
        <v>32</v>
      </c>
      <c r="E9" s="24" t="n">
        <v>50</v>
      </c>
      <c r="F9" s="22" t="n">
        <v>1</v>
      </c>
      <c r="G9" s="22" t="n">
        <v>0.35</v>
      </c>
      <c r="H9" s="28" t="n">
        <v>5.5</v>
      </c>
      <c r="I9" s="28" t="n">
        <v>5</v>
      </c>
      <c r="J9" s="24" t="n">
        <v>0.018</v>
      </c>
      <c r="K9" s="24" t="n">
        <v>0</v>
      </c>
      <c r="L9" s="24" t="n">
        <v>0</v>
      </c>
      <c r="M9" s="28" t="n">
        <v>1</v>
      </c>
      <c r="N9" s="22" t="n">
        <v>0.35</v>
      </c>
      <c r="O9" s="22" t="n">
        <v>-2</v>
      </c>
      <c r="P9" s="22" t="n">
        <v>-5</v>
      </c>
      <c r="Q9" s="22" t="n">
        <v>0</v>
      </c>
      <c r="R9" s="22" t="n">
        <v>0</v>
      </c>
      <c r="S9" s="25" t="n">
        <f aca="false">SUMPRODUCT(C9:Q9,C9:Q9)^0.5</f>
        <v>60.0873973808152</v>
      </c>
    </row>
    <row r="10" customFormat="false" ht="15" hidden="false" customHeight="true" outlineLevel="0" collapsed="false">
      <c r="B10" s="1" t="s">
        <v>176</v>
      </c>
      <c r="C10" s="1" t="s">
        <v>166</v>
      </c>
      <c r="D10" s="24" t="n">
        <v>28</v>
      </c>
      <c r="E10" s="24" t="n">
        <v>40</v>
      </c>
      <c r="F10" s="22" t="n">
        <v>1</v>
      </c>
      <c r="G10" s="22" t="n">
        <v>0.55</v>
      </c>
      <c r="H10" s="28" t="n">
        <v>4</v>
      </c>
      <c r="I10" s="28" t="n">
        <v>3.8</v>
      </c>
      <c r="J10" s="24" t="n">
        <v>0.011</v>
      </c>
      <c r="K10" s="24" t="n">
        <v>0</v>
      </c>
      <c r="L10" s="24" t="n">
        <v>0</v>
      </c>
      <c r="M10" s="28" t="n">
        <v>4</v>
      </c>
      <c r="N10" s="22" t="n">
        <v>0.55</v>
      </c>
      <c r="O10" s="22" t="n">
        <v>-1</v>
      </c>
      <c r="P10" s="22" t="n">
        <v>-3.8</v>
      </c>
      <c r="Q10" s="22" t="n">
        <v>0</v>
      </c>
      <c r="R10" s="22" t="n">
        <v>0</v>
      </c>
      <c r="S10" s="25" t="n">
        <f aca="false">SUMPRODUCT(C10:Q10,C10:Q10)^0.5</f>
        <v>49.4720640462878</v>
      </c>
    </row>
    <row r="11" customFormat="false" ht="15" hidden="false" customHeight="true" outlineLevel="0" collapsed="false">
      <c r="B11" s="1" t="s">
        <v>177</v>
      </c>
      <c r="C11" s="1" t="s">
        <v>167</v>
      </c>
      <c r="D11" s="24" t="n">
        <v>5</v>
      </c>
      <c r="E11" s="24" t="n">
        <v>80</v>
      </c>
      <c r="F11" s="22" t="n">
        <v>1</v>
      </c>
      <c r="G11" s="22" t="n">
        <v>0</v>
      </c>
      <c r="H11" s="28" t="n">
        <v>0</v>
      </c>
      <c r="I11" s="28" t="n">
        <v>0</v>
      </c>
      <c r="J11" s="24" t="n">
        <v>0</v>
      </c>
      <c r="K11" s="24" t="n">
        <v>0</v>
      </c>
      <c r="L11" s="24" t="n">
        <v>80</v>
      </c>
      <c r="M11" s="28" t="n">
        <v>0.3</v>
      </c>
      <c r="N11" s="22" t="n">
        <v>0</v>
      </c>
      <c r="O11" s="22" t="n">
        <v>0</v>
      </c>
      <c r="P11" s="22" t="n">
        <v>0</v>
      </c>
      <c r="Q11" s="22" t="n">
        <v>1</v>
      </c>
      <c r="R11" s="22" t="n">
        <v>0</v>
      </c>
      <c r="S11" s="25" t="n">
        <f aca="false">SUMPRODUCT(C11:Q11,C11:Q11)^0.5</f>
        <v>113.256743728575</v>
      </c>
    </row>
    <row r="12" customFormat="false" ht="15" hidden="false" customHeight="true" outlineLevel="0" collapsed="false">
      <c r="B12" s="1" t="s">
        <v>178</v>
      </c>
      <c r="C12" s="1" t="s">
        <v>179</v>
      </c>
      <c r="D12" s="24" t="n">
        <v>20</v>
      </c>
      <c r="E12" s="24" t="n">
        <v>65</v>
      </c>
      <c r="F12" s="22" t="n">
        <v>1</v>
      </c>
      <c r="G12" s="22" t="n">
        <v>0.25</v>
      </c>
      <c r="H12" s="28" t="n">
        <v>0</v>
      </c>
      <c r="I12" s="28" t="n">
        <v>0</v>
      </c>
      <c r="J12" s="24" t="n">
        <v>0</v>
      </c>
      <c r="K12" s="24" t="n">
        <v>0</v>
      </c>
      <c r="L12" s="24" t="n">
        <v>0</v>
      </c>
      <c r="M12" s="28" t="n">
        <v>0.5</v>
      </c>
      <c r="N12" s="22" t="n">
        <v>0.25</v>
      </c>
      <c r="O12" s="22" t="n">
        <v>0</v>
      </c>
      <c r="P12" s="22" t="n">
        <v>0.2</v>
      </c>
      <c r="Q12" s="22" t="n">
        <v>0.1</v>
      </c>
      <c r="R12" s="22" t="n">
        <v>0.1</v>
      </c>
      <c r="S12" s="25" t="n">
        <f aca="false">SUMPRODUCT(C12:Q12,C12:Q12)^0.5</f>
        <v>68.017828545169</v>
      </c>
    </row>
    <row r="13" customFormat="false" ht="15" hidden="false" customHeight="true" outlineLevel="0" collapsed="false">
      <c r="B13" s="1" t="s">
        <v>180</v>
      </c>
      <c r="C13" s="1" t="s">
        <v>168</v>
      </c>
      <c r="D13" s="24" t="n">
        <v>6</v>
      </c>
      <c r="E13" s="24" t="n">
        <v>30</v>
      </c>
      <c r="F13" s="22" t="n">
        <v>0</v>
      </c>
      <c r="G13" s="22" t="n">
        <v>0</v>
      </c>
      <c r="H13" s="28" t="n">
        <v>0</v>
      </c>
      <c r="I13" s="28" t="n">
        <v>0</v>
      </c>
      <c r="J13" s="24" t="n">
        <v>0</v>
      </c>
      <c r="K13" s="24" t="n">
        <v>0.45</v>
      </c>
      <c r="L13" s="24" t="n">
        <v>0</v>
      </c>
      <c r="M13" s="28" t="n">
        <v>2</v>
      </c>
      <c r="N13" s="22" t="n">
        <v>0</v>
      </c>
      <c r="O13" s="22" t="n">
        <v>0</v>
      </c>
      <c r="P13" s="22" t="n">
        <v>0</v>
      </c>
      <c r="Q13" s="22" t="n">
        <v>0</v>
      </c>
      <c r="R13" s="22" t="n">
        <v>1</v>
      </c>
      <c r="S13" s="25" t="n">
        <f aca="false">SUMPRODUCT(C13:Q13,C13:Q13)^0.5</f>
        <v>30.6627216665449</v>
      </c>
    </row>
    <row r="14" customFormat="false" ht="15" hidden="false" customHeight="true" outlineLevel="0" collapsed="false">
      <c r="B14" s="1" t="s">
        <v>181</v>
      </c>
      <c r="C14" s="1" t="s">
        <v>182</v>
      </c>
      <c r="D14" s="24" t="n">
        <v>40</v>
      </c>
      <c r="E14" s="24" t="n">
        <v>40</v>
      </c>
      <c r="F14" s="22" t="n">
        <v>1</v>
      </c>
      <c r="G14" s="22" t="n">
        <v>0.2</v>
      </c>
      <c r="H14" s="28" t="n">
        <v>2</v>
      </c>
      <c r="I14" s="28" t="n">
        <v>2.5</v>
      </c>
      <c r="J14" s="24" t="n">
        <v>0.008</v>
      </c>
      <c r="K14" s="24" t="n">
        <v>0</v>
      </c>
      <c r="L14" s="24" t="n">
        <v>0</v>
      </c>
      <c r="M14" s="28" t="n">
        <v>20</v>
      </c>
      <c r="N14" s="22" t="n">
        <v>0.2</v>
      </c>
      <c r="O14" s="22" t="n">
        <v>-0.5</v>
      </c>
      <c r="P14" s="22" t="n">
        <v>-2.5</v>
      </c>
      <c r="Q14" s="22" t="n">
        <v>0</v>
      </c>
      <c r="R14" s="22" t="n">
        <v>0</v>
      </c>
      <c r="S14" s="25" t="n">
        <f aca="false">SUMPRODUCT(C14:Q14,C14:Q14)^0.5</f>
        <v>60.1484003444813</v>
      </c>
    </row>
    <row r="15" customFormat="false" ht="15" hidden="false" customHeight="true" outlineLevel="0" collapsed="false">
      <c r="B15" s="1" t="s">
        <v>183</v>
      </c>
      <c r="C15" s="1" t="s">
        <v>183</v>
      </c>
      <c r="D15" s="24" t="n">
        <v>25</v>
      </c>
      <c r="E15" s="24" t="n">
        <v>25</v>
      </c>
      <c r="F15" s="22" t="n">
        <v>1</v>
      </c>
      <c r="G15" s="22" t="n">
        <v>0</v>
      </c>
      <c r="H15" s="28" t="n">
        <v>0</v>
      </c>
      <c r="I15" s="28" t="n">
        <v>0</v>
      </c>
      <c r="J15" s="24" t="n">
        <v>0</v>
      </c>
      <c r="K15" s="24" t="n">
        <v>0</v>
      </c>
      <c r="L15" s="24" t="n">
        <v>0</v>
      </c>
      <c r="M15" s="28" t="n">
        <v>0</v>
      </c>
      <c r="N15" s="22" t="n">
        <v>0</v>
      </c>
      <c r="O15" s="22" t="n">
        <v>0</v>
      </c>
      <c r="P15" s="22" t="n">
        <v>0</v>
      </c>
      <c r="Q15" s="22" t="n">
        <v>0</v>
      </c>
      <c r="R15" s="22" t="n">
        <v>0</v>
      </c>
      <c r="S15" s="25" t="n">
        <f aca="false">SUMPRODUCT(C15:Q15,C15:Q15)^0.5</f>
        <v>35.3694783676548</v>
      </c>
    </row>
    <row r="16" customFormat="false" ht="15" hidden="false" customHeight="true" outlineLevel="0" collapsed="false">
      <c r="B16" s="1" t="s">
        <v>184</v>
      </c>
      <c r="C16" s="1" t="s">
        <v>164</v>
      </c>
      <c r="D16" s="24" t="n">
        <v>-18</v>
      </c>
      <c r="E16" s="24" t="n">
        <v>60</v>
      </c>
      <c r="F16" s="22" t="n">
        <v>-1</v>
      </c>
      <c r="G16" s="22" t="n">
        <v>-0.9</v>
      </c>
      <c r="H16" s="28" t="n">
        <v>0</v>
      </c>
      <c r="I16" s="28" t="n">
        <v>0</v>
      </c>
      <c r="J16" s="24" t="n">
        <v>0</v>
      </c>
      <c r="K16" s="24" t="n">
        <v>0</v>
      </c>
      <c r="L16" s="24" t="n">
        <v>0</v>
      </c>
      <c r="M16" s="28" t="n">
        <v>0.5</v>
      </c>
      <c r="N16" s="22" t="n">
        <v>-0.9</v>
      </c>
      <c r="O16" s="22" t="n">
        <v>0</v>
      </c>
      <c r="P16" s="22" t="n">
        <v>-0.1</v>
      </c>
      <c r="Q16" s="22" t="n">
        <v>0</v>
      </c>
      <c r="R16" s="22" t="n">
        <v>0</v>
      </c>
      <c r="S16" s="25" t="n">
        <f aca="false">SUMPRODUCT(C16:Q16,C16:Q16)^0.5</f>
        <v>62.6648226679052</v>
      </c>
    </row>
    <row r="18" customFormat="false" ht="15" hidden="false" customHeight="true" outlineLevel="0" collapsed="false">
      <c r="B18" s="29" t="s">
        <v>185</v>
      </c>
      <c r="C18" s="29"/>
      <c r="D18" s="30" t="n">
        <f aca="false">SUM(D5:D16)</f>
        <v>276</v>
      </c>
      <c r="E18" s="30" t="n">
        <f aca="false">SUM(E5:E16)</f>
        <v>620</v>
      </c>
      <c r="F18" s="29"/>
      <c r="G18" s="29"/>
      <c r="H18" s="29"/>
      <c r="I18" s="29"/>
      <c r="J18" s="30" t="n">
        <f aca="false">SUM(J5:J16)</f>
        <v>0.078</v>
      </c>
      <c r="K18" s="30" t="n">
        <f aca="false">SUM(K5:K16)</f>
        <v>0.63</v>
      </c>
      <c r="L18" s="30" t="n">
        <f aca="false">SUM(L5:L16)</f>
        <v>80</v>
      </c>
      <c r="M18" s="29"/>
      <c r="N18" s="29"/>
      <c r="O18" s="29"/>
      <c r="P18" s="29"/>
      <c r="Q18" s="29"/>
      <c r="R18" s="29"/>
      <c r="S18" s="30" t="n">
        <f aca="false">SUM(S5:S16)</f>
        <v>755.362901987959</v>
      </c>
    </row>
  </sheetData>
  <mergeCells count="1">
    <mergeCell ref="B2:S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0"/>
    <col collapsed="false" customWidth="true" hidden="false" outlineLevel="0" max="3" min="3" style="1" width="18"/>
    <col collapsed="false" customWidth="true" hidden="false" outlineLevel="0" max="4" min="4" style="1" width="16"/>
    <col collapsed="false" customWidth="true" hidden="false" outlineLevel="0" max="9" min="5" style="1" width="12"/>
  </cols>
  <sheetData>
    <row r="2" customFormat="false" ht="27.75" hidden="false" customHeight="true" outlineLevel="0" collapsed="false">
      <c r="B2" s="2" t="s">
        <v>186</v>
      </c>
      <c r="C2" s="2"/>
      <c r="D2" s="2"/>
      <c r="E2" s="2"/>
      <c r="F2" s="2"/>
      <c r="G2" s="2"/>
      <c r="H2" s="2"/>
    </row>
    <row r="4" customFormat="false" ht="15" hidden="false" customHeight="true" outlineLevel="0" collapsed="false">
      <c r="B4" s="16" t="s">
        <v>187</v>
      </c>
      <c r="C4" s="16" t="s">
        <v>188</v>
      </c>
      <c r="D4" s="16" t="s">
        <v>189</v>
      </c>
      <c r="E4" s="16" t="s">
        <v>164</v>
      </c>
      <c r="F4" s="16" t="s">
        <v>165</v>
      </c>
      <c r="G4" s="16" t="s">
        <v>166</v>
      </c>
      <c r="H4" s="16" t="s">
        <v>167</v>
      </c>
      <c r="I4" s="16" t="s">
        <v>168</v>
      </c>
    </row>
    <row r="5" customFormat="false" ht="15" hidden="false" customHeight="true" outlineLevel="0" collapsed="false">
      <c r="B5" s="1" t="s">
        <v>164</v>
      </c>
      <c r="C5" s="25" t="n">
        <f aca="false">SUMPRODUCT(Positions!$D$5:$D$16,Positions!$N$5:$N$16)</f>
        <v>139.6</v>
      </c>
      <c r="D5" s="23" t="n">
        <f aca="false">Assumptions!E7</f>
        <v>0.8269</v>
      </c>
      <c r="E5" s="28" t="n">
        <v>1</v>
      </c>
      <c r="F5" s="28" t="n">
        <v>-0.2</v>
      </c>
      <c r="G5" s="28" t="n">
        <v>0.35</v>
      </c>
      <c r="H5" s="28" t="n">
        <v>0.1</v>
      </c>
      <c r="I5" s="28" t="n">
        <v>0.45</v>
      </c>
    </row>
    <row r="6" customFormat="false" ht="15" hidden="false" customHeight="true" outlineLevel="0" collapsed="false">
      <c r="B6" s="1" t="s">
        <v>165</v>
      </c>
      <c r="C6" s="25" t="n">
        <f aca="false">SUMPRODUCT(Positions!$D$5:$D$16,Positions!$O$5:$O$16)</f>
        <v>-522</v>
      </c>
      <c r="D6" s="23" t="n">
        <f aca="false">Assumptions!E8</f>
        <v>0.025</v>
      </c>
      <c r="E6" s="28" t="n">
        <v>-0.2</v>
      </c>
      <c r="F6" s="28" t="n">
        <v>1</v>
      </c>
      <c r="G6" s="28" t="n">
        <v>-0.25</v>
      </c>
      <c r="H6" s="28" t="n">
        <v>0.05</v>
      </c>
      <c r="I6" s="28" t="n">
        <v>-0.1</v>
      </c>
    </row>
    <row r="7" customFormat="false" ht="15" hidden="false" customHeight="true" outlineLevel="0" collapsed="false">
      <c r="B7" s="1" t="s">
        <v>166</v>
      </c>
      <c r="C7" s="25" t="n">
        <f aca="false">SUMPRODUCT(Positions!$D$5:$D$16,Positions!$P$5:$P$16)</f>
        <v>-357.1</v>
      </c>
      <c r="D7" s="23" t="n">
        <f aca="false">Assumptions!E9</f>
        <v>0.035</v>
      </c>
      <c r="E7" s="28" t="n">
        <v>0.35</v>
      </c>
      <c r="F7" s="28" t="n">
        <v>-0.25</v>
      </c>
      <c r="G7" s="28" t="n">
        <v>1</v>
      </c>
      <c r="H7" s="28" t="n">
        <v>0.1</v>
      </c>
      <c r="I7" s="28" t="n">
        <v>0.3</v>
      </c>
    </row>
    <row r="8" customFormat="false" ht="15" hidden="false" customHeight="true" outlineLevel="0" collapsed="false">
      <c r="B8" s="1" t="s">
        <v>167</v>
      </c>
      <c r="C8" s="25" t="n">
        <f aca="false">SUMPRODUCT(Positions!$D$5:$D$16,Positions!$Q$5:$Q$16)</f>
        <v>7</v>
      </c>
      <c r="D8" s="23" t="n">
        <f aca="false">Assumptions!E10</f>
        <v>0.2</v>
      </c>
      <c r="E8" s="28" t="n">
        <v>0.1</v>
      </c>
      <c r="F8" s="28" t="n">
        <v>0.05</v>
      </c>
      <c r="G8" s="28" t="n">
        <v>0.1</v>
      </c>
      <c r="H8" s="28" t="n">
        <v>1</v>
      </c>
      <c r="I8" s="28" t="n">
        <v>0.1</v>
      </c>
    </row>
    <row r="9" customFormat="false" ht="15" hidden="false" customHeight="true" outlineLevel="0" collapsed="false">
      <c r="B9" s="1" t="s">
        <v>168</v>
      </c>
      <c r="C9" s="25" t="n">
        <f aca="false">SUMPRODUCT(Positions!$D$5:$D$16,Positions!$R$5:$R$16)</f>
        <v>17.9</v>
      </c>
      <c r="D9" s="23" t="n">
        <f aca="false">Assumptions!E11</f>
        <v>0.8269</v>
      </c>
      <c r="E9" s="28" t="n">
        <v>0.45</v>
      </c>
      <c r="F9" s="28" t="n">
        <v>-0.1</v>
      </c>
      <c r="G9" s="28" t="n">
        <v>0.3</v>
      </c>
      <c r="H9" s="28" t="n">
        <v>0.1</v>
      </c>
      <c r="I9" s="28" t="n">
        <v>1</v>
      </c>
    </row>
    <row r="12" customFormat="false" ht="15" hidden="false" customHeight="true" outlineLevel="0" collapsed="false">
      <c r="B12" s="1" t="s">
        <v>190</v>
      </c>
      <c r="C12" s="25" t="n">
        <f aca="false">$C$5*$C$5*$D$5*$D$5*E5+$C$5*$C$6*$D$5*$D$6*F5+$C$5*$C$7*$D$5*$D$7*G5+$C$5*$C$8*$D$5*$D$8*H5+$C$5*$C$9*$D$5*$D$9*I5+$C$6*$C$5*$D$6*$D$5*E6+$C$6*$C$6*$D$6*$D$6*F6+$C$6*$C$7*$D$6*$D$7*G6+$C$6*$C$8*$D$6*$D$8*H6+$C$6*$C$9*$D$6*$D$9*I6+$C$7*$C$5*$D$7*$D$5*E7+$C$7*$C$6*$D$7*$D$6*F7+$C$7*$C$7*$D$7*$D$7*G7+$C$7*$C$8*$D$7*$D$8*H7+$C$7*$C$9*$D$7*$D$9*I7+$C$8*$C$5*$D$8*$D$5*E8+$C$8*$C$6*$D$8*$D$6*F8+$C$8*$C$7*$D$8*$D$7*G8+$C$8*$C$8*$D$8*$D$8*H8+$C$8*$C$9*$D$8*$D$9*I8+$C$9*$C$5*$D$9*$D$5*E9+$C$9*$C$6*$D$9*$D$6*F9+$C$9*$C$7*$D$9*$D$7*G9+$C$9*$C$8*$D$9*$D$8*H9+$C$9*$C$9*$D$9*$D$9*I9</f>
        <v>14880.4643524399</v>
      </c>
    </row>
    <row r="13" customFormat="false" ht="15" hidden="false" customHeight="true" outlineLevel="0" collapsed="false">
      <c r="B13" s="1" t="s">
        <v>191</v>
      </c>
      <c r="C13" s="25" t="n">
        <f aca="false">SQRT(MAX(0,C12))</f>
        <v>121.98550878051</v>
      </c>
    </row>
  </sheetData>
  <mergeCells count="1">
    <mergeCell ref="B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3" min="3" style="1" width="18"/>
    <col collapsed="false" customWidth="true" hidden="false" outlineLevel="0" max="4" min="4" style="1" width="14"/>
    <col collapsed="false" customWidth="true" hidden="false" outlineLevel="0" max="5" min="5" style="1" width="42"/>
  </cols>
  <sheetData>
    <row r="2" customFormat="false" ht="27.75" hidden="false" customHeight="true" outlineLevel="0" collapsed="false">
      <c r="B2" s="2" t="s">
        <v>192</v>
      </c>
      <c r="C2" s="2"/>
      <c r="D2" s="2"/>
      <c r="E2" s="2"/>
    </row>
    <row r="4" customFormat="false" ht="15" hidden="false" customHeight="true" outlineLevel="0" collapsed="false">
      <c r="B4" s="16" t="s">
        <v>193</v>
      </c>
      <c r="C4" s="16" t="s">
        <v>194</v>
      </c>
      <c r="D4" s="16" t="s">
        <v>195</v>
      </c>
      <c r="E4" s="16" t="s">
        <v>196</v>
      </c>
    </row>
    <row r="5" customFormat="false" ht="15" hidden="false" customHeight="true" outlineLevel="0" collapsed="false">
      <c r="B5" s="1" t="s">
        <v>191</v>
      </c>
      <c r="C5" s="25" t="n">
        <f aca="false">Factors!C13</f>
        <v>121.98550878051</v>
      </c>
      <c r="D5" s="1" t="s">
        <v>142</v>
      </c>
      <c r="E5" s="1" t="s">
        <v>197</v>
      </c>
    </row>
    <row r="6" customFormat="false" ht="15" hidden="false" customHeight="true" outlineLevel="0" collapsed="false">
      <c r="B6" s="1" t="s">
        <v>198</v>
      </c>
      <c r="C6" s="25" t="n">
        <f aca="false">C5/SQRT(Assumptions!E6)</f>
        <v>7.68436475683131</v>
      </c>
      <c r="D6" s="1" t="s">
        <v>142</v>
      </c>
      <c r="E6" s="1" t="s">
        <v>199</v>
      </c>
    </row>
    <row r="7" customFormat="false" ht="15" hidden="false" customHeight="true" outlineLevel="0" collapsed="false">
      <c r="B7" s="1" t="s">
        <v>200</v>
      </c>
      <c r="C7" s="31" t="n">
        <f aca="false">-NORMSINV(1-Assumptions!E5)</f>
        <v>2.5758293035489</v>
      </c>
      <c r="D7" s="1" t="s">
        <v>201</v>
      </c>
      <c r="E7" s="1" t="s">
        <v>202</v>
      </c>
    </row>
    <row r="8" customFormat="false" ht="15" hidden="false" customHeight="true" outlineLevel="0" collapsed="false">
      <c r="B8" s="1" t="s">
        <v>203</v>
      </c>
      <c r="C8" s="25" t="n">
        <f aca="false">C6*C7</f>
        <v>19.7936119198045</v>
      </c>
      <c r="D8" s="1" t="s">
        <v>142</v>
      </c>
      <c r="E8" s="1" t="s">
        <v>204</v>
      </c>
    </row>
    <row r="9" customFormat="false" ht="15" hidden="false" customHeight="true" outlineLevel="0" collapsed="false">
      <c r="B9" s="1" t="s">
        <v>205</v>
      </c>
      <c r="C9" s="25" t="n">
        <f aca="false">C6*(EXP(-((C7)^2)/2)/SQRT(2*PI()))/(1-Assumptions!E5)</f>
        <v>22.2227879417763</v>
      </c>
      <c r="D9" s="1" t="s">
        <v>142</v>
      </c>
      <c r="E9" s="1" t="s">
        <v>206</v>
      </c>
    </row>
    <row r="10" customFormat="false" ht="15" hidden="false" customHeight="true" outlineLevel="0" collapsed="false">
      <c r="B10" s="1" t="s">
        <v>207</v>
      </c>
      <c r="C10" s="23" t="n">
        <f aca="false">C8/Assumptions!E18</f>
        <v>0.0791744476792181</v>
      </c>
      <c r="D10" s="1" t="s">
        <v>131</v>
      </c>
      <c r="E10" s="1" t="s">
        <v>208</v>
      </c>
    </row>
    <row r="11" customFormat="false" ht="15" hidden="false" customHeight="true" outlineLevel="0" collapsed="false">
      <c r="B11" s="1" t="s">
        <v>209</v>
      </c>
      <c r="C11" s="23" t="n">
        <f aca="false">1-C5/SUMPRODUCT(ABS(Factors!C5:C9),Factors!D5:D9)</f>
        <v>0.22393794086589</v>
      </c>
      <c r="D11" s="1" t="s">
        <v>131</v>
      </c>
      <c r="E11" s="1" t="s">
        <v>210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8"/>
    <col collapsed="false" customWidth="true" hidden="false" outlineLevel="0" max="6" min="3" style="1" width="16"/>
    <col collapsed="false" customWidth="true" hidden="false" outlineLevel="0" max="7" min="7" style="1" width="18"/>
    <col collapsed="false" customWidth="true" hidden="false" outlineLevel="0" max="8" min="8" style="1" width="16"/>
    <col collapsed="false" customWidth="true" hidden="false" outlineLevel="0" max="9" min="9" style="1" width="20"/>
    <col collapsed="false" customWidth="true" hidden="false" outlineLevel="0" max="10" min="10" style="1" width="18"/>
  </cols>
  <sheetData>
    <row r="2" customFormat="false" ht="27.75" hidden="false" customHeight="true" outlineLevel="0" collapsed="false">
      <c r="B2" s="2" t="s">
        <v>211</v>
      </c>
      <c r="C2" s="2"/>
      <c r="D2" s="2"/>
      <c r="E2" s="2"/>
      <c r="F2" s="2"/>
      <c r="G2" s="2"/>
      <c r="H2" s="2"/>
      <c r="I2" s="2"/>
      <c r="J2" s="2"/>
    </row>
    <row r="4" customFormat="false" ht="15" hidden="false" customHeight="true" outlineLevel="0" collapsed="false">
      <c r="B4" s="16" t="s">
        <v>152</v>
      </c>
      <c r="C4" s="16" t="s">
        <v>155</v>
      </c>
      <c r="D4" s="16" t="s">
        <v>212</v>
      </c>
      <c r="E4" s="16" t="s">
        <v>213</v>
      </c>
      <c r="F4" s="16" t="s">
        <v>214</v>
      </c>
      <c r="G4" s="16" t="s">
        <v>215</v>
      </c>
      <c r="H4" s="16" t="s">
        <v>216</v>
      </c>
      <c r="I4" s="16" t="s">
        <v>217</v>
      </c>
      <c r="J4" s="16" t="s">
        <v>218</v>
      </c>
    </row>
    <row r="5" customFormat="false" ht="15" hidden="false" customHeight="true" outlineLevel="0" collapsed="false">
      <c r="B5" s="1" t="str">
        <f aca="false">Positions!B5</f>
        <v>Equity Index Future</v>
      </c>
      <c r="C5" s="25" t="n">
        <f aca="false">ABS(Positions!E5)</f>
        <v>120</v>
      </c>
      <c r="D5" s="25" t="n">
        <f aca="false">'VaR &amp; ES'!$C$7*SQRT(MAX(0,((Positions!$E$5*Positions!$N$5)*(Positions!$E$5*Positions!$N$5)*Factors!$D$5*Factors!$D$5*Factors!$E$5+(Positions!$E$5*Positions!$N$5)*(Positions!$E$5*Positions!$O$5)*Factors!$D$5*Factors!$D$6*Factors!$F$5+(Positions!$E$5*Positions!$N$5)*(Positions!$E$5*Positions!$P$5)*Factors!$D$5*Factors!$D$7*Factors!$G$5+(Positions!$E$5*Positions!$N$5)*(Positions!$E$5*Positions!$Q$5)*Factors!$D$5*Factors!$D$8*Factors!$H$5+(Positions!$E$5*Positions!$N$5)*(Positions!$E$5*Positions!$R$5)*Factors!$D$5*Factors!$D$9*Factors!$I$5+(Positions!$E$5*Positions!$O$5)*(Positions!$E$5*Positions!$N$5)*Factors!$D$6*Factors!$D$5*Factors!$E$6+(Positions!$E$5*Positions!$O$5)*(Positions!$E$5*Positions!$O$5)*Factors!$D$6*Factors!$D$6*Factors!$F$6+(Positions!$E$5*Positions!$O$5)*(Positions!$E$5*Positions!$P$5)*Factors!$D$6*Factors!$D$7*Factors!$G$6+(Positions!$E$5*Positions!$O$5)*(Positions!$E$5*Positions!$Q$5)*Factors!$D$6*Factors!$D$8*Factors!$H$6+(Positions!$E$5*Positions!$O$5)*(Positions!$E$5*Positions!$R$5)*Factors!$D$6*Factors!$D$9*Factors!$I$6+(Positions!$E$5*Positions!$P$5)*(Positions!$E$5*Positions!$N$5)*Factors!$D$7*Factors!$D$5*Factors!$E$7+(Positions!$E$5*Positions!$P$5)*(Positions!$E$5*Positions!$O$5)*Factors!$D$7*Factors!$D$6*Factors!$F$7+(Positions!$E$5*Positions!$P$5)*(Positions!$E$5*Positions!$P$5)*Factors!$D$7*Factors!$D$7*Factors!$G$7+(Positions!$E$5*Positions!$P$5)*(Positions!$E$5*Positions!$Q$5)*Factors!$D$7*Factors!$D$8*Factors!$H$7+(Positions!$E$5*Positions!$P$5)*(Positions!$E$5*Positions!$R$5)*Factors!$D$7*Factors!$D$9*Factors!$I$7+(Positions!$E$5*Positions!$Q$5)*(Positions!$E$5*Positions!$N$5)*Factors!$D$8*Factors!$D$5*Factors!$E$8+(Positions!$E$5*Positions!$Q$5)*(Positions!$E$5*Positions!$O$5)*Factors!$D$8*Factors!$D$6*Factors!$F$8+(Positions!$E$5*Positions!$Q$5)*(Positions!$E$5*Positions!$P$5)*Factors!$D$8*Factors!$D$7*Factors!$G$8+(Positions!$E$5*Positions!$Q$5)*(Positions!$E$5*Positions!$Q$5)*Factors!$D$8*Factors!$D$8*Factors!$H$8+(Positions!$E$5*Positions!$Q$5)*(Positions!$E$5*Positions!$R$5)*Factors!$D$8*Factors!$D$9*Factors!$I$8+(Positions!$E$5*Positions!$R$5)*(Positions!$E$5*Positions!$N$5)*Factors!$D$9*Factors!$D$5*Factors!$E$9+(Positions!$E$5*Positions!$R$5)*(Positions!$E$5*Positions!$O$5)*Factors!$D$9*Factors!$D$6*Factors!$F$9+(Positions!$E$5*Positions!$R$5)*(Positions!$E$5*Positions!$P$5)*Factors!$D$9*Factors!$D$7*Factors!$G$9+(Positions!$E$5*Positions!$R$5)*(Positions!$E$5*Positions!$Q$5)*Factors!$D$9*Factors!$D$8*Factors!$H$9+(Positions!$E$5*Positions!$R$5)*(Positions!$E$5*Positions!$R$5)*Factors!$D$9*Factors!$D$9*Factors!$I$9)/Assumptions!$E$6))</f>
        <v>16.1009331617607</v>
      </c>
      <c r="E5" s="25" t="n">
        <f aca="false">IFERROR('VaR &amp; ES'!$C$7*((Positions!$E$5*Positions!$N$5)*Factors!$D$5*Factors!$C$5*Factors!$D$5*Factors!$E$5+(Positions!$E$5*Positions!$N$5)*Factors!$D$5*Factors!$C$6*Factors!$D$6*Factors!$F$5+(Positions!$E$5*Positions!$N$5)*Factors!$D$5*Factors!$C$7*Factors!$D$7*Factors!$G$5+(Positions!$E$5*Positions!$N$5)*Factors!$D$5*Factors!$C$8*Factors!$D$8*Factors!$H$5+(Positions!$E$5*Positions!$N$5)*Factors!$D$5*Factors!$C$9*Factors!$D$9*Factors!$I$5+(Positions!$E$5*Positions!$O$5)*Factors!$D$6*Factors!$C$5*Factors!$D$5*Factors!$E$6+(Positions!$E$5*Positions!$O$5)*Factors!$D$6*Factors!$C$6*Factors!$D$6*Factors!$F$6+(Positions!$E$5*Positions!$O$5)*Factors!$D$6*Factors!$C$7*Factors!$D$7*Factors!$G$6+(Positions!$E$5*Positions!$O$5)*Factors!$D$6*Factors!$C$8*Factors!$D$8*Factors!$H$6+(Positions!$E$5*Positions!$O$5)*Factors!$D$6*Factors!$C$9*Factors!$D$9*Factors!$I$6+(Positions!$E$5*Positions!$P$5)*Factors!$D$7*Factors!$C$5*Factors!$D$5*Factors!$E$7+(Positions!$E$5*Positions!$P$5)*Factors!$D$7*Factors!$C$6*Factors!$D$6*Factors!$F$7+(Positions!$E$5*Positions!$P$5)*Factors!$D$7*Factors!$C$7*Factors!$D$7*Factors!$G$7+(Positions!$E$5*Positions!$P$5)*Factors!$D$7*Factors!$C$8*Factors!$D$8*Factors!$H$7+(Positions!$E$5*Positions!$P$5)*Factors!$D$7*Factors!$C$9*Factors!$D$9*Factors!$I$7+(Positions!$E$5*Positions!$Q$5)*Factors!$D$8*Factors!$C$5*Factors!$D$5*Factors!$E$8+(Positions!$E$5*Positions!$Q$5)*Factors!$D$8*Factors!$C$6*Factors!$D$6*Factors!$F$8+(Positions!$E$5*Positions!$Q$5)*Factors!$D$8*Factors!$C$7*Factors!$D$7*Factors!$G$8+(Positions!$E$5*Positions!$Q$5)*Factors!$D$8*Factors!$C$8*Factors!$D$8*Factors!$H$8+(Positions!$E$5*Positions!$Q$5)*Factors!$D$8*Factors!$C$9*Factors!$D$9*Factors!$I$8+(Positions!$E$5*Positions!$R$5)*Factors!$D$9*Factors!$C$5*Factors!$D$5*Factors!$E$9+(Positions!$E$5*Positions!$R$5)*Factors!$D$9*Factors!$C$6*Factors!$D$6*Factors!$F$9+(Positions!$E$5*Positions!$R$5)*Factors!$D$9*Factors!$C$7*Factors!$D$7*Factors!$G$9+(Positions!$E$5*Positions!$R$5)*Factors!$D$9*Factors!$C$8*Factors!$D$8*Factors!$H$9+(Positions!$E$5*Positions!$R$5)*Factors!$D$9*Factors!$C$9*Factors!$D$9*Factors!$I$9)/(Factors!$C$13*SQRT(Assumptions!$E$6)),0)</f>
        <v>15.9010909999596</v>
      </c>
      <c r="F5" s="23" t="n">
        <f aca="false">IFERROR(E5/'VaR &amp; ES'!$C$8,0)</f>
        <v>0.803344587353953</v>
      </c>
      <c r="G5" s="25" t="n">
        <f aca="false">-MIN((Positions!$E$5*Positions!$N$5*Stress!$C$5+Positions!$E$5*Positions!$O$5*Stress!$D$5+Positions!$E$5*Positions!$P$5*Stress!$E$5+Positions!$E$5*Positions!$Q$5*Stress!$F$5+Positions!$E$5*Positions!$R$5*Stress!$G$5),(Positions!$E$5*Positions!$N$5*Stress!$C$6+Positions!$E$5*Positions!$O$5*Stress!$D$6+Positions!$E$5*Positions!$P$5*Stress!$E$6+Positions!$E$5*Positions!$Q$5*Stress!$F$6+Positions!$E$5*Positions!$R$5*Stress!$G$6),(Positions!$E$5*Positions!$N$5*Stress!$C$7+Positions!$E$5*Positions!$O$5*Stress!$D$7+Positions!$E$5*Positions!$P$5*Stress!$E$7+Positions!$E$5*Positions!$Q$5*Stress!$F$7+Positions!$E$5*Positions!$R$5*Stress!$G$7),(Positions!$E$5*Positions!$N$5*Stress!$C$8+Positions!$E$5*Positions!$O$5*Stress!$D$8+Positions!$E$5*Positions!$P$5*Stress!$E$8+Positions!$E$5*Positions!$Q$5*Stress!$F$8+Positions!$E$5*Positions!$R$5*Stress!$G$8),(Positions!$E$5*Positions!$N$5*Stress!$C$9+Positions!$E$5*Positions!$O$5*Stress!$D$9+Positions!$E$5*Positions!$P$5*Stress!$E$9+Positions!$E$5*Positions!$Q$5*Stress!$F$9+Positions!$E$5*Positions!$R$5*Stress!$G$9),(Positions!$E$5*Positions!$N$5*Stress!$C$10+Positions!$E$5*Positions!$O$5*Stress!$D$10+Positions!$E$5*Positions!$P$5*Stress!$E$10+Positions!$E$5*Positions!$Q$5*Stress!$F$10+Positions!$E$5*Positions!$R$5*Stress!$G$10))</f>
        <v>30</v>
      </c>
      <c r="H5" s="25" t="n">
        <f aca="false">Liquidity!G5</f>
        <v>1.19719351819161</v>
      </c>
      <c r="I5" s="25" t="n">
        <f aca="false">ABS(E5)+G5+H5</f>
        <v>47.0982845181512</v>
      </c>
      <c r="J5" s="23" t="n">
        <f aca="false">IFERROR(I5/SUM($I$5:$I$16),0)</f>
        <v>0.351330787451578</v>
      </c>
    </row>
    <row r="6" customFormat="false" ht="15" hidden="false" customHeight="true" outlineLevel="0" collapsed="false">
      <c r="B6" s="1" t="str">
        <f aca="false">Positions!B6</f>
        <v>Single Name A</v>
      </c>
      <c r="C6" s="25" t="n">
        <f aca="false">ABS(Positions!E6)</f>
        <v>35</v>
      </c>
      <c r="D6" s="25" t="n">
        <f aca="false">'VaR &amp; ES'!$C$7*SQRT(MAX(0,((Positions!$E$6*Positions!$N$6)*(Positions!$E$6*Positions!$N$6)*Factors!$D$5*Factors!$D$5*Factors!$E$5+(Positions!$E$6*Positions!$N$6)*(Positions!$E$6*Positions!$O$6)*Factors!$D$5*Factors!$D$6*Factors!$F$5+(Positions!$E$6*Positions!$N$6)*(Positions!$E$6*Positions!$P$6)*Factors!$D$5*Factors!$D$7*Factors!$G$5+(Positions!$E$6*Positions!$N$6)*(Positions!$E$6*Positions!$Q$6)*Factors!$D$5*Factors!$D$8*Factors!$H$5+(Positions!$E$6*Positions!$N$6)*(Positions!$E$6*Positions!$R$6)*Factors!$D$5*Factors!$D$9*Factors!$I$5+(Positions!$E$6*Positions!$O$6)*(Positions!$E$6*Positions!$N$6)*Factors!$D$6*Factors!$D$5*Factors!$E$6+(Positions!$E$6*Positions!$O$6)*(Positions!$E$6*Positions!$O$6)*Factors!$D$6*Factors!$D$6*Factors!$F$6+(Positions!$E$6*Positions!$O$6)*(Positions!$E$6*Positions!$P$6)*Factors!$D$6*Factors!$D$7*Factors!$G$6+(Positions!$E$6*Positions!$O$6)*(Positions!$E$6*Positions!$Q$6)*Factors!$D$6*Factors!$D$8*Factors!$H$6+(Positions!$E$6*Positions!$O$6)*(Positions!$E$6*Positions!$R$6)*Factors!$D$6*Factors!$D$9*Factors!$I$6+(Positions!$E$6*Positions!$P$6)*(Positions!$E$6*Positions!$N$6)*Factors!$D$7*Factors!$D$5*Factors!$E$7+(Positions!$E$6*Positions!$P$6)*(Positions!$E$6*Positions!$O$6)*Factors!$D$7*Factors!$D$6*Factors!$F$7+(Positions!$E$6*Positions!$P$6)*(Positions!$E$6*Positions!$P$6)*Factors!$D$7*Factors!$D$7*Factors!$G$7+(Positions!$E$6*Positions!$P$6)*(Positions!$E$6*Positions!$Q$6)*Factors!$D$7*Factors!$D$8*Factors!$H$7+(Positions!$E$6*Positions!$P$6)*(Positions!$E$6*Positions!$R$6)*Factors!$D$7*Factors!$D$9*Factors!$I$7+(Positions!$E$6*Positions!$Q$6)*(Positions!$E$6*Positions!$N$6)*Factors!$D$8*Factors!$D$5*Factors!$E$8+(Positions!$E$6*Positions!$Q$6)*(Positions!$E$6*Positions!$O$6)*Factors!$D$8*Factors!$D$6*Factors!$F$8+(Positions!$E$6*Positions!$Q$6)*(Positions!$E$6*Positions!$P$6)*Factors!$D$8*Factors!$D$7*Factors!$G$8+(Positions!$E$6*Positions!$Q$6)*(Positions!$E$6*Positions!$Q$6)*Factors!$D$8*Factors!$D$8*Factors!$H$8+(Positions!$E$6*Positions!$Q$6)*(Positions!$E$6*Positions!$R$6)*Factors!$D$8*Factors!$D$9*Factors!$I$8+(Positions!$E$6*Positions!$R$6)*(Positions!$E$6*Positions!$N$6)*Factors!$D$9*Factors!$D$5*Factors!$E$9+(Positions!$E$6*Positions!$R$6)*(Positions!$E$6*Positions!$O$6)*Factors!$D$9*Factors!$D$6*Factors!$F$9+(Positions!$E$6*Positions!$R$6)*(Positions!$E$6*Positions!$P$6)*Factors!$D$9*Factors!$D$7*Factors!$G$9+(Positions!$E$6*Positions!$R$6)*(Positions!$E$6*Positions!$Q$6)*Factors!$D$9*Factors!$D$8*Factors!$H$9+(Positions!$E$6*Positions!$R$6)*(Positions!$E$6*Positions!$R$6)*Factors!$D$9*Factors!$D$9*Factors!$I$9)/Assumptions!$E$6))</f>
        <v>5.86886816322252</v>
      </c>
      <c r="E6" s="25" t="n">
        <f aca="false">IFERROR('VaR &amp; ES'!$C$7*((Positions!$E$6*Positions!$N$6)*Factors!$D$5*Factors!$C$5*Factors!$D$5*Factors!$E$5+(Positions!$E$6*Positions!$N$6)*Factors!$D$5*Factors!$C$6*Factors!$D$6*Factors!$F$5+(Positions!$E$6*Positions!$N$6)*Factors!$D$5*Factors!$C$7*Factors!$D$7*Factors!$G$5+(Positions!$E$6*Positions!$N$6)*Factors!$D$5*Factors!$C$8*Factors!$D$8*Factors!$H$5+(Positions!$E$6*Positions!$N$6)*Factors!$D$5*Factors!$C$9*Factors!$D$9*Factors!$I$5+(Positions!$E$6*Positions!$O$6)*Factors!$D$6*Factors!$C$5*Factors!$D$5*Factors!$E$6+(Positions!$E$6*Positions!$O$6)*Factors!$D$6*Factors!$C$6*Factors!$D$6*Factors!$F$6+(Positions!$E$6*Positions!$O$6)*Factors!$D$6*Factors!$C$7*Factors!$D$7*Factors!$G$6+(Positions!$E$6*Positions!$O$6)*Factors!$D$6*Factors!$C$8*Factors!$D$8*Factors!$H$6+(Positions!$E$6*Positions!$O$6)*Factors!$D$6*Factors!$C$9*Factors!$D$9*Factors!$I$6+(Positions!$E$6*Positions!$P$6)*Factors!$D$7*Factors!$C$5*Factors!$D$5*Factors!$E$7+(Positions!$E$6*Positions!$P$6)*Factors!$D$7*Factors!$C$6*Factors!$D$6*Factors!$F$7+(Positions!$E$6*Positions!$P$6)*Factors!$D$7*Factors!$C$7*Factors!$D$7*Factors!$G$7+(Positions!$E$6*Positions!$P$6)*Factors!$D$7*Factors!$C$8*Factors!$D$8*Factors!$H$7+(Positions!$E$6*Positions!$P$6)*Factors!$D$7*Factors!$C$9*Factors!$D$9*Factors!$I$7+(Positions!$E$6*Positions!$Q$6)*Factors!$D$8*Factors!$C$5*Factors!$D$5*Factors!$E$8+(Positions!$E$6*Positions!$Q$6)*Factors!$D$8*Factors!$C$6*Factors!$D$6*Factors!$F$8+(Positions!$E$6*Positions!$Q$6)*Factors!$D$8*Factors!$C$7*Factors!$D$7*Factors!$G$8+(Positions!$E$6*Positions!$Q$6)*Factors!$D$8*Factors!$C$8*Factors!$D$8*Factors!$H$8+(Positions!$E$6*Positions!$Q$6)*Factors!$D$8*Factors!$C$9*Factors!$D$9*Factors!$I$8+(Positions!$E$6*Positions!$R$6)*Factors!$D$9*Factors!$C$5*Factors!$D$5*Factors!$E$9+(Positions!$E$6*Positions!$R$6)*Factors!$D$9*Factors!$C$6*Factors!$D$6*Factors!$F$9+(Positions!$E$6*Positions!$R$6)*Factors!$D$9*Factors!$C$7*Factors!$D$7*Factors!$G$9+(Positions!$E$6*Positions!$R$6)*Factors!$D$9*Factors!$C$8*Factors!$D$8*Factors!$H$9+(Positions!$E$6*Positions!$R$6)*Factors!$D$9*Factors!$C$9*Factors!$D$9*Factors!$I$9)/(Factors!$C$13*SQRT(Assumptions!$E$6)),0)</f>
        <v>5.81929372694163</v>
      </c>
      <c r="F6" s="23" t="n">
        <f aca="false">IFERROR(E6/'VaR &amp; ES'!$C$8,0)</f>
        <v>0.293998576435619</v>
      </c>
      <c r="G6" s="25" t="n">
        <f aca="false">-MIN((Positions!$E$6*Positions!$N$6*Stress!$C$5+Positions!$E$6*Positions!$O$6*Stress!$D$5+Positions!$E$6*Positions!$P$6*Stress!$E$5+Positions!$E$6*Positions!$Q$6*Stress!$F$5+Positions!$E$6*Positions!$R$6*Stress!$G$5),(Positions!$E$6*Positions!$N$6*Stress!$C$6+Positions!$E$6*Positions!$O$6*Stress!$D$6+Positions!$E$6*Positions!$P$6*Stress!$E$6+Positions!$E$6*Positions!$Q$6*Stress!$F$6+Positions!$E$6*Positions!$R$6*Stress!$G$6),(Positions!$E$6*Positions!$N$6*Stress!$C$7+Positions!$E$6*Positions!$O$6*Stress!$D$7+Positions!$E$6*Positions!$P$6*Stress!$E$7+Positions!$E$6*Positions!$Q$6*Stress!$F$7+Positions!$E$6*Positions!$R$6*Stress!$G$7),(Positions!$E$6*Positions!$N$6*Stress!$C$8+Positions!$E$6*Positions!$O$6*Stress!$D$8+Positions!$E$6*Positions!$P$6*Stress!$E$8+Positions!$E$6*Positions!$Q$6*Stress!$F$8+Positions!$E$6*Positions!$R$6*Stress!$G$8),(Positions!$E$6*Positions!$N$6*Stress!$C$9+Positions!$E$6*Positions!$O$6*Stress!$D$9+Positions!$E$6*Positions!$P$6*Stress!$E$9+Positions!$E$6*Positions!$Q$6*Stress!$F$9+Positions!$E$6*Positions!$R$6*Stress!$G$9),(Positions!$E$6*Positions!$N$6*Stress!$C$10+Positions!$E$6*Positions!$O$6*Stress!$D$10+Positions!$E$6*Positions!$P$6*Stress!$E$10+Positions!$E$6*Positions!$Q$6*Stress!$F$10+Positions!$E$6*Positions!$R$6*Stress!$G$10))</f>
        <v>9.835</v>
      </c>
      <c r="H6" s="25" t="n">
        <f aca="false">Liquidity!G6</f>
        <v>0.055002363585577</v>
      </c>
      <c r="I6" s="25" t="n">
        <f aca="false">ABS(E6)+G6+H6</f>
        <v>15.7092960905272</v>
      </c>
      <c r="J6" s="23" t="n">
        <f aca="false">IFERROR(I6/SUM($I$5:$I$16),0)</f>
        <v>0.117183872454376</v>
      </c>
    </row>
    <row r="7" customFormat="false" ht="15" hidden="false" customHeight="true" outlineLevel="0" collapsed="false">
      <c r="B7" s="1" t="str">
        <f aca="false">Positions!B7</f>
        <v>Single Name Put</v>
      </c>
      <c r="C7" s="25" t="n">
        <f aca="false">ABS(Positions!E7)</f>
        <v>25</v>
      </c>
      <c r="D7" s="25" t="n">
        <f aca="false">'VaR &amp; ES'!$C$7*SQRT(MAX(0,((Positions!$E$7*Positions!$N$7)*(Positions!$E$7*Positions!$N$7)*Factors!$D$5*Factors!$D$5*Factors!$E$5+(Positions!$E$7*Positions!$N$7)*(Positions!$E$7*Positions!$O$7)*Factors!$D$5*Factors!$D$6*Factors!$F$5+(Positions!$E$7*Positions!$N$7)*(Positions!$E$7*Positions!$P$7)*Factors!$D$5*Factors!$D$7*Factors!$G$5+(Positions!$E$7*Positions!$N$7)*(Positions!$E$7*Positions!$Q$7)*Factors!$D$5*Factors!$D$8*Factors!$H$5+(Positions!$E$7*Positions!$N$7)*(Positions!$E$7*Positions!$R$7)*Factors!$D$5*Factors!$D$9*Factors!$I$5+(Positions!$E$7*Positions!$O$7)*(Positions!$E$7*Positions!$N$7)*Factors!$D$6*Factors!$D$5*Factors!$E$6+(Positions!$E$7*Positions!$O$7)*(Positions!$E$7*Positions!$O$7)*Factors!$D$6*Factors!$D$6*Factors!$F$6+(Positions!$E$7*Positions!$O$7)*(Positions!$E$7*Positions!$P$7)*Factors!$D$6*Factors!$D$7*Factors!$G$6+(Positions!$E$7*Positions!$O$7)*(Positions!$E$7*Positions!$Q$7)*Factors!$D$6*Factors!$D$8*Factors!$H$6+(Positions!$E$7*Positions!$O$7)*(Positions!$E$7*Positions!$R$7)*Factors!$D$6*Factors!$D$9*Factors!$I$6+(Positions!$E$7*Positions!$P$7)*(Positions!$E$7*Positions!$N$7)*Factors!$D$7*Factors!$D$5*Factors!$E$7+(Positions!$E$7*Positions!$P$7)*(Positions!$E$7*Positions!$O$7)*Factors!$D$7*Factors!$D$6*Factors!$F$7+(Positions!$E$7*Positions!$P$7)*(Positions!$E$7*Positions!$P$7)*Factors!$D$7*Factors!$D$7*Factors!$G$7+(Positions!$E$7*Positions!$P$7)*(Positions!$E$7*Positions!$Q$7)*Factors!$D$7*Factors!$D$8*Factors!$H$7+(Positions!$E$7*Positions!$P$7)*(Positions!$E$7*Positions!$R$7)*Factors!$D$7*Factors!$D$9*Factors!$I$7+(Positions!$E$7*Positions!$Q$7)*(Positions!$E$7*Positions!$N$7)*Factors!$D$8*Factors!$D$5*Factors!$E$8+(Positions!$E$7*Positions!$Q$7)*(Positions!$E$7*Positions!$O$7)*Factors!$D$8*Factors!$D$6*Factors!$F$8+(Positions!$E$7*Positions!$Q$7)*(Positions!$E$7*Positions!$P$7)*Factors!$D$8*Factors!$D$7*Factors!$G$8+(Positions!$E$7*Positions!$Q$7)*(Positions!$E$7*Positions!$Q$7)*Factors!$D$8*Factors!$D$8*Factors!$H$8+(Positions!$E$7*Positions!$Q$7)*(Positions!$E$7*Positions!$R$7)*Factors!$D$8*Factors!$D$9*Factors!$I$8+(Positions!$E$7*Positions!$R$7)*(Positions!$E$7*Positions!$N$7)*Factors!$D$9*Factors!$D$5*Factors!$E$9+(Positions!$E$7*Positions!$R$7)*(Positions!$E$7*Positions!$O$7)*Factors!$D$9*Factors!$D$6*Factors!$F$9+(Positions!$E$7*Positions!$R$7)*(Positions!$E$7*Positions!$P$7)*Factors!$D$9*Factors!$D$7*Factors!$G$9+(Positions!$E$7*Positions!$R$7)*(Positions!$E$7*Positions!$Q$7)*Factors!$D$9*Factors!$D$8*Factors!$H$9+(Positions!$E$7*Positions!$R$7)*(Positions!$E$7*Positions!$R$7)*Factors!$D$9*Factors!$D$9*Factors!$I$9)/Assumptions!$E$6))</f>
        <v>2.40018540339184</v>
      </c>
      <c r="E7" s="25" t="n">
        <f aca="false">IFERROR('VaR &amp; ES'!$C$7*((Positions!$E$7*Positions!$N$7)*Factors!$D$5*Factors!$C$5*Factors!$D$5*Factors!$E$5+(Positions!$E$7*Positions!$N$7)*Factors!$D$5*Factors!$C$6*Factors!$D$6*Factors!$F$5+(Positions!$E$7*Positions!$N$7)*Factors!$D$5*Factors!$C$7*Factors!$D$7*Factors!$G$5+(Positions!$E$7*Positions!$N$7)*Factors!$D$5*Factors!$C$8*Factors!$D$8*Factors!$H$5+(Positions!$E$7*Positions!$N$7)*Factors!$D$5*Factors!$C$9*Factors!$D$9*Factors!$I$5+(Positions!$E$7*Positions!$O$7)*Factors!$D$6*Factors!$C$5*Factors!$D$5*Factors!$E$6+(Positions!$E$7*Positions!$O$7)*Factors!$D$6*Factors!$C$6*Factors!$D$6*Factors!$F$6+(Positions!$E$7*Positions!$O$7)*Factors!$D$6*Factors!$C$7*Factors!$D$7*Factors!$G$6+(Positions!$E$7*Positions!$O$7)*Factors!$D$6*Factors!$C$8*Factors!$D$8*Factors!$H$6+(Positions!$E$7*Positions!$O$7)*Factors!$D$6*Factors!$C$9*Factors!$D$9*Factors!$I$6+(Positions!$E$7*Positions!$P$7)*Factors!$D$7*Factors!$C$5*Factors!$D$5*Factors!$E$7+(Positions!$E$7*Positions!$P$7)*Factors!$D$7*Factors!$C$6*Factors!$D$6*Factors!$F$7+(Positions!$E$7*Positions!$P$7)*Factors!$D$7*Factors!$C$7*Factors!$D$7*Factors!$G$7+(Positions!$E$7*Positions!$P$7)*Factors!$D$7*Factors!$C$8*Factors!$D$8*Factors!$H$7+(Positions!$E$7*Positions!$P$7)*Factors!$D$7*Factors!$C$9*Factors!$D$9*Factors!$I$7+(Positions!$E$7*Positions!$Q$7)*Factors!$D$8*Factors!$C$5*Factors!$D$5*Factors!$E$8+(Positions!$E$7*Positions!$Q$7)*Factors!$D$8*Factors!$C$6*Factors!$D$6*Factors!$F$8+(Positions!$E$7*Positions!$Q$7)*Factors!$D$8*Factors!$C$7*Factors!$D$7*Factors!$G$8+(Positions!$E$7*Positions!$Q$7)*Factors!$D$8*Factors!$C$8*Factors!$D$8*Factors!$H$8+(Positions!$E$7*Positions!$Q$7)*Factors!$D$8*Factors!$C$9*Factors!$D$9*Factors!$I$8+(Positions!$E$7*Positions!$R$7)*Factors!$D$9*Factors!$C$5*Factors!$D$5*Factors!$E$9+(Positions!$E$7*Positions!$R$7)*Factors!$D$9*Factors!$C$6*Factors!$D$6*Factors!$F$9+(Positions!$E$7*Positions!$R$7)*Factors!$D$9*Factors!$C$7*Factors!$D$7*Factors!$G$9+(Positions!$E$7*Positions!$R$7)*Factors!$D$9*Factors!$C$8*Factors!$D$8*Factors!$H$9+(Positions!$E$7*Positions!$R$7)*Factors!$D$9*Factors!$C$9*Factors!$D$9*Factors!$I$9)/(Factors!$C$13*SQRT(Assumptions!$E$6)),0)</f>
        <v>0.0925494732298622</v>
      </c>
      <c r="F7" s="23" t="n">
        <f aca="false">IFERROR(E7/'VaR &amp; ES'!$C$8,0)</f>
        <v>0.00467572435010013</v>
      </c>
      <c r="G7" s="25" t="n">
        <f aca="false">-MIN((Positions!$E$7*Positions!$N$7*Stress!$C$5+Positions!$E$7*Positions!$O$7*Stress!$D$5+Positions!$E$7*Positions!$P$7*Stress!$E$5+Positions!$E$7*Positions!$Q$7*Stress!$F$5+Positions!$E$7*Positions!$R$7*Stress!$G$5),(Positions!$E$7*Positions!$N$7*Stress!$C$6+Positions!$E$7*Positions!$O$7*Stress!$D$6+Positions!$E$7*Positions!$P$7*Stress!$E$6+Positions!$E$7*Positions!$Q$7*Stress!$F$6+Positions!$E$7*Positions!$R$7*Stress!$G$6),(Positions!$E$7*Positions!$N$7*Stress!$C$7+Positions!$E$7*Positions!$O$7*Stress!$D$7+Positions!$E$7*Positions!$P$7*Stress!$E$7+Positions!$E$7*Positions!$Q$7*Stress!$F$7+Positions!$E$7*Positions!$R$7*Stress!$G$7),(Positions!$E$7*Positions!$N$7*Stress!$C$8+Positions!$E$7*Positions!$O$7*Stress!$D$8+Positions!$E$7*Positions!$P$7*Stress!$E$8+Positions!$E$7*Positions!$Q$7*Stress!$F$8+Positions!$E$7*Positions!$R$7*Stress!$G$8),(Positions!$E$7*Positions!$N$7*Stress!$C$9+Positions!$E$7*Positions!$O$7*Stress!$D$9+Positions!$E$7*Positions!$P$7*Stress!$E$9+Positions!$E$7*Positions!$Q$7*Stress!$F$9+Positions!$E$7*Positions!$R$7*Stress!$G$9),(Positions!$E$7*Positions!$N$7*Stress!$C$10+Positions!$E$7*Positions!$O$7*Stress!$D$10+Positions!$E$7*Positions!$P$7*Stress!$E$10+Positions!$E$7*Positions!$Q$7*Stress!$F$10+Positions!$E$7*Positions!$R$7*Stress!$G$10))</f>
        <v>6.5</v>
      </c>
      <c r="H7" s="25" t="n">
        <f aca="false">Liquidity!G7</f>
        <v>0.0129099444873581</v>
      </c>
      <c r="I7" s="25" t="n">
        <f aca="false">ABS(E7)+G7+H7</f>
        <v>6.60545941771722</v>
      </c>
      <c r="J7" s="23" t="n">
        <f aca="false">IFERROR(I7/SUM($I$5:$I$16),0)</f>
        <v>0.0492735835805582</v>
      </c>
    </row>
    <row r="8" customFormat="false" ht="15" hidden="false" customHeight="true" outlineLevel="0" collapsed="false">
      <c r="B8" s="1" t="str">
        <f aca="false">Positions!B8</f>
        <v>10Y Treasury</v>
      </c>
      <c r="C8" s="25" t="n">
        <f aca="false">ABS(Positions!E8)</f>
        <v>50</v>
      </c>
      <c r="D8" s="25" t="n">
        <f aca="false">'VaR &amp; ES'!$C$7*SQRT(MAX(0,((Positions!$E$8*Positions!$N$8)*(Positions!$E$8*Positions!$N$8)*Factors!$D$5*Factors!$D$5*Factors!$E$5+(Positions!$E$8*Positions!$N$8)*(Positions!$E$8*Positions!$O$8)*Factors!$D$5*Factors!$D$6*Factors!$F$5+(Positions!$E$8*Positions!$N$8)*(Positions!$E$8*Positions!$P$8)*Factors!$D$5*Factors!$D$7*Factors!$G$5+(Positions!$E$8*Positions!$N$8)*(Positions!$E$8*Positions!$Q$8)*Factors!$D$5*Factors!$D$8*Factors!$H$5+(Positions!$E$8*Positions!$N$8)*(Positions!$E$8*Positions!$R$8)*Factors!$D$5*Factors!$D$9*Factors!$I$5+(Positions!$E$8*Positions!$O$8)*(Positions!$E$8*Positions!$N$8)*Factors!$D$6*Factors!$D$5*Factors!$E$6+(Positions!$E$8*Positions!$O$8)*(Positions!$E$8*Positions!$O$8)*Factors!$D$6*Factors!$D$6*Factors!$F$6+(Positions!$E$8*Positions!$O$8)*(Positions!$E$8*Positions!$P$8)*Factors!$D$6*Factors!$D$7*Factors!$G$6+(Positions!$E$8*Positions!$O$8)*(Positions!$E$8*Positions!$Q$8)*Factors!$D$6*Factors!$D$8*Factors!$H$6+(Positions!$E$8*Positions!$O$8)*(Positions!$E$8*Positions!$R$8)*Factors!$D$6*Factors!$D$9*Factors!$I$6+(Positions!$E$8*Positions!$P$8)*(Positions!$E$8*Positions!$N$8)*Factors!$D$7*Factors!$D$5*Factors!$E$7+(Positions!$E$8*Positions!$P$8)*(Positions!$E$8*Positions!$O$8)*Factors!$D$7*Factors!$D$6*Factors!$F$7+(Positions!$E$8*Positions!$P$8)*(Positions!$E$8*Positions!$P$8)*Factors!$D$7*Factors!$D$7*Factors!$G$7+(Positions!$E$8*Positions!$P$8)*(Positions!$E$8*Positions!$Q$8)*Factors!$D$7*Factors!$D$8*Factors!$H$7+(Positions!$E$8*Positions!$P$8)*(Positions!$E$8*Positions!$R$8)*Factors!$D$7*Factors!$D$9*Factors!$I$7+(Positions!$E$8*Positions!$Q$8)*(Positions!$E$8*Positions!$N$8)*Factors!$D$8*Factors!$D$5*Factors!$E$8+(Positions!$E$8*Positions!$Q$8)*(Positions!$E$8*Positions!$O$8)*Factors!$D$8*Factors!$D$6*Factors!$F$8+(Positions!$E$8*Positions!$Q$8)*(Positions!$E$8*Positions!$P$8)*Factors!$D$8*Factors!$D$7*Factors!$G$8+(Positions!$E$8*Positions!$Q$8)*(Positions!$E$8*Positions!$Q$8)*Factors!$D$8*Factors!$D$8*Factors!$H$8+(Positions!$E$8*Positions!$Q$8)*(Positions!$E$8*Positions!$R$8)*Factors!$D$8*Factors!$D$9*Factors!$I$8+(Positions!$E$8*Positions!$R$8)*(Positions!$E$8*Positions!$N$8)*Factors!$D$9*Factors!$D$5*Factors!$E$9+(Positions!$E$8*Positions!$R$8)*(Positions!$E$8*Positions!$O$8)*Factors!$D$9*Factors!$D$6*Factors!$F$9+(Positions!$E$8*Positions!$R$8)*(Positions!$E$8*Positions!$P$8)*Factors!$D$9*Factors!$D$7*Factors!$G$9+(Positions!$E$8*Positions!$R$8)*(Positions!$E$8*Positions!$Q$8)*Factors!$D$9*Factors!$D$8*Factors!$H$9+(Positions!$E$8*Positions!$R$8)*(Positions!$E$8*Positions!$R$8)*Factors!$D$9*Factors!$D$9*Factors!$I$9)/Assumptions!$E$6))</f>
        <v>1.66318544068254</v>
      </c>
      <c r="E8" s="25" t="n">
        <f aca="false">IFERROR('VaR &amp; ES'!$C$7*((Positions!$E$8*Positions!$N$8)*Factors!$D$5*Factors!$C$5*Factors!$D$5*Factors!$E$5+(Positions!$E$8*Positions!$N$8)*Factors!$D$5*Factors!$C$6*Factors!$D$6*Factors!$F$5+(Positions!$E$8*Positions!$N$8)*Factors!$D$5*Factors!$C$7*Factors!$D$7*Factors!$G$5+(Positions!$E$8*Positions!$N$8)*Factors!$D$5*Factors!$C$8*Factors!$D$8*Factors!$H$5+(Positions!$E$8*Positions!$N$8)*Factors!$D$5*Factors!$C$9*Factors!$D$9*Factors!$I$5+(Positions!$E$8*Positions!$O$8)*Factors!$D$6*Factors!$C$5*Factors!$D$5*Factors!$E$6+(Positions!$E$8*Positions!$O$8)*Factors!$D$6*Factors!$C$6*Factors!$D$6*Factors!$F$6+(Positions!$E$8*Positions!$O$8)*Factors!$D$6*Factors!$C$7*Factors!$D$7*Factors!$G$6+(Positions!$E$8*Positions!$O$8)*Factors!$D$6*Factors!$C$8*Factors!$D$8*Factors!$H$6+(Positions!$E$8*Positions!$O$8)*Factors!$D$6*Factors!$C$9*Factors!$D$9*Factors!$I$6+(Positions!$E$8*Positions!$P$8)*Factors!$D$7*Factors!$C$5*Factors!$D$5*Factors!$E$7+(Positions!$E$8*Positions!$P$8)*Factors!$D$7*Factors!$C$6*Factors!$D$6*Factors!$F$7+(Positions!$E$8*Positions!$P$8)*Factors!$D$7*Factors!$C$7*Factors!$D$7*Factors!$G$7+(Positions!$E$8*Positions!$P$8)*Factors!$D$7*Factors!$C$8*Factors!$D$8*Factors!$H$7+(Positions!$E$8*Positions!$P$8)*Factors!$D$7*Factors!$C$9*Factors!$D$9*Factors!$I$7+(Positions!$E$8*Positions!$Q$8)*Factors!$D$8*Factors!$C$5*Factors!$D$5*Factors!$E$8+(Positions!$E$8*Positions!$Q$8)*Factors!$D$8*Factors!$C$6*Factors!$D$6*Factors!$F$8+(Positions!$E$8*Positions!$Q$8)*Factors!$D$8*Factors!$C$7*Factors!$D$7*Factors!$G$8+(Positions!$E$8*Positions!$Q$8)*Factors!$D$8*Factors!$C$8*Factors!$D$8*Factors!$H$8+(Positions!$E$8*Positions!$Q$8)*Factors!$D$8*Factors!$C$9*Factors!$D$9*Factors!$I$8+(Positions!$E$8*Positions!$R$8)*Factors!$D$9*Factors!$C$5*Factors!$D$5*Factors!$E$9+(Positions!$E$8*Positions!$R$8)*Factors!$D$9*Factors!$C$6*Factors!$D$6*Factors!$F$9+(Positions!$E$8*Positions!$R$8)*Factors!$D$9*Factors!$C$7*Factors!$D$7*Factors!$G$9+(Positions!$E$8*Positions!$R$8)*Factors!$D$9*Factors!$C$8*Factors!$D$8*Factors!$H$9+(Positions!$E$8*Positions!$R$8)*Factors!$D$9*Factors!$C$9*Factors!$D$9*Factors!$I$9)/(Factors!$C$13*SQRT(Assumptions!$E$6)),0)</f>
        <v>0.469327254359615</v>
      </c>
      <c r="F8" s="23" t="n">
        <f aca="false">IFERROR(E8/'VaR &amp; ES'!$C$8,0)</f>
        <v>0.0237110465872087</v>
      </c>
      <c r="G8" s="25" t="n">
        <f aca="false">-MIN((Positions!$E$8*Positions!$N$8*Stress!$C$5+Positions!$E$8*Positions!$O$8*Stress!$D$5+Positions!$E$8*Positions!$P$8*Stress!$E$5+Positions!$E$8*Positions!$Q$8*Stress!$F$5+Positions!$E$8*Positions!$R$8*Stress!$G$5),(Positions!$E$8*Positions!$N$8*Stress!$C$6+Positions!$E$8*Positions!$O$8*Stress!$D$6+Positions!$E$8*Positions!$P$8*Stress!$E$6+Positions!$E$8*Positions!$Q$8*Stress!$F$6+Positions!$E$8*Positions!$R$8*Stress!$G$6),(Positions!$E$8*Positions!$N$8*Stress!$C$7+Positions!$E$8*Positions!$O$8*Stress!$D$7+Positions!$E$8*Positions!$P$8*Stress!$E$7+Positions!$E$8*Positions!$Q$8*Stress!$F$7+Positions!$E$8*Positions!$R$8*Stress!$G$7),(Positions!$E$8*Positions!$N$8*Stress!$C$8+Positions!$E$8*Positions!$O$8*Stress!$D$8+Positions!$E$8*Positions!$P$8*Stress!$E$8+Positions!$E$8*Positions!$Q$8*Stress!$F$8+Positions!$E$8*Positions!$R$8*Stress!$G$8),(Positions!$E$8*Positions!$N$8*Stress!$C$9+Positions!$E$8*Positions!$O$8*Stress!$D$9+Positions!$E$8*Positions!$P$8*Stress!$E$9+Positions!$E$8*Positions!$Q$8*Stress!$F$9+Positions!$E$8*Positions!$R$8*Stress!$G$9),(Positions!$E$8*Positions!$N$8*Stress!$C$10+Positions!$E$8*Positions!$O$8*Stress!$D$10+Positions!$E$8*Positions!$P$8*Stress!$E$10+Positions!$E$8*Positions!$Q$8*Stress!$F$10+Positions!$E$8*Positions!$R$8*Stress!$G$10))</f>
        <v>10.25</v>
      </c>
      <c r="H8" s="25" t="n">
        <f aca="false">Liquidity!G8</f>
        <v>0.134164078649987</v>
      </c>
      <c r="I8" s="25" t="n">
        <f aca="false">ABS(E8)+G8+H8</f>
        <v>10.8534913330096</v>
      </c>
      <c r="J8" s="23" t="n">
        <f aca="false">IFERROR(I8/SUM($I$5:$I$16),0)</f>
        <v>0.0809618799418391</v>
      </c>
    </row>
    <row r="9" customFormat="false" ht="15" hidden="false" customHeight="true" outlineLevel="0" collapsed="false">
      <c r="B9" s="1" t="str">
        <f aca="false">Positions!B9</f>
        <v>IG Credit ETF</v>
      </c>
      <c r="C9" s="25" t="n">
        <f aca="false">ABS(Positions!E9)</f>
        <v>50</v>
      </c>
      <c r="D9" s="25" t="n">
        <f aca="false">'VaR &amp; ES'!$C$7*SQRT(MAX(0,((Positions!$E$9*Positions!$N$9)*(Positions!$E$9*Positions!$N$9)*Factors!$D$5*Factors!$D$5*Factors!$E$5+(Positions!$E$9*Positions!$N$9)*(Positions!$E$9*Positions!$O$9)*Factors!$D$5*Factors!$D$6*Factors!$F$5+(Positions!$E$9*Positions!$N$9)*(Positions!$E$9*Positions!$P$9)*Factors!$D$5*Factors!$D$7*Factors!$G$5+(Positions!$E$9*Positions!$N$9)*(Positions!$E$9*Positions!$Q$9)*Factors!$D$5*Factors!$D$8*Factors!$H$5+(Positions!$E$9*Positions!$N$9)*(Positions!$E$9*Positions!$R$9)*Factors!$D$5*Factors!$D$9*Factors!$I$5+(Positions!$E$9*Positions!$O$9)*(Positions!$E$9*Positions!$N$9)*Factors!$D$6*Factors!$D$5*Factors!$E$6+(Positions!$E$9*Positions!$O$9)*(Positions!$E$9*Positions!$O$9)*Factors!$D$6*Factors!$D$6*Factors!$F$6+(Positions!$E$9*Positions!$O$9)*(Positions!$E$9*Positions!$P$9)*Factors!$D$6*Factors!$D$7*Factors!$G$6+(Positions!$E$9*Positions!$O$9)*(Positions!$E$9*Positions!$Q$9)*Factors!$D$6*Factors!$D$8*Factors!$H$6+(Positions!$E$9*Positions!$O$9)*(Positions!$E$9*Positions!$R$9)*Factors!$D$6*Factors!$D$9*Factors!$I$6+(Positions!$E$9*Positions!$P$9)*(Positions!$E$9*Positions!$N$9)*Factors!$D$7*Factors!$D$5*Factors!$E$7+(Positions!$E$9*Positions!$P$9)*(Positions!$E$9*Positions!$O$9)*Factors!$D$7*Factors!$D$6*Factors!$F$7+(Positions!$E$9*Positions!$P$9)*(Positions!$E$9*Positions!$P$9)*Factors!$D$7*Factors!$D$7*Factors!$G$7+(Positions!$E$9*Positions!$P$9)*(Positions!$E$9*Positions!$Q$9)*Factors!$D$7*Factors!$D$8*Factors!$H$7+(Positions!$E$9*Positions!$P$9)*(Positions!$E$9*Positions!$R$9)*Factors!$D$7*Factors!$D$9*Factors!$I$7+(Positions!$E$9*Positions!$Q$9)*(Positions!$E$9*Positions!$N$9)*Factors!$D$8*Factors!$D$5*Factors!$E$8+(Positions!$E$9*Positions!$Q$9)*(Positions!$E$9*Positions!$O$9)*Factors!$D$8*Factors!$D$6*Factors!$F$8+(Positions!$E$9*Positions!$Q$9)*(Positions!$E$9*Positions!$P$9)*Factors!$D$8*Factors!$D$7*Factors!$G$8+(Positions!$E$9*Positions!$Q$9)*(Positions!$E$9*Positions!$Q$9)*Factors!$D$8*Factors!$D$8*Factors!$H$8+(Positions!$E$9*Positions!$Q$9)*(Positions!$E$9*Positions!$R$9)*Factors!$D$8*Factors!$D$9*Factors!$I$8+(Positions!$E$9*Positions!$R$9)*(Positions!$E$9*Positions!$N$9)*Factors!$D$9*Factors!$D$5*Factors!$E$9+(Positions!$E$9*Positions!$R$9)*(Positions!$E$9*Positions!$O$9)*Factors!$D$9*Factors!$D$6*Factors!$F$9+(Positions!$E$9*Positions!$R$9)*(Positions!$E$9*Positions!$P$9)*Factors!$D$9*Factors!$D$7*Factors!$G$9+(Positions!$E$9*Positions!$R$9)*(Positions!$E$9*Positions!$Q$9)*Factors!$D$9*Factors!$D$8*Factors!$H$9+(Positions!$E$9*Positions!$R$9)*(Positions!$E$9*Positions!$R$9)*Factors!$D$9*Factors!$D$9*Factors!$I$9)/Assumptions!$E$6))</f>
        <v>2.33519202151815</v>
      </c>
      <c r="E9" s="25" t="n">
        <f aca="false">IFERROR('VaR &amp; ES'!$C$7*((Positions!$E$9*Positions!$N$9)*Factors!$D$5*Factors!$C$5*Factors!$D$5*Factors!$E$5+(Positions!$E$9*Positions!$N$9)*Factors!$D$5*Factors!$C$6*Factors!$D$6*Factors!$F$5+(Positions!$E$9*Positions!$N$9)*Factors!$D$5*Factors!$C$7*Factors!$D$7*Factors!$G$5+(Positions!$E$9*Positions!$N$9)*Factors!$D$5*Factors!$C$8*Factors!$D$8*Factors!$H$5+(Positions!$E$9*Positions!$N$9)*Factors!$D$5*Factors!$C$9*Factors!$D$9*Factors!$I$5+(Positions!$E$9*Positions!$O$9)*Factors!$D$6*Factors!$C$5*Factors!$D$5*Factors!$E$6+(Positions!$E$9*Positions!$O$9)*Factors!$D$6*Factors!$C$6*Factors!$D$6*Factors!$F$6+(Positions!$E$9*Positions!$O$9)*Factors!$D$6*Factors!$C$7*Factors!$D$7*Factors!$G$6+(Positions!$E$9*Positions!$O$9)*Factors!$D$6*Factors!$C$8*Factors!$D$8*Factors!$H$6+(Positions!$E$9*Positions!$O$9)*Factors!$D$6*Factors!$C$9*Factors!$D$9*Factors!$I$6+(Positions!$E$9*Positions!$P$9)*Factors!$D$7*Factors!$C$5*Factors!$D$5*Factors!$E$7+(Positions!$E$9*Positions!$P$9)*Factors!$D$7*Factors!$C$6*Factors!$D$6*Factors!$F$7+(Positions!$E$9*Positions!$P$9)*Factors!$D$7*Factors!$C$7*Factors!$D$7*Factors!$G$7+(Positions!$E$9*Positions!$P$9)*Factors!$D$7*Factors!$C$8*Factors!$D$8*Factors!$H$7+(Positions!$E$9*Positions!$P$9)*Factors!$D$7*Factors!$C$9*Factors!$D$9*Factors!$I$7+(Positions!$E$9*Positions!$Q$9)*Factors!$D$8*Factors!$C$5*Factors!$D$5*Factors!$E$8+(Positions!$E$9*Positions!$Q$9)*Factors!$D$8*Factors!$C$6*Factors!$D$6*Factors!$F$8+(Positions!$E$9*Positions!$Q$9)*Factors!$D$8*Factors!$C$7*Factors!$D$7*Factors!$G$8+(Positions!$E$9*Positions!$Q$9)*Factors!$D$8*Factors!$C$8*Factors!$D$8*Factors!$H$8+(Positions!$E$9*Positions!$Q$9)*Factors!$D$8*Factors!$C$9*Factors!$D$9*Factors!$I$8+(Positions!$E$9*Positions!$R$9)*Factors!$D$9*Factors!$C$5*Factors!$D$5*Factors!$E$9+(Positions!$E$9*Positions!$R$9)*Factors!$D$9*Factors!$C$6*Factors!$D$6*Factors!$F$9+(Positions!$E$9*Positions!$R$9)*Factors!$D$9*Factors!$C$7*Factors!$D$7*Factors!$G$9+(Positions!$E$9*Positions!$R$9)*Factors!$D$9*Factors!$C$8*Factors!$D$8*Factors!$H$9+(Positions!$E$9*Positions!$R$9)*Factors!$D$9*Factors!$C$9*Factors!$D$9*Factors!$I$9)/(Factors!$C$13*SQRT(Assumptions!$E$6)),0)</f>
        <v>2.01732140016692</v>
      </c>
      <c r="F9" s="23" t="n">
        <f aca="false">IFERROR(E9/'VaR &amp; ES'!$C$8,0)</f>
        <v>0.101917800972367</v>
      </c>
      <c r="G9" s="25" t="n">
        <f aca="false">-MIN((Positions!$E$9*Positions!$N$9*Stress!$C$5+Positions!$E$9*Positions!$O$9*Stress!$D$5+Positions!$E$9*Positions!$P$9*Stress!$E$5+Positions!$E$9*Positions!$Q$9*Stress!$F$5+Positions!$E$9*Positions!$R$9*Stress!$G$5),(Positions!$E$9*Positions!$N$9*Stress!$C$6+Positions!$E$9*Positions!$O$9*Stress!$D$6+Positions!$E$9*Positions!$P$9*Stress!$E$6+Positions!$E$9*Positions!$Q$9*Stress!$F$6+Positions!$E$9*Positions!$R$9*Stress!$G$6),(Positions!$E$9*Positions!$N$9*Stress!$C$7+Positions!$E$9*Positions!$O$9*Stress!$D$7+Positions!$E$9*Positions!$P$9*Stress!$E$7+Positions!$E$9*Positions!$Q$9*Stress!$F$7+Positions!$E$9*Positions!$R$9*Stress!$G$7),(Positions!$E$9*Positions!$N$9*Stress!$C$8+Positions!$E$9*Positions!$O$9*Stress!$D$8+Positions!$E$9*Positions!$P$9*Stress!$E$8+Positions!$E$9*Positions!$Q$9*Stress!$F$8+Positions!$E$9*Positions!$R$9*Stress!$G$8),(Positions!$E$9*Positions!$N$9*Stress!$C$9+Positions!$E$9*Positions!$O$9*Stress!$D$9+Positions!$E$9*Positions!$P$9*Stress!$E$9+Positions!$E$9*Positions!$Q$9*Stress!$F$9+Positions!$E$9*Positions!$R$9*Stress!$G$9),(Positions!$E$9*Positions!$N$9*Stress!$C$10+Positions!$E$9*Positions!$O$9*Stress!$D$10+Positions!$E$9*Positions!$P$9*Stress!$E$10+Positions!$E$9*Positions!$Q$9*Stress!$F$10+Positions!$E$9*Positions!$R$9*Stress!$G$10))</f>
        <v>6.9</v>
      </c>
      <c r="H9" s="25" t="n">
        <f aca="false">Liquidity!G9</f>
        <v>0.134164078649987</v>
      </c>
      <c r="I9" s="25" t="n">
        <f aca="false">ABS(E9)+G9+H9</f>
        <v>9.05148547881691</v>
      </c>
      <c r="J9" s="23" t="n">
        <f aca="false">IFERROR(I9/SUM($I$5:$I$16),0)</f>
        <v>0.0675197738816517</v>
      </c>
    </row>
    <row r="10" customFormat="false" ht="15" hidden="false" customHeight="true" outlineLevel="0" collapsed="false">
      <c r="B10" s="1" t="str">
        <f aca="false">Positions!B10</f>
        <v>HY Bond</v>
      </c>
      <c r="C10" s="25" t="n">
        <f aca="false">ABS(Positions!E10)</f>
        <v>40</v>
      </c>
      <c r="D10" s="25" t="n">
        <f aca="false">'VaR &amp; ES'!$C$7*SQRT(MAX(0,((Positions!$E$10*Positions!$N$10)*(Positions!$E$10*Positions!$N$10)*Factors!$D$5*Factors!$D$5*Factors!$E$5+(Positions!$E$10*Positions!$N$10)*(Positions!$E$10*Positions!$O$10)*Factors!$D$5*Factors!$D$6*Factors!$F$5+(Positions!$E$10*Positions!$N$10)*(Positions!$E$10*Positions!$P$10)*Factors!$D$5*Factors!$D$7*Factors!$G$5+(Positions!$E$10*Positions!$N$10)*(Positions!$E$10*Positions!$Q$10)*Factors!$D$5*Factors!$D$8*Factors!$H$5+(Positions!$E$10*Positions!$N$10)*(Positions!$E$10*Positions!$R$10)*Factors!$D$5*Factors!$D$9*Factors!$I$5+(Positions!$E$10*Positions!$O$10)*(Positions!$E$10*Positions!$N$10)*Factors!$D$6*Factors!$D$5*Factors!$E$6+(Positions!$E$10*Positions!$O$10)*(Positions!$E$10*Positions!$O$10)*Factors!$D$6*Factors!$D$6*Factors!$F$6+(Positions!$E$10*Positions!$O$10)*(Positions!$E$10*Positions!$P$10)*Factors!$D$6*Factors!$D$7*Factors!$G$6+(Positions!$E$10*Positions!$O$10)*(Positions!$E$10*Positions!$Q$10)*Factors!$D$6*Factors!$D$8*Factors!$H$6+(Positions!$E$10*Positions!$O$10)*(Positions!$E$10*Positions!$R$10)*Factors!$D$6*Factors!$D$9*Factors!$I$6+(Positions!$E$10*Positions!$P$10)*(Positions!$E$10*Positions!$N$10)*Factors!$D$7*Factors!$D$5*Factors!$E$7+(Positions!$E$10*Positions!$P$10)*(Positions!$E$10*Positions!$O$10)*Factors!$D$7*Factors!$D$6*Factors!$F$7+(Positions!$E$10*Positions!$P$10)*(Positions!$E$10*Positions!$P$10)*Factors!$D$7*Factors!$D$7*Factors!$G$7+(Positions!$E$10*Positions!$P$10)*(Positions!$E$10*Positions!$Q$10)*Factors!$D$7*Factors!$D$8*Factors!$H$7+(Positions!$E$10*Positions!$P$10)*(Positions!$E$10*Positions!$R$10)*Factors!$D$7*Factors!$D$9*Factors!$I$7+(Positions!$E$10*Positions!$Q$10)*(Positions!$E$10*Positions!$N$10)*Factors!$D$8*Factors!$D$5*Factors!$E$8+(Positions!$E$10*Positions!$Q$10)*(Positions!$E$10*Positions!$O$10)*Factors!$D$8*Factors!$D$6*Factors!$F$8+(Positions!$E$10*Positions!$Q$10)*(Positions!$E$10*Positions!$P$10)*Factors!$D$8*Factors!$D$7*Factors!$G$8+(Positions!$E$10*Positions!$Q$10)*(Positions!$E$10*Positions!$Q$10)*Factors!$D$8*Factors!$D$8*Factors!$H$8+(Positions!$E$10*Positions!$Q$10)*(Positions!$E$10*Positions!$R$10)*Factors!$D$8*Factors!$D$9*Factors!$I$8+(Positions!$E$10*Positions!$R$10)*(Positions!$E$10*Positions!$N$10)*Factors!$D$9*Factors!$D$5*Factors!$E$9+(Positions!$E$10*Positions!$R$10)*(Positions!$E$10*Positions!$O$10)*Factors!$D$9*Factors!$D$6*Factors!$F$9+(Positions!$E$10*Positions!$R$10)*(Positions!$E$10*Positions!$P$10)*Factors!$D$9*Factors!$D$7*Factors!$G$9+(Positions!$E$10*Positions!$R$10)*(Positions!$E$10*Positions!$Q$10)*Factors!$D$9*Factors!$D$8*Factors!$H$9+(Positions!$E$10*Positions!$R$10)*(Positions!$E$10*Positions!$R$10)*Factors!$D$9*Factors!$D$9*Factors!$I$9)/Assumptions!$E$6))</f>
        <v>2.79691128880443</v>
      </c>
      <c r="E10" s="25" t="n">
        <f aca="false">IFERROR('VaR &amp; ES'!$C$7*((Positions!$E$10*Positions!$N$10)*Factors!$D$5*Factors!$C$5*Factors!$D$5*Factors!$E$5+(Positions!$E$10*Positions!$N$10)*Factors!$D$5*Factors!$C$6*Factors!$D$6*Factors!$F$5+(Positions!$E$10*Positions!$N$10)*Factors!$D$5*Factors!$C$7*Factors!$D$7*Factors!$G$5+(Positions!$E$10*Positions!$N$10)*Factors!$D$5*Factors!$C$8*Factors!$D$8*Factors!$H$5+(Positions!$E$10*Positions!$N$10)*Factors!$D$5*Factors!$C$9*Factors!$D$9*Factors!$I$5+(Positions!$E$10*Positions!$O$10)*Factors!$D$6*Factors!$C$5*Factors!$D$5*Factors!$E$6+(Positions!$E$10*Positions!$O$10)*Factors!$D$6*Factors!$C$6*Factors!$D$6*Factors!$F$6+(Positions!$E$10*Positions!$O$10)*Factors!$D$6*Factors!$C$7*Factors!$D$7*Factors!$G$6+(Positions!$E$10*Positions!$O$10)*Factors!$D$6*Factors!$C$8*Factors!$D$8*Factors!$H$6+(Positions!$E$10*Positions!$O$10)*Factors!$D$6*Factors!$C$9*Factors!$D$9*Factors!$I$6+(Positions!$E$10*Positions!$P$10)*Factors!$D$7*Factors!$C$5*Factors!$D$5*Factors!$E$7+(Positions!$E$10*Positions!$P$10)*Factors!$D$7*Factors!$C$6*Factors!$D$6*Factors!$F$7+(Positions!$E$10*Positions!$P$10)*Factors!$D$7*Factors!$C$7*Factors!$D$7*Factors!$G$7+(Positions!$E$10*Positions!$P$10)*Factors!$D$7*Factors!$C$8*Factors!$D$8*Factors!$H$7+(Positions!$E$10*Positions!$P$10)*Factors!$D$7*Factors!$C$9*Factors!$D$9*Factors!$I$7+(Positions!$E$10*Positions!$Q$10)*Factors!$D$8*Factors!$C$5*Factors!$D$5*Factors!$E$8+(Positions!$E$10*Positions!$Q$10)*Factors!$D$8*Factors!$C$6*Factors!$D$6*Factors!$F$8+(Positions!$E$10*Positions!$Q$10)*Factors!$D$8*Factors!$C$7*Factors!$D$7*Factors!$G$8+(Positions!$E$10*Positions!$Q$10)*Factors!$D$8*Factors!$C$8*Factors!$D$8*Factors!$H$8+(Positions!$E$10*Positions!$Q$10)*Factors!$D$8*Factors!$C$9*Factors!$D$9*Factors!$I$8+(Positions!$E$10*Positions!$R$10)*Factors!$D$9*Factors!$C$5*Factors!$D$5*Factors!$E$9+(Positions!$E$10*Positions!$R$10)*Factors!$D$9*Factors!$C$6*Factors!$D$6*Factors!$F$9+(Positions!$E$10*Positions!$R$10)*Factors!$D$9*Factors!$C$7*Factors!$D$7*Factors!$G$9+(Positions!$E$10*Positions!$R$10)*Factors!$D$9*Factors!$C$8*Factors!$D$8*Factors!$H$9+(Positions!$E$10*Positions!$R$10)*Factors!$D$9*Factors!$C$9*Factors!$D$9*Factors!$I$9)/(Factors!$C$13*SQRT(Assumptions!$E$6)),0)</f>
        <v>2.7080249197269</v>
      </c>
      <c r="F10" s="23" t="n">
        <f aca="false">IFERROR(E10/'VaR &amp; ES'!$C$8,0)</f>
        <v>0.136813075385063</v>
      </c>
      <c r="G10" s="25" t="n">
        <f aca="false">-MIN((Positions!$E$10*Positions!$N$10*Stress!$C$5+Positions!$E$10*Positions!$O$10*Stress!$D$5+Positions!$E$10*Positions!$P$10*Stress!$E$5+Positions!$E$10*Positions!$Q$10*Stress!$F$5+Positions!$E$10*Positions!$R$10*Stress!$G$5),(Positions!$E$10*Positions!$N$10*Stress!$C$6+Positions!$E$10*Positions!$O$10*Stress!$D$6+Positions!$E$10*Positions!$P$10*Stress!$E$6+Positions!$E$10*Positions!$Q$10*Stress!$F$6+Positions!$E$10*Positions!$R$10*Stress!$G$6),(Positions!$E$10*Positions!$N$10*Stress!$C$7+Positions!$E$10*Positions!$O$10*Stress!$D$7+Positions!$E$10*Positions!$P$10*Stress!$E$7+Positions!$E$10*Positions!$Q$10*Stress!$F$7+Positions!$E$10*Positions!$R$10*Stress!$G$7),(Positions!$E$10*Positions!$N$10*Stress!$C$8+Positions!$E$10*Positions!$O$10*Stress!$D$8+Positions!$E$10*Positions!$P$10*Stress!$E$8+Positions!$E$10*Positions!$Q$10*Stress!$F$8+Positions!$E$10*Positions!$R$10*Stress!$G$8),(Positions!$E$10*Positions!$N$10*Stress!$C$9+Positions!$E$10*Positions!$O$10*Stress!$D$9+Positions!$E$10*Positions!$P$10*Stress!$E$9+Positions!$E$10*Positions!$Q$10*Stress!$F$9+Positions!$E$10*Positions!$R$10*Stress!$G$9),(Positions!$E$10*Positions!$N$10*Stress!$C$10+Positions!$E$10*Positions!$O$10*Stress!$D$10+Positions!$E$10*Positions!$P$10*Stress!$E$10+Positions!$E$10*Positions!$Q$10*Stress!$F$10+Positions!$E$10*Positions!$R$10*Stress!$G$10))</f>
        <v>4.584</v>
      </c>
      <c r="H10" s="25" t="n">
        <f aca="false">Liquidity!G10</f>
        <v>0.0096</v>
      </c>
      <c r="I10" s="25" t="n">
        <f aca="false">ABS(E10)+G10+H10</f>
        <v>7.3016249197269</v>
      </c>
      <c r="J10" s="23" t="n">
        <f aca="false">IFERROR(I10/SUM($I$5:$I$16),0)</f>
        <v>0.0544666469058991</v>
      </c>
    </row>
    <row r="11" customFormat="false" ht="15" hidden="false" customHeight="true" outlineLevel="0" collapsed="false">
      <c r="B11" s="1" t="str">
        <f aca="false">Positions!B11</f>
        <v>EURUSD Forward</v>
      </c>
      <c r="C11" s="25" t="n">
        <f aca="false">ABS(Positions!E11)</f>
        <v>80</v>
      </c>
      <c r="D11" s="25" t="n">
        <f aca="false">'VaR &amp; ES'!$C$7*SQRT(MAX(0,((Positions!$E$11*Positions!$N$11)*(Positions!$E$11*Positions!$N$11)*Factors!$D$5*Factors!$D$5*Factors!$E$5+(Positions!$E$11*Positions!$N$11)*(Positions!$E$11*Positions!$O$11)*Factors!$D$5*Factors!$D$6*Factors!$F$5+(Positions!$E$11*Positions!$N$11)*(Positions!$E$11*Positions!$P$11)*Factors!$D$5*Factors!$D$7*Factors!$G$5+(Positions!$E$11*Positions!$N$11)*(Positions!$E$11*Positions!$Q$11)*Factors!$D$5*Factors!$D$8*Factors!$H$5+(Positions!$E$11*Positions!$N$11)*(Positions!$E$11*Positions!$R$11)*Factors!$D$5*Factors!$D$9*Factors!$I$5+(Positions!$E$11*Positions!$O$11)*(Positions!$E$11*Positions!$N$11)*Factors!$D$6*Factors!$D$5*Factors!$E$6+(Positions!$E$11*Positions!$O$11)*(Positions!$E$11*Positions!$O$11)*Factors!$D$6*Factors!$D$6*Factors!$F$6+(Positions!$E$11*Positions!$O$11)*(Positions!$E$11*Positions!$P$11)*Factors!$D$6*Factors!$D$7*Factors!$G$6+(Positions!$E$11*Positions!$O$11)*(Positions!$E$11*Positions!$Q$11)*Factors!$D$6*Factors!$D$8*Factors!$H$6+(Positions!$E$11*Positions!$O$11)*(Positions!$E$11*Positions!$R$11)*Factors!$D$6*Factors!$D$9*Factors!$I$6+(Positions!$E$11*Positions!$P$11)*(Positions!$E$11*Positions!$N$11)*Factors!$D$7*Factors!$D$5*Factors!$E$7+(Positions!$E$11*Positions!$P$11)*(Positions!$E$11*Positions!$O$11)*Factors!$D$7*Factors!$D$6*Factors!$F$7+(Positions!$E$11*Positions!$P$11)*(Positions!$E$11*Positions!$P$11)*Factors!$D$7*Factors!$D$7*Factors!$G$7+(Positions!$E$11*Positions!$P$11)*(Positions!$E$11*Positions!$Q$11)*Factors!$D$7*Factors!$D$8*Factors!$H$7+(Positions!$E$11*Positions!$P$11)*(Positions!$E$11*Positions!$R$11)*Factors!$D$7*Factors!$D$9*Factors!$I$7+(Positions!$E$11*Positions!$Q$11)*(Positions!$E$11*Positions!$N$11)*Factors!$D$8*Factors!$D$5*Factors!$E$8+(Positions!$E$11*Positions!$Q$11)*(Positions!$E$11*Positions!$O$11)*Factors!$D$8*Factors!$D$6*Factors!$F$8+(Positions!$E$11*Positions!$Q$11)*(Positions!$E$11*Positions!$P$11)*Factors!$D$8*Factors!$D$7*Factors!$G$8+(Positions!$E$11*Positions!$Q$11)*(Positions!$E$11*Positions!$Q$11)*Factors!$D$8*Factors!$D$8*Factors!$H$8+(Positions!$E$11*Positions!$Q$11)*(Positions!$E$11*Positions!$R$11)*Factors!$D$8*Factors!$D$9*Factors!$I$8+(Positions!$E$11*Positions!$R$11)*(Positions!$E$11*Positions!$N$11)*Factors!$D$9*Factors!$D$5*Factors!$E$9+(Positions!$E$11*Positions!$R$11)*(Positions!$E$11*Positions!$O$11)*Factors!$D$9*Factors!$D$6*Factors!$F$9+(Positions!$E$11*Positions!$R$11)*(Positions!$E$11*Positions!$P$11)*Factors!$D$9*Factors!$D$7*Factors!$G$9+(Positions!$E$11*Positions!$R$11)*(Positions!$E$11*Positions!$Q$11)*Factors!$D$9*Factors!$D$8*Factors!$H$9+(Positions!$E$11*Positions!$R$11)*(Positions!$E$11*Positions!$R$11)*Factors!$D$9*Factors!$D$9*Factors!$I$9)/Assumptions!$E$6))</f>
        <v>2.59619190740689</v>
      </c>
      <c r="E11" s="25" t="n">
        <f aca="false">IFERROR('VaR &amp; ES'!$C$7*((Positions!$E$11*Positions!$N$11)*Factors!$D$5*Factors!$C$5*Factors!$D$5*Factors!$E$5+(Positions!$E$11*Positions!$N$11)*Factors!$D$5*Factors!$C$6*Factors!$D$6*Factors!$F$5+(Positions!$E$11*Positions!$N$11)*Factors!$D$5*Factors!$C$7*Factors!$D$7*Factors!$G$5+(Positions!$E$11*Positions!$N$11)*Factors!$D$5*Factors!$C$8*Factors!$D$8*Factors!$H$5+(Positions!$E$11*Positions!$N$11)*Factors!$D$5*Factors!$C$9*Factors!$D$9*Factors!$I$5+(Positions!$E$11*Positions!$O$11)*Factors!$D$6*Factors!$C$5*Factors!$D$5*Factors!$E$6+(Positions!$E$11*Positions!$O$11)*Factors!$D$6*Factors!$C$6*Factors!$D$6*Factors!$F$6+(Positions!$E$11*Positions!$O$11)*Factors!$D$6*Factors!$C$7*Factors!$D$7*Factors!$G$6+(Positions!$E$11*Positions!$O$11)*Factors!$D$6*Factors!$C$8*Factors!$D$8*Factors!$H$6+(Positions!$E$11*Positions!$O$11)*Factors!$D$6*Factors!$C$9*Factors!$D$9*Factors!$I$6+(Positions!$E$11*Positions!$P$11)*Factors!$D$7*Factors!$C$5*Factors!$D$5*Factors!$E$7+(Positions!$E$11*Positions!$P$11)*Factors!$D$7*Factors!$C$6*Factors!$D$6*Factors!$F$7+(Positions!$E$11*Positions!$P$11)*Factors!$D$7*Factors!$C$7*Factors!$D$7*Factors!$G$7+(Positions!$E$11*Positions!$P$11)*Factors!$D$7*Factors!$C$8*Factors!$D$8*Factors!$H$7+(Positions!$E$11*Positions!$P$11)*Factors!$D$7*Factors!$C$9*Factors!$D$9*Factors!$I$7+(Positions!$E$11*Positions!$Q$11)*Factors!$D$8*Factors!$C$5*Factors!$D$5*Factors!$E$8+(Positions!$E$11*Positions!$Q$11)*Factors!$D$8*Factors!$C$6*Factors!$D$6*Factors!$F$8+(Positions!$E$11*Positions!$Q$11)*Factors!$D$8*Factors!$C$7*Factors!$D$7*Factors!$G$8+(Positions!$E$11*Positions!$Q$11)*Factors!$D$8*Factors!$C$8*Factors!$D$8*Factors!$H$8+(Positions!$E$11*Positions!$Q$11)*Factors!$D$8*Factors!$C$9*Factors!$D$9*Factors!$I$8+(Positions!$E$11*Positions!$R$11)*Factors!$D$9*Factors!$C$5*Factors!$D$5*Factors!$E$9+(Positions!$E$11*Positions!$R$11)*Factors!$D$9*Factors!$C$6*Factors!$D$6*Factors!$F$9+(Positions!$E$11*Positions!$R$11)*Factors!$D$9*Factors!$C$7*Factors!$D$7*Factors!$G$9+(Positions!$E$11*Positions!$R$11)*Factors!$D$9*Factors!$C$8*Factors!$D$8*Factors!$H$9+(Positions!$E$11*Positions!$R$11)*Factors!$D$9*Factors!$C$9*Factors!$D$9*Factors!$I$9)/(Factors!$C$13*SQRT(Assumptions!$E$6)),0)</f>
        <v>0.266488724439419</v>
      </c>
      <c r="F11" s="23" t="n">
        <f aca="false">IFERROR(E11/'VaR &amp; ES'!$C$8,0)</f>
        <v>0.0134633701781726</v>
      </c>
      <c r="G11" s="25" t="n">
        <f aca="false">-MIN((Positions!$E$11*Positions!$N$11*Stress!$C$5+Positions!$E$11*Positions!$O$11*Stress!$D$5+Positions!$E$11*Positions!$P$11*Stress!$E$5+Positions!$E$11*Positions!$Q$11*Stress!$F$5+Positions!$E$11*Positions!$R$11*Stress!$G$5),(Positions!$E$11*Positions!$N$11*Stress!$C$6+Positions!$E$11*Positions!$O$11*Stress!$D$6+Positions!$E$11*Positions!$P$11*Stress!$E$6+Positions!$E$11*Positions!$Q$11*Stress!$F$6+Positions!$E$11*Positions!$R$11*Stress!$G$6),(Positions!$E$11*Positions!$N$11*Stress!$C$7+Positions!$E$11*Positions!$O$11*Stress!$D$7+Positions!$E$11*Positions!$P$11*Stress!$E$7+Positions!$E$11*Positions!$Q$11*Stress!$F$7+Positions!$E$11*Positions!$R$11*Stress!$G$7),(Positions!$E$11*Positions!$N$11*Stress!$C$8+Positions!$E$11*Positions!$O$11*Stress!$D$8+Positions!$E$11*Positions!$P$11*Stress!$E$8+Positions!$E$11*Positions!$Q$11*Stress!$F$8+Positions!$E$11*Positions!$R$11*Stress!$G$8),(Positions!$E$11*Positions!$N$11*Stress!$C$9+Positions!$E$11*Positions!$O$11*Stress!$D$9+Positions!$E$11*Positions!$P$11*Stress!$E$9+Positions!$E$11*Positions!$Q$11*Stress!$F$9+Positions!$E$11*Positions!$R$11*Stress!$G$9),(Positions!$E$11*Positions!$N$11*Stress!$C$10+Positions!$E$11*Positions!$O$11*Stress!$D$10+Positions!$E$11*Positions!$P$11*Stress!$E$10+Positions!$E$11*Positions!$Q$11*Stress!$F$10+Positions!$E$11*Positions!$R$11*Stress!$G$10))</f>
        <v>6.4</v>
      </c>
      <c r="H11" s="25" t="n">
        <f aca="false">Liquidity!G11</f>
        <v>0.434446406361015</v>
      </c>
      <c r="I11" s="25" t="n">
        <f aca="false">ABS(E11)+G11+H11</f>
        <v>7.10093513080043</v>
      </c>
      <c r="J11" s="23" t="n">
        <f aca="false">IFERROR(I11/SUM($I$5:$I$16),0)</f>
        <v>0.052969596592955</v>
      </c>
    </row>
    <row r="12" customFormat="false" ht="15" hidden="false" customHeight="true" outlineLevel="0" collapsed="false">
      <c r="B12" s="1" t="str">
        <f aca="false">Positions!B12</f>
        <v>Commodity Future</v>
      </c>
      <c r="C12" s="25" t="n">
        <f aca="false">ABS(Positions!E12)</f>
        <v>65</v>
      </c>
      <c r="D12" s="25" t="n">
        <f aca="false">'VaR &amp; ES'!$C$7*SQRT(MAX(0,((Positions!$E$12*Positions!$N$12)*(Positions!$E$12*Positions!$N$12)*Factors!$D$5*Factors!$D$5*Factors!$E$5+(Positions!$E$12*Positions!$N$12)*(Positions!$E$12*Positions!$O$12)*Factors!$D$5*Factors!$D$6*Factors!$F$5+(Positions!$E$12*Positions!$N$12)*(Positions!$E$12*Positions!$P$12)*Factors!$D$5*Factors!$D$7*Factors!$G$5+(Positions!$E$12*Positions!$N$12)*(Positions!$E$12*Positions!$Q$12)*Factors!$D$5*Factors!$D$8*Factors!$H$5+(Positions!$E$12*Positions!$N$12)*(Positions!$E$12*Positions!$R$12)*Factors!$D$5*Factors!$D$9*Factors!$I$5+(Positions!$E$12*Positions!$O$12)*(Positions!$E$12*Positions!$N$12)*Factors!$D$6*Factors!$D$5*Factors!$E$6+(Positions!$E$12*Positions!$O$12)*(Positions!$E$12*Positions!$O$12)*Factors!$D$6*Factors!$D$6*Factors!$F$6+(Positions!$E$12*Positions!$O$12)*(Positions!$E$12*Positions!$P$12)*Factors!$D$6*Factors!$D$7*Factors!$G$6+(Positions!$E$12*Positions!$O$12)*(Positions!$E$12*Positions!$Q$12)*Factors!$D$6*Factors!$D$8*Factors!$H$6+(Positions!$E$12*Positions!$O$12)*(Positions!$E$12*Positions!$R$12)*Factors!$D$6*Factors!$D$9*Factors!$I$6+(Positions!$E$12*Positions!$P$12)*(Positions!$E$12*Positions!$N$12)*Factors!$D$7*Factors!$D$5*Factors!$E$7+(Positions!$E$12*Positions!$P$12)*(Positions!$E$12*Positions!$O$12)*Factors!$D$7*Factors!$D$6*Factors!$F$7+(Positions!$E$12*Positions!$P$12)*(Positions!$E$12*Positions!$P$12)*Factors!$D$7*Factors!$D$7*Factors!$G$7+(Positions!$E$12*Positions!$P$12)*(Positions!$E$12*Positions!$Q$12)*Factors!$D$7*Factors!$D$8*Factors!$H$7+(Positions!$E$12*Positions!$P$12)*(Positions!$E$12*Positions!$R$12)*Factors!$D$7*Factors!$D$9*Factors!$I$7+(Positions!$E$12*Positions!$Q$12)*(Positions!$E$12*Positions!$N$12)*Factors!$D$8*Factors!$D$5*Factors!$E$8+(Positions!$E$12*Positions!$Q$12)*(Positions!$E$12*Positions!$O$12)*Factors!$D$8*Factors!$D$6*Factors!$F$8+(Positions!$E$12*Positions!$Q$12)*(Positions!$E$12*Positions!$P$12)*Factors!$D$8*Factors!$D$7*Factors!$G$8+(Positions!$E$12*Positions!$Q$12)*(Positions!$E$12*Positions!$Q$12)*Factors!$D$8*Factors!$D$8*Factors!$H$8+(Positions!$E$12*Positions!$Q$12)*(Positions!$E$12*Positions!$R$12)*Factors!$D$8*Factors!$D$9*Factors!$I$8+(Positions!$E$12*Positions!$R$12)*(Positions!$E$12*Positions!$N$12)*Factors!$D$9*Factors!$D$5*Factors!$E$9+(Positions!$E$12*Positions!$R$12)*(Positions!$E$12*Positions!$O$12)*Factors!$D$9*Factors!$D$6*Factors!$F$9+(Positions!$E$12*Positions!$R$12)*(Positions!$E$12*Positions!$P$12)*Factors!$D$9*Factors!$D$7*Factors!$G$9+(Positions!$E$12*Positions!$R$12)*(Positions!$E$12*Positions!$Q$12)*Factors!$D$9*Factors!$D$8*Factors!$H$9+(Positions!$E$12*Positions!$R$12)*(Positions!$E$12*Positions!$R$12)*Factors!$D$9*Factors!$D$9*Factors!$I$9)/Assumptions!$E$6))</f>
        <v>2.74936713334826</v>
      </c>
      <c r="E12" s="25" t="n">
        <f aca="false">IFERROR('VaR &amp; ES'!$C$7*((Positions!$E$12*Positions!$N$12)*Factors!$D$5*Factors!$C$5*Factors!$D$5*Factors!$E$5+(Positions!$E$12*Positions!$N$12)*Factors!$D$5*Factors!$C$6*Factors!$D$6*Factors!$F$5+(Positions!$E$12*Positions!$N$12)*Factors!$D$5*Factors!$C$7*Factors!$D$7*Factors!$G$5+(Positions!$E$12*Positions!$N$12)*Factors!$D$5*Factors!$C$8*Factors!$D$8*Factors!$H$5+(Positions!$E$12*Positions!$N$12)*Factors!$D$5*Factors!$C$9*Factors!$D$9*Factors!$I$5+(Positions!$E$12*Positions!$O$12)*Factors!$D$6*Factors!$C$5*Factors!$D$5*Factors!$E$6+(Positions!$E$12*Positions!$O$12)*Factors!$D$6*Factors!$C$6*Factors!$D$6*Factors!$F$6+(Positions!$E$12*Positions!$O$12)*Factors!$D$6*Factors!$C$7*Factors!$D$7*Factors!$G$6+(Positions!$E$12*Positions!$O$12)*Factors!$D$6*Factors!$C$8*Factors!$D$8*Factors!$H$6+(Positions!$E$12*Positions!$O$12)*Factors!$D$6*Factors!$C$9*Factors!$D$9*Factors!$I$6+(Positions!$E$12*Positions!$P$12)*Factors!$D$7*Factors!$C$5*Factors!$D$5*Factors!$E$7+(Positions!$E$12*Positions!$P$12)*Factors!$D$7*Factors!$C$6*Factors!$D$6*Factors!$F$7+(Positions!$E$12*Positions!$P$12)*Factors!$D$7*Factors!$C$7*Factors!$D$7*Factors!$G$7+(Positions!$E$12*Positions!$P$12)*Factors!$D$7*Factors!$C$8*Factors!$D$8*Factors!$H$7+(Positions!$E$12*Positions!$P$12)*Factors!$D$7*Factors!$C$9*Factors!$D$9*Factors!$I$7+(Positions!$E$12*Positions!$Q$12)*Factors!$D$8*Factors!$C$5*Factors!$D$5*Factors!$E$8+(Positions!$E$12*Positions!$Q$12)*Factors!$D$8*Factors!$C$6*Factors!$D$6*Factors!$F$8+(Positions!$E$12*Positions!$Q$12)*Factors!$D$8*Factors!$C$7*Factors!$D$7*Factors!$G$8+(Positions!$E$12*Positions!$Q$12)*Factors!$D$8*Factors!$C$8*Factors!$D$8*Factors!$H$8+(Positions!$E$12*Positions!$Q$12)*Factors!$D$8*Factors!$C$9*Factors!$D$9*Factors!$I$8+(Positions!$E$12*Positions!$R$12)*Factors!$D$9*Factors!$C$5*Factors!$D$5*Factors!$E$9+(Positions!$E$12*Positions!$R$12)*Factors!$D$9*Factors!$C$6*Factors!$D$6*Factors!$F$9+(Positions!$E$12*Positions!$R$12)*Factors!$D$9*Factors!$C$7*Factors!$D$7*Factors!$G$9+(Positions!$E$12*Positions!$R$12)*Factors!$D$9*Factors!$C$8*Factors!$D$8*Factors!$H$9+(Positions!$E$12*Positions!$R$12)*Factors!$D$9*Factors!$C$9*Factors!$D$9*Factors!$I$9)/(Factors!$C$13*SQRT(Assumptions!$E$6)),0)</f>
        <v>2.65729307898755</v>
      </c>
      <c r="F12" s="23" t="n">
        <f aca="false">IFERROR(E12/'VaR &amp; ES'!$C$8,0)</f>
        <v>0.134250034291558</v>
      </c>
      <c r="G12" s="25" t="n">
        <f aca="false">-MIN((Positions!$E$12*Positions!$N$12*Stress!$C$5+Positions!$E$12*Positions!$O$12*Stress!$D$5+Positions!$E$12*Positions!$P$12*Stress!$E$5+Positions!$E$12*Positions!$Q$12*Stress!$F$5+Positions!$E$12*Positions!$R$12*Stress!$G$5),(Positions!$E$12*Positions!$N$12*Stress!$C$6+Positions!$E$12*Positions!$O$12*Stress!$D$6+Positions!$E$12*Positions!$P$12*Stress!$E$6+Positions!$E$12*Positions!$Q$12*Stress!$F$6+Positions!$E$12*Positions!$R$12*Stress!$G$6),(Positions!$E$12*Positions!$N$12*Stress!$C$7+Positions!$E$12*Positions!$O$12*Stress!$D$7+Positions!$E$12*Positions!$P$12*Stress!$E$7+Positions!$E$12*Positions!$Q$12*Stress!$F$7+Positions!$E$12*Positions!$R$12*Stress!$G$7),(Positions!$E$12*Positions!$N$12*Stress!$C$8+Positions!$E$12*Positions!$O$12*Stress!$D$8+Positions!$E$12*Positions!$P$12*Stress!$E$8+Positions!$E$12*Positions!$Q$12*Stress!$F$8+Positions!$E$12*Positions!$R$12*Stress!$G$8),(Positions!$E$12*Positions!$N$12*Stress!$C$9+Positions!$E$12*Positions!$O$12*Stress!$D$9+Positions!$E$12*Positions!$P$12*Stress!$E$9+Positions!$E$12*Positions!$Q$12*Stress!$F$9+Positions!$E$12*Positions!$R$12*Stress!$G$9),(Positions!$E$12*Positions!$N$12*Stress!$C$10+Positions!$E$12*Positions!$O$12*Stress!$D$10+Positions!$E$12*Positions!$P$12*Stress!$E$10+Positions!$E$12*Positions!$Q$12*Stress!$F$10+Positions!$E$12*Positions!$R$12*Stress!$G$10))</f>
        <v>2.8925</v>
      </c>
      <c r="H12" s="25" t="n">
        <f aca="false">Liquidity!G12</f>
        <v>0.258520289339154</v>
      </c>
      <c r="I12" s="25" t="n">
        <f aca="false">ABS(E12)+G12+H12</f>
        <v>5.80831336832671</v>
      </c>
      <c r="J12" s="23" t="n">
        <f aca="false">IFERROR(I12/SUM($I$5:$I$16),0)</f>
        <v>0.0433272534305004</v>
      </c>
    </row>
    <row r="13" customFormat="false" ht="15" hidden="false" customHeight="true" outlineLevel="0" collapsed="false">
      <c r="B13" s="1" t="str">
        <f aca="false">Positions!B13</f>
        <v>Variance Swap</v>
      </c>
      <c r="C13" s="25" t="n">
        <f aca="false">ABS(Positions!E13)</f>
        <v>30</v>
      </c>
      <c r="D13" s="25" t="n">
        <f aca="false">'VaR &amp; ES'!$C$7*SQRT(MAX(0,((Positions!$E$13*Positions!$N$13)*(Positions!$E$13*Positions!$N$13)*Factors!$D$5*Factors!$D$5*Factors!$E$5+(Positions!$E$13*Positions!$N$13)*(Positions!$E$13*Positions!$O$13)*Factors!$D$5*Factors!$D$6*Factors!$F$5+(Positions!$E$13*Positions!$N$13)*(Positions!$E$13*Positions!$P$13)*Factors!$D$5*Factors!$D$7*Factors!$G$5+(Positions!$E$13*Positions!$N$13)*(Positions!$E$13*Positions!$Q$13)*Factors!$D$5*Factors!$D$8*Factors!$H$5+(Positions!$E$13*Positions!$N$13)*(Positions!$E$13*Positions!$R$13)*Factors!$D$5*Factors!$D$9*Factors!$I$5+(Positions!$E$13*Positions!$O$13)*(Positions!$E$13*Positions!$N$13)*Factors!$D$6*Factors!$D$5*Factors!$E$6+(Positions!$E$13*Positions!$O$13)*(Positions!$E$13*Positions!$O$13)*Factors!$D$6*Factors!$D$6*Factors!$F$6+(Positions!$E$13*Positions!$O$13)*(Positions!$E$13*Positions!$P$13)*Factors!$D$6*Factors!$D$7*Factors!$G$6+(Positions!$E$13*Positions!$O$13)*(Positions!$E$13*Positions!$Q$13)*Factors!$D$6*Factors!$D$8*Factors!$H$6+(Positions!$E$13*Positions!$O$13)*(Positions!$E$13*Positions!$R$13)*Factors!$D$6*Factors!$D$9*Factors!$I$6+(Positions!$E$13*Positions!$P$13)*(Positions!$E$13*Positions!$N$13)*Factors!$D$7*Factors!$D$5*Factors!$E$7+(Positions!$E$13*Positions!$P$13)*(Positions!$E$13*Positions!$O$13)*Factors!$D$7*Factors!$D$6*Factors!$F$7+(Positions!$E$13*Positions!$P$13)*(Positions!$E$13*Positions!$P$13)*Factors!$D$7*Factors!$D$7*Factors!$G$7+(Positions!$E$13*Positions!$P$13)*(Positions!$E$13*Positions!$Q$13)*Factors!$D$7*Factors!$D$8*Factors!$H$7+(Positions!$E$13*Positions!$P$13)*(Positions!$E$13*Positions!$R$13)*Factors!$D$7*Factors!$D$9*Factors!$I$7+(Positions!$E$13*Positions!$Q$13)*(Positions!$E$13*Positions!$N$13)*Factors!$D$8*Factors!$D$5*Factors!$E$8+(Positions!$E$13*Positions!$Q$13)*(Positions!$E$13*Positions!$O$13)*Factors!$D$8*Factors!$D$6*Factors!$F$8+(Positions!$E$13*Positions!$Q$13)*(Positions!$E$13*Positions!$P$13)*Factors!$D$8*Factors!$D$7*Factors!$G$8+(Positions!$E$13*Positions!$Q$13)*(Positions!$E$13*Positions!$Q$13)*Factors!$D$8*Factors!$D$8*Factors!$H$8+(Positions!$E$13*Positions!$Q$13)*(Positions!$E$13*Positions!$R$13)*Factors!$D$8*Factors!$D$9*Factors!$I$8+(Positions!$E$13*Positions!$R$13)*(Positions!$E$13*Positions!$N$13)*Factors!$D$9*Factors!$D$5*Factors!$E$9+(Positions!$E$13*Positions!$R$13)*(Positions!$E$13*Positions!$O$13)*Factors!$D$9*Factors!$D$6*Factors!$F$9+(Positions!$E$13*Positions!$R$13)*(Positions!$E$13*Positions!$P$13)*Factors!$D$9*Factors!$D$7*Factors!$G$9+(Positions!$E$13*Positions!$R$13)*(Positions!$E$13*Positions!$Q$13)*Factors!$D$9*Factors!$D$8*Factors!$H$9+(Positions!$E$13*Positions!$R$13)*(Positions!$E$13*Positions!$R$13)*Factors!$D$9*Factors!$D$9*Factors!$I$9)/Assumptions!$E$6))</f>
        <v>4.02523329044017</v>
      </c>
      <c r="E13" s="25" t="n">
        <f aca="false">IFERROR('VaR &amp; ES'!$C$7*((Positions!$E$13*Positions!$N$13)*Factors!$D$5*Factors!$C$5*Factors!$D$5*Factors!$E$5+(Positions!$E$13*Positions!$N$13)*Factors!$D$5*Factors!$C$6*Factors!$D$6*Factors!$F$5+(Positions!$E$13*Positions!$N$13)*Factors!$D$5*Factors!$C$7*Factors!$D$7*Factors!$G$5+(Positions!$E$13*Positions!$N$13)*Factors!$D$5*Factors!$C$8*Factors!$D$8*Factors!$H$5+(Positions!$E$13*Positions!$N$13)*Factors!$D$5*Factors!$C$9*Factors!$D$9*Factors!$I$5+(Positions!$E$13*Positions!$O$13)*Factors!$D$6*Factors!$C$5*Factors!$D$5*Factors!$E$6+(Positions!$E$13*Positions!$O$13)*Factors!$D$6*Factors!$C$6*Factors!$D$6*Factors!$F$6+(Positions!$E$13*Positions!$O$13)*Factors!$D$6*Factors!$C$7*Factors!$D$7*Factors!$G$6+(Positions!$E$13*Positions!$O$13)*Factors!$D$6*Factors!$C$8*Factors!$D$8*Factors!$H$6+(Positions!$E$13*Positions!$O$13)*Factors!$D$6*Factors!$C$9*Factors!$D$9*Factors!$I$6+(Positions!$E$13*Positions!$P$13)*Factors!$D$7*Factors!$C$5*Factors!$D$5*Factors!$E$7+(Positions!$E$13*Positions!$P$13)*Factors!$D$7*Factors!$C$6*Factors!$D$6*Factors!$F$7+(Positions!$E$13*Positions!$P$13)*Factors!$D$7*Factors!$C$7*Factors!$D$7*Factors!$G$7+(Positions!$E$13*Positions!$P$13)*Factors!$D$7*Factors!$C$8*Factors!$D$8*Factors!$H$7+(Positions!$E$13*Positions!$P$13)*Factors!$D$7*Factors!$C$9*Factors!$D$9*Factors!$I$7+(Positions!$E$13*Positions!$Q$13)*Factors!$D$8*Factors!$C$5*Factors!$D$5*Factors!$E$8+(Positions!$E$13*Positions!$Q$13)*Factors!$D$8*Factors!$C$6*Factors!$D$6*Factors!$F$8+(Positions!$E$13*Positions!$Q$13)*Factors!$D$8*Factors!$C$7*Factors!$D$7*Factors!$G$8+(Positions!$E$13*Positions!$Q$13)*Factors!$D$8*Factors!$C$8*Factors!$D$8*Factors!$H$8+(Positions!$E$13*Positions!$Q$13)*Factors!$D$8*Factors!$C$9*Factors!$D$9*Factors!$I$8+(Positions!$E$13*Positions!$R$13)*Factors!$D$9*Factors!$C$5*Factors!$D$5*Factors!$E$9+(Positions!$E$13*Positions!$R$13)*Factors!$D$9*Factors!$C$6*Factors!$D$6*Factors!$F$9+(Positions!$E$13*Positions!$R$13)*Factors!$D$9*Factors!$C$7*Factors!$D$7*Factors!$G$9+(Positions!$E$13*Positions!$R$13)*Factors!$D$9*Factors!$C$8*Factors!$D$8*Factors!$H$9+(Positions!$E$13*Positions!$R$13)*Factors!$D$9*Factors!$C$9*Factors!$D$9*Factors!$I$9)/(Factors!$C$13*SQRT(Assumptions!$E$6)),0)</f>
        <v>2.12646058483975</v>
      </c>
      <c r="F13" s="23" t="n">
        <f aca="false">IFERROR(E13/'VaR &amp; ES'!$C$8,0)</f>
        <v>0.107431659944394</v>
      </c>
      <c r="G13" s="25" t="n">
        <f aca="false">-MIN((Positions!$E$13*Positions!$N$13*Stress!$C$5+Positions!$E$13*Positions!$O$13*Stress!$D$5+Positions!$E$13*Positions!$P$13*Stress!$E$5+Positions!$E$13*Positions!$Q$13*Stress!$F$5+Positions!$E$13*Positions!$R$13*Stress!$G$5),(Positions!$E$13*Positions!$N$13*Stress!$C$6+Positions!$E$13*Positions!$O$13*Stress!$D$6+Positions!$E$13*Positions!$P$13*Stress!$E$6+Positions!$E$13*Positions!$Q$13*Stress!$F$6+Positions!$E$13*Positions!$R$13*Stress!$G$6),(Positions!$E$13*Positions!$N$13*Stress!$C$7+Positions!$E$13*Positions!$O$13*Stress!$D$7+Positions!$E$13*Positions!$P$13*Stress!$E$7+Positions!$E$13*Positions!$Q$13*Stress!$F$7+Positions!$E$13*Positions!$R$13*Stress!$G$7),(Positions!$E$13*Positions!$N$13*Stress!$C$8+Positions!$E$13*Positions!$O$13*Stress!$D$8+Positions!$E$13*Positions!$P$13*Stress!$E$8+Positions!$E$13*Positions!$Q$13*Stress!$F$8+Positions!$E$13*Positions!$R$13*Stress!$G$8),(Positions!$E$13*Positions!$N$13*Stress!$C$9+Positions!$E$13*Positions!$O$13*Stress!$D$9+Positions!$E$13*Positions!$P$13*Stress!$E$9+Positions!$E$13*Positions!$Q$13*Stress!$F$9+Positions!$E$13*Positions!$R$13*Stress!$G$9),(Positions!$E$13*Positions!$N$13*Stress!$C$10+Positions!$E$13*Positions!$O$13*Stress!$D$10+Positions!$E$13*Positions!$P$13*Stress!$E$10+Positions!$E$13*Positions!$Q$13*Stress!$F$10+Positions!$E$13*Positions!$R$13*Stress!$G$10))</f>
        <v>9</v>
      </c>
      <c r="H13" s="25" t="n">
        <f aca="false">Liquidity!G13</f>
        <v>0.0132272446110292</v>
      </c>
      <c r="I13" s="25" t="n">
        <f aca="false">ABS(E13)+G13+H13</f>
        <v>11.1396878294508</v>
      </c>
      <c r="J13" s="23" t="n">
        <f aca="false">IFERROR(I13/SUM($I$5:$I$16),0)</f>
        <v>0.0830967695984212</v>
      </c>
    </row>
    <row r="14" customFormat="false" ht="15" hidden="false" customHeight="true" outlineLevel="0" collapsed="false">
      <c r="B14" s="1" t="str">
        <f aca="false">Positions!B14</f>
        <v>Private Credit Position</v>
      </c>
      <c r="C14" s="25" t="n">
        <f aca="false">ABS(Positions!E14)</f>
        <v>40</v>
      </c>
      <c r="D14" s="25" t="n">
        <f aca="false">'VaR &amp; ES'!$C$7*SQRT(MAX(0,((Positions!$E$14*Positions!$N$14)*(Positions!$E$14*Positions!$N$14)*Factors!$D$5*Factors!$D$5*Factors!$E$5+(Positions!$E$14*Positions!$N$14)*(Positions!$E$14*Positions!$O$14)*Factors!$D$5*Factors!$D$6*Factors!$F$5+(Positions!$E$14*Positions!$N$14)*(Positions!$E$14*Positions!$P$14)*Factors!$D$5*Factors!$D$7*Factors!$G$5+(Positions!$E$14*Positions!$N$14)*(Positions!$E$14*Positions!$Q$14)*Factors!$D$5*Factors!$D$8*Factors!$H$5+(Positions!$E$14*Positions!$N$14)*(Positions!$E$14*Positions!$R$14)*Factors!$D$5*Factors!$D$9*Factors!$I$5+(Positions!$E$14*Positions!$O$14)*(Positions!$E$14*Positions!$N$14)*Factors!$D$6*Factors!$D$5*Factors!$E$6+(Positions!$E$14*Positions!$O$14)*(Positions!$E$14*Positions!$O$14)*Factors!$D$6*Factors!$D$6*Factors!$F$6+(Positions!$E$14*Positions!$O$14)*(Positions!$E$14*Positions!$P$14)*Factors!$D$6*Factors!$D$7*Factors!$G$6+(Positions!$E$14*Positions!$O$14)*(Positions!$E$14*Positions!$Q$14)*Factors!$D$6*Factors!$D$8*Factors!$H$6+(Positions!$E$14*Positions!$O$14)*(Positions!$E$14*Positions!$R$14)*Factors!$D$6*Factors!$D$9*Factors!$I$6+(Positions!$E$14*Positions!$P$14)*(Positions!$E$14*Positions!$N$14)*Factors!$D$7*Factors!$D$5*Factors!$E$7+(Positions!$E$14*Positions!$P$14)*(Positions!$E$14*Positions!$O$14)*Factors!$D$7*Factors!$D$6*Factors!$F$7+(Positions!$E$14*Positions!$P$14)*(Positions!$E$14*Positions!$P$14)*Factors!$D$7*Factors!$D$7*Factors!$G$7+(Positions!$E$14*Positions!$P$14)*(Positions!$E$14*Positions!$Q$14)*Factors!$D$7*Factors!$D$8*Factors!$H$7+(Positions!$E$14*Positions!$P$14)*(Positions!$E$14*Positions!$R$14)*Factors!$D$7*Factors!$D$9*Factors!$I$7+(Positions!$E$14*Positions!$Q$14)*(Positions!$E$14*Positions!$N$14)*Factors!$D$8*Factors!$D$5*Factors!$E$8+(Positions!$E$14*Positions!$Q$14)*(Positions!$E$14*Positions!$O$14)*Factors!$D$8*Factors!$D$6*Factors!$F$8+(Positions!$E$14*Positions!$Q$14)*(Positions!$E$14*Positions!$P$14)*Factors!$D$8*Factors!$D$7*Factors!$G$8+(Positions!$E$14*Positions!$Q$14)*(Positions!$E$14*Positions!$Q$14)*Factors!$D$8*Factors!$D$8*Factors!$H$8+(Positions!$E$14*Positions!$Q$14)*(Positions!$E$14*Positions!$R$14)*Factors!$D$8*Factors!$D$9*Factors!$I$8+(Positions!$E$14*Positions!$R$14)*(Positions!$E$14*Positions!$N$14)*Factors!$D$9*Factors!$D$5*Factors!$E$9+(Positions!$E$14*Positions!$R$14)*(Positions!$E$14*Positions!$O$14)*Factors!$D$9*Factors!$D$6*Factors!$F$9+(Positions!$E$14*Positions!$R$14)*(Positions!$E$14*Positions!$P$14)*Factors!$D$9*Factors!$D$7*Factors!$G$9+(Positions!$E$14*Positions!$R$14)*(Positions!$E$14*Positions!$Q$14)*Factors!$D$9*Factors!$D$8*Factors!$H$9+(Positions!$E$14*Positions!$R$14)*(Positions!$E$14*Positions!$R$14)*Factors!$D$9*Factors!$D$9*Factors!$I$9)/Assumptions!$E$6))</f>
        <v>1.03265031097552</v>
      </c>
      <c r="E14" s="25" t="n">
        <f aca="false">IFERROR('VaR &amp; ES'!$C$7*((Positions!$E$14*Positions!$N$14)*Factors!$D$5*Factors!$C$5*Factors!$D$5*Factors!$E$5+(Positions!$E$14*Positions!$N$14)*Factors!$D$5*Factors!$C$6*Factors!$D$6*Factors!$F$5+(Positions!$E$14*Positions!$N$14)*Factors!$D$5*Factors!$C$7*Factors!$D$7*Factors!$G$5+(Positions!$E$14*Positions!$N$14)*Factors!$D$5*Factors!$C$8*Factors!$D$8*Factors!$H$5+(Positions!$E$14*Positions!$N$14)*Factors!$D$5*Factors!$C$9*Factors!$D$9*Factors!$I$5+(Positions!$E$14*Positions!$O$14)*Factors!$D$6*Factors!$C$5*Factors!$D$5*Factors!$E$6+(Positions!$E$14*Positions!$O$14)*Factors!$D$6*Factors!$C$6*Factors!$D$6*Factors!$F$6+(Positions!$E$14*Positions!$O$14)*Factors!$D$6*Factors!$C$7*Factors!$D$7*Factors!$G$6+(Positions!$E$14*Positions!$O$14)*Factors!$D$6*Factors!$C$8*Factors!$D$8*Factors!$H$6+(Positions!$E$14*Positions!$O$14)*Factors!$D$6*Factors!$C$9*Factors!$D$9*Factors!$I$6+(Positions!$E$14*Positions!$P$14)*Factors!$D$7*Factors!$C$5*Factors!$D$5*Factors!$E$7+(Positions!$E$14*Positions!$P$14)*Factors!$D$7*Factors!$C$6*Factors!$D$6*Factors!$F$7+(Positions!$E$14*Positions!$P$14)*Factors!$D$7*Factors!$C$7*Factors!$D$7*Factors!$G$7+(Positions!$E$14*Positions!$P$14)*Factors!$D$7*Factors!$C$8*Factors!$D$8*Factors!$H$7+(Positions!$E$14*Positions!$P$14)*Factors!$D$7*Factors!$C$9*Factors!$D$9*Factors!$I$7+(Positions!$E$14*Positions!$Q$14)*Factors!$D$8*Factors!$C$5*Factors!$D$5*Factors!$E$8+(Positions!$E$14*Positions!$Q$14)*Factors!$D$8*Factors!$C$6*Factors!$D$6*Factors!$F$8+(Positions!$E$14*Positions!$Q$14)*Factors!$D$8*Factors!$C$7*Factors!$D$7*Factors!$G$8+(Positions!$E$14*Positions!$Q$14)*Factors!$D$8*Factors!$C$8*Factors!$D$8*Factors!$H$8+(Positions!$E$14*Positions!$Q$14)*Factors!$D$8*Factors!$C$9*Factors!$D$9*Factors!$I$8+(Positions!$E$14*Positions!$R$14)*Factors!$D$9*Factors!$C$5*Factors!$D$5*Factors!$E$9+(Positions!$E$14*Positions!$R$14)*Factors!$D$9*Factors!$C$6*Factors!$D$6*Factors!$F$9+(Positions!$E$14*Positions!$R$14)*Factors!$D$9*Factors!$C$7*Factors!$D$7*Factors!$G$9+(Positions!$E$14*Positions!$R$14)*Factors!$D$9*Factors!$C$8*Factors!$D$8*Factors!$H$9+(Positions!$E$14*Positions!$R$14)*Factors!$D$9*Factors!$C$9*Factors!$D$9*Factors!$I$9)/(Factors!$C$13*SQRT(Assumptions!$E$6)),0)</f>
        <v>0.916543639325311</v>
      </c>
      <c r="F14" s="23" t="n">
        <f aca="false">IFERROR(E14/'VaR &amp; ES'!$C$8,0)</f>
        <v>0.0463050221980084</v>
      </c>
      <c r="G14" s="25" t="n">
        <f aca="false">-MIN((Positions!$E$14*Positions!$N$14*Stress!$C$5+Positions!$E$14*Positions!$O$14*Stress!$D$5+Positions!$E$14*Positions!$P$14*Stress!$E$5+Positions!$E$14*Positions!$Q$14*Stress!$F$5+Positions!$E$14*Positions!$R$14*Stress!$G$5),(Positions!$E$14*Positions!$N$14*Stress!$C$6+Positions!$E$14*Positions!$O$14*Stress!$D$6+Positions!$E$14*Positions!$P$14*Stress!$E$6+Positions!$E$14*Positions!$Q$14*Stress!$F$6+Positions!$E$14*Positions!$R$14*Stress!$G$6),(Positions!$E$14*Positions!$N$14*Stress!$C$7+Positions!$E$14*Positions!$O$14*Stress!$D$7+Positions!$E$14*Positions!$P$14*Stress!$E$7+Positions!$E$14*Positions!$Q$14*Stress!$F$7+Positions!$E$14*Positions!$R$14*Stress!$G$7),(Positions!$E$14*Positions!$N$14*Stress!$C$8+Positions!$E$14*Positions!$O$14*Stress!$D$8+Positions!$E$14*Positions!$P$14*Stress!$E$8+Positions!$E$14*Positions!$Q$14*Stress!$F$8+Positions!$E$14*Positions!$R$14*Stress!$G$8),(Positions!$E$14*Positions!$N$14*Stress!$C$9+Positions!$E$14*Positions!$O$14*Stress!$D$9+Positions!$E$14*Positions!$P$14*Stress!$E$9+Positions!$E$14*Positions!$Q$14*Stress!$F$9+Positions!$E$14*Positions!$R$14*Stress!$G$9),(Positions!$E$14*Positions!$N$14*Stress!$C$10+Positions!$E$14*Positions!$O$14*Stress!$D$10+Positions!$E$14*Positions!$P$14*Stress!$E$10+Positions!$E$14*Positions!$Q$14*Stress!$F$10+Positions!$E$14*Positions!$R$14*Stress!$G$10))</f>
        <v>2.34</v>
      </c>
      <c r="H14" s="25" t="n">
        <f aca="false">Liquidity!G14</f>
        <v>0.000858650103359919</v>
      </c>
      <c r="I14" s="25" t="n">
        <f aca="false">ABS(E14)+G14+H14</f>
        <v>3.25740228942867</v>
      </c>
      <c r="J14" s="23" t="n">
        <f aca="false">IFERROR(I14/SUM($I$5:$I$16),0)</f>
        <v>0.024298670813594</v>
      </c>
    </row>
    <row r="15" customFormat="false" ht="15" hidden="false" customHeight="true" outlineLevel="0" collapsed="false">
      <c r="B15" s="1" t="str">
        <f aca="false">Positions!B15</f>
        <v>Cash</v>
      </c>
      <c r="C15" s="25" t="n">
        <f aca="false">ABS(Positions!E15)</f>
        <v>25</v>
      </c>
      <c r="D15" s="25" t="n">
        <f aca="false">'VaR &amp; ES'!$C$7*SQRT(MAX(0,((Positions!$E$15*Positions!$N$15)*(Positions!$E$15*Positions!$N$15)*Factors!$D$5*Factors!$D$5*Factors!$E$5+(Positions!$E$15*Positions!$N$15)*(Positions!$E$15*Positions!$O$15)*Factors!$D$5*Factors!$D$6*Factors!$F$5+(Positions!$E$15*Positions!$N$15)*(Positions!$E$15*Positions!$P$15)*Factors!$D$5*Factors!$D$7*Factors!$G$5+(Positions!$E$15*Positions!$N$15)*(Positions!$E$15*Positions!$Q$15)*Factors!$D$5*Factors!$D$8*Factors!$H$5+(Positions!$E$15*Positions!$N$15)*(Positions!$E$15*Positions!$R$15)*Factors!$D$5*Factors!$D$9*Factors!$I$5+(Positions!$E$15*Positions!$O$15)*(Positions!$E$15*Positions!$N$15)*Factors!$D$6*Factors!$D$5*Factors!$E$6+(Positions!$E$15*Positions!$O$15)*(Positions!$E$15*Positions!$O$15)*Factors!$D$6*Factors!$D$6*Factors!$F$6+(Positions!$E$15*Positions!$O$15)*(Positions!$E$15*Positions!$P$15)*Factors!$D$6*Factors!$D$7*Factors!$G$6+(Positions!$E$15*Positions!$O$15)*(Positions!$E$15*Positions!$Q$15)*Factors!$D$6*Factors!$D$8*Factors!$H$6+(Positions!$E$15*Positions!$O$15)*(Positions!$E$15*Positions!$R$15)*Factors!$D$6*Factors!$D$9*Factors!$I$6+(Positions!$E$15*Positions!$P$15)*(Positions!$E$15*Positions!$N$15)*Factors!$D$7*Factors!$D$5*Factors!$E$7+(Positions!$E$15*Positions!$P$15)*(Positions!$E$15*Positions!$O$15)*Factors!$D$7*Factors!$D$6*Factors!$F$7+(Positions!$E$15*Positions!$P$15)*(Positions!$E$15*Positions!$P$15)*Factors!$D$7*Factors!$D$7*Factors!$G$7+(Positions!$E$15*Positions!$P$15)*(Positions!$E$15*Positions!$Q$15)*Factors!$D$7*Factors!$D$8*Factors!$H$7+(Positions!$E$15*Positions!$P$15)*(Positions!$E$15*Positions!$R$15)*Factors!$D$7*Factors!$D$9*Factors!$I$7+(Positions!$E$15*Positions!$Q$15)*(Positions!$E$15*Positions!$N$15)*Factors!$D$8*Factors!$D$5*Factors!$E$8+(Positions!$E$15*Positions!$Q$15)*(Positions!$E$15*Positions!$O$15)*Factors!$D$8*Factors!$D$6*Factors!$F$8+(Positions!$E$15*Positions!$Q$15)*(Positions!$E$15*Positions!$P$15)*Factors!$D$8*Factors!$D$7*Factors!$G$8+(Positions!$E$15*Positions!$Q$15)*(Positions!$E$15*Positions!$Q$15)*Factors!$D$8*Factors!$D$8*Factors!$H$8+(Positions!$E$15*Positions!$Q$15)*(Positions!$E$15*Positions!$R$15)*Factors!$D$8*Factors!$D$9*Factors!$I$8+(Positions!$E$15*Positions!$R$15)*(Positions!$E$15*Positions!$N$15)*Factors!$D$9*Factors!$D$5*Factors!$E$9+(Positions!$E$15*Positions!$R$15)*(Positions!$E$15*Positions!$O$15)*Factors!$D$9*Factors!$D$6*Factors!$F$9+(Positions!$E$15*Positions!$R$15)*(Positions!$E$15*Positions!$P$15)*Factors!$D$9*Factors!$D$7*Factors!$G$9+(Positions!$E$15*Positions!$R$15)*(Positions!$E$15*Positions!$Q$15)*Factors!$D$9*Factors!$D$8*Factors!$H$9+(Positions!$E$15*Positions!$R$15)*(Positions!$E$15*Positions!$R$15)*Factors!$D$9*Factors!$D$9*Factors!$I$9)/Assumptions!$E$6))</f>
        <v>0</v>
      </c>
      <c r="E15" s="25" t="n">
        <f aca="false">IFERROR('VaR &amp; ES'!$C$7*((Positions!$E$15*Positions!$N$15)*Factors!$D$5*Factors!$C$5*Factors!$D$5*Factors!$E$5+(Positions!$E$15*Positions!$N$15)*Factors!$D$5*Factors!$C$6*Factors!$D$6*Factors!$F$5+(Positions!$E$15*Positions!$N$15)*Factors!$D$5*Factors!$C$7*Factors!$D$7*Factors!$G$5+(Positions!$E$15*Positions!$N$15)*Factors!$D$5*Factors!$C$8*Factors!$D$8*Factors!$H$5+(Positions!$E$15*Positions!$N$15)*Factors!$D$5*Factors!$C$9*Factors!$D$9*Factors!$I$5+(Positions!$E$15*Positions!$O$15)*Factors!$D$6*Factors!$C$5*Factors!$D$5*Factors!$E$6+(Positions!$E$15*Positions!$O$15)*Factors!$D$6*Factors!$C$6*Factors!$D$6*Factors!$F$6+(Positions!$E$15*Positions!$O$15)*Factors!$D$6*Factors!$C$7*Factors!$D$7*Factors!$G$6+(Positions!$E$15*Positions!$O$15)*Factors!$D$6*Factors!$C$8*Factors!$D$8*Factors!$H$6+(Positions!$E$15*Positions!$O$15)*Factors!$D$6*Factors!$C$9*Factors!$D$9*Factors!$I$6+(Positions!$E$15*Positions!$P$15)*Factors!$D$7*Factors!$C$5*Factors!$D$5*Factors!$E$7+(Positions!$E$15*Positions!$P$15)*Factors!$D$7*Factors!$C$6*Factors!$D$6*Factors!$F$7+(Positions!$E$15*Positions!$P$15)*Factors!$D$7*Factors!$C$7*Factors!$D$7*Factors!$G$7+(Positions!$E$15*Positions!$P$15)*Factors!$D$7*Factors!$C$8*Factors!$D$8*Factors!$H$7+(Positions!$E$15*Positions!$P$15)*Factors!$D$7*Factors!$C$9*Factors!$D$9*Factors!$I$7+(Positions!$E$15*Positions!$Q$15)*Factors!$D$8*Factors!$C$5*Factors!$D$5*Factors!$E$8+(Positions!$E$15*Positions!$Q$15)*Factors!$D$8*Factors!$C$6*Factors!$D$6*Factors!$F$8+(Positions!$E$15*Positions!$Q$15)*Factors!$D$8*Factors!$C$7*Factors!$D$7*Factors!$G$8+(Positions!$E$15*Positions!$Q$15)*Factors!$D$8*Factors!$C$8*Factors!$D$8*Factors!$H$8+(Positions!$E$15*Positions!$Q$15)*Factors!$D$8*Factors!$C$9*Factors!$D$9*Factors!$I$8+(Positions!$E$15*Positions!$R$15)*Factors!$D$9*Factors!$C$5*Factors!$D$5*Factors!$E$9+(Positions!$E$15*Positions!$R$15)*Factors!$D$9*Factors!$C$6*Factors!$D$6*Factors!$F$9+(Positions!$E$15*Positions!$R$15)*Factors!$D$9*Factors!$C$7*Factors!$D$7*Factors!$G$9+(Positions!$E$15*Positions!$R$15)*Factors!$D$9*Factors!$C$8*Factors!$D$8*Factors!$H$9+(Positions!$E$15*Positions!$R$15)*Factors!$D$9*Factors!$C$9*Factors!$D$9*Factors!$I$9)/(Factors!$C$13*SQRT(Assumptions!$E$6)),0)</f>
        <v>0</v>
      </c>
      <c r="F15" s="23" t="n">
        <f aca="false">IFERROR(E15/'VaR &amp; ES'!$C$8,0)</f>
        <v>0</v>
      </c>
      <c r="G15" s="25" t="n">
        <f aca="false">-MIN((Positions!$E$15*Positions!$N$15*Stress!$C$5+Positions!$E$15*Positions!$O$15*Stress!$D$5+Positions!$E$15*Positions!$P$15*Stress!$E$5+Positions!$E$15*Positions!$Q$15*Stress!$F$5+Positions!$E$15*Positions!$R$15*Stress!$G$5),(Positions!$E$15*Positions!$N$15*Stress!$C$6+Positions!$E$15*Positions!$O$15*Stress!$D$6+Positions!$E$15*Positions!$P$15*Stress!$E$6+Positions!$E$15*Positions!$Q$15*Stress!$F$6+Positions!$E$15*Positions!$R$15*Stress!$G$6),(Positions!$E$15*Positions!$N$15*Stress!$C$7+Positions!$E$15*Positions!$O$15*Stress!$D$7+Positions!$E$15*Positions!$P$15*Stress!$E$7+Positions!$E$15*Positions!$Q$15*Stress!$F$7+Positions!$E$15*Positions!$R$15*Stress!$G$7),(Positions!$E$15*Positions!$N$15*Stress!$C$8+Positions!$E$15*Positions!$O$15*Stress!$D$8+Positions!$E$15*Positions!$P$15*Stress!$E$8+Positions!$E$15*Positions!$Q$15*Stress!$F$8+Positions!$E$15*Positions!$R$15*Stress!$G$8),(Positions!$E$15*Positions!$N$15*Stress!$C$9+Positions!$E$15*Positions!$O$15*Stress!$D$9+Positions!$E$15*Positions!$P$15*Stress!$E$9+Positions!$E$15*Positions!$Q$15*Stress!$F$9+Positions!$E$15*Positions!$R$15*Stress!$G$9),(Positions!$E$15*Positions!$N$15*Stress!$C$10+Positions!$E$15*Positions!$O$15*Stress!$D$10+Positions!$E$15*Positions!$P$15*Stress!$E$10+Positions!$E$15*Positions!$Q$15*Stress!$F$10+Positions!$E$15*Positions!$R$15*Stress!$G$10))</f>
        <v>-0</v>
      </c>
      <c r="H15" s="25" t="n">
        <f aca="false">Liquidity!G15</f>
        <v>0.0237170824512628</v>
      </c>
      <c r="I15" s="25" t="n">
        <f aca="false">ABS(E15)+G15+H15</f>
        <v>0.0237170824512628</v>
      </c>
      <c r="J15" s="23" t="n">
        <f aca="false">IFERROR(I15/SUM($I$5:$I$16),0)</f>
        <v>0.000176918147633273</v>
      </c>
    </row>
    <row r="16" customFormat="false" ht="15" hidden="false" customHeight="true" outlineLevel="0" collapsed="false">
      <c r="B16" s="1" t="str">
        <f aca="false">Positions!B16</f>
        <v>Short Equity Basket</v>
      </c>
      <c r="C16" s="25" t="n">
        <f aca="false">ABS(Positions!E16)</f>
        <v>60</v>
      </c>
      <c r="D16" s="25" t="n">
        <f aca="false">'VaR &amp; ES'!$C$7*SQRT(MAX(0,((Positions!$E$16*Positions!$N$16)*(Positions!$E$16*Positions!$N$16)*Factors!$D$5*Factors!$D$5*Factors!$E$5+(Positions!$E$16*Positions!$N$16)*(Positions!$E$16*Positions!$O$16)*Factors!$D$5*Factors!$D$6*Factors!$F$5+(Positions!$E$16*Positions!$N$16)*(Positions!$E$16*Positions!$P$16)*Factors!$D$5*Factors!$D$7*Factors!$G$5+(Positions!$E$16*Positions!$N$16)*(Positions!$E$16*Positions!$Q$16)*Factors!$D$5*Factors!$D$8*Factors!$H$5+(Positions!$E$16*Positions!$N$16)*(Positions!$E$16*Positions!$R$16)*Factors!$D$5*Factors!$D$9*Factors!$I$5+(Positions!$E$16*Positions!$O$16)*(Positions!$E$16*Positions!$N$16)*Factors!$D$6*Factors!$D$5*Factors!$E$6+(Positions!$E$16*Positions!$O$16)*(Positions!$E$16*Positions!$O$16)*Factors!$D$6*Factors!$D$6*Factors!$F$6+(Positions!$E$16*Positions!$O$16)*(Positions!$E$16*Positions!$P$16)*Factors!$D$6*Factors!$D$7*Factors!$G$6+(Positions!$E$16*Positions!$O$16)*(Positions!$E$16*Positions!$Q$16)*Factors!$D$6*Factors!$D$8*Factors!$H$6+(Positions!$E$16*Positions!$O$16)*(Positions!$E$16*Positions!$R$16)*Factors!$D$6*Factors!$D$9*Factors!$I$6+(Positions!$E$16*Positions!$P$16)*(Positions!$E$16*Positions!$N$16)*Factors!$D$7*Factors!$D$5*Factors!$E$7+(Positions!$E$16*Positions!$P$16)*(Positions!$E$16*Positions!$O$16)*Factors!$D$7*Factors!$D$6*Factors!$F$7+(Positions!$E$16*Positions!$P$16)*(Positions!$E$16*Positions!$P$16)*Factors!$D$7*Factors!$D$7*Factors!$G$7+(Positions!$E$16*Positions!$P$16)*(Positions!$E$16*Positions!$Q$16)*Factors!$D$7*Factors!$D$8*Factors!$H$7+(Positions!$E$16*Positions!$P$16)*(Positions!$E$16*Positions!$R$16)*Factors!$D$7*Factors!$D$9*Factors!$I$7+(Positions!$E$16*Positions!$Q$16)*(Positions!$E$16*Positions!$N$16)*Factors!$D$8*Factors!$D$5*Factors!$E$8+(Positions!$E$16*Positions!$Q$16)*(Positions!$E$16*Positions!$O$16)*Factors!$D$8*Factors!$D$6*Factors!$F$8+(Positions!$E$16*Positions!$Q$16)*(Positions!$E$16*Positions!$P$16)*Factors!$D$8*Factors!$D$7*Factors!$G$8+(Positions!$E$16*Positions!$Q$16)*(Positions!$E$16*Positions!$Q$16)*Factors!$D$8*Factors!$D$8*Factors!$H$8+(Positions!$E$16*Positions!$Q$16)*(Positions!$E$16*Positions!$R$16)*Factors!$D$8*Factors!$D$9*Factors!$I$8+(Positions!$E$16*Positions!$R$16)*(Positions!$E$16*Positions!$N$16)*Factors!$D$9*Factors!$D$5*Factors!$E$9+(Positions!$E$16*Positions!$R$16)*(Positions!$E$16*Positions!$O$16)*Factors!$D$9*Factors!$D$6*Factors!$F$9+(Positions!$E$16*Positions!$R$16)*(Positions!$E$16*Positions!$P$16)*Factors!$D$9*Factors!$D$7*Factors!$G$9+(Positions!$E$16*Positions!$R$16)*(Positions!$E$16*Positions!$Q$16)*Factors!$D$9*Factors!$D$8*Factors!$H$9+(Positions!$E$16*Positions!$R$16)*(Positions!$E$16*Positions!$R$16)*Factors!$D$9*Factors!$D$9*Factors!$I$9)/Assumptions!$E$6))</f>
        <v>7.25741637488725</v>
      </c>
      <c r="E16" s="25" t="n">
        <f aca="false">IFERROR('VaR &amp; ES'!$C$7*((Positions!$E$16*Positions!$N$16)*Factors!$D$5*Factors!$C$5*Factors!$D$5*Factors!$E$5+(Positions!$E$16*Positions!$N$16)*Factors!$D$5*Factors!$C$6*Factors!$D$6*Factors!$F$5+(Positions!$E$16*Positions!$N$16)*Factors!$D$5*Factors!$C$7*Factors!$D$7*Factors!$G$5+(Positions!$E$16*Positions!$N$16)*Factors!$D$5*Factors!$C$8*Factors!$D$8*Factors!$H$5+(Positions!$E$16*Positions!$N$16)*Factors!$D$5*Factors!$C$9*Factors!$D$9*Factors!$I$5+(Positions!$E$16*Positions!$O$16)*Factors!$D$6*Factors!$C$5*Factors!$D$5*Factors!$E$6+(Positions!$E$16*Positions!$O$16)*Factors!$D$6*Factors!$C$6*Factors!$D$6*Factors!$F$6+(Positions!$E$16*Positions!$O$16)*Factors!$D$6*Factors!$C$7*Factors!$D$7*Factors!$G$6+(Positions!$E$16*Positions!$O$16)*Factors!$D$6*Factors!$C$8*Factors!$D$8*Factors!$H$6+(Positions!$E$16*Positions!$O$16)*Factors!$D$6*Factors!$C$9*Factors!$D$9*Factors!$I$6+(Positions!$E$16*Positions!$P$16)*Factors!$D$7*Factors!$C$5*Factors!$D$5*Factors!$E$7+(Positions!$E$16*Positions!$P$16)*Factors!$D$7*Factors!$C$6*Factors!$D$6*Factors!$F$7+(Positions!$E$16*Positions!$P$16)*Factors!$D$7*Factors!$C$7*Factors!$D$7*Factors!$G$7+(Positions!$E$16*Positions!$P$16)*Factors!$D$7*Factors!$C$8*Factors!$D$8*Factors!$H$7+(Positions!$E$16*Positions!$P$16)*Factors!$D$7*Factors!$C$9*Factors!$D$9*Factors!$I$7+(Positions!$E$16*Positions!$Q$16)*Factors!$D$8*Factors!$C$5*Factors!$D$5*Factors!$E$8+(Positions!$E$16*Positions!$Q$16)*Factors!$D$8*Factors!$C$6*Factors!$D$6*Factors!$F$8+(Positions!$E$16*Positions!$Q$16)*Factors!$D$8*Factors!$C$7*Factors!$D$7*Factors!$G$8+(Positions!$E$16*Positions!$Q$16)*Factors!$D$8*Factors!$C$8*Factors!$D$8*Factors!$H$8+(Positions!$E$16*Positions!$Q$16)*Factors!$D$8*Factors!$C$9*Factors!$D$9*Factors!$I$8+(Positions!$E$16*Positions!$R$16)*Factors!$D$9*Factors!$C$5*Factors!$D$5*Factors!$E$9+(Positions!$E$16*Positions!$R$16)*Factors!$D$9*Factors!$C$6*Factors!$D$6*Factors!$F$9+(Positions!$E$16*Positions!$R$16)*Factors!$D$9*Factors!$C$7*Factors!$D$7*Factors!$G$9+(Positions!$E$16*Positions!$R$16)*Factors!$D$9*Factors!$C$8*Factors!$D$8*Factors!$H$9+(Positions!$E$16*Positions!$R$16)*Factors!$D$9*Factors!$C$9*Factors!$D$9*Factors!$I$9)/(Factors!$C$13*SQRT(Assumptions!$E$6)),0)</f>
        <v>-7.16547633636662</v>
      </c>
      <c r="F16" s="23" t="n">
        <f aca="false">IFERROR(E16/'VaR &amp; ES'!$C$8,0)</f>
        <v>-0.362009539511947</v>
      </c>
      <c r="G16" s="25" t="n">
        <f aca="false">-MIN((Positions!$E$16*Positions!$N$16*Stress!$C$5+Positions!$E$16*Positions!$O$16*Stress!$D$5+Positions!$E$16*Positions!$P$16*Stress!$E$5+Positions!$E$16*Positions!$Q$16*Stress!$F$5+Positions!$E$16*Positions!$R$16*Stress!$G$5),(Positions!$E$16*Positions!$N$16*Stress!$C$6+Positions!$E$16*Positions!$O$16*Stress!$D$6+Positions!$E$16*Positions!$P$16*Stress!$E$6+Positions!$E$16*Positions!$Q$16*Stress!$F$6+Positions!$E$16*Positions!$R$16*Stress!$G$6),(Positions!$E$16*Positions!$N$16*Stress!$C$7+Positions!$E$16*Positions!$O$16*Stress!$D$7+Positions!$E$16*Positions!$P$16*Stress!$E$7+Positions!$E$16*Positions!$Q$16*Stress!$F$7+Positions!$E$16*Positions!$R$16*Stress!$G$7),(Positions!$E$16*Positions!$N$16*Stress!$C$8+Positions!$E$16*Positions!$O$16*Stress!$D$8+Positions!$E$16*Positions!$P$16*Stress!$E$8+Positions!$E$16*Positions!$Q$16*Stress!$F$8+Positions!$E$16*Positions!$R$16*Stress!$G$8),(Positions!$E$16*Positions!$N$16*Stress!$C$9+Positions!$E$16*Positions!$O$16*Stress!$D$9+Positions!$E$16*Positions!$P$16*Stress!$E$9+Positions!$E$16*Positions!$Q$16*Stress!$F$9+Positions!$E$16*Positions!$R$16*Stress!$G$9),(Positions!$E$16*Positions!$N$16*Stress!$C$10+Positions!$E$16*Positions!$O$16*Stress!$D$10+Positions!$E$16*Positions!$P$16*Stress!$E$10+Positions!$E$16*Positions!$Q$16*Stress!$F$10+Positions!$E$16*Positions!$R$16*Stress!$G$10))</f>
        <v>2.73</v>
      </c>
      <c r="H16" s="25" t="n">
        <f aca="false">Liquidity!G16</f>
        <v>0.211635913776467</v>
      </c>
      <c r="I16" s="25" t="n">
        <f aca="false">ABS(E16)+G16+H16</f>
        <v>10.1071122501431</v>
      </c>
      <c r="J16" s="23" t="n">
        <f aca="false">IFERROR(I16/SUM($I$5:$I$16),0)</f>
        <v>0.0753942472009944</v>
      </c>
    </row>
    <row r="18" customFormat="false" ht="15" hidden="false" customHeight="true" outlineLevel="0" collapsed="false">
      <c r="B18" s="29" t="s">
        <v>185</v>
      </c>
      <c r="C18" s="30" t="n">
        <f aca="false">SUM(C5:C16)</f>
        <v>620</v>
      </c>
      <c r="D18" s="30" t="n">
        <f aca="false">SUM(D5:D16)</f>
        <v>48.8261344964383</v>
      </c>
      <c r="E18" s="30" t="n">
        <f aca="false">SUM(E5:E16)</f>
        <v>25.80891746561</v>
      </c>
      <c r="F18" s="32" t="n">
        <f aca="false">SUM(F5:F16)</f>
        <v>1.3039013581845</v>
      </c>
      <c r="G18" s="30" t="n">
        <f aca="false">SUM(G5:G16)</f>
        <v>91.4315</v>
      </c>
      <c r="H18" s="30" t="n">
        <f aca="false">SUM(H5:H16)</f>
        <v>2.48543957020681</v>
      </c>
      <c r="I18" s="30" t="n">
        <f aca="false">SUM(I5:I16)</f>
        <v>134.05680970855</v>
      </c>
      <c r="J18" s="32" t="n">
        <f aca="false">SUM(J5:J16)</f>
        <v>1</v>
      </c>
    </row>
    <row r="20" customFormat="false" ht="15" hidden="false" customHeight="true" outlineLevel="0" collapsed="false">
      <c r="B20" s="1" t="s">
        <v>219</v>
      </c>
      <c r="C20" s="25" t="n">
        <f aca="false">E18-'VaR &amp; ES'!C8</f>
        <v>6.01530554580546</v>
      </c>
      <c r="D20" s="1" t="str">
        <f aca="false">IF(ABS(C20)&lt;0.01,"PASS","REVIEW")</f>
        <v>REVIEW</v>
      </c>
    </row>
    <row r="21" customFormat="false" ht="15" hidden="false" customHeight="true" outlineLevel="0" collapsed="false">
      <c r="B21" s="1" t="s">
        <v>220</v>
      </c>
      <c r="C21" s="23" t="n">
        <f aca="false">MAX(J5:J16)</f>
        <v>0.351330787451578</v>
      </c>
    </row>
    <row r="22" customFormat="false" ht="15" hidden="false" customHeight="true" outlineLevel="0" collapsed="false">
      <c r="B22" s="1" t="s">
        <v>221</v>
      </c>
      <c r="C22" s="1" t="str">
        <f aca="false">INDEX(B5:B16,MATCH(MAX(J5:J16),J5:J16,0))</f>
        <v>Equity Index Future</v>
      </c>
    </row>
  </sheetData>
  <mergeCells count="1">
    <mergeCell ref="B2:J2"/>
  </mergeCells>
  <conditionalFormatting sqref="D20">
    <cfRule type="expression" priority="2" aboveAverage="0" equalAverage="0" bottom="0" percent="0" rank="0" text="" dxfId="0">
      <formula>D20="PASS"</formula>
    </cfRule>
    <cfRule type="expression" priority="3" aboveAverage="0" equalAverage="0" bottom="0" percent="0" rank="0" text="" dxfId="1">
      <formula>D20="FAIL"</formula>
    </cfRule>
    <cfRule type="expression" priority="4" aboveAverage="0" equalAverage="0" bottom="0" percent="0" rank="0" text="" dxfId="2">
      <formula>D20="REVIEW"</formula>
    </cfRule>
    <cfRule type="expression" priority="5" aboveAverage="0" equalAverage="0" bottom="0" percent="0" rank="0" text="" dxfId="1">
      <formula>D20="BREACH"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8" min="3" style="1" width="13"/>
    <col collapsed="false" customWidth="true" hidden="false" outlineLevel="0" max="9" min="9" style="1" width="16"/>
  </cols>
  <sheetData>
    <row r="2" customFormat="false" ht="27.75" hidden="false" customHeight="true" outlineLevel="0" collapsed="false">
      <c r="B2" s="2" t="s">
        <v>222</v>
      </c>
      <c r="C2" s="2"/>
      <c r="D2" s="2"/>
      <c r="E2" s="2"/>
      <c r="F2" s="2"/>
      <c r="G2" s="2"/>
      <c r="H2" s="2"/>
      <c r="I2" s="2"/>
    </row>
    <row r="4" customFormat="false" ht="15" hidden="false" customHeight="true" outlineLevel="0" collapsed="false">
      <c r="B4" s="16" t="s">
        <v>223</v>
      </c>
      <c r="C4" s="16" t="s">
        <v>164</v>
      </c>
      <c r="D4" s="16" t="s">
        <v>165</v>
      </c>
      <c r="E4" s="16" t="s">
        <v>166</v>
      </c>
      <c r="F4" s="16" t="s">
        <v>167</v>
      </c>
      <c r="G4" s="16" t="s">
        <v>224</v>
      </c>
      <c r="H4" s="16" t="s">
        <v>225</v>
      </c>
      <c r="I4" s="16" t="s">
        <v>226</v>
      </c>
    </row>
    <row r="5" customFormat="false" ht="15" hidden="false" customHeight="true" outlineLevel="0" collapsed="false">
      <c r="B5" s="1" t="s">
        <v>227</v>
      </c>
      <c r="C5" s="22" t="n">
        <v>-0.18</v>
      </c>
      <c r="D5" s="22" t="n">
        <v>-0.015</v>
      </c>
      <c r="E5" s="22" t="n">
        <v>-0.025</v>
      </c>
      <c r="F5" s="22" t="n">
        <v>-0.08</v>
      </c>
      <c r="G5" s="22" t="n">
        <v>0.4</v>
      </c>
      <c r="H5" s="26" t="n">
        <v>0.5</v>
      </c>
      <c r="I5" s="25" t="n">
        <f aca="false">(Factors!$C$5*C5+Factors!$C$6*D5+Factors!$C$7*E5+Factors!$C$8*F5+Factors!$C$9*G5)-(ABS(Positions!$D$5)*MAX(0,Positions!$M$5-1)+ABS(Positions!$D$6)*MAX(0,Positions!$M$6-1)+ABS(Positions!$D$7)*MAX(0,Positions!$M$7-1)+ABS(Positions!$D$8)*MAX(0,Positions!$M$8-1)+ABS(Positions!$D$9)*MAX(0,Positions!$M$9-1)+ABS(Positions!$D$10)*MAX(0,Positions!$M$10-1)+ABS(Positions!$D$11)*MAX(0,Positions!$M$11-1)+ABS(Positions!$D$12)*MAX(0,Positions!$M$12-1)+ABS(Positions!$D$13)*MAX(0,Positions!$M$13-1)+ABS(Positions!$D$14)*MAX(0,Positions!$M$14-1)+ABS(Positions!$D$15)*MAX(0,Positions!$M$15-1)+ABS(Positions!$D$16)*MAX(0,Positions!$M$16-1))*Assumptions!$E$17*(1-H5)</f>
        <v>-14.5805</v>
      </c>
    </row>
    <row r="6" customFormat="false" ht="15" hidden="false" customHeight="true" outlineLevel="0" collapsed="false">
      <c r="B6" s="1" t="s">
        <v>228</v>
      </c>
      <c r="C6" s="22" t="n">
        <v>-0.08</v>
      </c>
      <c r="D6" s="22" t="n">
        <v>0.025</v>
      </c>
      <c r="E6" s="22" t="n">
        <v>0.012</v>
      </c>
      <c r="F6" s="22" t="n">
        <v>0.05</v>
      </c>
      <c r="G6" s="22" t="n">
        <v>0.2</v>
      </c>
      <c r="H6" s="26" t="n">
        <v>0.7</v>
      </c>
      <c r="I6" s="25" t="n">
        <f aca="false">(Factors!$C$5*C6+Factors!$C$6*D6+Factors!$C$7*E6+Factors!$C$8*F6+Factors!$C$9*G6)-(ABS(Positions!$D$5)*MAX(0,Positions!$M$5-1)+ABS(Positions!$D$6)*MAX(0,Positions!$M$6-1)+ABS(Positions!$D$7)*MAX(0,Positions!$M$7-1)+ABS(Positions!$D$8)*MAX(0,Positions!$M$8-1)+ABS(Positions!$D$9)*MAX(0,Positions!$M$9-1)+ABS(Positions!$D$10)*MAX(0,Positions!$M$10-1)+ABS(Positions!$D$11)*MAX(0,Positions!$M$11-1)+ABS(Positions!$D$12)*MAX(0,Positions!$M$12-1)+ABS(Positions!$D$13)*MAX(0,Positions!$M$13-1)+ABS(Positions!$D$14)*MAX(0,Positions!$M$14-1)+ABS(Positions!$D$15)*MAX(0,Positions!$M$15-1)+ABS(Positions!$D$16)*MAX(0,Positions!$M$16-1))*Assumptions!$E$17*(1-H6)</f>
        <v>-32.2592</v>
      </c>
    </row>
    <row r="7" customFormat="false" ht="15" hidden="false" customHeight="true" outlineLevel="0" collapsed="false">
      <c r="B7" s="1" t="s">
        <v>229</v>
      </c>
      <c r="C7" s="22" t="n">
        <v>-0.12</v>
      </c>
      <c r="D7" s="22" t="n">
        <v>-0.01</v>
      </c>
      <c r="E7" s="22" t="n">
        <v>-0.05</v>
      </c>
      <c r="F7" s="22" t="n">
        <v>-0.04</v>
      </c>
      <c r="G7" s="22" t="n">
        <v>0.35</v>
      </c>
      <c r="H7" s="26" t="n">
        <v>0.35</v>
      </c>
      <c r="I7" s="25" t="n">
        <f aca="false">(Factors!$C$5*C7+Factors!$C$6*D7+Factors!$C$7*E7+Factors!$C$8*F7+Factors!$C$9*G7)-(ABS(Positions!$D$5)*MAX(0,Positions!$M$5-1)+ABS(Positions!$D$6)*MAX(0,Positions!$M$6-1)+ABS(Positions!$D$7)*MAX(0,Positions!$M$7-1)+ABS(Positions!$D$8)*MAX(0,Positions!$M$8-1)+ABS(Positions!$D$9)*MAX(0,Positions!$M$9-1)+ABS(Positions!$D$10)*MAX(0,Positions!$M$10-1)+ABS(Positions!$D$11)*MAX(0,Positions!$M$11-1)+ABS(Positions!$D$12)*MAX(0,Positions!$M$12-1)+ABS(Positions!$D$13)*MAX(0,Positions!$M$13-1)+ABS(Positions!$D$14)*MAX(0,Positions!$M$14-1)+ABS(Positions!$D$15)*MAX(0,Positions!$M$15-1)+ABS(Positions!$D$16)*MAX(0,Positions!$M$16-1))*Assumptions!$E$17*(1-H7)</f>
        <v>-4.345</v>
      </c>
    </row>
    <row r="8" customFormat="false" ht="15" hidden="false" customHeight="true" outlineLevel="0" collapsed="false">
      <c r="B8" s="1" t="s">
        <v>230</v>
      </c>
      <c r="C8" s="22" t="n">
        <v>-0.07</v>
      </c>
      <c r="D8" s="22" t="n">
        <v>0.01</v>
      </c>
      <c r="E8" s="22" t="n">
        <v>-0.015</v>
      </c>
      <c r="F8" s="22" t="n">
        <v>0.12</v>
      </c>
      <c r="G8" s="22" t="n">
        <v>0.25</v>
      </c>
      <c r="H8" s="26" t="n">
        <v>0.45</v>
      </c>
      <c r="I8" s="25" t="n">
        <f aca="false">(Factors!$C$5*C8+Factors!$C$6*D8+Factors!$C$7*E8+Factors!$C$8*F8+Factors!$C$9*G8)-(ABS(Positions!$D$5)*MAX(0,Positions!$M$5-1)+ABS(Positions!$D$6)*MAX(0,Positions!$M$6-1)+ABS(Positions!$D$7)*MAX(0,Positions!$M$7-1)+ABS(Positions!$D$8)*MAX(0,Positions!$M$8-1)+ABS(Positions!$D$9)*MAX(0,Positions!$M$9-1)+ABS(Positions!$D$10)*MAX(0,Positions!$M$10-1)+ABS(Positions!$D$11)*MAX(0,Positions!$M$11-1)+ABS(Positions!$D$12)*MAX(0,Positions!$M$12-1)+ABS(Positions!$D$13)*MAX(0,Positions!$M$13-1)+ABS(Positions!$D$14)*MAX(0,Positions!$M$14-1)+ABS(Positions!$D$15)*MAX(0,Positions!$M$15-1)+ABS(Positions!$D$16)*MAX(0,Positions!$M$16-1))*Assumptions!$E$17*(1-H8)</f>
        <v>-18.4115</v>
      </c>
    </row>
    <row r="9" customFormat="false" ht="15" hidden="false" customHeight="true" outlineLevel="0" collapsed="false">
      <c r="B9" s="1" t="s">
        <v>231</v>
      </c>
      <c r="C9" s="22" t="n">
        <v>0.05</v>
      </c>
      <c r="D9" s="22" t="n">
        <v>0.005</v>
      </c>
      <c r="E9" s="22" t="n">
        <v>0.005</v>
      </c>
      <c r="F9" s="22" t="n">
        <v>0</v>
      </c>
      <c r="G9" s="22" t="n">
        <v>-0.3</v>
      </c>
      <c r="H9" s="26" t="n">
        <v>1</v>
      </c>
      <c r="I9" s="25" t="n">
        <f aca="false">(Factors!$C$5*C9+Factors!$C$6*D9+Factors!$C$7*E9+Factors!$C$8*F9+Factors!$C$9*G9)-(ABS(Positions!$D$5)*MAX(0,Positions!$M$5-1)+ABS(Positions!$D$6)*MAX(0,Positions!$M$6-1)+ABS(Positions!$D$7)*MAX(0,Positions!$M$7-1)+ABS(Positions!$D$8)*MAX(0,Positions!$M$8-1)+ABS(Positions!$D$9)*MAX(0,Positions!$M$9-1)+ABS(Positions!$D$10)*MAX(0,Positions!$M$10-1)+ABS(Positions!$D$11)*MAX(0,Positions!$M$11-1)+ABS(Positions!$D$12)*MAX(0,Positions!$M$12-1)+ABS(Positions!$D$13)*MAX(0,Positions!$M$13-1)+ABS(Positions!$D$14)*MAX(0,Positions!$M$14-1)+ABS(Positions!$D$15)*MAX(0,Positions!$M$15-1)+ABS(Positions!$D$16)*MAX(0,Positions!$M$16-1))*Assumptions!$E$17*(1-H9)</f>
        <v>-2.7855</v>
      </c>
    </row>
    <row r="10" customFormat="false" ht="15" hidden="false" customHeight="true" outlineLevel="0" collapsed="false">
      <c r="B10" s="1" t="s">
        <v>232</v>
      </c>
      <c r="C10" s="22" t="n">
        <v>-0.25</v>
      </c>
      <c r="D10" s="22" t="n">
        <v>0</v>
      </c>
      <c r="E10" s="22" t="n">
        <v>-0.01</v>
      </c>
      <c r="F10" s="22" t="n">
        <v>0</v>
      </c>
      <c r="G10" s="22" t="n">
        <v>0.2</v>
      </c>
      <c r="H10" s="26" t="n">
        <v>0.3</v>
      </c>
      <c r="I10" s="25" t="n">
        <f aca="false">(Factors!$C$5*C10+Factors!$C$6*D10+Factors!$C$7*E10+Factors!$C$8*F10+Factors!$C$9*G10)-(ABS(Positions!$D$5)*MAX(0,Positions!$M$5-1)+ABS(Positions!$D$6)*MAX(0,Positions!$M$6-1)+ABS(Positions!$D$7)*MAX(0,Positions!$M$7-1)+ABS(Positions!$D$8)*MAX(0,Positions!$M$8-1)+ABS(Positions!$D$9)*MAX(0,Positions!$M$9-1)+ABS(Positions!$D$10)*MAX(0,Positions!$M$10-1)+ABS(Positions!$D$11)*MAX(0,Positions!$M$11-1)+ABS(Positions!$D$12)*MAX(0,Positions!$M$12-1)+ABS(Positions!$D$13)*MAX(0,Positions!$M$13-1)+ABS(Positions!$D$14)*MAX(0,Positions!$M$14-1)+ABS(Positions!$D$15)*MAX(0,Positions!$M$15-1)+ABS(Positions!$D$16)*MAX(0,Positions!$M$16-1))*Assumptions!$E$17*(1-H10)</f>
        <v>-45.683</v>
      </c>
    </row>
  </sheetData>
  <mergeCells count="1">
    <mergeCell ref="B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8"/>
    <col collapsed="false" customWidth="true" hidden="false" outlineLevel="0" max="3" min="3" style="1" width="16"/>
    <col collapsed="false" customWidth="true" hidden="false" outlineLevel="0" max="4" min="4" style="1" width="12"/>
    <col collapsed="false" customWidth="true" hidden="false" outlineLevel="0" max="5" min="5" style="1" width="20"/>
    <col collapsed="false" customWidth="true" hidden="false" outlineLevel="0" max="6" min="6" style="1" width="14"/>
    <col collapsed="false" customWidth="true" hidden="false" outlineLevel="0" max="7" min="7" style="1" width="16"/>
    <col collapsed="false" customWidth="true" hidden="false" outlineLevel="0" max="8" min="8" style="1" width="12"/>
  </cols>
  <sheetData>
    <row r="2" customFormat="false" ht="27.75" hidden="false" customHeight="true" outlineLevel="0" collapsed="false">
      <c r="B2" s="2" t="s">
        <v>233</v>
      </c>
      <c r="C2" s="2"/>
      <c r="D2" s="2"/>
      <c r="E2" s="2"/>
      <c r="F2" s="2"/>
      <c r="G2" s="2"/>
      <c r="H2" s="2"/>
    </row>
    <row r="4" customFormat="false" ht="15" hidden="false" customHeight="true" outlineLevel="0" collapsed="false">
      <c r="B4" s="16" t="s">
        <v>152</v>
      </c>
      <c r="C4" s="16" t="s">
        <v>155</v>
      </c>
      <c r="D4" s="16" t="s">
        <v>234</v>
      </c>
      <c r="E4" s="16" t="s">
        <v>235</v>
      </c>
      <c r="F4" s="16" t="s">
        <v>236</v>
      </c>
      <c r="G4" s="16" t="s">
        <v>216</v>
      </c>
      <c r="H4" s="16" t="s">
        <v>237</v>
      </c>
    </row>
    <row r="5" customFormat="false" ht="15" hidden="false" customHeight="true" outlineLevel="0" collapsed="false">
      <c r="B5" s="1" t="str">
        <f aca="false">Positions!B5</f>
        <v>Equity Index Future</v>
      </c>
      <c r="C5" s="25" t="n">
        <f aca="false">ABS(Positions!E5)</f>
        <v>120</v>
      </c>
      <c r="D5" s="33" t="n">
        <f aca="false">Positions!M5</f>
        <v>0.2</v>
      </c>
      <c r="E5" s="23" t="n">
        <f aca="false">MIN(1,C5/MAX(1,Assumptions!$E$18)/MAX(1,D5))</f>
        <v>0.48</v>
      </c>
      <c r="F5" s="23" t="n">
        <f aca="false">Assumptions!$E$17*E5^1.5</f>
        <v>0.00997661265159673</v>
      </c>
      <c r="G5" s="25" t="n">
        <f aca="false">C5*F5</f>
        <v>1.19719351819161</v>
      </c>
      <c r="H5" s="1" t="str">
        <f aca="false">IF(D5&gt;5,"YES","NO")</f>
        <v>NO</v>
      </c>
    </row>
    <row r="6" customFormat="false" ht="15" hidden="false" customHeight="true" outlineLevel="0" collapsed="false">
      <c r="B6" s="1" t="str">
        <f aca="false">Positions!B6</f>
        <v>Single Name A</v>
      </c>
      <c r="C6" s="25" t="n">
        <f aca="false">ABS(Positions!E6)</f>
        <v>35</v>
      </c>
      <c r="D6" s="33" t="n">
        <f aca="false">Positions!M6</f>
        <v>1</v>
      </c>
      <c r="E6" s="23" t="n">
        <f aca="false">MIN(1,C6/MAX(1,Assumptions!$E$18)/MAX(1,D6))</f>
        <v>0.14</v>
      </c>
      <c r="F6" s="23" t="n">
        <f aca="false">Assumptions!$E$17*E6^1.5</f>
        <v>0.00157149610244506</v>
      </c>
      <c r="G6" s="25" t="n">
        <f aca="false">C6*F6</f>
        <v>0.055002363585577</v>
      </c>
      <c r="H6" s="1" t="str">
        <f aca="false">IF(D6&gt;5,"YES","NO")</f>
        <v>NO</v>
      </c>
    </row>
    <row r="7" customFormat="false" ht="15" hidden="false" customHeight="true" outlineLevel="0" collapsed="false">
      <c r="B7" s="1" t="str">
        <f aca="false">Positions!B7</f>
        <v>Single Name Put</v>
      </c>
      <c r="C7" s="25" t="n">
        <f aca="false">ABS(Positions!E7)</f>
        <v>25</v>
      </c>
      <c r="D7" s="33" t="n">
        <f aca="false">Positions!M7</f>
        <v>1.5</v>
      </c>
      <c r="E7" s="23" t="n">
        <f aca="false">MIN(1,C7/MAX(1,Assumptions!$E$18)/MAX(1,D7))</f>
        <v>0.0666666666666667</v>
      </c>
      <c r="F7" s="23" t="n">
        <f aca="false">Assumptions!$E$17*E7^1.5</f>
        <v>0.000516397779494322</v>
      </c>
      <c r="G7" s="25" t="n">
        <f aca="false">C7*F7</f>
        <v>0.0129099444873581</v>
      </c>
      <c r="H7" s="1" t="str">
        <f aca="false">IF(D7&gt;5,"YES","NO")</f>
        <v>NO</v>
      </c>
    </row>
    <row r="8" customFormat="false" ht="15" hidden="false" customHeight="true" outlineLevel="0" collapsed="false">
      <c r="B8" s="1" t="str">
        <f aca="false">Positions!B8</f>
        <v>10Y Treasury</v>
      </c>
      <c r="C8" s="25" t="n">
        <f aca="false">ABS(Positions!E8)</f>
        <v>50</v>
      </c>
      <c r="D8" s="33" t="n">
        <f aca="false">Positions!M8</f>
        <v>0.5</v>
      </c>
      <c r="E8" s="23" t="n">
        <f aca="false">MIN(1,C8/MAX(1,Assumptions!$E$18)/MAX(1,D8))</f>
        <v>0.2</v>
      </c>
      <c r="F8" s="23" t="n">
        <f aca="false">Assumptions!$E$17*E8^1.5</f>
        <v>0.00268328157299975</v>
      </c>
      <c r="G8" s="25" t="n">
        <f aca="false">C8*F8</f>
        <v>0.134164078649987</v>
      </c>
      <c r="H8" s="1" t="str">
        <f aca="false">IF(D8&gt;5,"YES","NO")</f>
        <v>NO</v>
      </c>
    </row>
    <row r="9" customFormat="false" ht="15" hidden="false" customHeight="true" outlineLevel="0" collapsed="false">
      <c r="B9" s="1" t="str">
        <f aca="false">Positions!B9</f>
        <v>IG Credit ETF</v>
      </c>
      <c r="C9" s="25" t="n">
        <f aca="false">ABS(Positions!E9)</f>
        <v>50</v>
      </c>
      <c r="D9" s="33" t="n">
        <f aca="false">Positions!M9</f>
        <v>1</v>
      </c>
      <c r="E9" s="23" t="n">
        <f aca="false">MIN(1,C9/MAX(1,Assumptions!$E$18)/MAX(1,D9))</f>
        <v>0.2</v>
      </c>
      <c r="F9" s="23" t="n">
        <f aca="false">Assumptions!$E$17*E9^1.5</f>
        <v>0.00268328157299975</v>
      </c>
      <c r="G9" s="25" t="n">
        <f aca="false">C9*F9</f>
        <v>0.134164078649987</v>
      </c>
      <c r="H9" s="1" t="str">
        <f aca="false">IF(D9&gt;5,"YES","NO")</f>
        <v>NO</v>
      </c>
    </row>
    <row r="10" customFormat="false" ht="15" hidden="false" customHeight="true" outlineLevel="0" collapsed="false">
      <c r="B10" s="1" t="str">
        <f aca="false">Positions!B10</f>
        <v>HY Bond</v>
      </c>
      <c r="C10" s="25" t="n">
        <f aca="false">ABS(Positions!E10)</f>
        <v>40</v>
      </c>
      <c r="D10" s="33" t="n">
        <f aca="false">Positions!M10</f>
        <v>4</v>
      </c>
      <c r="E10" s="23" t="n">
        <f aca="false">MIN(1,C10/MAX(1,Assumptions!$E$18)/MAX(1,D10))</f>
        <v>0.04</v>
      </c>
      <c r="F10" s="23" t="n">
        <f aca="false">Assumptions!$E$17*E10^1.5</f>
        <v>0.00024</v>
      </c>
      <c r="G10" s="25" t="n">
        <f aca="false">C10*F10</f>
        <v>0.0096</v>
      </c>
      <c r="H10" s="1" t="str">
        <f aca="false">IF(D10&gt;5,"YES","NO")</f>
        <v>NO</v>
      </c>
    </row>
    <row r="11" customFormat="false" ht="15" hidden="false" customHeight="true" outlineLevel="0" collapsed="false">
      <c r="B11" s="1" t="str">
        <f aca="false">Positions!B11</f>
        <v>EURUSD Forward</v>
      </c>
      <c r="C11" s="25" t="n">
        <f aca="false">ABS(Positions!E11)</f>
        <v>80</v>
      </c>
      <c r="D11" s="33" t="n">
        <f aca="false">Positions!M11</f>
        <v>0.3</v>
      </c>
      <c r="E11" s="23" t="n">
        <f aca="false">MIN(1,C11/MAX(1,Assumptions!$E$18)/MAX(1,D11))</f>
        <v>0.32</v>
      </c>
      <c r="F11" s="23" t="n">
        <f aca="false">Assumptions!$E$17*E11^1.5</f>
        <v>0.00543058007951269</v>
      </c>
      <c r="G11" s="25" t="n">
        <f aca="false">C11*F11</f>
        <v>0.434446406361015</v>
      </c>
      <c r="H11" s="1" t="str">
        <f aca="false">IF(D11&gt;5,"YES","NO")</f>
        <v>NO</v>
      </c>
    </row>
    <row r="12" customFormat="false" ht="15" hidden="false" customHeight="true" outlineLevel="0" collapsed="false">
      <c r="B12" s="1" t="str">
        <f aca="false">Positions!B12</f>
        <v>Commodity Future</v>
      </c>
      <c r="C12" s="25" t="n">
        <f aca="false">ABS(Positions!E12)</f>
        <v>65</v>
      </c>
      <c r="D12" s="33" t="n">
        <f aca="false">Positions!M12</f>
        <v>0.5</v>
      </c>
      <c r="E12" s="23" t="n">
        <f aca="false">MIN(1,C12/MAX(1,Assumptions!$E$18)/MAX(1,D12))</f>
        <v>0.26</v>
      </c>
      <c r="F12" s="23" t="n">
        <f aca="false">Assumptions!$E$17*E12^1.5</f>
        <v>0.00397723522060237</v>
      </c>
      <c r="G12" s="25" t="n">
        <f aca="false">C12*F12</f>
        <v>0.258520289339154</v>
      </c>
      <c r="H12" s="1" t="str">
        <f aca="false">IF(D12&gt;5,"YES","NO")</f>
        <v>NO</v>
      </c>
    </row>
    <row r="13" customFormat="false" ht="15" hidden="false" customHeight="true" outlineLevel="0" collapsed="false">
      <c r="B13" s="1" t="str">
        <f aca="false">Positions!B13</f>
        <v>Variance Swap</v>
      </c>
      <c r="C13" s="25" t="n">
        <f aca="false">ABS(Positions!E13)</f>
        <v>30</v>
      </c>
      <c r="D13" s="33" t="n">
        <f aca="false">Positions!M13</f>
        <v>2</v>
      </c>
      <c r="E13" s="23" t="n">
        <f aca="false">MIN(1,C13/MAX(1,Assumptions!$E$18)/MAX(1,D13))</f>
        <v>0.06</v>
      </c>
      <c r="F13" s="23" t="n">
        <f aca="false">Assumptions!$E$17*E13^1.5</f>
        <v>0.000440908153700972</v>
      </c>
      <c r="G13" s="25" t="n">
        <f aca="false">C13*F13</f>
        <v>0.0132272446110292</v>
      </c>
      <c r="H13" s="1" t="str">
        <f aca="false">IF(D13&gt;5,"YES","NO")</f>
        <v>NO</v>
      </c>
    </row>
    <row r="14" customFormat="false" ht="15" hidden="false" customHeight="true" outlineLevel="0" collapsed="false">
      <c r="B14" s="1" t="str">
        <f aca="false">Positions!B14</f>
        <v>Private Credit Position</v>
      </c>
      <c r="C14" s="25" t="n">
        <f aca="false">ABS(Positions!E14)</f>
        <v>40</v>
      </c>
      <c r="D14" s="33" t="n">
        <f aca="false">Positions!M14</f>
        <v>20</v>
      </c>
      <c r="E14" s="23" t="n">
        <f aca="false">MIN(1,C14/MAX(1,Assumptions!$E$18)/MAX(1,D14))</f>
        <v>0.008</v>
      </c>
      <c r="F14" s="23" t="n">
        <f aca="false">Assumptions!$E$17*E14^1.5</f>
        <v>2.1466252583998E-005</v>
      </c>
      <c r="G14" s="25" t="n">
        <f aca="false">C14*F14</f>
        <v>0.000858650103359919</v>
      </c>
      <c r="H14" s="1" t="str">
        <f aca="false">IF(D14&gt;5,"YES","NO")</f>
        <v>YES</v>
      </c>
    </row>
    <row r="15" customFormat="false" ht="15" hidden="false" customHeight="true" outlineLevel="0" collapsed="false">
      <c r="B15" s="1" t="str">
        <f aca="false">Positions!B15</f>
        <v>Cash</v>
      </c>
      <c r="C15" s="25" t="n">
        <f aca="false">ABS(Positions!E15)</f>
        <v>25</v>
      </c>
      <c r="D15" s="33" t="n">
        <f aca="false">Positions!M15</f>
        <v>0</v>
      </c>
      <c r="E15" s="23" t="n">
        <f aca="false">MIN(1,C15/MAX(1,Assumptions!$E$18)/MAX(1,D15))</f>
        <v>0.1</v>
      </c>
      <c r="F15" s="23" t="n">
        <f aca="false">Assumptions!$E$17*E15^1.5</f>
        <v>0.000948683298050514</v>
      </c>
      <c r="G15" s="25" t="n">
        <f aca="false">C15*F15</f>
        <v>0.0237170824512628</v>
      </c>
      <c r="H15" s="1" t="str">
        <f aca="false">IF(D15&gt;5,"YES","NO")</f>
        <v>NO</v>
      </c>
    </row>
    <row r="16" customFormat="false" ht="15" hidden="false" customHeight="true" outlineLevel="0" collapsed="false">
      <c r="B16" s="1" t="str">
        <f aca="false">Positions!B16</f>
        <v>Short Equity Basket</v>
      </c>
      <c r="C16" s="25" t="n">
        <f aca="false">ABS(Positions!E16)</f>
        <v>60</v>
      </c>
      <c r="D16" s="33" t="n">
        <f aca="false">Positions!M16</f>
        <v>0.5</v>
      </c>
      <c r="E16" s="23" t="n">
        <f aca="false">MIN(1,C16/MAX(1,Assumptions!$E$18)/MAX(1,D16))</f>
        <v>0.24</v>
      </c>
      <c r="F16" s="23" t="n">
        <f aca="false">Assumptions!$E$17*E16^1.5</f>
        <v>0.00352726522960778</v>
      </c>
      <c r="G16" s="25" t="n">
        <f aca="false">C16*F16</f>
        <v>0.211635913776467</v>
      </c>
      <c r="H16" s="1" t="str">
        <f aca="false">IF(D16&gt;5,"YES","NO")</f>
        <v>NO</v>
      </c>
    </row>
    <row r="19" customFormat="false" ht="15" hidden="false" customHeight="true" outlineLevel="0" collapsed="false">
      <c r="B19" s="1" t="s">
        <v>238</v>
      </c>
      <c r="C19" s="25" t="n">
        <f aca="false">SUMIF(H5:H16,"YES",C5:C16)</f>
        <v>40</v>
      </c>
    </row>
    <row r="20" customFormat="false" ht="15" hidden="false" customHeight="true" outlineLevel="0" collapsed="false">
      <c r="B20" s="1" t="s">
        <v>239</v>
      </c>
      <c r="C20" s="23" t="n">
        <f aca="false">C19/Assumptions!E18</f>
        <v>0.16</v>
      </c>
    </row>
    <row r="21" customFormat="false" ht="15" hidden="false" customHeight="true" outlineLevel="0" collapsed="false">
      <c r="B21" s="1" t="s">
        <v>240</v>
      </c>
      <c r="C21" s="25" t="n">
        <f aca="false">SUM(G5:G16)</f>
        <v>2.48543957020681</v>
      </c>
    </row>
  </sheetData>
  <mergeCells count="1">
    <mergeCell ref="B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8"/>
    <col collapsed="false" customWidth="true" hidden="false" outlineLevel="0" max="3" min="3" style="1" width="16"/>
    <col collapsed="false" customWidth="true" hidden="false" outlineLevel="0" max="4" min="4" style="1" width="14"/>
    <col collapsed="false" customWidth="true" hidden="false" outlineLevel="0" max="7" min="5" style="1" width="18"/>
    <col collapsed="false" customWidth="true" hidden="false" outlineLevel="0" max="8" min="8" style="1" width="32"/>
  </cols>
  <sheetData>
    <row r="2" customFormat="false" ht="27.75" hidden="false" customHeight="true" outlineLevel="0" collapsed="false">
      <c r="B2" s="2" t="s">
        <v>241</v>
      </c>
      <c r="C2" s="2"/>
      <c r="D2" s="2"/>
      <c r="E2" s="2"/>
      <c r="F2" s="2"/>
      <c r="G2" s="2"/>
      <c r="H2" s="2"/>
    </row>
    <row r="4" customFormat="false" ht="15" hidden="false" customHeight="true" outlineLevel="0" collapsed="false">
      <c r="B4" s="16" t="s">
        <v>242</v>
      </c>
      <c r="C4" s="16" t="s">
        <v>188</v>
      </c>
      <c r="D4" s="16" t="s">
        <v>243</v>
      </c>
      <c r="E4" s="16" t="s">
        <v>244</v>
      </c>
      <c r="F4" s="16" t="s">
        <v>245</v>
      </c>
      <c r="G4" s="16" t="s">
        <v>246</v>
      </c>
      <c r="H4" s="16" t="s">
        <v>247</v>
      </c>
    </row>
    <row r="5" customFormat="false" ht="15" hidden="false" customHeight="true" outlineLevel="0" collapsed="false">
      <c r="B5" s="1" t="s">
        <v>164</v>
      </c>
      <c r="C5" s="25" t="n">
        <f aca="false">Factors!C5</f>
        <v>139.6</v>
      </c>
      <c r="D5" s="22" t="n">
        <v>-0.012</v>
      </c>
      <c r="E5" s="25" t="n">
        <f aca="false">C5*D5</f>
        <v>-1.6752</v>
      </c>
      <c r="F5" s="24" t="n">
        <v>0.5</v>
      </c>
      <c r="G5" s="25" t="n">
        <f aca="false">E5+F5</f>
        <v>-1.1752</v>
      </c>
      <c r="H5" s="1" t="s">
        <v>248</v>
      </c>
    </row>
    <row r="6" customFormat="false" ht="15" hidden="false" customHeight="true" outlineLevel="0" collapsed="false">
      <c r="B6" s="1" t="s">
        <v>165</v>
      </c>
      <c r="C6" s="25" t="n">
        <f aca="false">Factors!C6</f>
        <v>-522</v>
      </c>
      <c r="D6" s="22" t="n">
        <v>0.0015</v>
      </c>
      <c r="E6" s="25" t="n">
        <f aca="false">C6*D6</f>
        <v>-0.783</v>
      </c>
      <c r="F6" s="24" t="n">
        <v>0</v>
      </c>
      <c r="G6" s="25" t="n">
        <f aca="false">E6+F6</f>
        <v>-0.783</v>
      </c>
      <c r="H6" s="1" t="s">
        <v>249</v>
      </c>
    </row>
    <row r="7" customFormat="false" ht="15" hidden="false" customHeight="true" outlineLevel="0" collapsed="false">
      <c r="B7" s="1" t="s">
        <v>166</v>
      </c>
      <c r="C7" s="25" t="n">
        <f aca="false">Factors!C7</f>
        <v>-357.1</v>
      </c>
      <c r="D7" s="22" t="n">
        <v>0.002</v>
      </c>
      <c r="E7" s="25" t="n">
        <f aca="false">C7*D7</f>
        <v>-0.7142</v>
      </c>
      <c r="F7" s="24" t="n">
        <v>0</v>
      </c>
      <c r="G7" s="25" t="n">
        <f aca="false">E7+F7</f>
        <v>-0.7142</v>
      </c>
      <c r="H7" s="1" t="s">
        <v>250</v>
      </c>
    </row>
    <row r="8" customFormat="false" ht="15" hidden="false" customHeight="true" outlineLevel="0" collapsed="false">
      <c r="B8" s="1" t="s">
        <v>167</v>
      </c>
      <c r="C8" s="25" t="n">
        <f aca="false">Factors!C8</f>
        <v>7</v>
      </c>
      <c r="D8" s="22" t="n">
        <v>-0.006</v>
      </c>
      <c r="E8" s="25" t="n">
        <f aca="false">C8*D8</f>
        <v>-0.042</v>
      </c>
      <c r="F8" s="24" t="n">
        <v>0</v>
      </c>
      <c r="G8" s="25" t="n">
        <f aca="false">E8+F8</f>
        <v>-0.042</v>
      </c>
      <c r="H8" s="1" t="s">
        <v>251</v>
      </c>
    </row>
    <row r="9" customFormat="false" ht="15" hidden="false" customHeight="true" outlineLevel="0" collapsed="false">
      <c r="B9" s="1" t="s">
        <v>168</v>
      </c>
      <c r="C9" s="25" t="n">
        <f aca="false">Factors!C9</f>
        <v>17.9</v>
      </c>
      <c r="D9" s="22" t="n">
        <v>0.025</v>
      </c>
      <c r="E9" s="25" t="n">
        <f aca="false">C9*D9</f>
        <v>0.4475</v>
      </c>
      <c r="F9" s="24" t="n">
        <v>0.8</v>
      </c>
      <c r="G9" s="25" t="n">
        <f aca="false">E9+F9</f>
        <v>1.2475</v>
      </c>
      <c r="H9" s="1" t="s">
        <v>252</v>
      </c>
    </row>
    <row r="12" customFormat="false" ht="15" hidden="false" customHeight="true" outlineLevel="0" collapsed="false">
      <c r="B12" s="1" t="s">
        <v>246</v>
      </c>
      <c r="G12" s="25" t="n">
        <f aca="false">SUM(G5:G9)</f>
        <v>-1.4669</v>
      </c>
    </row>
    <row r="13" customFormat="false" ht="15" hidden="false" customHeight="true" outlineLevel="0" collapsed="false">
      <c r="B13" s="1" t="s">
        <v>253</v>
      </c>
      <c r="G13" s="24" t="n">
        <v>-1.5</v>
      </c>
    </row>
    <row r="14" customFormat="false" ht="15" hidden="false" customHeight="true" outlineLevel="0" collapsed="false">
      <c r="B14" s="1" t="s">
        <v>254</v>
      </c>
      <c r="G14" s="25" t="n">
        <f aca="false">G13-G12</f>
        <v>-0.0331000000000001</v>
      </c>
    </row>
  </sheetData>
  <mergeCells count="1">
    <mergeCell ref="B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5" min="3" style="1" width="18"/>
    <col collapsed="false" customWidth="true" hidden="false" outlineLevel="0" max="6" min="6" style="1" width="14"/>
  </cols>
  <sheetData>
    <row r="2" customFormat="false" ht="27.75" hidden="false" customHeight="true" outlineLevel="0" collapsed="false">
      <c r="B2" s="2" t="s">
        <v>255</v>
      </c>
      <c r="C2" s="2"/>
      <c r="D2" s="2"/>
      <c r="E2" s="2"/>
      <c r="F2" s="2"/>
    </row>
    <row r="4" customFormat="false" ht="15" hidden="false" customHeight="true" outlineLevel="0" collapsed="false">
      <c r="B4" s="16" t="s">
        <v>256</v>
      </c>
      <c r="C4" s="16" t="s">
        <v>257</v>
      </c>
      <c r="D4" s="16" t="s">
        <v>258</v>
      </c>
      <c r="E4" s="16" t="s">
        <v>259</v>
      </c>
      <c r="F4" s="16" t="s">
        <v>44</v>
      </c>
    </row>
    <row r="5" customFormat="false" ht="15" hidden="false" customHeight="true" outlineLevel="0" collapsed="false">
      <c r="B5" s="1" t="s">
        <v>203</v>
      </c>
      <c r="C5" s="25" t="n">
        <f aca="false">'VaR &amp; ES'!C8</f>
        <v>19.7936119198045</v>
      </c>
      <c r="D5" s="25" t="n">
        <f aca="false">Assumptions!E12</f>
        <v>10</v>
      </c>
      <c r="E5" s="25" t="n">
        <f aca="false">D5-C5</f>
        <v>-9.79361191980452</v>
      </c>
      <c r="F5" s="1" t="str">
        <f aca="false">IF(C5&lt;=D5,"PASS","BREACH")</f>
        <v>BREACH</v>
      </c>
    </row>
    <row r="6" customFormat="false" ht="15" hidden="false" customHeight="true" outlineLevel="0" collapsed="false">
      <c r="B6" s="1" t="s">
        <v>215</v>
      </c>
      <c r="C6" s="25" t="n">
        <f aca="false">-MIN(Stress!I5:I10)</f>
        <v>45.683</v>
      </c>
      <c r="D6" s="25" t="n">
        <f aca="false">Assumptions!E13</f>
        <v>30</v>
      </c>
      <c r="E6" s="25" t="n">
        <f aca="false">D6-C6</f>
        <v>-15.683</v>
      </c>
      <c r="F6" s="1" t="str">
        <f aca="false">IF(C6&lt;=D6,"PASS","BREACH")</f>
        <v>BREACH</v>
      </c>
    </row>
    <row r="7" customFormat="false" ht="15" hidden="false" customHeight="true" outlineLevel="0" collapsed="false">
      <c r="B7" s="1" t="s">
        <v>260</v>
      </c>
      <c r="C7" s="23" t="n">
        <f aca="false">Liquidity!C20</f>
        <v>0.16</v>
      </c>
      <c r="D7" s="23" t="n">
        <f aca="false">Assumptions!E14</f>
        <v>0.2</v>
      </c>
      <c r="E7" s="23" t="n">
        <f aca="false">D7-C7</f>
        <v>0.04</v>
      </c>
      <c r="F7" s="1" t="str">
        <f aca="false">IF(C7&lt;=D7,"PASS","BREACH")</f>
        <v>PASS</v>
      </c>
    </row>
    <row r="8" customFormat="false" ht="15" hidden="false" customHeight="true" outlineLevel="0" collapsed="false">
      <c r="B8" s="1" t="s">
        <v>261</v>
      </c>
      <c r="C8" s="23" t="n">
        <f aca="false">MAX(ABS(Positions!D5:D16))/Assumptions!E18</f>
        <v>0.2</v>
      </c>
      <c r="D8" s="23" t="n">
        <f aca="false">Assumptions!E15</f>
        <v>0.15</v>
      </c>
      <c r="E8" s="23" t="n">
        <f aca="false">D8-C8</f>
        <v>-0.05</v>
      </c>
      <c r="F8" s="1" t="str">
        <f aca="false">IF(C8&lt;=D8,"PASS","BREACH")</f>
        <v>BREACH</v>
      </c>
    </row>
    <row r="9" customFormat="false" ht="15" hidden="false" customHeight="true" outlineLevel="0" collapsed="false">
      <c r="B9" s="1" t="s">
        <v>262</v>
      </c>
      <c r="C9" s="27" t="n">
        <f aca="false">SUM(ABS(Positions!E5:E16))/Assumptions!E18</f>
        <v>0.2</v>
      </c>
      <c r="D9" s="27" t="n">
        <f aca="false">Assumptions!E16</f>
        <v>3</v>
      </c>
      <c r="E9" s="27" t="n">
        <f aca="false">D9-C9</f>
        <v>2.8</v>
      </c>
      <c r="F9" s="1" t="str">
        <f aca="false">IF(C9&lt;=D9,"PASS","BREACH")</f>
        <v>PASS</v>
      </c>
    </row>
    <row r="10" customFormat="false" ht="15" hidden="false" customHeight="true" outlineLevel="0" collapsed="false">
      <c r="B10" s="1" t="s">
        <v>254</v>
      </c>
      <c r="C10" s="25" t="n">
        <f aca="false">ABS('P&amp;L Explain'!G14)</f>
        <v>0.0331000000000001</v>
      </c>
      <c r="D10" s="24" t="n">
        <v>5</v>
      </c>
      <c r="E10" s="25" t="n">
        <f aca="false">D10-C10</f>
        <v>4.9669</v>
      </c>
      <c r="F10" s="1" t="str">
        <f aca="false">IF(C10&lt;=D10,"PASS","BREACH")</f>
        <v>PASS</v>
      </c>
    </row>
  </sheetData>
  <mergeCells count="1">
    <mergeCell ref="B2:F2"/>
  </mergeCells>
  <conditionalFormatting sqref="F5:F10">
    <cfRule type="expression" priority="2" aboveAverage="0" equalAverage="0" bottom="0" percent="0" rank="0" text="" dxfId="0">
      <formula>F5="PASS"</formula>
    </cfRule>
    <cfRule type="expression" priority="3" aboveAverage="0" equalAverage="0" bottom="0" percent="0" rank="0" text="" dxfId="1">
      <formula>F5="FAIL"</formula>
    </cfRule>
    <cfRule type="expression" priority="4" aboveAverage="0" equalAverage="0" bottom="0" percent="0" rank="0" text="" dxfId="2">
      <formula>F5="REVIEW"</formula>
    </cfRule>
    <cfRule type="expression" priority="5" aboveAverage="0" equalAverage="0" bottom="0" percent="0" rank="0" text="" dxfId="1">
      <formula>F5="BREACH"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4"/>
    <col collapsed="false" customWidth="true" hidden="false" outlineLevel="0" max="3" min="3" style="1" width="18"/>
  </cols>
  <sheetData>
    <row r="2" customFormat="false" ht="27.75" hidden="false" customHeight="true" outlineLevel="0" collapsed="false">
      <c r="B2" s="2" t="s">
        <v>263</v>
      </c>
      <c r="C2" s="2"/>
    </row>
    <row r="4" customFormat="false" ht="15" hidden="false" customHeight="true" outlineLevel="0" collapsed="false">
      <c r="B4" s="16" t="s">
        <v>264</v>
      </c>
      <c r="C4" s="16" t="s">
        <v>44</v>
      </c>
    </row>
    <row r="5" customFormat="false" ht="15" hidden="false" customHeight="true" outlineLevel="0" collapsed="false">
      <c r="B5" s="1" t="s">
        <v>265</v>
      </c>
      <c r="C5" s="1" t="str">
        <f aca="false">IF(AND(Factors!E5=1,Factors!F6=1,Factors!G7=1,Factors!H8=1,Factors!I9=1),"PASS","FAIL")</f>
        <v>PASS</v>
      </c>
    </row>
    <row r="6" customFormat="false" ht="15" hidden="false" customHeight="true" outlineLevel="0" collapsed="false">
      <c r="B6" s="1" t="s">
        <v>266</v>
      </c>
      <c r="C6" s="1" t="str">
        <f aca="false">IF(AND(MIN(Factors!E5:I9)&gt;=-1,MAX(Factors!E5:I9)&lt;=1),"PASS","FAIL")</f>
        <v>PASS</v>
      </c>
    </row>
    <row r="7" customFormat="false" ht="15" hidden="false" customHeight="true" outlineLevel="0" collapsed="false">
      <c r="B7" s="1" t="s">
        <v>267</v>
      </c>
      <c r="C7" s="1" t="str">
        <f aca="false">IF(Factors!C12&gt;=0,"PASS","FAIL")</f>
        <v>PASS</v>
      </c>
    </row>
    <row r="8" customFormat="false" ht="15" hidden="false" customHeight="true" outlineLevel="0" collapsed="false">
      <c r="B8" s="1" t="s">
        <v>268</v>
      </c>
      <c r="C8" s="1" t="str">
        <f aca="false">IF(AND('VaR &amp; ES'!C8&gt;=0,'VaR &amp; ES'!C9&gt;='VaR &amp; ES'!C8),"PASS","FAIL")</f>
        <v>PASS</v>
      </c>
    </row>
    <row r="9" customFormat="false" ht="15" hidden="false" customHeight="true" outlineLevel="0" collapsed="false">
      <c r="B9" s="1" t="s">
        <v>269</v>
      </c>
      <c r="C9" s="1" t="str">
        <f aca="false">IF(COUNTIF(Limits!F5:F10,"BREACH")=0,"PASS","REVIEW")</f>
        <v>REVIEW</v>
      </c>
    </row>
    <row r="10" customFormat="false" ht="15" hidden="false" customHeight="true" outlineLevel="0" collapsed="false">
      <c r="B10" s="1" t="s">
        <v>270</v>
      </c>
      <c r="C10" s="1" t="str">
        <f aca="false">IF(Liquidity!C21&gt;=0,"PASS","FAIL")</f>
        <v>PASS</v>
      </c>
    </row>
    <row r="11" customFormat="false" ht="15" hidden="false" customHeight="true" outlineLevel="0" collapsed="false">
      <c r="B11" s="1" t="s">
        <v>271</v>
      </c>
      <c r="C11" s="1" t="str">
        <f aca="false">IF(COUNTA(Positions!B5:B16)=12,"PASS","FAIL")</f>
        <v>PASS</v>
      </c>
    </row>
    <row r="12" customFormat="false" ht="15" hidden="false" customHeight="true" outlineLevel="0" collapsed="false">
      <c r="B12" s="1" t="s">
        <v>272</v>
      </c>
      <c r="C12" s="1" t="str">
        <f aca="false">IF(COUNT('P&amp;L Explain'!G5:G9)=5,"PASS","FAIL")</f>
        <v>PASS</v>
      </c>
    </row>
    <row r="13" customFormat="false" ht="15" hidden="false" customHeight="true" outlineLevel="0" collapsed="false">
      <c r="B13" s="1" t="s">
        <v>273</v>
      </c>
      <c r="C13" s="1" t="str">
        <f aca="false">IF(COUNTIF(C5:C12,"FAIL")=0,"PASS","FAIL")</f>
        <v>PASS</v>
      </c>
    </row>
  </sheetData>
  <mergeCells count="1">
    <mergeCell ref="B2:C2"/>
  </mergeCells>
  <conditionalFormatting sqref="C5:C13">
    <cfRule type="expression" priority="2" aboveAverage="0" equalAverage="0" bottom="0" percent="0" rank="0" text="" dxfId="0">
      <formula>C5="PASS"</formula>
    </cfRule>
    <cfRule type="expression" priority="3" aboveAverage="0" equalAverage="0" bottom="0" percent="0" rank="0" text="" dxfId="1">
      <formula>C5="FAIL"</formula>
    </cfRule>
    <cfRule type="expression" priority="4" aboveAverage="0" equalAverage="0" bottom="0" percent="0" rank="0" text="" dxfId="2">
      <formula>C5="REVIEW"</formula>
    </cfRule>
    <cfRule type="expression" priority="5" aboveAverage="0" equalAverage="0" bottom="0" percent="0" rank="0" text="" dxfId="1">
      <formula>C5="BREACH"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3" min="3" style="1" width="58"/>
    <col collapsed="false" customWidth="true" hidden="false" outlineLevel="0" max="4" min="4" style="1" width="16"/>
    <col collapsed="false" customWidth="true" hidden="false" outlineLevel="0" max="5" min="5" style="1" width="48"/>
  </cols>
  <sheetData>
    <row r="2" customFormat="false" ht="27.75" hidden="false" customHeight="true" outlineLevel="0" collapsed="false">
      <c r="B2" s="2" t="s">
        <v>274</v>
      </c>
      <c r="C2" s="2"/>
      <c r="D2" s="2"/>
      <c r="E2" s="2"/>
    </row>
    <row r="4" customFormat="false" ht="15" hidden="false" customHeight="true" outlineLevel="0" collapsed="false">
      <c r="B4" s="16" t="s">
        <v>275</v>
      </c>
      <c r="C4" s="16" t="s">
        <v>276</v>
      </c>
      <c r="D4" s="16" t="s">
        <v>110</v>
      </c>
      <c r="E4" s="16" t="s">
        <v>277</v>
      </c>
    </row>
    <row r="5" customFormat="false" ht="15" hidden="false" customHeight="true" outlineLevel="0" collapsed="false">
      <c r="B5" s="34" t="s">
        <v>278</v>
      </c>
      <c r="C5" s="34" t="s">
        <v>279</v>
      </c>
      <c r="D5" s="34" t="s">
        <v>280</v>
      </c>
      <c r="E5" s="34" t="s">
        <v>281</v>
      </c>
    </row>
    <row r="6" customFormat="false" ht="15" hidden="false" customHeight="true" outlineLevel="0" collapsed="false">
      <c r="B6" s="34" t="s">
        <v>282</v>
      </c>
      <c r="C6" s="34" t="s">
        <v>283</v>
      </c>
      <c r="D6" s="34" t="s">
        <v>284</v>
      </c>
      <c r="E6" s="34" t="s">
        <v>285</v>
      </c>
    </row>
    <row r="7" customFormat="false" ht="15" hidden="false" customHeight="true" outlineLevel="0" collapsed="false">
      <c r="B7" s="34" t="s">
        <v>286</v>
      </c>
      <c r="C7" s="34" t="s">
        <v>287</v>
      </c>
      <c r="D7" s="34" t="s">
        <v>280</v>
      </c>
      <c r="E7" s="34" t="s">
        <v>288</v>
      </c>
    </row>
    <row r="8" customFormat="false" ht="15" hidden="false" customHeight="true" outlineLevel="0" collapsed="false">
      <c r="B8" s="34" t="s">
        <v>289</v>
      </c>
      <c r="C8" s="34" t="s">
        <v>290</v>
      </c>
      <c r="D8" s="34" t="s">
        <v>291</v>
      </c>
      <c r="E8" s="34" t="s">
        <v>292</v>
      </c>
    </row>
    <row r="9" customFormat="false" ht="15" hidden="false" customHeight="true" outlineLevel="0" collapsed="false">
      <c r="B9" s="34" t="s">
        <v>293</v>
      </c>
      <c r="C9" s="34" t="s">
        <v>294</v>
      </c>
      <c r="D9" s="34" t="s">
        <v>295</v>
      </c>
      <c r="E9" s="34" t="s">
        <v>296</v>
      </c>
    </row>
    <row r="10" customFormat="false" ht="15" hidden="false" customHeight="false" outlineLevel="0" collapsed="false">
      <c r="B10" s="35" t="s">
        <v>297</v>
      </c>
      <c r="C10" s="35" t="s">
        <v>298</v>
      </c>
      <c r="D10" s="35" t="s">
        <v>6</v>
      </c>
      <c r="E10" s="35" t="s">
        <v>299</v>
      </c>
    </row>
    <row r="11" customFormat="false" ht="15" hidden="false" customHeight="false" outlineLevel="0" collapsed="false">
      <c r="B11" s="35" t="s">
        <v>300</v>
      </c>
      <c r="C11" s="35" t="s">
        <v>301</v>
      </c>
      <c r="D11" s="35" t="s">
        <v>6</v>
      </c>
      <c r="E11" s="35" t="s">
        <v>302</v>
      </c>
    </row>
    <row r="12" customFormat="false" ht="15" hidden="false" customHeight="false" outlineLevel="0" collapsed="false">
      <c r="B12" s="35" t="s">
        <v>303</v>
      </c>
      <c r="C12" s="35" t="s">
        <v>304</v>
      </c>
      <c r="D12" s="35" t="s">
        <v>6</v>
      </c>
      <c r="E12" s="35" t="s">
        <v>305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4"/>
    <col collapsed="false" customWidth="true" hidden="false" outlineLevel="0" max="3" min="3" style="1" width="22"/>
    <col collapsed="false" customWidth="true" hidden="false" outlineLevel="0" max="4" min="4" style="1" width="28"/>
    <col collapsed="false" customWidth="true" hidden="false" outlineLevel="0" max="5" min="5" style="1" width="38"/>
    <col collapsed="false" customWidth="true" hidden="false" outlineLevel="0" max="6" min="6" style="1" width="34"/>
    <col collapsed="false" customWidth="true" hidden="false" outlineLevel="0" max="7" min="7" style="1" width="18"/>
  </cols>
  <sheetData>
    <row r="2" customFormat="false" ht="27.75" hidden="false" customHeight="true" outlineLevel="0" collapsed="false">
      <c r="B2" s="2" t="s">
        <v>306</v>
      </c>
      <c r="C2" s="2"/>
      <c r="D2" s="2"/>
      <c r="E2" s="2"/>
      <c r="F2" s="2"/>
      <c r="G2" s="2"/>
    </row>
    <row r="4" customFormat="false" ht="15" hidden="false" customHeight="true" outlineLevel="0" collapsed="false">
      <c r="B4" s="16" t="s">
        <v>98</v>
      </c>
      <c r="C4" s="16" t="s">
        <v>307</v>
      </c>
      <c r="D4" s="16" t="s">
        <v>308</v>
      </c>
      <c r="E4" s="16" t="s">
        <v>309</v>
      </c>
      <c r="F4" s="16" t="s">
        <v>310</v>
      </c>
      <c r="G4" s="16" t="s">
        <v>311</v>
      </c>
    </row>
    <row r="5" customFormat="false" ht="15" hidden="false" customHeight="true" outlineLevel="0" collapsed="false">
      <c r="B5" s="36" t="s">
        <v>312</v>
      </c>
      <c r="C5" s="36" t="s">
        <v>313</v>
      </c>
      <c r="D5" s="36" t="s">
        <v>304</v>
      </c>
      <c r="E5" s="36" t="s">
        <v>314</v>
      </c>
      <c r="F5" s="36" t="s">
        <v>315</v>
      </c>
      <c r="G5" s="36" t="s">
        <v>316</v>
      </c>
    </row>
    <row r="6" customFormat="false" ht="15" hidden="false" customHeight="true" outlineLevel="0" collapsed="false">
      <c r="B6" s="36"/>
      <c r="C6" s="36"/>
      <c r="D6" s="36"/>
      <c r="E6" s="36"/>
      <c r="F6" s="36"/>
      <c r="G6" s="36"/>
    </row>
    <row r="7" customFormat="false" ht="15" hidden="false" customHeight="true" outlineLevel="0" collapsed="false">
      <c r="B7" s="36"/>
      <c r="C7" s="36"/>
      <c r="D7" s="36"/>
      <c r="E7" s="36"/>
      <c r="F7" s="36"/>
      <c r="G7" s="36"/>
    </row>
    <row r="8" customFormat="false" ht="15" hidden="false" customHeight="true" outlineLevel="0" collapsed="false">
      <c r="B8" s="36"/>
      <c r="C8" s="36"/>
      <c r="D8" s="36"/>
      <c r="E8" s="36"/>
      <c r="F8" s="36"/>
      <c r="G8" s="36"/>
    </row>
    <row r="9" customFormat="false" ht="15" hidden="false" customHeight="true" outlineLevel="0" collapsed="false">
      <c r="B9" s="36"/>
      <c r="C9" s="36"/>
      <c r="D9" s="36"/>
      <c r="E9" s="36"/>
      <c r="F9" s="36"/>
      <c r="G9" s="36"/>
    </row>
    <row r="10" customFormat="false" ht="15" hidden="false" customHeight="true" outlineLevel="0" collapsed="false">
      <c r="B10" s="36"/>
      <c r="C10" s="36"/>
      <c r="D10" s="36"/>
      <c r="E10" s="36"/>
      <c r="F10" s="36"/>
      <c r="G10" s="36"/>
    </row>
    <row r="11" customFormat="false" ht="15" hidden="false" customHeight="true" outlineLevel="0" collapsed="false">
      <c r="B11" s="36"/>
      <c r="C11" s="36"/>
      <c r="D11" s="36"/>
      <c r="E11" s="36"/>
      <c r="F11" s="36"/>
      <c r="G11" s="36"/>
    </row>
    <row r="12" customFormat="false" ht="15" hidden="false" customHeight="true" outlineLevel="0" collapsed="false">
      <c r="B12" s="36"/>
      <c r="C12" s="36"/>
      <c r="D12" s="36"/>
      <c r="E12" s="36"/>
      <c r="F12" s="36"/>
      <c r="G12" s="36"/>
    </row>
    <row r="13" customFormat="false" ht="15" hidden="false" customHeight="true" outlineLevel="0" collapsed="false">
      <c r="B13" s="36"/>
      <c r="C13" s="36"/>
      <c r="D13" s="36"/>
      <c r="E13" s="36"/>
      <c r="F13" s="36"/>
      <c r="G13" s="36"/>
    </row>
    <row r="14" customFormat="false" ht="15" hidden="false" customHeight="true" outlineLevel="0" collapsed="false">
      <c r="B14" s="36"/>
      <c r="C14" s="36"/>
      <c r="D14" s="36"/>
      <c r="E14" s="36"/>
      <c r="F14" s="36"/>
      <c r="G14" s="36"/>
    </row>
    <row r="15" customFormat="false" ht="15" hidden="false" customHeight="true" outlineLevel="0" collapsed="false">
      <c r="B15" s="36"/>
      <c r="C15" s="36"/>
      <c r="D15" s="36"/>
      <c r="E15" s="36"/>
      <c r="F15" s="36"/>
      <c r="G15" s="36"/>
    </row>
    <row r="16" customFormat="false" ht="15" hidden="false" customHeight="true" outlineLevel="0" collapsed="false">
      <c r="B16" s="36"/>
      <c r="C16" s="36"/>
      <c r="D16" s="36"/>
      <c r="E16" s="36"/>
      <c r="F16" s="36"/>
      <c r="G16" s="36"/>
    </row>
    <row r="17" customFormat="false" ht="15" hidden="false" customHeight="true" outlineLevel="0" collapsed="false">
      <c r="B17" s="36"/>
      <c r="C17" s="36"/>
      <c r="D17" s="36"/>
      <c r="E17" s="36"/>
      <c r="F17" s="36"/>
      <c r="G17" s="36"/>
    </row>
    <row r="18" customFormat="false" ht="15" hidden="false" customHeight="true" outlineLevel="0" collapsed="false">
      <c r="B18" s="36"/>
      <c r="C18" s="36"/>
      <c r="D18" s="36"/>
      <c r="E18" s="36"/>
      <c r="F18" s="36"/>
      <c r="G18" s="36"/>
    </row>
    <row r="19" customFormat="false" ht="15" hidden="false" customHeight="true" outlineLevel="0" collapsed="false">
      <c r="B19" s="36"/>
      <c r="C19" s="36"/>
      <c r="D19" s="36"/>
      <c r="E19" s="36"/>
      <c r="F19" s="36"/>
      <c r="G19" s="36"/>
    </row>
    <row r="20" customFormat="false" ht="15" hidden="false" customHeight="true" outlineLevel="0" collapsed="false">
      <c r="B20" s="36"/>
      <c r="C20" s="36"/>
      <c r="D20" s="36"/>
      <c r="E20" s="36"/>
      <c r="F20" s="36"/>
      <c r="G20" s="36"/>
    </row>
    <row r="21" customFormat="false" ht="15" hidden="false" customHeight="true" outlineLevel="0" collapsed="false">
      <c r="B21" s="36"/>
      <c r="C21" s="36"/>
      <c r="D21" s="36"/>
      <c r="E21" s="36"/>
      <c r="F21" s="36"/>
      <c r="G21" s="36"/>
    </row>
    <row r="22" customFormat="false" ht="15" hidden="false" customHeight="true" outlineLevel="0" collapsed="false">
      <c r="B22" s="36"/>
      <c r="C22" s="36"/>
      <c r="D22" s="36"/>
      <c r="E22" s="36"/>
      <c r="F22" s="36"/>
      <c r="G22" s="36"/>
    </row>
    <row r="23" customFormat="false" ht="15" hidden="false" customHeight="true" outlineLevel="0" collapsed="false">
      <c r="B23" s="36"/>
      <c r="C23" s="36"/>
      <c r="D23" s="36"/>
      <c r="E23" s="36"/>
      <c r="F23" s="36"/>
      <c r="G23" s="36"/>
    </row>
    <row r="24" customFormat="false" ht="15" hidden="false" customHeight="true" outlineLevel="0" collapsed="false">
      <c r="B24" s="36"/>
      <c r="C24" s="36"/>
      <c r="D24" s="36"/>
      <c r="E24" s="36"/>
      <c r="F24" s="36"/>
      <c r="G24" s="36"/>
    </row>
    <row r="25" customFormat="false" ht="15" hidden="false" customHeight="true" outlineLevel="0" collapsed="false">
      <c r="B25" s="36"/>
      <c r="C25" s="36"/>
      <c r="D25" s="36"/>
      <c r="E25" s="36"/>
      <c r="F25" s="36"/>
      <c r="G25" s="36"/>
    </row>
    <row r="26" customFormat="false" ht="15" hidden="false" customHeight="true" outlineLevel="0" collapsed="false">
      <c r="B26" s="36"/>
      <c r="C26" s="36"/>
      <c r="D26" s="36"/>
      <c r="E26" s="36"/>
      <c r="F26" s="36"/>
      <c r="G26" s="36"/>
    </row>
    <row r="27" customFormat="false" ht="15" hidden="false" customHeight="true" outlineLevel="0" collapsed="false">
      <c r="B27" s="36"/>
      <c r="C27" s="36"/>
      <c r="D27" s="36"/>
      <c r="E27" s="36"/>
      <c r="F27" s="36"/>
      <c r="G27" s="36"/>
    </row>
    <row r="28" customFormat="false" ht="15" hidden="false" customHeight="true" outlineLevel="0" collapsed="false">
      <c r="B28" s="36"/>
      <c r="C28" s="36"/>
      <c r="D28" s="36"/>
      <c r="E28" s="36"/>
      <c r="F28" s="36"/>
      <c r="G28" s="36"/>
    </row>
    <row r="29" customFormat="false" ht="15" hidden="false" customHeight="true" outlineLevel="0" collapsed="false">
      <c r="B29" s="36"/>
      <c r="C29" s="36"/>
      <c r="D29" s="36"/>
      <c r="E29" s="36"/>
      <c r="F29" s="36"/>
      <c r="G29" s="36"/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2026-08-04T03:47:42Z</dcterms:created>
  <dc:creator>openpyxl</dc:creator>
  <dc:description/>
  <dc:language>en-US</dc:language>
  <cp:lastModifiedBy/>
  <dcterms:modified xsi:type="dcterms:W3CDTF">2026-08-04T18:30:38Z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