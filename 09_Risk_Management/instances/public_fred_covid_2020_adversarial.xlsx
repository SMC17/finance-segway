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ositions" sheetId="6" state="visible" r:id="rId8"/>
    <sheet name="Factors" sheetId="7" state="visible" r:id="rId9"/>
    <sheet name="VaR &amp; ES" sheetId="8" state="visible" r:id="rId10"/>
    <sheet name="Risk Contributions" sheetId="9" state="visible" r:id="rId11"/>
    <sheet name="Stress" sheetId="10" state="visible" r:id="rId12"/>
    <sheet name="Liquidity" sheetId="11" state="visible" r:id="rId13"/>
    <sheet name="P&amp;L Explain" sheetId="12" state="visible" r:id="rId14"/>
    <sheet name="Limits" sheetId="13" state="visible" r:id="rId15"/>
    <sheet name="Checks" sheetId="14" state="visible" r:id="rId16"/>
    <sheet name="Sources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<sst xmlns="http://schemas.openxmlformats.org/spreadsheetml/2006/main" count="457" uniqueCount="320">
  <si>
    <t xml:space="preserve">[PORTFOLIO] — Multi-Asset Risk Model</t>
  </si>
  <si>
    <t xml:space="preserve">Portfolio / desk:</t>
  </si>
  <si>
    <t xml:space="preserve">March 2020 public-market shock</t>
  </si>
  <si>
    <t xml:space="preserve">Risk horizon:</t>
  </si>
  <si>
    <t xml:space="preserve">1-day and stressed liquidation</t>
  </si>
  <si>
    <t xml:space="preserve">Last refreshed:</t>
  </si>
  <si>
    <t xml:space="preserve">2020-03-16</t>
  </si>
  <si>
    <t xml:space="preserve">Next limit review:</t>
  </si>
  <si>
    <t xml:space="preserve">[date]</t>
  </si>
  <si>
    <t xml:space="preserve">Refresh cadence:</t>
  </si>
  <si>
    <t xml:space="preserve">Intraday / daily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</si>
  <si>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</si>
  <si>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</si>
  <si>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</si>
  <si>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</si>
  <si>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</si>
  <si>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</si>
  <si>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</si>
  <si>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</si>
  <si>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</si>
  <si>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</si>
  <si>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</si>
  <si>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</si>
  <si>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</si>
  <si>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Risk Management — Institutional Decision Surface</t>
  </si>
  <si>
    <t xml:space="preserve">Model ID</t>
  </si>
  <si>
    <t xml:space="preserve">09</t>
  </si>
  <si>
    <t xml:space="preserve">Domain</t>
  </si>
  <si>
    <t xml:space="preserve">Risk Management</t>
  </si>
  <si>
    <t xml:space="preserve">Declared maturity</t>
  </si>
  <si>
    <t xml:space="preserve">M2</t>
  </si>
  <si>
    <t xml:space="preserve">Canonical builder</t>
  </si>
  <si>
    <t xml:space="preserve">tools/builders/build_risk_release.py</t>
  </si>
  <si>
    <t xml:space="preserve">Decision arena</t>
  </si>
  <si>
    <t xml:space="preserve">trading desk, independent risk, model validation, senior risk committee and regulator</t>
  </si>
  <si>
    <t xml:space="preserve">Committee artifact</t>
  </si>
  <si>
    <t xml:space="preserve">daily risk and limit pack</t>
  </si>
  <si>
    <t xml:space="preserve">Operating cadence</t>
  </si>
  <si>
    <t xml:space="preserve">intraday monitoring; daily sign-off; monthly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</si>
  <si>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</si>
  <si>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</si>
  <si>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</si>
  <si>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</si>
  <si>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</si>
  <si>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</si>
  <si>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VaR / ES and stress loss</t>
  </si>
  <si>
    <t xml:space="preserve">OPEN</t>
  </si>
  <si>
    <t xml:space="preserve">factor and component risk</t>
  </si>
  <si>
    <t xml:space="preserve">liquidity horizon and liquidation cost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</si>
  <si>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</si>
  <si>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</si>
  <si>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</si>
  <si>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risk is missing from the factor map?</t>
  </si>
  <si>
    <t xml:space="preserve">Where does diversification disappear under stress?</t>
  </si>
  <si>
    <t xml:space="preserve">Which desk would fail model eligibility?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</si>
  <si>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</si>
  <si>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</si>
  <si>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</si>
  <si>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historical and hypothetical stress</t>
  </si>
  <si>
    <t xml:space="preserve">correlation break</t>
  </si>
  <si>
    <t xml:space="preserve">basis and spread dislocation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</si>
  <si>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</si>
  <si>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</si>
  <si>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</si>
  <si>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risk appetite and limits</t>
  </si>
  <si>
    <t xml:space="preserve">product control P&amp;L</t>
  </si>
  <si>
    <t xml:space="preserve">market data hierarchy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</si>
  <si>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</si>
  <si>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</si>
  <si>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</si>
  <si>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component risk reconciles to total</t>
  </si>
  <si>
    <t xml:space="preserve">ES not below VaR at same confidence</t>
  </si>
  <si>
    <t xml:space="preserve">stress loss sign conventions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</si>
  <si>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</si>
  <si>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</si>
  <si>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</si>
  <si>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diversification masking concentration</t>
  </si>
  <si>
    <t xml:space="preserve">using stale sensitivities</t>
  </si>
  <si>
    <t xml:space="preserve">mapping risks to wrong buckets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</si>
  <si>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</si>
  <si>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</si>
  <si>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</si>
  <si>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</si>
  <si>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</si>
  <si>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</si>
  <si>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</si>
  <si>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</si>
  <si>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</si>
  <si>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</si>
  <si>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</si>
  <si>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</si>
  <si>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</si>
  <si>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</si>
  <si>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</si>
  <si>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</si>
  <si>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</si>
  <si>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</si>
  <si>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</si>
  <si>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</si>
  <si>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</si>
  <si>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</si>
  <si>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</si>
  <si>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</si>
  <si>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</si>
  <si>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</si>
  <si>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</si>
  <si>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</si>
  <si>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</si>
  <si>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</si>
  <si>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</si>
  <si>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</si>
  <si>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</si>
  <si>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</si>
  <si>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</t>
  </si>
  <si>
    <t xml:space="preserve">intraday/daily</t>
  </si>
  <si>
    <t xml:space="preserve">front-to-back reconciliation</t>
  </si>
  <si>
    <t xml:space="preserve">TO MAP</t>
  </si>
  <si>
    <t xml:space="preserve">market data</t>
  </si>
  <si>
    <t xml:space="preserve">source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</si>
  <si>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</si>
  <si>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</si>
  <si>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</si>
  <si>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</si>
  <si>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</si>
  <si>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</si>
  <si>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Risk and Liquidity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</si>
  <si>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</si>
  <si>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</si>
  <si>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</si>
  <si>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</si>
  <si>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VaR confidence</t>
  </si>
  <si>
    <t xml:space="preserve">%</t>
  </si>
  <si>
    <t xml:space="preserve">Trading days per year</t>
  </si>
  <si>
    <t xml:space="preserve">days</t>
  </si>
  <si>
    <t xml:space="preserve">Equity annual volatility</t>
  </si>
  <si>
    <t xml:space="preserve">Rates annual volatility</t>
  </si>
  <si>
    <t xml:space="preserve">yield change</t>
  </si>
  <si>
    <t xml:space="preserve">Credit annual volatility</t>
  </si>
  <si>
    <t xml:space="preserve">spread change</t>
  </si>
  <si>
    <t xml:space="preserve">FX annual volatility</t>
  </si>
  <si>
    <t xml:space="preserve">Volatility-factor annual volatility</t>
  </si>
  <si>
    <t xml:space="preserve">Maximum portfolio VaR</t>
  </si>
  <si>
    <t xml:space="preserve">$mm</t>
  </si>
  <si>
    <t xml:space="preserve">Maximum stress loss</t>
  </si>
  <si>
    <t xml:space="preserve">Maximum illiquid NAV</t>
  </si>
  <si>
    <t xml:space="preserve">Maximum single-name concentration</t>
  </si>
  <si>
    <t xml:space="preserve">Maximum gross leverage</t>
  </si>
  <si>
    <t xml:space="preserve">x</t>
  </si>
  <si>
    <t xml:space="preserve">Liquidity impact coefficient</t>
  </si>
  <si>
    <t xml:space="preserve">loss coefficient</t>
  </si>
  <si>
    <t xml:space="preserve">Available capital / NAV</t>
  </si>
  <si>
    <t xml:space="preserve">Position-Level Risk Inventory</t>
  </si>
  <si>
    <t xml:space="preserve">Instrument</t>
  </si>
  <si>
    <t xml:space="preserve">Asset class</t>
  </si>
  <si>
    <t xml:space="preserve">Market value</t>
  </si>
  <si>
    <t xml:space="preserve">Gross notional</t>
  </si>
  <si>
    <t xml:space="preserve">Delta</t>
  </si>
  <si>
    <t xml:space="preserve">Beta</t>
  </si>
  <si>
    <t xml:space="preserve">Duration</t>
  </si>
  <si>
    <t xml:space="preserve">Spread duration</t>
  </si>
  <si>
    <t xml:space="preserve">DV01</t>
  </si>
  <si>
    <t xml:space="preserve">Vega</t>
  </si>
  <si>
    <t xml:space="preserve">FX delta</t>
  </si>
  <si>
    <t xml:space="preserve">Days to liquidate</t>
  </si>
  <si>
    <t xml:space="preserve">Equity</t>
  </si>
  <si>
    <t xml:space="preserve">Rates</t>
  </si>
  <si>
    <t xml:space="preserve">Credit</t>
  </si>
  <si>
    <t xml:space="preserve">FX</t>
  </si>
  <si>
    <t xml:space="preserve">Volatility</t>
  </si>
  <si>
    <t xml:space="preserve">Weighted risk exposure</t>
  </si>
  <si>
    <t xml:space="preserve">Equity Index Future</t>
  </si>
  <si>
    <t xml:space="preserve">Single Name A</t>
  </si>
  <si>
    <t xml:space="preserve">Single Name Put</t>
  </si>
  <si>
    <t xml:space="preserve">Option</t>
  </si>
  <si>
    <t xml:space="preserve">10Y Treasury</t>
  </si>
  <si>
    <t xml:space="preserve">IG Credit ETF</t>
  </si>
  <si>
    <t xml:space="preserve">HY Bond</t>
  </si>
  <si>
    <t xml:space="preserve">EURUSD Forward</t>
  </si>
  <si>
    <t xml:space="preserve">Commodity Future</t>
  </si>
  <si>
    <t xml:space="preserve">Commodity</t>
  </si>
  <si>
    <t xml:space="preserve">Variance Swap</t>
  </si>
  <si>
    <t xml:space="preserve">Private Credit Position</t>
  </si>
  <si>
    <t xml:space="preserve">Private</t>
  </si>
  <si>
    <t xml:space="preserve">Cash</t>
  </si>
  <si>
    <t xml:space="preserve">Short Equity Basket</t>
  </si>
  <si>
    <t xml:space="preserve">Portfolio total</t>
  </si>
  <si>
    <t xml:space="preserve">Factor Exposure and Covariance</t>
  </si>
  <si>
    <t xml:space="preserve">Factor</t>
  </si>
  <si>
    <t xml:space="preserve">Exposure</t>
  </si>
  <si>
    <t xml:space="preserve">Annual vol</t>
  </si>
  <si>
    <t xml:space="preserve">Annual portfolio variance</t>
  </si>
  <si>
    <t xml:space="preserve">Annual portfolio volatility</t>
  </si>
  <si>
    <t xml:space="preserve">Parametric VaR and Expected Shortfall</t>
  </si>
  <si>
    <t xml:space="preserve">Metric</t>
  </si>
  <si>
    <t xml:space="preserve">Value</t>
  </si>
  <si>
    <t xml:space="preserve">Units</t>
  </si>
  <si>
    <t xml:space="preserve">Method</t>
  </si>
  <si>
    <t xml:space="preserve">factor covariance</t>
  </si>
  <si>
    <t xml:space="preserve">Daily portfolio volatility</t>
  </si>
  <si>
    <t xml:space="preserve">annual / sqrt(days)</t>
  </si>
  <si>
    <t xml:space="preserve">Normal quantile</t>
  </si>
  <si>
    <t xml:space="preserve">z</t>
  </si>
  <si>
    <t xml:space="preserve">confidence quantile</t>
  </si>
  <si>
    <t xml:space="preserve">One-day VaR</t>
  </si>
  <si>
    <t xml:space="preserve">sigma x z</t>
  </si>
  <si>
    <t xml:space="preserve">One-day expected shortfall</t>
  </si>
  <si>
    <t xml:space="preserve">normal tail expectation</t>
  </si>
  <si>
    <t xml:space="preserve">VaR / NAV</t>
  </si>
  <si>
    <t xml:space="preserve">capital consumption</t>
  </si>
  <si>
    <t xml:space="preserve">Diversification benefit</t>
  </si>
  <si>
    <t xml:space="preserve">1 - portfolio / standalone</t>
  </si>
  <si>
    <t xml:space="preserve">Position-Level VaR, Stress, and Liquidity Contributions</t>
  </si>
  <si>
    <t xml:space="preserve">Standalone VaR</t>
  </si>
  <si>
    <t xml:space="preserve">Component VaR</t>
  </si>
  <si>
    <t xml:space="preserve">% portfolio VaR</t>
  </si>
  <si>
    <t xml:space="preserve">Worst stress loss</t>
  </si>
  <si>
    <t xml:space="preserve">Liquidation loss</t>
  </si>
  <si>
    <t xml:space="preserve">Liquidity-adjusted risk</t>
  </si>
  <si>
    <t xml:space="preserve">Risk concentration</t>
  </si>
  <si>
    <t xml:space="preserve">Component VaR reconciliation</t>
  </si>
  <si>
    <t xml:space="preserve">Largest risk concentration</t>
  </si>
  <si>
    <t xml:space="preserve">Largest contributor</t>
  </si>
  <si>
    <t xml:space="preserve">Portfolio Stress Matrix</t>
  </si>
  <si>
    <t xml:space="preserve">Scenario</t>
  </si>
  <si>
    <t xml:space="preserve">Vol</t>
  </si>
  <si>
    <t xml:space="preserve">Liquidity</t>
  </si>
  <si>
    <t xml:space="preserve">P&amp;L</t>
  </si>
  <si>
    <t xml:space="preserve">Global risk-off</t>
  </si>
  <si>
    <t xml:space="preserve">Inflation / rates shock</t>
  </si>
  <si>
    <t xml:space="preserve">Credit crisis</t>
  </si>
  <si>
    <t xml:space="preserve">Dollar squeeze</t>
  </si>
  <si>
    <t xml:space="preserve">Volatility normalization</t>
  </si>
  <si>
    <t xml:space="preserve">Idiosyncratic concentration</t>
  </si>
  <si>
    <t xml:space="preserve">Liquidity and Liquidation Cost</t>
  </si>
  <si>
    <t xml:space="preserve">Days</t>
  </si>
  <si>
    <t xml:space="preserve">ADV participation proxy</t>
  </si>
  <si>
    <t xml:space="preserve">Impact loss</t>
  </si>
  <si>
    <t xml:space="preserve">Illiquid?</t>
  </si>
  <si>
    <t xml:space="preserve">Illiquid gross notional</t>
  </si>
  <si>
    <t xml:space="preserve">Illiquid NAV ratio</t>
  </si>
  <si>
    <t xml:space="preserve">Total modeled liquidation loss</t>
  </si>
  <si>
    <t xml:space="preserve">Daily P&amp;L Explain</t>
  </si>
  <si>
    <t xml:space="preserve">Driver</t>
  </si>
  <si>
    <t xml:space="preserve">Move</t>
  </si>
  <si>
    <t xml:space="preserve">First-order P&amp;L</t>
  </si>
  <si>
    <t xml:space="preserve">Convexity / residual</t>
  </si>
  <si>
    <t xml:space="preserve">Explained P&amp;L</t>
  </si>
  <si>
    <t xml:space="preserve">Notes</t>
  </si>
  <si>
    <t xml:space="preserve">delta/beta</t>
  </si>
  <si>
    <t xml:space="preserve">duration</t>
  </si>
  <si>
    <t xml:space="preserve">spread duration</t>
  </si>
  <si>
    <t xml:space="preserve">currency delta</t>
  </si>
  <si>
    <t xml:space="preserve">vega / convexity</t>
  </si>
  <si>
    <t xml:space="preserve">Actual P&amp;L</t>
  </si>
  <si>
    <t xml:space="preserve">Unexplained P&amp;L</t>
  </si>
  <si>
    <t xml:space="preserve">Risk Limit Dashboard</t>
  </si>
  <si>
    <t xml:space="preserve">Limit</t>
  </si>
  <si>
    <t xml:space="preserve">Actual</t>
  </si>
  <si>
    <t xml:space="preserve">Threshold</t>
  </si>
  <si>
    <t xml:space="preserve">Headroom</t>
  </si>
  <si>
    <t xml:space="preserve">Illiquid NAV</t>
  </si>
  <si>
    <t xml:space="preserve">Single-name concentration</t>
  </si>
  <si>
    <t xml:space="preserve">Gross leverage</t>
  </si>
  <si>
    <t xml:space="preserve">Risk Model Checks</t>
  </si>
  <si>
    <t xml:space="preserve">Check</t>
  </si>
  <si>
    <t xml:space="preserve">Correlation diagonal equals one</t>
  </si>
  <si>
    <t xml:space="preserve">Correlation matrix bounded</t>
  </si>
  <si>
    <t xml:space="preserve">Portfolio variance nonnegative</t>
  </si>
  <si>
    <t xml:space="preserve">VaR and ES positive</t>
  </si>
  <si>
    <t xml:space="preserve">No risk limit breaches</t>
  </si>
  <si>
    <t xml:space="preserve">Liquidity loss nonnegative</t>
  </si>
  <si>
    <t xml:space="preserve">Position inventory populated</t>
  </si>
  <si>
    <t xml:space="preserve">P&amp;L explain complete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</si>
  <si>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</si>
  <si>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</si>
  <si>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</si>
  <si>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</si>
  <si>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</si>
  <si>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Position and market-value feed</t>
  </si>
  <si>
    <t xml:space="preserve">[OMS / risk source]</t>
  </si>
  <si>
    <t xml:space="preserve">[timestamp]</t>
  </si>
  <si>
    <t xml:space="preserve">Reconcile to books and records</t>
  </si>
  <si>
    <t xml:space="preserve">Factor and covariance calibration</t>
  </si>
  <si>
    <t xml:space="preserve">[model dataset URL]</t>
  </si>
  <si>
    <t xml:space="preserve">[window]</t>
  </si>
  <si>
    <t xml:space="preserve">Document decay, winsorization, and regime treatment</t>
  </si>
  <si>
    <t xml:space="preserve">Curve, spread, volatility, and FX data</t>
  </si>
  <si>
    <t xml:space="preserve">[market data URL]</t>
  </si>
  <si>
    <t xml:space="preserve">Record interpolation and stale-data policy</t>
  </si>
  <si>
    <t xml:space="preserve">Liquidity and ADV data</t>
  </si>
  <si>
    <t xml:space="preserve">[venue / vendor source]</t>
  </si>
  <si>
    <t xml:space="preserve">[period]</t>
  </si>
  <si>
    <t xml:space="preserve">Document liquidation horizon and impact calibration</t>
  </si>
  <si>
    <t xml:space="preserve">Risk limit policy</t>
  </si>
  <si>
    <t xml:space="preserve">[approved policy URL]</t>
  </si>
  <si>
    <t xml:space="preserve">[effective date]</t>
  </si>
  <si>
    <t xml:space="preserve">Thresholds, escalation, exceptions, and ownership</t>
  </si>
  <si>
    <t xml:space="preserve">CBOE VIX via FRED</t>
  </si>
  <si>
    <t xml:space="preserve">https://fred.stlouisfed.org/series/VIXCLS</t>
  </si>
  <si>
    <t xml:space="preserve">Federal Reserve Bank of St. Louis / CBOE; frozen curated observation as of case date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</si>
  <si>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</si>
  <si>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</si>
  <si>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</si>
  <si>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Frozen source snapshot</t>
  </si>
  <si>
    <t xml:space="preserve">repo://09_Risk_Management/sources/snapshots/risk-fred-covid-2020.json</t>
  </si>
  <si>
    <t xml:space="preserve">Immutable curated observation package with SHA-256 digest</t>
  </si>
  <si>
    <t xml:space="preserve">Retained modeler assumption from risk-adversarial-crowding.json</t>
  </si>
  <si>
    <t xml:space="preserve">repo://standards/benchmark_cases/risk-adversarial-crowding.json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</si>
  <si>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</si>
  <si>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</si>
  <si>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</si>
  <si>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</si>
  <si>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</si>
  <si>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</si>
  <si>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</si>
  <si>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</si>
  <si>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</si>
  <si>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risk-fred-covid-2020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</si>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</sst>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"/>
    <numFmt numFmtId="167" formatCode="0.00%;[RED]\(0.00%\);\-"/>
    <numFmt numFmtId="168" formatCode="\$#,##0.0;[RED]&quot;($&quot;#,##0.0\);\-"/>
    <numFmt numFmtId="169" formatCode="0.0\x;[RED]\(0.0&quot;x)&quot;;\-"/>
    <numFmt numFmtId="170" formatCode="0.00"/>
    <numFmt numFmtId="171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127</v>
      </c>
      <c r="D4" s="16" t="s">
        <v>12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0.99</v>
      </c>
      <c r="D5" s="17" t="n">
        <v>0.995</v>
      </c>
      <c r="E5" s="18" t="n">
        <f aca="false">IF(Cover!$C$9="Downside",D5,C5)</f>
        <v>0.995</v>
      </c>
      <c r="F5" s="1" t="s">
        <v>131</v>
      </c>
    </row>
    <row r="6" customFormat="false" ht="15" hidden="false" customHeight="true" outlineLevel="0" collapsed="false">
      <c r="B6" s="1" t="s">
        <v>132</v>
      </c>
      <c r="C6" s="19" t="n">
        <v>252</v>
      </c>
      <c r="D6" s="19" t="n">
        <v>252</v>
      </c>
      <c r="E6" s="20" t="n">
        <f aca="false">IF(Cover!$C$9="Downside",D6,C6)</f>
        <v>252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7" t="n">
        <v>0.22</v>
      </c>
      <c r="D7" s="21" t="n">
        <v>0.8269</v>
      </c>
      <c r="E7" s="18" t="n">
        <f aca="false">IF(Cover!$C$9="Downside",D7,C7)</f>
        <v>0.8269</v>
      </c>
      <c r="F7" s="1" t="s">
        <v>131</v>
      </c>
    </row>
    <row r="8" customFormat="false" ht="15" hidden="false" customHeight="true" outlineLevel="0" collapsed="false">
      <c r="B8" s="1" t="s">
        <v>135</v>
      </c>
      <c r="C8" s="22" t="n">
        <v>0.012</v>
      </c>
      <c r="D8" s="22" t="n">
        <v>0.025</v>
      </c>
      <c r="E8" s="23" t="n">
        <f aca="false">IF(Cover!$C$9="Downside",D8,C8)</f>
        <v>0.025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2" t="n">
        <v>0.015</v>
      </c>
      <c r="D9" s="22" t="n">
        <v>0.035</v>
      </c>
      <c r="E9" s="23" t="n">
        <f aca="false">IF(Cover!$C$9="Downside",D9,C9)</f>
        <v>0.035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7" t="n">
        <v>0.12</v>
      </c>
      <c r="D10" s="17" t="n">
        <v>0.2</v>
      </c>
      <c r="E10" s="18" t="n">
        <f aca="false">IF(Cover!$C$9="Downside",D10,C10)</f>
        <v>0.2</v>
      </c>
      <c r="F10" s="1" t="s">
        <v>131</v>
      </c>
    </row>
    <row r="11" customFormat="false" ht="15" hidden="false" customHeight="true" outlineLevel="0" collapsed="false">
      <c r="B11" s="1" t="s">
        <v>140</v>
      </c>
      <c r="C11" s="17" t="n">
        <v>0.3</v>
      </c>
      <c r="D11" s="21" t="n">
        <v>0.8269</v>
      </c>
      <c r="E11" s="18" t="n">
        <f aca="false">IF(Cover!$C$9="Downside",D11,C11)</f>
        <v>0.8269</v>
      </c>
      <c r="F11" s="1" t="s">
        <v>131</v>
      </c>
    </row>
    <row r="12" customFormat="false" ht="15" hidden="false" customHeight="true" outlineLevel="0" collapsed="false">
      <c r="B12" s="1" t="s">
        <v>141</v>
      </c>
      <c r="C12" s="24" t="n">
        <v>12</v>
      </c>
      <c r="D12" s="25" t="n">
        <v>8</v>
      </c>
      <c r="E12" s="26" t="n">
        <f aca="false">IF(Cover!$C$9="Downside",D12,C12)</f>
        <v>8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4" t="n">
        <v>40</v>
      </c>
      <c r="D13" s="25" t="n">
        <v>22</v>
      </c>
      <c r="E13" s="26" t="n">
        <f aca="false">IF(Cover!$C$9="Downside",D13,C13)</f>
        <v>22</v>
      </c>
      <c r="F13" s="1" t="s">
        <v>142</v>
      </c>
    </row>
    <row r="14" customFormat="false" ht="15" hidden="false" customHeight="true" outlineLevel="0" collapsed="false">
      <c r="B14" s="1" t="s">
        <v>144</v>
      </c>
      <c r="C14" s="17" t="n">
        <v>0.25</v>
      </c>
      <c r="D14" s="17" t="n">
        <v>0.2</v>
      </c>
      <c r="E14" s="18" t="n">
        <f aca="false">IF(Cover!$C$9="Downside",D14,C14)</f>
        <v>0.2</v>
      </c>
      <c r="F14" s="1" t="s">
        <v>131</v>
      </c>
    </row>
    <row r="15" customFormat="false" ht="15" hidden="false" customHeight="true" outlineLevel="0" collapsed="false">
      <c r="B15" s="1" t="s">
        <v>145</v>
      </c>
      <c r="C15" s="17" t="n">
        <v>0.2</v>
      </c>
      <c r="D15" s="17" t="n">
        <v>0.15</v>
      </c>
      <c r="E15" s="18" t="n">
        <f aca="false">IF(Cover!$C$9="Downside",D15,C15)</f>
        <v>0.15</v>
      </c>
      <c r="F15" s="1" t="s">
        <v>131</v>
      </c>
    </row>
    <row r="16" customFormat="false" ht="15" hidden="false" customHeight="true" outlineLevel="0" collapsed="false">
      <c r="B16" s="1" t="s">
        <v>146</v>
      </c>
      <c r="C16" s="27" t="n">
        <v>4</v>
      </c>
      <c r="D16" s="27" t="n">
        <v>3</v>
      </c>
      <c r="E16" s="28" t="n">
        <f aca="false">IF(Cover!$C$9="Downside",D16,C16)</f>
        <v>3</v>
      </c>
      <c r="F16" s="1" t="s">
        <v>147</v>
      </c>
    </row>
    <row r="17" customFormat="false" ht="15" hidden="false" customHeight="true" outlineLevel="0" collapsed="false">
      <c r="B17" s="1" t="s">
        <v>148</v>
      </c>
      <c r="C17" s="22" t="n">
        <v>0.015</v>
      </c>
      <c r="D17" s="22" t="n">
        <v>0.03</v>
      </c>
      <c r="E17" s="23" t="n">
        <f aca="false">IF(Cover!$C$9="Downside",D17,C17)</f>
        <v>0.03</v>
      </c>
      <c r="F17" s="1" t="s">
        <v>149</v>
      </c>
    </row>
    <row r="18" customFormat="false" ht="15" hidden="false" customHeight="true" outlineLevel="0" collapsed="false">
      <c r="B18" s="1" t="s">
        <v>150</v>
      </c>
      <c r="C18" s="24" t="n">
        <v>250</v>
      </c>
      <c r="D18" s="24" t="n">
        <v>250</v>
      </c>
      <c r="E18" s="26" t="n">
        <f aca="false">IF(Cover!$C$9="Downside",D18,C18)</f>
        <v>250</v>
      </c>
      <c r="F18" s="1" t="s">
        <v>142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19" min="4" style="1" width="13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customFormat="false" ht="23.2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  <c r="M4" s="16" t="s">
        <v>163</v>
      </c>
      <c r="N4" s="16" t="s">
        <v>164</v>
      </c>
      <c r="O4" s="16" t="s">
        <v>165</v>
      </c>
      <c r="P4" s="16" t="s">
        <v>166</v>
      </c>
      <c r="Q4" s="16" t="s">
        <v>167</v>
      </c>
      <c r="R4" s="16" t="s">
        <v>168</v>
      </c>
      <c r="S4" s="16" t="s">
        <v>169</v>
      </c>
    </row>
    <row r="5" customFormat="false" ht="15" hidden="false" customHeight="true" outlineLevel="0" collapsed="false">
      <c r="B5" s="1" t="s">
        <v>170</v>
      </c>
      <c r="C5" s="1" t="s">
        <v>164</v>
      </c>
      <c r="D5" s="24" t="n">
        <v>45</v>
      </c>
      <c r="E5" s="24" t="n">
        <v>120</v>
      </c>
      <c r="F5" s="22" t="n">
        <v>1</v>
      </c>
      <c r="G5" s="22" t="n">
        <v>1</v>
      </c>
      <c r="H5" s="29" t="n">
        <v>0</v>
      </c>
      <c r="I5" s="29" t="n">
        <v>0</v>
      </c>
      <c r="J5" s="24" t="n">
        <v>0</v>
      </c>
      <c r="K5" s="24" t="n">
        <v>0</v>
      </c>
      <c r="L5" s="24" t="n">
        <v>0</v>
      </c>
      <c r="M5" s="29" t="n">
        <v>0.2</v>
      </c>
      <c r="N5" s="22" t="n">
        <v>1</v>
      </c>
      <c r="O5" s="22" t="n">
        <v>0</v>
      </c>
      <c r="P5" s="22" t="n">
        <v>0</v>
      </c>
      <c r="Q5" s="22" t="n">
        <v>0</v>
      </c>
      <c r="R5" s="22" t="n">
        <v>0</v>
      </c>
      <c r="S5" s="26" t="n">
        <f aca="false">SUMPRODUCT(C5:Q5,C5:Q5)^0.5</f>
        <v>128.171915800615</v>
      </c>
    </row>
    <row r="6" customFormat="false" ht="15" hidden="false" customHeight="true" outlineLevel="0" collapsed="false">
      <c r="B6" s="1" t="s">
        <v>171</v>
      </c>
      <c r="C6" s="1" t="s">
        <v>164</v>
      </c>
      <c r="D6" s="24" t="n">
        <v>35</v>
      </c>
      <c r="E6" s="25" t="n">
        <v>90</v>
      </c>
      <c r="F6" s="22" t="n">
        <v>1</v>
      </c>
      <c r="G6" s="22" t="n">
        <v>1.2</v>
      </c>
      <c r="H6" s="29" t="n">
        <v>0</v>
      </c>
      <c r="I6" s="29" t="n">
        <v>0</v>
      </c>
      <c r="J6" s="24" t="n">
        <v>0</v>
      </c>
      <c r="K6" s="24" t="n">
        <v>0</v>
      </c>
      <c r="L6" s="24" t="n">
        <v>0</v>
      </c>
      <c r="M6" s="29" t="n">
        <v>1</v>
      </c>
      <c r="N6" s="22" t="n">
        <v>1.2</v>
      </c>
      <c r="O6" s="22" t="n">
        <v>0</v>
      </c>
      <c r="P6" s="22" t="n">
        <v>0.1</v>
      </c>
      <c r="Q6" s="22" t="n">
        <v>0</v>
      </c>
      <c r="R6" s="22" t="n">
        <v>0.1</v>
      </c>
      <c r="S6" s="26" t="n">
        <f aca="false">SUMPRODUCT(C6:Q6,C6:Q6)^0.5</f>
        <v>96.5913557208925</v>
      </c>
    </row>
    <row r="7" customFormat="false" ht="15" hidden="false" customHeight="true" outlineLevel="0" collapsed="false">
      <c r="B7" s="1" t="s">
        <v>172</v>
      </c>
      <c r="C7" s="1" t="s">
        <v>173</v>
      </c>
      <c r="D7" s="24" t="n">
        <v>8</v>
      </c>
      <c r="E7" s="24" t="n">
        <v>25</v>
      </c>
      <c r="F7" s="22" t="n">
        <v>-0.35</v>
      </c>
      <c r="G7" s="22" t="n">
        <v>-0.4</v>
      </c>
      <c r="H7" s="29" t="n">
        <v>0</v>
      </c>
      <c r="I7" s="29" t="n">
        <v>0</v>
      </c>
      <c r="J7" s="24" t="n">
        <v>0</v>
      </c>
      <c r="K7" s="24" t="n">
        <v>0.18</v>
      </c>
      <c r="L7" s="24" t="n">
        <v>0</v>
      </c>
      <c r="M7" s="29" t="n">
        <v>1.5</v>
      </c>
      <c r="N7" s="22" t="n">
        <v>-0.4</v>
      </c>
      <c r="O7" s="22" t="n">
        <v>0</v>
      </c>
      <c r="P7" s="22" t="n">
        <v>0</v>
      </c>
      <c r="Q7" s="22" t="n">
        <v>0</v>
      </c>
      <c r="R7" s="22" t="n">
        <v>0.8</v>
      </c>
      <c r="S7" s="26" t="n">
        <f aca="false">SUMPRODUCT(C7:Q7,C7:Q7)^0.5</f>
        <v>26.3006634897297</v>
      </c>
    </row>
    <row r="8" customFormat="false" ht="15" hidden="false" customHeight="true" outlineLevel="0" collapsed="false">
      <c r="B8" s="1" t="s">
        <v>174</v>
      </c>
      <c r="C8" s="1" t="s">
        <v>165</v>
      </c>
      <c r="D8" s="24" t="n">
        <v>50</v>
      </c>
      <c r="E8" s="24" t="n">
        <v>50</v>
      </c>
      <c r="F8" s="22" t="n">
        <v>1</v>
      </c>
      <c r="G8" s="22" t="n">
        <v>0</v>
      </c>
      <c r="H8" s="29" t="n">
        <v>8.2</v>
      </c>
      <c r="I8" s="29" t="n">
        <v>0</v>
      </c>
      <c r="J8" s="24" t="n">
        <v>0.041</v>
      </c>
      <c r="K8" s="24" t="n">
        <v>0</v>
      </c>
      <c r="L8" s="24" t="n">
        <v>0</v>
      </c>
      <c r="M8" s="29" t="n">
        <v>0.5</v>
      </c>
      <c r="N8" s="22" t="n">
        <v>0</v>
      </c>
      <c r="O8" s="22" t="n">
        <v>-8.2</v>
      </c>
      <c r="P8" s="22" t="n">
        <v>0</v>
      </c>
      <c r="Q8" s="22" t="n">
        <v>0</v>
      </c>
      <c r="R8" s="22" t="n">
        <v>0</v>
      </c>
      <c r="S8" s="26" t="n">
        <f aca="false">SUMPRODUCT(C8:Q8,C8:Q8)^0.5</f>
        <v>71.6640194309529</v>
      </c>
    </row>
    <row r="9" customFormat="false" ht="15" hidden="false" customHeight="true" outlineLevel="0" collapsed="false">
      <c r="B9" s="1" t="s">
        <v>175</v>
      </c>
      <c r="C9" s="1" t="s">
        <v>166</v>
      </c>
      <c r="D9" s="24" t="n">
        <v>32</v>
      </c>
      <c r="E9" s="24" t="n">
        <v>50</v>
      </c>
      <c r="F9" s="22" t="n">
        <v>1</v>
      </c>
      <c r="G9" s="22" t="n">
        <v>0.35</v>
      </c>
      <c r="H9" s="29" t="n">
        <v>5.5</v>
      </c>
      <c r="I9" s="29" t="n">
        <v>5</v>
      </c>
      <c r="J9" s="24" t="n">
        <v>0.018</v>
      </c>
      <c r="K9" s="24" t="n">
        <v>0</v>
      </c>
      <c r="L9" s="24" t="n">
        <v>0</v>
      </c>
      <c r="M9" s="29" t="n">
        <v>1</v>
      </c>
      <c r="N9" s="22" t="n">
        <v>0.35</v>
      </c>
      <c r="O9" s="22" t="n">
        <v>-2</v>
      </c>
      <c r="P9" s="22" t="n">
        <v>-5</v>
      </c>
      <c r="Q9" s="22" t="n">
        <v>0</v>
      </c>
      <c r="R9" s="22" t="n">
        <v>0</v>
      </c>
      <c r="S9" s="26" t="n">
        <f aca="false">SUMPRODUCT(C9:Q9,C9:Q9)^0.5</f>
        <v>60.0873973808152</v>
      </c>
    </row>
    <row r="10" customFormat="false" ht="15" hidden="false" customHeight="true" outlineLevel="0" collapsed="false">
      <c r="B10" s="1" t="s">
        <v>176</v>
      </c>
      <c r="C10" s="1" t="s">
        <v>166</v>
      </c>
      <c r="D10" s="24" t="n">
        <v>28</v>
      </c>
      <c r="E10" s="24" t="n">
        <v>40</v>
      </c>
      <c r="F10" s="22" t="n">
        <v>1</v>
      </c>
      <c r="G10" s="22" t="n">
        <v>0.55</v>
      </c>
      <c r="H10" s="29" t="n">
        <v>4</v>
      </c>
      <c r="I10" s="29" t="n">
        <v>3.8</v>
      </c>
      <c r="J10" s="24" t="n">
        <v>0.011</v>
      </c>
      <c r="K10" s="24" t="n">
        <v>0</v>
      </c>
      <c r="L10" s="24" t="n">
        <v>0</v>
      </c>
      <c r="M10" s="29" t="n">
        <v>4</v>
      </c>
      <c r="N10" s="22" t="n">
        <v>0.55</v>
      </c>
      <c r="O10" s="22" t="n">
        <v>-1</v>
      </c>
      <c r="P10" s="22" t="n">
        <v>-3.8</v>
      </c>
      <c r="Q10" s="22" t="n">
        <v>0</v>
      </c>
      <c r="R10" s="22" t="n">
        <v>0</v>
      </c>
      <c r="S10" s="26" t="n">
        <f aca="false">SUMPRODUCT(C10:Q10,C10:Q10)^0.5</f>
        <v>49.4720640462878</v>
      </c>
    </row>
    <row r="11" customFormat="false" ht="15" hidden="false" customHeight="true" outlineLevel="0" collapsed="false">
      <c r="B11" s="1" t="s">
        <v>177</v>
      </c>
      <c r="C11" s="1" t="s">
        <v>167</v>
      </c>
      <c r="D11" s="24" t="n">
        <v>5</v>
      </c>
      <c r="E11" s="24" t="n">
        <v>80</v>
      </c>
      <c r="F11" s="22" t="n">
        <v>1</v>
      </c>
      <c r="G11" s="22" t="n">
        <v>0</v>
      </c>
      <c r="H11" s="29" t="n">
        <v>0</v>
      </c>
      <c r="I11" s="29" t="n">
        <v>0</v>
      </c>
      <c r="J11" s="24" t="n">
        <v>0</v>
      </c>
      <c r="K11" s="24" t="n">
        <v>0</v>
      </c>
      <c r="L11" s="24" t="n">
        <v>80</v>
      </c>
      <c r="M11" s="29" t="n">
        <v>0.3</v>
      </c>
      <c r="N11" s="22" t="n">
        <v>0</v>
      </c>
      <c r="O11" s="22" t="n">
        <v>0</v>
      </c>
      <c r="P11" s="22" t="n">
        <v>0</v>
      </c>
      <c r="Q11" s="22" t="n">
        <v>1</v>
      </c>
      <c r="R11" s="22" t="n">
        <v>0</v>
      </c>
      <c r="S11" s="26" t="n">
        <f aca="false">SUMPRODUCT(C11:Q11,C11:Q11)^0.5</f>
        <v>113.256743728575</v>
      </c>
    </row>
    <row r="12" customFormat="false" ht="15" hidden="false" customHeight="true" outlineLevel="0" collapsed="false">
      <c r="B12" s="1" t="s">
        <v>178</v>
      </c>
      <c r="C12" s="1" t="s">
        <v>179</v>
      </c>
      <c r="D12" s="24" t="n">
        <v>20</v>
      </c>
      <c r="E12" s="24" t="n">
        <v>65</v>
      </c>
      <c r="F12" s="22" t="n">
        <v>1</v>
      </c>
      <c r="G12" s="22" t="n">
        <v>0.25</v>
      </c>
      <c r="H12" s="29" t="n">
        <v>0</v>
      </c>
      <c r="I12" s="29" t="n">
        <v>0</v>
      </c>
      <c r="J12" s="24" t="n">
        <v>0</v>
      </c>
      <c r="K12" s="24" t="n">
        <v>0</v>
      </c>
      <c r="L12" s="24" t="n">
        <v>0</v>
      </c>
      <c r="M12" s="29" t="n">
        <v>0.5</v>
      </c>
      <c r="N12" s="22" t="n">
        <v>0.25</v>
      </c>
      <c r="O12" s="22" t="n">
        <v>0</v>
      </c>
      <c r="P12" s="22" t="n">
        <v>0.2</v>
      </c>
      <c r="Q12" s="22" t="n">
        <v>0.1</v>
      </c>
      <c r="R12" s="22" t="n">
        <v>0.1</v>
      </c>
      <c r="S12" s="26" t="n">
        <f aca="false">SUMPRODUCT(C12:Q12,C12:Q12)^0.5</f>
        <v>68.017828545169</v>
      </c>
    </row>
    <row r="13" customFormat="false" ht="15" hidden="false" customHeight="true" outlineLevel="0" collapsed="false">
      <c r="B13" s="1" t="s">
        <v>180</v>
      </c>
      <c r="C13" s="1" t="s">
        <v>168</v>
      </c>
      <c r="D13" s="24" t="n">
        <v>6</v>
      </c>
      <c r="E13" s="24" t="n">
        <v>30</v>
      </c>
      <c r="F13" s="22" t="n">
        <v>0</v>
      </c>
      <c r="G13" s="22" t="n">
        <v>0</v>
      </c>
      <c r="H13" s="29" t="n">
        <v>0</v>
      </c>
      <c r="I13" s="29" t="n">
        <v>0</v>
      </c>
      <c r="J13" s="24" t="n">
        <v>0</v>
      </c>
      <c r="K13" s="24" t="n">
        <v>0.45</v>
      </c>
      <c r="L13" s="24" t="n">
        <v>0</v>
      </c>
      <c r="M13" s="29" t="n">
        <v>2</v>
      </c>
      <c r="N13" s="22" t="n">
        <v>0</v>
      </c>
      <c r="O13" s="22" t="n">
        <v>0</v>
      </c>
      <c r="P13" s="22" t="n">
        <v>0</v>
      </c>
      <c r="Q13" s="22" t="n">
        <v>0</v>
      </c>
      <c r="R13" s="22" t="n">
        <v>1</v>
      </c>
      <c r="S13" s="26" t="n">
        <f aca="false">SUMPRODUCT(C13:Q13,C13:Q13)^0.5</f>
        <v>30.6627216665449</v>
      </c>
    </row>
    <row r="14" customFormat="false" ht="15" hidden="false" customHeight="true" outlineLevel="0" collapsed="false">
      <c r="B14" s="1" t="s">
        <v>181</v>
      </c>
      <c r="C14" s="1" t="s">
        <v>182</v>
      </c>
      <c r="D14" s="24" t="n">
        <v>40</v>
      </c>
      <c r="E14" s="24" t="n">
        <v>40</v>
      </c>
      <c r="F14" s="22" t="n">
        <v>1</v>
      </c>
      <c r="G14" s="22" t="n">
        <v>0.2</v>
      </c>
      <c r="H14" s="29" t="n">
        <v>2</v>
      </c>
      <c r="I14" s="29" t="n">
        <v>2.5</v>
      </c>
      <c r="J14" s="24" t="n">
        <v>0.008</v>
      </c>
      <c r="K14" s="24" t="n">
        <v>0</v>
      </c>
      <c r="L14" s="24" t="n">
        <v>0</v>
      </c>
      <c r="M14" s="30" t="n">
        <v>35</v>
      </c>
      <c r="N14" s="22" t="n">
        <v>0.2</v>
      </c>
      <c r="O14" s="22" t="n">
        <v>-0.5</v>
      </c>
      <c r="P14" s="22" t="n">
        <v>-2.5</v>
      </c>
      <c r="Q14" s="22" t="n">
        <v>0</v>
      </c>
      <c r="R14" s="22" t="n">
        <v>0</v>
      </c>
      <c r="S14" s="26" t="n">
        <f aca="false">SUMPRODUCT(C14:Q14,C14:Q14)^0.5</f>
        <v>66.6545577136328</v>
      </c>
    </row>
    <row r="15" customFormat="false" ht="15" hidden="false" customHeight="true" outlineLevel="0" collapsed="false">
      <c r="B15" s="1" t="s">
        <v>183</v>
      </c>
      <c r="C15" s="1" t="s">
        <v>183</v>
      </c>
      <c r="D15" s="24" t="n">
        <v>25</v>
      </c>
      <c r="E15" s="24" t="n">
        <v>25</v>
      </c>
      <c r="F15" s="22" t="n">
        <v>1</v>
      </c>
      <c r="G15" s="22" t="n">
        <v>0</v>
      </c>
      <c r="H15" s="29" t="n">
        <v>0</v>
      </c>
      <c r="I15" s="29" t="n">
        <v>0</v>
      </c>
      <c r="J15" s="24" t="n">
        <v>0</v>
      </c>
      <c r="K15" s="24" t="n">
        <v>0</v>
      </c>
      <c r="L15" s="24" t="n">
        <v>0</v>
      </c>
      <c r="M15" s="29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6" t="n">
        <f aca="false">SUMPRODUCT(C15:Q15,C15:Q15)^0.5</f>
        <v>35.3694783676548</v>
      </c>
    </row>
    <row r="16" customFormat="false" ht="15" hidden="false" customHeight="true" outlineLevel="0" collapsed="false">
      <c r="B16" s="1" t="s">
        <v>184</v>
      </c>
      <c r="C16" s="1" t="s">
        <v>164</v>
      </c>
      <c r="D16" s="24" t="n">
        <v>-18</v>
      </c>
      <c r="E16" s="24" t="n">
        <v>60</v>
      </c>
      <c r="F16" s="22" t="n">
        <v>-1</v>
      </c>
      <c r="G16" s="22" t="n">
        <v>-0.9</v>
      </c>
      <c r="H16" s="29" t="n">
        <v>0</v>
      </c>
      <c r="I16" s="29" t="n">
        <v>0</v>
      </c>
      <c r="J16" s="24" t="n">
        <v>0</v>
      </c>
      <c r="K16" s="24" t="n">
        <v>0</v>
      </c>
      <c r="L16" s="24" t="n">
        <v>0</v>
      </c>
      <c r="M16" s="29" t="n">
        <v>0.5</v>
      </c>
      <c r="N16" s="22" t="n">
        <v>-0.9</v>
      </c>
      <c r="O16" s="22" t="n">
        <v>0</v>
      </c>
      <c r="P16" s="22" t="n">
        <v>-0.1</v>
      </c>
      <c r="Q16" s="22" t="n">
        <v>0</v>
      </c>
      <c r="R16" s="22" t="n">
        <v>0</v>
      </c>
      <c r="S16" s="26" t="n">
        <f aca="false">SUMPRODUCT(C16:Q16,C16:Q16)^0.5</f>
        <v>62.6648226679052</v>
      </c>
    </row>
    <row r="18" customFormat="false" ht="15" hidden="false" customHeight="true" outlineLevel="0" collapsed="false">
      <c r="B18" s="31" t="s">
        <v>185</v>
      </c>
      <c r="C18" s="31"/>
      <c r="D18" s="32" t="n">
        <f aca="false">SUM(D5:D16)</f>
        <v>276</v>
      </c>
      <c r="E18" s="32" t="n">
        <f aca="false">SUM(E5:E16)</f>
        <v>675</v>
      </c>
      <c r="F18" s="31"/>
      <c r="G18" s="31"/>
      <c r="H18" s="31"/>
      <c r="I18" s="31"/>
      <c r="J18" s="32" t="n">
        <f aca="false">SUM(J5:J16)</f>
        <v>0.078</v>
      </c>
      <c r="K18" s="32" t="n">
        <f aca="false">SUM(K5:K16)</f>
        <v>0.63</v>
      </c>
      <c r="L18" s="32" t="n">
        <f aca="false">SUM(L5:L16)</f>
        <v>80</v>
      </c>
      <c r="M18" s="31"/>
      <c r="N18" s="31"/>
      <c r="O18" s="31"/>
      <c r="P18" s="31"/>
      <c r="Q18" s="31"/>
      <c r="R18" s="31"/>
      <c r="S18" s="32" t="n">
        <f aca="false">SUM(S5:S16)</f>
        <v>808.913568558774</v>
      </c>
    </row>
  </sheetData>
  <mergeCells count="1">
    <mergeCell ref="B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9" min="5" style="1" width="12"/>
  </cols>
  <sheetData>
    <row r="2" customFormat="false" ht="27.75" hidden="false" customHeight="true" outlineLevel="0" collapsed="false">
      <c r="B2" s="2" t="s">
        <v>186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187</v>
      </c>
      <c r="C4" s="16" t="s">
        <v>188</v>
      </c>
      <c r="D4" s="16" t="s">
        <v>189</v>
      </c>
      <c r="E4" s="16" t="s">
        <v>164</v>
      </c>
      <c r="F4" s="16" t="s">
        <v>165</v>
      </c>
      <c r="G4" s="16" t="s">
        <v>166</v>
      </c>
      <c r="H4" s="16" t="s">
        <v>167</v>
      </c>
      <c r="I4" s="16" t="s">
        <v>168</v>
      </c>
    </row>
    <row r="5" customFormat="false" ht="15" hidden="false" customHeight="true" outlineLevel="0" collapsed="false">
      <c r="B5" s="1" t="s">
        <v>164</v>
      </c>
      <c r="C5" s="26" t="n">
        <f aca="false">SUMPRODUCT(Positions!$D$5:$D$16,Positions!$N$5:$N$16)</f>
        <v>139.6</v>
      </c>
      <c r="D5" s="23" t="n">
        <f aca="false">Assumptions!E7</f>
        <v>0.8269</v>
      </c>
      <c r="E5" s="29" t="n">
        <v>1</v>
      </c>
      <c r="F5" s="29" t="n">
        <v>-0.2</v>
      </c>
      <c r="G5" s="29" t="n">
        <v>0.35</v>
      </c>
      <c r="H5" s="29" t="n">
        <v>0.1</v>
      </c>
      <c r="I5" s="29" t="n">
        <v>0.45</v>
      </c>
    </row>
    <row r="6" customFormat="false" ht="15" hidden="false" customHeight="true" outlineLevel="0" collapsed="false">
      <c r="B6" s="1" t="s">
        <v>165</v>
      </c>
      <c r="C6" s="26" t="n">
        <f aca="false">SUMPRODUCT(Positions!$D$5:$D$16,Positions!$O$5:$O$16)</f>
        <v>-522</v>
      </c>
      <c r="D6" s="23" t="n">
        <f aca="false">Assumptions!E8</f>
        <v>0.025</v>
      </c>
      <c r="E6" s="29" t="n">
        <v>-0.2</v>
      </c>
      <c r="F6" s="29" t="n">
        <v>1</v>
      </c>
      <c r="G6" s="29" t="n">
        <v>-0.25</v>
      </c>
      <c r="H6" s="29" t="n">
        <v>0.05</v>
      </c>
      <c r="I6" s="29" t="n">
        <v>-0.1</v>
      </c>
    </row>
    <row r="7" customFormat="false" ht="15" hidden="false" customHeight="true" outlineLevel="0" collapsed="false">
      <c r="B7" s="1" t="s">
        <v>166</v>
      </c>
      <c r="C7" s="26" t="n">
        <f aca="false">SUMPRODUCT(Positions!$D$5:$D$16,Positions!$P$5:$P$16)</f>
        <v>-357.1</v>
      </c>
      <c r="D7" s="23" t="n">
        <f aca="false">Assumptions!E9</f>
        <v>0.035</v>
      </c>
      <c r="E7" s="29" t="n">
        <v>0.35</v>
      </c>
      <c r="F7" s="29" t="n">
        <v>-0.25</v>
      </c>
      <c r="G7" s="29" t="n">
        <v>1</v>
      </c>
      <c r="H7" s="29" t="n">
        <v>0.1</v>
      </c>
      <c r="I7" s="29" t="n">
        <v>0.3</v>
      </c>
    </row>
    <row r="8" customFormat="false" ht="15" hidden="false" customHeight="true" outlineLevel="0" collapsed="false">
      <c r="B8" s="1" t="s">
        <v>167</v>
      </c>
      <c r="C8" s="26" t="n">
        <f aca="false">SUMPRODUCT(Positions!$D$5:$D$16,Positions!$Q$5:$Q$16)</f>
        <v>7</v>
      </c>
      <c r="D8" s="23" t="n">
        <f aca="false">Assumptions!E10</f>
        <v>0.2</v>
      </c>
      <c r="E8" s="29" t="n">
        <v>0.1</v>
      </c>
      <c r="F8" s="29" t="n">
        <v>0.05</v>
      </c>
      <c r="G8" s="29" t="n">
        <v>0.1</v>
      </c>
      <c r="H8" s="29" t="n">
        <v>1</v>
      </c>
      <c r="I8" s="29" t="n">
        <v>0.1</v>
      </c>
    </row>
    <row r="9" customFormat="false" ht="15" hidden="false" customHeight="true" outlineLevel="0" collapsed="false">
      <c r="B9" s="1" t="s">
        <v>168</v>
      </c>
      <c r="C9" s="26" t="n">
        <f aca="false">SUMPRODUCT(Positions!$D$5:$D$16,Positions!$R$5:$R$16)</f>
        <v>17.9</v>
      </c>
      <c r="D9" s="23" t="n">
        <f aca="false">Assumptions!E11</f>
        <v>0.8269</v>
      </c>
      <c r="E9" s="29" t="n">
        <v>0.45</v>
      </c>
      <c r="F9" s="29" t="n">
        <v>-0.1</v>
      </c>
      <c r="G9" s="29" t="n">
        <v>0.3</v>
      </c>
      <c r="H9" s="29" t="n">
        <v>0.1</v>
      </c>
      <c r="I9" s="29" t="n">
        <v>1</v>
      </c>
    </row>
    <row r="12" customFormat="false" ht="15" hidden="false" customHeight="true" outlineLevel="0" collapsed="false">
      <c r="B12" s="1" t="s">
        <v>190</v>
      </c>
      <c r="C12" s="26" t="n">
        <f aca="false"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>14880.4643524399</v>
      </c>
    </row>
    <row r="13" customFormat="false" ht="15" hidden="false" customHeight="true" outlineLevel="0" collapsed="false">
      <c r="B13" s="1" t="s">
        <v>191</v>
      </c>
      <c r="C13" s="26" t="n">
        <f aca="false">SQRT(MAX(0,C12))</f>
        <v>121.98550878051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</row>
    <row r="4" customFormat="false" ht="15" hidden="false" customHeight="true" outlineLevel="0" collapsed="false">
      <c r="B4" s="16" t="s">
        <v>193</v>
      </c>
      <c r="C4" s="16" t="s">
        <v>194</v>
      </c>
      <c r="D4" s="16" t="s">
        <v>195</v>
      </c>
      <c r="E4" s="16" t="s">
        <v>196</v>
      </c>
    </row>
    <row r="5" customFormat="false" ht="15" hidden="false" customHeight="true" outlineLevel="0" collapsed="false">
      <c r="B5" s="1" t="s">
        <v>191</v>
      </c>
      <c r="C5" s="26" t="n">
        <f aca="false">Factors!C13</f>
        <v>121.98550878051</v>
      </c>
      <c r="D5" s="1" t="s">
        <v>142</v>
      </c>
      <c r="E5" s="1" t="s">
        <v>197</v>
      </c>
    </row>
    <row r="6" customFormat="false" ht="15" hidden="false" customHeight="true" outlineLevel="0" collapsed="false">
      <c r="B6" s="1" t="s">
        <v>198</v>
      </c>
      <c r="C6" s="26" t="n">
        <f aca="false">C5/SQRT(Assumptions!E6)</f>
        <v>7.68436475683131</v>
      </c>
      <c r="D6" s="1" t="s">
        <v>142</v>
      </c>
      <c r="E6" s="1" t="s">
        <v>199</v>
      </c>
    </row>
    <row r="7" customFormat="false" ht="15" hidden="false" customHeight="true" outlineLevel="0" collapsed="false">
      <c r="B7" s="1" t="s">
        <v>200</v>
      </c>
      <c r="C7" s="33" t="n">
        <f aca="false">-NORMSINV(1-Assumptions!E5)</f>
        <v>2.5758293035489</v>
      </c>
      <c r="D7" s="1" t="s">
        <v>201</v>
      </c>
      <c r="E7" s="1" t="s">
        <v>202</v>
      </c>
    </row>
    <row r="8" customFormat="false" ht="15" hidden="false" customHeight="true" outlineLevel="0" collapsed="false">
      <c r="B8" s="1" t="s">
        <v>203</v>
      </c>
      <c r="C8" s="26" t="n">
        <f aca="false">C6*C7</f>
        <v>19.7936119198045</v>
      </c>
      <c r="D8" s="1" t="s">
        <v>142</v>
      </c>
      <c r="E8" s="1" t="s">
        <v>204</v>
      </c>
    </row>
    <row r="9" customFormat="false" ht="15" hidden="false" customHeight="true" outlineLevel="0" collapsed="false">
      <c r="B9" s="1" t="s">
        <v>205</v>
      </c>
      <c r="C9" s="26" t="n">
        <f aca="false">C6*(EXP(-((C7)^2)/2)/SQRT(2*PI()))/(1-Assumptions!E5)</f>
        <v>22.2227879417763</v>
      </c>
      <c r="D9" s="1" t="s">
        <v>142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23" t="n">
        <f aca="false">C8/Assumptions!E18</f>
        <v>0.0791744476792181</v>
      </c>
      <c r="D10" s="1" t="s">
        <v>131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3" t="n">
        <f aca="false">1-C5/SUMPRODUCT(ABS(Factors!C5:C9),Factors!D5:D9)</f>
        <v>0.22393794086589</v>
      </c>
      <c r="D11" s="1" t="s">
        <v>131</v>
      </c>
      <c r="E11" s="1" t="s">
        <v>210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6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9" min="9" style="1" width="20"/>
    <col collapsed="false" customWidth="true" hidden="false" outlineLevel="0" max="10" min="10" style="1" width="18"/>
  </cols>
  <sheetData>
    <row r="2" customFormat="false" ht="27.7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212</v>
      </c>
      <c r="E4" s="16" t="s">
        <v>213</v>
      </c>
      <c r="F4" s="16" t="s">
        <v>214</v>
      </c>
      <c r="G4" s="16" t="s">
        <v>215</v>
      </c>
      <c r="H4" s="16" t="s">
        <v>216</v>
      </c>
      <c r="I4" s="16" t="s">
        <v>217</v>
      </c>
      <c r="J4" s="16" t="s">
        <v>218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120</v>
      </c>
      <c r="D5" s="26" t="n">
        <f aca="false"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>16.1009331617607</v>
      </c>
      <c r="E5" s="26" t="n">
        <f aca="false"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>15.9010909999596</v>
      </c>
      <c r="F5" s="23" t="n">
        <f aca="false">IFERROR(E5/'VaR &amp; ES'!$C$8,0)</f>
        <v>0.803344587353953</v>
      </c>
      <c r="G5" s="26" t="n">
        <f aca="false"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>30</v>
      </c>
      <c r="H5" s="26" t="n">
        <f aca="false">Liquidity!G5</f>
        <v>1.19719351819161</v>
      </c>
      <c r="I5" s="26" t="n">
        <f aca="false">ABS(E5)+G5+H5</f>
        <v>47.0982845181512</v>
      </c>
      <c r="J5" s="23" t="n">
        <f aca="false">IFERROR(I5/SUM($I$5:$I$16),0)</f>
        <v>0.29587300119694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90</v>
      </c>
      <c r="D6" s="26" t="n">
        <f aca="false"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>15.0913752768579</v>
      </c>
      <c r="E6" s="26" t="n">
        <f aca="false"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>14.9638981549928</v>
      </c>
      <c r="F6" s="23" t="n">
        <f aca="false">IFERROR(E6/'VaR &amp; ES'!$C$8,0)</f>
        <v>0.755996339405879</v>
      </c>
      <c r="G6" s="26" t="n">
        <f aca="false"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>25.29</v>
      </c>
      <c r="H6" s="26" t="n">
        <f aca="false">Liquidity!G6</f>
        <v>0.5832</v>
      </c>
      <c r="I6" s="26" t="n">
        <f aca="false">ABS(E6)+G6+H6</f>
        <v>40.8370981549928</v>
      </c>
      <c r="J6" s="23" t="n">
        <f aca="false">IFERROR(I6/SUM($I$5:$I$16),0)</f>
        <v>0.256540018705675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26" t="n">
        <f aca="false"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>2.40018540339184</v>
      </c>
      <c r="E7" s="26" t="n">
        <f aca="false"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>0.0925494732298622</v>
      </c>
      <c r="F7" s="23" t="n">
        <f aca="false">IFERROR(E7/'VaR &amp; ES'!$C$8,0)</f>
        <v>0.00467572435010013</v>
      </c>
      <c r="G7" s="26" t="n">
        <f aca="false"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>6.5</v>
      </c>
      <c r="H7" s="26" t="n">
        <f aca="false">Liquidity!G7</f>
        <v>0.0129099444873581</v>
      </c>
      <c r="I7" s="26" t="n">
        <f aca="false">ABS(E7)+G7+H7</f>
        <v>6.60545941771722</v>
      </c>
      <c r="J7" s="23" t="n">
        <f aca="false">IFERROR(I7/SUM($I$5:$I$16),0)</f>
        <v>0.0414957173535989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26" t="n">
        <f aca="false"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>1.66318544068254</v>
      </c>
      <c r="E8" s="26" t="n">
        <f aca="false"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>0.469327254359615</v>
      </c>
      <c r="F8" s="23" t="n">
        <f aca="false">IFERROR(E8/'VaR &amp; ES'!$C$8,0)</f>
        <v>0.0237110465872087</v>
      </c>
      <c r="G8" s="26" t="n">
        <f aca="false"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>10.25</v>
      </c>
      <c r="H8" s="26" t="n">
        <f aca="false">Liquidity!G8</f>
        <v>0.134164078649987</v>
      </c>
      <c r="I8" s="26" t="n">
        <f aca="false">ABS(E8)+G8+H8</f>
        <v>10.8534913330096</v>
      </c>
      <c r="J8" s="23" t="n">
        <f aca="false">IFERROR(I8/SUM($I$5:$I$16),0)</f>
        <v>0.0681819961600712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26" t="n">
        <f aca="false"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>2.33519202151815</v>
      </c>
      <c r="E9" s="26" t="n">
        <f aca="false"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>2.01732140016692</v>
      </c>
      <c r="F9" s="23" t="n">
        <f aca="false">IFERROR(E9/'VaR &amp; ES'!$C$8,0)</f>
        <v>0.101917800972367</v>
      </c>
      <c r="G9" s="26" t="n">
        <f aca="false"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>6.9</v>
      </c>
      <c r="H9" s="26" t="n">
        <f aca="false">Liquidity!G9</f>
        <v>0.134164078649987</v>
      </c>
      <c r="I9" s="26" t="n">
        <f aca="false">ABS(E9)+G9+H9</f>
        <v>9.05148547881691</v>
      </c>
      <c r="J9" s="23" t="n">
        <f aca="false">IFERROR(I9/SUM($I$5:$I$16),0)</f>
        <v>0.056861735014488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26" t="n">
        <f aca="false"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>2.79691128880443</v>
      </c>
      <c r="E10" s="26" t="n">
        <f aca="false"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>2.7080249197269</v>
      </c>
      <c r="F10" s="23" t="n">
        <f aca="false">IFERROR(E10/'VaR &amp; ES'!$C$8,0)</f>
        <v>0.136813075385063</v>
      </c>
      <c r="G10" s="26" t="n">
        <f aca="false"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>4.584</v>
      </c>
      <c r="H10" s="26" t="n">
        <f aca="false">Liquidity!G10</f>
        <v>0.0096</v>
      </c>
      <c r="I10" s="26" t="n">
        <f aca="false">ABS(E10)+G10+H10</f>
        <v>7.3016249197269</v>
      </c>
      <c r="J10" s="23" t="n">
        <f aca="false">IFERROR(I10/SUM($I$5:$I$16),0)</f>
        <v>0.0458690523596753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26" t="n">
        <f aca="false"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>2.59619190740689</v>
      </c>
      <c r="E11" s="26" t="n">
        <f aca="false"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>0.266488724439419</v>
      </c>
      <c r="F11" s="23" t="n">
        <f aca="false">IFERROR(E11/'VaR &amp; ES'!$C$8,0)</f>
        <v>0.0134633701781726</v>
      </c>
      <c r="G11" s="26" t="n">
        <f aca="false"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>6.4</v>
      </c>
      <c r="H11" s="26" t="n">
        <f aca="false">Liquidity!G11</f>
        <v>0.434446406361015</v>
      </c>
      <c r="I11" s="26" t="n">
        <f aca="false">ABS(E11)+G11+H11</f>
        <v>7.10093513080043</v>
      </c>
      <c r="J11" s="23" t="n">
        <f aca="false">IFERROR(I11/SUM($I$5:$I$16),0)</f>
        <v>0.0446083123822698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26" t="n">
        <f aca="false"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>2.74936713334826</v>
      </c>
      <c r="E12" s="26" t="n">
        <f aca="false"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>2.65729307898755</v>
      </c>
      <c r="F12" s="23" t="n">
        <f aca="false">IFERROR(E12/'VaR &amp; ES'!$C$8,0)</f>
        <v>0.134250034291558</v>
      </c>
      <c r="G12" s="26" t="n">
        <f aca="false"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>2.8925</v>
      </c>
      <c r="H12" s="26" t="n">
        <f aca="false">Liquidity!G12</f>
        <v>0.258520289339154</v>
      </c>
      <c r="I12" s="26" t="n">
        <f aca="false">ABS(E12)+G12+H12</f>
        <v>5.80831336832671</v>
      </c>
      <c r="J12" s="23" t="n">
        <f aca="false">IFERROR(I12/SUM($I$5:$I$16),0)</f>
        <v>0.0364880191658961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26" t="n">
        <f aca="false"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>4.02523329044017</v>
      </c>
      <c r="E13" s="26" t="n">
        <f aca="false"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>2.12646058483975</v>
      </c>
      <c r="F13" s="23" t="n">
        <f aca="false">IFERROR(E13/'VaR &amp; ES'!$C$8,0)</f>
        <v>0.107431659944394</v>
      </c>
      <c r="G13" s="26" t="n">
        <f aca="false"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>9</v>
      </c>
      <c r="H13" s="26" t="n">
        <f aca="false">Liquidity!G13</f>
        <v>0.0132272446110292</v>
      </c>
      <c r="I13" s="26" t="n">
        <f aca="false">ABS(E13)+G13+H13</f>
        <v>11.1396878294508</v>
      </c>
      <c r="J13" s="23" t="n">
        <f aca="false">IFERROR(I13/SUM($I$5:$I$16),0)</f>
        <v>0.0699798921386703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26" t="n">
        <f aca="false"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>1.03265031097552</v>
      </c>
      <c r="E14" s="26" t="n">
        <f aca="false"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>0.916543639325311</v>
      </c>
      <c r="F14" s="23" t="n">
        <f aca="false">IFERROR(E14/'VaR &amp; ES'!$C$8,0)</f>
        <v>0.0463050221980084</v>
      </c>
      <c r="G14" s="26" t="n">
        <f aca="false"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>2.34</v>
      </c>
      <c r="H14" s="26" t="n">
        <f aca="false">Liquidity!G14</f>
        <v>0.000370901981503715</v>
      </c>
      <c r="I14" s="26" t="n">
        <f aca="false">ABS(E14)+G14+H14</f>
        <v>3.25691454130682</v>
      </c>
      <c r="J14" s="23" t="n">
        <f aca="false">IFERROR(I14/SUM($I$5:$I$16),0)</f>
        <v>0.0204600462593712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26" t="n">
        <f aca="false"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>0</v>
      </c>
      <c r="E15" s="26" t="n">
        <f aca="false"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>0</v>
      </c>
      <c r="F15" s="23" t="n">
        <f aca="false">IFERROR(E15/'VaR &amp; ES'!$C$8,0)</f>
        <v>0</v>
      </c>
      <c r="G15" s="26" t="n">
        <f aca="false"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>-0</v>
      </c>
      <c r="H15" s="26" t="n">
        <f aca="false">Liquidity!G15</f>
        <v>0.0237170824512628</v>
      </c>
      <c r="I15" s="26" t="n">
        <f aca="false">ABS(E15)+G15+H15</f>
        <v>0.0237170824512628</v>
      </c>
      <c r="J15" s="23" t="n">
        <f aca="false">IFERROR(I15/SUM($I$5:$I$16),0)</f>
        <v>0.000148991506512006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26" t="n">
        <f aca="false"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>7.25741637488725</v>
      </c>
      <c r="E16" s="26" t="n">
        <f aca="false"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>-7.16547633636662</v>
      </c>
      <c r="F16" s="23" t="n">
        <f aca="false">IFERROR(E16/'VaR &amp; ES'!$C$8,0)</f>
        <v>-0.362009539511947</v>
      </c>
      <c r="G16" s="26" t="n">
        <f aca="false"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>2.73</v>
      </c>
      <c r="H16" s="26" t="n">
        <f aca="false">Liquidity!G16</f>
        <v>0.211635913776467</v>
      </c>
      <c r="I16" s="26" t="n">
        <f aca="false">ABS(E16)+G16+H16</f>
        <v>10.1071122501431</v>
      </c>
      <c r="J16" s="23" t="n">
        <f aca="false">IFERROR(I16/SUM($I$5:$I$16),0)</f>
        <v>0.0634932177568318</v>
      </c>
    </row>
    <row r="18" customFormat="false" ht="15" hidden="false" customHeight="true" outlineLevel="0" collapsed="false">
      <c r="B18" s="31" t="s">
        <v>185</v>
      </c>
      <c r="C18" s="32" t="n">
        <f aca="false">SUM(C5:C16)</f>
        <v>675</v>
      </c>
      <c r="D18" s="32" t="n">
        <f aca="false">SUM(D5:D16)</f>
        <v>58.0486416100737</v>
      </c>
      <c r="E18" s="32" t="n">
        <f aca="false">SUM(E5:E16)</f>
        <v>34.9535218936611</v>
      </c>
      <c r="F18" s="34" t="n">
        <f aca="false">SUM(F5:F16)</f>
        <v>1.76589912115476</v>
      </c>
      <c r="G18" s="32" t="n">
        <f aca="false">SUM(G5:G16)</f>
        <v>106.8865</v>
      </c>
      <c r="H18" s="32" t="n">
        <f aca="false">SUM(H5:H16)</f>
        <v>3.01314945849937</v>
      </c>
      <c r="I18" s="32" t="n">
        <f aca="false">SUM(I5:I16)</f>
        <v>159.184124024894</v>
      </c>
      <c r="J18" s="34" t="n">
        <f aca="false">SUM(J5:J16)</f>
        <v>1</v>
      </c>
    </row>
    <row r="20" customFormat="false" ht="15" hidden="false" customHeight="true" outlineLevel="0" collapsed="false">
      <c r="B20" s="1" t="s">
        <v>219</v>
      </c>
      <c r="C20" s="26" t="n">
        <f aca="false">E18-'VaR &amp; ES'!C8</f>
        <v>15.1599099738566</v>
      </c>
      <c r="D20" s="1" t="str">
        <f aca="false">IF(ABS(C20)&lt;0.01,"PASS","REVIEW")</f>
        <v>REVIEW</v>
      </c>
    </row>
    <row r="21" customFormat="false" ht="15" hidden="false" customHeight="true" outlineLevel="0" collapsed="false">
      <c r="B21" s="1" t="s">
        <v>220</v>
      </c>
      <c r="C21" s="23" t="n">
        <f aca="false">MAX(J5:J16)</f>
        <v>0.29587300119694</v>
      </c>
    </row>
    <row r="22" customFormat="false" ht="15" hidden="false" customHeight="true" outlineLevel="0" collapsed="false">
      <c r="B22" s="1" t="s">
        <v>221</v>
      </c>
      <c r="C22" s="1" t="str">
        <f aca="false">INDEX(B5:B16,MATCH(MAX(J5:J16),J5:J16,0))</f>
        <v>Equity Index Future</v>
      </c>
    </row>
  </sheetData>
  <mergeCells count="1">
    <mergeCell ref="B2:J2"/>
  </mergeCells>
  <conditionalFormatting sqref="D20">
    <cfRule type="expression" priority="2" aboveAverage="0" equalAverage="0" bottom="0" percent="0" rank="0" text="" dxfId="0">
      <formula>D20="PASS"</formula>
    </cfRule>
    <cfRule type="expression" priority="3" aboveAverage="0" equalAverage="0" bottom="0" percent="0" rank="0" text="" dxfId="1">
      <formula>D20="FAIL"</formula>
    </cfRule>
    <cfRule type="expression" priority="4" aboveAverage="0" equalAverage="0" bottom="0" percent="0" rank="0" text="" dxfId="2">
      <formula>D20="REVIEW"</formula>
    </cfRule>
    <cfRule type="expression" priority="5" aboveAverage="0" equalAverage="0" bottom="0" percent="0" rank="0" text="" dxfId="1">
      <formula>D20="BREACH"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3"/>
    <col collapsed="false" customWidth="true" hidden="false" outlineLevel="0" max="9" min="9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223</v>
      </c>
      <c r="C4" s="16" t="s">
        <v>164</v>
      </c>
      <c r="D4" s="16" t="s">
        <v>165</v>
      </c>
      <c r="E4" s="16" t="s">
        <v>166</v>
      </c>
      <c r="F4" s="16" t="s">
        <v>167</v>
      </c>
      <c r="G4" s="16" t="s">
        <v>224</v>
      </c>
      <c r="H4" s="16" t="s">
        <v>225</v>
      </c>
      <c r="I4" s="16" t="s">
        <v>226</v>
      </c>
    </row>
    <row r="5" customFormat="false" ht="15" hidden="false" customHeight="true" outlineLevel="0" collapsed="false">
      <c r="B5" s="1" t="s">
        <v>227</v>
      </c>
      <c r="C5" s="22" t="n">
        <v>-0.18</v>
      </c>
      <c r="D5" s="22" t="n">
        <v>-0.015</v>
      </c>
      <c r="E5" s="22" t="n">
        <v>-0.025</v>
      </c>
      <c r="F5" s="22" t="n">
        <v>-0.08</v>
      </c>
      <c r="G5" s="22" t="n">
        <v>0.4</v>
      </c>
      <c r="H5" s="27" t="n">
        <v>0.5</v>
      </c>
      <c r="I5" s="26" t="n">
        <f aca="false"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>-23.5805</v>
      </c>
    </row>
    <row r="6" customFormat="false" ht="15" hidden="false" customHeight="true" outlineLevel="0" collapsed="false">
      <c r="B6" s="1" t="s">
        <v>228</v>
      </c>
      <c r="C6" s="22" t="n">
        <v>-0.08</v>
      </c>
      <c r="D6" s="22" t="n">
        <v>0.025</v>
      </c>
      <c r="E6" s="22" t="n">
        <v>0.012</v>
      </c>
      <c r="F6" s="22" t="n">
        <v>0.05</v>
      </c>
      <c r="G6" s="22" t="n">
        <v>0.2</v>
      </c>
      <c r="H6" s="27" t="n">
        <v>0.7</v>
      </c>
      <c r="I6" s="26" t="n">
        <f aca="false"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>-37.6592</v>
      </c>
    </row>
    <row r="7" customFormat="false" ht="15" hidden="false" customHeight="true" outlineLevel="0" collapsed="false">
      <c r="B7" s="1" t="s">
        <v>229</v>
      </c>
      <c r="C7" s="22" t="n">
        <v>-0.12</v>
      </c>
      <c r="D7" s="22" t="n">
        <v>-0.01</v>
      </c>
      <c r="E7" s="22" t="n">
        <v>-0.05</v>
      </c>
      <c r="F7" s="22" t="n">
        <v>-0.04</v>
      </c>
      <c r="G7" s="22" t="n">
        <v>0.35</v>
      </c>
      <c r="H7" s="27" t="n">
        <v>0.35</v>
      </c>
      <c r="I7" s="26" t="n">
        <f aca="false"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>-16.045</v>
      </c>
    </row>
    <row r="8" customFormat="false" ht="15" hidden="false" customHeight="true" outlineLevel="0" collapsed="false">
      <c r="B8" s="1" t="s">
        <v>230</v>
      </c>
      <c r="C8" s="22" t="n">
        <v>-0.07</v>
      </c>
      <c r="D8" s="22" t="n">
        <v>0.01</v>
      </c>
      <c r="E8" s="22" t="n">
        <v>-0.015</v>
      </c>
      <c r="F8" s="22" t="n">
        <v>0.12</v>
      </c>
      <c r="G8" s="22" t="n">
        <v>0.25</v>
      </c>
      <c r="H8" s="27" t="n">
        <v>0.45</v>
      </c>
      <c r="I8" s="26" t="n">
        <f aca="false"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>-28.3115</v>
      </c>
    </row>
    <row r="9" customFormat="false" ht="15" hidden="false" customHeight="true" outlineLevel="0" collapsed="false">
      <c r="B9" s="1" t="s">
        <v>231</v>
      </c>
      <c r="C9" s="22" t="n">
        <v>0.05</v>
      </c>
      <c r="D9" s="22" t="n">
        <v>0.005</v>
      </c>
      <c r="E9" s="22" t="n">
        <v>0.005</v>
      </c>
      <c r="F9" s="22" t="n">
        <v>0</v>
      </c>
      <c r="G9" s="22" t="n">
        <v>-0.3</v>
      </c>
      <c r="H9" s="27" t="n">
        <v>1</v>
      </c>
      <c r="I9" s="26" t="n">
        <f aca="false"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>-2.7855</v>
      </c>
    </row>
    <row r="10" customFormat="false" ht="15" hidden="false" customHeight="true" outlineLevel="0" collapsed="false">
      <c r="B10" s="1" t="s">
        <v>232</v>
      </c>
      <c r="C10" s="22" t="n">
        <v>-0.25</v>
      </c>
      <c r="D10" s="22" t="n">
        <v>0</v>
      </c>
      <c r="E10" s="22" t="n">
        <v>-0.01</v>
      </c>
      <c r="F10" s="22" t="n">
        <v>0</v>
      </c>
      <c r="G10" s="22" t="n">
        <v>0.2</v>
      </c>
      <c r="H10" s="27" t="n">
        <v>0.3</v>
      </c>
      <c r="I10" s="26" t="n">
        <f aca="false"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>-58.283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234</v>
      </c>
      <c r="E4" s="16" t="s">
        <v>235</v>
      </c>
      <c r="F4" s="16" t="s">
        <v>236</v>
      </c>
      <c r="G4" s="16" t="s">
        <v>216</v>
      </c>
      <c r="H4" s="16" t="s">
        <v>237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120</v>
      </c>
      <c r="D5" s="35" t="n">
        <f aca="false">Positions!M5</f>
        <v>0.2</v>
      </c>
      <c r="E5" s="23" t="n">
        <f aca="false">MIN(1,C5/MAX(1,Assumptions!$E$18)/MAX(1,D5))</f>
        <v>0.48</v>
      </c>
      <c r="F5" s="23" t="n">
        <f aca="false">Assumptions!$E$17*E5^1.5</f>
        <v>0.00997661265159673</v>
      </c>
      <c r="G5" s="26" t="n">
        <f aca="false">C5*F5</f>
        <v>1.19719351819161</v>
      </c>
      <c r="H5" s="1" t="str">
        <f aca="false">IF(D5&gt;5,"YES","NO")</f>
        <v>NO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90</v>
      </c>
      <c r="D6" s="35" t="n">
        <f aca="false">Positions!M6</f>
        <v>1</v>
      </c>
      <c r="E6" s="23" t="n">
        <f aca="false">MIN(1,C6/MAX(1,Assumptions!$E$18)/MAX(1,D6))</f>
        <v>0.36</v>
      </c>
      <c r="F6" s="23" t="n">
        <f aca="false">Assumptions!$E$17*E6^1.5</f>
        <v>0.00648</v>
      </c>
      <c r="G6" s="26" t="n">
        <f aca="false">C6*F6</f>
        <v>0.5832</v>
      </c>
      <c r="H6" s="1" t="str">
        <f aca="false">IF(D6&gt;5,"YES","NO")</f>
        <v>NO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35" t="n">
        <f aca="false">Positions!M7</f>
        <v>1.5</v>
      </c>
      <c r="E7" s="23" t="n">
        <f aca="false">MIN(1,C7/MAX(1,Assumptions!$E$18)/MAX(1,D7))</f>
        <v>0.0666666666666667</v>
      </c>
      <c r="F7" s="23" t="n">
        <f aca="false">Assumptions!$E$17*E7^1.5</f>
        <v>0.000516397779494322</v>
      </c>
      <c r="G7" s="26" t="n">
        <f aca="false">C7*F7</f>
        <v>0.0129099444873581</v>
      </c>
      <c r="H7" s="1" t="str">
        <f aca="false">IF(D7&gt;5,"YES","NO")</f>
        <v>NO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35" t="n">
        <f aca="false">Positions!M8</f>
        <v>0.5</v>
      </c>
      <c r="E8" s="23" t="n">
        <f aca="false">MIN(1,C8/MAX(1,Assumptions!$E$18)/MAX(1,D8))</f>
        <v>0.2</v>
      </c>
      <c r="F8" s="23" t="n">
        <f aca="false">Assumptions!$E$17*E8^1.5</f>
        <v>0.00268328157299975</v>
      </c>
      <c r="G8" s="26" t="n">
        <f aca="false">C8*F8</f>
        <v>0.134164078649987</v>
      </c>
      <c r="H8" s="1" t="str">
        <f aca="false">IF(D8&gt;5,"YES","NO")</f>
        <v>NO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35" t="n">
        <f aca="false">Positions!M9</f>
        <v>1</v>
      </c>
      <c r="E9" s="23" t="n">
        <f aca="false">MIN(1,C9/MAX(1,Assumptions!$E$18)/MAX(1,D9))</f>
        <v>0.2</v>
      </c>
      <c r="F9" s="23" t="n">
        <f aca="false">Assumptions!$E$17*E9^1.5</f>
        <v>0.00268328157299975</v>
      </c>
      <c r="G9" s="26" t="n">
        <f aca="false">C9*F9</f>
        <v>0.134164078649987</v>
      </c>
      <c r="H9" s="1" t="str">
        <f aca="false">IF(D9&gt;5,"YES","NO")</f>
        <v>NO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35" t="n">
        <f aca="false">Positions!M10</f>
        <v>4</v>
      </c>
      <c r="E10" s="23" t="n">
        <f aca="false">MIN(1,C10/MAX(1,Assumptions!$E$18)/MAX(1,D10))</f>
        <v>0.04</v>
      </c>
      <c r="F10" s="23" t="n">
        <f aca="false">Assumptions!$E$17*E10^1.5</f>
        <v>0.00024</v>
      </c>
      <c r="G10" s="26" t="n">
        <f aca="false">C10*F10</f>
        <v>0.0096</v>
      </c>
      <c r="H10" s="1" t="str">
        <f aca="false">IF(D10&gt;5,"YES","NO")</f>
        <v>NO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35" t="n">
        <f aca="false">Positions!M11</f>
        <v>0.3</v>
      </c>
      <c r="E11" s="23" t="n">
        <f aca="false">MIN(1,C11/MAX(1,Assumptions!$E$18)/MAX(1,D11))</f>
        <v>0.32</v>
      </c>
      <c r="F11" s="23" t="n">
        <f aca="false">Assumptions!$E$17*E11^1.5</f>
        <v>0.00543058007951269</v>
      </c>
      <c r="G11" s="26" t="n">
        <f aca="false">C11*F11</f>
        <v>0.434446406361015</v>
      </c>
      <c r="H11" s="1" t="str">
        <f aca="false">IF(D11&gt;5,"YES","NO")</f>
        <v>NO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35" t="n">
        <f aca="false">Positions!M12</f>
        <v>0.5</v>
      </c>
      <c r="E12" s="23" t="n">
        <f aca="false">MIN(1,C12/MAX(1,Assumptions!$E$18)/MAX(1,D12))</f>
        <v>0.26</v>
      </c>
      <c r="F12" s="23" t="n">
        <f aca="false">Assumptions!$E$17*E12^1.5</f>
        <v>0.00397723522060237</v>
      </c>
      <c r="G12" s="26" t="n">
        <f aca="false">C12*F12</f>
        <v>0.258520289339154</v>
      </c>
      <c r="H12" s="1" t="str">
        <f aca="false">IF(D12&gt;5,"YES","NO")</f>
        <v>NO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35" t="n">
        <f aca="false">Positions!M13</f>
        <v>2</v>
      </c>
      <c r="E13" s="23" t="n">
        <f aca="false">MIN(1,C13/MAX(1,Assumptions!$E$18)/MAX(1,D13))</f>
        <v>0.06</v>
      </c>
      <c r="F13" s="23" t="n">
        <f aca="false">Assumptions!$E$17*E13^1.5</f>
        <v>0.000440908153700972</v>
      </c>
      <c r="G13" s="26" t="n">
        <f aca="false">C13*F13</f>
        <v>0.0132272446110292</v>
      </c>
      <c r="H13" s="1" t="str">
        <f aca="false">IF(D13&gt;5,"YES","NO")</f>
        <v>NO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35" t="n">
        <f aca="false">Positions!M14</f>
        <v>35</v>
      </c>
      <c r="E14" s="23" t="n">
        <f aca="false">MIN(1,C14/MAX(1,Assumptions!$E$18)/MAX(1,D14))</f>
        <v>0.00457142857142857</v>
      </c>
      <c r="F14" s="23" t="n">
        <f aca="false">Assumptions!$E$17*E14^1.5</f>
        <v>9.27254953759287E-006</v>
      </c>
      <c r="G14" s="26" t="n">
        <f aca="false">C14*F14</f>
        <v>0.000370901981503715</v>
      </c>
      <c r="H14" s="1" t="str">
        <f aca="false">IF(D14&gt;5,"YES","NO")</f>
        <v>YES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35" t="n">
        <f aca="false">Positions!M15</f>
        <v>0</v>
      </c>
      <c r="E15" s="23" t="n">
        <f aca="false">MIN(1,C15/MAX(1,Assumptions!$E$18)/MAX(1,D15))</f>
        <v>0.1</v>
      </c>
      <c r="F15" s="23" t="n">
        <f aca="false">Assumptions!$E$17*E15^1.5</f>
        <v>0.000948683298050514</v>
      </c>
      <c r="G15" s="26" t="n">
        <f aca="false">C15*F15</f>
        <v>0.0237170824512628</v>
      </c>
      <c r="H15" s="1" t="str">
        <f aca="false">IF(D15&gt;5,"YES","NO")</f>
        <v>NO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35" t="n">
        <f aca="false">Positions!M16</f>
        <v>0.5</v>
      </c>
      <c r="E16" s="23" t="n">
        <f aca="false">MIN(1,C16/MAX(1,Assumptions!$E$18)/MAX(1,D16))</f>
        <v>0.24</v>
      </c>
      <c r="F16" s="23" t="n">
        <f aca="false">Assumptions!$E$17*E16^1.5</f>
        <v>0.00352726522960778</v>
      </c>
      <c r="G16" s="26" t="n">
        <f aca="false">C16*F16</f>
        <v>0.211635913776467</v>
      </c>
      <c r="H16" s="1" t="str">
        <f aca="false">IF(D16&gt;5,"YES","NO")</f>
        <v>NO</v>
      </c>
    </row>
    <row r="19" customFormat="false" ht="15" hidden="false" customHeight="true" outlineLevel="0" collapsed="false">
      <c r="B19" s="1" t="s">
        <v>238</v>
      </c>
      <c r="C19" s="26" t="n">
        <f aca="false">SUMIF(H5:H16,"YES",C5:C16)</f>
        <v>40</v>
      </c>
    </row>
    <row r="20" customFormat="false" ht="15" hidden="false" customHeight="true" outlineLevel="0" collapsed="false">
      <c r="B20" s="1" t="s">
        <v>239</v>
      </c>
      <c r="C20" s="23" t="n">
        <f aca="false">C19/Assumptions!E18</f>
        <v>0.16</v>
      </c>
    </row>
    <row r="21" customFormat="false" ht="15" hidden="false" customHeight="true" outlineLevel="0" collapsed="false">
      <c r="B21" s="1" t="s">
        <v>240</v>
      </c>
      <c r="C21" s="26" t="n">
        <f aca="false">SUM(G5:G16)</f>
        <v>3.01314945849937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8"/>
    <col collapsed="false" customWidth="true" hidden="false" outlineLevel="0" max="8" min="8" style="1" width="32"/>
  </cols>
  <sheetData>
    <row r="2" customFormat="false" ht="27.75" hidden="false" customHeight="true" outlineLevel="0" collapsed="false">
      <c r="B2" s="2" t="s">
        <v>241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242</v>
      </c>
      <c r="C4" s="16" t="s">
        <v>188</v>
      </c>
      <c r="D4" s="16" t="s">
        <v>243</v>
      </c>
      <c r="E4" s="16" t="s">
        <v>244</v>
      </c>
      <c r="F4" s="16" t="s">
        <v>245</v>
      </c>
      <c r="G4" s="16" t="s">
        <v>246</v>
      </c>
      <c r="H4" s="16" t="s">
        <v>247</v>
      </c>
    </row>
    <row r="5" customFormat="false" ht="15" hidden="false" customHeight="true" outlineLevel="0" collapsed="false">
      <c r="B5" s="1" t="s">
        <v>164</v>
      </c>
      <c r="C5" s="26" t="n">
        <f aca="false">Factors!C5</f>
        <v>139.6</v>
      </c>
      <c r="D5" s="22" t="n">
        <v>-0.012</v>
      </c>
      <c r="E5" s="26" t="n">
        <f aca="false">C5*D5</f>
        <v>-1.6752</v>
      </c>
      <c r="F5" s="24" t="n">
        <v>0.5</v>
      </c>
      <c r="G5" s="26" t="n">
        <f aca="false">E5+F5</f>
        <v>-1.1752</v>
      </c>
      <c r="H5" s="1" t="s">
        <v>248</v>
      </c>
    </row>
    <row r="6" customFormat="false" ht="15" hidden="false" customHeight="true" outlineLevel="0" collapsed="false">
      <c r="B6" s="1" t="s">
        <v>165</v>
      </c>
      <c r="C6" s="26" t="n">
        <f aca="false">Factors!C6</f>
        <v>-522</v>
      </c>
      <c r="D6" s="22" t="n">
        <v>0.0015</v>
      </c>
      <c r="E6" s="26" t="n">
        <f aca="false">C6*D6</f>
        <v>-0.783</v>
      </c>
      <c r="F6" s="24" t="n">
        <v>0</v>
      </c>
      <c r="G6" s="26" t="n">
        <f aca="false">E6+F6</f>
        <v>-0.783</v>
      </c>
      <c r="H6" s="1" t="s">
        <v>249</v>
      </c>
    </row>
    <row r="7" customFormat="false" ht="15" hidden="false" customHeight="true" outlineLevel="0" collapsed="false">
      <c r="B7" s="1" t="s">
        <v>166</v>
      </c>
      <c r="C7" s="26" t="n">
        <f aca="false">Factors!C7</f>
        <v>-357.1</v>
      </c>
      <c r="D7" s="22" t="n">
        <v>0.002</v>
      </c>
      <c r="E7" s="26" t="n">
        <f aca="false">C7*D7</f>
        <v>-0.7142</v>
      </c>
      <c r="F7" s="24" t="n">
        <v>0</v>
      </c>
      <c r="G7" s="26" t="n">
        <f aca="false">E7+F7</f>
        <v>-0.7142</v>
      </c>
      <c r="H7" s="1" t="s">
        <v>250</v>
      </c>
    </row>
    <row r="8" customFormat="false" ht="15" hidden="false" customHeight="true" outlineLevel="0" collapsed="false">
      <c r="B8" s="1" t="s">
        <v>167</v>
      </c>
      <c r="C8" s="26" t="n">
        <f aca="false">Factors!C8</f>
        <v>7</v>
      </c>
      <c r="D8" s="22" t="n">
        <v>-0.006</v>
      </c>
      <c r="E8" s="26" t="n">
        <f aca="false">C8*D8</f>
        <v>-0.042</v>
      </c>
      <c r="F8" s="24" t="n">
        <v>0</v>
      </c>
      <c r="G8" s="26" t="n">
        <f aca="false">E8+F8</f>
        <v>-0.042</v>
      </c>
      <c r="H8" s="1" t="s">
        <v>251</v>
      </c>
    </row>
    <row r="9" customFormat="false" ht="15" hidden="false" customHeight="true" outlineLevel="0" collapsed="false">
      <c r="B9" s="1" t="s">
        <v>168</v>
      </c>
      <c r="C9" s="26" t="n">
        <f aca="false">Factors!C9</f>
        <v>17.9</v>
      </c>
      <c r="D9" s="22" t="n">
        <v>0.025</v>
      </c>
      <c r="E9" s="26" t="n">
        <f aca="false">C9*D9</f>
        <v>0.4475</v>
      </c>
      <c r="F9" s="24" t="n">
        <v>0.8</v>
      </c>
      <c r="G9" s="26" t="n">
        <f aca="false">E9+F9</f>
        <v>1.2475</v>
      </c>
      <c r="H9" s="1" t="s">
        <v>252</v>
      </c>
    </row>
    <row r="12" customFormat="false" ht="15" hidden="false" customHeight="true" outlineLevel="0" collapsed="false">
      <c r="B12" s="1" t="s">
        <v>246</v>
      </c>
      <c r="G12" s="26" t="n">
        <f aca="false">SUM(G5:G9)</f>
        <v>-1.4669</v>
      </c>
    </row>
    <row r="13" customFormat="false" ht="15" hidden="false" customHeight="true" outlineLevel="0" collapsed="false">
      <c r="B13" s="1" t="s">
        <v>253</v>
      </c>
      <c r="G13" s="24" t="n">
        <v>-1.5</v>
      </c>
    </row>
    <row r="14" customFormat="false" ht="15" hidden="false" customHeight="true" outlineLevel="0" collapsed="false">
      <c r="B14" s="1" t="s">
        <v>254</v>
      </c>
      <c r="G14" s="26" t="n">
        <f aca="false">G13-G12</f>
        <v>-0.0331000000000001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8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255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256</v>
      </c>
      <c r="C4" s="16" t="s">
        <v>257</v>
      </c>
      <c r="D4" s="16" t="s">
        <v>258</v>
      </c>
      <c r="E4" s="16" t="s">
        <v>259</v>
      </c>
      <c r="F4" s="16" t="s">
        <v>44</v>
      </c>
    </row>
    <row r="5" customFormat="false" ht="15" hidden="false" customHeight="true" outlineLevel="0" collapsed="false">
      <c r="B5" s="1" t="s">
        <v>203</v>
      </c>
      <c r="C5" s="26" t="n">
        <f aca="false">'VaR &amp; ES'!C8</f>
        <v>19.7936119198045</v>
      </c>
      <c r="D5" s="26" t="n">
        <f aca="false">Assumptions!E12</f>
        <v>8</v>
      </c>
      <c r="E5" s="26" t="n">
        <f aca="false">D5-C5</f>
        <v>-11.7936119198045</v>
      </c>
      <c r="F5" s="1" t="str">
        <f aca="false">IF(C5&lt;=D5,"PASS","BREACH")</f>
        <v>BREACH</v>
      </c>
    </row>
    <row r="6" customFormat="false" ht="15" hidden="false" customHeight="true" outlineLevel="0" collapsed="false">
      <c r="B6" s="1" t="s">
        <v>215</v>
      </c>
      <c r="C6" s="26" t="n">
        <f aca="false">-MIN(Stress!I5:I10)</f>
        <v>58.283</v>
      </c>
      <c r="D6" s="26" t="n">
        <f aca="false">Assumptions!E13</f>
        <v>22</v>
      </c>
      <c r="E6" s="26" t="n">
        <f aca="false">D6-C6</f>
        <v>-36.283</v>
      </c>
      <c r="F6" s="1" t="str">
        <f aca="false">IF(C6&lt;=D6,"PASS","BREACH")</f>
        <v>BREACH</v>
      </c>
    </row>
    <row r="7" customFormat="false" ht="15" hidden="false" customHeight="true" outlineLevel="0" collapsed="false">
      <c r="B7" s="1" t="s">
        <v>260</v>
      </c>
      <c r="C7" s="23" t="n">
        <f aca="false">Liquidity!C20</f>
        <v>0.16</v>
      </c>
      <c r="D7" s="23" t="n">
        <f aca="false">Assumptions!E14</f>
        <v>0.2</v>
      </c>
      <c r="E7" s="23" t="n">
        <f aca="false">D7-C7</f>
        <v>0.04</v>
      </c>
      <c r="F7" s="1" t="str">
        <f aca="false">IF(C7&lt;=D7,"PASS","BREACH")</f>
        <v>PASS</v>
      </c>
    </row>
    <row r="8" customFormat="false" ht="15" hidden="false" customHeight="true" outlineLevel="0" collapsed="false">
      <c r="B8" s="1" t="s">
        <v>261</v>
      </c>
      <c r="C8" s="23" t="n">
        <f aca="false">MAX(ABS(Positions!D5:D16))/Assumptions!E18</f>
        <v>0.2</v>
      </c>
      <c r="D8" s="23" t="n">
        <f aca="false">Assumptions!E15</f>
        <v>0.15</v>
      </c>
      <c r="E8" s="23" t="n">
        <f aca="false">D8-C8</f>
        <v>-0.05</v>
      </c>
      <c r="F8" s="1" t="str">
        <f aca="false">IF(C8&lt;=D8,"PASS","BREACH")</f>
        <v>BREACH</v>
      </c>
    </row>
    <row r="9" customFormat="false" ht="15" hidden="false" customHeight="true" outlineLevel="0" collapsed="false">
      <c r="B9" s="1" t="s">
        <v>262</v>
      </c>
      <c r="C9" s="28" t="n">
        <f aca="false">SUM(ABS(Positions!E5:E16))/Assumptions!E18</f>
        <v>0.2</v>
      </c>
      <c r="D9" s="28" t="n">
        <f aca="false">Assumptions!E16</f>
        <v>3</v>
      </c>
      <c r="E9" s="28" t="n">
        <f aca="false">D9-C9</f>
        <v>2.8</v>
      </c>
      <c r="F9" s="1" t="str">
        <f aca="false">IF(C9&lt;=D9,"PASS","BREACH")</f>
        <v>PASS</v>
      </c>
    </row>
    <row r="10" customFormat="false" ht="15" hidden="false" customHeight="true" outlineLevel="0" collapsed="false">
      <c r="B10" s="1" t="s">
        <v>254</v>
      </c>
      <c r="C10" s="26" t="n">
        <f aca="false">ABS('P&amp;L Explain'!G14)</f>
        <v>0.0331000000000001</v>
      </c>
      <c r="D10" s="24" t="n">
        <v>5</v>
      </c>
      <c r="E10" s="26" t="n">
        <f aca="false">D10-C10</f>
        <v>4.9669</v>
      </c>
      <c r="F10" s="1" t="str">
        <f aca="false">IF(C10&lt;=D10,"PASS","BREACH")</f>
        <v>PASS</v>
      </c>
    </row>
  </sheetData>
  <mergeCells count="1">
    <mergeCell ref="B2:F2"/>
  </mergeCells>
  <conditionalFormatting sqref="F5:F10">
    <cfRule type="expression" priority="2" aboveAverage="0" equalAverage="0" bottom="0" percent="0" rank="0" text="" dxfId="0">
      <formula>F5="PASS"</formula>
    </cfRule>
    <cfRule type="expression" priority="3" aboveAverage="0" equalAverage="0" bottom="0" percent="0" rank="0" text="" dxfId="1">
      <formula>F5="FAIL"</formula>
    </cfRule>
    <cfRule type="expression" priority="4" aboveAverage="0" equalAverage="0" bottom="0" percent="0" rank="0" text="" dxfId="2">
      <formula>F5="REVIEW"</formula>
    </cfRule>
    <cfRule type="expression" priority="5" aboveAverage="0" equalAverage="0" bottom="0" percent="0" rank="0" text="" dxfId="1">
      <formula>F5="BREACH"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263</v>
      </c>
      <c r="C2" s="2"/>
    </row>
    <row r="4" customFormat="false" ht="15" hidden="false" customHeight="true" outlineLevel="0" collapsed="false">
      <c r="B4" s="16" t="s">
        <v>264</v>
      </c>
      <c r="C4" s="16" t="s">
        <v>44</v>
      </c>
    </row>
    <row r="5" customFormat="false" ht="15" hidden="false" customHeight="true" outlineLevel="0" collapsed="false">
      <c r="B5" s="1" t="s">
        <v>265</v>
      </c>
      <c r="C5" s="1" t="str">
        <f aca="false">IF(AND(Factors!E5=1,Factors!F6=1,Factors!G7=1,Factors!H8=1,Factors!I9=1),"PASS","FAIL")</f>
        <v>PASS</v>
      </c>
    </row>
    <row r="6" customFormat="false" ht="15" hidden="false" customHeight="true" outlineLevel="0" collapsed="false">
      <c r="B6" s="1" t="s">
        <v>266</v>
      </c>
      <c r="C6" s="1" t="str">
        <f aca="false">IF(AND(MIN(Factors!E5:I9)&gt;=-1,MAX(Factors!E5:I9)&lt;=1),"PASS","FAIL")</f>
        <v>PASS</v>
      </c>
    </row>
    <row r="7" customFormat="false" ht="15" hidden="false" customHeight="true" outlineLevel="0" collapsed="false">
      <c r="B7" s="1" t="s">
        <v>267</v>
      </c>
      <c r="C7" s="1" t="str">
        <f aca="false">IF(Factors!C12&gt;=0,"PASS","FAIL")</f>
        <v>PASS</v>
      </c>
    </row>
    <row r="8" customFormat="false" ht="15" hidden="false" customHeight="true" outlineLevel="0" collapsed="false">
      <c r="B8" s="1" t="s">
        <v>268</v>
      </c>
      <c r="C8" s="1" t="str">
        <f aca="false">IF(AND('VaR &amp; ES'!C8&gt;=0,'VaR &amp; ES'!C9&gt;='VaR &amp; ES'!C8),"PASS","FAIL")</f>
        <v>PASS</v>
      </c>
    </row>
    <row r="9" customFormat="false" ht="15" hidden="false" customHeight="true" outlineLevel="0" collapsed="false">
      <c r="B9" s="1" t="s">
        <v>269</v>
      </c>
      <c r="C9" s="1" t="str">
        <f aca="false">IF(COUNTIF(Limits!F5:F10,"BREACH")=0,"PASS","REVIEW")</f>
        <v>REVIEW</v>
      </c>
    </row>
    <row r="10" customFormat="false" ht="15" hidden="false" customHeight="true" outlineLevel="0" collapsed="false">
      <c r="B10" s="1" t="s">
        <v>270</v>
      </c>
      <c r="C10" s="1" t="str">
        <f aca="false">IF(Liquidity!C21&gt;=0,"PASS","FAIL")</f>
        <v>PASS</v>
      </c>
    </row>
    <row r="11" customFormat="false" ht="15" hidden="false" customHeight="true" outlineLevel="0" collapsed="false">
      <c r="B11" s="1" t="s">
        <v>271</v>
      </c>
      <c r="C11" s="1" t="str">
        <f aca="false">IF(COUNTA(Positions!B5:B16)=12,"PASS","FAIL")</f>
        <v>PASS</v>
      </c>
    </row>
    <row r="12" customFormat="false" ht="15" hidden="false" customHeight="true" outlineLevel="0" collapsed="false">
      <c r="B12" s="1" t="s">
        <v>272</v>
      </c>
      <c r="C12" s="1" t="str">
        <f aca="false">IF(COUNT('P&amp;L Explain'!G5:G9)=5,"PASS","FAIL")</f>
        <v>PASS</v>
      </c>
    </row>
    <row r="13" customFormat="false" ht="15" hidden="false" customHeight="true" outlineLevel="0" collapsed="false">
      <c r="B13" s="1" t="s">
        <v>273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274</v>
      </c>
      <c r="C2" s="2"/>
      <c r="D2" s="2"/>
      <c r="E2" s="2"/>
    </row>
    <row r="4" customFormat="false" ht="15" hidden="false" customHeight="true" outlineLevel="0" collapsed="false">
      <c r="B4" s="16" t="s">
        <v>275</v>
      </c>
      <c r="C4" s="16" t="s">
        <v>276</v>
      </c>
      <c r="D4" s="16" t="s">
        <v>110</v>
      </c>
      <c r="E4" s="16" t="s">
        <v>277</v>
      </c>
    </row>
    <row r="5" customFormat="false" ht="15" hidden="false" customHeight="true" outlineLevel="0" collapsed="false">
      <c r="B5" s="36" t="s">
        <v>278</v>
      </c>
      <c r="C5" s="36" t="s">
        <v>279</v>
      </c>
      <c r="D5" s="36" t="s">
        <v>280</v>
      </c>
      <c r="E5" s="36" t="s">
        <v>281</v>
      </c>
    </row>
    <row r="6" customFormat="false" ht="15" hidden="false" customHeight="true" outlineLevel="0" collapsed="false">
      <c r="B6" s="36" t="s">
        <v>282</v>
      </c>
      <c r="C6" s="36" t="s">
        <v>283</v>
      </c>
      <c r="D6" s="36" t="s">
        <v>284</v>
      </c>
      <c r="E6" s="36" t="s">
        <v>285</v>
      </c>
    </row>
    <row r="7" customFormat="false" ht="15" hidden="false" customHeight="true" outlineLevel="0" collapsed="false">
      <c r="B7" s="36" t="s">
        <v>286</v>
      </c>
      <c r="C7" s="36" t="s">
        <v>287</v>
      </c>
      <c r="D7" s="36" t="s">
        <v>280</v>
      </c>
      <c r="E7" s="36" t="s">
        <v>288</v>
      </c>
    </row>
    <row r="8" customFormat="false" ht="15" hidden="false" customHeight="true" outlineLevel="0" collapsed="false">
      <c r="B8" s="36" t="s">
        <v>289</v>
      </c>
      <c r="C8" s="36" t="s">
        <v>290</v>
      </c>
      <c r="D8" s="36" t="s">
        <v>291</v>
      </c>
      <c r="E8" s="36" t="s">
        <v>292</v>
      </c>
    </row>
    <row r="9" customFormat="false" ht="15" hidden="false" customHeight="true" outlineLevel="0" collapsed="false">
      <c r="B9" s="36" t="s">
        <v>293</v>
      </c>
      <c r="C9" s="36" t="s">
        <v>294</v>
      </c>
      <c r="D9" s="36" t="s">
        <v>295</v>
      </c>
      <c r="E9" s="36" t="s">
        <v>296</v>
      </c>
    </row>
    <row r="10" customFormat="false" ht="15" hidden="false" customHeight="false" outlineLevel="0" collapsed="false">
      <c r="B10" s="37" t="s">
        <v>297</v>
      </c>
      <c r="C10" s="37" t="s">
        <v>298</v>
      </c>
      <c r="D10" s="37" t="s">
        <v>6</v>
      </c>
      <c r="E10" s="37" t="s">
        <v>299</v>
      </c>
    </row>
    <row r="11" customFormat="false" ht="15" hidden="false" customHeight="false" outlineLevel="0" collapsed="false">
      <c r="B11" s="37" t="s">
        <v>300</v>
      </c>
      <c r="C11" s="37" t="s">
        <v>301</v>
      </c>
      <c r="D11" s="37" t="s">
        <v>6</v>
      </c>
      <c r="E11" s="37" t="s">
        <v>302</v>
      </c>
    </row>
    <row r="12" customFormat="false" ht="15" hidden="false" customHeight="false" outlineLevel="0" collapsed="false">
      <c r="B12" s="37" t="s">
        <v>303</v>
      </c>
      <c r="C12" s="37" t="s">
        <v>304</v>
      </c>
      <c r="D12" s="37" t="s">
        <v>6</v>
      </c>
      <c r="E12" s="37" t="s">
        <v>305</v>
      </c>
    </row>
    <row r="13" customFormat="false" ht="15" hidden="false" customHeight="false" outlineLevel="0" collapsed="false">
      <c r="B13" s="37" t="s">
        <v>306</v>
      </c>
      <c r="C13" s="37" t="s">
        <v>307</v>
      </c>
      <c r="D13" s="37" t="s">
        <v>6</v>
      </c>
      <c r="E13" s="37" t="s">
        <v>308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310</v>
      </c>
      <c r="D4" s="16" t="s">
        <v>311</v>
      </c>
      <c r="E4" s="16" t="s">
        <v>312</v>
      </c>
      <c r="F4" s="16" t="s">
        <v>313</v>
      </c>
      <c r="G4" s="16" t="s">
        <v>314</v>
      </c>
    </row>
    <row r="5" customFormat="false" ht="15" hidden="false" customHeight="true" outlineLevel="0" collapsed="false">
      <c r="B5" s="38" t="s">
        <v>315</v>
      </c>
      <c r="C5" s="38" t="s">
        <v>316</v>
      </c>
      <c r="D5" s="38" t="s">
        <v>304</v>
      </c>
      <c r="E5" s="38" t="s">
        <v>317</v>
      </c>
      <c r="F5" s="38" t="s">
        <v>318</v>
      </c>
      <c r="G5" s="38" t="s">
        <v>319</v>
      </c>
    </row>
    <row r="6" customFormat="false" ht="15" hidden="false" customHeight="true" outlineLevel="0" collapsed="false">
      <c r="B6" s="38"/>
      <c r="C6" s="38"/>
      <c r="D6" s="38"/>
      <c r="E6" s="38"/>
      <c r="F6" s="38"/>
      <c r="G6" s="38"/>
    </row>
    <row r="7" customFormat="false" ht="15" hidden="false" customHeight="true" outlineLevel="0" collapsed="false">
      <c r="B7" s="38"/>
      <c r="C7" s="38"/>
      <c r="D7" s="38"/>
      <c r="E7" s="38"/>
      <c r="F7" s="38"/>
      <c r="G7" s="38"/>
    </row>
    <row r="8" customFormat="false" ht="15" hidden="false" customHeight="true" outlineLevel="0" collapsed="false">
      <c r="B8" s="38"/>
      <c r="C8" s="38"/>
      <c r="D8" s="38"/>
      <c r="E8" s="38"/>
      <c r="F8" s="38"/>
      <c r="G8" s="38"/>
    </row>
    <row r="9" customFormat="false" ht="15" hidden="false" customHeight="true" outlineLevel="0" collapsed="false">
      <c r="B9" s="38"/>
      <c r="C9" s="38"/>
      <c r="D9" s="38"/>
      <c r="E9" s="38"/>
      <c r="F9" s="38"/>
      <c r="G9" s="38"/>
    </row>
    <row r="10" customFormat="false" ht="15" hidden="false" customHeight="true" outlineLevel="0" collapsed="false">
      <c r="B10" s="38"/>
      <c r="C10" s="38"/>
      <c r="D10" s="38"/>
      <c r="E10" s="38"/>
      <c r="F10" s="38"/>
      <c r="G10" s="38"/>
    </row>
    <row r="11" customFormat="false" ht="15" hidden="false" customHeight="true" outlineLevel="0" collapsed="false">
      <c r="B11" s="38"/>
      <c r="C11" s="38"/>
      <c r="D11" s="38"/>
      <c r="E11" s="38"/>
      <c r="F11" s="38"/>
      <c r="G11" s="38"/>
    </row>
    <row r="12" customFormat="false" ht="15" hidden="false" customHeight="true" outlineLevel="0" collapsed="false">
      <c r="B12" s="38"/>
      <c r="C12" s="38"/>
      <c r="D12" s="38"/>
      <c r="E12" s="38"/>
      <c r="F12" s="38"/>
      <c r="G12" s="38"/>
    </row>
    <row r="13" customFormat="false" ht="15" hidden="false" customHeight="true" outlineLevel="0" collapsed="false">
      <c r="B13" s="38"/>
      <c r="C13" s="38"/>
      <c r="D13" s="38"/>
      <c r="E13" s="38"/>
      <c r="F13" s="38"/>
      <c r="G13" s="38"/>
    </row>
    <row r="14" customFormat="false" ht="15" hidden="false" customHeight="true" outlineLevel="0" collapsed="false">
      <c r="B14" s="38"/>
      <c r="C14" s="38"/>
      <c r="D14" s="38"/>
      <c r="E14" s="38"/>
      <c r="F14" s="38"/>
      <c r="G14" s="38"/>
    </row>
    <row r="15" customFormat="false" ht="15" hidden="false" customHeight="true" outlineLevel="0" collapsed="false">
      <c r="B15" s="38"/>
      <c r="C15" s="38"/>
      <c r="D15" s="38"/>
      <c r="E15" s="38"/>
      <c r="F15" s="38"/>
      <c r="G15" s="38"/>
    </row>
    <row r="16" customFormat="false" ht="15" hidden="false" customHeight="true" outlineLevel="0" collapsed="false">
      <c r="B16" s="38"/>
      <c r="C16" s="38"/>
      <c r="D16" s="38"/>
      <c r="E16" s="38"/>
      <c r="F16" s="38"/>
      <c r="G16" s="38"/>
    </row>
    <row r="17" customFormat="false" ht="15" hidden="false" customHeight="true" outlineLevel="0" collapsed="false">
      <c r="B17" s="38"/>
      <c r="C17" s="38"/>
      <c r="D17" s="38"/>
      <c r="E17" s="38"/>
      <c r="F17" s="38"/>
      <c r="G17" s="38"/>
    </row>
    <row r="18" customFormat="false" ht="15" hidden="false" customHeight="true" outlineLevel="0" collapsed="false">
      <c r="B18" s="38"/>
      <c r="C18" s="38"/>
      <c r="D18" s="38"/>
      <c r="E18" s="38"/>
      <c r="F18" s="38"/>
      <c r="G18" s="38"/>
    </row>
    <row r="19" customFormat="false" ht="15" hidden="false" customHeight="true" outlineLevel="0" collapsed="false">
      <c r="B19" s="38"/>
      <c r="C19" s="38"/>
      <c r="D19" s="38"/>
      <c r="E19" s="38"/>
      <c r="F19" s="38"/>
      <c r="G19" s="38"/>
    </row>
    <row r="20" customFormat="false" ht="15" hidden="false" customHeight="true" outlineLevel="0" collapsed="false">
      <c r="B20" s="38"/>
      <c r="C20" s="38"/>
      <c r="D20" s="38"/>
      <c r="E20" s="38"/>
      <c r="F20" s="38"/>
      <c r="G20" s="38"/>
    </row>
    <row r="21" customFormat="false" ht="15" hidden="false" customHeight="true" outlineLevel="0" collapsed="false">
      <c r="B21" s="38"/>
      <c r="C21" s="38"/>
      <c r="D21" s="38"/>
      <c r="E21" s="38"/>
      <c r="F21" s="38"/>
      <c r="G21" s="38"/>
    </row>
    <row r="22" customFormat="false" ht="15" hidden="false" customHeight="true" outlineLevel="0" collapsed="false">
      <c r="B22" s="38"/>
      <c r="C22" s="38"/>
      <c r="D22" s="38"/>
      <c r="E22" s="38"/>
      <c r="F22" s="38"/>
      <c r="G22" s="38"/>
    </row>
    <row r="23" customFormat="false" ht="15" hidden="false" customHeight="true" outlineLevel="0" collapsed="false">
      <c r="B23" s="38"/>
      <c r="C23" s="38"/>
      <c r="D23" s="38"/>
      <c r="E23" s="38"/>
      <c r="F23" s="38"/>
      <c r="G23" s="38"/>
    </row>
    <row r="24" customFormat="false" ht="15" hidden="false" customHeight="true" outlineLevel="0" collapsed="false">
      <c r="B24" s="38"/>
      <c r="C24" s="38"/>
      <c r="D24" s="38"/>
      <c r="E24" s="38"/>
      <c r="F24" s="38"/>
      <c r="G24" s="38"/>
    </row>
    <row r="25" customFormat="false" ht="15" hidden="false" customHeight="true" outlineLevel="0" collapsed="false">
      <c r="B25" s="38"/>
      <c r="C25" s="38"/>
      <c r="D25" s="38"/>
      <c r="E25" s="38"/>
      <c r="F25" s="38"/>
      <c r="G25" s="38"/>
    </row>
    <row r="26" customFormat="false" ht="15" hidden="false" customHeight="true" outlineLevel="0" collapsed="false">
      <c r="B26" s="38"/>
      <c r="C26" s="38"/>
      <c r="D26" s="38"/>
      <c r="E26" s="38"/>
      <c r="F26" s="38"/>
      <c r="G26" s="38"/>
    </row>
    <row r="27" customFormat="false" ht="15" hidden="false" customHeight="true" outlineLevel="0" collapsed="false">
      <c r="B27" s="38"/>
      <c r="C27" s="38"/>
      <c r="D27" s="38"/>
      <c r="E27" s="38"/>
      <c r="F27" s="38"/>
      <c r="G27" s="38"/>
    </row>
    <row r="28" customFormat="false" ht="15" hidden="false" customHeight="true" outlineLevel="0" collapsed="false">
      <c r="B28" s="38"/>
      <c r="C28" s="38"/>
      <c r="D28" s="38"/>
      <c r="E28" s="38"/>
      <c r="F28" s="38"/>
      <c r="G28" s="38"/>
    </row>
    <row r="29" customFormat="false" ht="15" hidden="false" customHeight="true" outlineLevel="0" collapsed="false">
      <c r="B29" s="38"/>
      <c r="C29" s="38"/>
      <c r="D29" s="38"/>
      <c r="E29" s="38"/>
      <c r="F29" s="38"/>
      <c r="G29" s="38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2026-08-04T13:23:12Z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