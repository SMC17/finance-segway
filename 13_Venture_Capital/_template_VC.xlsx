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<sst xmlns="http://schemas.openxmlformats.org/spreadsheetml/2006/main" count="356" uniqueCount="225">
  <si>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</si>
  <si>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</si>
  <si>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</si>
  <si>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</si>
  <si>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</si>
  <si>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</si>
  <si>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[date]</t>
  </si>
  <si>
    <t xml:space="preserve">Next round expected: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</si>
  <si>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</si>
  <si>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</si>
  <si>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</si>
  <si>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</si>
  <si>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</si>
  <si>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</si>
  <si>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</si>
  <si>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</si>
  <si>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</si>
  <si>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</si>
  <si>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</si>
  <si>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</si>
  <si>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</si>
  <si>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</si>
  <si>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</si>
  <si>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</si>
  <si>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</si>
  <si>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</si>
  <si>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</si>
  <si>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</si>
  <si>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</si>
  <si>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</si>
  <si>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</si>
  <si>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</si>
  <si>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</si>
  <si>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</si>
  <si>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</si>
  <si>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</si>
  <si>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</si>
  <si>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</si>
  <si>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</si>
  <si>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</si>
  <si>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</si>
  <si>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</si>
  <si>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</si>
  <si>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</si>
  <si>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</si>
  <si>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</si>
  <si>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</si>
  <si>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</si>
  <si>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</si>
  <si>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</si>
  <si>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</si>
  <si>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</si>
  <si>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</si>
  <si>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</si>
  <si>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</si>
  <si>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</si>
  <si>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</si>
  <si>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</si>
  <si>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</si>
  <si>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</si>
  <si>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</si>
  <si>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</si>
  <si>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</si>
  <si>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</si>
  <si>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</si>
  <si>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</si>
  <si>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</si>
  <si>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</si>
  <si>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</si>
  <si>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</si>
  <si>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</si>
  <si>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</si>
  <si>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</si>
  <si>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</si>
  <si>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</si>
  <si>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</si>
  <si>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</si>
  <si>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</si>
  <si>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</si>
  <si>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</si>
  <si>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</si>
  <si>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</si>
  <si>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</si>
  <si>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</si>
  <si>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</si>
  <si>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</si>
  <si>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</si>
  <si>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</si>
  <si>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</si>
  <si>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</si>
  <si>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</si>
  <si>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</si>
  <si>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</si>
  <si>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</si>
  <si>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</si>
  <si>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</si>
  <si>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</si>
  <si>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</si>
  <si>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</si>
  <si>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</si>
  <si>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</si>
  <si>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</si>
  <si>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</si>
  <si>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</si>
  <si>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</si>
  <si>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</si>
  <si>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</si>
  <si>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</si>
  <si>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</si>
  <si>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</si>
  <si>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</si>
  <si>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</si>
  <si>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</si>
  <si>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</si>
  <si>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Class</t>
  </si>
  <si>
    <t xml:space="preserve">Founders (common)</t>
  </si>
  <si>
    <t xml:space="preserve">Common/Pref</t>
  </si>
  <si>
    <t xml:space="preserve">Employee option pool</t>
  </si>
  <si>
    <t xml:space="preserve">SAFE holders (pre-conversion)</t>
  </si>
  <si>
    <t xml:space="preserve">Seed preferred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</si>
  <si>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</si>
  <si>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</si>
  <si>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</si>
  <si>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</si>
  <si>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</si>
  <si>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</si>
  <si>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</si>
  <si>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</si>
  <si>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</si>
  <si>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</si>
  <si>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</si>
  <si>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</si>
  <si>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</si>
  <si>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</si>
  <si>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</si>
  <si>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</si>
  <si>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</si>
  <si>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</si>
  <si>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</si>
  <si>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</si>
  <si>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</si>
  <si>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</si>
  <si>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</si>
  <si>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</si>
  <si>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</si>
  <si>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</si>
  <si>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</si>
  <si>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</si>
  <si>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</si>
  <si>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</si>
  <si>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</si>
  <si>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</si>
  <si>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</si>
  <si>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</si>
  <si>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</si>
  <si>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</si>
  <si>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</si>
  <si>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</si>
  <si>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</si>
  <si>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</si>
  <si>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</si>
  <si>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</si>
  <si>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</si>
  <si>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</si>
  <si>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</si>
  <si>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</si>
  <si>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</si>
  <si>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</si>
  <si>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</si>
  <si>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</si>
  <si>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</si>
  <si>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</si>
  <si>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</si>
  <si>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</si>
  <si>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</si>
  <si>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</si>
  <si>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</si>
  <si>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</si>
  <si>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</si>
  <si>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</si>
  <si>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</si>
  <si>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</si>
  <si>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</si>
  <si>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</si>
  <si>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</si>
  <si>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</si>
  <si>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</si>
  <si>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</si>
  <si>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</si>
  <si>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</si>
  <si>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</si>
  <si>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</si>
  <si>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Liquidation Preference Waterfall (Full Cap Table, 1x Non-Participating)</t>
  </si>
  <si>
    <t xml:space="preserve">Seniority order Series B &gt; Series A &gt; Seed &gt; common (founders + option pool); each class takes the greater of its 1x liquidation preference (cascaded senior-to-junior against total exit proceeds) or its as-converted pro-rata share, decided by a single fund-wide test (does converting the WHOLE cap table pay more than the full preference stack) rather than each class electing independently -- switching class-by-class can pay out more than total proceeds exist (see tools/builders/build_vc_template.py for the derivation). SAFE holders pre-conversion are excluded from this cascade -- their claim depends on deal-specific conversion mechanics at exit, which this waterfall does not model.</t>
  </si>
  <si>
    <t xml:space="preserve">Liq. pref (1x)</t>
  </si>
  <si>
    <t xml:space="preserve">As-conv. %</t>
  </si>
  <si>
    <t xml:space="preserve">Pref-stack: Base</t>
  </si>
  <si>
    <t xml:space="preserve">Pref-stack: Adv.</t>
  </si>
  <si>
    <t xml:space="preserve">As-conv.: Base</t>
  </si>
  <si>
    <t xml:space="preserve">As-conv.: Adv.</t>
  </si>
  <si>
    <t xml:space="preserve">Actual: Base</t>
  </si>
  <si>
    <t xml:space="preserve">Actual: Adv.</t>
  </si>
  <si>
    <t xml:space="preserve">Common (founders + pool)</t>
  </si>
  <si>
    <t xml:space="preserve">Regime: as-converted pays more fund-wide than the full pref stack?</t>
  </si>
  <si>
    <t xml:space="preserve">Total distributed, Base (check -- should equal total exit proceeds)</t>
  </si>
  <si>
    <t xml:space="preserve">Total distributed, Adversarial (check -- should equal total exit proceeds)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</si>
  <si>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</si>
  <si>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</si>
  <si>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</si>
  <si>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</si>
  <si>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</si>
  <si>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</si>
  <si>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</si>
  <si>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</si>
  <si>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</si>
  <si>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</si>
  <si>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</si>
  <si>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</si>
  <si>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</si>
  <si>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</si>
  <si>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</si>
  <si>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Liquidation waterfall conservation, Base</t>
  </si>
  <si>
    <t xml:space="preserve">Total distributed across the full cap table must equal total exit proceeds.</t>
  </si>
  <si>
    <t xml:space="preserve">Liquidation waterfall conservation, Adversarial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</si>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</sst>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6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.55" hidden="false" customHeight="false" outlineLevel="0" collapsed="false">
      <c r="B2" s="5" t="s">
        <v>10</v>
      </c>
      <c r="C2" s="5"/>
      <c r="D2" s="5"/>
      <c r="E2" s="5"/>
      <c r="F2" s="5"/>
    </row>
    <row r="4" customFormat="false" ht="15" hidden="false" customHeight="true" outlineLevel="0" collapsed="false">
      <c r="B4" s="6" t="s">
        <v>11</v>
      </c>
      <c r="C4" s="7" t="s">
        <v>12</v>
      </c>
      <c r="D4" s="7"/>
      <c r="E4" s="7"/>
      <c r="F4" s="7"/>
    </row>
    <row r="5" customFormat="false" ht="15" hidden="false" customHeight="true" outlineLevel="0" collapsed="false">
      <c r="B5" s="6" t="s">
        <v>13</v>
      </c>
      <c r="C5" s="7" t="s">
        <v>14</v>
      </c>
      <c r="D5" s="7"/>
      <c r="E5" s="7"/>
      <c r="F5" s="7"/>
    </row>
    <row r="6" customFormat="false" ht="15" hidden="false" customHeight="true" outlineLevel="0" collapsed="false">
      <c r="B6" s="6" t="s">
        <v>15</v>
      </c>
      <c r="C6" s="7" t="s">
        <v>16</v>
      </c>
      <c r="D6" s="7"/>
      <c r="E6" s="7"/>
      <c r="F6" s="7"/>
    </row>
    <row r="7" customFormat="false" ht="15" hidden="false" customHeight="true" outlineLevel="0" collapsed="false">
      <c r="B7" s="6" t="s">
        <v>17</v>
      </c>
      <c r="C7" s="7" t="s">
        <v>18</v>
      </c>
      <c r="D7" s="7"/>
      <c r="E7" s="7"/>
      <c r="F7" s="7"/>
    </row>
    <row r="8" customFormat="false" ht="15" hidden="false" customHeight="true" outlineLevel="0" collapsed="false">
      <c r="B8" s="6" t="s">
        <v>19</v>
      </c>
      <c r="C8" s="7" t="s">
        <v>20</v>
      </c>
      <c r="D8" s="7"/>
      <c r="E8" s="7"/>
      <c r="F8" s="7"/>
    </row>
    <row r="9" customFormat="false" ht="15" hidden="false" customHeight="true" outlineLevel="0" collapsed="false">
      <c r="B9" s="6" t="s">
        <v>21</v>
      </c>
      <c r="C9" s="7" t="s">
        <v>22</v>
      </c>
      <c r="D9" s="7"/>
      <c r="E9" s="7"/>
      <c r="F9" s="7"/>
    </row>
    <row r="10" customFormat="false" ht="15" hidden="false" customHeight="true" outlineLevel="0" collapsed="false">
      <c r="B10" s="6" t="s">
        <v>23</v>
      </c>
      <c r="C10" s="7" t="s">
        <v>24</v>
      </c>
      <c r="D10" s="7"/>
      <c r="E10" s="7"/>
      <c r="F10" s="7"/>
    </row>
    <row r="12" customFormat="false" ht="15" hidden="false" customHeight="false" outlineLevel="0" collapsed="false">
      <c r="B12" s="8" t="s">
        <v>25</v>
      </c>
      <c r="C12" s="8"/>
      <c r="D12" s="8"/>
      <c r="E12" s="8"/>
      <c r="F12" s="8"/>
    </row>
    <row r="13" customFormat="false" ht="15" hidden="false" customHeight="false" outlineLevel="0" collapsed="false">
      <c r="B13" s="9" t="s">
        <v>26</v>
      </c>
      <c r="C13" s="9" t="s">
        <v>27</v>
      </c>
      <c r="D13" s="9" t="s">
        <v>28</v>
      </c>
      <c r="E13" s="9" t="s">
        <v>29</v>
      </c>
      <c r="F13" s="9" t="s">
        <v>30</v>
      </c>
    </row>
    <row r="14" customFormat="false" ht="15" hidden="false" customHeight="false" outlineLevel="0" collapsed="false">
      <c r="B14" s="1" t="n">
        <v>1</v>
      </c>
      <c r="C14" s="1" t="s">
        <v>31</v>
      </c>
      <c r="F14" s="10" t="s">
        <v>32</v>
      </c>
    </row>
    <row r="15" customFormat="false" ht="15" hidden="false" customHeight="false" outlineLevel="0" collapsed="false">
      <c r="B15" s="1" t="n">
        <v>2</v>
      </c>
      <c r="C15" s="1" t="s">
        <v>33</v>
      </c>
      <c r="F15" s="10" t="s">
        <v>32</v>
      </c>
    </row>
    <row r="16" customFormat="false" ht="15" hidden="false" customHeight="false" outlineLevel="0" collapsed="false">
      <c r="B16" s="1" t="n">
        <v>3</v>
      </c>
      <c r="C16" s="1" t="s">
        <v>34</v>
      </c>
      <c r="F16" s="10" t="s">
        <v>32</v>
      </c>
    </row>
    <row r="17" customFormat="false" ht="15" hidden="false" customHeight="false" outlineLevel="0" collapsed="false">
      <c r="B17" s="1" t="n">
        <v>4</v>
      </c>
      <c r="C17" s="1" t="s">
        <v>35</v>
      </c>
      <c r="F17" s="10" t="s">
        <v>32</v>
      </c>
    </row>
    <row r="18" customFormat="false" ht="15" hidden="false" customHeight="false" outlineLevel="0" collapsed="false">
      <c r="B18" s="1" t="n">
        <v>5</v>
      </c>
      <c r="C18" s="1" t="s">
        <v>36</v>
      </c>
      <c r="F18" s="10" t="s">
        <v>32</v>
      </c>
    </row>
    <row r="20" customFormat="false" ht="15" hidden="false" customHeight="false" outlineLevel="0" collapsed="false">
      <c r="B20" s="8" t="s">
        <v>37</v>
      </c>
      <c r="C20" s="8"/>
      <c r="D20" s="8"/>
      <c r="E20" s="8"/>
      <c r="F20" s="8"/>
    </row>
    <row r="21" customFormat="false" ht="15" hidden="false" customHeight="false" outlineLevel="0" collapsed="false">
      <c r="B21" s="9" t="s">
        <v>26</v>
      </c>
      <c r="C21" s="9" t="s">
        <v>27</v>
      </c>
      <c r="D21" s="9" t="s">
        <v>28</v>
      </c>
      <c r="E21" s="9" t="s">
        <v>29</v>
      </c>
      <c r="F21" s="9" t="s">
        <v>30</v>
      </c>
    </row>
    <row r="22" customFormat="false" ht="15" hidden="false" customHeight="false" outlineLevel="0" collapsed="false">
      <c r="B22" s="1" t="n">
        <v>1</v>
      </c>
      <c r="C22" s="1" t="s">
        <v>38</v>
      </c>
      <c r="F22" s="10" t="s">
        <v>32</v>
      </c>
    </row>
    <row r="23" customFormat="false" ht="15" hidden="false" customHeight="false" outlineLevel="0" collapsed="false">
      <c r="B23" s="1" t="n">
        <v>2</v>
      </c>
      <c r="C23" s="1" t="s">
        <v>39</v>
      </c>
      <c r="F23" s="10" t="s">
        <v>32</v>
      </c>
    </row>
    <row r="24" customFormat="false" ht="15" hidden="false" customHeight="false" outlineLevel="0" collapsed="false">
      <c r="B24" s="1" t="n">
        <v>3</v>
      </c>
      <c r="C24" s="1" t="s">
        <v>40</v>
      </c>
      <c r="F24" s="10" t="s">
        <v>32</v>
      </c>
    </row>
    <row r="25" customFormat="false" ht="15" hidden="false" customHeight="false" outlineLevel="0" collapsed="false">
      <c r="B25" s="1" t="n">
        <v>4</v>
      </c>
      <c r="C25" s="1" t="s">
        <v>41</v>
      </c>
      <c r="F25" s="10" t="s">
        <v>32</v>
      </c>
    </row>
    <row r="26" customFormat="false" ht="15" hidden="false" customHeight="false" outlineLevel="0" collapsed="false">
      <c r="B26" s="1" t="n">
        <v>5</v>
      </c>
      <c r="C26" s="1" t="s">
        <v>42</v>
      </c>
      <c r="F26" s="10" t="s">
        <v>32</v>
      </c>
    </row>
    <row r="28" customFormat="false" ht="15" hidden="false" customHeight="false" outlineLevel="0" collapsed="false">
      <c r="B28" s="8" t="s">
        <v>43</v>
      </c>
      <c r="C28" s="8"/>
      <c r="D28" s="8"/>
      <c r="E28" s="8"/>
      <c r="F28" s="8"/>
    </row>
    <row r="29" customFormat="false" ht="15" hidden="false" customHeight="false" outlineLevel="0" collapsed="false">
      <c r="B29" s="9" t="s">
        <v>26</v>
      </c>
      <c r="C29" s="9" t="s">
        <v>27</v>
      </c>
      <c r="D29" s="9" t="s">
        <v>28</v>
      </c>
      <c r="E29" s="9" t="s">
        <v>29</v>
      </c>
      <c r="F29" s="9" t="s">
        <v>30</v>
      </c>
    </row>
    <row r="30" customFormat="false" ht="15" hidden="false" customHeight="false" outlineLevel="0" collapsed="false">
      <c r="B30" s="1" t="n">
        <v>1</v>
      </c>
      <c r="C30" s="1" t="s">
        <v>44</v>
      </c>
      <c r="F30" s="10" t="s">
        <v>32</v>
      </c>
    </row>
    <row r="31" customFormat="false" ht="15" hidden="false" customHeight="false" outlineLevel="0" collapsed="false">
      <c r="B31" s="1" t="n">
        <v>2</v>
      </c>
      <c r="C31" s="1" t="s">
        <v>45</v>
      </c>
      <c r="F31" s="10" t="s">
        <v>32</v>
      </c>
    </row>
    <row r="32" customFormat="false" ht="15" hidden="false" customHeight="false" outlineLevel="0" collapsed="false">
      <c r="B32" s="1" t="n">
        <v>3</v>
      </c>
      <c r="C32" s="1" t="s">
        <v>46</v>
      </c>
      <c r="F32" s="10" t="s">
        <v>32</v>
      </c>
    </row>
    <row r="33" customFormat="false" ht="15" hidden="false" customHeight="false" outlineLevel="0" collapsed="false">
      <c r="B33" s="1" t="n">
        <v>4</v>
      </c>
      <c r="C33" s="1" t="s">
        <v>47</v>
      </c>
      <c r="F33" s="10" t="s">
        <v>32</v>
      </c>
    </row>
    <row r="34" customFormat="false" ht="15" hidden="false" customHeight="false" outlineLevel="0" collapsed="false">
      <c r="B34" s="1" t="n">
        <v>5</v>
      </c>
      <c r="C34" s="1" t="s">
        <v>48</v>
      </c>
      <c r="F34" s="10" t="s">
        <v>32</v>
      </c>
    </row>
    <row r="36" customFormat="false" ht="15" hidden="false" customHeight="false" outlineLevel="0" collapsed="false">
      <c r="B36" s="8" t="s">
        <v>49</v>
      </c>
      <c r="C36" s="8"/>
      <c r="D36" s="8"/>
      <c r="E36" s="8"/>
      <c r="F36" s="8"/>
    </row>
    <row r="37" customFormat="false" ht="15" hidden="false" customHeight="false" outlineLevel="0" collapsed="false">
      <c r="B37" s="9" t="s">
        <v>26</v>
      </c>
      <c r="C37" s="9" t="s">
        <v>27</v>
      </c>
      <c r="D37" s="9" t="s">
        <v>28</v>
      </c>
      <c r="E37" s="9" t="s">
        <v>29</v>
      </c>
      <c r="F37" s="9" t="s">
        <v>30</v>
      </c>
    </row>
    <row r="38" customFormat="false" ht="15" hidden="false" customHeight="false" outlineLevel="0" collapsed="false">
      <c r="B38" s="1" t="n">
        <v>1</v>
      </c>
      <c r="C38" s="1" t="s">
        <v>50</v>
      </c>
      <c r="F38" s="10" t="s">
        <v>32</v>
      </c>
    </row>
    <row r="39" customFormat="false" ht="15" hidden="false" customHeight="false" outlineLevel="0" collapsed="false">
      <c r="B39" s="1" t="n">
        <v>2</v>
      </c>
      <c r="C39" s="1" t="s">
        <v>51</v>
      </c>
      <c r="F39" s="10" t="s">
        <v>32</v>
      </c>
    </row>
    <row r="40" customFormat="false" ht="15" hidden="false" customHeight="false" outlineLevel="0" collapsed="false">
      <c r="B40" s="1" t="n">
        <v>3</v>
      </c>
      <c r="C40" s="1" t="s">
        <v>52</v>
      </c>
      <c r="F40" s="10" t="s">
        <v>32</v>
      </c>
    </row>
    <row r="41" customFormat="false" ht="15" hidden="false" customHeight="false" outlineLevel="0" collapsed="false">
      <c r="B41" s="1" t="n">
        <v>4</v>
      </c>
      <c r="C41" s="1" t="s">
        <v>53</v>
      </c>
      <c r="F41" s="10" t="s">
        <v>32</v>
      </c>
    </row>
    <row r="42" customFormat="false" ht="15" hidden="false" customHeight="false" outlineLevel="0" collapsed="false">
      <c r="B42" s="1" t="n">
        <v>5</v>
      </c>
      <c r="C42" s="1" t="s">
        <v>54</v>
      </c>
      <c r="F42" s="10" t="s">
        <v>32</v>
      </c>
    </row>
    <row r="44" customFormat="false" ht="15" hidden="false" customHeight="false" outlineLevel="0" collapsed="false">
      <c r="B44" s="8" t="s">
        <v>55</v>
      </c>
      <c r="C44" s="8"/>
      <c r="D44" s="8"/>
      <c r="E44" s="8"/>
      <c r="F44" s="8"/>
    </row>
    <row r="45" customFormat="false" ht="15" hidden="false" customHeight="false" outlineLevel="0" collapsed="false">
      <c r="B45" s="9" t="s">
        <v>26</v>
      </c>
      <c r="C45" s="9" t="s">
        <v>27</v>
      </c>
      <c r="D45" s="9" t="s">
        <v>28</v>
      </c>
      <c r="E45" s="9" t="s">
        <v>29</v>
      </c>
      <c r="F45" s="9" t="s">
        <v>30</v>
      </c>
    </row>
    <row r="46" customFormat="false" ht="15" hidden="false" customHeight="false" outlineLevel="0" collapsed="false">
      <c r="B46" s="1" t="n">
        <v>1</v>
      </c>
      <c r="C46" s="1" t="s">
        <v>56</v>
      </c>
      <c r="F46" s="10" t="s">
        <v>32</v>
      </c>
    </row>
    <row r="47" customFormat="false" ht="15" hidden="false" customHeight="false" outlineLevel="0" collapsed="false">
      <c r="B47" s="1" t="n">
        <v>2</v>
      </c>
      <c r="C47" s="1" t="s">
        <v>57</v>
      </c>
      <c r="F47" s="10" t="s">
        <v>32</v>
      </c>
    </row>
    <row r="48" customFormat="false" ht="15" hidden="false" customHeight="false" outlineLevel="0" collapsed="false">
      <c r="B48" s="1" t="n">
        <v>3</v>
      </c>
      <c r="C48" s="1" t="s">
        <v>58</v>
      </c>
      <c r="F48" s="10" t="s">
        <v>32</v>
      </c>
    </row>
    <row r="49" customFormat="false" ht="15" hidden="false" customHeight="false" outlineLevel="0" collapsed="false">
      <c r="B49" s="1" t="n">
        <v>4</v>
      </c>
      <c r="C49" s="1" t="s">
        <v>59</v>
      </c>
      <c r="F49" s="10" t="s">
        <v>32</v>
      </c>
    </row>
    <row r="50" customFormat="false" ht="15" hidden="false" customHeight="false" outlineLevel="0" collapsed="false">
      <c r="B50" s="1" t="n">
        <v>5</v>
      </c>
      <c r="C50" s="1" t="s">
        <v>60</v>
      </c>
      <c r="F50" s="10" t="s">
        <v>32</v>
      </c>
    </row>
    <row r="52" customFormat="false" ht="15" hidden="false" customHeight="false" outlineLevel="0" collapsed="false">
      <c r="B52" s="8" t="s">
        <v>61</v>
      </c>
      <c r="C52" s="8"/>
      <c r="D52" s="8"/>
      <c r="E52" s="8"/>
      <c r="F52" s="8"/>
    </row>
    <row r="53" customFormat="false" ht="15" hidden="false" customHeight="false" outlineLevel="0" collapsed="false">
      <c r="B53" s="9" t="s">
        <v>26</v>
      </c>
      <c r="C53" s="9" t="s">
        <v>27</v>
      </c>
      <c r="D53" s="9" t="s">
        <v>28</v>
      </c>
      <c r="E53" s="9" t="s">
        <v>29</v>
      </c>
      <c r="F53" s="9" t="s">
        <v>30</v>
      </c>
    </row>
    <row r="54" customFormat="false" ht="15" hidden="false" customHeight="false" outlineLevel="0" collapsed="false">
      <c r="B54" s="1" t="n">
        <v>1</v>
      </c>
      <c r="C54" s="1" t="s">
        <v>62</v>
      </c>
      <c r="F54" s="10" t="s">
        <v>32</v>
      </c>
    </row>
    <row r="55" customFormat="false" ht="15" hidden="false" customHeight="false" outlineLevel="0" collapsed="false">
      <c r="B55" s="1" t="n">
        <v>2</v>
      </c>
      <c r="C55" s="1" t="s">
        <v>63</v>
      </c>
      <c r="F55" s="10" t="s">
        <v>32</v>
      </c>
    </row>
    <row r="56" customFormat="false" ht="15" hidden="false" customHeight="false" outlineLevel="0" collapsed="false">
      <c r="B56" s="1" t="n">
        <v>3</v>
      </c>
      <c r="C56" s="1" t="s">
        <v>64</v>
      </c>
      <c r="F56" s="10" t="s">
        <v>32</v>
      </c>
    </row>
    <row r="57" customFormat="false" ht="15" hidden="false" customHeight="false" outlineLevel="0" collapsed="false">
      <c r="B57" s="1" t="n">
        <v>4</v>
      </c>
      <c r="C57" s="1" t="s">
        <v>65</v>
      </c>
      <c r="F57" s="10" t="s">
        <v>32</v>
      </c>
    </row>
    <row r="58" customFormat="false" ht="15" hidden="false" customHeight="false" outlineLevel="0" collapsed="false">
      <c r="B58" s="1" t="n">
        <v>5</v>
      </c>
      <c r="C58" s="1" t="s">
        <v>66</v>
      </c>
      <c r="F58" s="10" t="s">
        <v>32</v>
      </c>
    </row>
    <row r="60" customFormat="false" ht="15" hidden="false" customHeight="false" outlineLevel="0" collapsed="false">
      <c r="B60" s="8" t="s">
        <v>67</v>
      </c>
      <c r="C60" s="8"/>
      <c r="D60" s="8"/>
      <c r="E60" s="8"/>
      <c r="F60" s="8"/>
    </row>
    <row r="61" customFormat="false" ht="15" hidden="false" customHeight="false" outlineLevel="0" collapsed="false">
      <c r="B61" s="9" t="s">
        <v>68</v>
      </c>
      <c r="C61" s="9" t="s">
        <v>69</v>
      </c>
      <c r="D61" s="9" t="s">
        <v>70</v>
      </c>
      <c r="E61" s="9" t="s">
        <v>71</v>
      </c>
      <c r="F61" s="9" t="s">
        <v>72</v>
      </c>
    </row>
    <row r="62" customFormat="false" ht="15" hidden="false" customHeight="fals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fals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.55" hidden="false" customHeight="false" outlineLevel="0" collapsed="false">
      <c r="B2" s="5" t="s">
        <v>80</v>
      </c>
      <c r="C2" s="5"/>
      <c r="D2" s="5"/>
      <c r="E2" s="5"/>
      <c r="F2" s="5"/>
      <c r="G2" s="5"/>
      <c r="H2" s="5"/>
      <c r="I2" s="5"/>
    </row>
    <row r="4" customFormat="false" ht="15" hidden="false" customHeight="false" outlineLevel="0" collapsed="false">
      <c r="B4" s="9" t="s">
        <v>81</v>
      </c>
      <c r="C4" s="9" t="s">
        <v>82</v>
      </c>
      <c r="D4" s="9" t="s">
        <v>83</v>
      </c>
      <c r="E4" s="9" t="s">
        <v>84</v>
      </c>
      <c r="F4" s="9" t="s">
        <v>85</v>
      </c>
      <c r="G4" s="9" t="s">
        <v>86</v>
      </c>
      <c r="H4" s="9" t="s">
        <v>30</v>
      </c>
      <c r="I4" s="9" t="s">
        <v>87</v>
      </c>
    </row>
    <row r="5" customFormat="false" ht="15" hidden="false" customHeight="false" outlineLevel="0" collapsed="false">
      <c r="D5" s="1" t="s">
        <v>56</v>
      </c>
      <c r="H5" s="10" t="s">
        <v>32</v>
      </c>
    </row>
    <row r="6" customFormat="false" ht="15" hidden="false" customHeight="false" outlineLevel="0" collapsed="false">
      <c r="D6" s="1" t="s">
        <v>57</v>
      </c>
      <c r="H6" s="10" t="s">
        <v>32</v>
      </c>
    </row>
    <row r="7" customFormat="false" ht="15" hidden="false" customHeight="false" outlineLevel="0" collapsed="false">
      <c r="D7" s="1" t="s">
        <v>58</v>
      </c>
      <c r="H7" s="10" t="s">
        <v>32</v>
      </c>
    </row>
    <row r="8" customFormat="false" ht="15" hidden="false" customHeight="false" outlineLevel="0" collapsed="false">
      <c r="D8" s="1" t="s">
        <v>59</v>
      </c>
      <c r="H8" s="10" t="s">
        <v>32</v>
      </c>
    </row>
    <row r="9" customFormat="false" ht="15" hidden="false" customHeight="false" outlineLevel="0" collapsed="false">
      <c r="D9" s="1" t="s">
        <v>60</v>
      </c>
      <c r="H9" s="10" t="s">
        <v>32</v>
      </c>
    </row>
    <row r="10" customFormat="false" ht="15" hidden="false" customHeight="false" outlineLevel="0" collapsed="false">
      <c r="H10" s="10"/>
    </row>
    <row r="11" customFormat="false" ht="15" hidden="false" customHeight="false" outlineLevel="0" collapsed="false">
      <c r="H11" s="10"/>
    </row>
    <row r="12" customFormat="false" ht="15" hidden="false" customHeight="false" outlineLevel="0" collapsed="false">
      <c r="H12" s="10"/>
    </row>
    <row r="13" customFormat="false" ht="15" hidden="false" customHeight="false" outlineLevel="0" collapsed="false">
      <c r="H13" s="10"/>
    </row>
    <row r="14" customFormat="false" ht="15" hidden="false" customHeight="false" outlineLevel="0" collapsed="false">
      <c r="H14" s="10"/>
    </row>
    <row r="15" customFormat="false" ht="15" hidden="false" customHeight="false" outlineLevel="0" collapsed="false">
      <c r="H15" s="10"/>
    </row>
    <row r="16" customFormat="false" ht="15" hidden="false" customHeight="false" outlineLevel="0" collapsed="false">
      <c r="H16" s="10"/>
    </row>
    <row r="17" customFormat="false" ht="15" hidden="false" customHeight="false" outlineLevel="0" collapsed="false">
      <c r="H17" s="10"/>
    </row>
    <row r="18" customFormat="false" ht="15" hidden="false" customHeight="false" outlineLevel="0" collapsed="false">
      <c r="H18" s="10"/>
    </row>
    <row r="19" customFormat="false" ht="15" hidden="false" customHeight="false" outlineLevel="0" collapsed="false">
      <c r="H19" s="10"/>
    </row>
    <row r="20" customFormat="false" ht="15" hidden="false" customHeight="false" outlineLevel="0" collapsed="false">
      <c r="H20" s="10"/>
    </row>
    <row r="21" customFormat="false" ht="15" hidden="false" customHeight="false" outlineLevel="0" collapsed="false">
      <c r="H21" s="10"/>
    </row>
    <row r="22" customFormat="false" ht="15" hidden="false" customHeight="false" outlineLevel="0" collapsed="false">
      <c r="H22" s="10"/>
    </row>
    <row r="23" customFormat="false" ht="15" hidden="false" customHeight="false" outlineLevel="0" collapsed="false">
      <c r="H23" s="10"/>
    </row>
    <row r="24" customFormat="false" ht="15" hidden="false" customHeight="false" outlineLevel="0" collapsed="false">
      <c r="H24" s="10"/>
    </row>
    <row r="25" customFormat="false" ht="15" hidden="false" customHeight="false" outlineLevel="0" collapsed="false">
      <c r="H25" s="10"/>
    </row>
    <row r="26" customFormat="false" ht="15" hidden="false" customHeight="false" outlineLevel="0" collapsed="false">
      <c r="H26" s="10"/>
    </row>
    <row r="27" customFormat="false" ht="15" hidden="false" customHeight="false" outlineLevel="0" collapsed="false">
      <c r="H27" s="10"/>
    </row>
    <row r="28" customFormat="false" ht="15" hidden="false" customHeight="false" outlineLevel="0" collapsed="false">
      <c r="H28" s="10"/>
    </row>
    <row r="29" customFormat="false" ht="15" hidden="false" customHeight="false" outlineLevel="0" collapsed="false">
      <c r="H29" s="10"/>
    </row>
    <row r="30" customFormat="false" ht="15" hidden="false" customHeight="false" outlineLevel="0" collapsed="false">
      <c r="H30" s="10"/>
    </row>
    <row r="31" customFormat="false" ht="15" hidden="false" customHeight="false" outlineLevel="0" collapsed="false">
      <c r="H31" s="10"/>
    </row>
    <row r="32" customFormat="false" ht="15" hidden="false" customHeight="false" outlineLevel="0" collapsed="false">
      <c r="H32" s="10"/>
    </row>
    <row r="33" customFormat="false" ht="15" hidden="false" customHeight="false" outlineLevel="0" collapsed="false">
      <c r="H33" s="10"/>
    </row>
    <row r="34" customFormat="false" ht="15" hidden="false" customHeight="false" outlineLevel="0" collapsed="false">
      <c r="H34" s="10"/>
    </row>
    <row r="35" customFormat="false" ht="15" hidden="false" customHeight="false" outlineLevel="0" collapsed="false">
      <c r="H35" s="10"/>
    </row>
    <row r="36" customFormat="false" ht="15" hidden="false" customHeight="false" outlineLevel="0" collapsed="false">
      <c r="H36" s="10"/>
    </row>
    <row r="37" customFormat="false" ht="15" hidden="false" customHeight="false" outlineLevel="0" collapsed="false">
      <c r="H37" s="10"/>
    </row>
    <row r="38" customFormat="false" ht="15" hidden="false" customHeight="false" outlineLevel="0" collapsed="false">
      <c r="H38" s="10"/>
    </row>
    <row r="39" customFormat="false" ht="15" hidden="false" customHeight="false" outlineLevel="0" collapsed="false">
      <c r="H39" s="10"/>
    </row>
    <row r="40" customFormat="false" ht="15" hidden="false" customHeight="false" outlineLevel="0" collapsed="false">
      <c r="H40" s="10"/>
    </row>
    <row r="41" customFormat="false" ht="15" hidden="false" customHeight="false" outlineLevel="0" collapsed="false">
      <c r="H41" s="10"/>
    </row>
    <row r="42" customFormat="false" ht="15" hidden="false" customHeight="false" outlineLevel="0" collapsed="false">
      <c r="H42" s="10"/>
    </row>
    <row r="43" customFormat="false" ht="15" hidden="false" customHeight="false" outlineLevel="0" collapsed="false">
      <c r="H43" s="10"/>
    </row>
    <row r="44" customFormat="false" ht="15" hidden="false" customHeight="false" outlineLevel="0" collapsed="false">
      <c r="H44" s="10"/>
    </row>
    <row r="45" customFormat="false" ht="15" hidden="false" customHeight="false" outlineLevel="0" collapsed="false">
      <c r="H45" s="10"/>
    </row>
    <row r="46" customFormat="false" ht="15" hidden="false" customHeight="false" outlineLevel="0" collapsed="false">
      <c r="H46" s="10"/>
    </row>
    <row r="47" customFormat="false" ht="15" hidden="false" customHeight="false" outlineLevel="0" collapsed="false">
      <c r="H47" s="10"/>
    </row>
    <row r="48" customFormat="false" ht="15" hidden="false" customHeight="false" outlineLevel="0" collapsed="false">
      <c r="H48" s="10"/>
    </row>
    <row r="49" customFormat="false" ht="15" hidden="false" customHeight="false" outlineLevel="0" collapsed="false">
      <c r="H49" s="10"/>
    </row>
    <row r="50" customFormat="false" ht="15" hidden="false" customHeight="false" outlineLevel="0" collapsed="false">
      <c r="H50" s="10"/>
    </row>
    <row r="51" customFormat="false" ht="15" hidden="false" customHeight="false" outlineLevel="0" collapsed="false">
      <c r="H51" s="10"/>
    </row>
    <row r="52" customFormat="false" ht="15" hidden="false" customHeight="false" outlineLevel="0" collapsed="false">
      <c r="H52" s="10"/>
    </row>
    <row r="53" customFormat="false" ht="15" hidden="false" customHeight="false" outlineLevel="0" collapsed="false">
      <c r="H53" s="10"/>
    </row>
    <row r="54" customFormat="false" ht="15" hidden="false" customHeight="false" outlineLevel="0" collapsed="false">
      <c r="H54" s="10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.55" hidden="false" customHeight="false" outlineLevel="0" collapsed="false">
      <c r="B2" s="5" t="s">
        <v>88</v>
      </c>
      <c r="C2" s="5"/>
      <c r="D2" s="5"/>
      <c r="E2" s="5"/>
      <c r="F2" s="5"/>
      <c r="G2" s="5"/>
      <c r="H2" s="5"/>
      <c r="I2" s="5"/>
      <c r="J2" s="5"/>
    </row>
    <row r="4" customFormat="false" ht="15" hidden="false" customHeight="false" outlineLevel="0" collapsed="false"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28</v>
      </c>
      <c r="H4" s="9" t="s">
        <v>94</v>
      </c>
      <c r="I4" s="9" t="s">
        <v>95</v>
      </c>
      <c r="J4" s="9" t="s">
        <v>30</v>
      </c>
    </row>
    <row r="5" customFormat="false" ht="15" hidden="false" customHeight="false" outlineLevel="0" collapsed="false">
      <c r="B5" s="1" t="s">
        <v>96</v>
      </c>
      <c r="C5" s="1" t="s">
        <v>97</v>
      </c>
      <c r="D5" s="1" t="s">
        <v>98</v>
      </c>
      <c r="J5" s="10" t="s">
        <v>99</v>
      </c>
    </row>
    <row r="6" customFormat="false" ht="15" hidden="false" customHeight="false" outlineLevel="0" collapsed="false">
      <c r="B6" s="1" t="s">
        <v>100</v>
      </c>
      <c r="C6" s="1" t="s">
        <v>97</v>
      </c>
      <c r="D6" s="1" t="s">
        <v>101</v>
      </c>
      <c r="J6" s="10" t="s">
        <v>99</v>
      </c>
    </row>
    <row r="7" customFormat="false" ht="15" hidden="false" customHeight="false" outlineLevel="0" collapsed="false">
      <c r="B7" s="1" t="s">
        <v>102</v>
      </c>
      <c r="C7" s="1" t="s">
        <v>103</v>
      </c>
      <c r="D7" s="1" t="s">
        <v>104</v>
      </c>
      <c r="J7" s="10" t="s">
        <v>99</v>
      </c>
    </row>
    <row r="8" customFormat="false" ht="15" hidden="false" customHeight="false" outlineLevel="0" collapsed="false">
      <c r="B8" s="1" t="s">
        <v>105</v>
      </c>
      <c r="C8" s="1" t="s">
        <v>106</v>
      </c>
      <c r="D8" s="1" t="s">
        <v>107</v>
      </c>
      <c r="J8" s="10" t="s">
        <v>99</v>
      </c>
    </row>
    <row r="9" customFormat="false" ht="15" hidden="false" customHeight="false" outlineLevel="0" collapsed="false">
      <c r="J9" s="10"/>
    </row>
    <row r="10" customFormat="false" ht="15" hidden="false" customHeight="false" outlineLevel="0" collapsed="false">
      <c r="J10" s="10"/>
    </row>
    <row r="11" customFormat="false" ht="15" hidden="false" customHeight="false" outlineLevel="0" collapsed="false">
      <c r="J11" s="10"/>
    </row>
    <row r="12" customFormat="false" ht="15" hidden="false" customHeight="false" outlineLevel="0" collapsed="false">
      <c r="J12" s="10"/>
    </row>
    <row r="13" customFormat="false" ht="15" hidden="false" customHeight="false" outlineLevel="0" collapsed="false">
      <c r="J13" s="10"/>
    </row>
    <row r="14" customFormat="false" ht="15" hidden="false" customHeight="false" outlineLevel="0" collapsed="false">
      <c r="J14" s="10"/>
    </row>
    <row r="15" customFormat="false" ht="15" hidden="false" customHeight="false" outlineLevel="0" collapsed="false">
      <c r="J15" s="10"/>
    </row>
    <row r="16" customFormat="false" ht="15" hidden="false" customHeight="false" outlineLevel="0" collapsed="false">
      <c r="J16" s="10"/>
    </row>
    <row r="17" customFormat="false" ht="15" hidden="false" customHeight="false" outlineLevel="0" collapsed="false">
      <c r="J17" s="10"/>
    </row>
    <row r="18" customFormat="false" ht="15" hidden="false" customHeight="false" outlineLevel="0" collapsed="false">
      <c r="J18" s="10"/>
    </row>
    <row r="19" customFormat="false" ht="15" hidden="false" customHeight="false" outlineLevel="0" collapsed="false">
      <c r="J19" s="10"/>
    </row>
    <row r="20" customFormat="false" ht="15" hidden="false" customHeight="false" outlineLevel="0" collapsed="false">
      <c r="J20" s="10"/>
    </row>
    <row r="21" customFormat="false" ht="15" hidden="false" customHeight="false" outlineLevel="0" collapsed="false">
      <c r="J21" s="10"/>
    </row>
    <row r="22" customFormat="false" ht="15" hidden="false" customHeight="false" outlineLevel="0" collapsed="false"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</row>
    <row r="25" customFormat="false" ht="15" hidden="false" customHeight="false" outlineLevel="0" collapsed="false">
      <c r="J25" s="10"/>
    </row>
    <row r="26" customFormat="false" ht="15" hidden="false" customHeight="false" outlineLevel="0" collapsed="false">
      <c r="J26" s="10"/>
    </row>
    <row r="27" customFormat="false" ht="15" hidden="false" customHeight="false" outlineLevel="0" collapsed="false">
      <c r="J27" s="10"/>
    </row>
    <row r="28" customFormat="false" ht="15" hidden="false" customHeight="false" outlineLevel="0" collapsed="false">
      <c r="J28" s="10"/>
    </row>
    <row r="29" customFormat="false" ht="15" hidden="false" customHeight="false" outlineLevel="0" collapsed="false">
      <c r="J29" s="10"/>
    </row>
    <row r="30" customFormat="false" ht="15" hidden="false" customHeight="false" outlineLevel="0" collapsed="false">
      <c r="J30" s="10"/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4"/>
  </cols>
  <sheetData>
    <row r="2" customFormat="false" ht="19.5" hidden="false" customHeight="true" outlineLevel="0" collapsed="false">
      <c r="B2" s="2" t="s">
        <v>108</v>
      </c>
    </row>
    <row r="4" customFormat="false" ht="15" hidden="false" customHeight="true" outlineLevel="0" collapsed="false">
      <c r="A4" s="11"/>
      <c r="B4" s="11" t="s">
        <v>109</v>
      </c>
      <c r="C4" s="11" t="s">
        <v>110</v>
      </c>
      <c r="D4" s="11" t="s">
        <v>111</v>
      </c>
      <c r="E4" s="11" t="s">
        <v>112</v>
      </c>
      <c r="F4" s="11" t="s">
        <v>113</v>
      </c>
      <c r="G4" s="11" t="s">
        <v>114</v>
      </c>
    </row>
    <row r="5" customFormat="false" ht="15" hidden="false" customHeight="true" outlineLevel="0" collapsed="false">
      <c r="B5" s="12" t="s">
        <v>115</v>
      </c>
      <c r="C5" s="13" t="n">
        <v>0</v>
      </c>
      <c r="D5" s="14" t="str">
        <f aca="false">IFERROR(C5/$C$11,"-")</f>
        <v>-</v>
      </c>
      <c r="E5" s="15" t="n">
        <v>0</v>
      </c>
      <c r="F5" s="16" t="n">
        <f aca="false">C5*E5</f>
        <v>0</v>
      </c>
      <c r="G5" s="4" t="s">
        <v>116</v>
      </c>
    </row>
    <row r="6" customFormat="false" ht="15" hidden="false" customHeight="true" outlineLevel="0" collapsed="false">
      <c r="B6" s="12" t="s">
        <v>117</v>
      </c>
      <c r="C6" s="13" t="n">
        <v>0</v>
      </c>
      <c r="D6" s="14" t="str">
        <f aca="false">IFERROR(C6/$C$11,"-")</f>
        <v>-</v>
      </c>
      <c r="E6" s="15" t="n">
        <v>0</v>
      </c>
      <c r="F6" s="16" t="n">
        <f aca="false">C6*E6</f>
        <v>0</v>
      </c>
      <c r="G6" s="4" t="s">
        <v>116</v>
      </c>
    </row>
    <row r="7" customFormat="false" ht="15" hidden="false" customHeight="true" outlineLevel="0" collapsed="false">
      <c r="B7" s="12" t="s">
        <v>118</v>
      </c>
      <c r="C7" s="13" t="n">
        <v>0</v>
      </c>
      <c r="D7" s="14" t="str">
        <f aca="false">IFERROR(C7/$C$11,"-")</f>
        <v>-</v>
      </c>
      <c r="E7" s="15" t="n">
        <v>0</v>
      </c>
      <c r="F7" s="16" t="n">
        <f aca="false">C7*E7</f>
        <v>0</v>
      </c>
      <c r="G7" s="4" t="s">
        <v>116</v>
      </c>
    </row>
    <row r="8" customFormat="false" ht="15" hidden="false" customHeight="true" outlineLevel="0" collapsed="false">
      <c r="B8" s="12" t="s">
        <v>119</v>
      </c>
      <c r="C8" s="13" t="n">
        <v>0</v>
      </c>
      <c r="D8" s="14" t="str">
        <f aca="false">IFERROR(C8/$C$11,"-")</f>
        <v>-</v>
      </c>
      <c r="E8" s="15" t="n">
        <v>0</v>
      </c>
      <c r="F8" s="16" t="n">
        <f aca="false">C8*E8</f>
        <v>0</v>
      </c>
      <c r="G8" s="4" t="s">
        <v>116</v>
      </c>
    </row>
    <row r="9" customFormat="false" ht="15" hidden="false" customHeight="true" outlineLevel="0" collapsed="false">
      <c r="B9" s="12" t="s">
        <v>120</v>
      </c>
      <c r="C9" s="13" t="n">
        <v>0</v>
      </c>
      <c r="D9" s="14" t="str">
        <f aca="false">IFERROR(C9/$C$11,"-")</f>
        <v>-</v>
      </c>
      <c r="E9" s="15" t="n">
        <v>0</v>
      </c>
      <c r="F9" s="16" t="n">
        <f aca="false">C9*E9</f>
        <v>0</v>
      </c>
      <c r="G9" s="4" t="s">
        <v>116</v>
      </c>
    </row>
    <row r="10" customFormat="false" ht="15" hidden="false" customHeight="true" outlineLevel="0" collapsed="false">
      <c r="B10" s="12" t="s">
        <v>121</v>
      </c>
      <c r="C10" s="13" t="n">
        <v>0</v>
      </c>
      <c r="D10" s="14" t="str">
        <f aca="false">IFERROR(C10/$C$11,"-")</f>
        <v>-</v>
      </c>
      <c r="E10" s="15" t="n">
        <v>0</v>
      </c>
      <c r="F10" s="16" t="n">
        <f aca="false">C10*E10</f>
        <v>0</v>
      </c>
      <c r="G10" s="4" t="s">
        <v>116</v>
      </c>
    </row>
    <row r="11" customFormat="false" ht="15" hidden="false" customHeight="true" outlineLevel="0" collapsed="false">
      <c r="B11" s="3" t="s">
        <v>122</v>
      </c>
      <c r="C11" s="17" t="n">
        <f aca="false">SUM(C5:C10)</f>
        <v>0</v>
      </c>
      <c r="F11" s="18" t="n">
        <f aca="false">SUM(F5:F10)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5" min="5" style="1" width="26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123</v>
      </c>
    </row>
    <row r="4" customFormat="false" ht="15" hidden="false" customHeight="true" outlineLevel="0" collapsed="false">
      <c r="B4" s="19" t="s">
        <v>124</v>
      </c>
      <c r="E4" s="19" t="s">
        <v>125</v>
      </c>
    </row>
    <row r="5" customFormat="false" ht="15" hidden="false" customHeight="true" outlineLevel="0" collapsed="false">
      <c r="B5" s="12" t="s">
        <v>126</v>
      </c>
      <c r="C5" s="20" t="n">
        <v>0</v>
      </c>
      <c r="E5" s="1" t="s">
        <v>127</v>
      </c>
      <c r="F5" s="16" t="n">
        <f aca="false">C5+C6</f>
        <v>0</v>
      </c>
    </row>
    <row r="6" customFormat="false" ht="15" hidden="false" customHeight="true" outlineLevel="0" collapsed="false">
      <c r="B6" s="12" t="s">
        <v>128</v>
      </c>
      <c r="C6" s="20" t="n">
        <v>0</v>
      </c>
      <c r="E6" s="1" t="s">
        <v>129</v>
      </c>
      <c r="F6" s="21" t="str">
        <f aca="false">IFERROR(C5/C8,"-")</f>
        <v>-</v>
      </c>
    </row>
    <row r="7" customFormat="false" ht="15" hidden="false" customHeight="true" outlineLevel="0" collapsed="false">
      <c r="B7" s="12" t="s">
        <v>130</v>
      </c>
      <c r="C7" s="22" t="n">
        <v>0</v>
      </c>
      <c r="E7" s="1" t="s">
        <v>131</v>
      </c>
      <c r="F7" s="23" t="str">
        <f aca="false">IFERROR(C6/F6,"-")</f>
        <v>-</v>
      </c>
    </row>
    <row r="8" customFormat="false" ht="15" hidden="false" customHeight="true" outlineLevel="0" collapsed="false">
      <c r="B8" s="12" t="s">
        <v>132</v>
      </c>
      <c r="C8" s="24" t="n">
        <v>0</v>
      </c>
      <c r="E8" s="1" t="s">
        <v>133</v>
      </c>
      <c r="F8" s="23" t="str">
        <f aca="false">IFERROR(C7*(C8+F7),"-")</f>
        <v>-</v>
      </c>
    </row>
    <row r="9" customFormat="false" ht="15" hidden="false" customHeight="true" outlineLevel="0" collapsed="false">
      <c r="E9" s="1" t="s">
        <v>134</v>
      </c>
      <c r="F9" s="25" t="str">
        <f aca="false">IFERROR(C8+F7+F8,"-")</f>
        <v>-</v>
      </c>
    </row>
    <row r="10" customFormat="false" ht="15" hidden="false" customHeight="true" outlineLevel="0" collapsed="false">
      <c r="E10" s="1" t="s">
        <v>135</v>
      </c>
      <c r="F10" s="26" t="str">
        <f aca="false">IFERROR(F7/F9,"-")</f>
        <v>-</v>
      </c>
    </row>
    <row r="11" customFormat="false" ht="15" hidden="false" customHeight="true" outlineLevel="0" collapsed="false">
      <c r="E11" s="1" t="s">
        <v>136</v>
      </c>
      <c r="F11" s="26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28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137</v>
      </c>
    </row>
    <row r="4" customFormat="false" ht="15" hidden="false" customHeight="true" outlineLevel="0" collapsed="false">
      <c r="B4" s="19" t="s">
        <v>138</v>
      </c>
      <c r="E4" s="19" t="s">
        <v>139</v>
      </c>
    </row>
    <row r="5" customFormat="false" ht="15" hidden="false" customHeight="true" outlineLevel="0" collapsed="false">
      <c r="B5" s="12" t="s">
        <v>140</v>
      </c>
      <c r="C5" s="20" t="n">
        <v>0</v>
      </c>
      <c r="E5" s="1" t="s">
        <v>141</v>
      </c>
      <c r="F5" s="27" t="str">
        <f aca="false">'Round Modeling'!F6</f>
        <v>-</v>
      </c>
    </row>
    <row r="6" customFormat="false" ht="15" hidden="false" customHeight="true" outlineLevel="0" collapsed="false">
      <c r="B6" s="12" t="s">
        <v>142</v>
      </c>
      <c r="C6" s="20" t="n">
        <v>0</v>
      </c>
      <c r="E6" s="1" t="s">
        <v>143</v>
      </c>
      <c r="F6" s="21" t="str">
        <f aca="false">IFERROR(C6/'Round Modeling'!C8,"-")</f>
        <v>-</v>
      </c>
    </row>
    <row r="7" customFormat="false" ht="15" hidden="false" customHeight="true" outlineLevel="0" collapsed="false">
      <c r="B7" s="12" t="s">
        <v>144</v>
      </c>
      <c r="C7" s="22" t="n">
        <v>0</v>
      </c>
      <c r="E7" s="1" t="s">
        <v>145</v>
      </c>
      <c r="F7" s="21" t="str">
        <f aca="false">IFERROR(F5*(1-C7),"-")</f>
        <v>-</v>
      </c>
    </row>
    <row r="8" customFormat="false" ht="15" hidden="false" customHeight="true" outlineLevel="0" collapsed="false">
      <c r="E8" s="1" t="s">
        <v>146</v>
      </c>
      <c r="F8" s="28" t="n">
        <f aca="false">IFERROR(MIN(IF(ISNUMBER(F5),F5,9E+099),IF(ISNUMBER(F6),F6,9E+099),IF(ISNUMBER(F7),F7,9E+099)),"-")</f>
        <v>9E+099</v>
      </c>
    </row>
    <row r="9" customFormat="false" ht="15" hidden="false" customHeight="true" outlineLevel="0" collapsed="false">
      <c r="E9" s="1" t="s">
        <v>147</v>
      </c>
      <c r="F9" s="25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20"/>
  </cols>
  <sheetData>
    <row r="2" customFormat="false" ht="19.5" hidden="false" customHeight="true" outlineLevel="0" collapsed="false">
      <c r="B2" s="2" t="s">
        <v>148</v>
      </c>
    </row>
    <row r="4" customFormat="false" ht="15" hidden="false" customHeight="true" outlineLevel="0" collapsed="false">
      <c r="A4" s="11"/>
      <c r="B4" s="11" t="s">
        <v>149</v>
      </c>
      <c r="C4" s="11" t="s">
        <v>150</v>
      </c>
      <c r="D4" s="11" t="s">
        <v>81</v>
      </c>
      <c r="E4" s="11" t="s">
        <v>151</v>
      </c>
      <c r="F4" s="11" t="s">
        <v>152</v>
      </c>
      <c r="G4" s="1" t="s">
        <v>153</v>
      </c>
    </row>
    <row r="5" customFormat="false" ht="15" hidden="false" customHeight="true" outlineLevel="0" collapsed="false">
      <c r="B5" s="29" t="s">
        <v>2</v>
      </c>
      <c r="C5" s="29" t="s">
        <v>2</v>
      </c>
      <c r="D5" s="29" t="s">
        <v>2</v>
      </c>
      <c r="E5" s="30" t="n">
        <v>0</v>
      </c>
      <c r="F5" s="30" t="n">
        <v>0</v>
      </c>
      <c r="G5" s="29" t="s">
        <v>2</v>
      </c>
    </row>
    <row r="6" customFormat="false" ht="15" hidden="false" customHeight="true" outlineLevel="0" collapsed="false">
      <c r="B6" s="29" t="s">
        <v>2</v>
      </c>
      <c r="C6" s="29" t="s">
        <v>2</v>
      </c>
      <c r="D6" s="29" t="s">
        <v>2</v>
      </c>
      <c r="E6" s="30" t="n">
        <v>0</v>
      </c>
      <c r="F6" s="30" t="n">
        <v>0</v>
      </c>
      <c r="G6" s="29" t="s">
        <v>2</v>
      </c>
    </row>
    <row r="7" customFormat="false" ht="15" hidden="false" customHeight="true" outlineLevel="0" collapsed="false">
      <c r="B7" s="29" t="s">
        <v>2</v>
      </c>
      <c r="C7" s="29" t="s">
        <v>2</v>
      </c>
      <c r="D7" s="29" t="s">
        <v>2</v>
      </c>
      <c r="E7" s="30" t="n">
        <v>0</v>
      </c>
      <c r="F7" s="30" t="n">
        <v>0</v>
      </c>
      <c r="G7" s="29" t="s">
        <v>2</v>
      </c>
    </row>
    <row r="8" customFormat="false" ht="15" hidden="false" customHeight="true" outlineLevel="0" collapsed="false">
      <c r="B8" s="29" t="s">
        <v>2</v>
      </c>
      <c r="C8" s="29" t="s">
        <v>2</v>
      </c>
      <c r="D8" s="29" t="s">
        <v>2</v>
      </c>
      <c r="E8" s="30" t="n">
        <v>0</v>
      </c>
      <c r="F8" s="30" t="n">
        <v>0</v>
      </c>
      <c r="G8" s="29" t="s">
        <v>2</v>
      </c>
    </row>
    <row r="9" customFormat="false" ht="15" hidden="false" customHeight="true" outlineLevel="0" collapsed="false">
      <c r="B9" s="29" t="s">
        <v>2</v>
      </c>
      <c r="C9" s="29" t="s">
        <v>2</v>
      </c>
      <c r="D9" s="29" t="s">
        <v>2</v>
      </c>
      <c r="E9" s="30" t="n">
        <v>0</v>
      </c>
      <c r="F9" s="30" t="n">
        <v>0</v>
      </c>
      <c r="G9" s="29" t="s">
        <v>2</v>
      </c>
    </row>
    <row r="10" customFormat="false" ht="15" hidden="false" customHeight="true" outlineLevel="0" collapsed="false">
      <c r="B10" s="29" t="s">
        <v>2</v>
      </c>
      <c r="C10" s="29" t="s">
        <v>2</v>
      </c>
      <c r="D10" s="29" t="s">
        <v>2</v>
      </c>
      <c r="E10" s="30" t="n">
        <v>0</v>
      </c>
      <c r="F10" s="30" t="n">
        <v>0</v>
      </c>
      <c r="G10" s="29" t="s">
        <v>2</v>
      </c>
    </row>
    <row r="11" customFormat="false" ht="15" hidden="false" customHeight="true" outlineLevel="0" collapsed="false">
      <c r="B11" s="29" t="s">
        <v>2</v>
      </c>
      <c r="C11" s="29" t="s">
        <v>2</v>
      </c>
      <c r="D11" s="29" t="s">
        <v>2</v>
      </c>
      <c r="E11" s="30" t="n">
        <v>0</v>
      </c>
      <c r="F11" s="30" t="n">
        <v>0</v>
      </c>
      <c r="G11" s="29" t="s">
        <v>2</v>
      </c>
    </row>
    <row r="12" customFormat="false" ht="15" hidden="false" customHeight="true" outlineLevel="0" collapsed="false">
      <c r="B12" s="29" t="s">
        <v>2</v>
      </c>
      <c r="C12" s="29" t="s">
        <v>2</v>
      </c>
      <c r="D12" s="29" t="s">
        <v>2</v>
      </c>
      <c r="E12" s="30" t="n">
        <v>0</v>
      </c>
      <c r="F12" s="30" t="n">
        <v>0</v>
      </c>
      <c r="G12" s="29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154</v>
      </c>
    </row>
    <row r="4" customFormat="false" ht="15" hidden="false" customHeight="true" outlineLevel="0" collapsed="false">
      <c r="B4" s="11" t="s">
        <v>81</v>
      </c>
      <c r="C4" s="11" t="s">
        <v>155</v>
      </c>
      <c r="D4" s="11" t="s">
        <v>156</v>
      </c>
      <c r="E4" s="11" t="s">
        <v>157</v>
      </c>
      <c r="F4" s="11" t="s">
        <v>158</v>
      </c>
    </row>
    <row r="5" customFormat="false" ht="15" hidden="false" customHeight="true" outlineLevel="0" collapsed="false">
      <c r="B5" s="31"/>
      <c r="C5" s="31"/>
      <c r="D5" s="31"/>
      <c r="E5" s="31"/>
      <c r="F5" s="31"/>
    </row>
    <row r="6" customFormat="false" ht="15" hidden="false" customHeight="true" outlineLevel="0" collapsed="false">
      <c r="B6" s="31"/>
      <c r="C6" s="31"/>
      <c r="D6" s="31"/>
      <c r="E6" s="31"/>
      <c r="F6" s="31"/>
    </row>
    <row r="7" customFormat="false" ht="15" hidden="false" customHeight="true" outlineLevel="0" collapsed="false">
      <c r="B7" s="31"/>
      <c r="C7" s="31"/>
      <c r="D7" s="31"/>
      <c r="E7" s="31"/>
      <c r="F7" s="31"/>
    </row>
    <row r="8" customFormat="false" ht="15" hidden="false" customHeight="true" outlineLevel="0" collapsed="false">
      <c r="B8" s="31"/>
      <c r="C8" s="31"/>
      <c r="D8" s="31"/>
      <c r="E8" s="31"/>
      <c r="F8" s="31"/>
    </row>
    <row r="9" customFormat="false" ht="15" hidden="false" customHeight="true" outlineLevel="0" collapsed="false">
      <c r="B9" s="31"/>
      <c r="C9" s="31"/>
      <c r="D9" s="31"/>
      <c r="E9" s="31"/>
      <c r="F9" s="31"/>
    </row>
    <row r="10" customFormat="false" ht="15" hidden="false" customHeight="true" outlineLevel="0" collapsed="false">
      <c r="B10" s="31"/>
      <c r="C10" s="31"/>
      <c r="D10" s="31"/>
      <c r="E10" s="31"/>
      <c r="F10" s="31"/>
    </row>
    <row r="11" customFormat="false" ht="15" hidden="false" customHeight="true" outlineLevel="0" collapsed="false">
      <c r="B11" s="31"/>
      <c r="C11" s="31"/>
      <c r="D11" s="31"/>
      <c r="E11" s="31"/>
      <c r="F11" s="31"/>
    </row>
    <row r="12" customFormat="false" ht="15" hidden="false" customHeight="true" outlineLevel="0" collapsed="false">
      <c r="B12" s="31"/>
      <c r="C12" s="31"/>
      <c r="D12" s="31"/>
      <c r="E12" s="31"/>
      <c r="F12" s="31"/>
    </row>
    <row r="13" customFormat="false" ht="15" hidden="false" customHeight="true" outlineLevel="0" collapsed="false">
      <c r="B13" s="31"/>
      <c r="C13" s="31"/>
      <c r="D13" s="31"/>
      <c r="E13" s="31"/>
      <c r="F13" s="31"/>
    </row>
    <row r="14" customFormat="false" ht="15" hidden="false" customHeight="tru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159</v>
      </c>
    </row>
    <row r="4" customFormat="false" ht="15" hidden="false" customHeight="true" outlineLevel="0" collapsed="false">
      <c r="B4" s="11" t="s">
        <v>160</v>
      </c>
      <c r="C4" s="11" t="s">
        <v>161</v>
      </c>
      <c r="D4" s="11" t="s">
        <v>162</v>
      </c>
      <c r="E4" s="11" t="s">
        <v>163</v>
      </c>
    </row>
    <row r="5" customFormat="false" ht="15" hidden="false" customHeight="true" outlineLevel="0" collapsed="false">
      <c r="B5" s="1" t="s">
        <v>164</v>
      </c>
      <c r="C5" s="20" t="n">
        <v>80</v>
      </c>
      <c r="D5" s="20" t="n">
        <v>100</v>
      </c>
    </row>
    <row r="6" customFormat="false" ht="15" hidden="false" customHeight="true" outlineLevel="0" collapsed="false">
      <c r="B6" s="1" t="s">
        <v>165</v>
      </c>
      <c r="C6" s="20" t="n">
        <v>20</v>
      </c>
      <c r="D6" s="20" t="n">
        <v>20</v>
      </c>
    </row>
    <row r="7" customFormat="false" ht="15" hidden="false" customHeight="true" outlineLevel="0" collapsed="false">
      <c r="B7" s="1" t="s">
        <v>166</v>
      </c>
      <c r="C7" s="24" t="n">
        <v>8</v>
      </c>
      <c r="D7" s="24" t="n">
        <v>10</v>
      </c>
    </row>
    <row r="8" customFormat="false" ht="15" hidden="false" customHeight="true" outlineLevel="0" collapsed="false">
      <c r="B8" s="1" t="s">
        <v>167</v>
      </c>
      <c r="C8" s="24" t="n">
        <v>2</v>
      </c>
      <c r="D8" s="24" t="n">
        <v>4</v>
      </c>
    </row>
    <row r="9" customFormat="false" ht="15" hidden="false" customHeight="true" outlineLevel="0" collapsed="false">
      <c r="B9" s="1" t="s">
        <v>168</v>
      </c>
      <c r="C9" s="24" t="n">
        <v>0</v>
      </c>
      <c r="D9" s="24" t="n">
        <v>5</v>
      </c>
    </row>
    <row r="10" customFormat="false" ht="15" hidden="false" customHeight="true" outlineLevel="0" collapsed="false">
      <c r="B10" s="1" t="s">
        <v>169</v>
      </c>
      <c r="C10" s="22" t="n">
        <v>0.4</v>
      </c>
      <c r="D10" s="22" t="n">
        <v>0.4</v>
      </c>
    </row>
    <row r="11" customFormat="false" ht="15" hidden="false" customHeight="true" outlineLevel="0" collapsed="false">
      <c r="B11" s="1" t="s">
        <v>170</v>
      </c>
      <c r="C11" s="22" t="n">
        <v>0.2</v>
      </c>
      <c r="D11" s="22" t="n">
        <v>0.2</v>
      </c>
    </row>
    <row r="15" customFormat="false" ht="15" hidden="false" customHeight="true" outlineLevel="0" collapsed="false">
      <c r="B15" s="1" t="s">
        <v>171</v>
      </c>
      <c r="C15" s="16" t="n">
        <f aca="false">C5+C6</f>
        <v>100</v>
      </c>
      <c r="D15" s="16" t="n">
        <f aca="false">D5+D6</f>
        <v>120</v>
      </c>
    </row>
    <row r="16" customFormat="false" ht="15" hidden="false" customHeight="true" outlineLevel="0" collapsed="false">
      <c r="B16" s="1" t="s">
        <v>172</v>
      </c>
      <c r="C16" s="16" t="n">
        <f aca="false">C7+C8+C9</f>
        <v>10</v>
      </c>
      <c r="D16" s="16" t="n">
        <f aca="false">D7+D8+D9</f>
        <v>19</v>
      </c>
    </row>
    <row r="17" customFormat="false" ht="15" hidden="false" customHeight="true" outlineLevel="0" collapsed="false">
      <c r="B17" s="1" t="s">
        <v>173</v>
      </c>
      <c r="C17" s="26" t="n">
        <f aca="false">IFERROR(C8/C16,0)</f>
        <v>0.2</v>
      </c>
      <c r="D17" s="26" t="n">
        <f aca="false">IFERROR(D8/D16,0)</f>
        <v>0.210526315789474</v>
      </c>
    </row>
    <row r="18" customFormat="false" ht="15" hidden="false" customHeight="true" outlineLevel="0" collapsed="false">
      <c r="B18" s="1" t="s">
        <v>174</v>
      </c>
      <c r="C18" s="26" t="n">
        <f aca="false">IFERROR(C7/C16,0)</f>
        <v>0.8</v>
      </c>
      <c r="D18" s="26" t="n">
        <f aca="false">IFERROR(D7/D16,0)</f>
        <v>0.526315789473684</v>
      </c>
    </row>
    <row r="19" customFormat="false" ht="15" hidden="false" customHeight="true" outlineLevel="0" collapsed="false">
      <c r="B19" s="1" t="s">
        <v>175</v>
      </c>
      <c r="C19" s="26" t="n">
        <f aca="false">IFERROR(C9/C16,0)</f>
        <v>0</v>
      </c>
      <c r="D19" s="26" t="n">
        <f aca="false">IFERROR(D9/D16,0)</f>
        <v>0.263157894736842</v>
      </c>
    </row>
    <row r="20" customFormat="false" ht="15" hidden="false" customHeight="true" outlineLevel="0" collapsed="false">
      <c r="B20" s="1" t="s">
        <v>176</v>
      </c>
      <c r="C20" s="16" t="n">
        <f aca="false">IFERROR(C6/C8,0)</f>
        <v>10</v>
      </c>
      <c r="D20" s="16" t="n">
        <f aca="false">IFERROR(D6/D8,0)</f>
        <v>5</v>
      </c>
    </row>
    <row r="21" customFormat="false" ht="15" hidden="false" customHeight="true" outlineLevel="0" collapsed="false">
      <c r="B21" s="1" t="s">
        <v>177</v>
      </c>
      <c r="C21" s="16" t="n">
        <f aca="false">IFERROR(C5/C7,0)</f>
        <v>10</v>
      </c>
      <c r="D21" s="16" t="n">
        <f aca="false">IFERROR(D5/D7,0)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178</v>
      </c>
    </row>
    <row r="4" customFormat="false" ht="15" hidden="false" customHeight="true" outlineLevel="0" collapsed="false">
      <c r="B4" s="11" t="s">
        <v>160</v>
      </c>
      <c r="C4" s="11" t="s">
        <v>161</v>
      </c>
      <c r="D4" s="11" t="s">
        <v>162</v>
      </c>
      <c r="E4" s="11" t="s">
        <v>163</v>
      </c>
    </row>
    <row r="5" customFormat="false" ht="15" hidden="false" customHeight="true" outlineLevel="0" collapsed="false">
      <c r="B5" s="1" t="s">
        <v>179</v>
      </c>
      <c r="C5" s="20" t="n">
        <v>10</v>
      </c>
      <c r="D5" s="20" t="n">
        <v>30</v>
      </c>
    </row>
    <row r="6" customFormat="false" ht="15" hidden="false" customHeight="true" outlineLevel="0" collapsed="false">
      <c r="B6" s="1" t="s">
        <v>180</v>
      </c>
      <c r="C6" s="20" t="n">
        <v>15</v>
      </c>
      <c r="D6" s="20" t="n">
        <v>5</v>
      </c>
    </row>
    <row r="7" customFormat="false" ht="15" hidden="false" customHeight="true" outlineLevel="0" collapsed="false">
      <c r="B7" s="1" t="s">
        <v>181</v>
      </c>
      <c r="C7" s="22" t="n">
        <v>0.2</v>
      </c>
      <c r="D7" s="22" t="n">
        <v>0.2</v>
      </c>
    </row>
    <row r="8" customFormat="false" ht="15" hidden="false" customHeight="true" outlineLevel="0" collapsed="false">
      <c r="B8" s="1" t="s">
        <v>182</v>
      </c>
      <c r="C8" s="20" t="n">
        <v>40</v>
      </c>
      <c r="D8" s="20" t="n">
        <v>60</v>
      </c>
    </row>
    <row r="11" customFormat="false" ht="15" hidden="false" customHeight="true" outlineLevel="0" collapsed="false">
      <c r="B11" s="1" t="s">
        <v>183</v>
      </c>
      <c r="C11" s="16" t="n">
        <f aca="false">MAX(0,C5-C6)</f>
        <v>0</v>
      </c>
      <c r="D11" s="16" t="n">
        <f aca="false">MAX(0,D5-D6)</f>
        <v>25</v>
      </c>
    </row>
    <row r="12" customFormat="false" ht="15" hidden="false" customHeight="true" outlineLevel="0" collapsed="false">
      <c r="B12" s="1" t="s">
        <v>184</v>
      </c>
      <c r="C12" s="16" t="n">
        <f aca="false">C7*C8</f>
        <v>8</v>
      </c>
      <c r="D12" s="16" t="n">
        <f aca="false">D7*D8</f>
        <v>12</v>
      </c>
    </row>
    <row r="13" customFormat="false" ht="15" hidden="false" customHeight="true" outlineLevel="0" collapsed="false">
      <c r="B13" s="1" t="s">
        <v>185</v>
      </c>
      <c r="C13" s="16" t="n">
        <f aca="false">MAX(0,C12-C6)</f>
        <v>0</v>
      </c>
      <c r="D13" s="16" t="n">
        <f aca="false">MAX(0,D12-D6)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11" min="5" style="1" width="14"/>
  </cols>
  <sheetData>
    <row r="2" customFormat="false" ht="19.5" hidden="false" customHeight="true" outlineLevel="0" collapsed="false">
      <c r="B2" s="2" t="s">
        <v>186</v>
      </c>
    </row>
    <row r="4" customFormat="false" ht="15" hidden="false" customHeight="true" outlineLevel="0" collapsed="false">
      <c r="B4" s="11" t="s">
        <v>160</v>
      </c>
      <c r="C4" s="11" t="s">
        <v>161</v>
      </c>
      <c r="D4" s="11" t="s">
        <v>162</v>
      </c>
      <c r="E4" s="11" t="s">
        <v>163</v>
      </c>
    </row>
    <row r="5" customFormat="false" ht="15" hidden="false" customHeight="true" outlineLevel="0" collapsed="false">
      <c r="B5" s="1" t="s">
        <v>187</v>
      </c>
      <c r="C5" s="20" t="n">
        <v>500</v>
      </c>
      <c r="D5" s="20" t="n">
        <v>80</v>
      </c>
    </row>
    <row r="6" customFormat="false" ht="15" hidden="false" customHeight="true" outlineLevel="0" collapsed="false">
      <c r="B6" s="1" t="s">
        <v>188</v>
      </c>
      <c r="C6" s="20" t="n">
        <v>20</v>
      </c>
      <c r="D6" s="20" t="n">
        <v>20</v>
      </c>
    </row>
    <row r="7" customFormat="false" ht="15" hidden="false" customHeight="true" outlineLevel="0" collapsed="false">
      <c r="B7" s="1" t="s">
        <v>189</v>
      </c>
      <c r="C7" s="32" t="n">
        <v>3</v>
      </c>
      <c r="D7" s="32" t="n">
        <v>3</v>
      </c>
    </row>
    <row r="11" customFormat="false" ht="15" hidden="false" customHeight="true" outlineLevel="0" collapsed="false">
      <c r="B11" s="1" t="s">
        <v>173</v>
      </c>
      <c r="C11" s="26" t="n">
        <f aca="false">'Ownership &amp; Dilution'!C17</f>
        <v>0.2</v>
      </c>
      <c r="D11" s="26" t="n">
        <f aca="false">'Ownership &amp; Dilution'!D17</f>
        <v>0.210526315789474</v>
      </c>
    </row>
    <row r="12" customFormat="false" ht="15" hidden="false" customHeight="true" outlineLevel="0" collapsed="false">
      <c r="B12" s="1" t="s">
        <v>190</v>
      </c>
      <c r="C12" s="16" t="n">
        <f aca="false">C5*C11</f>
        <v>100</v>
      </c>
      <c r="D12" s="16" t="n">
        <f aca="false">D5*D11</f>
        <v>16.8421052631579</v>
      </c>
    </row>
    <row r="13" customFormat="false" ht="15" hidden="false" customHeight="true" outlineLevel="0" collapsed="false">
      <c r="B13" s="1" t="s">
        <v>191</v>
      </c>
      <c r="C13" s="33" t="n">
        <f aca="false">IFERROR(C12/C6,0)</f>
        <v>5</v>
      </c>
      <c r="D13" s="33" t="n">
        <f aca="false">IFERROR(D12/D6,0)</f>
        <v>0.842105263157895</v>
      </c>
    </row>
    <row r="16" customFormat="false" ht="15" hidden="false" customHeight="true" outlineLevel="0" collapsed="false">
      <c r="B16" s="19" t="s">
        <v>192</v>
      </c>
    </row>
    <row r="17" customFormat="false" ht="15" hidden="false" customHeight="true" outlineLevel="0" collapsed="false">
      <c r="B17" s="34" t="s">
        <v>193</v>
      </c>
    </row>
    <row r="19" customFormat="false" ht="15" hidden="false" customHeight="true" outlineLevel="0" collapsed="false">
      <c r="B19" s="11" t="s">
        <v>114</v>
      </c>
      <c r="C19" s="11" t="s">
        <v>113</v>
      </c>
      <c r="D19" s="11" t="s">
        <v>194</v>
      </c>
      <c r="E19" s="11" t="s">
        <v>195</v>
      </c>
      <c r="F19" s="11" t="s">
        <v>196</v>
      </c>
      <c r="G19" s="11" t="s">
        <v>197</v>
      </c>
      <c r="H19" s="11" t="s">
        <v>198</v>
      </c>
      <c r="I19" s="11" t="s">
        <v>199</v>
      </c>
      <c r="J19" s="11" t="s">
        <v>200</v>
      </c>
      <c r="K19" s="11" t="s">
        <v>201</v>
      </c>
    </row>
    <row r="20" customFormat="false" ht="15" hidden="false" customHeight="true" outlineLevel="0" collapsed="false">
      <c r="B20" s="1" t="s">
        <v>121</v>
      </c>
      <c r="C20" s="16" t="n">
        <f aca="false">'Cap Table'!F10</f>
        <v>0</v>
      </c>
      <c r="D20" s="16" t="n">
        <f aca="false">C20</f>
        <v>0</v>
      </c>
      <c r="E20" s="26" t="str">
        <f aca="false">IFERROR('Cap Table'!D10,"-")</f>
        <v>-</v>
      </c>
      <c r="F20" s="16" t="n">
        <f aca="false">MIN($C$5,D20)</f>
        <v>0</v>
      </c>
      <c r="G20" s="16" t="n">
        <f aca="false">MIN($D$5,D20)</f>
        <v>0</v>
      </c>
      <c r="H20" s="16" t="str">
        <f aca="false">IFERROR($C$5*E20,"-")</f>
        <v>-</v>
      </c>
      <c r="I20" s="16" t="str">
        <f aca="false">IFERROR($D$5*E20,"-")</f>
        <v>-</v>
      </c>
      <c r="J20" s="35" t="str">
        <f aca="false">IFERROR(IF($C$5&gt;SUM($D$20:$D$22),H20,F20),"-")</f>
        <v>-</v>
      </c>
      <c r="K20" s="35" t="str">
        <f aca="false">IFERROR(IF($D$5&gt;SUM($D$20:$D$22),I20,G20),"-")</f>
        <v>-</v>
      </c>
    </row>
    <row r="21" customFormat="false" ht="15" hidden="false" customHeight="true" outlineLevel="0" collapsed="false">
      <c r="B21" s="1" t="s">
        <v>120</v>
      </c>
      <c r="C21" s="16" t="n">
        <f aca="false">'Cap Table'!F9</f>
        <v>0</v>
      </c>
      <c r="D21" s="16" t="n">
        <f aca="false">C21</f>
        <v>0</v>
      </c>
      <c r="E21" s="26" t="str">
        <f aca="false">IFERROR('Cap Table'!D9,"-")</f>
        <v>-</v>
      </c>
      <c r="F21" s="16" t="n">
        <f aca="false">MIN(MAX($C$5-F20,0),D21)</f>
        <v>0</v>
      </c>
      <c r="G21" s="16" t="n">
        <f aca="false">MIN(MAX($D$5-G20,0),D21)</f>
        <v>0</v>
      </c>
      <c r="H21" s="16" t="str">
        <f aca="false">IFERROR($C$5*E21,"-")</f>
        <v>-</v>
      </c>
      <c r="I21" s="16" t="str">
        <f aca="false">IFERROR($D$5*E21,"-")</f>
        <v>-</v>
      </c>
      <c r="J21" s="35" t="str">
        <f aca="false">IFERROR(IF($C$5&gt;SUM($D$20:$D$22),H21,F21),"-")</f>
        <v>-</v>
      </c>
      <c r="K21" s="35" t="str">
        <f aca="false">IFERROR(IF($D$5&gt;SUM($D$20:$D$22),I21,G21),"-")</f>
        <v>-</v>
      </c>
    </row>
    <row r="22" customFormat="false" ht="15" hidden="false" customHeight="true" outlineLevel="0" collapsed="false">
      <c r="B22" s="1" t="s">
        <v>119</v>
      </c>
      <c r="C22" s="16" t="n">
        <f aca="false">'Cap Table'!F8</f>
        <v>0</v>
      </c>
      <c r="D22" s="16" t="n">
        <f aca="false">C22</f>
        <v>0</v>
      </c>
      <c r="E22" s="26" t="str">
        <f aca="false">IFERROR('Cap Table'!D8,"-")</f>
        <v>-</v>
      </c>
      <c r="F22" s="16" t="n">
        <f aca="false">MIN(MAX($C$5-F20-F21,0),D22)</f>
        <v>0</v>
      </c>
      <c r="G22" s="16" t="n">
        <f aca="false">MIN(MAX($D$5-G20-G21,0),D22)</f>
        <v>0</v>
      </c>
      <c r="H22" s="16" t="str">
        <f aca="false">IFERROR($C$5*E22,"-")</f>
        <v>-</v>
      </c>
      <c r="I22" s="16" t="str">
        <f aca="false">IFERROR($D$5*E22,"-")</f>
        <v>-</v>
      </c>
      <c r="J22" s="35" t="str">
        <f aca="false">IFERROR(IF($C$5&gt;SUM($D$20:$D$22),H22,F22),"-")</f>
        <v>-</v>
      </c>
      <c r="K22" s="35" t="str">
        <f aca="false">IFERROR(IF($D$5&gt;SUM($D$20:$D$22),I22,G22),"-")</f>
        <v>-</v>
      </c>
    </row>
    <row r="23" customFormat="false" ht="15" hidden="false" customHeight="true" outlineLevel="0" collapsed="false">
      <c r="B23" s="1" t="s">
        <v>202</v>
      </c>
      <c r="C23" s="16" t="n">
        <f aca="false">'Cap Table'!F5+'Cap Table'!F6</f>
        <v>0</v>
      </c>
      <c r="D23" s="16" t="n">
        <f aca="false">C23</f>
        <v>0</v>
      </c>
      <c r="E23" s="26" t="str">
        <f aca="false">IFERROR('Cap Table'!D5+'Cap Table'!D6,"-")</f>
        <v>-</v>
      </c>
      <c r="F23" s="16" t="n">
        <f aca="false">MAX(0,$C$5-F20-F21-F22)</f>
        <v>500</v>
      </c>
      <c r="G23" s="16" t="n">
        <f aca="false">MAX(0,$D$5-G20-G21-G22)</f>
        <v>80</v>
      </c>
      <c r="H23" s="16" t="str">
        <f aca="false">IFERROR($C$5*E23,"-")</f>
        <v>-</v>
      </c>
      <c r="I23" s="16" t="str">
        <f aca="false">IFERROR($D$5*E23,"-")</f>
        <v>-</v>
      </c>
      <c r="J23" s="35" t="str">
        <f aca="false">IFERROR(IF($C$5&gt;SUM($D$20:$D$22),H23,F23),"-")</f>
        <v>-</v>
      </c>
      <c r="K23" s="35" t="str">
        <f aca="false">IFERROR(IF($D$5&gt;SUM($D$20:$D$22),I23,G23),"-")</f>
        <v>-</v>
      </c>
    </row>
    <row r="24" customFormat="false" ht="15" hidden="false" customHeight="true" outlineLevel="0" collapsed="false">
      <c r="B24" s="1" t="s">
        <v>203</v>
      </c>
      <c r="C24" s="31" t="str">
        <f aca="false">IF($C$5&gt;SUM(D20:D22),"YES","NO")</f>
        <v>YES</v>
      </c>
      <c r="D24" s="31" t="str">
        <f aca="false">IF($D$5&gt;SUM(D20:D22),"YES","NO")</f>
        <v>YES</v>
      </c>
    </row>
    <row r="26" customFormat="false" ht="15" hidden="false" customHeight="true" outlineLevel="0" collapsed="false">
      <c r="B26" s="1" t="s">
        <v>204</v>
      </c>
      <c r="C26" s="16" t="n">
        <f aca="false">SUM(J20:J23)</f>
        <v>0</v>
      </c>
    </row>
    <row r="27" customFormat="false" ht="15" hidden="false" customHeight="true" outlineLevel="0" collapsed="false">
      <c r="B27" s="1" t="s">
        <v>205</v>
      </c>
      <c r="C27" s="16" t="n">
        <f aca="false">SUM(K20:K23)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4"/>
  </cols>
  <sheetData>
    <row r="2" customFormat="false" ht="19.5" hidden="false" customHeight="true" outlineLevel="0" collapsed="false">
      <c r="B2" s="2" t="s">
        <v>206</v>
      </c>
    </row>
    <row r="4" customFormat="false" ht="15" hidden="false" customHeight="true" outlineLevel="0" collapsed="false">
      <c r="B4" s="11" t="s">
        <v>207</v>
      </c>
      <c r="C4" s="11" t="s">
        <v>160</v>
      </c>
      <c r="D4" s="11" t="s">
        <v>30</v>
      </c>
      <c r="E4" s="11" t="s">
        <v>208</v>
      </c>
    </row>
    <row r="5" customFormat="false" ht="15" hidden="false" customHeight="true" outlineLevel="0" collapsed="false">
      <c r="B5" s="1" t="s">
        <v>209</v>
      </c>
      <c r="C5" s="23" t="n">
        <f aca="false">'Ownership &amp; Dilution'!D15-'Ownership &amp; Dilution'!D5-'Ownership &amp; Dilution'!D6</f>
        <v>0</v>
      </c>
      <c r="D5" s="31" t="str">
        <f aca="false">IF(ABS(C5)&lt;0.01,"PASS","FAIL")</f>
        <v>PASS</v>
      </c>
      <c r="E5" s="1" t="s">
        <v>210</v>
      </c>
    </row>
    <row r="6" customFormat="false" ht="15" hidden="false" customHeight="true" outlineLevel="0" collapsed="false">
      <c r="B6" s="1" t="s">
        <v>211</v>
      </c>
      <c r="C6" s="23" t="n">
        <f aca="false">'Ownership &amp; Dilution'!D17+'Ownership &amp; Dilution'!D18+'Ownership &amp; Dilution'!D19-1</f>
        <v>0</v>
      </c>
      <c r="D6" s="31" t="str">
        <f aca="false">IF(ABS(C6)&lt;0.000001,"PASS","FAIL")</f>
        <v>PASS</v>
      </c>
      <c r="E6" s="1" t="s">
        <v>212</v>
      </c>
    </row>
    <row r="7" customFormat="false" ht="15" hidden="false" customHeight="true" outlineLevel="0" collapsed="false">
      <c r="B7" s="1" t="s">
        <v>213</v>
      </c>
      <c r="C7" s="23" t="n">
        <f aca="false">'Reserves &amp; Follow-ons'!D11</f>
        <v>25</v>
      </c>
      <c r="D7" s="31" t="str">
        <f aca="false">IF(C7=0,"PASS","BREACH")</f>
        <v>BREACH</v>
      </c>
      <c r="E7" s="1" t="s">
        <v>214</v>
      </c>
    </row>
    <row r="8" customFormat="false" ht="15" hidden="false" customHeight="true" outlineLevel="0" collapsed="false">
      <c r="B8" s="1" t="s">
        <v>173</v>
      </c>
      <c r="C8" s="23" t="n">
        <f aca="false">'Ownership &amp; Dilution'!D17</f>
        <v>0.210526315789474</v>
      </c>
      <c r="D8" s="31" t="str">
        <f aca="false">IF(C8&lt;='Ownership &amp; Dilution'!D10,"PASS","BREACH")</f>
        <v>PASS</v>
      </c>
      <c r="E8" s="1" t="s">
        <v>215</v>
      </c>
    </row>
    <row r="9" customFormat="false" ht="15" hidden="false" customHeight="true" outlineLevel="0" collapsed="false">
      <c r="B9" s="1" t="s">
        <v>216</v>
      </c>
      <c r="C9" s="23" t="n">
        <f aca="false">'Ownership &amp; Dilution'!D19</f>
        <v>0.263157894736842</v>
      </c>
      <c r="D9" s="31" t="str">
        <f aca="false">IF(C9&lt;='Ownership &amp; Dilution'!D11,"PASS","BREACH")</f>
        <v>BREACH</v>
      </c>
      <c r="E9" s="1" t="s">
        <v>217</v>
      </c>
    </row>
    <row r="10" customFormat="false" ht="15" hidden="false" customHeight="true" outlineLevel="0" collapsed="false">
      <c r="B10" s="1" t="s">
        <v>218</v>
      </c>
      <c r="C10" s="23" t="n">
        <f aca="false">'Ownership &amp; Dilution'!D20-'Ownership &amp; Dilution'!D21</f>
        <v>-5</v>
      </c>
      <c r="D10" s="31" t="str">
        <f aca="false">IF(C10&gt;=0,"PASS","BREACH")</f>
        <v>BREACH</v>
      </c>
      <c r="E10" s="1" t="s">
        <v>219</v>
      </c>
    </row>
    <row r="11" customFormat="false" ht="15" hidden="false" customHeight="true" outlineLevel="0" collapsed="false">
      <c r="B11" s="1" t="s">
        <v>191</v>
      </c>
      <c r="C11" s="23" t="n">
        <f aca="false">'Exit Waterfall'!D13</f>
        <v>0.842105263157895</v>
      </c>
      <c r="D11" s="31" t="str">
        <f aca="false">IF(C11&gt;='Exit Waterfall'!D7,"PASS","BREACH")</f>
        <v>BREACH</v>
      </c>
      <c r="E11" s="1" t="s">
        <v>220</v>
      </c>
    </row>
    <row r="12" customFormat="false" ht="15" hidden="false" customHeight="true" outlineLevel="0" collapsed="false">
      <c r="B12" s="1" t="s">
        <v>221</v>
      </c>
      <c r="C12" s="23" t="n">
        <f aca="false">'Exit Waterfall'!C26-'Exit Waterfall'!C5</f>
        <v>-500</v>
      </c>
      <c r="D12" s="31" t="str">
        <f aca="false">IF(ABS(C12)&lt;0.01,"PASS","FAIL")</f>
        <v>FAIL</v>
      </c>
      <c r="E12" s="1" t="s">
        <v>222</v>
      </c>
    </row>
    <row r="13" customFormat="false" ht="15" hidden="false" customHeight="true" outlineLevel="0" collapsed="false">
      <c r="B13" s="1" t="s">
        <v>223</v>
      </c>
      <c r="C13" s="23" t="n">
        <f aca="false">'Exit Waterfall'!C27-'Exit Waterfall'!D5</f>
        <v>-80</v>
      </c>
      <c r="D13" s="31" t="str">
        <f aca="false">IF(ABS(C13)&lt;0.01,"PASS","FAIL")</f>
        <v>FAIL</v>
      </c>
      <c r="E13" s="1" t="s">
        <v>222</v>
      </c>
    </row>
    <row r="15" customFormat="false" ht="15" hidden="false" customHeight="true" outlineLevel="0" collapsed="false">
      <c r="B15" s="3" t="s">
        <v>224</v>
      </c>
      <c r="C15" s="36" t="str">
        <f aca="false">IF(COUNTIF(D5:D13,"FAIL")+COUNTIF(D5:D13,"BREACH")&gt;0,"BREACH",IF(COUNTIF(D5:D13,"REVIEW")&gt;0,"REVIEW","PASS"))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2026-08-04T19:04:03Z</dcterms:created>
  <dc:creator>openpyxl</dc:creator>
  <dc:description/>
  <dc:language>en-US</dc:language>
  <cp:lastModifiedBy/>
  <dcterms:modified xsi:type="dcterms:W3CDTF">2026-08-04T19:05:43Z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