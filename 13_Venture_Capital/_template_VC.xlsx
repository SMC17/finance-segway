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over" sheetId="1" state="visible" r:id="rId1"/>
    <sheet name="Institutional Surface" sheetId="2" state="visible" r:id="rId2"/>
    <sheet name="Challenge Log" sheetId="3" state="visible" r:id="rId3"/>
    <sheet name="Lineage Map" sheetId="4" state="visible" r:id="rId4"/>
    <sheet name="Cap Table" sheetId="5" state="visible" r:id="rId5"/>
    <sheet name="Round Modeling" sheetId="6" state="visible" r:id="rId6"/>
    <sheet name="SAFE Conversion" sheetId="7" state="visible" r:id="rId7"/>
    <sheet name="Exit Waterfall" sheetId="8" state="visible" r:id="rId8"/>
    <sheet name="Comparable Financings" sheetId="9" state="visible" r:id="rId9"/>
    <sheet name="RefreshLog" sheetId="10" state="visible" r:id="rId10"/>
  </sheets>
  <definedNames>
    <definedName name="FS_MODEL_ID">'Institutional Surface'!$C$4</definedName>
    <definedName name="FS_DOMAIN">'Institutional Surface'!$C$5</definedName>
    <definedName name="FS_MATURITY">'Institutional Surface'!$C$6</definedName>
  </definedNames>
  <calcPr calcId="124519" fullCalcOnLoad="1" refMode="A1" iterate="0" iterateCount="100" iterateDelta="0.0001" forceFullCalc="1"/>
</workbook>
</file>

<file path=xl/styles.xml><?xml version="1.0" encoding="utf-8"?>
<styleSheet xmlns="http://schemas.openxmlformats.org/spreadsheetml/2006/main">
  <numFmts count="4">
    <numFmt numFmtId="164" formatCode="#,##0;\(#,##0\);\-"/>
    <numFmt numFmtId="165" formatCode="0.0%;\(0.0%\);\-"/>
    <numFmt numFmtId="166" formatCode="\$#,##0.00;&quot;($&quot;#,##0.00\);\-"/>
    <numFmt numFmtId="167" formatCode="\$#,##0;&quot;($&quot;#,##0\);\-"/>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b val="1"/>
      <sz val="10"/>
    </font>
    <font>
      <name val="Arial"/>
      <charset val="1"/>
      <family val="0"/>
      <color rgb="FF0000FF"/>
      <sz val="10"/>
    </font>
    <font>
      <name val="Arial"/>
      <charset val="1"/>
      <family val="0"/>
      <b val="1"/>
      <color rgb="FFFFFFFF"/>
      <sz val="11"/>
    </font>
    <font>
      <name val="Arial"/>
      <charset val="1"/>
      <family val="0"/>
      <color rgb="FF000000"/>
      <sz val="10"/>
    </font>
    <font>
      <name val="Arial"/>
      <charset val="1"/>
      <family val="0"/>
      <color rgb="FF008000"/>
      <sz val="10"/>
    </font>
    <font>
      <name val="Arial"/>
      <charset val="1"/>
      <family val="0"/>
      <i val="1"/>
      <color rgb="FF808080"/>
      <sz val="8"/>
    </font>
    <font>
      <b val="1"/>
      <color rgb="00FFFFFF"/>
      <sz val="15"/>
    </font>
    <font>
      <b val="1"/>
    </font>
    <font>
      <b val="1"/>
      <color rgb="00FFFFFF"/>
    </font>
  </fonts>
  <fills count="7">
    <fill>
      <patternFill/>
    </fill>
    <fill>
      <patternFill patternType="gray125"/>
    </fill>
    <fill>
      <patternFill patternType="solid">
        <fgColor rgb="FF1F4E78"/>
        <bgColor rgb="FF003366"/>
      </patternFill>
    </fill>
    <fill>
      <patternFill patternType="solid">
        <fgColor rgb="FFD9D9D9"/>
        <bgColor rgb="FFBFBFBF"/>
      </patternFill>
    </fill>
    <fill>
      <patternFill patternType="solid">
        <fgColor rgb="FFFFFF00"/>
        <bgColor rgb="FFFFFF00"/>
      </patternFill>
    </fill>
    <fill>
      <patternFill patternType="solid">
        <fgColor rgb="0017365D"/>
      </patternFill>
    </fill>
    <fill>
      <patternFill patternType="solid">
        <fgColor rgb="00D9EAF7"/>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B7B7B7"/>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bottom"/>
    </xf>
    <xf numFmtId="0" fontId="8" fillId="0" borderId="0" applyAlignment="1" pivotButton="0" quotePrefix="0" xfId="0">
      <alignment horizontal="general" vertical="bottom"/>
    </xf>
    <xf numFmtId="164" fontId="6" fillId="0" borderId="1" applyAlignment="1" pivotButton="0" quotePrefix="0" xfId="0">
      <alignment horizontal="general" vertical="bottom"/>
    </xf>
    <xf numFmtId="165" fontId="0" fillId="0" borderId="0" applyAlignment="1" pivotButton="0" quotePrefix="0" xfId="0">
      <alignment horizontal="general" vertical="bottom"/>
    </xf>
    <xf numFmtId="166" fontId="6" fillId="0" borderId="1" applyAlignment="1" pivotButton="0" quotePrefix="0" xfId="0">
      <alignment horizontal="general" vertical="bottom"/>
    </xf>
    <xf numFmtId="167" fontId="0" fillId="0" borderId="1" applyAlignment="1" pivotButton="0" quotePrefix="0" xfId="0">
      <alignment horizontal="general" vertical="bottom"/>
    </xf>
    <xf numFmtId="164" fontId="5" fillId="0" borderId="0" applyAlignment="1" pivotButton="0" quotePrefix="0" xfId="0">
      <alignment horizontal="general" vertical="bottom"/>
    </xf>
    <xf numFmtId="167" fontId="5" fillId="0" borderId="0" applyAlignment="1" pivotButton="0" quotePrefix="0" xfId="0">
      <alignment horizontal="general" vertical="bottom"/>
    </xf>
    <xf numFmtId="0" fontId="5" fillId="3" borderId="0" applyAlignment="1" pivotButton="0" quotePrefix="0" xfId="0">
      <alignment horizontal="general" vertical="bottom"/>
    </xf>
    <xf numFmtId="167" fontId="6" fillId="4" borderId="1" applyAlignment="1" pivotButton="0" quotePrefix="0" xfId="0">
      <alignment horizontal="general" vertical="bottom"/>
    </xf>
    <xf numFmtId="0" fontId="0" fillId="0" borderId="0" applyAlignment="1" pivotButton="0" quotePrefix="0" xfId="0">
      <alignment horizontal="general" vertical="bottom"/>
    </xf>
    <xf numFmtId="166" fontId="0" fillId="0" borderId="1" applyAlignment="1" pivotButton="0" quotePrefix="0" xfId="0">
      <alignment horizontal="general" vertical="bottom"/>
    </xf>
    <xf numFmtId="165" fontId="6" fillId="4" borderId="1" applyAlignment="1" pivotButton="0" quotePrefix="0" xfId="0">
      <alignment horizontal="general" vertical="bottom"/>
    </xf>
    <xf numFmtId="164" fontId="0" fillId="0" borderId="1" applyAlignment="1" pivotButton="0" quotePrefix="0" xfId="0">
      <alignment horizontal="general" vertical="bottom"/>
    </xf>
    <xf numFmtId="164" fontId="6" fillId="4" borderId="1" applyAlignment="1" pivotButton="0" quotePrefix="0" xfId="0">
      <alignment horizontal="general" vertical="bottom"/>
    </xf>
    <xf numFmtId="164" fontId="5" fillId="0" borderId="1" applyAlignment="1" pivotButton="0" quotePrefix="0" xfId="0">
      <alignment horizontal="general" vertical="bottom"/>
    </xf>
    <xf numFmtId="165" fontId="0" fillId="0" borderId="1" applyAlignment="1" pivotButton="0" quotePrefix="0" xfId="0">
      <alignment horizontal="general" vertical="bottom"/>
    </xf>
    <xf numFmtId="166" fontId="9" fillId="0" borderId="1" applyAlignment="1" pivotButton="0" quotePrefix="0" xfId="0">
      <alignment horizontal="general" vertical="bottom"/>
    </xf>
    <xf numFmtId="166" fontId="5" fillId="0" borderId="1" applyAlignment="1" pivotButton="0" quotePrefix="0" xfId="0">
      <alignment horizontal="general" vertical="bottom"/>
    </xf>
    <xf numFmtId="167" fontId="9" fillId="0" borderId="1" applyAlignment="1" pivotButton="0" quotePrefix="0" xfId="0">
      <alignment horizontal="general" vertical="bottom"/>
    </xf>
    <xf numFmtId="165" fontId="9" fillId="0" borderId="1" applyAlignment="1" pivotButton="0" quotePrefix="0" xfId="0">
      <alignment horizontal="general" vertical="bottom"/>
    </xf>
    <xf numFmtId="167" fontId="5" fillId="0" borderId="1" applyAlignment="1" pivotButton="0" quotePrefix="0" xfId="0">
      <alignment horizontal="general" vertical="bottom"/>
    </xf>
    <xf numFmtId="0" fontId="10" fillId="0" borderId="0" applyAlignment="1" pivotButton="0" quotePrefix="0" xfId="0">
      <alignment horizontal="general" vertical="bottom"/>
    </xf>
    <xf numFmtId="167" fontId="6" fillId="4" borderId="0" applyAlignment="1" pivotButton="0" quotePrefix="0" xfId="0">
      <alignment horizontal="general" vertical="bottom"/>
    </xf>
    <xf numFmtId="0" fontId="6" fillId="0" borderId="1" applyAlignment="1" pivotButton="0" quotePrefix="0" xfId="0">
      <alignment horizontal="general" vertical="bottom"/>
    </xf>
    <xf numFmtId="167" fontId="6"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11" fillId="5" borderId="0" pivotButton="0" quotePrefix="0" xfId="0"/>
    <xf numFmtId="0" fontId="12" fillId="0" borderId="0" pivotButton="0" quotePrefix="0" xfId="0"/>
    <xf numFmtId="0" fontId="0" fillId="0" borderId="0" applyAlignment="1" pivotButton="0" quotePrefix="0" xfId="0">
      <alignment wrapText="1"/>
    </xf>
    <xf numFmtId="0" fontId="13" fillId="5" borderId="0" pivotButton="0" quotePrefix="0" xfId="0"/>
    <xf numFmtId="0" fontId="12" fillId="6" borderId="2" applyAlignment="1" pivotButton="0" quotePrefix="0" xfId="0">
      <alignment wrapText="1"/>
    </xf>
    <xf numFmtId="0" fontId="7" fillId="2" borderId="0" applyAlignment="1" pivotButton="0" quotePrefix="0" xfId="0">
      <alignment horizontal="center" vertical="bottom"/>
    </xf>
    <xf numFmtId="0" fontId="8" fillId="0" borderId="0" applyAlignment="1" pivotButton="0" quotePrefix="0" xfId="0">
      <alignment horizontal="general" vertical="bottom"/>
    </xf>
    <xf numFmtId="164" fontId="6" fillId="0" borderId="1" applyAlignment="1" pivotButton="0" quotePrefix="0" xfId="0">
      <alignment horizontal="general" vertical="bottom"/>
    </xf>
    <xf numFmtId="165" fontId="0" fillId="0" borderId="0" applyAlignment="1" pivotButton="0" quotePrefix="0" xfId="0">
      <alignment horizontal="general" vertical="bottom"/>
    </xf>
    <xf numFmtId="166" fontId="6" fillId="0" borderId="1" applyAlignment="1" pivotButton="0" quotePrefix="0" xfId="0">
      <alignment horizontal="general" vertical="bottom"/>
    </xf>
    <xf numFmtId="167" fontId="0" fillId="0" borderId="1" applyAlignment="1" pivotButton="0" quotePrefix="0" xfId="0">
      <alignment horizontal="general" vertical="bottom"/>
    </xf>
    <xf numFmtId="164" fontId="5" fillId="0" borderId="0" applyAlignment="1" pivotButton="0" quotePrefix="0" xfId="0">
      <alignment horizontal="general" vertical="bottom"/>
    </xf>
    <xf numFmtId="167" fontId="5" fillId="0" borderId="0" applyAlignment="1" pivotButton="0" quotePrefix="0" xfId="0">
      <alignment horizontal="general" vertical="bottom"/>
    </xf>
    <xf numFmtId="0" fontId="5" fillId="3" borderId="0" applyAlignment="1" pivotButton="0" quotePrefix="0" xfId="0">
      <alignment horizontal="general" vertical="bottom"/>
    </xf>
    <xf numFmtId="167" fontId="6" fillId="4" borderId="1" applyAlignment="1" pivotButton="0" quotePrefix="0" xfId="0">
      <alignment horizontal="general" vertical="bottom"/>
    </xf>
    <xf numFmtId="166" fontId="0" fillId="0" borderId="1" applyAlignment="1" pivotButton="0" quotePrefix="0" xfId="0">
      <alignment horizontal="general" vertical="bottom"/>
    </xf>
    <xf numFmtId="165" fontId="6" fillId="4" borderId="1" applyAlignment="1" pivotButton="0" quotePrefix="0" xfId="0">
      <alignment horizontal="general" vertical="bottom"/>
    </xf>
    <xf numFmtId="164" fontId="0" fillId="0" borderId="1" applyAlignment="1" pivotButton="0" quotePrefix="0" xfId="0">
      <alignment horizontal="general" vertical="bottom"/>
    </xf>
    <xf numFmtId="164" fontId="6" fillId="4" borderId="1" applyAlignment="1" pivotButton="0" quotePrefix="0" xfId="0">
      <alignment horizontal="general" vertical="bottom"/>
    </xf>
    <xf numFmtId="164" fontId="5" fillId="0" borderId="1" applyAlignment="1" pivotButton="0" quotePrefix="0" xfId="0">
      <alignment horizontal="general" vertical="bottom"/>
    </xf>
    <xf numFmtId="165" fontId="0" fillId="0" borderId="1" applyAlignment="1" pivotButton="0" quotePrefix="0" xfId="0">
      <alignment horizontal="general" vertical="bottom"/>
    </xf>
    <xf numFmtId="166" fontId="9" fillId="0" borderId="1" applyAlignment="1" pivotButton="0" quotePrefix="0" xfId="0">
      <alignment horizontal="general" vertical="bottom"/>
    </xf>
    <xf numFmtId="166" fontId="5" fillId="0" borderId="1" applyAlignment="1" pivotButton="0" quotePrefix="0" xfId="0">
      <alignment horizontal="general" vertical="bottom"/>
    </xf>
    <xf numFmtId="167" fontId="9" fillId="0" borderId="1" applyAlignment="1" pivotButton="0" quotePrefix="0" xfId="0">
      <alignment horizontal="general" vertical="bottom"/>
    </xf>
    <xf numFmtId="165" fontId="9" fillId="0" borderId="1" applyAlignment="1" pivotButton="0" quotePrefix="0" xfId="0">
      <alignment horizontal="general" vertical="bottom"/>
    </xf>
    <xf numFmtId="167" fontId="5" fillId="0" borderId="1" applyAlignment="1" pivotButton="0" quotePrefix="0" xfId="0">
      <alignment horizontal="general" vertical="bottom"/>
    </xf>
    <xf numFmtId="0" fontId="10" fillId="0" borderId="0" applyAlignment="1" pivotButton="0" quotePrefix="0" xfId="0">
      <alignment horizontal="general" vertical="bottom"/>
    </xf>
    <xf numFmtId="167" fontId="6" fillId="4" borderId="0" applyAlignment="1" pivotButton="0" quotePrefix="0" xfId="0">
      <alignment horizontal="general" vertical="bottom"/>
    </xf>
    <xf numFmtId="0" fontId="6" fillId="0" borderId="1" applyAlignment="1" pivotButton="0" quotePrefix="0" xfId="0">
      <alignment horizontal="general" vertical="bottom"/>
    </xf>
    <xf numFmtId="167" fontId="6"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C8"/>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 customWidth="1" style="31" min="1" max="1"/>
    <col width="30" customWidth="1" style="31" min="2" max="2"/>
    <col width="40" customWidth="1" style="31" min="3" max="3"/>
    <col width="4" customWidth="1" style="31" min="4" max="4"/>
  </cols>
  <sheetData>
    <row r="2" ht="19.7" customHeight="1" s="32">
      <c r="B2" s="33" t="inlineStr">
        <is>
          <t>[COMPANY] — Venture Capital Model</t>
        </is>
      </c>
    </row>
    <row r="4" ht="15" customHeight="1" s="32">
      <c r="B4" s="34" t="inlineStr">
        <is>
          <t>Sector:</t>
        </is>
      </c>
      <c r="C4" s="35" t="inlineStr">
        <is>
          <t>[fill in]</t>
        </is>
      </c>
    </row>
    <row r="5" ht="15" customHeight="1" s="32">
      <c r="B5" s="34" t="inlineStr">
        <is>
          <t>Current stage:</t>
        </is>
      </c>
      <c r="C5" s="35" t="inlineStr">
        <is>
          <t>Seed / A / B / C / Growth</t>
        </is>
      </c>
    </row>
    <row r="6" ht="15" customHeight="1" s="32">
      <c r="B6" s="34" t="inlineStr">
        <is>
          <t>Last refreshed:</t>
        </is>
      </c>
      <c r="C6" s="35" t="inlineStr">
        <is>
          <t>[date]</t>
        </is>
      </c>
    </row>
    <row r="7" ht="15" customHeight="1" s="32">
      <c r="B7" s="34" t="inlineStr">
        <is>
          <t>Next round expected:</t>
        </is>
      </c>
      <c r="C7" s="35" t="inlineStr">
        <is>
          <t>[date]</t>
        </is>
      </c>
    </row>
    <row r="8" ht="15" customHeight="1" s="32">
      <c r="B8" s="34" t="inlineStr">
        <is>
          <t>Refresh cadence:</t>
        </is>
      </c>
      <c r="C8" s="35" t="inlineStr">
        <is>
          <t>Weekly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B2:F6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style="32" min="2" max="2"/>
    <col width="48" customWidth="1" style="32" min="3" max="3"/>
    <col width="24" customWidth="1" style="32" min="4" max="4"/>
    <col width="34" customWidth="1" style="32" min="5" max="5"/>
    <col width="20" customWidth="1" style="32" min="6" max="6"/>
  </cols>
  <sheetData>
    <row r="2">
      <c r="B2" s="36" t="inlineStr">
        <is>
          <t>Venture Capital — Institutional Decision Surface</t>
        </is>
      </c>
    </row>
    <row r="4">
      <c r="B4" s="37" t="inlineStr">
        <is>
          <t>Model ID</t>
        </is>
      </c>
      <c r="C4" s="38" t="inlineStr">
        <is>
          <t>13</t>
        </is>
      </c>
    </row>
    <row r="5">
      <c r="B5" s="37" t="inlineStr">
        <is>
          <t>Domain</t>
        </is>
      </c>
      <c r="C5" s="38" t="inlineStr">
        <is>
          <t>Venture Capital</t>
        </is>
      </c>
    </row>
    <row r="6">
      <c r="B6" s="37" t="inlineStr">
        <is>
          <t>Declared maturity</t>
        </is>
      </c>
      <c r="C6" s="38" t="inlineStr">
        <is>
          <t>M2</t>
        </is>
      </c>
    </row>
    <row r="7">
      <c r="B7" s="37" t="inlineStr">
        <is>
          <t>Canonical builder</t>
        </is>
      </c>
      <c r="C7" s="38" t="inlineStr">
        <is>
          <t>tools/builders/build_vc_template.py</t>
        </is>
      </c>
    </row>
    <row r="8">
      <c r="B8" s="37" t="inlineStr">
        <is>
          <t>Decision arena</t>
        </is>
      </c>
      <c r="C8" s="38" t="inlineStr">
        <is>
          <t>investment team, partnership IC, board and portfolio finance</t>
        </is>
      </c>
    </row>
    <row r="9">
      <c r="B9" s="37" t="inlineStr">
        <is>
          <t>Committee artifact</t>
        </is>
      </c>
      <c r="C9" s="38" t="inlineStr">
        <is>
          <t>investment and reserve-allocation memo</t>
        </is>
      </c>
    </row>
    <row r="10">
      <c r="B10" s="37" t="inlineStr">
        <is>
          <t>Operating cadence</t>
        </is>
      </c>
      <c r="C10" s="38" t="inlineStr">
        <is>
          <t>monthly portfolio; event-driven financings; quarterly IC</t>
        </is>
      </c>
    </row>
    <row r="12">
      <c r="B12" s="39" t="inlineStr">
        <is>
          <t>Key decision outputs</t>
        </is>
      </c>
    </row>
    <row r="13">
      <c r="B13" s="40" t="inlineStr">
        <is>
          <t>#</t>
        </is>
      </c>
      <c r="C13" s="40" t="inlineStr">
        <is>
          <t>Requirement</t>
        </is>
      </c>
      <c r="D13" s="40" t="inlineStr">
        <is>
          <t>Owner</t>
        </is>
      </c>
      <c r="E13" s="40" t="inlineStr">
        <is>
          <t>Evidence / location</t>
        </is>
      </c>
      <c r="F13" s="40" t="inlineStr">
        <is>
          <t>Status</t>
        </is>
      </c>
    </row>
    <row r="14">
      <c r="B14" t="n">
        <v>1</v>
      </c>
      <c r="C14" t="inlineStr">
        <is>
          <t>post-money ownership</t>
        </is>
      </c>
      <c r="D14" t="inlineStr"/>
      <c r="E14" t="inlineStr"/>
      <c r="F14" t="inlineStr">
        <is>
          <t>OPEN</t>
        </is>
      </c>
    </row>
    <row r="15">
      <c r="B15" t="n">
        <v>2</v>
      </c>
      <c r="C15" t="inlineStr">
        <is>
          <t>SAFE / note conversion</t>
        </is>
      </c>
      <c r="D15" t="inlineStr"/>
      <c r="E15" t="inlineStr"/>
      <c r="F15" t="inlineStr">
        <is>
          <t>OPEN</t>
        </is>
      </c>
    </row>
    <row r="16">
      <c r="B16" t="n">
        <v>3</v>
      </c>
      <c r="C16" t="inlineStr">
        <is>
          <t>preference and participation waterfall</t>
        </is>
      </c>
      <c r="D16" t="inlineStr"/>
      <c r="E16" t="inlineStr"/>
      <c r="F16" t="inlineStr">
        <is>
          <t>OPEN</t>
        </is>
      </c>
    </row>
    <row r="17">
      <c r="B17" t="n">
        <v>4</v>
      </c>
      <c r="C17" t="inlineStr">
        <is>
          <t>base, downside and break-even outputs</t>
        </is>
      </c>
      <c r="D17" t="inlineStr"/>
      <c r="E17" t="inlineStr"/>
      <c r="F17" t="inlineStr">
        <is>
          <t>OPEN</t>
        </is>
      </c>
    </row>
    <row r="18">
      <c r="B18" t="n">
        <v>5</v>
      </c>
      <c r="C18" t="inlineStr">
        <is>
          <t>liquidity / funding requirement and binding constraint</t>
        </is>
      </c>
      <c r="D18" t="inlineStr"/>
      <c r="E18" t="inlineStr"/>
      <c r="F18" t="inlineStr">
        <is>
          <t>OPEN</t>
        </is>
      </c>
    </row>
    <row r="20">
      <c r="B20" s="39" t="inlineStr">
        <is>
          <t>Insider questions</t>
        </is>
      </c>
    </row>
    <row r="21">
      <c r="B21" s="40" t="inlineStr">
        <is>
          <t>#</t>
        </is>
      </c>
      <c r="C21" s="40" t="inlineStr">
        <is>
          <t>Requirement</t>
        </is>
      </c>
      <c r="D21" s="40" t="inlineStr">
        <is>
          <t>Owner</t>
        </is>
      </c>
      <c r="E21" s="40" t="inlineStr">
        <is>
          <t>Evidence / location</t>
        </is>
      </c>
      <c r="F21" s="40" t="inlineStr">
        <is>
          <t>Status</t>
        </is>
      </c>
    </row>
    <row r="22">
      <c r="B22" t="n">
        <v>1</v>
      </c>
      <c r="C22" t="inlineStr">
        <is>
          <t>Which security is actually senior?</t>
        </is>
      </c>
      <c r="D22" t="inlineStr"/>
      <c r="E22" t="inlineStr"/>
      <c r="F22" t="inlineStr">
        <is>
          <t>OPEN</t>
        </is>
      </c>
    </row>
    <row r="23">
      <c r="B23" t="n">
        <v>2</v>
      </c>
      <c r="C23" t="inlineStr">
        <is>
          <t>Who can block the next financing?</t>
        </is>
      </c>
      <c r="D23" t="inlineStr"/>
      <c r="E23" t="inlineStr"/>
      <c r="F23" t="inlineStr">
        <is>
          <t>OPEN</t>
        </is>
      </c>
    </row>
    <row r="24">
      <c r="B24" t="n">
        <v>3</v>
      </c>
      <c r="C24" t="inlineStr">
        <is>
          <t>What converts before the option-pool top-up?</t>
        </is>
      </c>
      <c r="D24" t="inlineStr"/>
      <c r="E24" t="inlineStr"/>
      <c r="F24" t="inlineStr">
        <is>
          <t>OPEN</t>
        </is>
      </c>
    </row>
    <row r="25">
      <c r="B25" t="n">
        <v>4</v>
      </c>
      <c r="C25" t="inlineStr">
        <is>
          <t>Which assumption is owner-approved versus modeler judgement?</t>
        </is>
      </c>
      <c r="D25" t="inlineStr"/>
      <c r="E25" t="inlineStr"/>
      <c r="F25" t="inlineStr">
        <is>
          <t>OPEN</t>
        </is>
      </c>
    </row>
    <row r="26">
      <c r="B26" t="n">
        <v>5</v>
      </c>
      <c r="C26" t="inlineStr">
        <is>
          <t>What fails first and who must act?</t>
        </is>
      </c>
      <c r="D26" t="inlineStr"/>
      <c r="E26" t="inlineStr"/>
      <c r="F26" t="inlineStr">
        <is>
          <t>OPEN</t>
        </is>
      </c>
    </row>
    <row r="28">
      <c r="B28" s="39" t="inlineStr">
        <is>
          <t>Scenario families</t>
        </is>
      </c>
    </row>
    <row r="29">
      <c r="B29" s="40" t="inlineStr">
        <is>
          <t>#</t>
        </is>
      </c>
      <c r="C29" s="40" t="inlineStr">
        <is>
          <t>Requirement</t>
        </is>
      </c>
      <c r="D29" s="40" t="inlineStr">
        <is>
          <t>Owner</t>
        </is>
      </c>
      <c r="E29" s="40" t="inlineStr">
        <is>
          <t>Evidence / location</t>
        </is>
      </c>
      <c r="F29" s="40" t="inlineStr">
        <is>
          <t>Status</t>
        </is>
      </c>
    </row>
    <row r="30">
      <c r="B30" t="n">
        <v>1</v>
      </c>
      <c r="C30" t="inlineStr">
        <is>
          <t>down round</t>
        </is>
      </c>
      <c r="D30" t="inlineStr"/>
      <c r="E30" t="inlineStr"/>
      <c r="F30" t="inlineStr">
        <is>
          <t>OPEN</t>
        </is>
      </c>
    </row>
    <row r="31">
      <c r="B31" t="n">
        <v>2</v>
      </c>
      <c r="C31" t="inlineStr">
        <is>
          <t>bridge with seniority</t>
        </is>
      </c>
      <c r="D31" t="inlineStr"/>
      <c r="E31" t="inlineStr"/>
      <c r="F31" t="inlineStr">
        <is>
          <t>OPEN</t>
        </is>
      </c>
    </row>
    <row r="32">
      <c r="B32" t="n">
        <v>3</v>
      </c>
      <c r="C32" t="inlineStr">
        <is>
          <t>flat exit preference stack</t>
        </is>
      </c>
      <c r="D32" t="inlineStr"/>
      <c r="E32" t="inlineStr"/>
      <c r="F32" t="inlineStr">
        <is>
          <t>OPEN</t>
        </is>
      </c>
    </row>
    <row r="33">
      <c r="B33" t="n">
        <v>4</v>
      </c>
      <c r="C33" t="inlineStr">
        <is>
          <t>data freshness / source failure</t>
        </is>
      </c>
      <c r="D33" t="inlineStr"/>
      <c r="E33" t="inlineStr"/>
      <c r="F33" t="inlineStr">
        <is>
          <t>OPEN</t>
        </is>
      </c>
    </row>
    <row r="34">
      <c r="B34" t="n">
        <v>5</v>
      </c>
      <c r="C34" t="inlineStr">
        <is>
          <t>combined severe-but-plausible downside</t>
        </is>
      </c>
      <c r="D34" t="inlineStr"/>
      <c r="E34" t="inlineStr"/>
      <c r="F34" t="inlineStr">
        <is>
          <t>OPEN</t>
        </is>
      </c>
    </row>
    <row r="36">
      <c r="B36" s="39" t="inlineStr">
        <is>
          <t>Primary diligence documents</t>
        </is>
      </c>
    </row>
    <row r="37">
      <c r="B37" s="40" t="inlineStr">
        <is>
          <t>#</t>
        </is>
      </c>
      <c r="C37" s="40" t="inlineStr">
        <is>
          <t>Requirement</t>
        </is>
      </c>
      <c r="D37" s="40" t="inlineStr">
        <is>
          <t>Owner</t>
        </is>
      </c>
      <c r="E37" s="40" t="inlineStr">
        <is>
          <t>Evidence / location</t>
        </is>
      </c>
      <c r="F37" s="40" t="inlineStr">
        <is>
          <t>Status</t>
        </is>
      </c>
    </row>
    <row r="38">
      <c r="B38" t="n">
        <v>1</v>
      </c>
      <c r="C38" t="inlineStr">
        <is>
          <t>charter and cap table</t>
        </is>
      </c>
      <c r="D38" t="inlineStr"/>
      <c r="E38" t="inlineStr"/>
      <c r="F38" t="inlineStr">
        <is>
          <t>OPEN</t>
        </is>
      </c>
    </row>
    <row r="39">
      <c r="B39" t="n">
        <v>2</v>
      </c>
      <c r="C39" t="inlineStr">
        <is>
          <t>SAFE / note instruments</t>
        </is>
      </c>
      <c r="D39" t="inlineStr"/>
      <c r="E39" t="inlineStr"/>
      <c r="F39" t="inlineStr">
        <is>
          <t>OPEN</t>
        </is>
      </c>
    </row>
    <row r="40">
      <c r="B40" t="n">
        <v>3</v>
      </c>
      <c r="C40" t="inlineStr">
        <is>
          <t>stock purchase agreement</t>
        </is>
      </c>
      <c r="D40" t="inlineStr"/>
      <c r="E40" t="inlineStr"/>
      <c r="F40" t="inlineStr">
        <is>
          <t>OPEN</t>
        </is>
      </c>
    </row>
    <row r="41">
      <c r="B41" t="n">
        <v>4</v>
      </c>
      <c r="C41" t="inlineStr">
        <is>
          <t>approved model card and assumption register</t>
        </is>
      </c>
      <c r="D41" t="inlineStr"/>
      <c r="E41" t="inlineStr"/>
      <c r="F41" t="inlineStr">
        <is>
          <t>OPEN</t>
        </is>
      </c>
    </row>
    <row r="42">
      <c r="B42" t="n">
        <v>5</v>
      </c>
      <c r="C42" t="inlineStr">
        <is>
          <t>independent validation and challenge record</t>
        </is>
      </c>
      <c r="D42" t="inlineStr"/>
      <c r="E42" t="inlineStr"/>
      <c r="F42" t="inlineStr">
        <is>
          <t>OPEN</t>
        </is>
      </c>
    </row>
    <row r="44">
      <c r="B44" s="39" t="inlineStr">
        <is>
          <t>Challenge tests</t>
        </is>
      </c>
    </row>
    <row r="45">
      <c r="B45" s="40" t="inlineStr">
        <is>
          <t>#</t>
        </is>
      </c>
      <c r="C45" s="40" t="inlineStr">
        <is>
          <t>Requirement</t>
        </is>
      </c>
      <c r="D45" s="40" t="inlineStr">
        <is>
          <t>Owner</t>
        </is>
      </c>
      <c r="E45" s="40" t="inlineStr">
        <is>
          <t>Evidence / location</t>
        </is>
      </c>
      <c r="F45" s="40" t="inlineStr">
        <is>
          <t>Status</t>
        </is>
      </c>
    </row>
    <row r="46">
      <c r="B46" t="n">
        <v>1</v>
      </c>
      <c r="C46" t="inlineStr">
        <is>
          <t>waterfall conserves proceeds</t>
        </is>
      </c>
      <c r="D46" t="inlineStr"/>
      <c r="E46" t="inlineStr"/>
      <c r="F46" t="inlineStr">
        <is>
          <t>OPEN</t>
        </is>
      </c>
    </row>
    <row r="47">
      <c r="B47" t="n">
        <v>2</v>
      </c>
      <c r="C47" t="inlineStr">
        <is>
          <t>share count reconciles</t>
        </is>
      </c>
      <c r="D47" t="inlineStr"/>
      <c r="E47" t="inlineStr"/>
      <c r="F47" t="inlineStr">
        <is>
          <t>OPEN</t>
        </is>
      </c>
    </row>
    <row r="48">
      <c r="B48" t="n">
        <v>3</v>
      </c>
      <c r="C48" t="inlineStr">
        <is>
          <t>SAFE conversion follows instrument terms</t>
        </is>
      </c>
      <c r="D48" t="inlineStr"/>
      <c r="E48" t="inlineStr"/>
      <c r="F48" t="inlineStr">
        <is>
          <t>OPEN</t>
        </is>
      </c>
    </row>
    <row r="49">
      <c r="B49" t="n">
        <v>4</v>
      </c>
      <c r="C49" t="inlineStr">
        <is>
          <t>source-to-model lineage is reproducible</t>
        </is>
      </c>
      <c r="D49" t="inlineStr"/>
      <c r="E49" t="inlineStr"/>
      <c r="F49" t="inlineStr">
        <is>
          <t>OPEN</t>
        </is>
      </c>
    </row>
    <row r="50">
      <c r="B50" t="n">
        <v>5</v>
      </c>
      <c r="C50" t="inlineStr">
        <is>
          <t>units, signs, dates and legal definitions reconcile</t>
        </is>
      </c>
      <c r="D50" t="inlineStr"/>
      <c r="E50" t="inlineStr"/>
      <c r="F50" t="inlineStr">
        <is>
          <t>OPEN</t>
        </is>
      </c>
    </row>
    <row r="52">
      <c r="B52" s="39" t="inlineStr">
        <is>
          <t>Known failure modes</t>
        </is>
      </c>
    </row>
    <row r="53">
      <c r="B53" s="40" t="inlineStr">
        <is>
          <t>#</t>
        </is>
      </c>
      <c r="C53" s="40" t="inlineStr">
        <is>
          <t>Requirement</t>
        </is>
      </c>
      <c r="D53" s="40" t="inlineStr">
        <is>
          <t>Owner</t>
        </is>
      </c>
      <c r="E53" s="40" t="inlineStr">
        <is>
          <t>Evidence / location</t>
        </is>
      </c>
      <c r="F53" s="40" t="inlineStr">
        <is>
          <t>Status</t>
        </is>
      </c>
    </row>
    <row r="54">
      <c r="B54" t="n">
        <v>1</v>
      </c>
      <c r="C54" t="inlineStr">
        <is>
          <t>mixing pre- and post-money SAFEs</t>
        </is>
      </c>
      <c r="D54" t="inlineStr"/>
      <c r="E54" t="inlineStr"/>
      <c r="F54" t="inlineStr">
        <is>
          <t>OPEN</t>
        </is>
      </c>
    </row>
    <row r="55">
      <c r="B55" t="n">
        <v>2</v>
      </c>
      <c r="C55" t="inlineStr">
        <is>
          <t>ignoring accrued interest and discount interactions</t>
        </is>
      </c>
      <c r="D55" t="inlineStr"/>
      <c r="E55" t="inlineStr"/>
      <c r="F55" t="inlineStr">
        <is>
          <t>OPEN</t>
        </is>
      </c>
    </row>
    <row r="56">
      <c r="B56" t="n">
        <v>3</v>
      </c>
      <c r="C56" t="inlineStr">
        <is>
          <t>double-counting option pool shuffle</t>
        </is>
      </c>
      <c r="D56" t="inlineStr"/>
      <c r="E56" t="inlineStr"/>
      <c r="F56" t="inlineStr">
        <is>
          <t>OPEN</t>
        </is>
      </c>
    </row>
    <row r="57">
      <c r="B57" t="n">
        <v>4</v>
      </c>
      <c r="C57" t="inlineStr">
        <is>
          <t>stale vintage presented as current</t>
        </is>
      </c>
      <c r="D57" t="inlineStr"/>
      <c r="E57" t="inlineStr"/>
      <c r="F57" t="inlineStr">
        <is>
          <t>OPEN</t>
        </is>
      </c>
    </row>
    <row r="58">
      <c r="B58" t="n">
        <v>5</v>
      </c>
      <c r="C58" t="inlineStr">
        <is>
          <t>decision output disconnected from a binding constraint</t>
        </is>
      </c>
      <c r="D58" t="inlineStr"/>
      <c r="E58" t="inlineStr"/>
      <c r="F58" t="inlineStr">
        <is>
          <t>OPEN</t>
        </is>
      </c>
    </row>
    <row r="60">
      <c r="B60" s="39" t="inlineStr">
        <is>
          <t>Regulatory / methodological anchors</t>
        </is>
      </c>
    </row>
    <row r="61">
      <c r="B61" s="40" t="inlineStr">
        <is>
          <t>Standard</t>
        </is>
      </c>
      <c r="C61" s="40" t="inlineStr">
        <is>
          <t>Scope</t>
        </is>
      </c>
      <c r="D61" s="40" t="inlineStr">
        <is>
          <t>Source URL</t>
        </is>
      </c>
      <c r="E61" s="40" t="inlineStr">
        <is>
          <t>Applicability</t>
        </is>
      </c>
      <c r="F61" s="40" t="inlineStr">
        <is>
          <t>Review note</t>
        </is>
      </c>
    </row>
    <row r="62">
      <c r="B62" t="inlineStr">
        <is>
          <t>Federal Reserve SR 26-2 Model Risk Management</t>
        </is>
      </c>
      <c r="C62" t="inlineStr">
        <is>
          <t>governance, validation, change control, monitoring</t>
        </is>
      </c>
      <c r="D62" t="inlineStr">
        <is>
          <t>https://www.federalreserve.gov/supervisionreg/srletters/SR2602.htm</t>
        </is>
      </c>
      <c r="E62" t="inlineStr">
        <is>
          <t>Map explicitly</t>
        </is>
      </c>
      <c r="F62" t="inlineStr"/>
    </row>
    <row r="63">
      <c r="B63" t="inlineStr">
        <is>
          <t>SEC Rule 2a-5</t>
        </is>
      </c>
      <c r="C63" t="inlineStr">
        <is>
          <t>fair-value governance and testing</t>
        </is>
      </c>
      <c r="D63" t="inlineStr">
        <is>
          <t>https://www.sec.gov/files/rules/final/2020/ic-34128.pdf</t>
        </is>
      </c>
      <c r="E63" t="inlineStr">
        <is>
          <t>Map explicitly</t>
        </is>
      </c>
      <c r="F63" t="inlineStr"/>
    </row>
  </sheetData>
  <mergeCells count="15">
    <mergeCell ref="B44:F44"/>
    <mergeCell ref="C9:F9"/>
    <mergeCell ref="B12:F12"/>
    <mergeCell ref="B2:F2"/>
    <mergeCell ref="C8:F8"/>
    <mergeCell ref="C4:F4"/>
    <mergeCell ref="B20:F20"/>
    <mergeCell ref="B28:F28"/>
    <mergeCell ref="C6:F6"/>
    <mergeCell ref="C7:F7"/>
    <mergeCell ref="B60:F60"/>
    <mergeCell ref="B36:F36"/>
    <mergeCell ref="C10:F10"/>
    <mergeCell ref="C5:F5"/>
    <mergeCell ref="B52:F52"/>
  </mergeCells>
  <dataValidations count="6">
    <dataValidation sqref="F14:F18" showDropDown="0" showInputMessage="0" showErrorMessage="0" allowBlank="0" type="list">
      <formula1>"OPEN,IN REVIEW,CLOSED,NOT APPLICABLE"</formula1>
    </dataValidation>
    <dataValidation sqref="F22:F26" showDropDown="0" showInputMessage="0" showErrorMessage="0" allowBlank="0" type="list">
      <formula1>"OPEN,IN REVIEW,CLOSED,NOT APPLICABLE"</formula1>
    </dataValidation>
    <dataValidation sqref="F30:F34" showDropDown="0" showInputMessage="0" showErrorMessage="0" allowBlank="0" type="list">
      <formula1>"OPEN,IN REVIEW,CLOSED,NOT APPLICABLE"</formula1>
    </dataValidation>
    <dataValidation sqref="F38:F42" showDropDown="0" showInputMessage="0" showErrorMessage="0" allowBlank="0" type="list">
      <formula1>"OPEN,IN REVIEW,CLOSED,NOT APPLICABLE"</formula1>
    </dataValidation>
    <dataValidation sqref="F46:F50" showDropDown="0" showInputMessage="0" showErrorMessage="0" allowBlank="0" type="list">
      <formula1>"OPEN,IN REVIEW,CLOSED,NOT APPLICABLE"</formula1>
    </dataValidation>
    <dataValidation sqref="F54:F58" showDropDown="0" showInputMessage="0" showErrorMessage="0" allowBlank="0" type="list">
      <formula1>"OPEN,IN REVIEW,CLOSED,NOT APPLICABLE"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I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style="32" min="2" max="2"/>
    <col width="22" customWidth="1" style="32" min="3" max="3"/>
    <col width="52" customWidth="1" style="32" min="4" max="4"/>
    <col width="46" customWidth="1" style="32" min="5" max="5"/>
    <col width="36" customWidth="1" style="32" min="6" max="6"/>
    <col width="14" customWidth="1" style="32" min="7" max="7"/>
    <col width="18" customWidth="1" style="32" min="8" max="8"/>
    <col width="14" customWidth="1" style="32" min="9" max="9"/>
  </cols>
  <sheetData>
    <row r="2">
      <c r="B2" s="36" t="inlineStr">
        <is>
          <t>Independent Challenge, Override and Closure Log</t>
        </is>
      </c>
    </row>
    <row r="4">
      <c r="B4" s="40" t="inlineStr">
        <is>
          <t>Date</t>
        </is>
      </c>
      <c r="C4" s="40" t="inlineStr">
        <is>
          <t>Reviewer</t>
        </is>
      </c>
      <c r="D4" s="40" t="inlineStr">
        <is>
          <t>Challenge</t>
        </is>
      </c>
      <c r="E4" s="40" t="inlineStr">
        <is>
          <t>Owner response</t>
        </is>
      </c>
      <c r="F4" s="40" t="inlineStr">
        <is>
          <t>Evidence</t>
        </is>
      </c>
      <c r="G4" s="40" t="inlineStr">
        <is>
          <t>Impact</t>
        </is>
      </c>
      <c r="H4" s="40" t="inlineStr">
        <is>
          <t>Status</t>
        </is>
      </c>
      <c r="I4" s="40" t="inlineStr">
        <is>
          <t>Closure</t>
        </is>
      </c>
    </row>
    <row r="5">
      <c r="B5" t="inlineStr"/>
      <c r="C5" t="inlineStr"/>
      <c r="D5" t="inlineStr">
        <is>
          <t>waterfall conserves proceeds</t>
        </is>
      </c>
      <c r="E5" t="inlineStr"/>
      <c r="F5" t="inlineStr"/>
      <c r="G5" t="inlineStr"/>
      <c r="H5" t="inlineStr">
        <is>
          <t>OPEN</t>
        </is>
      </c>
      <c r="I5" t="inlineStr"/>
    </row>
    <row r="6">
      <c r="B6" t="inlineStr"/>
      <c r="C6" t="inlineStr"/>
      <c r="D6" t="inlineStr">
        <is>
          <t>share count reconciles</t>
        </is>
      </c>
      <c r="E6" t="inlineStr"/>
      <c r="F6" t="inlineStr"/>
      <c r="G6" t="inlineStr"/>
      <c r="H6" t="inlineStr">
        <is>
          <t>OPEN</t>
        </is>
      </c>
      <c r="I6" t="inlineStr"/>
    </row>
    <row r="7">
      <c r="B7" t="inlineStr"/>
      <c r="C7" t="inlineStr"/>
      <c r="D7" t="inlineStr">
        <is>
          <t>SAFE conversion follows instrument terms</t>
        </is>
      </c>
      <c r="E7" t="inlineStr"/>
      <c r="F7" t="inlineStr"/>
      <c r="G7" t="inlineStr"/>
      <c r="H7" t="inlineStr">
        <is>
          <t>OPEN</t>
        </is>
      </c>
      <c r="I7" t="inlineStr"/>
    </row>
    <row r="8">
      <c r="B8" t="inlineStr"/>
      <c r="C8" t="inlineStr"/>
      <c r="D8" t="inlineStr">
        <is>
          <t>source-to-model lineage is reproducible</t>
        </is>
      </c>
      <c r="E8" t="inlineStr"/>
      <c r="F8" t="inlineStr"/>
      <c r="G8" t="inlineStr"/>
      <c r="H8" t="inlineStr">
        <is>
          <t>OPEN</t>
        </is>
      </c>
      <c r="I8" t="inlineStr"/>
    </row>
    <row r="9">
      <c r="B9" t="inlineStr"/>
      <c r="C9" t="inlineStr"/>
      <c r="D9" t="inlineStr">
        <is>
          <t>units, signs, dates and legal definitions reconcile</t>
        </is>
      </c>
      <c r="E9" t="inlineStr"/>
      <c r="F9" t="inlineStr"/>
      <c r="G9" t="inlineStr"/>
      <c r="H9" t="inlineStr">
        <is>
          <t>OPEN</t>
        </is>
      </c>
      <c r="I9" t="inlineStr"/>
    </row>
  </sheetData>
  <mergeCells count="1">
    <mergeCell ref="B2:I2"/>
  </mergeCells>
  <dataValidations count="2">
    <dataValidation sqref="H5:H54" showDropDown="0" showInputMessage="0" showErrorMessage="0" allowBlank="0" type="list">
      <formula1>"OPEN,IN REVIEW,REMEDIATED,ACCEPTED RISK,CLOSED"</formula1>
    </dataValidation>
    <dataValidation sqref="G5:G54" showDropDown="0" showInputMessage="0" showErrorMessage="0" allowBlank="0" type="list">
      <formula1>"LOW,MEDIUM,HIGH,CRITICAL"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J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style="32" min="2" max="2"/>
    <col width="18" customWidth="1" style="32" min="3" max="3"/>
    <col width="42" customWidth="1" style="32" min="4" max="4"/>
    <col width="24" customWidth="1" style="32" min="5" max="5"/>
    <col width="18" customWidth="1" style="32" min="6" max="6"/>
    <col width="22" customWidth="1" style="32" min="7" max="7"/>
    <col width="42" customWidth="1" style="32" min="8" max="8"/>
    <col width="30" customWidth="1" style="32" min="9" max="9"/>
    <col width="15" customWidth="1" style="32" min="10" max="10"/>
  </cols>
  <sheetData>
    <row r="2">
      <c r="B2" s="36" t="inlineStr">
        <is>
          <t>Source, Transformation, Ownership and Refresh Map</t>
        </is>
      </c>
    </row>
    <row r="4">
      <c r="B4" s="40" t="inlineStr">
        <is>
          <t>Source class</t>
        </is>
      </c>
      <c r="C4" s="40" t="inlineStr">
        <is>
          <t>Cadence</t>
        </is>
      </c>
      <c r="D4" s="40" t="inlineStr">
        <is>
          <t>Control</t>
        </is>
      </c>
      <c r="E4" s="40" t="inlineStr">
        <is>
          <t>System / provider</t>
        </is>
      </c>
      <c r="F4" s="40" t="inlineStr">
        <is>
          <t>As-of</t>
        </is>
      </c>
      <c r="G4" s="40" t="inlineStr">
        <is>
          <t>Owner</t>
        </is>
      </c>
      <c r="H4" s="40" t="inlineStr">
        <is>
          <t>Transform</t>
        </is>
      </c>
      <c r="I4" s="40" t="inlineStr">
        <is>
          <t>Downstream</t>
        </is>
      </c>
      <c r="J4" s="40" t="inlineStr">
        <is>
          <t>Status</t>
        </is>
      </c>
    </row>
    <row r="5">
      <c r="B5" t="inlineStr">
        <is>
          <t>cap table</t>
        </is>
      </c>
      <c r="C5" t="inlineStr">
        <is>
          <t>event-driven</t>
        </is>
      </c>
      <c r="D5" t="inlineStr">
        <is>
          <t>fully diluted share reconciliation</t>
        </is>
      </c>
      <c r="E5" t="inlineStr"/>
      <c r="F5" t="inlineStr"/>
      <c r="G5" t="inlineStr"/>
      <c r="H5" t="inlineStr"/>
      <c r="I5" t="inlineStr"/>
      <c r="J5" t="inlineStr">
        <is>
          <t>TO MAP</t>
        </is>
      </c>
    </row>
    <row r="6">
      <c r="B6" t="inlineStr">
        <is>
          <t>financing instruments</t>
        </is>
      </c>
      <c r="C6" t="inlineStr">
        <is>
          <t>event-driven</t>
        </is>
      </c>
      <c r="D6" t="inlineStr">
        <is>
          <t>conversion and seniority map</t>
        </is>
      </c>
      <c r="E6" t="inlineStr"/>
      <c r="F6" t="inlineStr"/>
      <c r="G6" t="inlineStr"/>
      <c r="H6" t="inlineStr"/>
      <c r="I6" t="inlineStr"/>
      <c r="J6" t="inlineStr">
        <is>
          <t>TO MAP</t>
        </is>
      </c>
    </row>
    <row r="7">
      <c r="B7" t="inlineStr">
        <is>
          <t>model governance evidence</t>
        </is>
      </c>
      <c r="C7" t="inlineStr">
        <is>
          <t>per release</t>
        </is>
      </c>
      <c r="D7" t="inlineStr">
        <is>
          <t>version, reviewer, sign-off and change log</t>
        </is>
      </c>
      <c r="E7" t="inlineStr"/>
      <c r="F7" t="inlineStr"/>
      <c r="G7" t="inlineStr"/>
      <c r="H7" t="inlineStr"/>
      <c r="I7" t="inlineStr"/>
      <c r="J7" t="inlineStr">
        <is>
          <t>TO MAP</t>
        </is>
      </c>
    </row>
    <row r="8">
      <c r="B8" t="inlineStr">
        <is>
          <t>decision-use snapshot</t>
        </is>
      </c>
      <c r="C8" t="inlineStr">
        <is>
          <t>per decision</t>
        </is>
      </c>
      <c r="D8" t="inlineStr">
        <is>
          <t>immutable as-of date and source receipt</t>
        </is>
      </c>
      <c r="E8" t="inlineStr"/>
      <c r="F8" t="inlineStr"/>
      <c r="G8" t="inlineStr"/>
      <c r="H8" t="inlineStr"/>
      <c r="I8" t="inlineStr"/>
      <c r="J8" t="inlineStr">
        <is>
          <t>TO MAP</t>
        </is>
      </c>
    </row>
  </sheetData>
  <mergeCells count="1">
    <mergeCell ref="B2:J2"/>
  </mergeCells>
  <dataValidations count="1">
    <dataValidation sqref="J5:J40" showDropDown="0" showInputMessage="0" showErrorMessage="0" allowBlank="0" type="list">
      <formula1>"TO MAP,ACTIVE,STALE,EXCEPTION,RETIRED"</formula1>
    </dataValidation>
  </dataValidations>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2:G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 customWidth="1" style="31" min="1" max="1"/>
    <col width="20" customWidth="1" style="31" min="2" max="2"/>
    <col width="14" customWidth="1" style="31" min="3" max="7"/>
  </cols>
  <sheetData>
    <row r="2" ht="19.7" customHeight="1" s="32">
      <c r="B2" s="33" t="inlineStr">
        <is>
          <t>Capitalization Table</t>
        </is>
      </c>
    </row>
    <row r="4" ht="15" customHeight="1" s="32">
      <c r="A4" s="41" t="n"/>
      <c r="B4" s="41" t="inlineStr">
        <is>
          <t>Holder / Class</t>
        </is>
      </c>
      <c r="C4" s="41" t="inlineStr">
        <is>
          <t>Shares</t>
        </is>
      </c>
      <c r="D4" s="41" t="inlineStr">
        <is>
          <t>% Fully Diluted</t>
        </is>
      </c>
      <c r="E4" s="41" t="inlineStr">
        <is>
          <t>Price paid/sh</t>
        </is>
      </c>
      <c r="F4" s="41" t="inlineStr">
        <is>
          <t>Invested $</t>
        </is>
      </c>
      <c r="G4" s="41" t="inlineStr">
        <is>
          <t>Class</t>
        </is>
      </c>
    </row>
    <row r="5" ht="15" customHeight="1" s="32">
      <c r="B5" s="42" t="inlineStr">
        <is>
          <t>Founders (common)</t>
        </is>
      </c>
      <c r="C5" s="43" t="n">
        <v>0</v>
      </c>
      <c r="D5" s="44">
        <f>IFERROR(C5/$C$11,"-")</f>
        <v/>
      </c>
      <c r="E5" s="45" t="n">
        <v>0</v>
      </c>
      <c r="F5" s="46">
        <f>C5*E5</f>
        <v/>
      </c>
      <c r="G5" s="35" t="inlineStr">
        <is>
          <t>Common/Pref</t>
        </is>
      </c>
    </row>
    <row r="6" ht="15" customHeight="1" s="32">
      <c r="B6" s="42" t="inlineStr">
        <is>
          <t>Employee option pool</t>
        </is>
      </c>
      <c r="C6" s="43" t="n">
        <v>0</v>
      </c>
      <c r="D6" s="44">
        <f>IFERROR(C6/$C$11,"-")</f>
        <v/>
      </c>
      <c r="E6" s="45" t="n">
        <v>0</v>
      </c>
      <c r="F6" s="46">
        <f>C6*E6</f>
        <v/>
      </c>
      <c r="G6" s="35" t="inlineStr">
        <is>
          <t>Common/Pref</t>
        </is>
      </c>
    </row>
    <row r="7" ht="15" customHeight="1" s="32">
      <c r="B7" s="42" t="inlineStr">
        <is>
          <t>SAFE holders (pre-conversion)</t>
        </is>
      </c>
      <c r="C7" s="43" t="n">
        <v>0</v>
      </c>
      <c r="D7" s="44">
        <f>IFERROR(C7/$C$11,"-")</f>
        <v/>
      </c>
      <c r="E7" s="45" t="n">
        <v>0</v>
      </c>
      <c r="F7" s="46">
        <f>C7*E7</f>
        <v/>
      </c>
      <c r="G7" s="35" t="inlineStr">
        <is>
          <t>Common/Pref</t>
        </is>
      </c>
    </row>
    <row r="8" ht="15" customHeight="1" s="32">
      <c r="B8" s="42" t="inlineStr">
        <is>
          <t>Seed preferred</t>
        </is>
      </c>
      <c r="C8" s="43" t="n">
        <v>0</v>
      </c>
      <c r="D8" s="44">
        <f>IFERROR(C8/$C$11,"-")</f>
        <v/>
      </c>
      <c r="E8" s="45" t="n">
        <v>0</v>
      </c>
      <c r="F8" s="46">
        <f>C8*E8</f>
        <v/>
      </c>
      <c r="G8" s="35" t="inlineStr">
        <is>
          <t>Common/Pref</t>
        </is>
      </c>
    </row>
    <row r="9" ht="15" customHeight="1" s="32">
      <c r="B9" s="42" t="inlineStr">
        <is>
          <t>Series A preferred</t>
        </is>
      </c>
      <c r="C9" s="43" t="n">
        <v>0</v>
      </c>
      <c r="D9" s="44">
        <f>IFERROR(C9/$C$11,"-")</f>
        <v/>
      </c>
      <c r="E9" s="45" t="n">
        <v>0</v>
      </c>
      <c r="F9" s="46">
        <f>C9*E9</f>
        <v/>
      </c>
      <c r="G9" s="35" t="inlineStr">
        <is>
          <t>Common/Pref</t>
        </is>
      </c>
    </row>
    <row r="10" ht="15" customHeight="1" s="32">
      <c r="B10" s="42" t="inlineStr">
        <is>
          <t>Series B preferred</t>
        </is>
      </c>
      <c r="C10" s="43" t="n">
        <v>0</v>
      </c>
      <c r="D10" s="44">
        <f>IFERROR(C10/$C$11,"-")</f>
        <v/>
      </c>
      <c r="E10" s="45" t="n">
        <v>0</v>
      </c>
      <c r="F10" s="46">
        <f>C10*E10</f>
        <v/>
      </c>
      <c r="G10" s="35" t="inlineStr">
        <is>
          <t>Common/Pref</t>
        </is>
      </c>
    </row>
    <row r="11" ht="15" customHeight="1" s="32">
      <c r="B11" s="34" t="inlineStr">
        <is>
          <t>Total</t>
        </is>
      </c>
      <c r="C11" s="47">
        <f>SUM(C5:C10)</f>
        <v/>
      </c>
      <c r="F11" s="48">
        <f>SUM(F5:F10)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F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 customWidth="1" style="31" min="1" max="1"/>
    <col width="26" customWidth="1" style="31" min="2" max="2"/>
    <col width="16" customWidth="1" style="31" min="3" max="3"/>
    <col width="4" customWidth="1" style="31" min="4" max="4"/>
    <col width="26" customWidth="1" style="31" min="5" max="5"/>
    <col width="16" customWidth="1" style="31" min="6" max="6"/>
  </cols>
  <sheetData>
    <row r="2" ht="19.7" customHeight="1" s="32">
      <c r="B2" s="33" t="inlineStr">
        <is>
          <t>New Round Modeling</t>
        </is>
      </c>
    </row>
    <row r="4" ht="15" customHeight="1" s="32">
      <c r="B4" s="49" t="inlineStr">
        <is>
          <t>Inputs</t>
        </is>
      </c>
      <c r="E4" s="49" t="inlineStr">
        <is>
          <t>Outputs</t>
        </is>
      </c>
    </row>
    <row r="5" ht="15" customHeight="1" s="32">
      <c r="B5" s="42" t="inlineStr">
        <is>
          <t>Pre-money valuation</t>
        </is>
      </c>
      <c r="C5" s="50" t="n">
        <v>0</v>
      </c>
      <c r="E5" s="31" t="inlineStr">
        <is>
          <t>Post-money valuation</t>
        </is>
      </c>
      <c r="F5" s="46">
        <f>C5+C6</f>
        <v/>
      </c>
    </row>
    <row r="6" ht="15" customHeight="1" s="32">
      <c r="B6" s="42" t="inlineStr">
        <is>
          <t>New money raised</t>
        </is>
      </c>
      <c r="C6" s="50" t="n">
        <v>0</v>
      </c>
      <c r="E6" s="31" t="inlineStr">
        <is>
          <t>Price per share</t>
        </is>
      </c>
      <c r="F6" s="51">
        <f>IFERROR(C5/C8,"-")</f>
        <v/>
      </c>
    </row>
    <row r="7" ht="15" customHeight="1" s="32">
      <c r="B7" s="42" t="inlineStr">
        <is>
          <t>New option pool top-up %</t>
        </is>
      </c>
      <c r="C7" s="52" t="n">
        <v>0</v>
      </c>
      <c r="E7" s="31" t="inlineStr">
        <is>
          <t>New shares issued (investor)</t>
        </is>
      </c>
      <c r="F7" s="53">
        <f>IFERROR(C6/F6,"-")</f>
        <v/>
      </c>
    </row>
    <row r="8" ht="15" customHeight="1" s="32">
      <c r="B8" s="42" t="inlineStr">
        <is>
          <t>Existing fully diluted shares</t>
        </is>
      </c>
      <c r="C8" s="54" t="n">
        <v>0</v>
      </c>
      <c r="E8" s="31" t="inlineStr">
        <is>
          <t>New pool shares (top-up)</t>
        </is>
      </c>
      <c r="F8" s="53">
        <f>IFERROR(C7*(C8+F7),"-")</f>
        <v/>
      </c>
    </row>
    <row r="9" ht="15" customHeight="1" s="32">
      <c r="E9" s="31" t="inlineStr">
        <is>
          <t>Total post-round shares</t>
        </is>
      </c>
      <c r="F9" s="55">
        <f>IFERROR(C8+F7+F8,"-")</f>
        <v/>
      </c>
    </row>
    <row r="10" ht="15" customHeight="1" s="32">
      <c r="E10" s="31" t="inlineStr">
        <is>
          <t>New investor ownership %</t>
        </is>
      </c>
      <c r="F10" s="56">
        <f>IFERROR(F7/F9,"-")</f>
        <v/>
      </c>
    </row>
    <row r="11" ht="15" customHeight="1" s="32">
      <c r="E11" s="31" t="inlineStr">
        <is>
          <t>Existing holder dilution %</t>
        </is>
      </c>
      <c r="F11" s="56">
        <f>IFERROR(1-C8/F9,"-")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F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 customWidth="1" style="31" min="1" max="1"/>
    <col width="28" customWidth="1" style="31" min="2" max="2"/>
    <col width="14" customWidth="1" style="31" min="3" max="3"/>
    <col width="4" customWidth="1" style="31" min="4" max="4"/>
    <col width="28" customWidth="1" style="31" min="5" max="5"/>
    <col width="16" customWidth="1" style="31" min="6" max="6"/>
  </cols>
  <sheetData>
    <row r="2" ht="19.7" customHeight="1" s="32">
      <c r="B2" s="33" t="inlineStr">
        <is>
          <t>SAFE / Convertible Note Conversion</t>
        </is>
      </c>
    </row>
    <row r="4" ht="15" customHeight="1" s="32">
      <c r="B4" s="49" t="inlineStr">
        <is>
          <t>SAFE Terms</t>
        </is>
      </c>
      <c r="E4" s="49" t="inlineStr">
        <is>
          <t>At Priced Round</t>
        </is>
      </c>
    </row>
    <row r="5" ht="15" customHeight="1" s="32">
      <c r="B5" s="42" t="inlineStr">
        <is>
          <t>SAFE investment amount</t>
        </is>
      </c>
      <c r="C5" s="50" t="n">
        <v>0</v>
      </c>
      <c r="E5" s="31" t="inlineStr">
        <is>
          <t>Priced round price/share</t>
        </is>
      </c>
      <c r="F5" s="57">
        <f>'Round Modeling'!F6</f>
        <v/>
      </c>
    </row>
    <row r="6" ht="15" customHeight="1" s="32">
      <c r="B6" s="42" t="inlineStr">
        <is>
          <t>Valuation cap</t>
        </is>
      </c>
      <c r="C6" s="50" t="n">
        <v>0</v>
      </c>
      <c r="E6" s="31" t="inlineStr">
        <is>
          <t>Cap price/share (cap / pre-round FD shares)</t>
        </is>
      </c>
      <c r="F6" s="51">
        <f>IFERROR(C6/'Round Modeling'!C8,"-")</f>
        <v/>
      </c>
    </row>
    <row r="7" ht="15" customHeight="1" s="32">
      <c r="B7" s="42" t="inlineStr">
        <is>
          <t>Discount %</t>
        </is>
      </c>
      <c r="C7" s="52" t="n">
        <v>0</v>
      </c>
      <c r="E7" s="31" t="inlineStr">
        <is>
          <t>Discount price/share</t>
        </is>
      </c>
      <c r="F7" s="51">
        <f>IFERROR(F5*(1-C7),"-")</f>
        <v/>
      </c>
    </row>
    <row r="8" ht="15" customHeight="1" s="32">
      <c r="E8" s="31" t="inlineStr">
        <is>
          <t>SAFE conversion price (lower of cap/discount/round)</t>
        </is>
      </c>
      <c r="F8" s="58">
        <f>IFERROR(MIN(IF(ISNUMBER(F5),F5,9E+099),IF(ISNUMBER(F6),F6,9E+099),IF(ISNUMBER(F7),F7,9E+099)),"-")</f>
        <v/>
      </c>
    </row>
    <row r="9" ht="15" customHeight="1" s="32">
      <c r="E9" s="31" t="inlineStr">
        <is>
          <t>SAFE shares issued</t>
        </is>
      </c>
      <c r="F9" s="55">
        <f>IFERROR(C5/F8,"-")</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2: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 customWidth="1" style="31" min="1" max="1"/>
    <col width="26" customWidth="1" style="31" min="2" max="2"/>
    <col width="14" customWidth="1" style="31" min="3" max="6"/>
    <col width="16" customWidth="1" style="31" min="7" max="8"/>
  </cols>
  <sheetData>
    <row r="2" ht="19.7" customHeight="1" s="32">
      <c r="B2" s="33" t="inlineStr">
        <is>
          <t>Exit Proceeds Waterfall (1x non-participating pref)</t>
        </is>
      </c>
    </row>
    <row r="4" ht="15" customHeight="1" s="32">
      <c r="A4" s="41" t="n"/>
      <c r="B4" s="41" t="inlineStr">
        <is>
          <t>Class</t>
        </is>
      </c>
      <c r="C4" s="41" t="inlineStr">
        <is>
          <t>Invested $</t>
        </is>
      </c>
      <c r="D4" s="41" t="inlineStr">
        <is>
          <t>Liq. pref (1x)</t>
        </is>
      </c>
      <c r="E4" s="41" t="inlineStr">
        <is>
          <t>As-converted %</t>
        </is>
      </c>
      <c r="F4" s="41" t="inlineStr">
        <is>
          <t>Pref-stack scenario</t>
        </is>
      </c>
      <c r="G4" s="41" t="inlineStr">
        <is>
          <t>As-converted scenario</t>
        </is>
      </c>
      <c r="H4" s="31" t="inlineStr">
        <is>
          <t>Actual proceeds</t>
        </is>
      </c>
    </row>
    <row r="5" ht="15" customHeight="1" s="32">
      <c r="B5" s="42" t="inlineStr">
        <is>
          <t>Series B preferred</t>
        </is>
      </c>
      <c r="C5" s="59">
        <f>'Cap Table'!F10</f>
        <v/>
      </c>
      <c r="D5" s="46">
        <f>C5</f>
        <v/>
      </c>
      <c r="E5" s="60">
        <f>IFERROR('Cap Table'!D10,"-")</f>
        <v/>
      </c>
      <c r="F5" s="46">
        <f>MIN($C$15,D5)</f>
        <v/>
      </c>
      <c r="G5" s="46">
        <f>IFERROR($C$15*E5,"-")</f>
        <v/>
      </c>
      <c r="H5" s="61">
        <f>IF($C$15&gt;SUM($D$5:$D$7),G5,F5)</f>
        <v/>
      </c>
    </row>
    <row r="6" ht="15" customHeight="1" s="32">
      <c r="B6" s="42" t="inlineStr">
        <is>
          <t>Series A preferred</t>
        </is>
      </c>
      <c r="C6" s="59">
        <f>'Cap Table'!F9</f>
        <v/>
      </c>
      <c r="D6" s="46">
        <f>C6</f>
        <v/>
      </c>
      <c r="E6" s="60">
        <f>IFERROR('Cap Table'!D9,"-")</f>
        <v/>
      </c>
      <c r="F6" s="46">
        <f>MIN(MAX($C$15-F5,0),D6)</f>
        <v/>
      </c>
      <c r="G6" s="46">
        <f>IFERROR($C$15*E6,"-")</f>
        <v/>
      </c>
      <c r="H6" s="61">
        <f>IF($C$15&gt;SUM($D$5:$D$7),G6,F6)</f>
        <v/>
      </c>
    </row>
    <row r="7" ht="15" customHeight="1" s="32">
      <c r="B7" s="42" t="inlineStr">
        <is>
          <t>Seed preferred</t>
        </is>
      </c>
      <c r="C7" s="59">
        <f>'Cap Table'!F8</f>
        <v/>
      </c>
      <c r="D7" s="46">
        <f>C7</f>
        <v/>
      </c>
      <c r="E7" s="60">
        <f>IFERROR('Cap Table'!D8,"-")</f>
        <v/>
      </c>
      <c r="F7" s="46">
        <f>MIN(MAX($C$15-F5-F6,0),D7)</f>
        <v/>
      </c>
      <c r="G7" s="46">
        <f>IFERROR($C$15*E7,"-")</f>
        <v/>
      </c>
      <c r="H7" s="61">
        <f>IF($C$15&gt;SUM($D$5:$D$7),G7,F7)</f>
        <v/>
      </c>
    </row>
    <row r="8" ht="15" customHeight="1" s="32">
      <c r="B8" s="42" t="inlineStr">
        <is>
          <t>Common (founders + pool)</t>
        </is>
      </c>
      <c r="C8" s="59">
        <f>'Cap Table'!F5+'Cap Table'!F6</f>
        <v/>
      </c>
      <c r="D8" s="46">
        <f>C8</f>
        <v/>
      </c>
      <c r="E8" s="60">
        <f>IFERROR('Cap Table'!D5+'Cap Table'!D6,"-")</f>
        <v/>
      </c>
      <c r="F8" s="46">
        <f>MAX(0,$C$15-F5-F6-F7)</f>
        <v/>
      </c>
      <c r="G8" s="46">
        <f>IFERROR($C$15*E8,"-")</f>
        <v/>
      </c>
      <c r="H8" s="61">
        <f>IF($C$15&gt;SUM($D$5:$D$7),G8,F8)</f>
        <v/>
      </c>
    </row>
    <row r="10" ht="15" customHeight="1" s="32">
      <c r="B10" s="31" t="inlineStr">
        <is>
          <t>Regime: as-converted pays more fund-wide than the full pref stack?</t>
        </is>
      </c>
      <c r="C10" s="34">
        <f>IF($C$15&gt;SUM(D5:D7),"YES — use as-converted","NO — use pref-stack")</f>
        <v/>
      </c>
    </row>
    <row r="11" ht="15" customHeight="1" s="32">
      <c r="B11" s="31" t="inlineStr">
        <is>
          <t>Total distributed (check — should equal total exit proceeds)</t>
        </is>
      </c>
      <c r="C11" s="61">
        <f>SUM(H5:H8)</f>
        <v/>
      </c>
    </row>
    <row r="13" ht="15" customHeight="1" s="32">
      <c r="B13" s="62" t="inlineStr">
        <is>
          <t>Simplification: switches the WHOLE cap table between the pref-stack and as-converted scenario based on one global test (total proceeds vs. sum of all preferences), rather than letting each class elect independently. Real waterfalls often have junior classes convert while senior ones keep their pref, in the middle range between these two extremes — that requires testing conversion elections class by class (a small solver, not a single formula). This always ties to total proceeds and is exactly right at both extremes; treat the boundary/middle range as a case for a proper waterfall tool or counsel, not this template.</t>
        </is>
      </c>
    </row>
    <row r="15" ht="15" customHeight="1" s="32">
      <c r="B15" s="31" t="inlineStr">
        <is>
          <t>Total exit proceeds</t>
        </is>
      </c>
      <c r="C15" s="63"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2:G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 customWidth="1" style="31" min="1" max="1"/>
    <col width="20" customWidth="1" style="31" min="2" max="2"/>
    <col width="14" customWidth="1" style="31" min="3" max="3"/>
    <col width="16" customWidth="1" style="31" min="4" max="6"/>
    <col width="20" customWidth="1" style="31" min="7" max="7"/>
  </cols>
  <sheetData>
    <row r="2" ht="19.7" customHeight="1" s="32">
      <c r="B2" s="33" t="inlineStr">
        <is>
          <t>Comparable Financings</t>
        </is>
      </c>
    </row>
    <row r="4" ht="15" customHeight="1" s="32">
      <c r="A4" s="41" t="n"/>
      <c r="B4" s="41" t="inlineStr">
        <is>
          <t>Company</t>
        </is>
      </c>
      <c r="C4" s="41" t="inlineStr">
        <is>
          <t>Round</t>
        </is>
      </c>
      <c r="D4" s="41" t="inlineStr">
        <is>
          <t>Date</t>
        </is>
      </c>
      <c r="E4" s="41" t="inlineStr">
        <is>
          <t>Pre-money</t>
        </is>
      </c>
      <c r="F4" s="41" t="inlineStr">
        <is>
          <t>Amount raised</t>
        </is>
      </c>
      <c r="G4" s="31" t="inlineStr">
        <is>
          <t>Lead investor</t>
        </is>
      </c>
    </row>
    <row r="5" ht="15" customHeight="1" s="32">
      <c r="B5" s="64" t="inlineStr">
        <is>
          <t>[fill in]</t>
        </is>
      </c>
      <c r="C5" s="64" t="inlineStr">
        <is>
          <t>[fill in]</t>
        </is>
      </c>
      <c r="D5" s="64" t="inlineStr">
        <is>
          <t>[fill in]</t>
        </is>
      </c>
      <c r="E5" s="65" t="n">
        <v>0</v>
      </c>
      <c r="F5" s="65" t="n">
        <v>0</v>
      </c>
      <c r="G5" s="64" t="inlineStr">
        <is>
          <t>[fill in]</t>
        </is>
      </c>
    </row>
    <row r="6" ht="15" customHeight="1" s="32">
      <c r="B6" s="64" t="inlineStr">
        <is>
          <t>[fill in]</t>
        </is>
      </c>
      <c r="C6" s="64" t="inlineStr">
        <is>
          <t>[fill in]</t>
        </is>
      </c>
      <c r="D6" s="64" t="inlineStr">
        <is>
          <t>[fill in]</t>
        </is>
      </c>
      <c r="E6" s="65" t="n">
        <v>0</v>
      </c>
      <c r="F6" s="65" t="n">
        <v>0</v>
      </c>
      <c r="G6" s="64" t="inlineStr">
        <is>
          <t>[fill in]</t>
        </is>
      </c>
    </row>
    <row r="7" ht="15" customHeight="1" s="32">
      <c r="B7" s="64" t="inlineStr">
        <is>
          <t>[fill in]</t>
        </is>
      </c>
      <c r="C7" s="64" t="inlineStr">
        <is>
          <t>[fill in]</t>
        </is>
      </c>
      <c r="D7" s="64" t="inlineStr">
        <is>
          <t>[fill in]</t>
        </is>
      </c>
      <c r="E7" s="65" t="n">
        <v>0</v>
      </c>
      <c r="F7" s="65" t="n">
        <v>0</v>
      </c>
      <c r="G7" s="64" t="inlineStr">
        <is>
          <t>[fill in]</t>
        </is>
      </c>
    </row>
    <row r="8" ht="15" customHeight="1" s="32">
      <c r="B8" s="64" t="inlineStr">
        <is>
          <t>[fill in]</t>
        </is>
      </c>
      <c r="C8" s="64" t="inlineStr">
        <is>
          <t>[fill in]</t>
        </is>
      </c>
      <c r="D8" s="64" t="inlineStr">
        <is>
          <t>[fill in]</t>
        </is>
      </c>
      <c r="E8" s="65" t="n">
        <v>0</v>
      </c>
      <c r="F8" s="65" t="n">
        <v>0</v>
      </c>
      <c r="G8" s="64" t="inlineStr">
        <is>
          <t>[fill in]</t>
        </is>
      </c>
    </row>
    <row r="9" ht="15" customHeight="1" s="32">
      <c r="B9" s="64" t="inlineStr">
        <is>
          <t>[fill in]</t>
        </is>
      </c>
      <c r="C9" s="64" t="inlineStr">
        <is>
          <t>[fill in]</t>
        </is>
      </c>
      <c r="D9" s="64" t="inlineStr">
        <is>
          <t>[fill in]</t>
        </is>
      </c>
      <c r="E9" s="65" t="n">
        <v>0</v>
      </c>
      <c r="F9" s="65" t="n">
        <v>0</v>
      </c>
      <c r="G9" s="64" t="inlineStr">
        <is>
          <t>[fill in]</t>
        </is>
      </c>
    </row>
    <row r="10" ht="15" customHeight="1" s="32">
      <c r="B10" s="64" t="inlineStr">
        <is>
          <t>[fill in]</t>
        </is>
      </c>
      <c r="C10" s="64" t="inlineStr">
        <is>
          <t>[fill in]</t>
        </is>
      </c>
      <c r="D10" s="64" t="inlineStr">
        <is>
          <t>[fill in]</t>
        </is>
      </c>
      <c r="E10" s="65" t="n">
        <v>0</v>
      </c>
      <c r="F10" s="65" t="n">
        <v>0</v>
      </c>
      <c r="G10" s="64" t="inlineStr">
        <is>
          <t>[fill in]</t>
        </is>
      </c>
    </row>
    <row r="11" ht="15" customHeight="1" s="32">
      <c r="B11" s="64" t="inlineStr">
        <is>
          <t>[fill in]</t>
        </is>
      </c>
      <c r="C11" s="64" t="inlineStr">
        <is>
          <t>[fill in]</t>
        </is>
      </c>
      <c r="D11" s="64" t="inlineStr">
        <is>
          <t>[fill in]</t>
        </is>
      </c>
      <c r="E11" s="65" t="n">
        <v>0</v>
      </c>
      <c r="F11" s="65" t="n">
        <v>0</v>
      </c>
      <c r="G11" s="64" t="inlineStr">
        <is>
          <t>[fill in]</t>
        </is>
      </c>
    </row>
    <row r="12" ht="15" customHeight="1" s="32">
      <c r="B12" s="64" t="inlineStr">
        <is>
          <t>[fill in]</t>
        </is>
      </c>
      <c r="C12" s="64" t="inlineStr">
        <is>
          <t>[fill in]</t>
        </is>
      </c>
      <c r="D12" s="64" t="inlineStr">
        <is>
          <t>[fill in]</t>
        </is>
      </c>
      <c r="E12" s="65" t="n">
        <v>0</v>
      </c>
      <c r="F12" s="65" t="n">
        <v>0</v>
      </c>
      <c r="G12" s="64" t="inlineStr">
        <is>
          <t>[fill in]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F1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 customWidth="1" style="31" min="1" max="1"/>
    <col width="14" customWidth="1" style="31" min="2" max="2"/>
    <col width="16" customWidth="1" style="31" min="3" max="3"/>
    <col width="30" customWidth="1" style="31" min="4" max="5"/>
    <col width="16" customWidth="1" style="31" min="6" max="6"/>
  </cols>
  <sheetData>
    <row r="2" ht="19.7" customHeight="1" s="32">
      <c r="B2" s="33" t="inlineStr">
        <is>
          <t>Refresh Log</t>
        </is>
      </c>
    </row>
    <row r="4" ht="15" customHeight="1" s="32">
      <c r="B4" s="41" t="inlineStr">
        <is>
          <t>Date</t>
        </is>
      </c>
      <c r="C4" s="41" t="inlineStr">
        <is>
          <t>Trigger</t>
        </is>
      </c>
      <c r="D4" s="41" t="inlineStr">
        <is>
          <t>What changed</t>
        </is>
      </c>
      <c r="E4" s="41" t="inlineStr">
        <is>
          <t>Reviewer notes</t>
        </is>
      </c>
      <c r="F4" s="41" t="inlineStr">
        <is>
          <t>Next check</t>
        </is>
      </c>
    </row>
    <row r="5" ht="15" customHeight="1" s="32">
      <c r="B5" s="66" t="n"/>
      <c r="C5" s="66" t="n"/>
      <c r="D5" s="66" t="n"/>
      <c r="E5" s="66" t="n"/>
      <c r="F5" s="66" t="n"/>
    </row>
    <row r="6" ht="15" customHeight="1" s="32">
      <c r="B6" s="66" t="n"/>
      <c r="C6" s="66" t="n"/>
      <c r="D6" s="66" t="n"/>
      <c r="E6" s="66" t="n"/>
      <c r="F6" s="66" t="n"/>
    </row>
    <row r="7" ht="15" customHeight="1" s="32">
      <c r="B7" s="66" t="n"/>
      <c r="C7" s="66" t="n"/>
      <c r="D7" s="66" t="n"/>
      <c r="E7" s="66" t="n"/>
      <c r="F7" s="66" t="n"/>
    </row>
    <row r="8" ht="15" customHeight="1" s="32">
      <c r="B8" s="66" t="n"/>
      <c r="C8" s="66" t="n"/>
      <c r="D8" s="66" t="n"/>
      <c r="E8" s="66" t="n"/>
      <c r="F8" s="66" t="n"/>
    </row>
    <row r="9" ht="15" customHeight="1" s="32">
      <c r="B9" s="66" t="n"/>
      <c r="C9" s="66" t="n"/>
      <c r="D9" s="66" t="n"/>
      <c r="E9" s="66" t="n"/>
      <c r="F9" s="66" t="n"/>
    </row>
    <row r="10" ht="15" customHeight="1" s="32">
      <c r="B10" s="66" t="n"/>
      <c r="C10" s="66" t="n"/>
      <c r="D10" s="66" t="n"/>
      <c r="E10" s="66" t="n"/>
      <c r="F10" s="66" t="n"/>
    </row>
    <row r="11" ht="15" customHeight="1" s="32">
      <c r="B11" s="66" t="n"/>
      <c r="C11" s="66" t="n"/>
      <c r="D11" s="66" t="n"/>
      <c r="E11" s="66" t="n"/>
      <c r="F11" s="66" t="n"/>
    </row>
    <row r="12" ht="15" customHeight="1" s="32">
      <c r="B12" s="66" t="n"/>
      <c r="C12" s="66" t="n"/>
      <c r="D12" s="66" t="n"/>
      <c r="E12" s="66" t="n"/>
      <c r="F12" s="66" t="n"/>
    </row>
    <row r="13" ht="15" customHeight="1" s="32">
      <c r="B13" s="66" t="n"/>
      <c r="C13" s="66" t="n"/>
      <c r="D13" s="66" t="n"/>
      <c r="E13" s="66" t="n"/>
      <c r="F13" s="66" t="n"/>
    </row>
    <row r="14" ht="15" customHeight="1" s="32">
      <c r="B14" s="66" t="n"/>
      <c r="C14" s="66" t="n"/>
      <c r="D14" s="66" t="n"/>
      <c r="E14" s="66" t="n"/>
      <c r="F14" s="66"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2026-08-03T23:07:28Z</dcterms:created>
  <dcterms:modified xsi:type="dcterms:W3CDTF">2026-08-04T03:48:34Z</dcterms:modified>
  <cp:revision>0</cp:revision>
</cp:coreProperties>
</file>