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Cap Table" sheetId="5" state="visible" r:id="rId7"/>
    <sheet name="Round Modeling" sheetId="6" state="visible" r:id="rId8"/>
    <sheet name="SAFE Conversion" sheetId="7" state="visible" r:id="rId9"/>
    <sheet name="Comparable Financings" sheetId="8" state="visible" r:id="rId10"/>
    <sheet name="RefreshLog" sheetId="9" state="visible" r:id="rId11"/>
    <sheet name="Ownership &amp; Dilution" sheetId="10" state="visible" r:id="rId12"/>
    <sheet name="Reserves &amp; Follow-ons" sheetId="11" state="visible" r:id="rId13"/>
    <sheet name="Exit Waterfall" sheetId="12" state="visible" r:id="rId14"/>
    <sheet name="Decision &amp; Checks" sheetId="13" state="visible" r:id="rId15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<sst xmlns="http://schemas.openxmlformats.org/spreadsheetml/2006/main" count="338" uniqueCount="213">
  <si>
    <t xml:space="preserve">[COMPANY] — Venture Capital Model</t>
  </si>
  <si>
    <t xml:space="preserve">Sector:</t>
  </si>
  <si>
    <t xml:space="preserve">[fill in]</t>
  </si>
  <si>
    <t xml:space="preserve">Current stage:</t>
  </si>
  <si>
    <t xml:space="preserve">Seed / A / B / C / Growth</t>
  </si>
  <si>
    <t xml:space="preserve">Last refreshed:</t>
  </si>
  <si>
    <t xml:space="preserve">2026-08-04</t>
  </si>
  <si>
    <t xml:space="preserve">Next round expected:</t>
  </si>
  <si>
    <t xml:space="preserve">[date]</t>
  </si>
  <si>
    <t xml:space="preserve">Refresh cadence:</t>
  </si>
  <si>
    <t xml:space="preserve">Weekly</t>
  </si>
  <si>
    <t xml:space="preserve">Venture Capital — Institutional Decision Surface</t>
  </si>
  <si>
    <t xml:space="preserve">Model ID</t>
  </si>
  <si>
    <t xml:space="preserve">13</t>
  </si>
  <si>
    <t xml:space="preserve">Domain</t>
  </si>
  <si>
    <t xml:space="preserve">Venture Capital</t>
  </si>
  <si>
    <t xml:space="preserve">Declared maturity</t>
  </si>
  <si>
    <t xml:space="preserve">M2</t>
  </si>
  <si>
    <t xml:space="preserve">Canonical builder</t>
  </si>
  <si>
    <t xml:space="preserve">tools/builders/build_venture_capital_release.py</t>
  </si>
  <si>
    <t xml:space="preserve">Decision arena</t>
  </si>
  <si>
    <t xml:space="preserve">investment team, partnership IC, board and portfolio finance</t>
  </si>
  <si>
    <t xml:space="preserve">Committee artifact</t>
  </si>
  <si>
    <t xml:space="preserve">investment and reserve-allocation memo</t>
  </si>
  <si>
    <t xml:space="preserve">Operating cadence</t>
  </si>
  <si>
    <t xml:space="preserve">monthly portfolio; event-driven financings; quarterly IC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</si>
  <si>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</si>
  <si>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</si>
  <si>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</si>
  <si>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</si>
  <si>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</si>
  <si>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</si>
  <si>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post-money ownership</t>
  </si>
  <si>
    <t xml:space="preserve">OPEN</t>
  </si>
  <si>
    <t xml:space="preserve">SAFE / note conversion</t>
  </si>
  <si>
    <t xml:space="preserve">preference and participation waterfall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</si>
  <si>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</si>
  <si>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</si>
  <si>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</si>
  <si>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Which security is actually senior?</t>
  </si>
  <si>
    <t xml:space="preserve">Who can block the next financing?</t>
  </si>
  <si>
    <t xml:space="preserve">What converts before the option-pool top-up?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</si>
  <si>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</si>
  <si>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</si>
  <si>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</si>
  <si>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down round</t>
  </si>
  <si>
    <t xml:space="preserve">bridge with seniority</t>
  </si>
  <si>
    <t xml:space="preserve">flat exit preference stack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</si>
  <si>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</si>
  <si>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</si>
  <si>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</si>
  <si>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charter and cap table</t>
  </si>
  <si>
    <t xml:space="preserve">SAFE / note instruments</t>
  </si>
  <si>
    <t xml:space="preserve">stock purchase agreement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</si>
  <si>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</si>
  <si>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</si>
  <si>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</si>
  <si>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waterfall conserves proceeds</t>
  </si>
  <si>
    <t xml:space="preserve">share count reconciles</t>
  </si>
  <si>
    <t xml:space="preserve">SAFE conversion follows instrument terms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</si>
  <si>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</si>
  <si>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</si>
  <si>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</si>
  <si>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mixing pre- and post-money SAFEs</t>
  </si>
  <si>
    <t xml:space="preserve">ignoring accrued interest and discount interactions</t>
  </si>
  <si>
    <t xml:space="preserve">double-counting option pool shuffle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</si>
  <si>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</si>
  <si>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</si>
  <si>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</si>
  <si>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</si>
  <si>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</si>
  <si>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</si>
  <si>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</si>
  <si>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</si>
  <si>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</si>
  <si>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</si>
  <si>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</si>
  <si>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</si>
  <si>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</si>
  <si>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</si>
  <si>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</si>
  <si>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</si>
  <si>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</si>
  <si>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</si>
  <si>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</si>
  <si>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</si>
  <si>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</si>
  <si>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</si>
  <si>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</si>
  <si>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</si>
  <si>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</si>
  <si>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</si>
  <si>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</si>
  <si>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</si>
  <si>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</si>
  <si>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</si>
  <si>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</si>
  <si>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cap table</t>
  </si>
  <si>
    <t xml:space="preserve">event-driven</t>
  </si>
  <si>
    <t xml:space="preserve">fully diluted share reconciliation</t>
  </si>
  <si>
    <t xml:space="preserve">TO MAP</t>
  </si>
  <si>
    <t xml:space="preserve">financing instruments</t>
  </si>
  <si>
    <t xml:space="preserve">conversion and seniority map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</si>
  <si>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</si>
  <si>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</si>
  <si>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</si>
  <si>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</si>
  <si>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</si>
  <si>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</si>
  <si>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Capitalization Table</t>
  </si>
  <si>
    <t xml:space="preserve">Holder / Class</t>
  </si>
  <si>
    <t xml:space="preserve">Shares</t>
  </si>
  <si>
    <t xml:space="preserve">% Fully Diluted</t>
  </si>
  <si>
    <t xml:space="preserve">Price paid/sh</t>
  </si>
  <si>
    <t xml:space="preserve">Invested $</t>
  </si>
  <si>
    <t xml:space="preserve">Class</t>
  </si>
  <si>
    <t xml:space="preserve">Founders (common)</t>
  </si>
  <si>
    <t xml:space="preserve">Common/Pref</t>
  </si>
  <si>
    <t xml:space="preserve">Employee option pool</t>
  </si>
  <si>
    <t xml:space="preserve">SAFE holders (pre-conversion)</t>
  </si>
  <si>
    <t xml:space="preserve">Seed preferred</t>
  </si>
  <si>
    <t xml:space="preserve">Series A preferred</t>
  </si>
  <si>
    <t xml:space="preserve">Series B preferred</t>
  </si>
  <si>
    <t xml:space="preserve">Total</t>
  </si>
  <si>
    <t xml:space="preserve">New Round Modeling</t>
  </si>
  <si>
    <t xml:space="preserve">Inputs</t>
  </si>
  <si>
    <t xml:space="preserve">Outputs</t>
  </si>
  <si>
    <t xml:space="preserve">Pre-money valuation</t>
  </si>
  <si>
    <t xml:space="preserve">Post-money valuation</t>
  </si>
  <si>
    <t xml:space="preserve">New money raised</t>
  </si>
  <si>
    <t xml:space="preserve">Price per share</t>
  </si>
  <si>
    <t xml:space="preserve">New option pool top-up %</t>
  </si>
  <si>
    <t xml:space="preserve">New shares issued (investor)</t>
  </si>
  <si>
    <t xml:space="preserve">Existing fully diluted shares</t>
  </si>
  <si>
    <t xml:space="preserve">New pool shares (top-up)</t>
  </si>
  <si>
    <t xml:space="preserve">Total post-round shares</t>
  </si>
  <si>
    <t xml:space="preserve">New investor ownership %</t>
  </si>
  <si>
    <t xml:space="preserve">Existing holder dilution %</t>
  </si>
  <si>
    <t xml:space="preserve">SAFE / Convertible Note Conversion</t>
  </si>
  <si>
    <t xml:space="preserve">SAFE Terms</t>
  </si>
  <si>
    <t xml:space="preserve">At Priced Round</t>
  </si>
  <si>
    <t xml:space="preserve">SAFE investment amount</t>
  </si>
  <si>
    <t xml:space="preserve">Priced round price/share</t>
  </si>
  <si>
    <t xml:space="preserve">Valuation cap</t>
  </si>
  <si>
    <t xml:space="preserve">Cap price/share (cap / pre-round FD shares)</t>
  </si>
  <si>
    <t xml:space="preserve">Discount %</t>
  </si>
  <si>
    <t xml:space="preserve">Discount price/share</t>
  </si>
  <si>
    <t xml:space="preserve">SAFE conversion price (lower of cap/discount/round)</t>
  </si>
  <si>
    <t xml:space="preserve">SAFE shares issued</t>
  </si>
  <si>
    <t xml:space="preserve">Comparable Financings</t>
  </si>
  <si>
    <t xml:space="preserve">Company</t>
  </si>
  <si>
    <t xml:space="preserve">Round</t>
  </si>
  <si>
    <t xml:space="preserve">Pre-money</t>
  </si>
  <si>
    <t xml:space="preserve">Amount raised</t>
  </si>
  <si>
    <t xml:space="preserve">Lead investor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</si>
  <si>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</si>
  <si>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</si>
  <si>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</si>
  <si>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</si>
  <si>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</si>
  <si>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Six-engine frontier release</t>
  </si>
  <si>
    <t xml:space="preserve">Applied conventional fixture vc-reference-up-round</t>
  </si>
  <si>
    <t xml:space="preserve">Synthetic engineering benchmark; not M4 evidence</t>
  </si>
  <si>
    <t xml:space="preserve">On builder, source, contract, or threshold change</t>
  </si>
  <si>
    <t xml:space="preserve">Post-Money Ownership, Option Pool, and Round Pricing</t>
  </si>
  <si>
    <t xml:space="preserve">Metric</t>
  </si>
  <si>
    <t xml:space="preserve">Base</t>
  </si>
  <si>
    <t xml:space="preserve">Adversarial</t>
  </si>
  <si>
    <t xml:space="preserve">Units / control</t>
  </si>
  <si>
    <t xml:space="preserve">Pre-money value</t>
  </si>
  <si>
    <t xml:space="preserve">Investment</t>
  </si>
  <si>
    <t xml:space="preserve">Existing shares</t>
  </si>
  <si>
    <t xml:space="preserve">New investor shares</t>
  </si>
  <si>
    <t xml:space="preserve">Option-pool expansion</t>
  </si>
  <si>
    <t xml:space="preserve">Maximum investor ownership</t>
  </si>
  <si>
    <t xml:space="preserve">Maximum option-pool dilution</t>
  </si>
  <si>
    <t xml:space="preserve">Post-money value</t>
  </si>
  <si>
    <t xml:space="preserve">Total post-money shares</t>
  </si>
  <si>
    <t xml:space="preserve">Investor ownership</t>
  </si>
  <si>
    <t xml:space="preserve">Founder ownership</t>
  </si>
  <si>
    <t xml:space="preserve">Option-pool ownership</t>
  </si>
  <si>
    <t xml:space="preserve">Round price / share</t>
  </si>
  <si>
    <t xml:space="preserve">Pre-money implied price / share</t>
  </si>
  <si>
    <t xml:space="preserve">Follow-On Requirements, Reserves, and Ownership Defense</t>
  </si>
  <si>
    <t xml:space="preserve">Follow-on required</t>
  </si>
  <si>
    <t xml:space="preserve">Available reserves</t>
  </si>
  <si>
    <t xml:space="preserve">Pro rata ownership target</t>
  </si>
  <si>
    <t xml:space="preserve">Next-round size</t>
  </si>
  <si>
    <t xml:space="preserve">Reserve gap</t>
  </si>
  <si>
    <t xml:space="preserve">Pro rata capital required</t>
  </si>
  <si>
    <t xml:space="preserve">Ownership-defense shortfall</t>
  </si>
  <si>
    <t xml:space="preserve">Exit Proceeds, Investor MOIC, and Return Thresholds</t>
  </si>
  <si>
    <t xml:space="preserve">Exit equity value</t>
  </si>
  <si>
    <t xml:space="preserve">Investment cost</t>
  </si>
  <si>
    <t xml:space="preserve">Minimum gross MOIC</t>
  </si>
  <si>
    <t xml:space="preserve">Investor exit proceeds</t>
  </si>
  <si>
    <t xml:space="preserve">Gross MOIC</t>
  </si>
  <si>
    <t xml:space="preserve">Venture Capital Decision Dashboard and Independent Checks</t>
  </si>
  <si>
    <t xml:space="preserve">Check / decision</t>
  </si>
  <si>
    <t xml:space="preserve">Interpretation / action</t>
  </si>
  <si>
    <t xml:space="preserve">Post-money identity residual</t>
  </si>
  <si>
    <t xml:space="preserve">Post-money value must equal pre-money value plus new investment.</t>
  </si>
  <si>
    <t xml:space="preserve">Ownership conservation residual</t>
  </si>
  <si>
    <t xml:space="preserve">Investor, founder, and option-pool ownership must sum to one.</t>
  </si>
  <si>
    <t xml:space="preserve">Follow-on reserve gap</t>
  </si>
  <si>
    <t xml:space="preserve">Reserves must cover approved follow-on requirements.</t>
  </si>
  <si>
    <t xml:space="preserve">Escalate ownership concentration and governance terms.</t>
  </si>
  <si>
    <t xml:space="preserve">Option-pool dilution</t>
  </si>
  <si>
    <t xml:space="preserve">Pool expansion must remain within the approved dilution boundary.</t>
  </si>
  <si>
    <t xml:space="preserve">Round pricing</t>
  </si>
  <si>
    <t xml:space="preserve">A negative price delta indicates a down round.</t>
  </si>
  <si>
    <t xml:space="preserve">Exit proceeds must clear the approved return threshold.</t>
  </si>
  <si>
    <t xml:space="preserve">Overall model status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</si>
</sst>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\$#,##0.00;&quot;($&quot;#,##0.00\);\-"/>
    <numFmt numFmtId="168" formatCode="\$#,##0;&quot;($&quot;#,##0\);\-"/>
    <numFmt numFmtId="169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15" hidden="false" customHeight="false" outlineLevel="0" collapsed="false">
      <c r="B8" s="2" t="s">
        <v>9</v>
      </c>
      <c r="C8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11</v>
      </c>
      <c r="C2" s="5"/>
      <c r="D2" s="5"/>
      <c r="E2" s="5"/>
      <c r="F2" s="5"/>
    </row>
    <row r="4" customFormat="false" ht="15" hidden="false" customHeight="true" outlineLevel="0" collapsed="false">
      <c r="B4" s="6" t="s">
        <v>12</v>
      </c>
      <c r="C4" s="7" t="s">
        <v>13</v>
      </c>
      <c r="D4" s="7"/>
      <c r="E4" s="7"/>
      <c r="F4" s="7"/>
    </row>
    <row r="5" customFormat="false" ht="15" hidden="false" customHeight="true" outlineLevel="0" collapsed="false">
      <c r="B5" s="6" t="s">
        <v>14</v>
      </c>
      <c r="C5" s="7" t="s">
        <v>15</v>
      </c>
      <c r="D5" s="7"/>
      <c r="E5" s="7"/>
      <c r="F5" s="7"/>
    </row>
    <row r="6" customFormat="false" ht="15" hidden="false" customHeight="true" outlineLevel="0" collapsed="false">
      <c r="B6" s="6" t="s">
        <v>16</v>
      </c>
      <c r="C6" s="7" t="s">
        <v>17</v>
      </c>
      <c r="D6" s="7"/>
      <c r="E6" s="7"/>
      <c r="F6" s="7"/>
    </row>
    <row r="7" customFormat="false" ht="15" hidden="false" customHeight="true" outlineLevel="0" collapsed="false">
      <c r="B7" s="6" t="s">
        <v>18</v>
      </c>
      <c r="C7" s="7" t="s">
        <v>19</v>
      </c>
      <c r="D7" s="7"/>
      <c r="E7" s="7"/>
      <c r="F7" s="7"/>
    </row>
    <row r="8" customFormat="false" ht="15" hidden="false" customHeight="true" outlineLevel="0" collapsed="false">
      <c r="B8" s="6" t="s">
        <v>20</v>
      </c>
      <c r="C8" s="7" t="s">
        <v>21</v>
      </c>
      <c r="D8" s="7"/>
      <c r="E8" s="7"/>
      <c r="F8" s="7"/>
    </row>
    <row r="9" customFormat="false" ht="15" hidden="false" customHeight="true" outlineLevel="0" collapsed="false">
      <c r="B9" s="6" t="s">
        <v>22</v>
      </c>
      <c r="C9" s="7" t="s">
        <v>23</v>
      </c>
      <c r="D9" s="7"/>
      <c r="E9" s="7"/>
      <c r="F9" s="7"/>
    </row>
    <row r="10" customFormat="false" ht="15" hidden="false" customHeight="true" outlineLevel="0" collapsed="false">
      <c r="B10" s="6" t="s">
        <v>24</v>
      </c>
      <c r="C10" s="7" t="s">
        <v>25</v>
      </c>
      <c r="D10" s="7"/>
      <c r="E10" s="7"/>
      <c r="F10" s="7"/>
    </row>
    <row r="12" customFormat="false" ht="15" hidden="false" customHeight="false" outlineLevel="0" collapsed="false">
      <c r="B12" s="8" t="s">
        <v>26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27</v>
      </c>
      <c r="C13" s="9" t="s">
        <v>28</v>
      </c>
      <c r="D13" s="9" t="s">
        <v>29</v>
      </c>
      <c r="E13" s="9" t="s">
        <v>30</v>
      </c>
      <c r="F13" s="9" t="s">
        <v>31</v>
      </c>
    </row>
    <row r="14" customFormat="false" ht="15" hidden="false" customHeight="false" outlineLevel="0" collapsed="false">
      <c r="B14" s="0" t="n">
        <v>1</v>
      </c>
      <c r="C14" s="0" t="s">
        <v>32</v>
      </c>
      <c r="F14" s="10" t="s">
        <v>33</v>
      </c>
    </row>
    <row r="15" customFormat="false" ht="15" hidden="false" customHeight="false" outlineLevel="0" collapsed="false">
      <c r="B15" s="0" t="n">
        <v>2</v>
      </c>
      <c r="C15" s="0" t="s">
        <v>34</v>
      </c>
      <c r="F15" s="10" t="s">
        <v>33</v>
      </c>
    </row>
    <row r="16" customFormat="false" ht="15" hidden="false" customHeight="false" outlineLevel="0" collapsed="false">
      <c r="B16" s="0" t="n">
        <v>3</v>
      </c>
      <c r="C16" s="0" t="s">
        <v>35</v>
      </c>
      <c r="F16" s="10" t="s">
        <v>33</v>
      </c>
    </row>
    <row r="17" customFormat="false" ht="15" hidden="false" customHeight="false" outlineLevel="0" collapsed="false">
      <c r="B17" s="0" t="n">
        <v>4</v>
      </c>
      <c r="C17" s="0" t="s">
        <v>36</v>
      </c>
      <c r="F17" s="10" t="s">
        <v>33</v>
      </c>
    </row>
    <row r="18" customFormat="false" ht="15" hidden="false" customHeight="false" outlineLevel="0" collapsed="false">
      <c r="B18" s="0" t="n">
        <v>5</v>
      </c>
      <c r="C18" s="0" t="s">
        <v>37</v>
      </c>
      <c r="F18" s="10" t="s">
        <v>33</v>
      </c>
    </row>
    <row r="20" customFormat="false" ht="15" hidden="false" customHeight="false" outlineLevel="0" collapsed="false">
      <c r="B20" s="8" t="s">
        <v>38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27</v>
      </c>
      <c r="C21" s="9" t="s">
        <v>28</v>
      </c>
      <c r="D21" s="9" t="s">
        <v>29</v>
      </c>
      <c r="E21" s="9" t="s">
        <v>30</v>
      </c>
      <c r="F21" s="9" t="s">
        <v>31</v>
      </c>
    </row>
    <row r="22" customFormat="false" ht="15" hidden="false" customHeight="false" outlineLevel="0" collapsed="false">
      <c r="B22" s="0" t="n">
        <v>1</v>
      </c>
      <c r="C22" s="0" t="s">
        <v>39</v>
      </c>
      <c r="F22" s="10" t="s">
        <v>33</v>
      </c>
    </row>
    <row r="23" customFormat="false" ht="15" hidden="false" customHeight="false" outlineLevel="0" collapsed="false">
      <c r="B23" s="0" t="n">
        <v>2</v>
      </c>
      <c r="C23" s="0" t="s">
        <v>40</v>
      </c>
      <c r="F23" s="10" t="s">
        <v>33</v>
      </c>
    </row>
    <row r="24" customFormat="false" ht="15" hidden="false" customHeight="false" outlineLevel="0" collapsed="false">
      <c r="B24" s="0" t="n">
        <v>3</v>
      </c>
      <c r="C24" s="0" t="s">
        <v>41</v>
      </c>
      <c r="F24" s="10" t="s">
        <v>33</v>
      </c>
    </row>
    <row r="25" customFormat="false" ht="15" hidden="false" customHeight="false" outlineLevel="0" collapsed="false">
      <c r="B25" s="0" t="n">
        <v>4</v>
      </c>
      <c r="C25" s="0" t="s">
        <v>42</v>
      </c>
      <c r="F25" s="10" t="s">
        <v>33</v>
      </c>
    </row>
    <row r="26" customFormat="false" ht="15" hidden="false" customHeight="false" outlineLevel="0" collapsed="false">
      <c r="B26" s="0" t="n">
        <v>5</v>
      </c>
      <c r="C26" s="0" t="s">
        <v>43</v>
      </c>
      <c r="F26" s="10" t="s">
        <v>33</v>
      </c>
    </row>
    <row r="28" customFormat="false" ht="15" hidden="false" customHeight="false" outlineLevel="0" collapsed="false">
      <c r="B28" s="8" t="s">
        <v>44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27</v>
      </c>
      <c r="C29" s="9" t="s">
        <v>28</v>
      </c>
      <c r="D29" s="9" t="s">
        <v>29</v>
      </c>
      <c r="E29" s="9" t="s">
        <v>30</v>
      </c>
      <c r="F29" s="9" t="s">
        <v>31</v>
      </c>
    </row>
    <row r="30" customFormat="false" ht="15" hidden="false" customHeight="false" outlineLevel="0" collapsed="false">
      <c r="B30" s="0" t="n">
        <v>1</v>
      </c>
      <c r="C30" s="0" t="s">
        <v>45</v>
      </c>
      <c r="F30" s="10" t="s">
        <v>33</v>
      </c>
    </row>
    <row r="31" customFormat="false" ht="15" hidden="false" customHeight="false" outlineLevel="0" collapsed="false">
      <c r="B31" s="0" t="n">
        <v>2</v>
      </c>
      <c r="C31" s="0" t="s">
        <v>46</v>
      </c>
      <c r="F31" s="10" t="s">
        <v>33</v>
      </c>
    </row>
    <row r="32" customFormat="false" ht="15" hidden="false" customHeight="false" outlineLevel="0" collapsed="false">
      <c r="B32" s="0" t="n">
        <v>3</v>
      </c>
      <c r="C32" s="0" t="s">
        <v>47</v>
      </c>
      <c r="F32" s="10" t="s">
        <v>33</v>
      </c>
    </row>
    <row r="33" customFormat="false" ht="15" hidden="false" customHeight="false" outlineLevel="0" collapsed="false">
      <c r="B33" s="0" t="n">
        <v>4</v>
      </c>
      <c r="C33" s="0" t="s">
        <v>48</v>
      </c>
      <c r="F33" s="10" t="s">
        <v>33</v>
      </c>
    </row>
    <row r="34" customFormat="false" ht="15" hidden="false" customHeight="false" outlineLevel="0" collapsed="false">
      <c r="B34" s="0" t="n">
        <v>5</v>
      </c>
      <c r="C34" s="0" t="s">
        <v>49</v>
      </c>
      <c r="F34" s="10" t="s">
        <v>33</v>
      </c>
    </row>
    <row r="36" customFormat="false" ht="15" hidden="false" customHeight="false" outlineLevel="0" collapsed="false">
      <c r="B36" s="8" t="s">
        <v>50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27</v>
      </c>
      <c r="C37" s="9" t="s">
        <v>28</v>
      </c>
      <c r="D37" s="9" t="s">
        <v>29</v>
      </c>
      <c r="E37" s="9" t="s">
        <v>30</v>
      </c>
      <c r="F37" s="9" t="s">
        <v>31</v>
      </c>
    </row>
    <row r="38" customFormat="false" ht="15" hidden="false" customHeight="false" outlineLevel="0" collapsed="false">
      <c r="B38" s="0" t="n">
        <v>1</v>
      </c>
      <c r="C38" s="0" t="s">
        <v>51</v>
      </c>
      <c r="F38" s="10" t="s">
        <v>33</v>
      </c>
    </row>
    <row r="39" customFormat="false" ht="15" hidden="false" customHeight="false" outlineLevel="0" collapsed="false">
      <c r="B39" s="0" t="n">
        <v>2</v>
      </c>
      <c r="C39" s="0" t="s">
        <v>52</v>
      </c>
      <c r="F39" s="10" t="s">
        <v>33</v>
      </c>
    </row>
    <row r="40" customFormat="false" ht="15" hidden="false" customHeight="false" outlineLevel="0" collapsed="false">
      <c r="B40" s="0" t="n">
        <v>3</v>
      </c>
      <c r="C40" s="0" t="s">
        <v>53</v>
      </c>
      <c r="F40" s="10" t="s">
        <v>33</v>
      </c>
    </row>
    <row r="41" customFormat="false" ht="15" hidden="false" customHeight="false" outlineLevel="0" collapsed="false">
      <c r="B41" s="0" t="n">
        <v>4</v>
      </c>
      <c r="C41" s="0" t="s">
        <v>54</v>
      </c>
      <c r="F41" s="10" t="s">
        <v>33</v>
      </c>
    </row>
    <row r="42" customFormat="false" ht="15" hidden="false" customHeight="false" outlineLevel="0" collapsed="false">
      <c r="B42" s="0" t="n">
        <v>5</v>
      </c>
      <c r="C42" s="0" t="s">
        <v>55</v>
      </c>
      <c r="F42" s="10" t="s">
        <v>33</v>
      </c>
    </row>
    <row r="44" customFormat="false" ht="15" hidden="false" customHeight="false" outlineLevel="0" collapsed="false">
      <c r="B44" s="8" t="s">
        <v>56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27</v>
      </c>
      <c r="C45" s="9" t="s">
        <v>28</v>
      </c>
      <c r="D45" s="9" t="s">
        <v>29</v>
      </c>
      <c r="E45" s="9" t="s">
        <v>30</v>
      </c>
      <c r="F45" s="9" t="s">
        <v>31</v>
      </c>
    </row>
    <row r="46" customFormat="false" ht="15" hidden="false" customHeight="false" outlineLevel="0" collapsed="false">
      <c r="B46" s="0" t="n">
        <v>1</v>
      </c>
      <c r="C46" s="0" t="s">
        <v>57</v>
      </c>
      <c r="F46" s="10" t="s">
        <v>33</v>
      </c>
    </row>
    <row r="47" customFormat="false" ht="15" hidden="false" customHeight="false" outlineLevel="0" collapsed="false">
      <c r="B47" s="0" t="n">
        <v>2</v>
      </c>
      <c r="C47" s="0" t="s">
        <v>58</v>
      </c>
      <c r="F47" s="10" t="s">
        <v>33</v>
      </c>
    </row>
    <row r="48" customFormat="false" ht="15" hidden="false" customHeight="false" outlineLevel="0" collapsed="false">
      <c r="B48" s="0" t="n">
        <v>3</v>
      </c>
      <c r="C48" s="0" t="s">
        <v>59</v>
      </c>
      <c r="F48" s="10" t="s">
        <v>33</v>
      </c>
    </row>
    <row r="49" customFormat="false" ht="15" hidden="false" customHeight="false" outlineLevel="0" collapsed="false">
      <c r="B49" s="0" t="n">
        <v>4</v>
      </c>
      <c r="C49" s="0" t="s">
        <v>60</v>
      </c>
      <c r="F49" s="10" t="s">
        <v>33</v>
      </c>
    </row>
    <row r="50" customFormat="false" ht="15" hidden="false" customHeight="false" outlineLevel="0" collapsed="false">
      <c r="B50" s="0" t="n">
        <v>5</v>
      </c>
      <c r="C50" s="0" t="s">
        <v>61</v>
      </c>
      <c r="F50" s="10" t="s">
        <v>33</v>
      </c>
    </row>
    <row r="52" customFormat="false" ht="15" hidden="false" customHeight="false" outlineLevel="0" collapsed="false">
      <c r="B52" s="8" t="s">
        <v>62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27</v>
      </c>
      <c r="C53" s="9" t="s">
        <v>28</v>
      </c>
      <c r="D53" s="9" t="s">
        <v>29</v>
      </c>
      <c r="E53" s="9" t="s">
        <v>30</v>
      </c>
      <c r="F53" s="9" t="s">
        <v>31</v>
      </c>
    </row>
    <row r="54" customFormat="false" ht="15" hidden="false" customHeight="false" outlineLevel="0" collapsed="false">
      <c r="B54" s="0" t="n">
        <v>1</v>
      </c>
      <c r="C54" s="0" t="s">
        <v>63</v>
      </c>
      <c r="F54" s="10" t="s">
        <v>33</v>
      </c>
    </row>
    <row r="55" customFormat="false" ht="15" hidden="false" customHeight="false" outlineLevel="0" collapsed="false">
      <c r="B55" s="0" t="n">
        <v>2</v>
      </c>
      <c r="C55" s="0" t="s">
        <v>64</v>
      </c>
      <c r="F55" s="10" t="s">
        <v>33</v>
      </c>
    </row>
    <row r="56" customFormat="false" ht="15" hidden="false" customHeight="false" outlineLevel="0" collapsed="false">
      <c r="B56" s="0" t="n">
        <v>3</v>
      </c>
      <c r="C56" s="0" t="s">
        <v>65</v>
      </c>
      <c r="F56" s="10" t="s">
        <v>33</v>
      </c>
    </row>
    <row r="57" customFormat="false" ht="15" hidden="false" customHeight="false" outlineLevel="0" collapsed="false">
      <c r="B57" s="0" t="n">
        <v>4</v>
      </c>
      <c r="C57" s="0" t="s">
        <v>66</v>
      </c>
      <c r="F57" s="10" t="s">
        <v>33</v>
      </c>
    </row>
    <row r="58" customFormat="false" ht="15" hidden="false" customHeight="false" outlineLevel="0" collapsed="false">
      <c r="B58" s="0" t="n">
        <v>5</v>
      </c>
      <c r="C58" s="0" t="s">
        <v>67</v>
      </c>
      <c r="F58" s="10" t="s">
        <v>33</v>
      </c>
    </row>
    <row r="60" customFormat="false" ht="15" hidden="false" customHeight="false" outlineLevel="0" collapsed="false">
      <c r="B60" s="8" t="s">
        <v>68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69</v>
      </c>
      <c r="C61" s="9" t="s">
        <v>70</v>
      </c>
      <c r="D61" s="9" t="s">
        <v>71</v>
      </c>
      <c r="E61" s="9" t="s">
        <v>72</v>
      </c>
      <c r="F61" s="9" t="s">
        <v>73</v>
      </c>
    </row>
    <row r="62" customFormat="false" ht="15" hidden="false" customHeight="false" outlineLevel="0" collapsed="false">
      <c r="B62" s="0" t="s">
        <v>74</v>
      </c>
      <c r="C62" s="0" t="s">
        <v>75</v>
      </c>
      <c r="D62" s="0" t="s">
        <v>76</v>
      </c>
      <c r="E62" s="0" t="s">
        <v>77</v>
      </c>
    </row>
    <row r="63" customFormat="false" ht="15" hidden="false" customHeight="false" outlineLevel="0" collapsed="false">
      <c r="B63" s="0" t="s">
        <v>78</v>
      </c>
      <c r="C63" s="0" t="s">
        <v>79</v>
      </c>
      <c r="D63" s="0" t="s">
        <v>80</v>
      </c>
      <c r="E63" s="0" t="s">
        <v>77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81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82</v>
      </c>
      <c r="C4" s="9" t="s">
        <v>83</v>
      </c>
      <c r="D4" s="9" t="s">
        <v>84</v>
      </c>
      <c r="E4" s="9" t="s">
        <v>85</v>
      </c>
      <c r="F4" s="9" t="s">
        <v>86</v>
      </c>
      <c r="G4" s="9" t="s">
        <v>87</v>
      </c>
      <c r="H4" s="9" t="s">
        <v>31</v>
      </c>
      <c r="I4" s="9" t="s">
        <v>88</v>
      </c>
    </row>
    <row r="5" customFormat="false" ht="15" hidden="false" customHeight="false" outlineLevel="0" collapsed="false">
      <c r="D5" s="0" t="s">
        <v>57</v>
      </c>
      <c r="H5" s="10" t="s">
        <v>33</v>
      </c>
    </row>
    <row r="6" customFormat="false" ht="15" hidden="false" customHeight="false" outlineLevel="0" collapsed="false">
      <c r="D6" s="0" t="s">
        <v>58</v>
      </c>
      <c r="H6" s="10" t="s">
        <v>33</v>
      </c>
    </row>
    <row r="7" customFormat="false" ht="15" hidden="false" customHeight="false" outlineLevel="0" collapsed="false">
      <c r="D7" s="0" t="s">
        <v>59</v>
      </c>
      <c r="H7" s="10" t="s">
        <v>33</v>
      </c>
    </row>
    <row r="8" customFormat="false" ht="15" hidden="false" customHeight="false" outlineLevel="0" collapsed="false">
      <c r="D8" s="0" t="s">
        <v>60</v>
      </c>
      <c r="H8" s="10" t="s">
        <v>33</v>
      </c>
    </row>
    <row r="9" customFormat="false" ht="15" hidden="false" customHeight="false" outlineLevel="0" collapsed="false">
      <c r="D9" s="0" t="s">
        <v>61</v>
      </c>
      <c r="H9" s="10" t="s">
        <v>33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89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90</v>
      </c>
      <c r="C4" s="9" t="s">
        <v>91</v>
      </c>
      <c r="D4" s="9" t="s">
        <v>92</v>
      </c>
      <c r="E4" s="9" t="s">
        <v>93</v>
      </c>
      <c r="F4" s="9" t="s">
        <v>94</v>
      </c>
      <c r="G4" s="9" t="s">
        <v>29</v>
      </c>
      <c r="H4" s="9" t="s">
        <v>95</v>
      </c>
      <c r="I4" s="9" t="s">
        <v>96</v>
      </c>
      <c r="J4" s="9" t="s">
        <v>31</v>
      </c>
    </row>
    <row r="5" customFormat="false" ht="15" hidden="false" customHeight="false" outlineLevel="0" collapsed="false">
      <c r="B5" s="0" t="s">
        <v>97</v>
      </c>
      <c r="C5" s="0" t="s">
        <v>98</v>
      </c>
      <c r="D5" s="0" t="s">
        <v>99</v>
      </c>
      <c r="J5" s="10" t="s">
        <v>100</v>
      </c>
    </row>
    <row r="6" customFormat="false" ht="15" hidden="false" customHeight="false" outlineLevel="0" collapsed="false">
      <c r="B6" s="0" t="s">
        <v>101</v>
      </c>
      <c r="C6" s="0" t="s">
        <v>98</v>
      </c>
      <c r="D6" s="0" t="s">
        <v>102</v>
      </c>
      <c r="J6" s="10" t="s">
        <v>100</v>
      </c>
    </row>
    <row r="7" customFormat="false" ht="15" hidden="false" customHeight="false" outlineLevel="0" collapsed="false">
      <c r="B7" s="0" t="s">
        <v>103</v>
      </c>
      <c r="C7" s="0" t="s">
        <v>104</v>
      </c>
      <c r="D7" s="0" t="s">
        <v>105</v>
      </c>
      <c r="J7" s="10" t="s">
        <v>100</v>
      </c>
    </row>
    <row r="8" customFormat="false" ht="15" hidden="false" customHeight="false" outlineLevel="0" collapsed="false">
      <c r="B8" s="0" t="s">
        <v>106</v>
      </c>
      <c r="C8" s="0" t="s">
        <v>107</v>
      </c>
      <c r="D8" s="0" t="s">
        <v>108</v>
      </c>
      <c r="J8" s="10" t="s">
        <v>100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7" min="3" style="0" width="14"/>
  </cols>
  <sheetData>
    <row r="2" customFormat="false" ht="19.7" hidden="false" customHeight="false" outlineLevel="0" collapsed="false">
      <c r="B2" s="1" t="s">
        <v>109</v>
      </c>
    </row>
    <row r="4" customFormat="false" ht="15" hidden="false" customHeight="false" outlineLevel="0" collapsed="false">
      <c r="A4" s="11"/>
      <c r="B4" s="11" t="s">
        <v>110</v>
      </c>
      <c r="C4" s="11" t="s">
        <v>111</v>
      </c>
      <c r="D4" s="11" t="s">
        <v>112</v>
      </c>
      <c r="E4" s="11" t="s">
        <v>113</v>
      </c>
      <c r="F4" s="11" t="s">
        <v>114</v>
      </c>
      <c r="G4" s="11" t="s">
        <v>115</v>
      </c>
    </row>
    <row r="5" customFormat="false" ht="15" hidden="false" customHeight="false" outlineLevel="0" collapsed="false">
      <c r="B5" s="12" t="s">
        <v>116</v>
      </c>
      <c r="C5" s="13" t="n">
        <v>0</v>
      </c>
      <c r="D5" s="14" t="str">
        <f aca="false">IFERROR(C5/$C$11,"-")</f>
        <v>-</v>
      </c>
      <c r="E5" s="15" t="n">
        <v>0</v>
      </c>
      <c r="F5" s="16" t="n">
        <f aca="false">C5*E5</f>
        <v>0</v>
      </c>
      <c r="G5" s="3" t="s">
        <v>117</v>
      </c>
    </row>
    <row r="6" customFormat="false" ht="15" hidden="false" customHeight="false" outlineLevel="0" collapsed="false">
      <c r="B6" s="12" t="s">
        <v>118</v>
      </c>
      <c r="C6" s="13" t="n">
        <v>0</v>
      </c>
      <c r="D6" s="14" t="str">
        <f aca="false">IFERROR(C6/$C$11,"-")</f>
        <v>-</v>
      </c>
      <c r="E6" s="15" t="n">
        <v>0</v>
      </c>
      <c r="F6" s="16" t="n">
        <f aca="false">C6*E6</f>
        <v>0</v>
      </c>
      <c r="G6" s="3" t="s">
        <v>117</v>
      </c>
    </row>
    <row r="7" customFormat="false" ht="15" hidden="false" customHeight="false" outlineLevel="0" collapsed="false">
      <c r="B7" s="12" t="s">
        <v>119</v>
      </c>
      <c r="C7" s="13" t="n">
        <v>0</v>
      </c>
      <c r="D7" s="14" t="str">
        <f aca="false">IFERROR(C7/$C$11,"-")</f>
        <v>-</v>
      </c>
      <c r="E7" s="15" t="n">
        <v>0</v>
      </c>
      <c r="F7" s="16" t="n">
        <f aca="false">C7*E7</f>
        <v>0</v>
      </c>
      <c r="G7" s="3" t="s">
        <v>117</v>
      </c>
    </row>
    <row r="8" customFormat="false" ht="15" hidden="false" customHeight="false" outlineLevel="0" collapsed="false">
      <c r="B8" s="12" t="s">
        <v>120</v>
      </c>
      <c r="C8" s="13" t="n">
        <v>0</v>
      </c>
      <c r="D8" s="14" t="str">
        <f aca="false">IFERROR(C8/$C$11,"-")</f>
        <v>-</v>
      </c>
      <c r="E8" s="15" t="n">
        <v>0</v>
      </c>
      <c r="F8" s="16" t="n">
        <f aca="false">C8*E8</f>
        <v>0</v>
      </c>
      <c r="G8" s="3" t="s">
        <v>117</v>
      </c>
    </row>
    <row r="9" customFormat="false" ht="15" hidden="false" customHeight="false" outlineLevel="0" collapsed="false">
      <c r="B9" s="12" t="s">
        <v>121</v>
      </c>
      <c r="C9" s="13" t="n">
        <v>0</v>
      </c>
      <c r="D9" s="14" t="str">
        <f aca="false">IFERROR(C9/$C$11,"-")</f>
        <v>-</v>
      </c>
      <c r="E9" s="15" t="n">
        <v>0</v>
      </c>
      <c r="F9" s="16" t="n">
        <f aca="false">C9*E9</f>
        <v>0</v>
      </c>
      <c r="G9" s="3" t="s">
        <v>117</v>
      </c>
    </row>
    <row r="10" customFormat="false" ht="15" hidden="false" customHeight="false" outlineLevel="0" collapsed="false">
      <c r="B10" s="12" t="s">
        <v>122</v>
      </c>
      <c r="C10" s="13" t="n">
        <v>0</v>
      </c>
      <c r="D10" s="14" t="str">
        <f aca="false">IFERROR(C10/$C$11,"-")</f>
        <v>-</v>
      </c>
      <c r="E10" s="15" t="n">
        <v>0</v>
      </c>
      <c r="F10" s="16" t="n">
        <f aca="false">C10*E10</f>
        <v>0</v>
      </c>
      <c r="G10" s="3" t="s">
        <v>117</v>
      </c>
    </row>
    <row r="11" customFormat="false" ht="15" hidden="false" customHeight="false" outlineLevel="0" collapsed="false">
      <c r="B11" s="2" t="s">
        <v>123</v>
      </c>
      <c r="C11" s="17" t="n">
        <f aca="false">SUM(C5:C10)</f>
        <v>0</v>
      </c>
      <c r="F11" s="18" t="n">
        <f aca="false">SUM(F5:F10)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4"/>
    <col collapsed="false" customWidth="true" hidden="false" outlineLevel="0" max="5" min="5" style="0" width="26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124</v>
      </c>
    </row>
    <row r="4" customFormat="false" ht="15" hidden="false" customHeight="false" outlineLevel="0" collapsed="false">
      <c r="B4" s="19" t="s">
        <v>125</v>
      </c>
      <c r="E4" s="19" t="s">
        <v>126</v>
      </c>
    </row>
    <row r="5" customFormat="false" ht="15" hidden="false" customHeight="false" outlineLevel="0" collapsed="false">
      <c r="B5" s="12" t="s">
        <v>127</v>
      </c>
      <c r="C5" s="20" t="n">
        <v>0</v>
      </c>
      <c r="E5" s="10" t="s">
        <v>128</v>
      </c>
      <c r="F5" s="16" t="n">
        <f aca="false">C5+C6</f>
        <v>0</v>
      </c>
    </row>
    <row r="6" customFormat="false" ht="15" hidden="false" customHeight="false" outlineLevel="0" collapsed="false">
      <c r="B6" s="12" t="s">
        <v>129</v>
      </c>
      <c r="C6" s="20" t="n">
        <v>0</v>
      </c>
      <c r="E6" s="10" t="s">
        <v>130</v>
      </c>
      <c r="F6" s="21" t="str">
        <f aca="false">IFERROR(C5/C8,"-")</f>
        <v>-</v>
      </c>
    </row>
    <row r="7" customFormat="false" ht="15" hidden="false" customHeight="false" outlineLevel="0" collapsed="false">
      <c r="B7" s="12" t="s">
        <v>131</v>
      </c>
      <c r="C7" s="22" t="n">
        <v>0</v>
      </c>
      <c r="E7" s="10" t="s">
        <v>132</v>
      </c>
      <c r="F7" s="23" t="str">
        <f aca="false">IFERROR(C6/F6,"-")</f>
        <v>-</v>
      </c>
    </row>
    <row r="8" customFormat="false" ht="15" hidden="false" customHeight="false" outlineLevel="0" collapsed="false">
      <c r="B8" s="12" t="s">
        <v>133</v>
      </c>
      <c r="C8" s="24" t="n">
        <v>0</v>
      </c>
      <c r="E8" s="10" t="s">
        <v>134</v>
      </c>
      <c r="F8" s="23" t="str">
        <f aca="false">IFERROR(C7*(C8+F7),"-")</f>
        <v>-</v>
      </c>
    </row>
    <row r="9" customFormat="false" ht="15" hidden="false" customHeight="false" outlineLevel="0" collapsed="false">
      <c r="E9" s="0" t="s">
        <v>135</v>
      </c>
      <c r="F9" s="25" t="str">
        <f aca="false">IFERROR(C8+F7+F8,"-")</f>
        <v>-</v>
      </c>
    </row>
    <row r="10" customFormat="false" ht="15" hidden="false" customHeight="false" outlineLevel="0" collapsed="false">
      <c r="E10" s="0" t="s">
        <v>136</v>
      </c>
      <c r="F10" s="26" t="str">
        <f aca="false">IFERROR(F7/F9,"-")</f>
        <v>-</v>
      </c>
    </row>
    <row r="11" customFormat="false" ht="15" hidden="false" customHeight="false" outlineLevel="0" collapsed="false">
      <c r="E11" s="0" t="s">
        <v>137</v>
      </c>
      <c r="F11" s="26" t="str">
        <f aca="false">IFERROR(1-C8/F9,"-")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28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138</v>
      </c>
    </row>
    <row r="4" customFormat="false" ht="15" hidden="false" customHeight="false" outlineLevel="0" collapsed="false">
      <c r="B4" s="19" t="s">
        <v>139</v>
      </c>
      <c r="E4" s="19" t="s">
        <v>140</v>
      </c>
    </row>
    <row r="5" customFormat="false" ht="15" hidden="false" customHeight="false" outlineLevel="0" collapsed="false">
      <c r="B5" s="12" t="s">
        <v>141</v>
      </c>
      <c r="C5" s="20" t="n">
        <v>0</v>
      </c>
      <c r="E5" s="10" t="s">
        <v>142</v>
      </c>
      <c r="F5" s="27" t="str">
        <f aca="false">'Round Modeling'!F6</f>
        <v>-</v>
      </c>
    </row>
    <row r="6" customFormat="false" ht="15" hidden="false" customHeight="false" outlineLevel="0" collapsed="false">
      <c r="B6" s="12" t="s">
        <v>143</v>
      </c>
      <c r="C6" s="20" t="n">
        <v>0</v>
      </c>
      <c r="E6" s="10" t="s">
        <v>144</v>
      </c>
      <c r="F6" s="21" t="str">
        <f aca="false">IFERROR(C6/'Round Modeling'!C8,"-")</f>
        <v>-</v>
      </c>
    </row>
    <row r="7" customFormat="false" ht="15" hidden="false" customHeight="false" outlineLevel="0" collapsed="false">
      <c r="B7" s="12" t="s">
        <v>145</v>
      </c>
      <c r="C7" s="22" t="n">
        <v>0</v>
      </c>
      <c r="E7" s="10" t="s">
        <v>146</v>
      </c>
      <c r="F7" s="21" t="str">
        <f aca="false">IFERROR(F5*(1-C7),"-")</f>
        <v>-</v>
      </c>
    </row>
    <row r="8" customFormat="false" ht="15" hidden="false" customHeight="false" outlineLevel="0" collapsed="false">
      <c r="E8" s="0" t="s">
        <v>147</v>
      </c>
      <c r="F8" s="28" t="n">
        <f aca="false">IFERROR(MIN(IF(ISNUMBER(F5),F5,9E+099),IF(ISNUMBER(F6),F6,9E+099),IF(ISNUMBER(F7),F7,9E+099)),"-")</f>
        <v>9E+099</v>
      </c>
    </row>
    <row r="9" customFormat="false" ht="15" hidden="false" customHeight="false" outlineLevel="0" collapsed="false">
      <c r="E9" s="0" t="s">
        <v>148</v>
      </c>
      <c r="F9" s="25" t="n">
        <f aca="false">IFERROR(C5/F8,"-")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20"/>
  </cols>
  <sheetData>
    <row r="2" customFormat="false" ht="19.7" hidden="false" customHeight="false" outlineLevel="0" collapsed="false">
      <c r="B2" s="1" t="s">
        <v>149</v>
      </c>
    </row>
    <row r="4" customFormat="false" ht="15" hidden="false" customHeight="false" outlineLevel="0" collapsed="false">
      <c r="A4" s="11"/>
      <c r="B4" s="11" t="s">
        <v>150</v>
      </c>
      <c r="C4" s="11" t="s">
        <v>151</v>
      </c>
      <c r="D4" s="11" t="s">
        <v>82</v>
      </c>
      <c r="E4" s="11" t="s">
        <v>152</v>
      </c>
      <c r="F4" s="11" t="s">
        <v>153</v>
      </c>
      <c r="G4" s="10" t="s">
        <v>154</v>
      </c>
    </row>
    <row r="5" customFormat="false" ht="15" hidden="false" customHeight="false" outlineLevel="0" collapsed="false">
      <c r="B5" s="29" t="s">
        <v>2</v>
      </c>
      <c r="C5" s="29" t="s">
        <v>2</v>
      </c>
      <c r="D5" s="29" t="s">
        <v>2</v>
      </c>
      <c r="E5" s="30" t="n">
        <v>0</v>
      </c>
      <c r="F5" s="30" t="n">
        <v>0</v>
      </c>
      <c r="G5" s="29" t="s">
        <v>2</v>
      </c>
    </row>
    <row r="6" customFormat="false" ht="15" hidden="false" customHeight="false" outlineLevel="0" collapsed="false">
      <c r="B6" s="29" t="s">
        <v>2</v>
      </c>
      <c r="C6" s="29" t="s">
        <v>2</v>
      </c>
      <c r="D6" s="29" t="s">
        <v>2</v>
      </c>
      <c r="E6" s="30" t="n">
        <v>0</v>
      </c>
      <c r="F6" s="30" t="n">
        <v>0</v>
      </c>
      <c r="G6" s="29" t="s">
        <v>2</v>
      </c>
    </row>
    <row r="7" customFormat="false" ht="15" hidden="false" customHeight="false" outlineLevel="0" collapsed="false">
      <c r="B7" s="29" t="s">
        <v>2</v>
      </c>
      <c r="C7" s="29" t="s">
        <v>2</v>
      </c>
      <c r="D7" s="29" t="s">
        <v>2</v>
      </c>
      <c r="E7" s="30" t="n">
        <v>0</v>
      </c>
      <c r="F7" s="30" t="n">
        <v>0</v>
      </c>
      <c r="G7" s="29" t="s">
        <v>2</v>
      </c>
    </row>
    <row r="8" customFormat="false" ht="15" hidden="false" customHeight="false" outlineLevel="0" collapsed="false">
      <c r="B8" s="29" t="s">
        <v>2</v>
      </c>
      <c r="C8" s="29" t="s">
        <v>2</v>
      </c>
      <c r="D8" s="29" t="s">
        <v>2</v>
      </c>
      <c r="E8" s="30" t="n">
        <v>0</v>
      </c>
      <c r="F8" s="30" t="n">
        <v>0</v>
      </c>
      <c r="G8" s="29" t="s">
        <v>2</v>
      </c>
    </row>
    <row r="9" customFormat="false" ht="15" hidden="false" customHeight="false" outlineLevel="0" collapsed="false">
      <c r="B9" s="29" t="s">
        <v>2</v>
      </c>
      <c r="C9" s="29" t="s">
        <v>2</v>
      </c>
      <c r="D9" s="29" t="s">
        <v>2</v>
      </c>
      <c r="E9" s="30" t="n">
        <v>0</v>
      </c>
      <c r="F9" s="30" t="n">
        <v>0</v>
      </c>
      <c r="G9" s="29" t="s">
        <v>2</v>
      </c>
    </row>
    <row r="10" customFormat="false" ht="15" hidden="false" customHeight="false" outlineLevel="0" collapsed="false">
      <c r="B10" s="29" t="s">
        <v>2</v>
      </c>
      <c r="C10" s="29" t="s">
        <v>2</v>
      </c>
      <c r="D10" s="29" t="s">
        <v>2</v>
      </c>
      <c r="E10" s="30" t="n">
        <v>0</v>
      </c>
      <c r="F10" s="30" t="n">
        <v>0</v>
      </c>
      <c r="G10" s="29" t="s">
        <v>2</v>
      </c>
    </row>
    <row r="11" customFormat="false" ht="15" hidden="false" customHeight="false" outlineLevel="0" collapsed="false">
      <c r="B11" s="29" t="s">
        <v>2</v>
      </c>
      <c r="C11" s="29" t="s">
        <v>2</v>
      </c>
      <c r="D11" s="29" t="s">
        <v>2</v>
      </c>
      <c r="E11" s="30" t="n">
        <v>0</v>
      </c>
      <c r="F11" s="30" t="n">
        <v>0</v>
      </c>
      <c r="G11" s="29" t="s">
        <v>2</v>
      </c>
    </row>
    <row r="12" customFormat="false" ht="15" hidden="false" customHeight="false" outlineLevel="0" collapsed="false">
      <c r="B12" s="29" t="s">
        <v>2</v>
      </c>
      <c r="C12" s="29" t="s">
        <v>2</v>
      </c>
      <c r="D12" s="29" t="s">
        <v>2</v>
      </c>
      <c r="E12" s="30" t="n">
        <v>0</v>
      </c>
      <c r="F12" s="30" t="n">
        <v>0</v>
      </c>
      <c r="G12" s="29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155</v>
      </c>
    </row>
    <row r="4" customFormat="false" ht="15" hidden="false" customHeight="false" outlineLevel="0" collapsed="false">
      <c r="B4" s="11" t="s">
        <v>82</v>
      </c>
      <c r="C4" s="11" t="s">
        <v>156</v>
      </c>
      <c r="D4" s="11" t="s">
        <v>157</v>
      </c>
      <c r="E4" s="11" t="s">
        <v>158</v>
      </c>
      <c r="F4" s="11" t="s">
        <v>159</v>
      </c>
    </row>
    <row r="5" customFormat="false" ht="15" hidden="false" customHeight="false" outlineLevel="0" collapsed="false">
      <c r="B5" s="31" t="s">
        <v>6</v>
      </c>
      <c r="C5" s="31" t="s">
        <v>160</v>
      </c>
      <c r="D5" s="31" t="s">
        <v>161</v>
      </c>
      <c r="E5" s="31" t="s">
        <v>162</v>
      </c>
      <c r="F5" s="31" t="s">
        <v>163</v>
      </c>
    </row>
    <row r="6" customFormat="false" ht="15" hidden="false" customHeight="false" outlineLevel="0" collapsed="false">
      <c r="B6" s="31"/>
      <c r="C6" s="31"/>
      <c r="D6" s="31"/>
      <c r="E6" s="31"/>
      <c r="F6" s="31"/>
    </row>
    <row r="7" customFormat="false" ht="15" hidden="false" customHeight="false" outlineLevel="0" collapsed="false">
      <c r="B7" s="31"/>
      <c r="C7" s="31"/>
      <c r="D7" s="31"/>
      <c r="E7" s="31"/>
      <c r="F7" s="31"/>
    </row>
    <row r="8" customFormat="false" ht="15" hidden="false" customHeight="false" outlineLevel="0" collapsed="false">
      <c r="B8" s="31"/>
      <c r="C8" s="31"/>
      <c r="D8" s="31"/>
      <c r="E8" s="31"/>
      <c r="F8" s="31"/>
    </row>
    <row r="9" customFormat="false" ht="15" hidden="false" customHeight="false" outlineLevel="0" collapsed="false">
      <c r="B9" s="31"/>
      <c r="C9" s="31"/>
      <c r="D9" s="31"/>
      <c r="E9" s="31"/>
      <c r="F9" s="31"/>
    </row>
    <row r="10" customFormat="false" ht="15" hidden="false" customHeight="false" outlineLevel="0" collapsed="false">
      <c r="B10" s="31"/>
      <c r="C10" s="31"/>
      <c r="D10" s="31"/>
      <c r="E10" s="31"/>
      <c r="F10" s="31"/>
    </row>
    <row r="11" customFormat="false" ht="15" hidden="false" customHeight="false" outlineLevel="0" collapsed="false">
      <c r="B11" s="31"/>
      <c r="C11" s="31"/>
      <c r="D11" s="31"/>
      <c r="E11" s="31"/>
      <c r="F11" s="31"/>
    </row>
    <row r="12" customFormat="false" ht="15" hidden="false" customHeight="false" outlineLevel="0" collapsed="false">
      <c r="B12" s="31"/>
      <c r="C12" s="31"/>
      <c r="D12" s="31"/>
      <c r="E12" s="31"/>
      <c r="F12" s="31"/>
    </row>
    <row r="13" customFormat="false" ht="15" hidden="false" customHeight="false" outlineLevel="0" collapsed="false">
      <c r="B13" s="31"/>
      <c r="C13" s="31"/>
      <c r="D13" s="31"/>
      <c r="E13" s="31"/>
      <c r="F13" s="31"/>
    </row>
    <row r="14" customFormat="false" ht="15" hidden="false" customHeight="false" outlineLevel="0" collapsed="false">
      <c r="B14" s="31"/>
      <c r="C14" s="31"/>
      <c r="D14" s="31"/>
      <c r="E14" s="31"/>
      <c r="F14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164</v>
      </c>
    </row>
    <row r="4" customFormat="false" ht="15" hidden="false" customHeight="false" outlineLevel="0" collapsed="false">
      <c r="B4" s="11" t="s">
        <v>165</v>
      </c>
      <c r="C4" s="11" t="s">
        <v>166</v>
      </c>
      <c r="D4" s="11" t="s">
        <v>167</v>
      </c>
      <c r="E4" s="11" t="s">
        <v>168</v>
      </c>
    </row>
    <row r="5" customFormat="false" ht="15" hidden="false" customHeight="false" outlineLevel="0" collapsed="false">
      <c r="B5" s="0" t="s">
        <v>169</v>
      </c>
      <c r="C5" s="20" t="n">
        <v>80</v>
      </c>
      <c r="D5" s="20" t="n">
        <v>80</v>
      </c>
    </row>
    <row r="6" customFormat="false" ht="15" hidden="false" customHeight="false" outlineLevel="0" collapsed="false">
      <c r="B6" s="0" t="s">
        <v>170</v>
      </c>
      <c r="C6" s="20" t="n">
        <v>20</v>
      </c>
      <c r="D6" s="20" t="n">
        <v>20</v>
      </c>
    </row>
    <row r="7" customFormat="false" ht="15" hidden="false" customHeight="false" outlineLevel="0" collapsed="false">
      <c r="B7" s="0" t="s">
        <v>171</v>
      </c>
      <c r="C7" s="24" t="n">
        <v>8</v>
      </c>
      <c r="D7" s="24" t="n">
        <v>8</v>
      </c>
    </row>
    <row r="8" customFormat="false" ht="15" hidden="false" customHeight="false" outlineLevel="0" collapsed="false">
      <c r="B8" s="0" t="s">
        <v>172</v>
      </c>
      <c r="C8" s="24" t="n">
        <v>2</v>
      </c>
      <c r="D8" s="24" t="n">
        <v>2</v>
      </c>
    </row>
    <row r="9" customFormat="false" ht="15" hidden="false" customHeight="false" outlineLevel="0" collapsed="false">
      <c r="B9" s="0" t="s">
        <v>173</v>
      </c>
      <c r="C9" s="24" t="n">
        <v>0</v>
      </c>
      <c r="D9" s="24" t="n">
        <v>0</v>
      </c>
    </row>
    <row r="10" customFormat="false" ht="15" hidden="false" customHeight="false" outlineLevel="0" collapsed="false">
      <c r="B10" s="0" t="s">
        <v>174</v>
      </c>
      <c r="C10" s="22" t="n">
        <v>0.4</v>
      </c>
      <c r="D10" s="22" t="n">
        <v>0.4</v>
      </c>
    </row>
    <row r="11" customFormat="false" ht="15" hidden="false" customHeight="false" outlineLevel="0" collapsed="false">
      <c r="B11" s="0" t="s">
        <v>175</v>
      </c>
      <c r="C11" s="22" t="n">
        <v>0.2</v>
      </c>
      <c r="D11" s="22" t="n">
        <v>0.2</v>
      </c>
    </row>
    <row r="15" customFormat="false" ht="15" hidden="false" customHeight="false" outlineLevel="0" collapsed="false">
      <c r="B15" s="0" t="s">
        <v>176</v>
      </c>
      <c r="C15" s="16" t="n">
        <f aca="false">C5+C6</f>
        <v>100</v>
      </c>
      <c r="D15" s="16" t="n">
        <f aca="false">D5+D6</f>
        <v>100</v>
      </c>
    </row>
    <row r="16" customFormat="false" ht="15" hidden="false" customHeight="false" outlineLevel="0" collapsed="false">
      <c r="B16" s="0" t="s">
        <v>177</v>
      </c>
      <c r="C16" s="16" t="n">
        <f aca="false">C7+C8+C9</f>
        <v>10</v>
      </c>
      <c r="D16" s="16" t="n">
        <f aca="false">D7+D8+D9</f>
        <v>10</v>
      </c>
    </row>
    <row r="17" customFormat="false" ht="15" hidden="false" customHeight="false" outlineLevel="0" collapsed="false">
      <c r="B17" s="0" t="s">
        <v>178</v>
      </c>
      <c r="C17" s="26" t="n">
        <f aca="false">IFERROR(C8/C16,0)</f>
        <v>0.2</v>
      </c>
      <c r="D17" s="26" t="n">
        <f aca="false">IFERROR(D8/D16,0)</f>
        <v>0.2</v>
      </c>
    </row>
    <row r="18" customFormat="false" ht="15" hidden="false" customHeight="false" outlineLevel="0" collapsed="false">
      <c r="B18" s="0" t="s">
        <v>179</v>
      </c>
      <c r="C18" s="26" t="n">
        <f aca="false">IFERROR(C7/C16,0)</f>
        <v>0.8</v>
      </c>
      <c r="D18" s="26" t="n">
        <f aca="false">IFERROR(D7/D16,0)</f>
        <v>0.8</v>
      </c>
    </row>
    <row r="19" customFormat="false" ht="15" hidden="false" customHeight="false" outlineLevel="0" collapsed="false">
      <c r="B19" s="0" t="s">
        <v>180</v>
      </c>
      <c r="C19" s="26" t="n">
        <f aca="false">IFERROR(C9/C16,0)</f>
        <v>0</v>
      </c>
      <c r="D19" s="26" t="n">
        <f aca="false">IFERROR(D9/D16,0)</f>
        <v>0</v>
      </c>
    </row>
    <row r="20" customFormat="false" ht="15" hidden="false" customHeight="false" outlineLevel="0" collapsed="false">
      <c r="B20" s="0" t="s">
        <v>181</v>
      </c>
      <c r="C20" s="16" t="n">
        <f aca="false">IFERROR(C6/C8,0)</f>
        <v>10</v>
      </c>
      <c r="D20" s="16" t="n">
        <f aca="false">IFERROR(D6/D8,0)</f>
        <v>10</v>
      </c>
    </row>
    <row r="21" customFormat="false" ht="15" hidden="false" customHeight="false" outlineLevel="0" collapsed="false">
      <c r="B21" s="0" t="s">
        <v>182</v>
      </c>
      <c r="C21" s="16" t="n">
        <f aca="false">IFERROR(C5/C7,0)</f>
        <v>10</v>
      </c>
      <c r="D21" s="16" t="n">
        <f aca="false">IFERROR(D5/D7,0)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183</v>
      </c>
    </row>
    <row r="4" customFormat="false" ht="15" hidden="false" customHeight="false" outlineLevel="0" collapsed="false">
      <c r="B4" s="11" t="s">
        <v>165</v>
      </c>
      <c r="C4" s="11" t="s">
        <v>166</v>
      </c>
      <c r="D4" s="11" t="s">
        <v>167</v>
      </c>
      <c r="E4" s="11" t="s">
        <v>168</v>
      </c>
    </row>
    <row r="5" customFormat="false" ht="15" hidden="false" customHeight="false" outlineLevel="0" collapsed="false">
      <c r="B5" s="0" t="s">
        <v>184</v>
      </c>
      <c r="C5" s="20" t="n">
        <v>10</v>
      </c>
      <c r="D5" s="20" t="n">
        <v>10</v>
      </c>
    </row>
    <row r="6" customFormat="false" ht="15" hidden="false" customHeight="false" outlineLevel="0" collapsed="false">
      <c r="B6" s="0" t="s">
        <v>185</v>
      </c>
      <c r="C6" s="20" t="n">
        <v>15</v>
      </c>
      <c r="D6" s="20" t="n">
        <v>15</v>
      </c>
    </row>
    <row r="7" customFormat="false" ht="15" hidden="false" customHeight="false" outlineLevel="0" collapsed="false">
      <c r="B7" s="0" t="s">
        <v>186</v>
      </c>
      <c r="C7" s="22" t="n">
        <v>0.2</v>
      </c>
      <c r="D7" s="22" t="n">
        <v>0.2</v>
      </c>
    </row>
    <row r="8" customFormat="false" ht="15" hidden="false" customHeight="false" outlineLevel="0" collapsed="false">
      <c r="B8" s="0" t="s">
        <v>187</v>
      </c>
      <c r="C8" s="20" t="n">
        <v>40</v>
      </c>
      <c r="D8" s="20" t="n">
        <v>60</v>
      </c>
    </row>
    <row r="11" customFormat="false" ht="15" hidden="false" customHeight="false" outlineLevel="0" collapsed="false">
      <c r="B11" s="0" t="s">
        <v>188</v>
      </c>
      <c r="C11" s="16" t="n">
        <f aca="false">MAX(0,C5-C6)</f>
        <v>0</v>
      </c>
      <c r="D11" s="16" t="n">
        <f aca="false">MAX(0,D5-D6)</f>
        <v>0</v>
      </c>
    </row>
    <row r="12" customFormat="false" ht="15" hidden="false" customHeight="false" outlineLevel="0" collapsed="false">
      <c r="B12" s="0" t="s">
        <v>189</v>
      </c>
      <c r="C12" s="16" t="n">
        <f aca="false">C7*C8</f>
        <v>8</v>
      </c>
      <c r="D12" s="16" t="n">
        <f aca="false">D7*D8</f>
        <v>12</v>
      </c>
    </row>
    <row r="13" customFormat="false" ht="15" hidden="false" customHeight="false" outlineLevel="0" collapsed="false">
      <c r="B13" s="0" t="s">
        <v>190</v>
      </c>
      <c r="C13" s="16" t="n">
        <f aca="false">MAX(0,C12-C6)</f>
        <v>0</v>
      </c>
      <c r="D13" s="16" t="n">
        <f aca="false">MAX(0,D12-D6)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191</v>
      </c>
    </row>
    <row r="4" customFormat="false" ht="15" hidden="false" customHeight="false" outlineLevel="0" collapsed="false">
      <c r="B4" s="11" t="s">
        <v>165</v>
      </c>
      <c r="C4" s="11" t="s">
        <v>166</v>
      </c>
      <c r="D4" s="11" t="s">
        <v>167</v>
      </c>
      <c r="E4" s="11" t="s">
        <v>168</v>
      </c>
    </row>
    <row r="5" customFormat="false" ht="15" hidden="false" customHeight="false" outlineLevel="0" collapsed="false">
      <c r="B5" s="0" t="s">
        <v>192</v>
      </c>
      <c r="C5" s="20" t="n">
        <v>500</v>
      </c>
      <c r="D5" s="20" t="n">
        <v>500</v>
      </c>
    </row>
    <row r="6" customFormat="false" ht="15" hidden="false" customHeight="false" outlineLevel="0" collapsed="false">
      <c r="B6" s="0" t="s">
        <v>193</v>
      </c>
      <c r="C6" s="20" t="n">
        <v>20</v>
      </c>
      <c r="D6" s="20" t="n">
        <v>20</v>
      </c>
    </row>
    <row r="7" customFormat="false" ht="15" hidden="false" customHeight="false" outlineLevel="0" collapsed="false">
      <c r="B7" s="0" t="s">
        <v>194</v>
      </c>
      <c r="C7" s="32" t="n">
        <v>3</v>
      </c>
      <c r="D7" s="32" t="n">
        <v>3</v>
      </c>
    </row>
    <row r="11" customFormat="false" ht="15" hidden="false" customHeight="false" outlineLevel="0" collapsed="false">
      <c r="B11" s="0" t="s">
        <v>178</v>
      </c>
      <c r="C11" s="26" t="n">
        <f aca="false">'Ownership &amp; Dilution'!C17</f>
        <v>0.2</v>
      </c>
      <c r="D11" s="26" t="n">
        <f aca="false">'Ownership &amp; Dilution'!D17</f>
        <v>0.2</v>
      </c>
    </row>
    <row r="12" customFormat="false" ht="15" hidden="false" customHeight="false" outlineLevel="0" collapsed="false">
      <c r="B12" s="0" t="s">
        <v>195</v>
      </c>
      <c r="C12" s="16" t="n">
        <f aca="false">C5*C11</f>
        <v>100</v>
      </c>
      <c r="D12" s="16" t="n">
        <f aca="false">D5*D11</f>
        <v>100</v>
      </c>
    </row>
    <row r="13" customFormat="false" ht="15" hidden="false" customHeight="false" outlineLevel="0" collapsed="false">
      <c r="B13" s="0" t="s">
        <v>196</v>
      </c>
      <c r="C13" s="33" t="n">
        <f aca="false">IFERROR(C12/C6,0)</f>
        <v>5</v>
      </c>
      <c r="D13" s="33" t="n">
        <f aca="false">IFERROR(D12/D6,0)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4"/>
  </cols>
  <sheetData>
    <row r="2" customFormat="false" ht="19.7" hidden="false" customHeight="false" outlineLevel="0" collapsed="false">
      <c r="B2" s="1" t="s">
        <v>197</v>
      </c>
    </row>
    <row r="4" customFormat="false" ht="15" hidden="false" customHeight="false" outlineLevel="0" collapsed="false">
      <c r="B4" s="11" t="s">
        <v>198</v>
      </c>
      <c r="C4" s="11" t="s">
        <v>165</v>
      </c>
      <c r="D4" s="11" t="s">
        <v>31</v>
      </c>
      <c r="E4" s="11" t="s">
        <v>199</v>
      </c>
    </row>
    <row r="5" customFormat="false" ht="15" hidden="false" customHeight="false" outlineLevel="0" collapsed="false">
      <c r="B5" s="0" t="s">
        <v>200</v>
      </c>
      <c r="C5" s="23" t="n">
        <f aca="false">'Ownership &amp; Dilution'!D15-'Ownership &amp; Dilution'!D5-'Ownership &amp; Dilution'!D6</f>
        <v>0</v>
      </c>
      <c r="D5" s="31" t="str">
        <f aca="false">IF(ABS(C5)&lt;0.01,"PASS","FAIL")</f>
        <v>PASS</v>
      </c>
      <c r="E5" s="10" t="s">
        <v>201</v>
      </c>
    </row>
    <row r="6" customFormat="false" ht="15" hidden="false" customHeight="false" outlineLevel="0" collapsed="false">
      <c r="B6" s="0" t="s">
        <v>202</v>
      </c>
      <c r="C6" s="23" t="n">
        <f aca="false">'Ownership &amp; Dilution'!D17+'Ownership &amp; Dilution'!D18+'Ownership &amp; Dilution'!D19-1</f>
        <v>0</v>
      </c>
      <c r="D6" s="31" t="str">
        <f aca="false">IF(ABS(C6)&lt;0.000001,"PASS","FAIL")</f>
        <v>PASS</v>
      </c>
      <c r="E6" s="10" t="s">
        <v>203</v>
      </c>
    </row>
    <row r="7" customFormat="false" ht="15" hidden="false" customHeight="false" outlineLevel="0" collapsed="false">
      <c r="B7" s="0" t="s">
        <v>204</v>
      </c>
      <c r="C7" s="23" t="n">
        <f aca="false">'Reserves &amp; Follow-ons'!D11</f>
        <v>0</v>
      </c>
      <c r="D7" s="31" t="str">
        <f aca="false">IF(C7=0,"PASS","BREACH")</f>
        <v>PASS</v>
      </c>
      <c r="E7" s="10" t="s">
        <v>205</v>
      </c>
    </row>
    <row r="8" customFormat="false" ht="15" hidden="false" customHeight="false" outlineLevel="0" collapsed="false">
      <c r="B8" s="0" t="s">
        <v>178</v>
      </c>
      <c r="C8" s="23" t="n">
        <f aca="false">'Ownership &amp; Dilution'!D17</f>
        <v>0.2</v>
      </c>
      <c r="D8" s="31" t="str">
        <f aca="false">IF(C8&lt;='Ownership &amp; Dilution'!D10,"PASS","BREACH")</f>
        <v>PASS</v>
      </c>
      <c r="E8" s="10" t="s">
        <v>206</v>
      </c>
    </row>
    <row r="9" customFormat="false" ht="15" hidden="false" customHeight="false" outlineLevel="0" collapsed="false">
      <c r="B9" s="0" t="s">
        <v>207</v>
      </c>
      <c r="C9" s="23" t="n">
        <f aca="false">'Ownership &amp; Dilution'!D19</f>
        <v>0</v>
      </c>
      <c r="D9" s="31" t="str">
        <f aca="false">IF(C9&lt;='Ownership &amp; Dilution'!D11,"PASS","BREACH")</f>
        <v>PASS</v>
      </c>
      <c r="E9" s="10" t="s">
        <v>208</v>
      </c>
    </row>
    <row r="10" customFormat="false" ht="15" hidden="false" customHeight="false" outlineLevel="0" collapsed="false">
      <c r="B10" s="0" t="s">
        <v>209</v>
      </c>
      <c r="C10" s="23" t="n">
        <f aca="false">'Ownership &amp; Dilution'!D20-'Ownership &amp; Dilution'!D21</f>
        <v>0</v>
      </c>
      <c r="D10" s="31" t="str">
        <f aca="false">IF(C10&gt;=0,"PASS","BREACH")</f>
        <v>PASS</v>
      </c>
      <c r="E10" s="10" t="s">
        <v>210</v>
      </c>
    </row>
    <row r="11" customFormat="false" ht="15" hidden="false" customHeight="false" outlineLevel="0" collapsed="false">
      <c r="B11" s="0" t="s">
        <v>196</v>
      </c>
      <c r="C11" s="23" t="n">
        <f aca="false">'Exit Waterfall'!D13</f>
        <v>5</v>
      </c>
      <c r="D11" s="31" t="str">
        <f aca="false">IF(C11&gt;='Exit Waterfall'!D7,"PASS","BREACH")</f>
        <v>PASS</v>
      </c>
      <c r="E11" s="10" t="s">
        <v>211</v>
      </c>
    </row>
    <row r="13" customFormat="false" ht="15" hidden="false" customHeight="false" outlineLevel="0" collapsed="false">
      <c r="B13" s="2" t="s">
        <v>212</v>
      </c>
      <c r="C13" s="34" t="str">
        <f aca="false">IF(COUNTIF(D5:D11,"FAIL")+COUNTIF(D5:D11,"BREACH")&gt;0,"BREACH",IF(COUNTIF(D5:D11,"REVIEW")&gt;0,"REVIEW","PASS"))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2026-08-04T17:27:52Z</dcterms:created>
  <dc:creator>openpyxl</dc:creator>
  <dc:description/>
  <dc:language>en-US</dc:language>
  <cp:lastModifiedBy/>
  <dcterms:modified xsi:type="dcterms:W3CDTF">2026-08-04T17:27:54Z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