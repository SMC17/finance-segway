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Cap Table" sheetId="5" state="visible" r:id="rId5"/>
    <sheet xmlns:r="http://schemas.openxmlformats.org/officeDocument/2006/relationships" name="Round Modeling" sheetId="6" state="visible" r:id="rId6"/>
    <sheet xmlns:r="http://schemas.openxmlformats.org/officeDocument/2006/relationships" name="SAFE Conversion" sheetId="7" state="visible" r:id="rId7"/>
    <sheet xmlns:r="http://schemas.openxmlformats.org/officeDocument/2006/relationships" name="Comparable Financings" sheetId="8" state="visible" r:id="rId8"/>
    <sheet xmlns:r="http://schemas.openxmlformats.org/officeDocument/2006/relationships" name="RefreshLog" sheetId="9" state="visible" r:id="rId9"/>
    <sheet xmlns:r="http://schemas.openxmlformats.org/officeDocument/2006/relationships" name="Ownership &amp; Dilution" sheetId="10" state="visible" r:id="rId10"/>
    <sheet xmlns:r="http://schemas.openxmlformats.org/officeDocument/2006/relationships" name="Reserves &amp; Follow-ons" sheetId="11" state="visible" r:id="rId11"/>
    <sheet xmlns:r="http://schemas.openxmlformats.org/officeDocument/2006/relationships" name="Exit Waterfall" sheetId="12" state="visible" r:id="rId12"/>
    <sheet xmlns:r="http://schemas.openxmlformats.org/officeDocument/2006/relationships" name="Decision &amp; Checks" sheetId="13" state="visible" r:id="rId13"/>
  </sheets>
  <definedNames>
    <definedName name="FS_DOMAIN" hidden="0" function="0" vbProcedure="0">'Institutional Surface'!$C$5</definedName>
    <definedName name="FS_MATURITY" hidden="0" function="0" vbProcedure="0">'Institutional Surface'!$C$6</definedName>
    <definedName name="FS_MODEL_ID" hidden="0" function="0" vbProcedure="0">'Institutional Surface'!$C$4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\$#,##0.00;&quot;($&quot;#,##0.00\);\-"/>
    <numFmt numFmtId="167" formatCode="\$#,##0;&quot;($&quot;#,##0\);\-"/>
    <numFmt numFmtId="168" formatCode="0.0\x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Cambria"/>
      <charset val="1"/>
      <family val="0"/>
      <b val="1"/>
      <color rgb="FFFFFFFF"/>
      <sz val="15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6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7" fontId="6" fillId="6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5" fontId="6" fillId="6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164" fontId="6" fillId="6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6" fontId="12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67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6" fillId="6" borderId="2" applyAlignment="1" pivotButton="0" quotePrefix="0" xfId="0">
      <alignment horizontal="general" vertical="bottom"/>
    </xf>
    <xf numFmtId="168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10" fillId="4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6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7" fontId="6" fillId="6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5" fontId="6" fillId="6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164" fontId="6" fillId="6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6" fontId="12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67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7" fontId="13" fillId="7" borderId="2" applyAlignment="1" pivotButton="0" quotePrefix="0" xfId="0">
      <alignment horizontal="general" vertical="bottom"/>
    </xf>
    <xf numFmtId="164" fontId="13" fillId="7" borderId="2" applyAlignment="1" pivotButton="0" quotePrefix="0" xfId="0">
      <alignment horizontal="general" vertical="bottom"/>
    </xf>
    <xf numFmtId="168" fontId="6" fillId="6" borderId="2" applyAlignment="1" pivotButton="0" quotePrefix="0" xfId="0">
      <alignment horizontal="general" vertical="bottom"/>
    </xf>
    <xf numFmtId="168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30" customWidth="1" style="34" min="2" max="2"/>
    <col width="40" customWidth="1" style="34" min="3" max="3"/>
    <col width="4" customWidth="1" style="34" min="4" max="4"/>
  </cols>
  <sheetData>
    <row r="2" ht="19.7" customHeight="1" s="35">
      <c r="B2" s="36" t="inlineStr">
        <is>
          <t>[COMPANY] — Venture Capital Model</t>
        </is>
      </c>
    </row>
    <row r="4" ht="15" customHeight="1" s="35">
      <c r="B4" s="37" t="inlineStr">
        <is>
          <t>Sector:</t>
        </is>
      </c>
      <c r="C4" s="38" t="inlineStr">
        <is>
          <t>[fill in]</t>
        </is>
      </c>
    </row>
    <row r="5" ht="15" customHeight="1" s="35">
      <c r="B5" s="37" t="inlineStr">
        <is>
          <t>Current stage:</t>
        </is>
      </c>
      <c r="C5" s="38" t="inlineStr">
        <is>
          <t>Seed / A / B / C / Growth</t>
        </is>
      </c>
    </row>
    <row r="6" ht="15" customHeight="1" s="35">
      <c r="B6" s="37" t="inlineStr">
        <is>
          <t>Last refreshed:</t>
        </is>
      </c>
      <c r="C6" s="39" t="inlineStr">
        <is>
          <t>2020-09-16</t>
        </is>
      </c>
    </row>
    <row r="7" ht="15" customHeight="1" s="35">
      <c r="B7" s="37" t="inlineStr">
        <is>
          <t>Next round expected:</t>
        </is>
      </c>
      <c r="C7" s="38" t="inlineStr">
        <is>
          <t>[date]</t>
        </is>
      </c>
    </row>
    <row r="8" ht="15" customHeight="1" s="35">
      <c r="B8" s="37" t="inlineStr">
        <is>
          <t>Refresh cadence:</t>
        </is>
      </c>
      <c r="C8" s="38" t="inlineStr">
        <is>
          <t>Weekly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6" customWidth="1" style="34" min="2" max="2"/>
    <col width="48" customWidth="1" style="34" min="3" max="3"/>
    <col width="24" customWidth="1" style="34" min="4" max="4"/>
    <col width="34" customWidth="1" style="34" min="5" max="5"/>
    <col width="20" customWidth="1" style="34" min="6" max="6"/>
  </cols>
  <sheetData>
    <row r="2" ht="18.55" customHeight="1" s="35">
      <c r="B2" s="40" t="inlineStr">
        <is>
          <t>Venture Capital — Institutional Decision Surface</t>
        </is>
      </c>
    </row>
    <row r="4" ht="15" customHeight="1" s="35">
      <c r="B4" s="41" t="inlineStr">
        <is>
          <t>Model ID</t>
        </is>
      </c>
      <c r="C4" s="42" t="inlineStr">
        <is>
          <t>13</t>
        </is>
      </c>
    </row>
    <row r="5" ht="15" customHeight="1" s="35">
      <c r="B5" s="41" t="inlineStr">
        <is>
          <t>Domain</t>
        </is>
      </c>
      <c r="C5" s="42" t="inlineStr">
        <is>
          <t>Venture Capital</t>
        </is>
      </c>
    </row>
    <row r="6" ht="15" customHeight="1" s="35">
      <c r="B6" s="41" t="inlineStr">
        <is>
          <t>Declared maturity</t>
        </is>
      </c>
      <c r="C6" s="42" t="inlineStr">
        <is>
          <t>M2</t>
        </is>
      </c>
    </row>
    <row r="7" ht="15" customHeight="1" s="35">
      <c r="B7" s="41" t="inlineStr">
        <is>
          <t>Canonical builder</t>
        </is>
      </c>
      <c r="C7" s="42" t="inlineStr">
        <is>
          <t>tools/builders/build_venture_capital_release.py</t>
        </is>
      </c>
    </row>
    <row r="8" ht="15" customHeight="1" s="35">
      <c r="B8" s="41" t="inlineStr">
        <is>
          <t>Decision arena</t>
        </is>
      </c>
      <c r="C8" s="42" t="inlineStr">
        <is>
          <t>investment team, partnership IC, board and portfolio finance</t>
        </is>
      </c>
    </row>
    <row r="9" ht="15" customHeight="1" s="35">
      <c r="B9" s="41" t="inlineStr">
        <is>
          <t>Committee artifact</t>
        </is>
      </c>
      <c r="C9" s="42" t="inlineStr">
        <is>
          <t>investment and reserve-allocation memo</t>
        </is>
      </c>
    </row>
    <row r="10" ht="15" customHeight="1" s="35">
      <c r="B10" s="41" t="inlineStr">
        <is>
          <t>Operating cadence</t>
        </is>
      </c>
      <c r="C10" s="42" t="inlineStr">
        <is>
          <t>monthly portfolio; event-driven financings; quarterly IC</t>
        </is>
      </c>
    </row>
    <row r="12" ht="15" customHeight="1" s="35">
      <c r="B12" s="43" t="inlineStr">
        <is>
          <t>Key decision outputs</t>
        </is>
      </c>
    </row>
    <row r="13" ht="15" customHeight="1" s="35">
      <c r="B13" s="44" t="inlineStr">
        <is>
          <t>#</t>
        </is>
      </c>
      <c r="C13" s="44" t="inlineStr">
        <is>
          <t>Requirement</t>
        </is>
      </c>
      <c r="D13" s="44" t="inlineStr">
        <is>
          <t>Owner</t>
        </is>
      </c>
      <c r="E13" s="44" t="inlineStr">
        <is>
          <t>Evidence / location</t>
        </is>
      </c>
      <c r="F13" s="44" t="inlineStr">
        <is>
          <t>Status</t>
        </is>
      </c>
    </row>
    <row r="14" ht="15" customHeight="1" s="35">
      <c r="B14" s="34" t="n">
        <v>1</v>
      </c>
      <c r="C14" s="34" t="inlineStr">
        <is>
          <t>post-money ownership</t>
        </is>
      </c>
      <c r="F14" s="34" t="inlineStr">
        <is>
          <t>OPEN</t>
        </is>
      </c>
    </row>
    <row r="15" ht="15" customHeight="1" s="35">
      <c r="B15" s="34" t="n">
        <v>2</v>
      </c>
      <c r="C15" s="34" t="inlineStr">
        <is>
          <t>SAFE / note conversion</t>
        </is>
      </c>
      <c r="F15" s="34" t="inlineStr">
        <is>
          <t>OPEN</t>
        </is>
      </c>
    </row>
    <row r="16" ht="15" customHeight="1" s="35">
      <c r="B16" s="34" t="n">
        <v>3</v>
      </c>
      <c r="C16" s="34" t="inlineStr">
        <is>
          <t>preference and participation waterfall</t>
        </is>
      </c>
      <c r="F16" s="34" t="inlineStr">
        <is>
          <t>OPEN</t>
        </is>
      </c>
    </row>
    <row r="17" ht="15" customHeight="1" s="35">
      <c r="B17" s="34" t="n">
        <v>4</v>
      </c>
      <c r="C17" s="34" t="inlineStr">
        <is>
          <t>base, downside and break-even outputs</t>
        </is>
      </c>
      <c r="F17" s="34" t="inlineStr">
        <is>
          <t>OPEN</t>
        </is>
      </c>
    </row>
    <row r="18" ht="15" customHeight="1" s="35">
      <c r="B18" s="34" t="n">
        <v>5</v>
      </c>
      <c r="C18" s="34" t="inlineStr">
        <is>
          <t>liquidity / funding requirement and binding constraint</t>
        </is>
      </c>
      <c r="F18" s="34" t="inlineStr">
        <is>
          <t>OPEN</t>
        </is>
      </c>
    </row>
    <row r="20" ht="15" customHeight="1" s="35">
      <c r="B20" s="43" t="inlineStr">
        <is>
          <t>Insider questions</t>
        </is>
      </c>
    </row>
    <row r="21" ht="15" customHeight="1" s="35">
      <c r="B21" s="44" t="inlineStr">
        <is>
          <t>#</t>
        </is>
      </c>
      <c r="C21" s="44" t="inlineStr">
        <is>
          <t>Requirement</t>
        </is>
      </c>
      <c r="D21" s="44" t="inlineStr">
        <is>
          <t>Owner</t>
        </is>
      </c>
      <c r="E21" s="44" t="inlineStr">
        <is>
          <t>Evidence / location</t>
        </is>
      </c>
      <c r="F21" s="44" t="inlineStr">
        <is>
          <t>Status</t>
        </is>
      </c>
    </row>
    <row r="22" ht="15" customHeight="1" s="35">
      <c r="B22" s="34" t="n">
        <v>1</v>
      </c>
      <c r="C22" s="34" t="inlineStr">
        <is>
          <t>Which security is actually senior?</t>
        </is>
      </c>
      <c r="F22" s="34" t="inlineStr">
        <is>
          <t>OPEN</t>
        </is>
      </c>
    </row>
    <row r="23" ht="15" customHeight="1" s="35">
      <c r="B23" s="34" t="n">
        <v>2</v>
      </c>
      <c r="C23" s="34" t="inlineStr">
        <is>
          <t>Who can block the next financing?</t>
        </is>
      </c>
      <c r="F23" s="34" t="inlineStr">
        <is>
          <t>OPEN</t>
        </is>
      </c>
    </row>
    <row r="24" ht="15" customHeight="1" s="35">
      <c r="B24" s="34" t="n">
        <v>3</v>
      </c>
      <c r="C24" s="34" t="inlineStr">
        <is>
          <t>What converts before the option-pool top-up?</t>
        </is>
      </c>
      <c r="F24" s="34" t="inlineStr">
        <is>
          <t>OPEN</t>
        </is>
      </c>
    </row>
    <row r="25" ht="15" customHeight="1" s="35">
      <c r="B25" s="34" t="n">
        <v>4</v>
      </c>
      <c r="C25" s="34" t="inlineStr">
        <is>
          <t>Which assumption is owner-approved versus modeler judgement?</t>
        </is>
      </c>
      <c r="F25" s="34" t="inlineStr">
        <is>
          <t>OPEN</t>
        </is>
      </c>
    </row>
    <row r="26" ht="15" customHeight="1" s="35">
      <c r="B26" s="34" t="n">
        <v>5</v>
      </c>
      <c r="C26" s="34" t="inlineStr">
        <is>
          <t>What fails first and who must act?</t>
        </is>
      </c>
      <c r="F26" s="34" t="inlineStr">
        <is>
          <t>OPEN</t>
        </is>
      </c>
    </row>
    <row r="28" ht="15" customHeight="1" s="35">
      <c r="B28" s="43" t="inlineStr">
        <is>
          <t>Scenario families</t>
        </is>
      </c>
    </row>
    <row r="29" ht="15" customHeight="1" s="35">
      <c r="B29" s="44" t="inlineStr">
        <is>
          <t>#</t>
        </is>
      </c>
      <c r="C29" s="44" t="inlineStr">
        <is>
          <t>Requirement</t>
        </is>
      </c>
      <c r="D29" s="44" t="inlineStr">
        <is>
          <t>Owner</t>
        </is>
      </c>
      <c r="E29" s="44" t="inlineStr">
        <is>
          <t>Evidence / location</t>
        </is>
      </c>
      <c r="F29" s="44" t="inlineStr">
        <is>
          <t>Status</t>
        </is>
      </c>
    </row>
    <row r="30" ht="15" customHeight="1" s="35">
      <c r="B30" s="34" t="n">
        <v>1</v>
      </c>
      <c r="C30" s="34" t="inlineStr">
        <is>
          <t>down round</t>
        </is>
      </c>
      <c r="F30" s="34" t="inlineStr">
        <is>
          <t>OPEN</t>
        </is>
      </c>
    </row>
    <row r="31" ht="15" customHeight="1" s="35">
      <c r="B31" s="34" t="n">
        <v>2</v>
      </c>
      <c r="C31" s="34" t="inlineStr">
        <is>
          <t>bridge with seniority</t>
        </is>
      </c>
      <c r="F31" s="34" t="inlineStr">
        <is>
          <t>OPEN</t>
        </is>
      </c>
    </row>
    <row r="32" ht="15" customHeight="1" s="35">
      <c r="B32" s="34" t="n">
        <v>3</v>
      </c>
      <c r="C32" s="34" t="inlineStr">
        <is>
          <t>flat exit preference stack</t>
        </is>
      </c>
      <c r="F32" s="34" t="inlineStr">
        <is>
          <t>OPEN</t>
        </is>
      </c>
    </row>
    <row r="33" ht="15" customHeight="1" s="35">
      <c r="B33" s="34" t="n">
        <v>4</v>
      </c>
      <c r="C33" s="34" t="inlineStr">
        <is>
          <t>data freshness / source failure</t>
        </is>
      </c>
      <c r="F33" s="34" t="inlineStr">
        <is>
          <t>OPEN</t>
        </is>
      </c>
    </row>
    <row r="34" ht="15" customHeight="1" s="35">
      <c r="B34" s="34" t="n">
        <v>5</v>
      </c>
      <c r="C34" s="34" t="inlineStr">
        <is>
          <t>combined severe-but-plausible downside</t>
        </is>
      </c>
      <c r="F34" s="34" t="inlineStr">
        <is>
          <t>OPEN</t>
        </is>
      </c>
    </row>
    <row r="36" ht="15" customHeight="1" s="35">
      <c r="B36" s="43" t="inlineStr">
        <is>
          <t>Primary diligence documents</t>
        </is>
      </c>
    </row>
    <row r="37" ht="15" customHeight="1" s="35">
      <c r="B37" s="44" t="inlineStr">
        <is>
          <t>#</t>
        </is>
      </c>
      <c r="C37" s="44" t="inlineStr">
        <is>
          <t>Requirement</t>
        </is>
      </c>
      <c r="D37" s="44" t="inlineStr">
        <is>
          <t>Owner</t>
        </is>
      </c>
      <c r="E37" s="44" t="inlineStr">
        <is>
          <t>Evidence / location</t>
        </is>
      </c>
      <c r="F37" s="44" t="inlineStr">
        <is>
          <t>Status</t>
        </is>
      </c>
    </row>
    <row r="38" ht="15" customHeight="1" s="35">
      <c r="B38" s="34" t="n">
        <v>1</v>
      </c>
      <c r="C38" s="34" t="inlineStr">
        <is>
          <t>charter and cap table</t>
        </is>
      </c>
      <c r="F38" s="34" t="inlineStr">
        <is>
          <t>OPEN</t>
        </is>
      </c>
    </row>
    <row r="39" ht="15" customHeight="1" s="35">
      <c r="B39" s="34" t="n">
        <v>2</v>
      </c>
      <c r="C39" s="34" t="inlineStr">
        <is>
          <t>SAFE / note instruments</t>
        </is>
      </c>
      <c r="F39" s="34" t="inlineStr">
        <is>
          <t>OPEN</t>
        </is>
      </c>
    </row>
    <row r="40" ht="15" customHeight="1" s="35">
      <c r="B40" s="34" t="n">
        <v>3</v>
      </c>
      <c r="C40" s="34" t="inlineStr">
        <is>
          <t>stock purchase agreement</t>
        </is>
      </c>
      <c r="F40" s="34" t="inlineStr">
        <is>
          <t>OPEN</t>
        </is>
      </c>
    </row>
    <row r="41" ht="15" customHeight="1" s="35">
      <c r="B41" s="34" t="n">
        <v>4</v>
      </c>
      <c r="C41" s="34" t="inlineStr">
        <is>
          <t>approved model card and assumption register</t>
        </is>
      </c>
      <c r="F41" s="34" t="inlineStr">
        <is>
          <t>OPEN</t>
        </is>
      </c>
    </row>
    <row r="42" ht="15" customHeight="1" s="35">
      <c r="B42" s="34" t="n">
        <v>5</v>
      </c>
      <c r="C42" s="34" t="inlineStr">
        <is>
          <t>independent validation and challenge record</t>
        </is>
      </c>
      <c r="F42" s="34" t="inlineStr">
        <is>
          <t>OPEN</t>
        </is>
      </c>
    </row>
    <row r="44" ht="15" customHeight="1" s="35">
      <c r="B44" s="43" t="inlineStr">
        <is>
          <t>Challenge tests</t>
        </is>
      </c>
    </row>
    <row r="45" ht="15" customHeight="1" s="35">
      <c r="B45" s="44" t="inlineStr">
        <is>
          <t>#</t>
        </is>
      </c>
      <c r="C45" s="44" t="inlineStr">
        <is>
          <t>Requirement</t>
        </is>
      </c>
      <c r="D45" s="44" t="inlineStr">
        <is>
          <t>Owner</t>
        </is>
      </c>
      <c r="E45" s="44" t="inlineStr">
        <is>
          <t>Evidence / location</t>
        </is>
      </c>
      <c r="F45" s="44" t="inlineStr">
        <is>
          <t>Status</t>
        </is>
      </c>
    </row>
    <row r="46" ht="15" customHeight="1" s="35">
      <c r="B46" s="34" t="n">
        <v>1</v>
      </c>
      <c r="C46" s="34" t="inlineStr">
        <is>
          <t>waterfall conserves proceeds</t>
        </is>
      </c>
      <c r="F46" s="34" t="inlineStr">
        <is>
          <t>OPEN</t>
        </is>
      </c>
    </row>
    <row r="47" ht="15" customHeight="1" s="35">
      <c r="B47" s="34" t="n">
        <v>2</v>
      </c>
      <c r="C47" s="34" t="inlineStr">
        <is>
          <t>share count reconciles</t>
        </is>
      </c>
      <c r="F47" s="34" t="inlineStr">
        <is>
          <t>OPEN</t>
        </is>
      </c>
    </row>
    <row r="48" ht="15" customHeight="1" s="35">
      <c r="B48" s="34" t="n">
        <v>3</v>
      </c>
      <c r="C48" s="34" t="inlineStr">
        <is>
          <t>SAFE conversion follows instrument terms</t>
        </is>
      </c>
      <c r="F48" s="34" t="inlineStr">
        <is>
          <t>OPEN</t>
        </is>
      </c>
    </row>
    <row r="49" ht="15" customHeight="1" s="35">
      <c r="B49" s="34" t="n">
        <v>4</v>
      </c>
      <c r="C49" s="34" t="inlineStr">
        <is>
          <t>source-to-model lineage is reproducible</t>
        </is>
      </c>
      <c r="F49" s="34" t="inlineStr">
        <is>
          <t>OPEN</t>
        </is>
      </c>
    </row>
    <row r="50" ht="15" customHeight="1" s="35">
      <c r="B50" s="34" t="n">
        <v>5</v>
      </c>
      <c r="C50" s="34" t="inlineStr">
        <is>
          <t>units, signs, dates and legal definitions reconcile</t>
        </is>
      </c>
      <c r="F50" s="34" t="inlineStr">
        <is>
          <t>OPEN</t>
        </is>
      </c>
    </row>
    <row r="52" ht="15" customHeight="1" s="35">
      <c r="B52" s="43" t="inlineStr">
        <is>
          <t>Known failure modes</t>
        </is>
      </c>
    </row>
    <row r="53" ht="15" customHeight="1" s="35">
      <c r="B53" s="44" t="inlineStr">
        <is>
          <t>#</t>
        </is>
      </c>
      <c r="C53" s="44" t="inlineStr">
        <is>
          <t>Requirement</t>
        </is>
      </c>
      <c r="D53" s="44" t="inlineStr">
        <is>
          <t>Owner</t>
        </is>
      </c>
      <c r="E53" s="44" t="inlineStr">
        <is>
          <t>Evidence / location</t>
        </is>
      </c>
      <c r="F53" s="44" t="inlineStr">
        <is>
          <t>Status</t>
        </is>
      </c>
    </row>
    <row r="54" ht="15" customHeight="1" s="35">
      <c r="B54" s="34" t="n">
        <v>1</v>
      </c>
      <c r="C54" s="34" t="inlineStr">
        <is>
          <t>mixing pre- and post-money SAFEs</t>
        </is>
      </c>
      <c r="F54" s="34" t="inlineStr">
        <is>
          <t>OPEN</t>
        </is>
      </c>
    </row>
    <row r="55" ht="15" customHeight="1" s="35">
      <c r="B55" s="34" t="n">
        <v>2</v>
      </c>
      <c r="C55" s="34" t="inlineStr">
        <is>
          <t>ignoring accrued interest and discount interactions</t>
        </is>
      </c>
      <c r="F55" s="34" t="inlineStr">
        <is>
          <t>OPEN</t>
        </is>
      </c>
    </row>
    <row r="56" ht="15" customHeight="1" s="35">
      <c r="B56" s="34" t="n">
        <v>3</v>
      </c>
      <c r="C56" s="34" t="inlineStr">
        <is>
          <t>double-counting option pool shuffle</t>
        </is>
      </c>
      <c r="F56" s="34" t="inlineStr">
        <is>
          <t>OPEN</t>
        </is>
      </c>
    </row>
    <row r="57" ht="15" customHeight="1" s="35">
      <c r="B57" s="34" t="n">
        <v>4</v>
      </c>
      <c r="C57" s="34" t="inlineStr">
        <is>
          <t>stale vintage presented as current</t>
        </is>
      </c>
      <c r="F57" s="34" t="inlineStr">
        <is>
          <t>OPEN</t>
        </is>
      </c>
    </row>
    <row r="58" ht="15" customHeight="1" s="35">
      <c r="B58" s="34" t="n">
        <v>5</v>
      </c>
      <c r="C58" s="34" t="inlineStr">
        <is>
          <t>decision output disconnected from a binding constraint</t>
        </is>
      </c>
      <c r="F58" s="34" t="inlineStr">
        <is>
          <t>OPEN</t>
        </is>
      </c>
    </row>
    <row r="60" ht="15" customHeight="1" s="35">
      <c r="B60" s="43" t="inlineStr">
        <is>
          <t>Regulatory / methodological anchors</t>
        </is>
      </c>
    </row>
    <row r="61" ht="15" customHeight="1" s="35">
      <c r="B61" s="44" t="inlineStr">
        <is>
          <t>Standard</t>
        </is>
      </c>
      <c r="C61" s="44" t="inlineStr">
        <is>
          <t>Scope</t>
        </is>
      </c>
      <c r="D61" s="44" t="inlineStr">
        <is>
          <t>Source URL</t>
        </is>
      </c>
      <c r="E61" s="44" t="inlineStr">
        <is>
          <t>Applicability</t>
        </is>
      </c>
      <c r="F61" s="44" t="inlineStr">
        <is>
          <t>Review note</t>
        </is>
      </c>
    </row>
    <row r="62" ht="15" customHeight="1" s="35">
      <c r="B62" s="34" t="inlineStr">
        <is>
          <t>Federal Reserve SR 26-2 Model Risk Management</t>
        </is>
      </c>
      <c r="C62" s="34" t="inlineStr">
        <is>
          <t>governance, validation, change control, monitoring</t>
        </is>
      </c>
      <c r="D62" s="34" t="inlineStr">
        <is>
          <t>https://www.federalreserve.gov/supervisionreg/srletters/SR2602.htm</t>
        </is>
      </c>
      <c r="E62" s="34" t="inlineStr">
        <is>
          <t>Map explicitly</t>
        </is>
      </c>
    </row>
    <row r="63" ht="15" customHeight="1" s="35">
      <c r="B63" s="34" t="inlineStr">
        <is>
          <t>SEC Rule 2a-5</t>
        </is>
      </c>
      <c r="C63" s="34" t="inlineStr">
        <is>
          <t>fair-value governance and testing</t>
        </is>
      </c>
      <c r="D63" s="34" t="inlineStr">
        <is>
          <t>https://www.sec.gov/files/rules/final/2020/ic-34128.pdf</t>
        </is>
      </c>
      <c r="E63" s="34" t="inlineStr">
        <is>
          <t>Map explicitly</t>
        </is>
      </c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 errorStyle="stop" operator="between">
      <formula1>"OPEN,IN REVIEW,CLOSED,NOT APPLICABLE"</formula1>
      <formula2>0</formula2>
    </dataValidation>
    <dataValidation sqref="F22:F26" showDropDown="0" showInputMessage="0" showErrorMessage="0" allowBlank="0" type="list" errorStyle="stop" operator="between">
      <formula1>"OPEN,IN REVIEW,CLOSED,NOT APPLICABLE"</formula1>
      <formula2>0</formula2>
    </dataValidation>
    <dataValidation sqref="F30:F34" showDropDown="0" showInputMessage="0" showErrorMessage="0" allowBlank="0" type="list" errorStyle="stop" operator="between">
      <formula1>"OPEN,IN REVIEW,CLOSED,NOT APPLICABLE"</formula1>
      <formula2>0</formula2>
    </dataValidation>
    <dataValidation sqref="F38:F42" showDropDown="0" showInputMessage="0" showErrorMessage="0" allowBlank="0" type="list" errorStyle="stop" operator="between">
      <formula1>"OPEN,IN REVIEW,CLOSED,NOT APPLICABLE"</formula1>
      <formula2>0</formula2>
    </dataValidation>
    <dataValidation sqref="F46:F50" showDropDown="0" showInputMessage="0" showErrorMessage="0" allowBlank="0" type="list" errorStyle="stop" operator="between">
      <formula1>"OPEN,IN REVIEW,CLOSED,NOT APPLICABLE"</formula1>
      <formula2>0</formula2>
    </dataValidation>
    <dataValidation sqref="F54:F58" showDropDown="0" showInputMessage="0" showErrorMessage="0" allowBlank="0" type="list" errorStyle="stop" operator="between">
      <formula1>"OPEN,IN REVIEW,CLOSED,NOT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13" customWidth="1" style="34" min="2" max="2"/>
    <col width="22" customWidth="1" style="34" min="3" max="3"/>
    <col width="52" customWidth="1" style="34" min="4" max="4"/>
    <col width="46" customWidth="1" style="34" min="5" max="5"/>
    <col width="36" customWidth="1" style="34" min="6" max="6"/>
    <col width="14" customWidth="1" style="34" min="7" max="7"/>
    <col width="18" customWidth="1" style="34" min="8" max="8"/>
    <col width="14" customWidth="1" style="34" min="9" max="9"/>
  </cols>
  <sheetData>
    <row r="2" ht="18.55" customHeight="1" s="35">
      <c r="B2" s="40" t="inlineStr">
        <is>
          <t>Independent Challenge, Override and Closure Log</t>
        </is>
      </c>
    </row>
    <row r="4" ht="15" customHeight="1" s="35">
      <c r="B4" s="44" t="inlineStr">
        <is>
          <t>Date</t>
        </is>
      </c>
      <c r="C4" s="44" t="inlineStr">
        <is>
          <t>Reviewer</t>
        </is>
      </c>
      <c r="D4" s="44" t="inlineStr">
        <is>
          <t>Challenge</t>
        </is>
      </c>
      <c r="E4" s="44" t="inlineStr">
        <is>
          <t>Owner response</t>
        </is>
      </c>
      <c r="F4" s="44" t="inlineStr">
        <is>
          <t>Evidence</t>
        </is>
      </c>
      <c r="G4" s="44" t="inlineStr">
        <is>
          <t>Impact</t>
        </is>
      </c>
      <c r="H4" s="44" t="inlineStr">
        <is>
          <t>Status</t>
        </is>
      </c>
      <c r="I4" s="44" t="inlineStr">
        <is>
          <t>Closure</t>
        </is>
      </c>
    </row>
    <row r="5" ht="15" customHeight="1" s="35">
      <c r="D5" s="34" t="inlineStr">
        <is>
          <t>waterfall conserves proceeds</t>
        </is>
      </c>
      <c r="H5" s="34" t="inlineStr">
        <is>
          <t>OPEN</t>
        </is>
      </c>
    </row>
    <row r="6" ht="15" customHeight="1" s="35">
      <c r="D6" s="34" t="inlineStr">
        <is>
          <t>share count reconciles</t>
        </is>
      </c>
      <c r="H6" s="34" t="inlineStr">
        <is>
          <t>OPEN</t>
        </is>
      </c>
    </row>
    <row r="7" ht="15" customHeight="1" s="35">
      <c r="D7" s="34" t="inlineStr">
        <is>
          <t>SAFE conversion follows instrument terms</t>
        </is>
      </c>
      <c r="H7" s="34" t="inlineStr">
        <is>
          <t>OPEN</t>
        </is>
      </c>
    </row>
    <row r="8" ht="15" customHeight="1" s="35">
      <c r="D8" s="34" t="inlineStr">
        <is>
          <t>source-to-model lineage is reproducible</t>
        </is>
      </c>
      <c r="H8" s="34" t="inlineStr">
        <is>
          <t>OPEN</t>
        </is>
      </c>
    </row>
    <row r="9" ht="15" customHeight="1" s="35">
      <c r="D9" s="34" t="inlineStr">
        <is>
          <t>units, signs, dates and legal definitions reconcile</t>
        </is>
      </c>
      <c r="H9" s="34" t="inlineStr">
        <is>
          <t>OPEN</t>
        </is>
      </c>
    </row>
    <row r="10" ht="15" customHeight="1" s="35">
      <c r="H10" s="34" t="n"/>
    </row>
    <row r="11" ht="15" customHeight="1" s="35">
      <c r="H11" s="34" t="n"/>
    </row>
    <row r="12" ht="15" customHeight="1" s="35">
      <c r="H12" s="34" t="n"/>
    </row>
    <row r="13" ht="15" customHeight="1" s="35">
      <c r="H13" s="34" t="n"/>
    </row>
    <row r="14" ht="15" customHeight="1" s="35">
      <c r="H14" s="34" t="n"/>
    </row>
    <row r="15" ht="15" customHeight="1" s="35">
      <c r="H15" s="34" t="n"/>
    </row>
    <row r="16" ht="15" customHeight="1" s="35">
      <c r="H16" s="34" t="n"/>
    </row>
    <row r="17" ht="15" customHeight="1" s="35">
      <c r="H17" s="34" t="n"/>
    </row>
    <row r="18" ht="15" customHeight="1" s="35">
      <c r="H18" s="34" t="n"/>
    </row>
    <row r="19" ht="15" customHeight="1" s="35">
      <c r="H19" s="34" t="n"/>
    </row>
    <row r="20" ht="15" customHeight="1" s="35">
      <c r="H20" s="34" t="n"/>
    </row>
    <row r="21" ht="15" customHeight="1" s="35">
      <c r="H21" s="34" t="n"/>
    </row>
    <row r="22" ht="15" customHeight="1" s="35">
      <c r="H22" s="34" t="n"/>
    </row>
    <row r="23" ht="15" customHeight="1" s="35">
      <c r="H23" s="34" t="n"/>
    </row>
    <row r="24" ht="15" customHeight="1" s="35">
      <c r="H24" s="34" t="n"/>
    </row>
    <row r="25" ht="15" customHeight="1" s="35">
      <c r="H25" s="34" t="n"/>
    </row>
    <row r="26" ht="15" customHeight="1" s="35">
      <c r="H26" s="34" t="n"/>
    </row>
    <row r="27" ht="15" customHeight="1" s="35">
      <c r="H27" s="34" t="n"/>
    </row>
    <row r="28" ht="15" customHeight="1" s="35">
      <c r="H28" s="34" t="n"/>
    </row>
    <row r="29" ht="15" customHeight="1" s="35">
      <c r="H29" s="34" t="n"/>
    </row>
    <row r="30" ht="15" customHeight="1" s="35">
      <c r="H30" s="34" t="n"/>
    </row>
    <row r="31" ht="15" customHeight="1" s="35">
      <c r="H31" s="34" t="n"/>
    </row>
    <row r="32" ht="15" customHeight="1" s="35">
      <c r="H32" s="34" t="n"/>
    </row>
    <row r="33" ht="15" customHeight="1" s="35">
      <c r="H33" s="34" t="n"/>
    </row>
    <row r="34" ht="15" customHeight="1" s="35">
      <c r="H34" s="34" t="n"/>
    </row>
    <row r="35" ht="15" customHeight="1" s="35">
      <c r="H35" s="34" t="n"/>
    </row>
    <row r="36" ht="15" customHeight="1" s="35">
      <c r="H36" s="34" t="n"/>
    </row>
    <row r="37" ht="15" customHeight="1" s="35">
      <c r="H37" s="34" t="n"/>
    </row>
    <row r="38" ht="15" customHeight="1" s="35">
      <c r="H38" s="34" t="n"/>
    </row>
    <row r="39" ht="15" customHeight="1" s="35">
      <c r="H39" s="34" t="n"/>
    </row>
    <row r="40" ht="15" customHeight="1" s="35">
      <c r="H40" s="34" t="n"/>
    </row>
    <row r="41" ht="15" customHeight="1" s="35">
      <c r="H41" s="34" t="n"/>
    </row>
    <row r="42" ht="15" customHeight="1" s="35">
      <c r="H42" s="34" t="n"/>
    </row>
    <row r="43" ht="15" customHeight="1" s="35">
      <c r="H43" s="34" t="n"/>
    </row>
    <row r="44" ht="15" customHeight="1" s="35">
      <c r="H44" s="34" t="n"/>
    </row>
    <row r="45" ht="15" customHeight="1" s="35">
      <c r="H45" s="34" t="n"/>
    </row>
    <row r="46" ht="15" customHeight="1" s="35">
      <c r="H46" s="34" t="n"/>
    </row>
    <row r="47" ht="15" customHeight="1" s="35">
      <c r="H47" s="34" t="n"/>
    </row>
    <row r="48" ht="15" customHeight="1" s="35">
      <c r="H48" s="34" t="n"/>
    </row>
    <row r="49" ht="15" customHeight="1" s="35">
      <c r="H49" s="34" t="n"/>
    </row>
    <row r="50" ht="15" customHeight="1" s="35">
      <c r="H50" s="34" t="n"/>
    </row>
    <row r="51" ht="15" customHeight="1" s="35">
      <c r="H51" s="34" t="n"/>
    </row>
    <row r="52" ht="15" customHeight="1" s="35">
      <c r="H52" s="34" t="n"/>
    </row>
    <row r="53" ht="15" customHeight="1" s="35">
      <c r="H53" s="34" t="n"/>
    </row>
    <row r="54" ht="15" customHeight="1" s="35">
      <c r="H54" s="34" t="n"/>
    </row>
  </sheetData>
  <mergeCells count="1">
    <mergeCell ref="B2:I2"/>
  </mergeCells>
  <dataValidations count="2">
    <dataValidation sqref="H5:H54" showDropDown="0" showInputMessage="0" showErrorMessage="0" allowBlank="0" type="list" errorStyle="stop" operator="between">
      <formula1>"OPEN,IN REVIEW,REMEDIATED,ACCEPTED RISK,CLOSED"</formula1>
      <formula2>0</formula2>
    </dataValidation>
    <dataValidation sqref="G5:G54" showDropDown="0" showInputMessage="0" showErrorMessage="0" allowBlank="0" type="list" errorStyle="stop" operator="between">
      <formula1>"LOW,MEDIUM,HIGH,CRITICAL"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J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4" customWidth="1" style="34" min="2" max="2"/>
    <col width="18" customWidth="1" style="34" min="3" max="3"/>
    <col width="42" customWidth="1" style="34" min="4" max="4"/>
    <col width="24" customWidth="1" style="34" min="5" max="5"/>
    <col width="18" customWidth="1" style="34" min="6" max="6"/>
    <col width="22" customWidth="1" style="34" min="7" max="7"/>
    <col width="42" customWidth="1" style="34" min="8" max="8"/>
    <col width="30" customWidth="1" style="34" min="9" max="9"/>
    <col width="15" customWidth="1" style="34" min="10" max="10"/>
  </cols>
  <sheetData>
    <row r="2" ht="18.55" customHeight="1" s="35">
      <c r="B2" s="40" t="inlineStr">
        <is>
          <t>Source, Transformation, Ownership and Refresh Map</t>
        </is>
      </c>
    </row>
    <row r="4" ht="15" customHeight="1" s="35">
      <c r="B4" s="44" t="inlineStr">
        <is>
          <t>Source class</t>
        </is>
      </c>
      <c r="C4" s="44" t="inlineStr">
        <is>
          <t>Cadence</t>
        </is>
      </c>
      <c r="D4" s="44" t="inlineStr">
        <is>
          <t>Control</t>
        </is>
      </c>
      <c r="E4" s="44" t="inlineStr">
        <is>
          <t>System / provider</t>
        </is>
      </c>
      <c r="F4" s="44" t="inlineStr">
        <is>
          <t>As-of</t>
        </is>
      </c>
      <c r="G4" s="44" t="inlineStr">
        <is>
          <t>Owner</t>
        </is>
      </c>
      <c r="H4" s="44" t="inlineStr">
        <is>
          <t>Transform</t>
        </is>
      </c>
      <c r="I4" s="44" t="inlineStr">
        <is>
          <t>Downstream</t>
        </is>
      </c>
      <c r="J4" s="44" t="inlineStr">
        <is>
          <t>Status</t>
        </is>
      </c>
    </row>
    <row r="5" ht="15" customHeight="1" s="35">
      <c r="B5" s="34" t="inlineStr">
        <is>
          <t>cap table</t>
        </is>
      </c>
      <c r="C5" s="34" t="inlineStr">
        <is>
          <t>event-driven</t>
        </is>
      </c>
      <c r="D5" s="34" t="inlineStr">
        <is>
          <t>fully diluted share reconciliation</t>
        </is>
      </c>
      <c r="J5" s="34" t="inlineStr">
        <is>
          <t>TO MAP</t>
        </is>
      </c>
    </row>
    <row r="6" ht="15" customHeight="1" s="35">
      <c r="B6" s="34" t="inlineStr">
        <is>
          <t>financing instruments</t>
        </is>
      </c>
      <c r="C6" s="34" t="inlineStr">
        <is>
          <t>event-driven</t>
        </is>
      </c>
      <c r="D6" s="34" t="inlineStr">
        <is>
          <t>conversion and seniority map</t>
        </is>
      </c>
      <c r="J6" s="34" t="inlineStr">
        <is>
          <t>TO MAP</t>
        </is>
      </c>
    </row>
    <row r="7" ht="15" customHeight="1" s="35">
      <c r="B7" s="34" t="inlineStr">
        <is>
          <t>model governance evidence</t>
        </is>
      </c>
      <c r="C7" s="34" t="inlineStr">
        <is>
          <t>per release</t>
        </is>
      </c>
      <c r="D7" s="34" t="inlineStr">
        <is>
          <t>version, reviewer, sign-off and change log</t>
        </is>
      </c>
      <c r="J7" s="34" t="inlineStr">
        <is>
          <t>TO MAP</t>
        </is>
      </c>
    </row>
    <row r="8" ht="15" customHeight="1" s="35">
      <c r="B8" s="34" t="inlineStr">
        <is>
          <t>decision-use snapshot</t>
        </is>
      </c>
      <c r="C8" s="34" t="inlineStr">
        <is>
          <t>per decision</t>
        </is>
      </c>
      <c r="D8" s="34" t="inlineStr">
        <is>
          <t>immutable as-of date and source receipt</t>
        </is>
      </c>
      <c r="J8" s="34" t="inlineStr">
        <is>
          <t>TO MAP</t>
        </is>
      </c>
    </row>
    <row r="9" ht="15" customHeight="1" s="35">
      <c r="J9" s="34" t="n"/>
    </row>
    <row r="10" ht="15" customHeight="1" s="35">
      <c r="J10" s="34" t="n"/>
    </row>
    <row r="11" ht="15" customHeight="1" s="35">
      <c r="J11" s="34" t="n"/>
    </row>
    <row r="12" ht="15" customHeight="1" s="35">
      <c r="J12" s="34" t="n"/>
    </row>
    <row r="13" ht="15" customHeight="1" s="35">
      <c r="J13" s="34" t="n"/>
    </row>
    <row r="14" ht="15" customHeight="1" s="35">
      <c r="J14" s="34" t="n"/>
    </row>
    <row r="15" ht="15" customHeight="1" s="35">
      <c r="J15" s="34" t="n"/>
    </row>
    <row r="16" ht="15" customHeight="1" s="35">
      <c r="J16" s="34" t="n"/>
    </row>
    <row r="17" ht="15" customHeight="1" s="35">
      <c r="J17" s="34" t="n"/>
    </row>
    <row r="18" ht="15" customHeight="1" s="35">
      <c r="J18" s="34" t="n"/>
    </row>
    <row r="19" ht="15" customHeight="1" s="35">
      <c r="J19" s="34" t="n"/>
    </row>
    <row r="20" ht="15" customHeight="1" s="35">
      <c r="J20" s="34" t="n"/>
    </row>
    <row r="21" ht="15" customHeight="1" s="35">
      <c r="J21" s="34" t="n"/>
    </row>
    <row r="22" ht="15" customHeight="1" s="35">
      <c r="J22" s="34" t="n"/>
    </row>
    <row r="23" ht="15" customHeight="1" s="35">
      <c r="J23" s="34" t="n"/>
    </row>
    <row r="24" ht="15" customHeight="1" s="35">
      <c r="J24" s="34" t="n"/>
    </row>
    <row r="25" ht="15" customHeight="1" s="35">
      <c r="J25" s="34" t="n"/>
    </row>
    <row r="26" ht="15" customHeight="1" s="35">
      <c r="J26" s="34" t="n"/>
    </row>
    <row r="27" ht="15" customHeight="1" s="35">
      <c r="J27" s="34" t="n"/>
    </row>
    <row r="28" ht="15" customHeight="1" s="35">
      <c r="J28" s="34" t="n"/>
    </row>
    <row r="29" ht="15" customHeight="1" s="35">
      <c r="J29" s="34" t="n"/>
    </row>
    <row r="30" ht="15" customHeight="1" s="35">
      <c r="J30" s="34" t="n"/>
    </row>
    <row r="31" ht="15" customHeight="1" s="35">
      <c r="J31" s="34" t="n"/>
    </row>
    <row r="32" ht="15" customHeight="1" s="35">
      <c r="J32" s="34" t="n"/>
    </row>
    <row r="33" ht="15" customHeight="1" s="35">
      <c r="J33" s="34" t="n"/>
    </row>
    <row r="34" ht="15" customHeight="1" s="35">
      <c r="J34" s="34" t="n"/>
    </row>
    <row r="35" ht="15" customHeight="1" s="35">
      <c r="J35" s="34" t="n"/>
    </row>
    <row r="36" ht="15" customHeight="1" s="35">
      <c r="J36" s="34" t="n"/>
    </row>
    <row r="37" ht="15" customHeight="1" s="35">
      <c r="J37" s="34" t="n"/>
    </row>
    <row r="38" ht="15" customHeight="1" s="35">
      <c r="J38" s="34" t="n"/>
    </row>
    <row r="39" ht="15" customHeight="1" s="35">
      <c r="J39" s="34" t="n"/>
    </row>
    <row r="40" ht="15" customHeight="1" s="35">
      <c r="J40" s="34" t="n"/>
    </row>
  </sheetData>
  <mergeCells count="1">
    <mergeCell ref="B2:J2"/>
  </mergeCells>
  <dataValidations count="1">
    <dataValidation sqref="J5:J40" showDropDown="0" showInputMessage="0" showErrorMessage="0" allowBlank="0" type="list" errorStyle="stop" operator="between">
      <formula1>"TO MAP,ACTIVE,STALE,EXCEPTION,RETIRED"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0" customWidth="1" style="34" min="2" max="2"/>
    <col width="14" customWidth="1" style="34" min="3" max="7"/>
  </cols>
  <sheetData>
    <row r="2" ht="19.7" customHeight="1" s="35">
      <c r="B2" s="36" t="inlineStr">
        <is>
          <t>Capitalization Table</t>
        </is>
      </c>
    </row>
    <row r="4" ht="15" customHeight="1" s="35">
      <c r="A4" s="45" t="n"/>
      <c r="B4" s="45" t="inlineStr">
        <is>
          <t>Holder / Class</t>
        </is>
      </c>
      <c r="C4" s="45" t="inlineStr">
        <is>
          <t>Shares</t>
        </is>
      </c>
      <c r="D4" s="45" t="inlineStr">
        <is>
          <t>% Fully Diluted</t>
        </is>
      </c>
      <c r="E4" s="45" t="inlineStr">
        <is>
          <t>Price paid/sh</t>
        </is>
      </c>
      <c r="F4" s="45" t="inlineStr">
        <is>
          <t>Invested $</t>
        </is>
      </c>
      <c r="G4" s="45" t="inlineStr">
        <is>
          <t>Class</t>
        </is>
      </c>
    </row>
    <row r="5" ht="15" customHeight="1" s="35">
      <c r="B5" s="46" t="inlineStr">
        <is>
          <t>Founders (common)</t>
        </is>
      </c>
      <c r="C5" s="47" t="n">
        <v>0</v>
      </c>
      <c r="D5" s="48">
        <f>IFERROR(C5/$C$11,"-")</f>
        <v/>
      </c>
      <c r="E5" s="49" t="n">
        <v>0</v>
      </c>
      <c r="F5" s="50">
        <f>C5*E5</f>
        <v/>
      </c>
      <c r="G5" s="38" t="inlineStr">
        <is>
          <t>Common/Pref</t>
        </is>
      </c>
    </row>
    <row r="6" ht="15" customHeight="1" s="35">
      <c r="B6" s="46" t="inlineStr">
        <is>
          <t>Employee option pool</t>
        </is>
      </c>
      <c r="C6" s="47" t="n">
        <v>0</v>
      </c>
      <c r="D6" s="48">
        <f>IFERROR(C6/$C$11,"-")</f>
        <v/>
      </c>
      <c r="E6" s="49" t="n">
        <v>0</v>
      </c>
      <c r="F6" s="50">
        <f>C6*E6</f>
        <v/>
      </c>
      <c r="G6" s="38" t="inlineStr">
        <is>
          <t>Common/Pref</t>
        </is>
      </c>
    </row>
    <row r="7" ht="15" customHeight="1" s="35">
      <c r="B7" s="46" t="inlineStr">
        <is>
          <t>SAFE holders (pre-conversion)</t>
        </is>
      </c>
      <c r="C7" s="47" t="n">
        <v>0</v>
      </c>
      <c r="D7" s="48">
        <f>IFERROR(C7/$C$11,"-")</f>
        <v/>
      </c>
      <c r="E7" s="49" t="n">
        <v>0</v>
      </c>
      <c r="F7" s="50">
        <f>C7*E7</f>
        <v/>
      </c>
      <c r="G7" s="38" t="inlineStr">
        <is>
          <t>Common/Pref</t>
        </is>
      </c>
    </row>
    <row r="8" ht="15" customHeight="1" s="35">
      <c r="B8" s="46" t="inlineStr">
        <is>
          <t>Seed preferred</t>
        </is>
      </c>
      <c r="C8" s="47" t="n">
        <v>0</v>
      </c>
      <c r="D8" s="48">
        <f>IFERROR(C8/$C$11,"-")</f>
        <v/>
      </c>
      <c r="E8" s="49" t="n">
        <v>0</v>
      </c>
      <c r="F8" s="50">
        <f>C8*E8</f>
        <v/>
      </c>
      <c r="G8" s="38" t="inlineStr">
        <is>
          <t>Common/Pref</t>
        </is>
      </c>
    </row>
    <row r="9" ht="15" customHeight="1" s="35">
      <c r="B9" s="46" t="inlineStr">
        <is>
          <t>Series A preferred</t>
        </is>
      </c>
      <c r="C9" s="47" t="n">
        <v>0</v>
      </c>
      <c r="D9" s="48">
        <f>IFERROR(C9/$C$11,"-")</f>
        <v/>
      </c>
      <c r="E9" s="49" t="n">
        <v>0</v>
      </c>
      <c r="F9" s="50">
        <f>C9*E9</f>
        <v/>
      </c>
      <c r="G9" s="38" t="inlineStr">
        <is>
          <t>Common/Pref</t>
        </is>
      </c>
    </row>
    <row r="10" ht="15" customHeight="1" s="35">
      <c r="B10" s="46" t="inlineStr">
        <is>
          <t>Series B preferred</t>
        </is>
      </c>
      <c r="C10" s="47" t="n">
        <v>0</v>
      </c>
      <c r="D10" s="48">
        <f>IFERROR(C10/$C$11,"-")</f>
        <v/>
      </c>
      <c r="E10" s="49" t="n">
        <v>0</v>
      </c>
      <c r="F10" s="50">
        <f>C10*E10</f>
        <v/>
      </c>
      <c r="G10" s="38" t="inlineStr">
        <is>
          <t>Common/Pref</t>
        </is>
      </c>
    </row>
    <row r="11" ht="15" customHeight="1" s="35">
      <c r="B11" s="37" t="inlineStr">
        <is>
          <t>Total</t>
        </is>
      </c>
      <c r="C11" s="51">
        <f>SUM(C5:C10)</f>
        <v/>
      </c>
      <c r="F11" s="52">
        <f>SUM(F5:F10)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6" customWidth="1" style="34" min="2" max="2"/>
    <col width="16" customWidth="1" style="34" min="3" max="3"/>
    <col width="4" customWidth="1" style="34" min="4" max="4"/>
    <col width="26" customWidth="1" style="34" min="5" max="5"/>
    <col width="16" customWidth="1" style="34" min="6" max="6"/>
  </cols>
  <sheetData>
    <row r="2" ht="19.7" customHeight="1" s="35">
      <c r="B2" s="36" t="inlineStr">
        <is>
          <t>New Round Modeling</t>
        </is>
      </c>
    </row>
    <row r="4" ht="15" customHeight="1" s="35">
      <c r="B4" s="53" t="inlineStr">
        <is>
          <t>Inputs</t>
        </is>
      </c>
      <c r="E4" s="53" t="inlineStr">
        <is>
          <t>Outputs</t>
        </is>
      </c>
    </row>
    <row r="5" ht="15" customHeight="1" s="35">
      <c r="B5" s="46" t="inlineStr">
        <is>
          <t>Pre-money valuation</t>
        </is>
      </c>
      <c r="C5" s="54" t="n">
        <v>0</v>
      </c>
      <c r="E5" s="34" t="inlineStr">
        <is>
          <t>Post-money valuation</t>
        </is>
      </c>
      <c r="F5" s="50">
        <f>C5+C6</f>
        <v/>
      </c>
    </row>
    <row r="6" ht="15" customHeight="1" s="35">
      <c r="B6" s="46" t="inlineStr">
        <is>
          <t>New money raised</t>
        </is>
      </c>
      <c r="C6" s="54" t="n">
        <v>0</v>
      </c>
      <c r="E6" s="34" t="inlineStr">
        <is>
          <t>Price per share</t>
        </is>
      </c>
      <c r="F6" s="55">
        <f>IFERROR(C5/C8,"-")</f>
        <v/>
      </c>
    </row>
    <row r="7" ht="15" customHeight="1" s="35">
      <c r="B7" s="46" t="inlineStr">
        <is>
          <t>New option pool top-up %</t>
        </is>
      </c>
      <c r="C7" s="56" t="n">
        <v>0</v>
      </c>
      <c r="E7" s="34" t="inlineStr">
        <is>
          <t>New shares issued (investor)</t>
        </is>
      </c>
      <c r="F7" s="57">
        <f>IFERROR(C6/F6,"-")</f>
        <v/>
      </c>
    </row>
    <row r="8" ht="15" customHeight="1" s="35">
      <c r="B8" s="46" t="inlineStr">
        <is>
          <t>Existing fully diluted shares</t>
        </is>
      </c>
      <c r="C8" s="58" t="n">
        <v>0</v>
      </c>
      <c r="E8" s="34" t="inlineStr">
        <is>
          <t>New pool shares (top-up)</t>
        </is>
      </c>
      <c r="F8" s="57">
        <f>IFERROR(C7*(C8+F7),"-")</f>
        <v/>
      </c>
    </row>
    <row r="9" ht="15" customHeight="1" s="35">
      <c r="E9" s="34" t="inlineStr">
        <is>
          <t>Total post-round shares</t>
        </is>
      </c>
      <c r="F9" s="59">
        <f>IFERROR(C8+F7+F8,"-")</f>
        <v/>
      </c>
    </row>
    <row r="10" ht="15" customHeight="1" s="35">
      <c r="E10" s="34" t="inlineStr">
        <is>
          <t>New investor ownership %</t>
        </is>
      </c>
      <c r="F10" s="60">
        <f>IFERROR(F7/F9,"-")</f>
        <v/>
      </c>
    </row>
    <row r="11" ht="15" customHeight="1" s="35">
      <c r="E11" s="34" t="inlineStr">
        <is>
          <t>Existing holder dilution %</t>
        </is>
      </c>
      <c r="F11" s="60">
        <f>IFERROR(1-C8/F9,"-")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8" customWidth="1" style="34" min="2" max="2"/>
    <col width="14" customWidth="1" style="34" min="3" max="3"/>
    <col width="4" customWidth="1" style="34" min="4" max="4"/>
    <col width="28" customWidth="1" style="34" min="5" max="5"/>
    <col width="16" customWidth="1" style="34" min="6" max="6"/>
  </cols>
  <sheetData>
    <row r="2" ht="19.7" customHeight="1" s="35">
      <c r="B2" s="36" t="inlineStr">
        <is>
          <t>SAFE / Convertible Note Conversion</t>
        </is>
      </c>
    </row>
    <row r="4" ht="15" customHeight="1" s="35">
      <c r="B4" s="53" t="inlineStr">
        <is>
          <t>SAFE Terms</t>
        </is>
      </c>
      <c r="E4" s="53" t="inlineStr">
        <is>
          <t>At Priced Round</t>
        </is>
      </c>
    </row>
    <row r="5" ht="15" customHeight="1" s="35">
      <c r="B5" s="46" t="inlineStr">
        <is>
          <t>SAFE investment amount</t>
        </is>
      </c>
      <c r="C5" s="54" t="n">
        <v>0</v>
      </c>
      <c r="E5" s="34" t="inlineStr">
        <is>
          <t>Priced round price/share</t>
        </is>
      </c>
      <c r="F5" s="61">
        <f>'Round Modeling'!F6</f>
        <v/>
      </c>
    </row>
    <row r="6" ht="15" customHeight="1" s="35">
      <c r="B6" s="46" t="inlineStr">
        <is>
          <t>Valuation cap</t>
        </is>
      </c>
      <c r="C6" s="54" t="n">
        <v>0</v>
      </c>
      <c r="E6" s="34" t="inlineStr">
        <is>
          <t>Cap price/share (cap / pre-round FD shares)</t>
        </is>
      </c>
      <c r="F6" s="55">
        <f>IFERROR(C6/'Round Modeling'!C8,"-")</f>
        <v/>
      </c>
    </row>
    <row r="7" ht="15" customHeight="1" s="35">
      <c r="B7" s="46" t="inlineStr">
        <is>
          <t>Discount %</t>
        </is>
      </c>
      <c r="C7" s="56" t="n">
        <v>0</v>
      </c>
      <c r="E7" s="34" t="inlineStr">
        <is>
          <t>Discount price/share</t>
        </is>
      </c>
      <c r="F7" s="55">
        <f>IFERROR(F5*(1-C7),"-")</f>
        <v/>
      </c>
    </row>
    <row r="8" ht="15" customHeight="1" s="35">
      <c r="E8" s="34" t="inlineStr">
        <is>
          <t>SAFE conversion price (lower of cap/discount/round)</t>
        </is>
      </c>
      <c r="F8" s="62">
        <f>IFERROR(MIN(IF(ISNUMBER(F5),F5,9E+099),IF(ISNUMBER(F6),F6,9E+099),IF(ISNUMBER(F7),F7,9E+099)),"-")</f>
        <v/>
      </c>
    </row>
    <row r="9" ht="15" customHeight="1" s="35">
      <c r="E9" s="34" t="inlineStr">
        <is>
          <t>SAFE shares issued</t>
        </is>
      </c>
      <c r="F9" s="59">
        <f>IFERROR(C5/F8,"-")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2:G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0" customWidth="1" style="34" min="2" max="2"/>
    <col width="14" customWidth="1" style="34" min="3" max="3"/>
    <col width="16" customWidth="1" style="34" min="4" max="6"/>
    <col width="20" customWidth="1" style="34" min="7" max="7"/>
  </cols>
  <sheetData>
    <row r="2" ht="19.7" customHeight="1" s="35">
      <c r="B2" s="36" t="inlineStr">
        <is>
          <t>Comparable Financings</t>
        </is>
      </c>
    </row>
    <row r="4" ht="15" customHeight="1" s="35">
      <c r="A4" s="45" t="n"/>
      <c r="B4" s="45" t="inlineStr">
        <is>
          <t>Company</t>
        </is>
      </c>
      <c r="C4" s="45" t="inlineStr">
        <is>
          <t>Round</t>
        </is>
      </c>
      <c r="D4" s="45" t="inlineStr">
        <is>
          <t>Date</t>
        </is>
      </c>
      <c r="E4" s="45" t="inlineStr">
        <is>
          <t>Pre-money</t>
        </is>
      </c>
      <c r="F4" s="45" t="inlineStr">
        <is>
          <t>Amount raised</t>
        </is>
      </c>
      <c r="G4" s="34" t="inlineStr">
        <is>
          <t>Lead investor</t>
        </is>
      </c>
    </row>
    <row r="5" ht="15" customHeight="1" s="35">
      <c r="B5" s="63" t="inlineStr">
        <is>
          <t>[fill in]</t>
        </is>
      </c>
      <c r="C5" s="63" t="inlineStr">
        <is>
          <t>[fill in]</t>
        </is>
      </c>
      <c r="D5" s="63" t="inlineStr">
        <is>
          <t>[fill in]</t>
        </is>
      </c>
      <c r="E5" s="64" t="n">
        <v>0</v>
      </c>
      <c r="F5" s="64" t="n">
        <v>0</v>
      </c>
      <c r="G5" s="63" t="inlineStr">
        <is>
          <t>[fill in]</t>
        </is>
      </c>
    </row>
    <row r="6" ht="15" customHeight="1" s="35">
      <c r="B6" s="63" t="inlineStr">
        <is>
          <t>[fill in]</t>
        </is>
      </c>
      <c r="C6" s="63" t="inlineStr">
        <is>
          <t>[fill in]</t>
        </is>
      </c>
      <c r="D6" s="63" t="inlineStr">
        <is>
          <t>[fill in]</t>
        </is>
      </c>
      <c r="E6" s="64" t="n">
        <v>0</v>
      </c>
      <c r="F6" s="64" t="n">
        <v>0</v>
      </c>
      <c r="G6" s="63" t="inlineStr">
        <is>
          <t>[fill in]</t>
        </is>
      </c>
    </row>
    <row r="7" ht="15" customHeight="1" s="35">
      <c r="B7" s="63" t="inlineStr">
        <is>
          <t>[fill in]</t>
        </is>
      </c>
      <c r="C7" s="63" t="inlineStr">
        <is>
          <t>[fill in]</t>
        </is>
      </c>
      <c r="D7" s="63" t="inlineStr">
        <is>
          <t>[fill in]</t>
        </is>
      </c>
      <c r="E7" s="64" t="n">
        <v>0</v>
      </c>
      <c r="F7" s="64" t="n">
        <v>0</v>
      </c>
      <c r="G7" s="63" t="inlineStr">
        <is>
          <t>[fill in]</t>
        </is>
      </c>
    </row>
    <row r="8" ht="15" customHeight="1" s="35">
      <c r="B8" s="63" t="inlineStr">
        <is>
          <t>[fill in]</t>
        </is>
      </c>
      <c r="C8" s="63" t="inlineStr">
        <is>
          <t>[fill in]</t>
        </is>
      </c>
      <c r="D8" s="63" t="inlineStr">
        <is>
          <t>[fill in]</t>
        </is>
      </c>
      <c r="E8" s="64" t="n">
        <v>0</v>
      </c>
      <c r="F8" s="64" t="n">
        <v>0</v>
      </c>
      <c r="G8" s="63" t="inlineStr">
        <is>
          <t>[fill in]</t>
        </is>
      </c>
    </row>
    <row r="9" ht="15" customHeight="1" s="35">
      <c r="B9" s="63" t="inlineStr">
        <is>
          <t>[fill in]</t>
        </is>
      </c>
      <c r="C9" s="63" t="inlineStr">
        <is>
          <t>[fill in]</t>
        </is>
      </c>
      <c r="D9" s="63" t="inlineStr">
        <is>
          <t>[fill in]</t>
        </is>
      </c>
      <c r="E9" s="64" t="n">
        <v>0</v>
      </c>
      <c r="F9" s="64" t="n">
        <v>0</v>
      </c>
      <c r="G9" s="63" t="inlineStr">
        <is>
          <t>[fill in]</t>
        </is>
      </c>
    </row>
    <row r="10" ht="15" customHeight="1" s="35">
      <c r="B10" s="63" t="inlineStr">
        <is>
          <t>[fill in]</t>
        </is>
      </c>
      <c r="C10" s="63" t="inlineStr">
        <is>
          <t>[fill in]</t>
        </is>
      </c>
      <c r="D10" s="63" t="inlineStr">
        <is>
          <t>[fill in]</t>
        </is>
      </c>
      <c r="E10" s="64" t="n">
        <v>0</v>
      </c>
      <c r="F10" s="64" t="n">
        <v>0</v>
      </c>
      <c r="G10" s="63" t="inlineStr">
        <is>
          <t>[fill in]</t>
        </is>
      </c>
    </row>
    <row r="11" ht="15" customHeight="1" s="35">
      <c r="B11" s="63" t="inlineStr">
        <is>
          <t>[fill in]</t>
        </is>
      </c>
      <c r="C11" s="63" t="inlineStr">
        <is>
          <t>[fill in]</t>
        </is>
      </c>
      <c r="D11" s="63" t="inlineStr">
        <is>
          <t>[fill in]</t>
        </is>
      </c>
      <c r="E11" s="64" t="n">
        <v>0</v>
      </c>
      <c r="F11" s="64" t="n">
        <v>0</v>
      </c>
      <c r="G11" s="63" t="inlineStr">
        <is>
          <t>[fill in]</t>
        </is>
      </c>
    </row>
    <row r="12" ht="15" customHeight="1" s="35">
      <c r="B12" s="63" t="inlineStr">
        <is>
          <t>[fill in]</t>
        </is>
      </c>
      <c r="C12" s="63" t="inlineStr">
        <is>
          <t>[fill in]</t>
        </is>
      </c>
      <c r="D12" s="63" t="inlineStr">
        <is>
          <t>[fill in]</t>
        </is>
      </c>
      <c r="E12" s="64" t="n">
        <v>0</v>
      </c>
      <c r="F12" s="64" t="n">
        <v>0</v>
      </c>
      <c r="G12" s="63" t="inlineStr">
        <is>
          <t>[fill in]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14" customWidth="1" style="34" min="2" max="2"/>
    <col width="16" customWidth="1" style="34" min="3" max="3"/>
    <col width="30" customWidth="1" style="34" min="4" max="5"/>
    <col width="16" customWidth="1" style="34" min="6" max="6"/>
  </cols>
  <sheetData>
    <row r="2" ht="19.7" customHeight="1" s="35">
      <c r="B2" s="36" t="inlineStr">
        <is>
          <t>Refresh Log</t>
        </is>
      </c>
    </row>
    <row r="4" ht="15" customHeight="1" s="35">
      <c r="B4" s="45" t="inlineStr">
        <is>
          <t>Date</t>
        </is>
      </c>
      <c r="C4" s="45" t="inlineStr">
        <is>
          <t>Trigger</t>
        </is>
      </c>
      <c r="D4" s="45" t="inlineStr">
        <is>
          <t>What changed</t>
        </is>
      </c>
      <c r="E4" s="45" t="inlineStr">
        <is>
          <t>Reviewer notes</t>
        </is>
      </c>
      <c r="F4" s="45" t="inlineStr">
        <is>
          <t>Next check</t>
        </is>
      </c>
    </row>
    <row r="5" ht="15" customHeight="1" s="35">
      <c r="B5" s="65" t="inlineStr">
        <is>
          <t>2026-08-04</t>
        </is>
      </c>
      <c r="C5" s="65" t="inlineStr">
        <is>
          <t>External historical evidence materialization</t>
        </is>
      </c>
      <c r="D5" s="65" t="inlineStr">
        <is>
          <t>Generated public case vc-public-snowflake-2020 from canonical release template</t>
        </is>
      </c>
      <c r="E5" s="65" t="inlineStr">
        <is>
          <t>External historical case; human stakeholder approval remains pending</t>
        </is>
      </c>
      <c r="F5" s="65" t="inlineStr">
        <is>
          <t>On source revision, builder change, monitoring breach, or annual review</t>
        </is>
      </c>
    </row>
    <row r="6" ht="15" customHeight="1" s="35">
      <c r="B6" s="65" t="n"/>
      <c r="C6" s="65" t="n"/>
      <c r="D6" s="65" t="n"/>
      <c r="E6" s="65" t="n"/>
      <c r="F6" s="65" t="n"/>
    </row>
    <row r="7" ht="15" customHeight="1" s="35">
      <c r="B7" s="65" t="n"/>
      <c r="C7" s="65" t="n"/>
      <c r="D7" s="65" t="n"/>
      <c r="E7" s="65" t="n"/>
      <c r="F7" s="65" t="n"/>
    </row>
    <row r="8" ht="15" customHeight="1" s="35">
      <c r="B8" s="65" t="n"/>
      <c r="C8" s="65" t="n"/>
      <c r="D8" s="65" t="n"/>
      <c r="E8" s="65" t="n"/>
      <c r="F8" s="65" t="n"/>
    </row>
    <row r="9" ht="15" customHeight="1" s="35">
      <c r="B9" s="65" t="n"/>
      <c r="C9" s="65" t="n"/>
      <c r="D9" s="65" t="n"/>
      <c r="E9" s="65" t="n"/>
      <c r="F9" s="65" t="n"/>
    </row>
    <row r="10" ht="15" customHeight="1" s="35">
      <c r="B10" s="65" t="n"/>
      <c r="C10" s="65" t="n"/>
      <c r="D10" s="65" t="n"/>
      <c r="E10" s="65" t="n"/>
      <c r="F10" s="65" t="n"/>
    </row>
    <row r="11" ht="15" customHeight="1" s="35">
      <c r="B11" s="65" t="n"/>
      <c r="C11" s="65" t="n"/>
      <c r="D11" s="65" t="n"/>
      <c r="E11" s="65" t="n"/>
      <c r="F11" s="65" t="n"/>
    </row>
    <row r="12" ht="15" customHeight="1" s="35">
      <c r="B12" s="65" t="n"/>
      <c r="C12" s="65" t="n"/>
      <c r="D12" s="65" t="n"/>
      <c r="E12" s="65" t="n"/>
      <c r="F12" s="65" t="n"/>
    </row>
    <row r="13" ht="15" customHeight="1" s="35">
      <c r="B13" s="65" t="n"/>
      <c r="C13" s="65" t="n"/>
      <c r="D13" s="65" t="n"/>
      <c r="E13" s="65" t="n"/>
      <c r="F13" s="65" t="n"/>
    </row>
    <row r="14" ht="15" customHeight="1" s="35">
      <c r="B14" s="65" t="n"/>
      <c r="C14" s="65" t="n"/>
      <c r="D14" s="65" t="n"/>
      <c r="E14" s="65" t="n"/>
      <c r="F14" s="6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46" customWidth="1" style="34" min="5" max="5"/>
  </cols>
  <sheetData>
    <row r="2" ht="19.7" customHeight="1" s="35">
      <c r="B2" s="36" t="inlineStr">
        <is>
          <t>Post-Money Ownership, Option Pool, and Round Pricing</t>
        </is>
      </c>
    </row>
    <row r="4" ht="15" customHeight="1" s="35">
      <c r="B4" s="45" t="inlineStr">
        <is>
          <t>Metric</t>
        </is>
      </c>
      <c r="C4" s="45" t="inlineStr">
        <is>
          <t>Base</t>
        </is>
      </c>
      <c r="D4" s="45" t="inlineStr">
        <is>
          <t>Adversarial</t>
        </is>
      </c>
      <c r="E4" s="45" t="inlineStr">
        <is>
          <t>Units / control</t>
        </is>
      </c>
    </row>
    <row r="5" ht="15" customHeight="1" s="35">
      <c r="B5" s="34" t="inlineStr">
        <is>
          <t>Pre-money value</t>
        </is>
      </c>
      <c r="C5" s="66" t="n">
        <v>30000</v>
      </c>
      <c r="D5" s="54" t="n">
        <v>100</v>
      </c>
    </row>
    <row r="6" ht="15" customHeight="1" s="35">
      <c r="B6" s="34" t="inlineStr">
        <is>
          <t>Investment</t>
        </is>
      </c>
      <c r="C6" s="66" t="n">
        <v>3360</v>
      </c>
      <c r="D6" s="54" t="n">
        <v>20</v>
      </c>
    </row>
    <row r="7" ht="15" customHeight="1" s="35">
      <c r="B7" s="34" t="inlineStr">
        <is>
          <t>Existing shares</t>
        </is>
      </c>
      <c r="C7" s="67" t="n">
        <v>250</v>
      </c>
      <c r="D7" s="58" t="n">
        <v>10</v>
      </c>
    </row>
    <row r="8" ht="15" customHeight="1" s="35">
      <c r="B8" s="34" t="inlineStr">
        <is>
          <t>New investor shares</t>
        </is>
      </c>
      <c r="C8" s="67" t="n">
        <v>28</v>
      </c>
      <c r="D8" s="58" t="n">
        <v>4</v>
      </c>
    </row>
    <row r="9" ht="15" customHeight="1" s="35">
      <c r="B9" s="34" t="inlineStr">
        <is>
          <t>Option-pool expansion</t>
        </is>
      </c>
      <c r="C9" s="58" t="n">
        <v>0</v>
      </c>
      <c r="D9" s="58" t="n">
        <v>5</v>
      </c>
    </row>
    <row r="10" ht="15" customHeight="1" s="35">
      <c r="B10" s="34" t="inlineStr">
        <is>
          <t>Maximum investor ownership</t>
        </is>
      </c>
      <c r="C10" s="56" t="n">
        <v>0.4</v>
      </c>
      <c r="D10" s="56" t="n">
        <v>0.4</v>
      </c>
    </row>
    <row r="11" ht="15" customHeight="1" s="35">
      <c r="B11" s="34" t="inlineStr">
        <is>
          <t>Maximum option-pool dilution</t>
        </is>
      </c>
      <c r="C11" s="56" t="n">
        <v>0.2</v>
      </c>
      <c r="D11" s="56" t="n">
        <v>0.2</v>
      </c>
    </row>
    <row r="15" ht="15" customHeight="1" s="35">
      <c r="B15" s="34" t="inlineStr">
        <is>
          <t>Post-money value</t>
        </is>
      </c>
      <c r="C15" s="50">
        <f>C5+C6</f>
        <v/>
      </c>
      <c r="D15" s="50">
        <f>D5+D6</f>
        <v/>
      </c>
    </row>
    <row r="16" ht="15" customHeight="1" s="35">
      <c r="B16" s="34" t="inlineStr">
        <is>
          <t>Total post-money shares</t>
        </is>
      </c>
      <c r="C16" s="50">
        <f>C7+C8+C9</f>
        <v/>
      </c>
      <c r="D16" s="50">
        <f>D7+D8+D9</f>
        <v/>
      </c>
    </row>
    <row r="17" ht="15" customHeight="1" s="35">
      <c r="B17" s="34" t="inlineStr">
        <is>
          <t>Investor ownership</t>
        </is>
      </c>
      <c r="C17" s="60">
        <f>IFERROR(C8/C16,0)</f>
        <v/>
      </c>
      <c r="D17" s="60">
        <f>IFERROR(D8/D16,0)</f>
        <v/>
      </c>
    </row>
    <row r="18" ht="15" customHeight="1" s="35">
      <c r="B18" s="34" t="inlineStr">
        <is>
          <t>Founder ownership</t>
        </is>
      </c>
      <c r="C18" s="60">
        <f>IFERROR(C7/C16,0)</f>
        <v/>
      </c>
      <c r="D18" s="60">
        <f>IFERROR(D7/D16,0)</f>
        <v/>
      </c>
    </row>
    <row r="19" ht="15" customHeight="1" s="35">
      <c r="B19" s="34" t="inlineStr">
        <is>
          <t>Option-pool ownership</t>
        </is>
      </c>
      <c r="C19" s="60">
        <f>IFERROR(C9/C16,0)</f>
        <v/>
      </c>
      <c r="D19" s="60">
        <f>IFERROR(D9/D16,0)</f>
        <v/>
      </c>
    </row>
    <row r="20" ht="15" customHeight="1" s="35">
      <c r="B20" s="34" t="inlineStr">
        <is>
          <t>Round price / share</t>
        </is>
      </c>
      <c r="C20" s="50">
        <f>IFERROR(C6/C8,0)</f>
        <v/>
      </c>
      <c r="D20" s="50">
        <f>IFERROR(D6/D8,0)</f>
        <v/>
      </c>
    </row>
    <row r="21" ht="15" customHeight="1" s="35">
      <c r="B21" s="34" t="inlineStr">
        <is>
          <t>Pre-money implied price / share</t>
        </is>
      </c>
      <c r="C21" s="50">
        <f>IFERROR(C5/C7,0)</f>
        <v/>
      </c>
      <c r="D21" s="50">
        <f>IFERROR(D5/D7,0)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46" customWidth="1" style="34" min="5" max="5"/>
  </cols>
  <sheetData>
    <row r="2" ht="19.7" customHeight="1" s="35">
      <c r="B2" s="36" t="inlineStr">
        <is>
          <t>Follow-On Requirements, Reserves, and Ownership Defense</t>
        </is>
      </c>
    </row>
    <row r="4" ht="15" customHeight="1" s="35">
      <c r="B4" s="45" t="inlineStr">
        <is>
          <t>Metric</t>
        </is>
      </c>
      <c r="C4" s="45" t="inlineStr">
        <is>
          <t>Base</t>
        </is>
      </c>
      <c r="D4" s="45" t="inlineStr">
        <is>
          <t>Adversarial</t>
        </is>
      </c>
      <c r="E4" s="45" t="inlineStr">
        <is>
          <t>Units / control</t>
        </is>
      </c>
    </row>
    <row r="5" ht="15" customHeight="1" s="35">
      <c r="B5" s="34" t="inlineStr">
        <is>
          <t>Follow-on required</t>
        </is>
      </c>
      <c r="C5" s="54" t="n">
        <v>10</v>
      </c>
      <c r="D5" s="54" t="n">
        <v>30</v>
      </c>
    </row>
    <row r="6" ht="15" customHeight="1" s="35">
      <c r="B6" s="34" t="inlineStr">
        <is>
          <t>Available reserves</t>
        </is>
      </c>
      <c r="C6" s="54" t="n">
        <v>15</v>
      </c>
      <c r="D6" s="54" t="n">
        <v>5</v>
      </c>
    </row>
    <row r="7" ht="15" customHeight="1" s="35">
      <c r="B7" s="34" t="inlineStr">
        <is>
          <t>Pro rata ownership target</t>
        </is>
      </c>
      <c r="C7" s="56" t="n">
        <v>0.2</v>
      </c>
      <c r="D7" s="56" t="n">
        <v>0.2</v>
      </c>
    </row>
    <row r="8" ht="15" customHeight="1" s="35">
      <c r="B8" s="34" t="inlineStr">
        <is>
          <t>Next-round size</t>
        </is>
      </c>
      <c r="C8" s="54" t="n">
        <v>40</v>
      </c>
      <c r="D8" s="54" t="n">
        <v>60</v>
      </c>
    </row>
    <row r="11" ht="15" customHeight="1" s="35">
      <c r="B11" s="34" t="inlineStr">
        <is>
          <t>Reserve gap</t>
        </is>
      </c>
      <c r="C11" s="50">
        <f>MAX(0,C5-C6)</f>
        <v/>
      </c>
      <c r="D11" s="50">
        <f>MAX(0,D5-D6)</f>
        <v/>
      </c>
    </row>
    <row r="12" ht="15" customHeight="1" s="35">
      <c r="B12" s="34" t="inlineStr">
        <is>
          <t>Pro rata capital required</t>
        </is>
      </c>
      <c r="C12" s="50">
        <f>C7*C8</f>
        <v/>
      </c>
      <c r="D12" s="50">
        <f>D7*D8</f>
        <v/>
      </c>
    </row>
    <row r="13" ht="15" customHeight="1" s="35">
      <c r="B13" s="34" t="inlineStr">
        <is>
          <t>Ownership-defense shortfall</t>
        </is>
      </c>
      <c r="C13" s="50">
        <f>MAX(0,C12-C6)</f>
        <v/>
      </c>
      <c r="D13" s="50">
        <f>MAX(0,D12-D6)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46" customWidth="1" style="34" min="5" max="5"/>
  </cols>
  <sheetData>
    <row r="2" ht="19.7" customHeight="1" s="35">
      <c r="B2" s="36" t="inlineStr">
        <is>
          <t>Exit Proceeds, Investor MOIC, and Return Thresholds</t>
        </is>
      </c>
    </row>
    <row r="4" ht="15" customHeight="1" s="35">
      <c r="B4" s="45" t="inlineStr">
        <is>
          <t>Metric</t>
        </is>
      </c>
      <c r="C4" s="45" t="inlineStr">
        <is>
          <t>Base</t>
        </is>
      </c>
      <c r="D4" s="45" t="inlineStr">
        <is>
          <t>Adversarial</t>
        </is>
      </c>
      <c r="E4" s="45" t="inlineStr">
        <is>
          <t>Units / control</t>
        </is>
      </c>
    </row>
    <row r="5" ht="15" customHeight="1" s="35">
      <c r="B5" s="34" t="inlineStr">
        <is>
          <t>Exit equity value</t>
        </is>
      </c>
      <c r="C5" s="54" t="n">
        <v>500</v>
      </c>
      <c r="D5" s="54" t="n">
        <v>80</v>
      </c>
    </row>
    <row r="6" ht="15" customHeight="1" s="35">
      <c r="B6" s="34" t="inlineStr">
        <is>
          <t>Investment cost</t>
        </is>
      </c>
      <c r="C6" s="54" t="n">
        <v>20</v>
      </c>
      <c r="D6" s="54" t="n">
        <v>20</v>
      </c>
    </row>
    <row r="7" ht="15" customHeight="1" s="35">
      <c r="B7" s="34" t="inlineStr">
        <is>
          <t>Minimum gross MOIC</t>
        </is>
      </c>
      <c r="C7" s="68" t="n">
        <v>3</v>
      </c>
      <c r="D7" s="68" t="n">
        <v>3</v>
      </c>
    </row>
    <row r="11" ht="15" customHeight="1" s="35">
      <c r="B11" s="34" t="inlineStr">
        <is>
          <t>Investor ownership</t>
        </is>
      </c>
      <c r="C11" s="60">
        <f>'Ownership &amp; Dilution'!C17</f>
        <v/>
      </c>
      <c r="D11" s="60">
        <f>'Ownership &amp; Dilution'!D17</f>
        <v/>
      </c>
    </row>
    <row r="12" ht="15" customHeight="1" s="35">
      <c r="B12" s="34" t="inlineStr">
        <is>
          <t>Investor exit proceeds</t>
        </is>
      </c>
      <c r="C12" s="50">
        <f>C5*C11</f>
        <v/>
      </c>
      <c r="D12" s="50">
        <f>D5*D11</f>
        <v/>
      </c>
    </row>
    <row r="13" ht="15" customHeight="1" s="35">
      <c r="B13" s="34" t="inlineStr">
        <is>
          <t>Gross MOIC</t>
        </is>
      </c>
      <c r="C13" s="69">
        <f>IFERROR(C12/C6,0)</f>
        <v/>
      </c>
      <c r="D13" s="69">
        <f>IFERROR(D12/D6,0)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54" customWidth="1" style="34" min="5" max="5"/>
  </cols>
  <sheetData>
    <row r="2" ht="19.7" customHeight="1" s="35">
      <c r="B2" s="36" t="inlineStr">
        <is>
          <t>Venture Capital Decision Dashboard and Independent Checks</t>
        </is>
      </c>
    </row>
    <row r="4" ht="15" customHeight="1" s="35">
      <c r="B4" s="45" t="inlineStr">
        <is>
          <t>Check / decision</t>
        </is>
      </c>
      <c r="C4" s="45" t="inlineStr">
        <is>
          <t>Metric</t>
        </is>
      </c>
      <c r="D4" s="45" t="inlineStr">
        <is>
          <t>Status</t>
        </is>
      </c>
      <c r="E4" s="45" t="inlineStr">
        <is>
          <t>Interpretation / action</t>
        </is>
      </c>
    </row>
    <row r="5" ht="15" customHeight="1" s="35">
      <c r="B5" s="34" t="inlineStr">
        <is>
          <t>Post-money identity residual</t>
        </is>
      </c>
      <c r="C5" s="57">
        <f>'Ownership &amp; Dilution'!D15-'Ownership &amp; Dilution'!D5-'Ownership &amp; Dilution'!D6</f>
        <v/>
      </c>
      <c r="D5" s="65">
        <f>IF(ABS(C5)&lt;0.01,"PASS","FAIL")</f>
        <v/>
      </c>
      <c r="E5" s="34" t="inlineStr">
        <is>
          <t>Post-money value must equal pre-money value plus new investment.</t>
        </is>
      </c>
    </row>
    <row r="6" ht="15" customHeight="1" s="35">
      <c r="B6" s="34" t="inlineStr">
        <is>
          <t>Ownership conservation residual</t>
        </is>
      </c>
      <c r="C6" s="57">
        <f>'Ownership &amp; Dilution'!D17+'Ownership &amp; Dilution'!D18+'Ownership &amp; Dilution'!D19-1</f>
        <v/>
      </c>
      <c r="D6" s="65">
        <f>IF(ABS(C6)&lt;0.000001,"PASS","FAIL")</f>
        <v/>
      </c>
      <c r="E6" s="34" t="inlineStr">
        <is>
          <t>Investor, founder, and option-pool ownership must sum to one.</t>
        </is>
      </c>
    </row>
    <row r="7" ht="15" customHeight="1" s="35">
      <c r="B7" s="34" t="inlineStr">
        <is>
          <t>Follow-on reserve gap</t>
        </is>
      </c>
      <c r="C7" s="57">
        <f>'Reserves &amp; Follow-ons'!D11</f>
        <v/>
      </c>
      <c r="D7" s="65">
        <f>IF(C7=0,"PASS","BREACH")</f>
        <v/>
      </c>
      <c r="E7" s="34" t="inlineStr">
        <is>
          <t>Reserves must cover approved follow-on requirements.</t>
        </is>
      </c>
    </row>
    <row r="8" ht="15" customHeight="1" s="35">
      <c r="B8" s="34" t="inlineStr">
        <is>
          <t>Investor ownership</t>
        </is>
      </c>
      <c r="C8" s="57">
        <f>'Ownership &amp; Dilution'!D17</f>
        <v/>
      </c>
      <c r="D8" s="65">
        <f>IF(C8&lt;='Ownership &amp; Dilution'!D10,"PASS","BREACH")</f>
        <v/>
      </c>
      <c r="E8" s="34" t="inlineStr">
        <is>
          <t>Escalate ownership concentration and governance terms.</t>
        </is>
      </c>
    </row>
    <row r="9" ht="15" customHeight="1" s="35">
      <c r="B9" s="34" t="inlineStr">
        <is>
          <t>Option-pool dilution</t>
        </is>
      </c>
      <c r="C9" s="57">
        <f>'Ownership &amp; Dilution'!D19</f>
        <v/>
      </c>
      <c r="D9" s="65">
        <f>IF(C9&lt;='Ownership &amp; Dilution'!D11,"PASS","BREACH")</f>
        <v/>
      </c>
      <c r="E9" s="34" t="inlineStr">
        <is>
          <t>Pool expansion must remain within the approved dilution boundary.</t>
        </is>
      </c>
    </row>
    <row r="10" ht="15" customHeight="1" s="35">
      <c r="B10" s="34" t="inlineStr">
        <is>
          <t>Round pricing</t>
        </is>
      </c>
      <c r="C10" s="57">
        <f>'Ownership &amp; Dilution'!D20-'Ownership &amp; Dilution'!D21</f>
        <v/>
      </c>
      <c r="D10" s="65">
        <f>IF(C10&gt;=0,"PASS","BREACH")</f>
        <v/>
      </c>
      <c r="E10" s="34" t="inlineStr">
        <is>
          <t>A negative price delta indicates a down round.</t>
        </is>
      </c>
    </row>
    <row r="11" ht="15" customHeight="1" s="35">
      <c r="B11" s="34" t="inlineStr">
        <is>
          <t>Gross MOIC</t>
        </is>
      </c>
      <c r="C11" s="57">
        <f>'Exit Waterfall'!D13</f>
        <v/>
      </c>
      <c r="D11" s="65">
        <f>IF(C11&gt;='Exit Waterfall'!D7,"PASS","BREACH")</f>
        <v/>
      </c>
      <c r="E11" s="34" t="inlineStr">
        <is>
          <t>Exit proceeds must clear the approved return threshold.</t>
        </is>
      </c>
    </row>
    <row r="13" ht="15" customHeight="1" s="35">
      <c r="B13" s="37" t="inlineStr">
        <is>
          <t>Overall model status</t>
        </is>
      </c>
      <c r="C13" s="70">
        <f>IF(COUNTIF(D5:D11,"FAIL")+COUNTIF(D5:D11,"BREACH")&gt;0,"BREACH",IF(COUNTIF(D5:D11,"REVIEW")&gt;0,"REVIEW","PASS"))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2026-08-04T17:34:23Z</dcterms:created>
  <dcterms:modified xmlns:dcterms="http://purl.org/dc/terms/" xmlns:xsi="http://www.w3.org/2001/XMLSchema-instance" xsi:type="dcterms:W3CDTF">2026-08-04T18:30:43Z</dcterms:modified>
  <cp:revision>0</cp:revision>
</cp:coreProperties>
</file>