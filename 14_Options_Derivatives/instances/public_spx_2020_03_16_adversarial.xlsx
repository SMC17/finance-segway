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European Pricer" sheetId="6" state="visible" r:id="rId8"/>
    <sheet name="Implied Vol" sheetId="7" state="visible" r:id="rId9"/>
    <sheet name="Greeks" sheetId="8" state="visible" r:id="rId10"/>
    <sheet name="Vol Surface" sheetId="9" state="visible" r:id="rId11"/>
    <sheet name="Portfolio" sheetId="10" state="visible" r:id="rId12"/>
    <sheet name="Scenario P&amp;L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<sst xmlns="http://schemas.openxmlformats.org/spreadsheetml/2006/main" count="372" uniqueCount="262">
  <si>
    <t xml:space="preserve">[UNDERLYING] — Options &amp; Derivatives Model</t>
  </si>
  <si>
    <t xml:space="preserve">Underlying:</t>
  </si>
  <si>
    <t xml:space="preserve">SPX March 2020 gap-and-volatility shock</t>
  </si>
  <si>
    <t xml:space="preserve">Use case:</t>
  </si>
  <si>
    <t xml:space="preserve">Pricing / volatility / portfolio risk</t>
  </si>
  <si>
    <t xml:space="preserve">Last refreshed:</t>
  </si>
  <si>
    <t xml:space="preserve">2020-03-16</t>
  </si>
  <si>
    <t xml:space="preserve">Next expiry / event:</t>
  </si>
  <si>
    <t xml:space="preserve">[date]</t>
  </si>
  <si>
    <t xml:space="preserve">Refresh cadence:</t>
  </si>
  <si>
    <t xml:space="preserve">Daily near expiry; weekly otherwise</t>
  </si>
  <si>
    <t xml:space="preserve">Active scenario:</t>
  </si>
  <si>
    <t xml:space="preserve">Downside</t>
  </si>
  <si>
    <t xml:space="preserve">Units:</t>
  </si>
  <si>
    <t xml:space="preserve">Per option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</si>
  <si>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</si>
  <si>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</si>
  <si>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</si>
  <si>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</si>
  <si>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</si>
  <si>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</si>
  <si>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</si>
  <si>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</si>
  <si>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</si>
  <si>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Options &amp; Derivatives — Institutional Decision Surface</t>
  </si>
  <si>
    <t xml:space="preserve">Model ID</t>
  </si>
  <si>
    <t xml:space="preserve">14</t>
  </si>
  <si>
    <t xml:space="preserve">Domain</t>
  </si>
  <si>
    <t xml:space="preserve">Options &amp; Derivatives</t>
  </si>
  <si>
    <t xml:space="preserve">Declared maturity</t>
  </si>
  <si>
    <t xml:space="preserve">M2</t>
  </si>
  <si>
    <t xml:space="preserve">Canonical builder</t>
  </si>
  <si>
    <t xml:space="preserve">tools/builders/build_options_release.py</t>
  </si>
  <si>
    <t xml:space="preserve">Decision arena</t>
  </si>
  <si>
    <t xml:space="preserve">trading desk, market making, independent risk and model validation</t>
  </si>
  <si>
    <t xml:space="preserve">Committee artifact</t>
  </si>
  <si>
    <t xml:space="preserve">volatility and Greeks risk pack</t>
  </si>
  <si>
    <t xml:space="preserve">Operating cadence</t>
  </si>
  <si>
    <t xml:space="preserve">intraday desk; daily risk and margin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</si>
  <si>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</si>
  <si>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</si>
  <si>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</si>
  <si>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</si>
  <si>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</si>
  <si>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</si>
  <si>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fair value and implied volatility</t>
  </si>
  <si>
    <t xml:space="preserve">OPEN</t>
  </si>
  <si>
    <t xml:space="preserve">surface and skew</t>
  </si>
  <si>
    <t xml:space="preserve">portfolio Greeks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</si>
  <si>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</si>
  <si>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</si>
  <si>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</si>
  <si>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surface convention drives the hedge?</t>
  </si>
  <si>
    <t xml:space="preserve">Where is the wing marked by model, not market?</t>
  </si>
  <si>
    <t xml:space="preserve">Which Greeks are unstable near expiry?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</si>
  <si>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</si>
  <si>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</si>
  <si>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</si>
  <si>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spot jump</t>
  </si>
  <si>
    <t xml:space="preserve">parallel and localized vol shock</t>
  </si>
  <si>
    <t xml:space="preserve">skew twist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</si>
  <si>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</si>
  <si>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</si>
  <si>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</si>
  <si>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confirmations and master agreements</t>
  </si>
  <si>
    <t xml:space="preserve">exchange specifications</t>
  </si>
  <si>
    <t xml:space="preserve">volatility and market-data policy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</si>
  <si>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</si>
  <si>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</si>
  <si>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</si>
  <si>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put-call parity</t>
  </si>
  <si>
    <t xml:space="preserve">price bounds</t>
  </si>
  <si>
    <t xml:space="preserve">surface calendar and butterfly arbitrage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</si>
  <si>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</si>
  <si>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</si>
  <si>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</si>
  <si>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marking off mid in illiquid wings</t>
  </si>
  <si>
    <t xml:space="preserve">interpolating through arbitrage</t>
  </si>
  <si>
    <t xml:space="preserve">using sticky-strike when sticky-delta is required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</si>
  <si>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</si>
  <si>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</si>
  <si>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</si>
  <si>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</si>
  <si>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</si>
  <si>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</si>
  <si>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</si>
  <si>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</si>
  <si>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</si>
  <si>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</si>
  <si>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</si>
  <si>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</si>
  <si>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</si>
  <si>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</si>
  <si>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</si>
  <si>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CFTC Uncleared Swap Margin</t>
  </si>
  <si>
    <t xml:space="preserve">initial and variation margin</t>
  </si>
  <si>
    <t xml:space="preserve">https://www.cftc.gov/LawRegulation/FederalRegister/FinalRules/2015-32320.html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</si>
  <si>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</si>
  <si>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</si>
  <si>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</si>
  <si>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</si>
  <si>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</si>
  <si>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</si>
  <si>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</si>
  <si>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</si>
  <si>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</si>
  <si>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</si>
  <si>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</si>
  <si>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</si>
  <si>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</si>
  <si>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</si>
  <si>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</si>
  <si>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</si>
  <si>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spot / forwards / rates</t>
  </si>
  <si>
    <t xml:space="preserve">intraday</t>
  </si>
  <si>
    <t xml:space="preserve">timestamp and market hierarchy</t>
  </si>
  <si>
    <t xml:space="preserve">TO MAP</t>
  </si>
  <si>
    <t xml:space="preserve">volatility surface</t>
  </si>
  <si>
    <t xml:space="preserve">intraday/daily</t>
  </si>
  <si>
    <t xml:space="preserve">arbitrage and stale-point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</si>
  <si>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</si>
  <si>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</si>
  <si>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</si>
  <si>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</si>
  <si>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</si>
  <si>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</si>
  <si>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Pricing and Risk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</si>
  <si>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</si>
  <si>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</si>
  <si>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</si>
  <si>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</si>
  <si>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Spot price</t>
  </si>
  <si>
    <t xml:space="preserve">currency</t>
  </si>
  <si>
    <t xml:space="preserve">Strike price</t>
  </si>
  <si>
    <t xml:space="preserve">Time to expiry</t>
  </si>
  <si>
    <t xml:space="preserve">years</t>
  </si>
  <si>
    <t xml:space="preserve">Risk-free rate</t>
  </si>
  <si>
    <t xml:space="preserve">%</t>
  </si>
  <si>
    <t xml:space="preserve">Dividend yield</t>
  </si>
  <si>
    <t xml:space="preserve">Implied volatility</t>
  </si>
  <si>
    <t xml:space="preserve">Observed call price</t>
  </si>
  <si>
    <t xml:space="preserve">Contract multiplier</t>
  </si>
  <si>
    <t xml:space="preserve">units</t>
  </si>
  <si>
    <t xml:space="preserve">Position count</t>
  </si>
  <si>
    <t xml:space="preserve">contracts</t>
  </si>
  <si>
    <t xml:space="preserve">Strike skew slope</t>
  </si>
  <si>
    <t xml:space="preserve">vol per moneyness</t>
  </si>
  <si>
    <t xml:space="preserve">Term-vol slope</t>
  </si>
  <si>
    <t xml:space="preserve">vol per log-year</t>
  </si>
  <si>
    <t xml:space="preserve">European Black-Scholes Pricer</t>
  </si>
  <si>
    <t xml:space="preserve">Metric</t>
  </si>
  <si>
    <t xml:space="preserve">Value</t>
  </si>
  <si>
    <t xml:space="preserve">Units</t>
  </si>
  <si>
    <t xml:space="preserve">Formula role</t>
  </si>
  <si>
    <t xml:space="preserve">d1</t>
  </si>
  <si>
    <t xml:space="preserve">z</t>
  </si>
  <si>
    <t xml:space="preserve">standardized moneyness</t>
  </si>
  <si>
    <t xml:space="preserve">d2</t>
  </si>
  <si>
    <t xml:space="preserve">d1 less volatility-time</t>
  </si>
  <si>
    <t xml:space="preserve">Call price</t>
  </si>
  <si>
    <t xml:space="preserve">discounted expected payoff</t>
  </si>
  <si>
    <t xml:space="preserve">Put price</t>
  </si>
  <si>
    <t xml:space="preserve">Call intrinsic value</t>
  </si>
  <si>
    <t xml:space="preserve">spot intrinsic</t>
  </si>
  <si>
    <t xml:space="preserve">Put intrinsic value</t>
  </si>
  <si>
    <t xml:space="preserve">Call time value</t>
  </si>
  <si>
    <t xml:space="preserve">price less intrinsic</t>
  </si>
  <si>
    <t xml:space="preserve">Put time value</t>
  </si>
  <si>
    <t xml:space="preserve">Put-call parity residual</t>
  </si>
  <si>
    <t xml:space="preserve">must equal zero</t>
  </si>
  <si>
    <t xml:space="preserve">Newton-Raphson Implied Volatility</t>
  </si>
  <si>
    <t xml:space="preserve">Iteration</t>
  </si>
  <si>
    <t xml:space="preserve">Volatility</t>
  </si>
  <si>
    <t xml:space="preserve">Model call</t>
  </si>
  <si>
    <t xml:space="preserve">Observed call</t>
  </si>
  <si>
    <t xml:space="preserve">Price error</t>
  </si>
  <si>
    <t xml:space="preserve">Vega</t>
  </si>
  <si>
    <t xml:space="preserve">Converged implied volatility</t>
  </si>
  <si>
    <t xml:space="preserve">Final absolute price error</t>
  </si>
  <si>
    <t xml:space="preserve">European Greeks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</si>
  <si>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</si>
  <si>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</si>
  <si>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</si>
  <si>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</si>
  <si>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</si>
  <si>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first-order spot exposure</t>
  </si>
  <si>
    <t xml:space="preserve">Gamma</t>
  </si>
  <si>
    <t xml:space="preserve">delta curvature</t>
  </si>
  <si>
    <t xml:space="preserve">P&amp;L per 100 vol points</t>
  </si>
  <si>
    <t xml:space="preserve">Theta / year</t>
  </si>
  <si>
    <t xml:space="preserve">annual time decay</t>
  </si>
  <si>
    <t xml:space="preserve">Rho</t>
  </si>
  <si>
    <t xml:space="preserve">rate exposure</t>
  </si>
  <si>
    <t xml:space="preserve">Illustrative Volatility Surface</t>
  </si>
  <si>
    <t xml:space="preserve">Maturity / Strike</t>
  </si>
  <si>
    <t xml:space="preserve">Options Portfolio Greeks</t>
  </si>
  <si>
    <t xml:space="preserve">Leg</t>
  </si>
  <si>
    <t xml:space="preserve">Type</t>
  </si>
  <si>
    <t xml:space="preserve">Quantity</t>
  </si>
  <si>
    <t xml:space="preserve">Strike</t>
  </si>
  <si>
    <t xml:space="preserve">Maturity</t>
  </si>
  <si>
    <t xml:space="preserve">Vol</t>
  </si>
  <si>
    <t xml:space="preserve">Price</t>
  </si>
  <si>
    <t xml:space="preserve">Theta</t>
  </si>
  <si>
    <t xml:space="preserve">Market value</t>
  </si>
  <si>
    <t xml:space="preserve">Core call</t>
  </si>
  <si>
    <t xml:space="preserve">Protective put</t>
  </si>
  <si>
    <t xml:space="preserve">Short call</t>
  </si>
  <si>
    <t xml:space="preserve">Long-dated call</t>
  </si>
  <si>
    <t xml:space="preserve">Portfolio total</t>
  </si>
  <si>
    <t xml:space="preserve">Delta-Gamma-Vega Scenario P&amp;L</t>
  </si>
  <si>
    <t xml:space="preserve">Spot shock / Vol shock</t>
  </si>
  <si>
    <t xml:space="preserve">Model Checks</t>
  </si>
  <si>
    <t xml:space="preserve">Check</t>
  </si>
  <si>
    <t xml:space="preserve">Put-call parity</t>
  </si>
  <si>
    <t xml:space="preserve">Implied volatility convergence</t>
  </si>
  <si>
    <t xml:space="preserve">Gamma positive</t>
  </si>
  <si>
    <t xml:space="preserve">Call price within bounds</t>
  </si>
  <si>
    <t xml:space="preserve">Portfolio formulas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</si>
  <si>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</si>
  <si>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</si>
  <si>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</si>
  <si>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</si>
  <si>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</si>
  <si>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Option contract specification</t>
  </si>
  <si>
    <t xml:space="preserve">[exchange / broker URL]</t>
  </si>
  <si>
    <t xml:space="preserve">Multiplier, expiry, settlement, exercise style</t>
  </si>
  <si>
    <t xml:space="preserve">Underlying and option market data</t>
  </si>
  <si>
    <t xml:space="preserve">[market data URL]</t>
  </si>
  <si>
    <t xml:space="preserve">[timestamp]</t>
  </si>
  <si>
    <t xml:space="preserve">Spot, bid/ask, implied volatility</t>
  </si>
  <si>
    <t xml:space="preserve">Risk-free curve</t>
  </si>
  <si>
    <t xml:space="preserve">https://home.treasury.gov/resource-center/data-chart-center/interest-rates</t>
  </si>
  <si>
    <t xml:space="preserve">Document interpolation and currency basis</t>
  </si>
  <si>
    <t xml:space="preserve">Dividend / carry assumption</t>
  </si>
  <si>
    <t xml:space="preserve">[issuer or market source]</t>
  </si>
  <si>
    <t xml:space="preserve">Expected dividends or foreign rates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</si>
  <si>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</si>
  <si>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</si>
  <si>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</si>
  <si>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CBOE VIX via FRED</t>
  </si>
  <si>
    <t xml:space="preserve">https://fred.stlouisfed.org/series/VIXCLS</t>
  </si>
  <si>
    <t xml:space="preserve">Federal Reserve Bank of St. Louis / CBOE; frozen curated observation as of case date</t>
  </si>
  <si>
    <t xml:space="preserve">Frozen source snapshot</t>
  </si>
  <si>
    <t xml:space="preserve">repo://14_Options_Derivatives/sources/snapshots/options-spx-2020-03-16.json</t>
  </si>
  <si>
    <t xml:space="preserve">Immutable curated observation package with SHA-256 digest</t>
  </si>
  <si>
    <t xml:space="preserve">Retained modeler assumption from options-adversarial-skew.json</t>
  </si>
  <si>
    <t xml:space="preserve">repo://standards/benchmark_cases/options-adversarial-skew.json</t>
  </si>
  <si>
    <t xml:space="preserve">Not an external observation; retained for sensitivity and transaction-structure completeness</t>
  </si>
  <si>
    <t xml:space="preserve">S&amp;P 500 peak-to-trough drawdown</t>
  </si>
  <si>
    <t xml:space="preserve">Modeler-owned assumption documented in frozen snapshot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</si>
  <si>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</si>
  <si>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</si>
  <si>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</si>
  <si>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</si>
  <si>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</si>
  <si>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</si>
  <si>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</si>
  <si>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</si>
  <si>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options-spx-2020-03-16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</si>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</sst>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00"/>
    <numFmt numFmtId="167" formatCode="0.00%;[RED]\(0.00%\);\-"/>
    <numFmt numFmtId="168" formatCode="0"/>
    <numFmt numFmtId="169" formatCode="0.000"/>
    <numFmt numFmtId="170" formatCode="0.000000"/>
    <numFmt numFmtId="171" formatCode="0.00"/>
    <numFmt numFmtId="172" formatCode="\$#,##0.0;[RED]&quot;($&quot;#,##0.0\);\-"/>
    <numFmt numFmtId="173" formatCode="0.0%;[RED]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118</v>
      </c>
      <c r="D6" s="1" t="s">
        <v>119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120</v>
      </c>
      <c r="C7" s="1" t="s">
        <v>121</v>
      </c>
      <c r="D7" s="1" t="s">
        <v>122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123</v>
      </c>
      <c r="C8" s="1" t="s">
        <v>124</v>
      </c>
      <c r="D8" s="1" t="s">
        <v>125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126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127</v>
      </c>
      <c r="C4" s="16" t="s">
        <v>128</v>
      </c>
      <c r="D4" s="16" t="s">
        <v>12</v>
      </c>
      <c r="E4" s="16" t="s">
        <v>129</v>
      </c>
      <c r="F4" s="16" t="s">
        <v>130</v>
      </c>
    </row>
    <row r="5" customFormat="false" ht="15" hidden="false" customHeight="true" outlineLevel="0" collapsed="false">
      <c r="B5" s="1" t="s">
        <v>131</v>
      </c>
      <c r="C5" s="17" t="n">
        <v>100</v>
      </c>
      <c r="D5" s="18" t="n">
        <v>2386.13</v>
      </c>
      <c r="E5" s="19" t="n">
        <f aca="false">IF(Cover!$C$9="Downside",D5,C5)</f>
        <v>2386.13</v>
      </c>
      <c r="F5" s="1" t="s">
        <v>132</v>
      </c>
    </row>
    <row r="6" customFormat="false" ht="15" hidden="false" customHeight="true" outlineLevel="0" collapsed="false">
      <c r="B6" s="1" t="s">
        <v>133</v>
      </c>
      <c r="C6" s="17" t="n">
        <v>100</v>
      </c>
      <c r="D6" s="17" t="n">
        <v>100</v>
      </c>
      <c r="E6" s="19" t="n">
        <f aca="false">IF(Cover!$C$9="Downside",D6,C6)</f>
        <v>100</v>
      </c>
      <c r="F6" s="1" t="s">
        <v>132</v>
      </c>
    </row>
    <row r="7" customFormat="false" ht="15" hidden="false" customHeight="true" outlineLevel="0" collapsed="false">
      <c r="B7" s="1" t="s">
        <v>134</v>
      </c>
      <c r="C7" s="20" t="n">
        <v>0.5</v>
      </c>
      <c r="D7" s="20" t="n">
        <v>0.5</v>
      </c>
      <c r="E7" s="21" t="n">
        <f aca="false">IF(Cover!$C$9="Downside",D7,C7)</f>
        <v>0.5</v>
      </c>
      <c r="F7" s="1" t="s">
        <v>135</v>
      </c>
    </row>
    <row r="8" customFormat="false" ht="15" hidden="false" customHeight="true" outlineLevel="0" collapsed="false">
      <c r="B8" s="1" t="s">
        <v>136</v>
      </c>
      <c r="C8" s="22" t="n">
        <v>0.04</v>
      </c>
      <c r="D8" s="22" t="n">
        <v>0.03</v>
      </c>
      <c r="E8" s="23" t="n">
        <f aca="false">IF(Cover!$C$9="Downside",D8,C8)</f>
        <v>0.03</v>
      </c>
      <c r="F8" s="1" t="s">
        <v>137</v>
      </c>
    </row>
    <row r="9" customFormat="false" ht="15" hidden="false" customHeight="true" outlineLevel="0" collapsed="false">
      <c r="B9" s="1" t="s">
        <v>138</v>
      </c>
      <c r="C9" s="22" t="n">
        <v>0.01</v>
      </c>
      <c r="D9" s="22" t="n">
        <v>0.01</v>
      </c>
      <c r="E9" s="23" t="n">
        <f aca="false">IF(Cover!$C$9="Downside",D9,C9)</f>
        <v>0.01</v>
      </c>
      <c r="F9" s="1" t="s">
        <v>137</v>
      </c>
    </row>
    <row r="10" customFormat="false" ht="15" hidden="false" customHeight="true" outlineLevel="0" collapsed="false">
      <c r="B10" s="1" t="s">
        <v>139</v>
      </c>
      <c r="C10" s="22" t="n">
        <v>0.25</v>
      </c>
      <c r="D10" s="24" t="n">
        <v>0.8269</v>
      </c>
      <c r="E10" s="23" t="n">
        <f aca="false">IF(Cover!$C$9="Downside",D10,C10)</f>
        <v>0.8269</v>
      </c>
      <c r="F10" s="1" t="s">
        <v>137</v>
      </c>
    </row>
    <row r="11" customFormat="false" ht="15" hidden="false" customHeight="true" outlineLevel="0" collapsed="false">
      <c r="B11" s="1" t="s">
        <v>140</v>
      </c>
      <c r="C11" s="17" t="n">
        <v>8.25</v>
      </c>
      <c r="D11" s="18" t="n">
        <v>30</v>
      </c>
      <c r="E11" s="19" t="n">
        <f aca="false">IF(Cover!$C$9="Downside",D11,C11)</f>
        <v>30</v>
      </c>
      <c r="F11" s="1" t="s">
        <v>132</v>
      </c>
    </row>
    <row r="12" customFormat="false" ht="15" hidden="false" customHeight="true" outlineLevel="0" collapsed="false">
      <c r="B12" s="1" t="s">
        <v>141</v>
      </c>
      <c r="C12" s="25" t="n">
        <v>100</v>
      </c>
      <c r="D12" s="25" t="n">
        <v>100</v>
      </c>
      <c r="E12" s="26" t="n">
        <f aca="false">IF(Cover!$C$9="Downside",D12,C12)</f>
        <v>100</v>
      </c>
      <c r="F12" s="1" t="s">
        <v>142</v>
      </c>
    </row>
    <row r="13" customFormat="false" ht="15" hidden="false" customHeight="true" outlineLevel="0" collapsed="false">
      <c r="B13" s="1" t="s">
        <v>143</v>
      </c>
      <c r="C13" s="25" t="n">
        <v>10</v>
      </c>
      <c r="D13" s="25" t="n">
        <v>10</v>
      </c>
      <c r="E13" s="26" t="n">
        <f aca="false">IF(Cover!$C$9="Downside",D13,C13)</f>
        <v>10</v>
      </c>
      <c r="F13" s="1" t="s">
        <v>144</v>
      </c>
    </row>
    <row r="14" customFormat="false" ht="15" hidden="false" customHeight="true" outlineLevel="0" collapsed="false">
      <c r="B14" s="1" t="s">
        <v>145</v>
      </c>
      <c r="C14" s="27" t="n">
        <v>-0.2</v>
      </c>
      <c r="D14" s="28" t="n">
        <v>-0.339</v>
      </c>
      <c r="E14" s="29" t="n">
        <f aca="false">IF(Cover!$C$9="Downside",D14,C14)</f>
        <v>-0.339</v>
      </c>
      <c r="F14" s="1" t="s">
        <v>146</v>
      </c>
    </row>
    <row r="15" customFormat="false" ht="15" hidden="false" customHeight="true" outlineLevel="0" collapsed="false">
      <c r="B15" s="1" t="s">
        <v>147</v>
      </c>
      <c r="C15" s="27" t="n">
        <v>0.02</v>
      </c>
      <c r="D15" s="27" t="n">
        <v>0.04</v>
      </c>
      <c r="E15" s="29" t="n">
        <f aca="false">IF(Cover!$C$9="Downside",D15,C15)</f>
        <v>0.04</v>
      </c>
      <c r="F15" s="1" t="s">
        <v>148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149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150</v>
      </c>
      <c r="C4" s="16" t="s">
        <v>151</v>
      </c>
      <c r="D4" s="16" t="s">
        <v>152</v>
      </c>
      <c r="E4" s="16" t="s">
        <v>153</v>
      </c>
      <c r="F4" s="16" t="s">
        <v>108</v>
      </c>
    </row>
    <row r="5" customFormat="false" ht="15" hidden="false" customHeight="true" outlineLevel="0" collapsed="false">
      <c r="B5" s="1" t="s">
        <v>154</v>
      </c>
      <c r="C5" s="30" t="n">
        <f aca="false">(LN(Assumptions!E5/Assumptions!E6)+(Assumptions!E8-Assumptions!E9+0.5*Assumptions!E10^2)*Assumptions!E7)/(Assumptions!E10*SQRT(Assumptions!E7))</f>
        <v>5.73484003310429</v>
      </c>
      <c r="D5" s="1" t="s">
        <v>155</v>
      </c>
      <c r="E5" s="1" t="s">
        <v>156</v>
      </c>
    </row>
    <row r="6" customFormat="false" ht="15" hidden="false" customHeight="true" outlineLevel="0" collapsed="false">
      <c r="B6" s="1" t="s">
        <v>157</v>
      </c>
      <c r="C6" s="30" t="n">
        <f aca="false">C5-Assumptions!E10*SQRT(Assumptions!E7)</f>
        <v>5.15013343574113</v>
      </c>
      <c r="D6" s="1" t="s">
        <v>155</v>
      </c>
      <c r="E6" s="1" t="s">
        <v>158</v>
      </c>
    </row>
    <row r="7" customFormat="false" ht="15" hidden="false" customHeight="true" outlineLevel="0" collapsed="false">
      <c r="B7" s="1" t="s">
        <v>159</v>
      </c>
      <c r="C7" s="19" t="n">
        <f aca="false">Assumptions!E5*EXP(-Assumptions!E9*Assumptions!E7)*NORMSDIST(C5)-Assumptions!E6*EXP(-Assumptions!E8*Assumptions!E7)*NORMSDIST(C6)</f>
        <v>2275.71793425026</v>
      </c>
      <c r="D7" s="1" t="s">
        <v>132</v>
      </c>
      <c r="E7" s="1" t="s">
        <v>160</v>
      </c>
    </row>
    <row r="8" customFormat="false" ht="15" hidden="false" customHeight="true" outlineLevel="0" collapsed="false">
      <c r="B8" s="1" t="s">
        <v>161</v>
      </c>
      <c r="C8" s="19" t="n">
        <f aca="false">Assumptions!E6*EXP(-Assumptions!E8*Assumptions!E7)*NORMSDIST(-C6)-Assumptions!E5*EXP(-Assumptions!E9*Assumptions!E7)*NORMSDIST(-C5)</f>
        <v>1.23452795866512E-006</v>
      </c>
      <c r="D8" s="1" t="s">
        <v>132</v>
      </c>
      <c r="E8" s="1" t="s">
        <v>160</v>
      </c>
    </row>
    <row r="9" customFormat="false" ht="15" hidden="false" customHeight="true" outlineLevel="0" collapsed="false">
      <c r="B9" s="1" t="s">
        <v>162</v>
      </c>
      <c r="C9" s="19" t="n">
        <f aca="false">MAX(0,Assumptions!E5-Assumptions!E6)</f>
        <v>2286.13</v>
      </c>
      <c r="D9" s="1" t="s">
        <v>132</v>
      </c>
      <c r="E9" s="1" t="s">
        <v>163</v>
      </c>
    </row>
    <row r="10" customFormat="false" ht="15" hidden="false" customHeight="true" outlineLevel="0" collapsed="false">
      <c r="B10" s="1" t="s">
        <v>164</v>
      </c>
      <c r="C10" s="19" t="n">
        <f aca="false">MAX(0,Assumptions!E6-Assumptions!E5)</f>
        <v>0</v>
      </c>
      <c r="D10" s="1" t="s">
        <v>132</v>
      </c>
      <c r="E10" s="1" t="s">
        <v>163</v>
      </c>
    </row>
    <row r="11" customFormat="false" ht="15" hidden="false" customHeight="true" outlineLevel="0" collapsed="false">
      <c r="B11" s="1" t="s">
        <v>165</v>
      </c>
      <c r="C11" s="19" t="n">
        <f aca="false">C7-C9</f>
        <v>-10.4120657497433</v>
      </c>
      <c r="D11" s="1" t="s">
        <v>132</v>
      </c>
      <c r="E11" s="1" t="s">
        <v>166</v>
      </c>
    </row>
    <row r="12" customFormat="false" ht="15" hidden="false" customHeight="true" outlineLevel="0" collapsed="false">
      <c r="B12" s="1" t="s">
        <v>167</v>
      </c>
      <c r="C12" s="19" t="n">
        <f aca="false">C8-C10</f>
        <v>1.23452795866512E-006</v>
      </c>
      <c r="D12" s="1" t="s">
        <v>132</v>
      </c>
      <c r="E12" s="1" t="s">
        <v>166</v>
      </c>
    </row>
    <row r="13" customFormat="false" ht="15" hidden="false" customHeight="true" outlineLevel="0" collapsed="false">
      <c r="B13" s="1" t="s">
        <v>168</v>
      </c>
      <c r="C13" s="30" t="n">
        <f aca="false">C7-C8-(Assumptions!E5*EXP(-Assumptions!E9*Assumptions!E7)-Assumptions!E6*EXP(-Assumptions!E8*Assumptions!E7))</f>
        <v>0</v>
      </c>
      <c r="D13" s="1" t="s">
        <v>132</v>
      </c>
      <c r="E13" s="1" t="s">
        <v>169</v>
      </c>
      <c r="F13" s="1" t="str">
        <f aca="false">IF(ABS(C13)&lt;0.000001,"PASS","FAIL")</f>
        <v>PASS</v>
      </c>
    </row>
  </sheetData>
  <mergeCells count="1">
    <mergeCell ref="B2:F2"/>
  </mergeCells>
  <conditionalFormatting sqref="F13">
    <cfRule type="expression" priority="2" aboveAverage="0" equalAverage="0" bottom="0" percent="0" rank="0" text="" dxfId="0">
      <formula>F13="PASS"</formula>
    </cfRule>
    <cfRule type="expression" priority="3" aboveAverage="0" equalAverage="0" bottom="0" percent="0" rank="0" text="" dxfId="1">
      <formula>F13="FAIL"</formula>
    </cfRule>
    <cfRule type="expression" priority="4" aboveAverage="0" equalAverage="0" bottom="0" percent="0" rank="0" text="" dxfId="2">
      <formula>F13="REVIEW"</formula>
    </cfRule>
    <cfRule type="expression" priority="5" aboveAverage="0" equalAverage="0" bottom="0" percent="0" rank="0" text="" dxfId="1">
      <formula>F13="BREACH"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7" min="2" style="1" width="16"/>
  </cols>
  <sheetData>
    <row r="2" customFormat="false" ht="27.75" hidden="false" customHeight="true" outlineLevel="0" collapsed="false">
      <c r="B2" s="2" t="s">
        <v>170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171</v>
      </c>
      <c r="C4" s="16" t="s">
        <v>172</v>
      </c>
      <c r="D4" s="16" t="s">
        <v>173</v>
      </c>
      <c r="E4" s="16" t="s">
        <v>174</v>
      </c>
      <c r="F4" s="16" t="s">
        <v>175</v>
      </c>
      <c r="G4" s="16" t="s">
        <v>176</v>
      </c>
    </row>
    <row r="5" customFormat="false" ht="15" hidden="false" customHeight="true" outlineLevel="0" collapsed="false">
      <c r="B5" s="1" t="n">
        <v>0</v>
      </c>
      <c r="C5" s="22" t="n">
        <v>0.2</v>
      </c>
      <c r="D5" s="31" t="n">
        <f aca="false"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>2275.71793301573</v>
      </c>
      <c r="E5" s="19" t="n">
        <f aca="false">Assumptions!$E$11</f>
        <v>30</v>
      </c>
      <c r="F5" s="31" t="n">
        <f aca="false">D5-E5</f>
        <v>2245.71793301573</v>
      </c>
      <c r="G5" s="32" t="n">
        <f aca="false">Assumptions!$E$5*EXP(-Assumptions!$E$9*Assumptions!$E$7)*(EXP(-(((LN(Assumptions!$E$5/Assumptions!$E$6)+(Assumptions!$E$8-Assumptions!$E$9+0.5*C5^2)*Assumptions!$E$7)/(C5*SQRT(Assumptions!$E$7)))^2)/2)/SQRT(2*PI()))*SQRT(Assumptions!$E$7)</f>
        <v>1.5270588331154E-108</v>
      </c>
    </row>
    <row r="6" customFormat="false" ht="15" hidden="false" customHeight="true" outlineLevel="0" collapsed="false">
      <c r="B6" s="1" t="n">
        <v>1</v>
      </c>
      <c r="C6" s="33" t="n">
        <f aca="false">MAX(0.0001,C5-F5/MAX(0.000001,G5))</f>
        <v>0.0001</v>
      </c>
      <c r="D6" s="31" t="n">
        <f aca="false"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>2275.71793301573</v>
      </c>
      <c r="E6" s="19" t="n">
        <f aca="false">Assumptions!$E$11</f>
        <v>30</v>
      </c>
      <c r="F6" s="31" t="n">
        <f aca="false">D6-E6</f>
        <v>2245.71793301573</v>
      </c>
      <c r="G6" s="32" t="n">
        <f aca="false">Assumptions!$E$5*EXP(-Assumptions!$E$9*Assumptions!$E$7)*(EXP(-(((LN(Assumptions!$E$5/Assumptions!$E$6)+(Assumptions!$E$8-Assumptions!$E$9+0.5*C6^2)*Assumptions!$E$7)/(C6*SQRT(Assumptions!$E$7)))^2)/2)/SQRT(2*PI()))*SQRT(Assumptions!$E$7)</f>
        <v>0</v>
      </c>
    </row>
    <row r="7" customFormat="false" ht="15" hidden="false" customHeight="true" outlineLevel="0" collapsed="false">
      <c r="B7" s="1" t="n">
        <v>2</v>
      </c>
      <c r="C7" s="33" t="n">
        <f aca="false">MAX(0.0001,C6-F6/MAX(0.000001,G6))</f>
        <v>0.0001</v>
      </c>
      <c r="D7" s="31" t="n">
        <f aca="false"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>2275.71793301573</v>
      </c>
      <c r="E7" s="19" t="n">
        <f aca="false">Assumptions!$E$11</f>
        <v>30</v>
      </c>
      <c r="F7" s="31" t="n">
        <f aca="false">D7-E7</f>
        <v>2245.71793301573</v>
      </c>
      <c r="G7" s="32" t="n">
        <f aca="false">Assumptions!$E$5*EXP(-Assumptions!$E$9*Assumptions!$E$7)*(EXP(-(((LN(Assumptions!$E$5/Assumptions!$E$6)+(Assumptions!$E$8-Assumptions!$E$9+0.5*C7^2)*Assumptions!$E$7)/(C7*SQRT(Assumptions!$E$7)))^2)/2)/SQRT(2*PI()))*SQRT(Assumptions!$E$7)</f>
        <v>0</v>
      </c>
    </row>
    <row r="8" customFormat="false" ht="15" hidden="false" customHeight="true" outlineLevel="0" collapsed="false">
      <c r="B8" s="1" t="n">
        <v>3</v>
      </c>
      <c r="C8" s="33" t="n">
        <f aca="false">MAX(0.0001,C7-F7/MAX(0.000001,G7))</f>
        <v>0.0001</v>
      </c>
      <c r="D8" s="31" t="n">
        <f aca="false"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>2275.71793301573</v>
      </c>
      <c r="E8" s="19" t="n">
        <f aca="false">Assumptions!$E$11</f>
        <v>30</v>
      </c>
      <c r="F8" s="31" t="n">
        <f aca="false">D8-E8</f>
        <v>2245.71793301573</v>
      </c>
      <c r="G8" s="32" t="n">
        <f aca="false">Assumptions!$E$5*EXP(-Assumptions!$E$9*Assumptions!$E$7)*(EXP(-(((LN(Assumptions!$E$5/Assumptions!$E$6)+(Assumptions!$E$8-Assumptions!$E$9+0.5*C8^2)*Assumptions!$E$7)/(C8*SQRT(Assumptions!$E$7)))^2)/2)/SQRT(2*PI()))*SQRT(Assumptions!$E$7)</f>
        <v>0</v>
      </c>
    </row>
    <row r="9" customFormat="false" ht="15" hidden="false" customHeight="true" outlineLevel="0" collapsed="false">
      <c r="B9" s="1" t="n">
        <v>4</v>
      </c>
      <c r="C9" s="33" t="n">
        <f aca="false">MAX(0.0001,C8-F8/MAX(0.000001,G8))</f>
        <v>0.0001</v>
      </c>
      <c r="D9" s="31" t="n">
        <f aca="false"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>2275.71793301573</v>
      </c>
      <c r="E9" s="19" t="n">
        <f aca="false">Assumptions!$E$11</f>
        <v>30</v>
      </c>
      <c r="F9" s="31" t="n">
        <f aca="false">D9-E9</f>
        <v>2245.71793301573</v>
      </c>
      <c r="G9" s="32" t="n">
        <f aca="false">Assumptions!$E$5*EXP(-Assumptions!$E$9*Assumptions!$E$7)*(EXP(-(((LN(Assumptions!$E$5/Assumptions!$E$6)+(Assumptions!$E$8-Assumptions!$E$9+0.5*C9^2)*Assumptions!$E$7)/(C9*SQRT(Assumptions!$E$7)))^2)/2)/SQRT(2*PI()))*SQRT(Assumptions!$E$7)</f>
        <v>0</v>
      </c>
    </row>
    <row r="10" customFormat="false" ht="15" hidden="false" customHeight="true" outlineLevel="0" collapsed="false">
      <c r="B10" s="1" t="n">
        <v>5</v>
      </c>
      <c r="C10" s="33" t="n">
        <f aca="false">MAX(0.0001,C9-F9/MAX(0.000001,G9))</f>
        <v>0.0001</v>
      </c>
      <c r="D10" s="31" t="n">
        <f aca="false"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>2275.71793301573</v>
      </c>
      <c r="E10" s="19" t="n">
        <f aca="false">Assumptions!$E$11</f>
        <v>30</v>
      </c>
      <c r="F10" s="31" t="n">
        <f aca="false">D10-E10</f>
        <v>2245.71793301573</v>
      </c>
      <c r="G10" s="32" t="n">
        <f aca="false">Assumptions!$E$5*EXP(-Assumptions!$E$9*Assumptions!$E$7)*(EXP(-(((LN(Assumptions!$E$5/Assumptions!$E$6)+(Assumptions!$E$8-Assumptions!$E$9+0.5*C10^2)*Assumptions!$E$7)/(C10*SQRT(Assumptions!$E$7)))^2)/2)/SQRT(2*PI()))*SQRT(Assumptions!$E$7)</f>
        <v>0</v>
      </c>
    </row>
    <row r="11" customFormat="false" ht="15" hidden="false" customHeight="true" outlineLevel="0" collapsed="false">
      <c r="B11" s="1" t="n">
        <v>6</v>
      </c>
      <c r="C11" s="33" t="n">
        <f aca="false">MAX(0.0001,C10-F10/MAX(0.000001,G10))</f>
        <v>0.0001</v>
      </c>
      <c r="D11" s="31" t="n">
        <f aca="false"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>2275.71793301573</v>
      </c>
      <c r="E11" s="19" t="n">
        <f aca="false">Assumptions!$E$11</f>
        <v>30</v>
      </c>
      <c r="F11" s="31" t="n">
        <f aca="false">D11-E11</f>
        <v>2245.71793301573</v>
      </c>
      <c r="G11" s="32" t="n">
        <f aca="false">Assumptions!$E$5*EXP(-Assumptions!$E$9*Assumptions!$E$7)*(EXP(-(((LN(Assumptions!$E$5/Assumptions!$E$6)+(Assumptions!$E$8-Assumptions!$E$9+0.5*C11^2)*Assumptions!$E$7)/(C11*SQRT(Assumptions!$E$7)))^2)/2)/SQRT(2*PI()))*SQRT(Assumptions!$E$7)</f>
        <v>0</v>
      </c>
    </row>
    <row r="12" customFormat="false" ht="15" hidden="false" customHeight="true" outlineLevel="0" collapsed="false">
      <c r="B12" s="1" t="n">
        <v>7</v>
      </c>
      <c r="C12" s="33" t="n">
        <f aca="false">MAX(0.0001,C11-F11/MAX(0.000001,G11))</f>
        <v>0.0001</v>
      </c>
      <c r="D12" s="31" t="n">
        <f aca="false"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>2275.71793301573</v>
      </c>
      <c r="E12" s="19" t="n">
        <f aca="false">Assumptions!$E$11</f>
        <v>30</v>
      </c>
      <c r="F12" s="31" t="n">
        <f aca="false">D12-E12</f>
        <v>2245.71793301573</v>
      </c>
      <c r="G12" s="32" t="n">
        <f aca="false">Assumptions!$E$5*EXP(-Assumptions!$E$9*Assumptions!$E$7)*(EXP(-(((LN(Assumptions!$E$5/Assumptions!$E$6)+(Assumptions!$E$8-Assumptions!$E$9+0.5*C12^2)*Assumptions!$E$7)/(C12*SQRT(Assumptions!$E$7)))^2)/2)/SQRT(2*PI()))*SQRT(Assumptions!$E$7)</f>
        <v>0</v>
      </c>
    </row>
    <row r="13" customFormat="false" ht="15" hidden="false" customHeight="true" outlineLevel="0" collapsed="false">
      <c r="B13" s="1" t="n">
        <v>8</v>
      </c>
      <c r="C13" s="33" t="n">
        <f aca="false">MAX(0.0001,C12-F12/MAX(0.000001,G12))</f>
        <v>0.0001</v>
      </c>
      <c r="D13" s="31" t="n">
        <f aca="false"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>2275.71793301573</v>
      </c>
      <c r="E13" s="19" t="n">
        <f aca="false">Assumptions!$E$11</f>
        <v>30</v>
      </c>
      <c r="F13" s="31" t="n">
        <f aca="false">D13-E13</f>
        <v>2245.71793301573</v>
      </c>
      <c r="G13" s="32" t="n">
        <f aca="false">Assumptions!$E$5*EXP(-Assumptions!$E$9*Assumptions!$E$7)*(EXP(-(((LN(Assumptions!$E$5/Assumptions!$E$6)+(Assumptions!$E$8-Assumptions!$E$9+0.5*C13^2)*Assumptions!$E$7)/(C13*SQRT(Assumptions!$E$7)))^2)/2)/SQRT(2*PI()))*SQRT(Assumptions!$E$7)</f>
        <v>0</v>
      </c>
    </row>
    <row r="14" customFormat="false" ht="15" hidden="false" customHeight="true" outlineLevel="0" collapsed="false">
      <c r="B14" s="1" t="n">
        <v>9</v>
      </c>
      <c r="C14" s="33" t="n">
        <f aca="false">MAX(0.0001,C13-F13/MAX(0.000001,G13))</f>
        <v>0.0001</v>
      </c>
      <c r="D14" s="31" t="n">
        <f aca="false"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>2275.71793301573</v>
      </c>
      <c r="E14" s="19" t="n">
        <f aca="false">Assumptions!$E$11</f>
        <v>30</v>
      </c>
      <c r="F14" s="31" t="n">
        <f aca="false">D14-E14</f>
        <v>2245.71793301573</v>
      </c>
      <c r="G14" s="32" t="n">
        <f aca="false">Assumptions!$E$5*EXP(-Assumptions!$E$9*Assumptions!$E$7)*(EXP(-(((LN(Assumptions!$E$5/Assumptions!$E$6)+(Assumptions!$E$8-Assumptions!$E$9+0.5*C14^2)*Assumptions!$E$7)/(C14*SQRT(Assumptions!$E$7)))^2)/2)/SQRT(2*PI()))*SQRT(Assumptions!$E$7)</f>
        <v>0</v>
      </c>
    </row>
    <row r="17" customFormat="false" ht="15" hidden="false" customHeight="true" outlineLevel="0" collapsed="false">
      <c r="B17" s="1" t="s">
        <v>177</v>
      </c>
      <c r="C17" s="33" t="n">
        <f aca="false">C14</f>
        <v>0.0001</v>
      </c>
      <c r="D17" s="1" t="s">
        <v>178</v>
      </c>
      <c r="E17" s="31" t="n">
        <f aca="false">ABS(F14)</f>
        <v>2245.71793301573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8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</row>
    <row r="5" customFormat="false" ht="15" hidden="false" customHeight="true" outlineLevel="0" collapsed="false">
      <c r="B5" s="1" t="s">
        <v>184</v>
      </c>
      <c r="C5" s="34" t="n">
        <f aca="false">EXP(-Assumptions!$E$9*Assumptions!$E$7)*NORMSDIST('European Pricer'!$C$5)</f>
        <v>0.995012474336801</v>
      </c>
      <c r="D5" s="34" t="n">
        <f aca="false">EXP(-Assumptions!$E$9*Assumptions!$E$7)*(NORMSDIST('European Pricer'!$C$5)-1)</f>
        <v>-4.8558809117494E-009</v>
      </c>
      <c r="E5" s="1" t="s">
        <v>185</v>
      </c>
    </row>
    <row r="6" customFormat="false" ht="15" hidden="false" customHeight="true" outlineLevel="0" collapsed="false">
      <c r="B6" s="1" t="s">
        <v>186</v>
      </c>
      <c r="C6" s="34" t="n">
        <f aca="false">EXP(-Assumptions!$E$9*Assumptions!$E$7)*(EXP(-(('European Pricer'!$C$5)^2)/2)/SQRT(2*PI()))/(Assumptions!$E$5*Assumptions!$E$10*SQRT(Assumptions!$E$7))</f>
        <v>2.05344609127079E-011</v>
      </c>
      <c r="D6" s="34" t="n">
        <f aca="false">C6</f>
        <v>2.05344609127079E-011</v>
      </c>
      <c r="E6" s="1" t="s">
        <v>187</v>
      </c>
    </row>
    <row r="7" customFormat="false" ht="15" hidden="false" customHeight="true" outlineLevel="0" collapsed="false">
      <c r="B7" s="1" t="s">
        <v>176</v>
      </c>
      <c r="C7" s="34" t="n">
        <f aca="false">Assumptions!$E$5*EXP(-Assumptions!$E$9*Assumptions!$E$7)*(EXP(-(('European Pricer'!$C$5)^2)/2)/SQRT(2*PI()))*SQRT(Assumptions!$E$7)</f>
        <v>4.83386485399516E-005</v>
      </c>
      <c r="D7" s="34" t="n">
        <f aca="false">C7</f>
        <v>4.83386485399516E-005</v>
      </c>
      <c r="E7" s="1" t="s">
        <v>188</v>
      </c>
    </row>
    <row r="8" customFormat="false" ht="15" hidden="false" customHeight="true" outlineLevel="0" collapsed="false">
      <c r="B8" s="1" t="s">
        <v>189</v>
      </c>
      <c r="C8" s="34" t="n">
        <f aca="false"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>20.7869157484938</v>
      </c>
      <c r="D8" s="34" t="n">
        <f aca="false"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>-3.97024573763421E-005</v>
      </c>
      <c r="E8" s="1" t="s">
        <v>190</v>
      </c>
    </row>
    <row r="9" customFormat="false" ht="15" hidden="false" customHeight="true" outlineLevel="0" collapsed="false">
      <c r="B9" s="1" t="s">
        <v>191</v>
      </c>
      <c r="C9" s="34" t="n">
        <f aca="false">Assumptions!$E$7*Assumptions!$E$6*EXP(-Assumptions!$E$8*Assumptions!$E$7)*NORMSDIST('European Pricer'!$C$6)</f>
        <v>49.2555905695076</v>
      </c>
      <c r="D9" s="34" t="n">
        <f aca="false">-Assumptions!$E$7*Assumptions!$E$6*EXP(-Assumptions!$E$8*Assumptions!$E$7)*NORMSDIST(-'European Pricer'!$C$6)</f>
        <v>-6.41064554393025E-006</v>
      </c>
      <c r="E9" s="1" t="s">
        <v>192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193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194</v>
      </c>
      <c r="C4" s="16" t="n">
        <v>80</v>
      </c>
      <c r="D4" s="16" t="n">
        <v>90</v>
      </c>
      <c r="E4" s="16" t="n">
        <v>100</v>
      </c>
      <c r="F4" s="16" t="n">
        <v>110</v>
      </c>
      <c r="G4" s="16" t="n">
        <v>120</v>
      </c>
    </row>
    <row r="5" customFormat="false" ht="15" hidden="false" customHeight="true" outlineLevel="0" collapsed="false">
      <c r="B5" s="35" t="n">
        <v>0.25</v>
      </c>
      <c r="C5" s="33" t="n">
        <f aca="false">MAX(0.01,Assumptions!$E$10+Assumptions!$E$14*(C$4/Assumptions!$E$5-1)+Assumptions!$E$15*LN($B5/Assumptions!$E$7))</f>
        <v>1.12680842859443</v>
      </c>
      <c r="D5" s="33" t="n">
        <f aca="false">MAX(0.01,Assumptions!$E$10+Assumptions!$E$14*(D$4/Assumptions!$E$5-1)+Assumptions!$E$15*LN($B5/Assumptions!$E$7))</f>
        <v>1.12538771807153</v>
      </c>
      <c r="E5" s="33" t="n">
        <f aca="false">MAX(0.01,Assumptions!$E$10+Assumptions!$E$14*(E$4/Assumptions!$E$5-1)+Assumptions!$E$15*LN($B5/Assumptions!$E$7))</f>
        <v>1.12396700754863</v>
      </c>
      <c r="F5" s="33" t="n">
        <f aca="false">MAX(0.01,Assumptions!$E$10+Assumptions!$E$14*(F$4/Assumptions!$E$5-1)+Assumptions!$E$15*LN($B5/Assumptions!$E$7))</f>
        <v>1.12254629702574</v>
      </c>
      <c r="G5" s="33" t="n">
        <f aca="false">MAX(0.01,Assumptions!$E$10+Assumptions!$E$14*(G$4/Assumptions!$E$5-1)+Assumptions!$E$15*LN($B5/Assumptions!$E$7))</f>
        <v>1.12112558650284</v>
      </c>
    </row>
    <row r="6" customFormat="false" ht="15" hidden="false" customHeight="true" outlineLevel="0" collapsed="false">
      <c r="B6" s="35" t="n">
        <v>0.5</v>
      </c>
      <c r="C6" s="33" t="n">
        <f aca="false">MAX(0.01,Assumptions!$E$10+Assumptions!$E$14*(C$4/Assumptions!$E$5-1)+Assumptions!$E$15*LN($B6/Assumptions!$E$7))</f>
        <v>1.15453431581682</v>
      </c>
      <c r="D6" s="33" t="n">
        <f aca="false">MAX(0.01,Assumptions!$E$10+Assumptions!$E$14*(D$4/Assumptions!$E$5-1)+Assumptions!$E$15*LN($B6/Assumptions!$E$7))</f>
        <v>1.15311360529393</v>
      </c>
      <c r="E6" s="33" t="n">
        <f aca="false">MAX(0.01,Assumptions!$E$10+Assumptions!$E$14*(E$4/Assumptions!$E$5-1)+Assumptions!$E$15*LN($B6/Assumptions!$E$7))</f>
        <v>1.15169289477103</v>
      </c>
      <c r="F6" s="33" t="n">
        <f aca="false">MAX(0.01,Assumptions!$E$10+Assumptions!$E$14*(F$4/Assumptions!$E$5-1)+Assumptions!$E$15*LN($B6/Assumptions!$E$7))</f>
        <v>1.15027218424813</v>
      </c>
      <c r="G6" s="33" t="n">
        <f aca="false">MAX(0.01,Assumptions!$E$10+Assumptions!$E$14*(G$4/Assumptions!$E$5-1)+Assumptions!$E$15*LN($B6/Assumptions!$E$7))</f>
        <v>1.14885147372524</v>
      </c>
    </row>
    <row r="7" customFormat="false" ht="15" hidden="false" customHeight="true" outlineLevel="0" collapsed="false">
      <c r="B7" s="35" t="n">
        <v>1</v>
      </c>
      <c r="C7" s="33" t="n">
        <f aca="false">MAX(0.01,Assumptions!$E$10+Assumptions!$E$14*(C$4/Assumptions!$E$5-1)+Assumptions!$E$15*LN($B7/Assumptions!$E$7))</f>
        <v>1.18226020303922</v>
      </c>
      <c r="D7" s="33" t="n">
        <f aca="false">MAX(0.01,Assumptions!$E$10+Assumptions!$E$14*(D$4/Assumptions!$E$5-1)+Assumptions!$E$15*LN($B7/Assumptions!$E$7))</f>
        <v>1.18083949251633</v>
      </c>
      <c r="E7" s="33" t="n">
        <f aca="false">MAX(0.01,Assumptions!$E$10+Assumptions!$E$14*(E$4/Assumptions!$E$5-1)+Assumptions!$E$15*LN($B7/Assumptions!$E$7))</f>
        <v>1.17941878199343</v>
      </c>
      <c r="F7" s="33" t="n">
        <f aca="false">MAX(0.01,Assumptions!$E$10+Assumptions!$E$14*(F$4/Assumptions!$E$5-1)+Assumptions!$E$15*LN($B7/Assumptions!$E$7))</f>
        <v>1.17799807147053</v>
      </c>
      <c r="G7" s="33" t="n">
        <f aca="false">MAX(0.01,Assumptions!$E$10+Assumptions!$E$14*(G$4/Assumptions!$E$5-1)+Assumptions!$E$15*LN($B7/Assumptions!$E$7))</f>
        <v>1.17657736094763</v>
      </c>
    </row>
    <row r="8" customFormat="false" ht="15" hidden="false" customHeight="true" outlineLevel="0" collapsed="false">
      <c r="B8" s="35" t="n">
        <v>2</v>
      </c>
      <c r="C8" s="33" t="n">
        <f aca="false">MAX(0.01,Assumptions!$E$10+Assumptions!$E$14*(C$4/Assumptions!$E$5-1)+Assumptions!$E$15*LN($B8/Assumptions!$E$7))</f>
        <v>1.20998609026162</v>
      </c>
      <c r="D8" s="33" t="n">
        <f aca="false">MAX(0.01,Assumptions!$E$10+Assumptions!$E$14*(D$4/Assumptions!$E$5-1)+Assumptions!$E$15*LN($B8/Assumptions!$E$7))</f>
        <v>1.20856537973872</v>
      </c>
      <c r="E8" s="33" t="n">
        <f aca="false">MAX(0.01,Assumptions!$E$10+Assumptions!$E$14*(E$4/Assumptions!$E$5-1)+Assumptions!$E$15*LN($B8/Assumptions!$E$7))</f>
        <v>1.20714466921583</v>
      </c>
      <c r="F8" s="33" t="n">
        <f aca="false">MAX(0.01,Assumptions!$E$10+Assumptions!$E$14*(F$4/Assumptions!$E$5-1)+Assumptions!$E$15*LN($B8/Assumptions!$E$7))</f>
        <v>1.20572395869293</v>
      </c>
      <c r="G8" s="33" t="n">
        <f aca="false">MAX(0.01,Assumptions!$E$10+Assumptions!$E$14*(G$4/Assumptions!$E$5-1)+Assumptions!$E$15*LN($B8/Assumptions!$E$7))</f>
        <v>1.20430324817003</v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7" min="5" style="1" width="13"/>
    <col collapsed="false" customWidth="true" hidden="false" outlineLevel="0" max="12" min="8" style="1" width="14"/>
    <col collapsed="false" customWidth="true" hidden="false" outlineLevel="0" max="13" min="13" style="1" width="16"/>
  </cols>
  <sheetData>
    <row r="2" customFormat="false" ht="27.75" hidden="false" customHeight="true" outlineLevel="0" collapsed="false">
      <c r="B2" s="2" t="s">
        <v>195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6" t="s">
        <v>196</v>
      </c>
      <c r="C4" s="16" t="s">
        <v>197</v>
      </c>
      <c r="D4" s="16" t="s">
        <v>198</v>
      </c>
      <c r="E4" s="16" t="s">
        <v>199</v>
      </c>
      <c r="F4" s="16" t="s">
        <v>200</v>
      </c>
      <c r="G4" s="16" t="s">
        <v>201</v>
      </c>
      <c r="H4" s="16" t="s">
        <v>202</v>
      </c>
      <c r="I4" s="16" t="s">
        <v>184</v>
      </c>
      <c r="J4" s="16" t="s">
        <v>186</v>
      </c>
      <c r="K4" s="16" t="s">
        <v>176</v>
      </c>
      <c r="L4" s="16" t="s">
        <v>203</v>
      </c>
      <c r="M4" s="16" t="s">
        <v>204</v>
      </c>
    </row>
    <row r="5" customFormat="false" ht="15" hidden="false" customHeight="true" outlineLevel="0" collapsed="false">
      <c r="B5" s="1" t="s">
        <v>205</v>
      </c>
      <c r="C5" s="1" t="s">
        <v>181</v>
      </c>
      <c r="D5" s="36" t="n">
        <v>10</v>
      </c>
      <c r="E5" s="17" t="n">
        <v>100</v>
      </c>
      <c r="F5" s="36" t="n">
        <v>0.5</v>
      </c>
      <c r="G5" s="22" t="n">
        <v>0.25</v>
      </c>
      <c r="H5" s="31" t="n">
        <f aca="false"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>2275.71793301573</v>
      </c>
      <c r="I5" s="1" t="n">
        <f aca="false"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>9.95012479192682</v>
      </c>
      <c r="J5" s="1" t="n">
        <f aca="false">EXP(-Assumptions!$E$9*F5)*(EXP(-(((LN(Assumptions!$E$5/E5)+(Assumptions!$E$8-Assumptions!$E$9+0.5*G5^2)*F5)/(G5*SQRT(F5)))^2)/2)/SQRT(2*PI()))/(Assumptions!$E$5*G5*SQRT(F5))*D5</f>
        <v>8.18335870677372E-074</v>
      </c>
      <c r="K5" s="1" t="n">
        <f aca="false">Assumptions!$E$5*EXP(-Assumptions!$E$9*F5)*(EXP(-(((LN(Assumptions!$E$5/E5)+(Assumptions!$E$8-Assumptions!$E$9+0.5*G5^2)*F5)/(G5*SQRT(F5)))^2)/2)/SQRT(2*PI()))*SQRT(F5)*D5</f>
        <v>5.82411314386676E-068</v>
      </c>
      <c r="L5" s="1" t="n">
        <f aca="false">-Assumptions!$E$5*EXP(-Assumptions!$E$9*F5)*(EXP(-(((LN(Assumptions!$E$5/E5)+(Assumptions!$E$8-Assumptions!$E$9+0.5*G5^2)*F5)/(G5*SQRT(F5)))^2)/2)/SQRT(2*PI()))*G5/(2*SQRT(F5))*D5</f>
        <v>-1.45602828596669E-068</v>
      </c>
      <c r="M5" s="37" t="n">
        <f aca="false">H5*D5*Assumptions!$E$12</f>
        <v>2275717.93301573</v>
      </c>
    </row>
    <row r="6" customFormat="false" ht="15" hidden="false" customHeight="true" outlineLevel="0" collapsed="false">
      <c r="B6" s="1" t="s">
        <v>206</v>
      </c>
      <c r="C6" s="1" t="s">
        <v>182</v>
      </c>
      <c r="D6" s="36" t="n">
        <v>10</v>
      </c>
      <c r="E6" s="17" t="n">
        <v>90</v>
      </c>
      <c r="F6" s="36" t="n">
        <v>0.5</v>
      </c>
      <c r="G6" s="22" t="n">
        <v>0.3</v>
      </c>
      <c r="H6" s="31" t="n">
        <f aca="false"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>1.1086147349555E-053</v>
      </c>
      <c r="I6" s="1" t="n">
        <f aca="false"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>0</v>
      </c>
      <c r="J6" s="1" t="n">
        <f aca="false">EXP(-Assumptions!$E$9*F6)*(EXP(-(((LN(Assumptions!$E$5/E6)+(Assumptions!$E$8-Assumptions!$E$9+0.5*G6^2)*F6)/(G6*SQRT(F6)))^2)/2)/SQRT(2*PI()))/(Assumptions!$E$5*G6*SQRT(F6))*D6</f>
        <v>1.05210222043704E-055</v>
      </c>
      <c r="K6" s="1" t="n">
        <f aca="false">Assumptions!$E$5*EXP(-Assumptions!$E$9*F6)*(EXP(-(((LN(Assumptions!$E$5/E6)+(Assumptions!$E$8-Assumptions!$E$9+0.5*G6^2)*F6)/(G6*SQRT(F6)))^2)/2)/SQRT(2*PI()))*SQRT(F6)*D6</f>
        <v>8.9853996486798E-050</v>
      </c>
      <c r="L6" s="1" t="n">
        <f aca="false">-Assumptions!$E$5*EXP(-Assumptions!$E$9*F6)*(EXP(-(((LN(Assumptions!$E$5/E6)+(Assumptions!$E$8-Assumptions!$E$9+0.5*G6^2)*F6)/(G6*SQRT(F6)))^2)/2)/SQRT(2*PI()))*G6/(2*SQRT(F6))*D6</f>
        <v>-2.69561989460394E-050</v>
      </c>
      <c r="M6" s="37" t="n">
        <f aca="false">H6*D6*Assumptions!$E$12</f>
        <v>1.1086147349555E-050</v>
      </c>
    </row>
    <row r="7" customFormat="false" ht="15" hidden="false" customHeight="true" outlineLevel="0" collapsed="false">
      <c r="B7" s="1" t="s">
        <v>207</v>
      </c>
      <c r="C7" s="1" t="s">
        <v>181</v>
      </c>
      <c r="D7" s="36" t="n">
        <v>-5</v>
      </c>
      <c r="E7" s="17" t="n">
        <v>110</v>
      </c>
      <c r="F7" s="36" t="n">
        <v>0.5</v>
      </c>
      <c r="G7" s="22" t="n">
        <v>0.24</v>
      </c>
      <c r="H7" s="31" t="n">
        <f aca="false"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>2265.8668136197</v>
      </c>
      <c r="I7" s="1" t="n">
        <f aca="false"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>-4.97506239596341</v>
      </c>
      <c r="J7" s="1" t="n">
        <f aca="false">EXP(-Assumptions!$E$9*F7)*(EXP(-(((LN(Assumptions!$E$5/E7)+(Assumptions!$E$8-Assumptions!$E$9+0.5*G7^2)*F7)/(G7*SQRT(F7)))^2)/2)/SQRT(2*PI()))/(Assumptions!$E$5*G7*SQRT(F7))*D7</f>
        <v>-1.47737495315704E-075</v>
      </c>
      <c r="K7" s="1" t="n">
        <f aca="false">Assumptions!$E$5*EXP(-Assumptions!$E$9*F7)*(EXP(-(((LN(Assumptions!$E$5/E7)+(Assumptions!$E$8-Assumptions!$E$9+0.5*G7^2)*F7)/(G7*SQRT(F7)))^2)/2)/SQRT(2*PI()))*SQRT(F7)*D7</f>
        <v>-1.00939274737401E-069</v>
      </c>
      <c r="L7" s="1" t="n">
        <f aca="false">-Assumptions!$E$5*EXP(-Assumptions!$E$9*F7)*(EXP(-(((LN(Assumptions!$E$5/E7)+(Assumptions!$E$8-Assumptions!$E$9+0.5*G7^2)*F7)/(G7*SQRT(F7)))^2)/2)/SQRT(2*PI()))*G7/(2*SQRT(F7))*D7</f>
        <v>2.42254259369763E-070</v>
      </c>
      <c r="M7" s="37" t="n">
        <f aca="false">H7*D7*Assumptions!$E$12</f>
        <v>-1132933.40680985</v>
      </c>
    </row>
    <row r="8" customFormat="false" ht="15" hidden="false" customHeight="true" outlineLevel="0" collapsed="false">
      <c r="B8" s="1" t="s">
        <v>208</v>
      </c>
      <c r="C8" s="1" t="s">
        <v>181</v>
      </c>
      <c r="D8" s="36" t="n">
        <v>4</v>
      </c>
      <c r="E8" s="17" t="n">
        <v>105</v>
      </c>
      <c r="F8" s="36" t="n">
        <v>1</v>
      </c>
      <c r="G8" s="22" t="n">
        <v>0.27</v>
      </c>
      <c r="H8" s="31" t="n">
        <f aca="false"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>2260.49082878131</v>
      </c>
      <c r="I8" s="1" t="n">
        <f aca="false"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>3.96019933499667</v>
      </c>
      <c r="J8" s="1" t="n">
        <f aca="false">EXP(-Assumptions!$E$9*F8)*(EXP(-(((LN(Assumptions!$E$5/E8)+(Assumptions!$E$8-Assumptions!$E$9+0.5*G8^2)*F8)/(G8*SQRT(F8)))^2)/2)/SQRT(2*PI()))/(Assumptions!$E$5*G8*SQRT(F8))*D8</f>
        <v>1.85917508277277E-033</v>
      </c>
      <c r="K8" s="1" t="n">
        <f aca="false">Assumptions!$E$5*EXP(-Assumptions!$E$9*F8)*(EXP(-(((LN(Assumptions!$E$5/E8)+(Assumptions!$E$8-Assumptions!$E$9+0.5*G8^2)*F8)/(G8*SQRT(F8)))^2)/2)/SQRT(2*PI()))*SQRT(F8)*D8</f>
        <v>2.85806601867586E-027</v>
      </c>
      <c r="L8" s="1" t="n">
        <f aca="false">-Assumptions!$E$5*EXP(-Assumptions!$E$9*F8)*(EXP(-(((LN(Assumptions!$E$5/E8)+(Assumptions!$E$8-Assumptions!$E$9+0.5*G8^2)*F8)/(G8*SQRT(F8)))^2)/2)/SQRT(2*PI()))*G8/(2*SQRT(F8))*D8</f>
        <v>-3.85838912521241E-028</v>
      </c>
      <c r="M8" s="37" t="n">
        <f aca="false">H8*D8*Assumptions!$E$12</f>
        <v>904196.331512524</v>
      </c>
    </row>
    <row r="10" customFormat="false" ht="15" hidden="false" customHeight="true" outlineLevel="0" collapsed="false">
      <c r="B10" s="38" t="s">
        <v>209</v>
      </c>
      <c r="C10" s="38"/>
      <c r="D10" s="38"/>
      <c r="E10" s="38"/>
      <c r="F10" s="38"/>
      <c r="G10" s="38"/>
      <c r="H10" s="38"/>
      <c r="I10" s="39" t="n">
        <f aca="false">SUM(I5:I8)</f>
        <v>8.93526173096008</v>
      </c>
      <c r="J10" s="39" t="n">
        <f aca="false">SUM(J5:J8)</f>
        <v>1.85917508277277E-033</v>
      </c>
      <c r="K10" s="39" t="n">
        <f aca="false">SUM(K5:K8)</f>
        <v>2.85806601867586E-027</v>
      </c>
      <c r="L10" s="39" t="n">
        <f aca="false">SUM(L5:L8)</f>
        <v>-3.85838912521241E-028</v>
      </c>
      <c r="M10" s="40" t="n">
        <f aca="false">SUM(M5:M8)</f>
        <v>2046980.8577184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210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211</v>
      </c>
      <c r="C4" s="41" t="n">
        <v>-0.1</v>
      </c>
      <c r="D4" s="41" t="n">
        <v>-0.05</v>
      </c>
      <c r="E4" s="41" t="n">
        <v>0</v>
      </c>
      <c r="F4" s="41" t="n">
        <v>0.05</v>
      </c>
      <c r="G4" s="41" t="n">
        <v>0.1</v>
      </c>
    </row>
    <row r="5" customFormat="false" ht="15" hidden="false" customHeight="true" outlineLevel="0" collapsed="false">
      <c r="B5" s="42" t="n">
        <v>-0.2</v>
      </c>
      <c r="C5" s="37" t="n">
        <f aca="false">Portfolio!$I$10*(Assumptions!$E$5*$B5)+0.5*Portfolio!$J$10*(Assumptions!$E$5*$B5)^2+Portfolio!$K$10*C$4</f>
        <v>-4264.13921481916</v>
      </c>
      <c r="D5" s="37" t="n">
        <f aca="false">Portfolio!$I$10*(Assumptions!$E$5*$B5)+0.5*Portfolio!$J$10*(Assumptions!$E$5*$B5)^2+Portfolio!$K$10*D$4</f>
        <v>-4264.13921481916</v>
      </c>
      <c r="E5" s="37" t="n">
        <f aca="false">Portfolio!$I$10*(Assumptions!$E$5*$B5)+0.5*Portfolio!$J$10*(Assumptions!$E$5*$B5)^2+Portfolio!$K$10*E$4</f>
        <v>-4264.13921481916</v>
      </c>
      <c r="F5" s="37" t="n">
        <f aca="false">Portfolio!$I$10*(Assumptions!$E$5*$B5)+0.5*Portfolio!$J$10*(Assumptions!$E$5*$B5)^2+Portfolio!$K$10*F$4</f>
        <v>-4264.13921481916</v>
      </c>
      <c r="G5" s="37" t="n">
        <f aca="false">Portfolio!$I$10*(Assumptions!$E$5*$B5)+0.5*Portfolio!$J$10*(Assumptions!$E$5*$B5)^2+Portfolio!$K$10*G$4</f>
        <v>-4264.13921481916</v>
      </c>
    </row>
    <row r="6" customFormat="false" ht="15" hidden="false" customHeight="true" outlineLevel="0" collapsed="false">
      <c r="B6" s="42" t="n">
        <v>-0.1</v>
      </c>
      <c r="C6" s="37" t="n">
        <f aca="false">Portfolio!$I$10*(Assumptions!$E$5*$B6)+0.5*Portfolio!$J$10*(Assumptions!$E$5*$B6)^2+Portfolio!$K$10*C$4</f>
        <v>-2132.06960740958</v>
      </c>
      <c r="D6" s="37" t="n">
        <f aca="false">Portfolio!$I$10*(Assumptions!$E$5*$B6)+0.5*Portfolio!$J$10*(Assumptions!$E$5*$B6)^2+Portfolio!$K$10*D$4</f>
        <v>-2132.06960740958</v>
      </c>
      <c r="E6" s="37" t="n">
        <f aca="false">Portfolio!$I$10*(Assumptions!$E$5*$B6)+0.5*Portfolio!$J$10*(Assumptions!$E$5*$B6)^2+Portfolio!$K$10*E$4</f>
        <v>-2132.06960740958</v>
      </c>
      <c r="F6" s="37" t="n">
        <f aca="false">Portfolio!$I$10*(Assumptions!$E$5*$B6)+0.5*Portfolio!$J$10*(Assumptions!$E$5*$B6)^2+Portfolio!$K$10*F$4</f>
        <v>-2132.06960740958</v>
      </c>
      <c r="G6" s="37" t="n">
        <f aca="false">Portfolio!$I$10*(Assumptions!$E$5*$B6)+0.5*Portfolio!$J$10*(Assumptions!$E$5*$B6)^2+Portfolio!$K$10*G$4</f>
        <v>-2132.06960740958</v>
      </c>
    </row>
    <row r="7" customFormat="false" ht="15" hidden="false" customHeight="true" outlineLevel="0" collapsed="false">
      <c r="B7" s="42" t="n">
        <v>0</v>
      </c>
      <c r="C7" s="37" t="n">
        <f aca="false">Portfolio!$I$10*(Assumptions!$E$5*$B7)+0.5*Portfolio!$J$10*(Assumptions!$E$5*$B7)^2+Portfolio!$K$10*C$4</f>
        <v>-2.85806601867586E-028</v>
      </c>
      <c r="D7" s="37" t="n">
        <f aca="false">Portfolio!$I$10*(Assumptions!$E$5*$B7)+0.5*Portfolio!$J$10*(Assumptions!$E$5*$B7)^2+Portfolio!$K$10*D$4</f>
        <v>-1.42903300933793E-028</v>
      </c>
      <c r="E7" s="37" t="n">
        <f aca="false">Portfolio!$I$10*(Assumptions!$E$5*$B7)+0.5*Portfolio!$J$10*(Assumptions!$E$5*$B7)^2+Portfolio!$K$10*E$4</f>
        <v>0</v>
      </c>
      <c r="F7" s="37" t="n">
        <f aca="false">Portfolio!$I$10*(Assumptions!$E$5*$B7)+0.5*Portfolio!$J$10*(Assumptions!$E$5*$B7)^2+Portfolio!$K$10*F$4</f>
        <v>1.42903300933793E-028</v>
      </c>
      <c r="G7" s="37" t="n">
        <f aca="false">Portfolio!$I$10*(Assumptions!$E$5*$B7)+0.5*Portfolio!$J$10*(Assumptions!$E$5*$B7)^2+Portfolio!$K$10*G$4</f>
        <v>2.85806601867586E-028</v>
      </c>
    </row>
    <row r="8" customFormat="false" ht="15" hidden="false" customHeight="true" outlineLevel="0" collapsed="false">
      <c r="B8" s="42" t="n">
        <v>0.1</v>
      </c>
      <c r="C8" s="37" t="n">
        <f aca="false">Portfolio!$I$10*(Assumptions!$E$5*$B8)+0.5*Portfolio!$J$10*(Assumptions!$E$5*$B8)^2+Portfolio!$K$10*C$4</f>
        <v>2132.06960740958</v>
      </c>
      <c r="D8" s="37" t="n">
        <f aca="false">Portfolio!$I$10*(Assumptions!$E$5*$B8)+0.5*Portfolio!$J$10*(Assumptions!$E$5*$B8)^2+Portfolio!$K$10*D$4</f>
        <v>2132.06960740958</v>
      </c>
      <c r="E8" s="37" t="n">
        <f aca="false">Portfolio!$I$10*(Assumptions!$E$5*$B8)+0.5*Portfolio!$J$10*(Assumptions!$E$5*$B8)^2+Portfolio!$K$10*E$4</f>
        <v>2132.06960740958</v>
      </c>
      <c r="F8" s="37" t="n">
        <f aca="false">Portfolio!$I$10*(Assumptions!$E$5*$B8)+0.5*Portfolio!$J$10*(Assumptions!$E$5*$B8)^2+Portfolio!$K$10*F$4</f>
        <v>2132.06960740958</v>
      </c>
      <c r="G8" s="37" t="n">
        <f aca="false">Portfolio!$I$10*(Assumptions!$E$5*$B8)+0.5*Portfolio!$J$10*(Assumptions!$E$5*$B8)^2+Portfolio!$K$10*G$4</f>
        <v>2132.06960740958</v>
      </c>
    </row>
    <row r="9" customFormat="false" ht="15" hidden="false" customHeight="true" outlineLevel="0" collapsed="false">
      <c r="B9" s="42" t="n">
        <v>0.2</v>
      </c>
      <c r="C9" s="37" t="n">
        <f aca="false">Portfolio!$I$10*(Assumptions!$E$5*$B9)+0.5*Portfolio!$J$10*(Assumptions!$E$5*$B9)^2+Portfolio!$K$10*C$4</f>
        <v>4264.13921481916</v>
      </c>
      <c r="D9" s="37" t="n">
        <f aca="false">Portfolio!$I$10*(Assumptions!$E$5*$B9)+0.5*Portfolio!$J$10*(Assumptions!$E$5*$B9)^2+Portfolio!$K$10*D$4</f>
        <v>4264.13921481916</v>
      </c>
      <c r="E9" s="37" t="n">
        <f aca="false">Portfolio!$I$10*(Assumptions!$E$5*$B9)+0.5*Portfolio!$J$10*(Assumptions!$E$5*$B9)^2+Portfolio!$K$10*E$4</f>
        <v>4264.13921481916</v>
      </c>
      <c r="F9" s="37" t="n">
        <f aca="false">Portfolio!$I$10*(Assumptions!$E$5*$B9)+0.5*Portfolio!$J$10*(Assumptions!$E$5*$B9)^2+Portfolio!$K$10*F$4</f>
        <v>4264.13921481916</v>
      </c>
      <c r="G9" s="37" t="n">
        <f aca="false">Portfolio!$I$10*(Assumptions!$E$5*$B9)+0.5*Portfolio!$J$10*(Assumptions!$E$5*$B9)^2+Portfolio!$K$10*G$4</f>
        <v>4264.13921481916</v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212</v>
      </c>
      <c r="C2" s="2"/>
    </row>
    <row r="4" customFormat="false" ht="15" hidden="false" customHeight="true" outlineLevel="0" collapsed="false">
      <c r="B4" s="16" t="s">
        <v>213</v>
      </c>
      <c r="C4" s="16" t="s">
        <v>44</v>
      </c>
    </row>
    <row r="5" customFormat="false" ht="15" hidden="false" customHeight="true" outlineLevel="0" collapsed="false">
      <c r="B5" s="1" t="s">
        <v>214</v>
      </c>
      <c r="C5" s="1" t="str">
        <f aca="false">IF(ABS('European Pricer'!C13)&lt;0.000001,"PASS","FAIL")</f>
        <v>PASS</v>
      </c>
    </row>
    <row r="6" customFormat="false" ht="15" hidden="false" customHeight="true" outlineLevel="0" collapsed="false">
      <c r="B6" s="1" t="s">
        <v>215</v>
      </c>
      <c r="C6" s="1" t="str">
        <f aca="false">IF('Implied Vol'!E17&lt;0.0001,"PASS","REVIEW")</f>
        <v>REVIEW</v>
      </c>
    </row>
    <row r="7" customFormat="false" ht="15" hidden="false" customHeight="true" outlineLevel="0" collapsed="false">
      <c r="B7" s="1" t="s">
        <v>216</v>
      </c>
      <c r="C7" s="1" t="str">
        <f aca="false">IF(AND(Greeks!C6&gt;0,Greeks!D6&gt;0),"PASS","FAIL")</f>
        <v>PASS</v>
      </c>
    </row>
    <row r="8" customFormat="false" ht="15" hidden="false" customHeight="true" outlineLevel="0" collapsed="false">
      <c r="B8" s="1" t="s">
        <v>217</v>
      </c>
      <c r="C8" s="1" t="str">
        <f aca="false">IF(AND('European Pricer'!C7&gt;=MAX(0,Assumptions!E5*EXP(-Assumptions!E9*Assumptions!E7)-Assumptions!E6*EXP(-Assumptions!E8*Assumptions!E7)),'European Pricer'!C7&lt;=Assumptions!E5*EXP(-Assumptions!E9*Assumptions!E7)),"PASS","FAIL")</f>
        <v>PASS</v>
      </c>
    </row>
    <row r="9" customFormat="false" ht="15" hidden="false" customHeight="true" outlineLevel="0" collapsed="false">
      <c r="B9" s="1" t="s">
        <v>218</v>
      </c>
      <c r="C9" s="1" t="str">
        <f aca="false">IF(COUNT(Portfolio!H5:M8)=24,"PASS","FAIL")</f>
        <v>PASS</v>
      </c>
    </row>
    <row r="10" customFormat="false" ht="15" hidden="false" customHeight="true" outlineLevel="0" collapsed="false">
      <c r="B10" s="1" t="s">
        <v>219</v>
      </c>
      <c r="C10" s="1" t="str">
        <f aca="false">IF(COUNTIF(C5:C9,"FAIL")=0,"PASS","FAIL")</f>
        <v>PASS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220</v>
      </c>
      <c r="C2" s="2"/>
      <c r="D2" s="2"/>
      <c r="E2" s="2"/>
    </row>
    <row r="4" customFormat="false" ht="15" hidden="false" customHeight="true" outlineLevel="0" collapsed="false">
      <c r="B4" s="16" t="s">
        <v>221</v>
      </c>
      <c r="C4" s="16" t="s">
        <v>222</v>
      </c>
      <c r="D4" s="16" t="s">
        <v>110</v>
      </c>
      <c r="E4" s="16" t="s">
        <v>223</v>
      </c>
    </row>
    <row r="5" customFormat="false" ht="15" hidden="false" customHeight="true" outlineLevel="0" collapsed="false">
      <c r="B5" s="43" t="s">
        <v>224</v>
      </c>
      <c r="C5" s="43" t="s">
        <v>225</v>
      </c>
      <c r="D5" s="43" t="s">
        <v>8</v>
      </c>
      <c r="E5" s="43" t="s">
        <v>226</v>
      </c>
    </row>
    <row r="6" customFormat="false" ht="15" hidden="false" customHeight="true" outlineLevel="0" collapsed="false">
      <c r="B6" s="43" t="s">
        <v>227</v>
      </c>
      <c r="C6" s="43" t="s">
        <v>228</v>
      </c>
      <c r="D6" s="43" t="s">
        <v>229</v>
      </c>
      <c r="E6" s="43" t="s">
        <v>230</v>
      </c>
    </row>
    <row r="7" customFormat="false" ht="15" hidden="false" customHeight="true" outlineLevel="0" collapsed="false">
      <c r="B7" s="43" t="s">
        <v>231</v>
      </c>
      <c r="C7" s="43" t="s">
        <v>232</v>
      </c>
      <c r="D7" s="43" t="s">
        <v>8</v>
      </c>
      <c r="E7" s="43" t="s">
        <v>233</v>
      </c>
    </row>
    <row r="8" customFormat="false" ht="15" hidden="false" customHeight="true" outlineLevel="0" collapsed="false">
      <c r="B8" s="43" t="s">
        <v>234</v>
      </c>
      <c r="C8" s="43" t="s">
        <v>235</v>
      </c>
      <c r="D8" s="43" t="s">
        <v>8</v>
      </c>
      <c r="E8" s="43" t="s">
        <v>236</v>
      </c>
    </row>
    <row r="9" customFormat="false" ht="15" hidden="false" customHeight="false" outlineLevel="0" collapsed="false">
      <c r="B9" s="44" t="s">
        <v>237</v>
      </c>
      <c r="C9" s="44" t="s">
        <v>238</v>
      </c>
      <c r="D9" s="44" t="s">
        <v>6</v>
      </c>
      <c r="E9" s="44" t="s">
        <v>239</v>
      </c>
    </row>
    <row r="10" customFormat="false" ht="15" hidden="false" customHeight="false" outlineLevel="0" collapsed="false">
      <c r="B10" s="44" t="s">
        <v>240</v>
      </c>
      <c r="C10" s="44" t="s">
        <v>241</v>
      </c>
      <c r="D10" s="44" t="s">
        <v>6</v>
      </c>
      <c r="E10" s="44" t="s">
        <v>242</v>
      </c>
    </row>
    <row r="11" customFormat="false" ht="15" hidden="false" customHeight="false" outlineLevel="0" collapsed="false">
      <c r="B11" s="44" t="s">
        <v>243</v>
      </c>
      <c r="C11" s="44" t="s">
        <v>244</v>
      </c>
      <c r="D11" s="44" t="s">
        <v>6</v>
      </c>
      <c r="E11" s="44" t="s">
        <v>245</v>
      </c>
    </row>
    <row r="12" customFormat="false" ht="15" hidden="false" customHeight="false" outlineLevel="0" collapsed="false">
      <c r="B12" s="44" t="s">
        <v>246</v>
      </c>
      <c r="C12" s="44" t="s">
        <v>247</v>
      </c>
      <c r="D12" s="44" t="s">
        <v>6</v>
      </c>
      <c r="E12" s="44" t="s">
        <v>248</v>
      </c>
    </row>
    <row r="13" customFormat="false" ht="15" hidden="false" customHeight="false" outlineLevel="0" collapsed="false">
      <c r="B13" s="44" t="s">
        <v>249</v>
      </c>
      <c r="C13" s="44" t="s">
        <v>244</v>
      </c>
      <c r="D13" s="44" t="s">
        <v>6</v>
      </c>
      <c r="E13" s="44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252</v>
      </c>
      <c r="D4" s="16" t="s">
        <v>253</v>
      </c>
      <c r="E4" s="16" t="s">
        <v>254</v>
      </c>
      <c r="F4" s="16" t="s">
        <v>255</v>
      </c>
      <c r="G4" s="16" t="s">
        <v>256</v>
      </c>
    </row>
    <row r="5" customFormat="false" ht="15" hidden="false" customHeight="true" outlineLevel="0" collapsed="false">
      <c r="B5" s="45" t="s">
        <v>257</v>
      </c>
      <c r="C5" s="45" t="s">
        <v>258</v>
      </c>
      <c r="D5" s="45" t="s">
        <v>244</v>
      </c>
      <c r="E5" s="45" t="s">
        <v>259</v>
      </c>
      <c r="F5" s="45" t="s">
        <v>260</v>
      </c>
      <c r="G5" s="45" t="s">
        <v>261</v>
      </c>
    </row>
    <row r="6" customFormat="false" ht="15" hidden="false" customHeight="true" outlineLevel="0" collapsed="false">
      <c r="B6" s="45"/>
      <c r="C6" s="45"/>
      <c r="D6" s="45"/>
      <c r="E6" s="45"/>
      <c r="F6" s="45"/>
      <c r="G6" s="45"/>
    </row>
    <row r="7" customFormat="false" ht="15" hidden="false" customHeight="true" outlineLevel="0" collapsed="false">
      <c r="B7" s="45"/>
      <c r="C7" s="45"/>
      <c r="D7" s="45"/>
      <c r="E7" s="45"/>
      <c r="F7" s="45"/>
      <c r="G7" s="45"/>
    </row>
    <row r="8" customFormat="false" ht="15" hidden="false" customHeight="true" outlineLevel="0" collapsed="false">
      <c r="B8" s="45"/>
      <c r="C8" s="45"/>
      <c r="D8" s="45"/>
      <c r="E8" s="45"/>
      <c r="F8" s="45"/>
      <c r="G8" s="45"/>
    </row>
    <row r="9" customFormat="false" ht="15" hidden="false" customHeight="true" outlineLevel="0" collapsed="false">
      <c r="B9" s="45"/>
      <c r="C9" s="45"/>
      <c r="D9" s="45"/>
      <c r="E9" s="45"/>
      <c r="F9" s="45"/>
      <c r="G9" s="45"/>
    </row>
    <row r="10" customFormat="false" ht="15" hidden="false" customHeight="true" outlineLevel="0" collapsed="false">
      <c r="B10" s="45"/>
      <c r="C10" s="45"/>
      <c r="D10" s="45"/>
      <c r="E10" s="45"/>
      <c r="F10" s="45"/>
      <c r="G10" s="45"/>
    </row>
    <row r="11" customFormat="false" ht="15" hidden="false" customHeight="true" outlineLevel="0" collapsed="false">
      <c r="B11" s="45"/>
      <c r="C11" s="45"/>
      <c r="D11" s="45"/>
      <c r="E11" s="45"/>
      <c r="F11" s="45"/>
      <c r="G11" s="45"/>
    </row>
    <row r="12" customFormat="false" ht="15" hidden="false" customHeight="true" outlineLevel="0" collapsed="false">
      <c r="B12" s="45"/>
      <c r="C12" s="45"/>
      <c r="D12" s="45"/>
      <c r="E12" s="45"/>
      <c r="F12" s="45"/>
      <c r="G12" s="45"/>
    </row>
    <row r="13" customFormat="false" ht="15" hidden="false" customHeight="true" outlineLevel="0" collapsed="false">
      <c r="B13" s="45"/>
      <c r="C13" s="45"/>
      <c r="D13" s="45"/>
      <c r="E13" s="45"/>
      <c r="F13" s="45"/>
      <c r="G13" s="45"/>
    </row>
    <row r="14" customFormat="false" ht="15" hidden="false" customHeight="true" outlineLevel="0" collapsed="false">
      <c r="B14" s="45"/>
      <c r="C14" s="45"/>
      <c r="D14" s="45"/>
      <c r="E14" s="45"/>
      <c r="F14" s="45"/>
      <c r="G14" s="45"/>
    </row>
    <row r="15" customFormat="false" ht="15" hidden="false" customHeight="true" outlineLevel="0" collapsed="false">
      <c r="B15" s="45"/>
      <c r="C15" s="45"/>
      <c r="D15" s="45"/>
      <c r="E15" s="45"/>
      <c r="F15" s="45"/>
      <c r="G15" s="45"/>
    </row>
    <row r="16" customFormat="false" ht="15" hidden="false" customHeight="true" outlineLevel="0" collapsed="false">
      <c r="B16" s="45"/>
      <c r="C16" s="45"/>
      <c r="D16" s="45"/>
      <c r="E16" s="45"/>
      <c r="F16" s="45"/>
      <c r="G16" s="45"/>
    </row>
    <row r="17" customFormat="false" ht="15" hidden="false" customHeight="true" outlineLevel="0" collapsed="false">
      <c r="B17" s="45"/>
      <c r="C17" s="45"/>
      <c r="D17" s="45"/>
      <c r="E17" s="45"/>
      <c r="F17" s="45"/>
      <c r="G17" s="45"/>
    </row>
    <row r="18" customFormat="false" ht="15" hidden="false" customHeight="true" outlineLevel="0" collapsed="false">
      <c r="B18" s="45"/>
      <c r="C18" s="45"/>
      <c r="D18" s="45"/>
      <c r="E18" s="45"/>
      <c r="F18" s="45"/>
      <c r="G18" s="45"/>
    </row>
    <row r="19" customFormat="false" ht="15" hidden="false" customHeight="true" outlineLevel="0" collapsed="false">
      <c r="B19" s="45"/>
      <c r="C19" s="45"/>
      <c r="D19" s="45"/>
      <c r="E19" s="45"/>
      <c r="F19" s="45"/>
      <c r="G19" s="45"/>
    </row>
    <row r="20" customFormat="false" ht="15" hidden="false" customHeight="true" outlineLevel="0" collapsed="false">
      <c r="B20" s="45"/>
      <c r="C20" s="45"/>
      <c r="D20" s="45"/>
      <c r="E20" s="45"/>
      <c r="F20" s="45"/>
      <c r="G20" s="45"/>
    </row>
    <row r="21" customFormat="false" ht="15" hidden="false" customHeight="true" outlineLevel="0" collapsed="false">
      <c r="B21" s="45"/>
      <c r="C21" s="45"/>
      <c r="D21" s="45"/>
      <c r="E21" s="45"/>
      <c r="F21" s="45"/>
      <c r="G21" s="45"/>
    </row>
    <row r="22" customFormat="false" ht="15" hidden="false" customHeight="true" outlineLevel="0" collapsed="false">
      <c r="B22" s="45"/>
      <c r="C22" s="45"/>
      <c r="D22" s="45"/>
      <c r="E22" s="45"/>
      <c r="F22" s="45"/>
      <c r="G22" s="45"/>
    </row>
    <row r="23" customFormat="false" ht="15" hidden="false" customHeight="true" outlineLevel="0" collapsed="false">
      <c r="B23" s="45"/>
      <c r="C23" s="45"/>
      <c r="D23" s="45"/>
      <c r="E23" s="45"/>
      <c r="F23" s="45"/>
      <c r="G23" s="45"/>
    </row>
    <row r="24" customFormat="false" ht="15" hidden="false" customHeight="true" outlineLevel="0" collapsed="false">
      <c r="B24" s="45"/>
      <c r="C24" s="45"/>
      <c r="D24" s="45"/>
      <c r="E24" s="45"/>
      <c r="F24" s="45"/>
      <c r="G24" s="45"/>
    </row>
    <row r="25" customFormat="false" ht="15" hidden="false" customHeight="true" outlineLevel="0" collapsed="false">
      <c r="B25" s="45"/>
      <c r="C25" s="45"/>
      <c r="D25" s="45"/>
      <c r="E25" s="45"/>
      <c r="F25" s="45"/>
      <c r="G25" s="45"/>
    </row>
    <row r="26" customFormat="false" ht="15" hidden="false" customHeight="true" outlineLevel="0" collapsed="false">
      <c r="B26" s="45"/>
      <c r="C26" s="45"/>
      <c r="D26" s="45"/>
      <c r="E26" s="45"/>
      <c r="F26" s="45"/>
      <c r="G26" s="45"/>
    </row>
    <row r="27" customFormat="false" ht="15" hidden="false" customHeight="true" outlineLevel="0" collapsed="false">
      <c r="B27" s="45"/>
      <c r="C27" s="45"/>
      <c r="D27" s="45"/>
      <c r="E27" s="45"/>
      <c r="F27" s="45"/>
      <c r="G27" s="45"/>
    </row>
    <row r="28" customFormat="false" ht="15" hidden="false" customHeight="true" outlineLevel="0" collapsed="false">
      <c r="B28" s="45"/>
      <c r="C28" s="45"/>
      <c r="D28" s="45"/>
      <c r="E28" s="45"/>
      <c r="F28" s="45"/>
      <c r="G28" s="45"/>
    </row>
    <row r="29" customFormat="false" ht="15" hidden="false" customHeight="true" outlineLevel="0" collapsed="false">
      <c r="B29" s="45"/>
      <c r="C29" s="45"/>
      <c r="D29" s="45"/>
      <c r="E29" s="45"/>
      <c r="F29" s="45"/>
      <c r="G29" s="4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