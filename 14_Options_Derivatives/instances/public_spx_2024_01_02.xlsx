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European Pricer" sheetId="6" state="visible" r:id="rId6"/>
    <sheet xmlns:r="http://schemas.openxmlformats.org/officeDocument/2006/relationships" name="Implied Vol" sheetId="7" state="visible" r:id="rId7"/>
    <sheet xmlns:r="http://schemas.openxmlformats.org/officeDocument/2006/relationships" name="Greeks" sheetId="8" state="visible" r:id="rId8"/>
    <sheet xmlns:r="http://schemas.openxmlformats.org/officeDocument/2006/relationships" name="Vol Surface" sheetId="9" state="visible" r:id="rId9"/>
    <sheet xmlns:r="http://schemas.openxmlformats.org/officeDocument/2006/relationships" name="Portfolio" sheetId="10" state="visible" r:id="rId10"/>
    <sheet xmlns:r="http://schemas.openxmlformats.org/officeDocument/2006/relationships" name="Scenario P&amp;L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7">
    <numFmt numFmtId="164" formatCode="\$#,##0.00;[RED]&quot;($&quot;#,##0.00\);\-"/>
    <numFmt numFmtId="165" formatCode="0.0000"/>
    <numFmt numFmtId="166" formatCode="0.00%;[RED]\(0.00%\);\-"/>
    <numFmt numFmtId="167" formatCode="0.000"/>
    <numFmt numFmtId="168" formatCode="0.000000"/>
    <numFmt numFmtId="169" formatCode="\$#,##0.0;[RED]&quot;($&quot;#,##0.0\);\-"/>
    <numFmt numFmtId="170" formatCode="0.0%;[RED]\(0.0%\)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169" fontId="5" fillId="0" borderId="2" applyAlignment="1" pivotButton="0" quotePrefix="0" xfId="0">
      <alignment horizontal="general" vertical="bottom"/>
    </xf>
    <xf numFmtId="170" fontId="7" fillId="2" borderId="1" applyAlignment="1" pivotButton="0" quotePrefix="0" xfId="0">
      <alignment horizontal="center" vertical="center" wrapText="1"/>
    </xf>
    <xf numFmtId="170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4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4" borderId="0" pivotButton="0" quotePrefix="0" xfId="0"/>
    <xf numFmtId="0" fontId="13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169" fontId="5" fillId="0" borderId="2" applyAlignment="1" pivotButton="0" quotePrefix="0" xfId="0">
      <alignment horizontal="general" vertical="bottom"/>
    </xf>
    <xf numFmtId="170" fontId="7" fillId="2" borderId="1" applyAlignment="1" pivotButton="0" quotePrefix="0" xfId="0">
      <alignment horizontal="center" vertical="center" wrapText="1"/>
    </xf>
    <xf numFmtId="170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0" fontId="1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6" customWidth="1" style="35" min="2" max="2"/>
    <col width="46" customWidth="1" style="35" min="3" max="3"/>
    <col width="12" customWidth="1" style="35" min="4" max="6"/>
  </cols>
  <sheetData>
    <row r="2" ht="27.75" customHeight="1" s="36">
      <c r="B2" s="37" t="inlineStr">
        <is>
          <t>[UNDERLYING] — Options &amp; Derivatives Model</t>
        </is>
      </c>
    </row>
    <row r="4" ht="15" customHeight="1" s="36">
      <c r="B4" s="38" t="inlineStr">
        <is>
          <t>Underlying:</t>
        </is>
      </c>
      <c r="C4" s="39" t="inlineStr">
        <is>
          <t>[Ticker / index / FX / commodity]</t>
        </is>
      </c>
    </row>
    <row r="5" ht="15" customHeight="1" s="36">
      <c r="B5" s="38" t="inlineStr">
        <is>
          <t>Use case:</t>
        </is>
      </c>
      <c r="C5" s="39" t="inlineStr">
        <is>
          <t>Pricing / volatility / portfolio risk</t>
        </is>
      </c>
    </row>
    <row r="6" ht="15" customHeight="1" s="36">
      <c r="B6" s="38" t="inlineStr">
        <is>
          <t>Last refreshed:</t>
        </is>
      </c>
      <c r="C6" s="75" t="inlineStr">
        <is>
          <t>2024-01-02</t>
        </is>
      </c>
    </row>
    <row r="7" ht="15" customHeight="1" s="36">
      <c r="B7" s="38" t="inlineStr">
        <is>
          <t>Next expiry / event:</t>
        </is>
      </c>
      <c r="C7" s="39" t="inlineStr">
        <is>
          <t>[date]</t>
        </is>
      </c>
    </row>
    <row r="8" ht="15" customHeight="1" s="36">
      <c r="B8" s="38" t="inlineStr">
        <is>
          <t>Refresh cadence:</t>
        </is>
      </c>
      <c r="C8" s="39" t="inlineStr">
        <is>
          <t>Daily near expiry; weekly otherwise</t>
        </is>
      </c>
    </row>
    <row r="9" ht="15" customHeight="1" s="36">
      <c r="B9" s="38" t="inlineStr">
        <is>
          <t>Active scenario:</t>
        </is>
      </c>
      <c r="C9" s="75" t="inlineStr">
        <is>
          <t>Base</t>
        </is>
      </c>
    </row>
    <row r="10" ht="15" customHeight="1" s="36">
      <c r="B10" s="38" t="inlineStr">
        <is>
          <t>Units:</t>
        </is>
      </c>
      <c r="C10" s="39" t="inlineStr">
        <is>
          <t>Per option unless noted</t>
        </is>
      </c>
    </row>
    <row r="13" ht="15" customHeight="1" s="36">
      <c r="B13" s="40" t="inlineStr">
        <is>
          <t>Modeling conventions</t>
        </is>
      </c>
    </row>
    <row r="14" ht="15" customHeight="1" s="36">
      <c r="B14" s="41" t="inlineStr">
        <is>
          <t>Blue text / yellow fill</t>
        </is>
      </c>
      <c r="C14" s="42" t="inlineStr">
        <is>
          <t>Hardcoded input or selected scenario</t>
        </is>
      </c>
    </row>
    <row r="15" ht="15" customHeight="1" s="36">
      <c r="B15" s="38" t="inlineStr">
        <is>
          <t>Black text</t>
        </is>
      </c>
      <c r="C15" s="42" t="inlineStr">
        <is>
          <t>Formula / same-sheet calculation</t>
        </is>
      </c>
    </row>
    <row r="16" ht="15" customHeight="1" s="36">
      <c r="B16" s="43" t="inlineStr">
        <is>
          <t>Green text</t>
        </is>
      </c>
      <c r="C16" s="42" t="inlineStr">
        <is>
          <t>Cross-sheet formula / link</t>
        </is>
      </c>
    </row>
    <row r="17" ht="15" customHeight="1" s="36">
      <c r="B17" s="38" t="inlineStr">
        <is>
          <t>Checks</t>
        </is>
      </c>
      <c r="C17" s="42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36" min="2" max="2"/>
    <col width="48" customWidth="1" style="36" min="3" max="3"/>
    <col width="24" customWidth="1" style="36" min="4" max="4"/>
    <col width="34" customWidth="1" style="36" min="5" max="5"/>
    <col width="20" customWidth="1" style="36" min="6" max="6"/>
  </cols>
  <sheetData>
    <row r="2">
      <c r="B2" s="44" t="inlineStr">
        <is>
          <t>Options &amp; Derivatives — Institutional Decision Surface</t>
        </is>
      </c>
    </row>
    <row r="4">
      <c r="B4" s="45" t="inlineStr">
        <is>
          <t>Model ID</t>
        </is>
      </c>
      <c r="C4" s="46" t="inlineStr">
        <is>
          <t>14</t>
        </is>
      </c>
    </row>
    <row r="5">
      <c r="B5" s="45" t="inlineStr">
        <is>
          <t>Domain</t>
        </is>
      </c>
      <c r="C5" s="46" t="inlineStr">
        <is>
          <t>Options &amp; Derivatives</t>
        </is>
      </c>
    </row>
    <row r="6">
      <c r="B6" s="45" t="inlineStr">
        <is>
          <t>Declared maturity</t>
        </is>
      </c>
      <c r="C6" s="46" t="inlineStr">
        <is>
          <t>M2</t>
        </is>
      </c>
    </row>
    <row r="7">
      <c r="B7" s="45" t="inlineStr">
        <is>
          <t>Canonical builder</t>
        </is>
      </c>
      <c r="C7" s="46" t="inlineStr">
        <is>
          <t>tools/builders/build_options_release.py</t>
        </is>
      </c>
    </row>
    <row r="8">
      <c r="B8" s="45" t="inlineStr">
        <is>
          <t>Decision arena</t>
        </is>
      </c>
      <c r="C8" s="46" t="inlineStr">
        <is>
          <t>trading desk, market making, independent risk and model validation</t>
        </is>
      </c>
    </row>
    <row r="9">
      <c r="B9" s="45" t="inlineStr">
        <is>
          <t>Committee artifact</t>
        </is>
      </c>
      <c r="C9" s="46" t="inlineStr">
        <is>
          <t>volatility and Greeks risk pack</t>
        </is>
      </c>
    </row>
    <row r="10">
      <c r="B10" s="45" t="inlineStr">
        <is>
          <t>Operating cadence</t>
        </is>
      </c>
      <c r="C10" s="46" t="inlineStr">
        <is>
          <t>intraday desk; daily risk and margin</t>
        </is>
      </c>
    </row>
    <row r="12">
      <c r="B12" s="47" t="inlineStr">
        <is>
          <t>Key decision outputs</t>
        </is>
      </c>
    </row>
    <row r="13">
      <c r="B13" s="48" t="inlineStr">
        <is>
          <t>#</t>
        </is>
      </c>
      <c r="C13" s="48" t="inlineStr">
        <is>
          <t>Requirement</t>
        </is>
      </c>
      <c r="D13" s="48" t="inlineStr">
        <is>
          <t>Owner</t>
        </is>
      </c>
      <c r="E13" s="48" t="inlineStr">
        <is>
          <t>Evidence / location</t>
        </is>
      </c>
      <c r="F13" s="48" t="inlineStr">
        <is>
          <t>Status</t>
        </is>
      </c>
    </row>
    <row r="14">
      <c r="B14" s="35" t="n">
        <v>1</v>
      </c>
      <c r="C14" s="35" t="inlineStr">
        <is>
          <t>fair value and implied volatility</t>
        </is>
      </c>
      <c r="D14" s="35" t="inlineStr"/>
      <c r="E14" s="35" t="inlineStr"/>
      <c r="F14" s="35" t="inlineStr">
        <is>
          <t>OPEN</t>
        </is>
      </c>
    </row>
    <row r="15">
      <c r="B15" s="35" t="n">
        <v>2</v>
      </c>
      <c r="C15" s="35" t="inlineStr">
        <is>
          <t>surface and skew</t>
        </is>
      </c>
      <c r="D15" s="35" t="inlineStr"/>
      <c r="E15" s="35" t="inlineStr"/>
      <c r="F15" s="35" t="inlineStr">
        <is>
          <t>OPEN</t>
        </is>
      </c>
    </row>
    <row r="16">
      <c r="B16" s="35" t="n">
        <v>3</v>
      </c>
      <c r="C16" s="35" t="inlineStr">
        <is>
          <t>portfolio Greeks</t>
        </is>
      </c>
      <c r="D16" s="35" t="inlineStr"/>
      <c r="E16" s="35" t="inlineStr"/>
      <c r="F16" s="35" t="inlineStr">
        <is>
          <t>OPEN</t>
        </is>
      </c>
    </row>
    <row r="17">
      <c r="B17" s="35" t="n">
        <v>4</v>
      </c>
      <c r="C17" s="35" t="inlineStr">
        <is>
          <t>base, downside and break-even outputs</t>
        </is>
      </c>
      <c r="D17" s="35" t="inlineStr"/>
      <c r="E17" s="35" t="inlineStr"/>
      <c r="F17" s="35" t="inlineStr">
        <is>
          <t>OPEN</t>
        </is>
      </c>
    </row>
    <row r="18">
      <c r="B18" s="35" t="n">
        <v>5</v>
      </c>
      <c r="C18" s="35" t="inlineStr">
        <is>
          <t>liquidity / funding requirement and binding constraint</t>
        </is>
      </c>
      <c r="D18" s="35" t="inlineStr"/>
      <c r="E18" s="35" t="inlineStr"/>
      <c r="F18" s="35" t="inlineStr">
        <is>
          <t>OPEN</t>
        </is>
      </c>
    </row>
    <row r="20">
      <c r="B20" s="47" t="inlineStr">
        <is>
          <t>Insider questions</t>
        </is>
      </c>
    </row>
    <row r="21">
      <c r="B21" s="48" t="inlineStr">
        <is>
          <t>#</t>
        </is>
      </c>
      <c r="C21" s="48" t="inlineStr">
        <is>
          <t>Requirement</t>
        </is>
      </c>
      <c r="D21" s="48" t="inlineStr">
        <is>
          <t>Owner</t>
        </is>
      </c>
      <c r="E21" s="48" t="inlineStr">
        <is>
          <t>Evidence / location</t>
        </is>
      </c>
      <c r="F21" s="48" t="inlineStr">
        <is>
          <t>Status</t>
        </is>
      </c>
    </row>
    <row r="22">
      <c r="B22" s="35" t="n">
        <v>1</v>
      </c>
      <c r="C22" s="35" t="inlineStr">
        <is>
          <t>What surface convention drives the hedge?</t>
        </is>
      </c>
      <c r="D22" s="35" t="inlineStr"/>
      <c r="E22" s="35" t="inlineStr"/>
      <c r="F22" s="35" t="inlineStr">
        <is>
          <t>OPEN</t>
        </is>
      </c>
    </row>
    <row r="23">
      <c r="B23" s="35" t="n">
        <v>2</v>
      </c>
      <c r="C23" s="35" t="inlineStr">
        <is>
          <t>Where is the wing marked by model, not market?</t>
        </is>
      </c>
      <c r="D23" s="35" t="inlineStr"/>
      <c r="E23" s="35" t="inlineStr"/>
      <c r="F23" s="35" t="inlineStr">
        <is>
          <t>OPEN</t>
        </is>
      </c>
    </row>
    <row r="24">
      <c r="B24" s="35" t="n">
        <v>3</v>
      </c>
      <c r="C24" s="35" t="inlineStr">
        <is>
          <t>Which Greeks are unstable near expiry?</t>
        </is>
      </c>
      <c r="D24" s="35" t="inlineStr"/>
      <c r="E24" s="35" t="inlineStr"/>
      <c r="F24" s="35" t="inlineStr">
        <is>
          <t>OPEN</t>
        </is>
      </c>
    </row>
    <row r="25">
      <c r="B25" s="35" t="n">
        <v>4</v>
      </c>
      <c r="C25" s="35" t="inlineStr">
        <is>
          <t>Which assumption is owner-approved versus modeler judgement?</t>
        </is>
      </c>
      <c r="D25" s="35" t="inlineStr"/>
      <c r="E25" s="35" t="inlineStr"/>
      <c r="F25" s="35" t="inlineStr">
        <is>
          <t>OPEN</t>
        </is>
      </c>
    </row>
    <row r="26">
      <c r="B26" s="35" t="n">
        <v>5</v>
      </c>
      <c r="C26" s="35" t="inlineStr">
        <is>
          <t>What fails first and who must act?</t>
        </is>
      </c>
      <c r="D26" s="35" t="inlineStr"/>
      <c r="E26" s="35" t="inlineStr"/>
      <c r="F26" s="35" t="inlineStr">
        <is>
          <t>OPEN</t>
        </is>
      </c>
    </row>
    <row r="28">
      <c r="B28" s="47" t="inlineStr">
        <is>
          <t>Scenario families</t>
        </is>
      </c>
    </row>
    <row r="29">
      <c r="B29" s="48" t="inlineStr">
        <is>
          <t>#</t>
        </is>
      </c>
      <c r="C29" s="48" t="inlineStr">
        <is>
          <t>Requirement</t>
        </is>
      </c>
      <c r="D29" s="48" t="inlineStr">
        <is>
          <t>Owner</t>
        </is>
      </c>
      <c r="E29" s="48" t="inlineStr">
        <is>
          <t>Evidence / location</t>
        </is>
      </c>
      <c r="F29" s="48" t="inlineStr">
        <is>
          <t>Status</t>
        </is>
      </c>
    </row>
    <row r="30">
      <c r="B30" s="35" t="n">
        <v>1</v>
      </c>
      <c r="C30" s="35" t="inlineStr">
        <is>
          <t>spot jump</t>
        </is>
      </c>
      <c r="D30" s="35" t="inlineStr"/>
      <c r="E30" s="35" t="inlineStr"/>
      <c r="F30" s="35" t="inlineStr">
        <is>
          <t>OPEN</t>
        </is>
      </c>
    </row>
    <row r="31">
      <c r="B31" s="35" t="n">
        <v>2</v>
      </c>
      <c r="C31" s="35" t="inlineStr">
        <is>
          <t>parallel and localized vol shock</t>
        </is>
      </c>
      <c r="D31" s="35" t="inlineStr"/>
      <c r="E31" s="35" t="inlineStr"/>
      <c r="F31" s="35" t="inlineStr">
        <is>
          <t>OPEN</t>
        </is>
      </c>
    </row>
    <row r="32">
      <c r="B32" s="35" t="n">
        <v>3</v>
      </c>
      <c r="C32" s="35" t="inlineStr">
        <is>
          <t>skew twist</t>
        </is>
      </c>
      <c r="D32" s="35" t="inlineStr"/>
      <c r="E32" s="35" t="inlineStr"/>
      <c r="F32" s="35" t="inlineStr">
        <is>
          <t>OPEN</t>
        </is>
      </c>
    </row>
    <row r="33">
      <c r="B33" s="35" t="n">
        <v>4</v>
      </c>
      <c r="C33" s="35" t="inlineStr">
        <is>
          <t>data freshness / source failure</t>
        </is>
      </c>
      <c r="D33" s="35" t="inlineStr"/>
      <c r="E33" s="35" t="inlineStr"/>
      <c r="F33" s="35" t="inlineStr">
        <is>
          <t>OPEN</t>
        </is>
      </c>
    </row>
    <row r="34">
      <c r="B34" s="35" t="n">
        <v>5</v>
      </c>
      <c r="C34" s="35" t="inlineStr">
        <is>
          <t>combined severe-but-plausible downside</t>
        </is>
      </c>
      <c r="D34" s="35" t="inlineStr"/>
      <c r="E34" s="35" t="inlineStr"/>
      <c r="F34" s="35" t="inlineStr">
        <is>
          <t>OPEN</t>
        </is>
      </c>
    </row>
    <row r="36">
      <c r="B36" s="47" t="inlineStr">
        <is>
          <t>Primary diligence documents</t>
        </is>
      </c>
    </row>
    <row r="37">
      <c r="B37" s="48" t="inlineStr">
        <is>
          <t>#</t>
        </is>
      </c>
      <c r="C37" s="48" t="inlineStr">
        <is>
          <t>Requirement</t>
        </is>
      </c>
      <c r="D37" s="48" t="inlineStr">
        <is>
          <t>Owner</t>
        </is>
      </c>
      <c r="E37" s="48" t="inlineStr">
        <is>
          <t>Evidence / location</t>
        </is>
      </c>
      <c r="F37" s="48" t="inlineStr">
        <is>
          <t>Status</t>
        </is>
      </c>
    </row>
    <row r="38">
      <c r="B38" s="35" t="n">
        <v>1</v>
      </c>
      <c r="C38" s="35" t="inlineStr">
        <is>
          <t>confirmations and master agreements</t>
        </is>
      </c>
      <c r="D38" s="35" t="inlineStr"/>
      <c r="E38" s="35" t="inlineStr"/>
      <c r="F38" s="35" t="inlineStr">
        <is>
          <t>OPEN</t>
        </is>
      </c>
    </row>
    <row r="39">
      <c r="B39" s="35" t="n">
        <v>2</v>
      </c>
      <c r="C39" s="35" t="inlineStr">
        <is>
          <t>exchange specifications</t>
        </is>
      </c>
      <c r="D39" s="35" t="inlineStr"/>
      <c r="E39" s="35" t="inlineStr"/>
      <c r="F39" s="35" t="inlineStr">
        <is>
          <t>OPEN</t>
        </is>
      </c>
    </row>
    <row r="40">
      <c r="B40" s="35" t="n">
        <v>3</v>
      </c>
      <c r="C40" s="35" t="inlineStr">
        <is>
          <t>volatility and market-data policy</t>
        </is>
      </c>
      <c r="D40" s="35" t="inlineStr"/>
      <c r="E40" s="35" t="inlineStr"/>
      <c r="F40" s="35" t="inlineStr">
        <is>
          <t>OPEN</t>
        </is>
      </c>
    </row>
    <row r="41">
      <c r="B41" s="35" t="n">
        <v>4</v>
      </c>
      <c r="C41" s="35" t="inlineStr">
        <is>
          <t>approved model card and assumption register</t>
        </is>
      </c>
      <c r="D41" s="35" t="inlineStr"/>
      <c r="E41" s="35" t="inlineStr"/>
      <c r="F41" s="35" t="inlineStr">
        <is>
          <t>OPEN</t>
        </is>
      </c>
    </row>
    <row r="42">
      <c r="B42" s="35" t="n">
        <v>5</v>
      </c>
      <c r="C42" s="35" t="inlineStr">
        <is>
          <t>independent validation and challenge record</t>
        </is>
      </c>
      <c r="D42" s="35" t="inlineStr"/>
      <c r="E42" s="35" t="inlineStr"/>
      <c r="F42" s="35" t="inlineStr">
        <is>
          <t>OPEN</t>
        </is>
      </c>
    </row>
    <row r="44">
      <c r="B44" s="47" t="inlineStr">
        <is>
          <t>Challenge tests</t>
        </is>
      </c>
    </row>
    <row r="45">
      <c r="B45" s="48" t="inlineStr">
        <is>
          <t>#</t>
        </is>
      </c>
      <c r="C45" s="48" t="inlineStr">
        <is>
          <t>Requirement</t>
        </is>
      </c>
      <c r="D45" s="48" t="inlineStr">
        <is>
          <t>Owner</t>
        </is>
      </c>
      <c r="E45" s="48" t="inlineStr">
        <is>
          <t>Evidence / location</t>
        </is>
      </c>
      <c r="F45" s="48" t="inlineStr">
        <is>
          <t>Status</t>
        </is>
      </c>
    </row>
    <row r="46">
      <c r="B46" s="35" t="n">
        <v>1</v>
      </c>
      <c r="C46" s="35" t="inlineStr">
        <is>
          <t>put-call parity</t>
        </is>
      </c>
      <c r="D46" s="35" t="inlineStr"/>
      <c r="E46" s="35" t="inlineStr"/>
      <c r="F46" s="35" t="inlineStr">
        <is>
          <t>OPEN</t>
        </is>
      </c>
    </row>
    <row r="47">
      <c r="B47" s="35" t="n">
        <v>2</v>
      </c>
      <c r="C47" s="35" t="inlineStr">
        <is>
          <t>price bounds</t>
        </is>
      </c>
      <c r="D47" s="35" t="inlineStr"/>
      <c r="E47" s="35" t="inlineStr"/>
      <c r="F47" s="35" t="inlineStr">
        <is>
          <t>OPEN</t>
        </is>
      </c>
    </row>
    <row r="48">
      <c r="B48" s="35" t="n">
        <v>3</v>
      </c>
      <c r="C48" s="35" t="inlineStr">
        <is>
          <t>surface calendar and butterfly arbitrage</t>
        </is>
      </c>
      <c r="D48" s="35" t="inlineStr"/>
      <c r="E48" s="35" t="inlineStr"/>
      <c r="F48" s="35" t="inlineStr">
        <is>
          <t>OPEN</t>
        </is>
      </c>
    </row>
    <row r="49">
      <c r="B49" s="35" t="n">
        <v>4</v>
      </c>
      <c r="C49" s="35" t="inlineStr">
        <is>
          <t>source-to-model lineage is reproducible</t>
        </is>
      </c>
      <c r="D49" s="35" t="inlineStr"/>
      <c r="E49" s="35" t="inlineStr"/>
      <c r="F49" s="35" t="inlineStr">
        <is>
          <t>OPEN</t>
        </is>
      </c>
    </row>
    <row r="50">
      <c r="B50" s="35" t="n">
        <v>5</v>
      </c>
      <c r="C50" s="35" t="inlineStr">
        <is>
          <t>units, signs, dates and legal definitions reconcile</t>
        </is>
      </c>
      <c r="D50" s="35" t="inlineStr"/>
      <c r="E50" s="35" t="inlineStr"/>
      <c r="F50" s="35" t="inlineStr">
        <is>
          <t>OPEN</t>
        </is>
      </c>
    </row>
    <row r="52">
      <c r="B52" s="47" t="inlineStr">
        <is>
          <t>Known failure modes</t>
        </is>
      </c>
    </row>
    <row r="53">
      <c r="B53" s="48" t="inlineStr">
        <is>
          <t>#</t>
        </is>
      </c>
      <c r="C53" s="48" t="inlineStr">
        <is>
          <t>Requirement</t>
        </is>
      </c>
      <c r="D53" s="48" t="inlineStr">
        <is>
          <t>Owner</t>
        </is>
      </c>
      <c r="E53" s="48" t="inlineStr">
        <is>
          <t>Evidence / location</t>
        </is>
      </c>
      <c r="F53" s="48" t="inlineStr">
        <is>
          <t>Status</t>
        </is>
      </c>
    </row>
    <row r="54">
      <c r="B54" s="35" t="n">
        <v>1</v>
      </c>
      <c r="C54" s="35" t="inlineStr">
        <is>
          <t>marking off mid in illiquid wings</t>
        </is>
      </c>
      <c r="D54" s="35" t="inlineStr"/>
      <c r="E54" s="35" t="inlineStr"/>
      <c r="F54" s="35" t="inlineStr">
        <is>
          <t>OPEN</t>
        </is>
      </c>
    </row>
    <row r="55">
      <c r="B55" s="35" t="n">
        <v>2</v>
      </c>
      <c r="C55" s="35" t="inlineStr">
        <is>
          <t>interpolating through arbitrage</t>
        </is>
      </c>
      <c r="D55" s="35" t="inlineStr"/>
      <c r="E55" s="35" t="inlineStr"/>
      <c r="F55" s="35" t="inlineStr">
        <is>
          <t>OPEN</t>
        </is>
      </c>
    </row>
    <row r="56">
      <c r="B56" s="35" t="n">
        <v>3</v>
      </c>
      <c r="C56" s="35" t="inlineStr">
        <is>
          <t>using sticky-strike when sticky-delta is required</t>
        </is>
      </c>
      <c r="D56" s="35" t="inlineStr"/>
      <c r="E56" s="35" t="inlineStr"/>
      <c r="F56" s="35" t="inlineStr">
        <is>
          <t>OPEN</t>
        </is>
      </c>
    </row>
    <row r="57">
      <c r="B57" s="35" t="n">
        <v>4</v>
      </c>
      <c r="C57" s="35" t="inlineStr">
        <is>
          <t>stale vintage presented as current</t>
        </is>
      </c>
      <c r="D57" s="35" t="inlineStr"/>
      <c r="E57" s="35" t="inlineStr"/>
      <c r="F57" s="35" t="inlineStr">
        <is>
          <t>OPEN</t>
        </is>
      </c>
    </row>
    <row r="58">
      <c r="B58" s="35" t="n">
        <v>5</v>
      </c>
      <c r="C58" s="35" t="inlineStr">
        <is>
          <t>decision output disconnected from a binding constraint</t>
        </is>
      </c>
      <c r="D58" s="35" t="inlineStr"/>
      <c r="E58" s="35" t="inlineStr"/>
      <c r="F58" s="35" t="inlineStr">
        <is>
          <t>OPEN</t>
        </is>
      </c>
    </row>
    <row r="60">
      <c r="B60" s="47" t="inlineStr">
        <is>
          <t>Regulatory / methodological anchors</t>
        </is>
      </c>
    </row>
    <row r="61">
      <c r="B61" s="48" t="inlineStr">
        <is>
          <t>Standard</t>
        </is>
      </c>
      <c r="C61" s="48" t="inlineStr">
        <is>
          <t>Scope</t>
        </is>
      </c>
      <c r="D61" s="48" t="inlineStr">
        <is>
          <t>Source URL</t>
        </is>
      </c>
      <c r="E61" s="48" t="inlineStr">
        <is>
          <t>Applicability</t>
        </is>
      </c>
      <c r="F61" s="48" t="inlineStr">
        <is>
          <t>Review note</t>
        </is>
      </c>
    </row>
    <row r="62">
      <c r="B62" s="35" t="inlineStr">
        <is>
          <t>Federal Reserve SR 26-2 Model Risk Management</t>
        </is>
      </c>
      <c r="C62" s="35" t="inlineStr">
        <is>
          <t>governance, validation, change control, monitoring</t>
        </is>
      </c>
      <c r="D62" s="35" t="inlineStr">
        <is>
          <t>https://www.federalreserve.gov/supervisionreg/srletters/SR2602.htm</t>
        </is>
      </c>
      <c r="E62" s="35" t="inlineStr">
        <is>
          <t>Map explicitly</t>
        </is>
      </c>
      <c r="F62" s="35" t="inlineStr"/>
    </row>
    <row r="63">
      <c r="B63" s="35" t="inlineStr">
        <is>
          <t>Basel MAR21 Sensitivities-Based Method</t>
        </is>
      </c>
      <c r="C63" s="35" t="inlineStr">
        <is>
          <t>market-risk factors and aggregation</t>
        </is>
      </c>
      <c r="D63" s="35" t="inlineStr">
        <is>
          <t>https://www.bis.org/basel_framework/chapter/MAR/21.htm</t>
        </is>
      </c>
      <c r="E63" s="35" t="inlineStr">
        <is>
          <t>Map explicitly</t>
        </is>
      </c>
      <c r="F63" s="35" t="inlineStr"/>
    </row>
    <row r="64">
      <c r="B64" s="35" t="inlineStr">
        <is>
          <t>CFTC Uncleared Swap Margin</t>
        </is>
      </c>
      <c r="C64" s="35" t="inlineStr">
        <is>
          <t>initial and variation margin</t>
        </is>
      </c>
      <c r="D64" s="35" t="inlineStr">
        <is>
          <t>https://www.cftc.gov/LawRegulation/FederalRegister/FinalRules/2015-32320.html</t>
        </is>
      </c>
      <c r="E64" s="35" t="inlineStr">
        <is>
          <t>Map explicitly</t>
        </is>
      </c>
      <c r="F64" s="35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36" min="2" max="2"/>
    <col width="22" customWidth="1" style="36" min="3" max="3"/>
    <col width="52" customWidth="1" style="36" min="4" max="4"/>
    <col width="46" customWidth="1" style="36" min="5" max="5"/>
    <col width="36" customWidth="1" style="36" min="6" max="6"/>
    <col width="14" customWidth="1" style="36" min="7" max="7"/>
    <col width="18" customWidth="1" style="36" min="8" max="8"/>
    <col width="14" customWidth="1" style="36" min="9" max="9"/>
  </cols>
  <sheetData>
    <row r="2">
      <c r="B2" s="44" t="inlineStr">
        <is>
          <t>Independent Challenge, Override and Closure Log</t>
        </is>
      </c>
    </row>
    <row r="4">
      <c r="B4" s="48" t="inlineStr">
        <is>
          <t>Date</t>
        </is>
      </c>
      <c r="C4" s="48" t="inlineStr">
        <is>
          <t>Reviewer</t>
        </is>
      </c>
      <c r="D4" s="48" t="inlineStr">
        <is>
          <t>Challenge</t>
        </is>
      </c>
      <c r="E4" s="48" t="inlineStr">
        <is>
          <t>Owner response</t>
        </is>
      </c>
      <c r="F4" s="48" t="inlineStr">
        <is>
          <t>Evidence</t>
        </is>
      </c>
      <c r="G4" s="48" t="inlineStr">
        <is>
          <t>Impact</t>
        </is>
      </c>
      <c r="H4" s="48" t="inlineStr">
        <is>
          <t>Status</t>
        </is>
      </c>
      <c r="I4" s="48" t="inlineStr">
        <is>
          <t>Closure</t>
        </is>
      </c>
    </row>
    <row r="5">
      <c r="B5" s="35" t="inlineStr"/>
      <c r="C5" s="35" t="inlineStr"/>
      <c r="D5" s="35" t="inlineStr">
        <is>
          <t>put-call parity</t>
        </is>
      </c>
      <c r="E5" s="35" t="inlineStr"/>
      <c r="F5" s="35" t="inlineStr"/>
      <c r="G5" s="35" t="inlineStr"/>
      <c r="H5" s="35" t="inlineStr">
        <is>
          <t>OPEN</t>
        </is>
      </c>
      <c r="I5" s="35" t="inlineStr"/>
    </row>
    <row r="6">
      <c r="B6" s="35" t="inlineStr"/>
      <c r="C6" s="35" t="inlineStr"/>
      <c r="D6" s="35" t="inlineStr">
        <is>
          <t>price bounds</t>
        </is>
      </c>
      <c r="E6" s="35" t="inlineStr"/>
      <c r="F6" s="35" t="inlineStr"/>
      <c r="G6" s="35" t="inlineStr"/>
      <c r="H6" s="35" t="inlineStr">
        <is>
          <t>OPEN</t>
        </is>
      </c>
      <c r="I6" s="35" t="inlineStr"/>
    </row>
    <row r="7">
      <c r="B7" s="35" t="inlineStr"/>
      <c r="C7" s="35" t="inlineStr"/>
      <c r="D7" s="35" t="inlineStr">
        <is>
          <t>surface calendar and butterfly arbitrage</t>
        </is>
      </c>
      <c r="E7" s="35" t="inlineStr"/>
      <c r="F7" s="35" t="inlineStr"/>
      <c r="G7" s="35" t="inlineStr"/>
      <c r="H7" s="35" t="inlineStr">
        <is>
          <t>OPEN</t>
        </is>
      </c>
      <c r="I7" s="35" t="inlineStr"/>
    </row>
    <row r="8">
      <c r="B8" s="35" t="inlineStr"/>
      <c r="C8" s="35" t="inlineStr"/>
      <c r="D8" s="35" t="inlineStr">
        <is>
          <t>source-to-model lineage is reproducible</t>
        </is>
      </c>
      <c r="E8" s="35" t="inlineStr"/>
      <c r="F8" s="35" t="inlineStr"/>
      <c r="G8" s="35" t="inlineStr"/>
      <c r="H8" s="35" t="inlineStr">
        <is>
          <t>OPEN</t>
        </is>
      </c>
      <c r="I8" s="35" t="inlineStr"/>
    </row>
    <row r="9">
      <c r="B9" s="35" t="inlineStr"/>
      <c r="C9" s="35" t="inlineStr"/>
      <c r="D9" s="35" t="inlineStr">
        <is>
          <t>units, signs, dates and legal definitions reconcile</t>
        </is>
      </c>
      <c r="E9" s="35" t="inlineStr"/>
      <c r="F9" s="35" t="inlineStr"/>
      <c r="G9" s="35" t="inlineStr"/>
      <c r="H9" s="35" t="inlineStr">
        <is>
          <t>OPEN</t>
        </is>
      </c>
      <c r="I9" s="35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36" min="2" max="2"/>
    <col width="18" customWidth="1" style="36" min="3" max="3"/>
    <col width="42" customWidth="1" style="36" min="4" max="4"/>
    <col width="24" customWidth="1" style="36" min="5" max="5"/>
    <col width="18" customWidth="1" style="36" min="6" max="6"/>
    <col width="22" customWidth="1" style="36" min="7" max="7"/>
    <col width="42" customWidth="1" style="36" min="8" max="8"/>
    <col width="30" customWidth="1" style="36" min="9" max="9"/>
    <col width="15" customWidth="1" style="36" min="10" max="10"/>
  </cols>
  <sheetData>
    <row r="2">
      <c r="B2" s="44" t="inlineStr">
        <is>
          <t>Source, Transformation, Ownership and Refresh Map</t>
        </is>
      </c>
    </row>
    <row r="4">
      <c r="B4" s="48" t="inlineStr">
        <is>
          <t>Source class</t>
        </is>
      </c>
      <c r="C4" s="48" t="inlineStr">
        <is>
          <t>Cadence</t>
        </is>
      </c>
      <c r="D4" s="48" t="inlineStr">
        <is>
          <t>Control</t>
        </is>
      </c>
      <c r="E4" s="48" t="inlineStr">
        <is>
          <t>System / provider</t>
        </is>
      </c>
      <c r="F4" s="48" t="inlineStr">
        <is>
          <t>As-of</t>
        </is>
      </c>
      <c r="G4" s="48" t="inlineStr">
        <is>
          <t>Owner</t>
        </is>
      </c>
      <c r="H4" s="48" t="inlineStr">
        <is>
          <t>Transform</t>
        </is>
      </c>
      <c r="I4" s="48" t="inlineStr">
        <is>
          <t>Downstream</t>
        </is>
      </c>
      <c r="J4" s="48" t="inlineStr">
        <is>
          <t>Status</t>
        </is>
      </c>
    </row>
    <row r="5">
      <c r="B5" s="35" t="inlineStr">
        <is>
          <t>spot / forwards / rates</t>
        </is>
      </c>
      <c r="C5" s="35" t="inlineStr">
        <is>
          <t>intraday</t>
        </is>
      </c>
      <c r="D5" s="35" t="inlineStr">
        <is>
          <t>timestamp and market hierarchy</t>
        </is>
      </c>
      <c r="E5" s="35" t="inlineStr"/>
      <c r="F5" s="35" t="inlineStr"/>
      <c r="G5" s="35" t="inlineStr"/>
      <c r="H5" s="35" t="inlineStr"/>
      <c r="I5" s="35" t="inlineStr"/>
      <c r="J5" s="35" t="inlineStr">
        <is>
          <t>TO MAP</t>
        </is>
      </c>
    </row>
    <row r="6">
      <c r="B6" s="35" t="inlineStr">
        <is>
          <t>volatility surface</t>
        </is>
      </c>
      <c r="C6" s="35" t="inlineStr">
        <is>
          <t>intraday/daily</t>
        </is>
      </c>
      <c r="D6" s="35" t="inlineStr">
        <is>
          <t>arbitrage and stale-point controls</t>
        </is>
      </c>
      <c r="E6" s="35" t="inlineStr"/>
      <c r="F6" s="35" t="inlineStr"/>
      <c r="G6" s="35" t="inlineStr"/>
      <c r="H6" s="35" t="inlineStr"/>
      <c r="I6" s="35" t="inlineStr"/>
      <c r="J6" s="35" t="inlineStr">
        <is>
          <t>TO MAP</t>
        </is>
      </c>
    </row>
    <row r="7">
      <c r="B7" s="35" t="inlineStr">
        <is>
          <t>model governance evidence</t>
        </is>
      </c>
      <c r="C7" s="35" t="inlineStr">
        <is>
          <t>per release</t>
        </is>
      </c>
      <c r="D7" s="35" t="inlineStr">
        <is>
          <t>version, reviewer, sign-off and change log</t>
        </is>
      </c>
      <c r="E7" s="35" t="inlineStr"/>
      <c r="F7" s="35" t="inlineStr"/>
      <c r="G7" s="35" t="inlineStr"/>
      <c r="H7" s="35" t="inlineStr"/>
      <c r="I7" s="35" t="inlineStr"/>
      <c r="J7" s="35" t="inlineStr">
        <is>
          <t>TO MAP</t>
        </is>
      </c>
    </row>
    <row r="8">
      <c r="B8" s="35" t="inlineStr">
        <is>
          <t>decision-use snapshot</t>
        </is>
      </c>
      <c r="C8" s="35" t="inlineStr">
        <is>
          <t>per decision</t>
        </is>
      </c>
      <c r="D8" s="35" t="inlineStr">
        <is>
          <t>immutable as-of date and source receipt</t>
        </is>
      </c>
      <c r="E8" s="35" t="inlineStr"/>
      <c r="F8" s="35" t="inlineStr"/>
      <c r="G8" s="35" t="inlineStr"/>
      <c r="H8" s="35" t="inlineStr"/>
      <c r="I8" s="35" t="inlineStr"/>
      <c r="J8" s="35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4" customWidth="1" style="35" min="2" max="2"/>
    <col width="15" customWidth="1" style="35" min="3" max="5"/>
    <col width="30" customWidth="1" style="35" min="6" max="6"/>
  </cols>
  <sheetData>
    <row r="2" ht="27.75" customHeight="1" s="36">
      <c r="B2" s="37" t="inlineStr">
        <is>
          <t>Pricing and Risk Assumptions</t>
        </is>
      </c>
    </row>
    <row r="4" ht="15" customHeight="1" s="36">
      <c r="B4" s="49" t="inlineStr">
        <is>
          <t>Assumption</t>
        </is>
      </c>
      <c r="C4" s="49" t="inlineStr">
        <is>
          <t>Base</t>
        </is>
      </c>
      <c r="D4" s="49" t="inlineStr">
        <is>
          <t>Downside</t>
        </is>
      </c>
      <c r="E4" s="49" t="inlineStr">
        <is>
          <t>Active</t>
        </is>
      </c>
      <c r="F4" s="49" t="inlineStr">
        <is>
          <t>Units / note</t>
        </is>
      </c>
    </row>
    <row r="5" ht="15" customHeight="1" s="36">
      <c r="B5" s="35" t="inlineStr">
        <is>
          <t>Spot price</t>
        </is>
      </c>
      <c r="C5" s="76" t="n">
        <v>4742.83</v>
      </c>
      <c r="D5" s="50" t="n">
        <v>80</v>
      </c>
      <c r="E5" s="51">
        <f>IF(Cover!$C$9="Downside",D5,C5)</f>
        <v/>
      </c>
      <c r="F5" s="35" t="inlineStr">
        <is>
          <t>currency</t>
        </is>
      </c>
    </row>
    <row r="6" ht="15" customHeight="1" s="36">
      <c r="B6" s="35" t="inlineStr">
        <is>
          <t>Strike price</t>
        </is>
      </c>
      <c r="C6" s="76" t="n">
        <v>4750</v>
      </c>
      <c r="D6" s="50" t="n">
        <v>100</v>
      </c>
      <c r="E6" s="51">
        <f>IF(Cover!$C$9="Downside",D6,C6)</f>
        <v/>
      </c>
      <c r="F6" s="35" t="inlineStr">
        <is>
          <t>currency</t>
        </is>
      </c>
    </row>
    <row r="7" ht="15" customHeight="1" s="36">
      <c r="B7" s="35" t="inlineStr">
        <is>
          <t>Time to expiry</t>
        </is>
      </c>
      <c r="C7" s="52" t="n">
        <v>0.5</v>
      </c>
      <c r="D7" s="52" t="n">
        <v>0.5</v>
      </c>
      <c r="E7" s="53">
        <f>IF(Cover!$C$9="Downside",D7,C7)</f>
        <v/>
      </c>
      <c r="F7" s="35" t="inlineStr">
        <is>
          <t>years</t>
        </is>
      </c>
    </row>
    <row r="8" ht="15" customHeight="1" s="36">
      <c r="B8" s="35" t="inlineStr">
        <is>
          <t>Risk-free rate</t>
        </is>
      </c>
      <c r="C8" s="77" t="n">
        <v>0.0524</v>
      </c>
      <c r="D8" s="54" t="n">
        <v>0.03</v>
      </c>
      <c r="E8" s="55">
        <f>IF(Cover!$C$9="Downside",D8,C8)</f>
        <v/>
      </c>
      <c r="F8" s="35" t="inlineStr">
        <is>
          <t>%</t>
        </is>
      </c>
    </row>
    <row r="9" ht="15" customHeight="1" s="36">
      <c r="B9" s="35" t="inlineStr">
        <is>
          <t>Dividend yield</t>
        </is>
      </c>
      <c r="C9" s="54" t="n">
        <v>0.01</v>
      </c>
      <c r="D9" s="54" t="n">
        <v>0.01</v>
      </c>
      <c r="E9" s="55">
        <f>IF(Cover!$C$9="Downside",D9,C9)</f>
        <v/>
      </c>
      <c r="F9" s="35" t="inlineStr">
        <is>
          <t>%</t>
        </is>
      </c>
    </row>
    <row r="10" ht="15" customHeight="1" s="36">
      <c r="B10" s="35" t="inlineStr">
        <is>
          <t>Implied volatility</t>
        </is>
      </c>
      <c r="C10" s="77" t="n">
        <v>0.132</v>
      </c>
      <c r="D10" s="54" t="n">
        <v>0.45</v>
      </c>
      <c r="E10" s="55">
        <f>IF(Cover!$C$9="Downside",D10,C10)</f>
        <v/>
      </c>
      <c r="F10" s="35" t="inlineStr">
        <is>
          <t>%</t>
        </is>
      </c>
    </row>
    <row r="11" ht="15" customHeight="1" s="36">
      <c r="B11" s="35" t="inlineStr">
        <is>
          <t>Observed call price</t>
        </is>
      </c>
      <c r="C11" s="50" t="n">
        <v>8.25</v>
      </c>
      <c r="D11" s="50" t="n">
        <v>15</v>
      </c>
      <c r="E11" s="51">
        <f>IF(Cover!$C$9="Downside",D11,C11)</f>
        <v/>
      </c>
      <c r="F11" s="35" t="inlineStr">
        <is>
          <t>currency</t>
        </is>
      </c>
    </row>
    <row r="12" ht="15" customHeight="1" s="36">
      <c r="B12" s="35" t="inlineStr">
        <is>
          <t>Contract multiplier</t>
        </is>
      </c>
      <c r="C12" s="56" t="n">
        <v>100</v>
      </c>
      <c r="D12" s="56" t="n">
        <v>100</v>
      </c>
      <c r="E12" s="57">
        <f>IF(Cover!$C$9="Downside",D12,C12)</f>
        <v/>
      </c>
      <c r="F12" s="35" t="inlineStr">
        <is>
          <t>units</t>
        </is>
      </c>
    </row>
    <row r="13" ht="15" customHeight="1" s="36">
      <c r="B13" s="35" t="inlineStr">
        <is>
          <t>Position count</t>
        </is>
      </c>
      <c r="C13" s="56" t="n">
        <v>10</v>
      </c>
      <c r="D13" s="56" t="n">
        <v>10</v>
      </c>
      <c r="E13" s="57">
        <f>IF(Cover!$C$9="Downside",D13,C13)</f>
        <v/>
      </c>
      <c r="F13" s="35" t="inlineStr">
        <is>
          <t>contracts</t>
        </is>
      </c>
    </row>
    <row r="14" ht="15" customHeight="1" s="36">
      <c r="B14" s="35" t="inlineStr">
        <is>
          <t>Strike skew slope</t>
        </is>
      </c>
      <c r="C14" s="58" t="n">
        <v>-0.2</v>
      </c>
      <c r="D14" s="58" t="n">
        <v>-0.3</v>
      </c>
      <c r="E14" s="59">
        <f>IF(Cover!$C$9="Downside",D14,C14)</f>
        <v/>
      </c>
      <c r="F14" s="35" t="inlineStr">
        <is>
          <t>vol per moneyness</t>
        </is>
      </c>
    </row>
    <row r="15" ht="15" customHeight="1" s="36">
      <c r="B15" s="35" t="inlineStr">
        <is>
          <t>Term-vol slope</t>
        </is>
      </c>
      <c r="C15" s="58" t="n">
        <v>0.02</v>
      </c>
      <c r="D15" s="58" t="n">
        <v>0.04</v>
      </c>
      <c r="E15" s="59">
        <f>IF(Cover!$C$9="Downside",D15,C15)</f>
        <v/>
      </c>
      <c r="F15" s="35" t="inlineStr">
        <is>
          <t>vol per log-year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0" customWidth="1" style="35" min="2" max="2"/>
    <col width="18" customWidth="1" style="35" min="3" max="3"/>
    <col width="14" customWidth="1" style="35" min="4" max="4"/>
    <col width="36" customWidth="1" style="35" min="5" max="5"/>
    <col width="14" customWidth="1" style="35" min="6" max="6"/>
  </cols>
  <sheetData>
    <row r="2" ht="27.75" customHeight="1" s="36">
      <c r="B2" s="37" t="inlineStr">
        <is>
          <t>European Black-Scholes Pricer</t>
        </is>
      </c>
    </row>
    <row r="4" ht="15" customHeight="1" s="36">
      <c r="B4" s="49" t="inlineStr">
        <is>
          <t>Metric</t>
        </is>
      </c>
      <c r="C4" s="49" t="inlineStr">
        <is>
          <t>Value</t>
        </is>
      </c>
      <c r="D4" s="49" t="inlineStr">
        <is>
          <t>Units</t>
        </is>
      </c>
      <c r="E4" s="49" t="inlineStr">
        <is>
          <t>Formula role</t>
        </is>
      </c>
      <c r="F4" s="49" t="inlineStr">
        <is>
          <t>Control</t>
        </is>
      </c>
    </row>
    <row r="5" ht="15" customHeight="1" s="36">
      <c r="B5" s="35" t="inlineStr">
        <is>
          <t>d1</t>
        </is>
      </c>
      <c r="C5" s="60">
        <f>(LN(Assumptions!E5/Assumptions!E6)+(Assumptions!E8-Assumptions!E9+0.5*Assumptions!E10^2)*Assumptions!E7)/(Assumptions!E10*SQRT(Assumptions!E7))</f>
        <v/>
      </c>
      <c r="D5" s="35" t="inlineStr">
        <is>
          <t>z</t>
        </is>
      </c>
      <c r="E5" s="35" t="inlineStr">
        <is>
          <t>standardized moneyness</t>
        </is>
      </c>
    </row>
    <row r="6" ht="15" customHeight="1" s="36">
      <c r="B6" s="35" t="inlineStr">
        <is>
          <t>d2</t>
        </is>
      </c>
      <c r="C6" s="60">
        <f>C5-Assumptions!E10*SQRT(Assumptions!E7)</f>
        <v/>
      </c>
      <c r="D6" s="35" t="inlineStr">
        <is>
          <t>z</t>
        </is>
      </c>
      <c r="E6" s="35" t="inlineStr">
        <is>
          <t>d1 less volatility-time</t>
        </is>
      </c>
    </row>
    <row r="7" ht="15" customHeight="1" s="36">
      <c r="B7" s="35" t="inlineStr">
        <is>
          <t>Call price</t>
        </is>
      </c>
      <c r="C7" s="51">
        <f>Assumptions!E5*EXP(-Assumptions!E9*Assumptions!E7)*NORMSDIST(C5)-Assumptions!E6*EXP(-Assumptions!E8*Assumptions!E7)*NORMSDIST(C6)</f>
        <v/>
      </c>
      <c r="D7" s="35" t="inlineStr">
        <is>
          <t>currency</t>
        </is>
      </c>
      <c r="E7" s="35" t="inlineStr">
        <is>
          <t>discounted expected payoff</t>
        </is>
      </c>
    </row>
    <row r="8" ht="15" customHeight="1" s="36">
      <c r="B8" s="35" t="inlineStr">
        <is>
          <t>Put price</t>
        </is>
      </c>
      <c r="C8" s="51">
        <f>Assumptions!E6*EXP(-Assumptions!E8*Assumptions!E7)*NORMSDIST(-C6)-Assumptions!E5*EXP(-Assumptions!E9*Assumptions!E7)*NORMSDIST(-C5)</f>
        <v/>
      </c>
      <c r="D8" s="35" t="inlineStr">
        <is>
          <t>currency</t>
        </is>
      </c>
      <c r="E8" s="35" t="inlineStr">
        <is>
          <t>discounted expected payoff</t>
        </is>
      </c>
    </row>
    <row r="9" ht="15" customHeight="1" s="36">
      <c r="B9" s="35" t="inlineStr">
        <is>
          <t>Call intrinsic value</t>
        </is>
      </c>
      <c r="C9" s="51">
        <f>MAX(0,Assumptions!E5-Assumptions!E6)</f>
        <v/>
      </c>
      <c r="D9" s="35" t="inlineStr">
        <is>
          <t>currency</t>
        </is>
      </c>
      <c r="E9" s="35" t="inlineStr">
        <is>
          <t>spot intrinsic</t>
        </is>
      </c>
    </row>
    <row r="10" ht="15" customHeight="1" s="36">
      <c r="B10" s="35" t="inlineStr">
        <is>
          <t>Put intrinsic value</t>
        </is>
      </c>
      <c r="C10" s="51">
        <f>MAX(0,Assumptions!E6-Assumptions!E5)</f>
        <v/>
      </c>
      <c r="D10" s="35" t="inlineStr">
        <is>
          <t>currency</t>
        </is>
      </c>
      <c r="E10" s="35" t="inlineStr">
        <is>
          <t>spot intrinsic</t>
        </is>
      </c>
    </row>
    <row r="11" ht="15" customHeight="1" s="36">
      <c r="B11" s="35" t="inlineStr">
        <is>
          <t>Call time value</t>
        </is>
      </c>
      <c r="C11" s="51">
        <f>C7-C9</f>
        <v/>
      </c>
      <c r="D11" s="35" t="inlineStr">
        <is>
          <t>currency</t>
        </is>
      </c>
      <c r="E11" s="35" t="inlineStr">
        <is>
          <t>price less intrinsic</t>
        </is>
      </c>
    </row>
    <row r="12" ht="15" customHeight="1" s="36">
      <c r="B12" s="35" t="inlineStr">
        <is>
          <t>Put time value</t>
        </is>
      </c>
      <c r="C12" s="51">
        <f>C8-C10</f>
        <v/>
      </c>
      <c r="D12" s="35" t="inlineStr">
        <is>
          <t>currency</t>
        </is>
      </c>
      <c r="E12" s="35" t="inlineStr">
        <is>
          <t>price less intrinsic</t>
        </is>
      </c>
    </row>
    <row r="13" ht="15" customHeight="1" s="36">
      <c r="B13" s="35" t="inlineStr">
        <is>
          <t>Put-call parity residual</t>
        </is>
      </c>
      <c r="C13" s="60">
        <f>C7-C8-(Assumptions!E5*EXP(-Assumptions!E9*Assumptions!E7)-Assumptions!E6*EXP(-Assumptions!E8*Assumptions!E7))</f>
        <v/>
      </c>
      <c r="D13" s="35" t="inlineStr">
        <is>
          <t>currency</t>
        </is>
      </c>
      <c r="E13" s="35" t="inlineStr">
        <is>
          <t>must equal zero</t>
        </is>
      </c>
      <c r="F13" s="35">
        <f>IF(ABS(C13)&lt;0.000001,"PASS","FAIL")</f>
        <v/>
      </c>
    </row>
  </sheetData>
  <mergeCells count="1">
    <mergeCell ref="B2:F2"/>
  </mergeCells>
  <conditionalFormatting sqref="F13">
    <cfRule type="expression" rank="0" priority="2" equalAverage="0" aboveAverage="0" dxfId="0" text="" percent="0" bottom="0">
      <formula>F13="PASS"</formula>
    </cfRule>
    <cfRule type="expression" rank="0" priority="3" equalAverage="0" aboveAverage="0" dxfId="1" text="" percent="0" bottom="0">
      <formula>F13="FAIL"</formula>
    </cfRule>
    <cfRule type="expression" rank="0" priority="4" equalAverage="0" aboveAverage="0" dxfId="2" text="" percent="0" bottom="0">
      <formula>F13="REVIEW"</formula>
    </cfRule>
    <cfRule type="expression" rank="0" priority="5" equalAverage="0" aboveAverage="0" dxfId="1" text="" percent="0" bottom="0">
      <formula>F13="BREACH"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16" customWidth="1" style="35" min="2" max="7"/>
  </cols>
  <sheetData>
    <row r="2" ht="27.75" customHeight="1" s="36">
      <c r="B2" s="37" t="inlineStr">
        <is>
          <t>Newton-Raphson Implied Volatility</t>
        </is>
      </c>
    </row>
    <row r="4" ht="15" customHeight="1" s="36">
      <c r="B4" s="49" t="inlineStr">
        <is>
          <t>Iteration</t>
        </is>
      </c>
      <c r="C4" s="49" t="inlineStr">
        <is>
          <t>Volatility</t>
        </is>
      </c>
      <c r="D4" s="49" t="inlineStr">
        <is>
          <t>Model call</t>
        </is>
      </c>
      <c r="E4" s="49" t="inlineStr">
        <is>
          <t>Observed call</t>
        </is>
      </c>
      <c r="F4" s="49" t="inlineStr">
        <is>
          <t>Price error</t>
        </is>
      </c>
      <c r="G4" s="49" t="inlineStr">
        <is>
          <t>Vega</t>
        </is>
      </c>
    </row>
    <row r="5" ht="15" customHeight="1" s="36">
      <c r="B5" s="35" t="n">
        <v>0</v>
      </c>
      <c r="C5" s="54" t="n">
        <v>0.2</v>
      </c>
      <c r="D5" s="61">
        <f>Assumptions!$E$5*EXP(-Assumptions!$E$9*Assumptions!$E$7)*NORMSDIST((LN(Assumptions!$E$5/Assumptions!$E$6)+(Assumptions!$E$8-Assumptions!$E$9+0.5*C5^2)*Assumptions!$E$7)/(C5*SQRT(Assumptions!$E$7)))-Assumptions!$E$6*EXP(-Assumptions!$E$8*Assumptions!$E$7)*NORMSDIST(((LN(Assumptions!$E$5/Assumptions!$E$6)+(Assumptions!$E$8-Assumptions!$E$9+0.5*C5^2)*Assumptions!$E$7)/(C5*SQRT(Assumptions!$E$7)))-C5*SQRT(Assumptions!$E$7))</f>
        <v/>
      </c>
      <c r="E5" s="51">
        <f>Assumptions!$E$11</f>
        <v/>
      </c>
      <c r="F5" s="61">
        <f>D5-E5</f>
        <v/>
      </c>
      <c r="G5" s="62">
        <f>Assumptions!$E$5*EXP(-Assumptions!$E$9*Assumptions!$E$7)*(EXP(-(((LN(Assumptions!$E$5/Assumptions!$E$6)+(Assumptions!$E$8-Assumptions!$E$9+0.5*C5^2)*Assumptions!$E$7)/(C5*SQRT(Assumptions!$E$7)))^2)/2)/SQRT(2*PI()))*SQRT(Assumptions!$E$7)</f>
        <v/>
      </c>
    </row>
    <row r="6" ht="15" customHeight="1" s="36">
      <c r="B6" s="35" t="n">
        <v>1</v>
      </c>
      <c r="C6" s="63">
        <f>MAX(0.0001,C5-F5/MAX(0.000001,G5))</f>
        <v/>
      </c>
      <c r="D6" s="61">
        <f>Assumptions!$E$5*EXP(-Assumptions!$E$9*Assumptions!$E$7)*NORMSDIST((LN(Assumptions!$E$5/Assumptions!$E$6)+(Assumptions!$E$8-Assumptions!$E$9+0.5*C6^2)*Assumptions!$E$7)/(C6*SQRT(Assumptions!$E$7)))-Assumptions!$E$6*EXP(-Assumptions!$E$8*Assumptions!$E$7)*NORMSDIST(((LN(Assumptions!$E$5/Assumptions!$E$6)+(Assumptions!$E$8-Assumptions!$E$9+0.5*C6^2)*Assumptions!$E$7)/(C6*SQRT(Assumptions!$E$7)))-C6*SQRT(Assumptions!$E$7))</f>
        <v/>
      </c>
      <c r="E6" s="51">
        <f>Assumptions!$E$11</f>
        <v/>
      </c>
      <c r="F6" s="61">
        <f>D6-E6</f>
        <v/>
      </c>
      <c r="G6" s="62">
        <f>Assumptions!$E$5*EXP(-Assumptions!$E$9*Assumptions!$E$7)*(EXP(-(((LN(Assumptions!$E$5/Assumptions!$E$6)+(Assumptions!$E$8-Assumptions!$E$9+0.5*C6^2)*Assumptions!$E$7)/(C6*SQRT(Assumptions!$E$7)))^2)/2)/SQRT(2*PI()))*SQRT(Assumptions!$E$7)</f>
        <v/>
      </c>
    </row>
    <row r="7" ht="15" customHeight="1" s="36">
      <c r="B7" s="35" t="n">
        <v>2</v>
      </c>
      <c r="C7" s="63">
        <f>MAX(0.0001,C6-F6/MAX(0.000001,G6))</f>
        <v/>
      </c>
      <c r="D7" s="61">
        <f>Assumptions!$E$5*EXP(-Assumptions!$E$9*Assumptions!$E$7)*NORMSDIST((LN(Assumptions!$E$5/Assumptions!$E$6)+(Assumptions!$E$8-Assumptions!$E$9+0.5*C7^2)*Assumptions!$E$7)/(C7*SQRT(Assumptions!$E$7)))-Assumptions!$E$6*EXP(-Assumptions!$E$8*Assumptions!$E$7)*NORMSDIST(((LN(Assumptions!$E$5/Assumptions!$E$6)+(Assumptions!$E$8-Assumptions!$E$9+0.5*C7^2)*Assumptions!$E$7)/(C7*SQRT(Assumptions!$E$7)))-C7*SQRT(Assumptions!$E$7))</f>
        <v/>
      </c>
      <c r="E7" s="51">
        <f>Assumptions!$E$11</f>
        <v/>
      </c>
      <c r="F7" s="61">
        <f>D7-E7</f>
        <v/>
      </c>
      <c r="G7" s="62">
        <f>Assumptions!$E$5*EXP(-Assumptions!$E$9*Assumptions!$E$7)*(EXP(-(((LN(Assumptions!$E$5/Assumptions!$E$6)+(Assumptions!$E$8-Assumptions!$E$9+0.5*C7^2)*Assumptions!$E$7)/(C7*SQRT(Assumptions!$E$7)))^2)/2)/SQRT(2*PI()))*SQRT(Assumptions!$E$7)</f>
        <v/>
      </c>
    </row>
    <row r="8" ht="15" customHeight="1" s="36">
      <c r="B8" s="35" t="n">
        <v>3</v>
      </c>
      <c r="C8" s="63">
        <f>MAX(0.0001,C7-F7/MAX(0.000001,G7))</f>
        <v/>
      </c>
      <c r="D8" s="61">
        <f>Assumptions!$E$5*EXP(-Assumptions!$E$9*Assumptions!$E$7)*NORMSDIST((LN(Assumptions!$E$5/Assumptions!$E$6)+(Assumptions!$E$8-Assumptions!$E$9+0.5*C8^2)*Assumptions!$E$7)/(C8*SQRT(Assumptions!$E$7)))-Assumptions!$E$6*EXP(-Assumptions!$E$8*Assumptions!$E$7)*NORMSDIST(((LN(Assumptions!$E$5/Assumptions!$E$6)+(Assumptions!$E$8-Assumptions!$E$9+0.5*C8^2)*Assumptions!$E$7)/(C8*SQRT(Assumptions!$E$7)))-C8*SQRT(Assumptions!$E$7))</f>
        <v/>
      </c>
      <c r="E8" s="51">
        <f>Assumptions!$E$11</f>
        <v/>
      </c>
      <c r="F8" s="61">
        <f>D8-E8</f>
        <v/>
      </c>
      <c r="G8" s="62">
        <f>Assumptions!$E$5*EXP(-Assumptions!$E$9*Assumptions!$E$7)*(EXP(-(((LN(Assumptions!$E$5/Assumptions!$E$6)+(Assumptions!$E$8-Assumptions!$E$9+0.5*C8^2)*Assumptions!$E$7)/(C8*SQRT(Assumptions!$E$7)))^2)/2)/SQRT(2*PI()))*SQRT(Assumptions!$E$7)</f>
        <v/>
      </c>
    </row>
    <row r="9" ht="15" customHeight="1" s="36">
      <c r="B9" s="35" t="n">
        <v>4</v>
      </c>
      <c r="C9" s="63">
        <f>MAX(0.0001,C8-F8/MAX(0.000001,G8))</f>
        <v/>
      </c>
      <c r="D9" s="61">
        <f>Assumptions!$E$5*EXP(-Assumptions!$E$9*Assumptions!$E$7)*NORMSDIST((LN(Assumptions!$E$5/Assumptions!$E$6)+(Assumptions!$E$8-Assumptions!$E$9+0.5*C9^2)*Assumptions!$E$7)/(C9*SQRT(Assumptions!$E$7)))-Assumptions!$E$6*EXP(-Assumptions!$E$8*Assumptions!$E$7)*NORMSDIST(((LN(Assumptions!$E$5/Assumptions!$E$6)+(Assumptions!$E$8-Assumptions!$E$9+0.5*C9^2)*Assumptions!$E$7)/(C9*SQRT(Assumptions!$E$7)))-C9*SQRT(Assumptions!$E$7))</f>
        <v/>
      </c>
      <c r="E9" s="51">
        <f>Assumptions!$E$11</f>
        <v/>
      </c>
      <c r="F9" s="61">
        <f>D9-E9</f>
        <v/>
      </c>
      <c r="G9" s="62">
        <f>Assumptions!$E$5*EXP(-Assumptions!$E$9*Assumptions!$E$7)*(EXP(-(((LN(Assumptions!$E$5/Assumptions!$E$6)+(Assumptions!$E$8-Assumptions!$E$9+0.5*C9^2)*Assumptions!$E$7)/(C9*SQRT(Assumptions!$E$7)))^2)/2)/SQRT(2*PI()))*SQRT(Assumptions!$E$7)</f>
        <v/>
      </c>
    </row>
    <row r="10" ht="15" customHeight="1" s="36">
      <c r="B10" s="35" t="n">
        <v>5</v>
      </c>
      <c r="C10" s="63">
        <f>MAX(0.0001,C9-F9/MAX(0.000001,G9))</f>
        <v/>
      </c>
      <c r="D10" s="61">
        <f>Assumptions!$E$5*EXP(-Assumptions!$E$9*Assumptions!$E$7)*NORMSDIST((LN(Assumptions!$E$5/Assumptions!$E$6)+(Assumptions!$E$8-Assumptions!$E$9+0.5*C10^2)*Assumptions!$E$7)/(C10*SQRT(Assumptions!$E$7)))-Assumptions!$E$6*EXP(-Assumptions!$E$8*Assumptions!$E$7)*NORMSDIST(((LN(Assumptions!$E$5/Assumptions!$E$6)+(Assumptions!$E$8-Assumptions!$E$9+0.5*C10^2)*Assumptions!$E$7)/(C10*SQRT(Assumptions!$E$7)))-C10*SQRT(Assumptions!$E$7))</f>
        <v/>
      </c>
      <c r="E10" s="51">
        <f>Assumptions!$E$11</f>
        <v/>
      </c>
      <c r="F10" s="61">
        <f>D10-E10</f>
        <v/>
      </c>
      <c r="G10" s="62">
        <f>Assumptions!$E$5*EXP(-Assumptions!$E$9*Assumptions!$E$7)*(EXP(-(((LN(Assumptions!$E$5/Assumptions!$E$6)+(Assumptions!$E$8-Assumptions!$E$9+0.5*C10^2)*Assumptions!$E$7)/(C10*SQRT(Assumptions!$E$7)))^2)/2)/SQRT(2*PI()))*SQRT(Assumptions!$E$7)</f>
        <v/>
      </c>
    </row>
    <row r="11" ht="15" customHeight="1" s="36">
      <c r="B11" s="35" t="n">
        <v>6</v>
      </c>
      <c r="C11" s="63">
        <f>MAX(0.0001,C10-F10/MAX(0.000001,G10))</f>
        <v/>
      </c>
      <c r="D11" s="61">
        <f>Assumptions!$E$5*EXP(-Assumptions!$E$9*Assumptions!$E$7)*NORMSDIST((LN(Assumptions!$E$5/Assumptions!$E$6)+(Assumptions!$E$8-Assumptions!$E$9+0.5*C11^2)*Assumptions!$E$7)/(C11*SQRT(Assumptions!$E$7)))-Assumptions!$E$6*EXP(-Assumptions!$E$8*Assumptions!$E$7)*NORMSDIST(((LN(Assumptions!$E$5/Assumptions!$E$6)+(Assumptions!$E$8-Assumptions!$E$9+0.5*C11^2)*Assumptions!$E$7)/(C11*SQRT(Assumptions!$E$7)))-C11*SQRT(Assumptions!$E$7))</f>
        <v/>
      </c>
      <c r="E11" s="51">
        <f>Assumptions!$E$11</f>
        <v/>
      </c>
      <c r="F11" s="61">
        <f>D11-E11</f>
        <v/>
      </c>
      <c r="G11" s="62">
        <f>Assumptions!$E$5*EXP(-Assumptions!$E$9*Assumptions!$E$7)*(EXP(-(((LN(Assumptions!$E$5/Assumptions!$E$6)+(Assumptions!$E$8-Assumptions!$E$9+0.5*C11^2)*Assumptions!$E$7)/(C11*SQRT(Assumptions!$E$7)))^2)/2)/SQRT(2*PI()))*SQRT(Assumptions!$E$7)</f>
        <v/>
      </c>
    </row>
    <row r="12" ht="15" customHeight="1" s="36">
      <c r="B12" s="35" t="n">
        <v>7</v>
      </c>
      <c r="C12" s="63">
        <f>MAX(0.0001,C11-F11/MAX(0.000001,G11))</f>
        <v/>
      </c>
      <c r="D12" s="61">
        <f>Assumptions!$E$5*EXP(-Assumptions!$E$9*Assumptions!$E$7)*NORMSDIST((LN(Assumptions!$E$5/Assumptions!$E$6)+(Assumptions!$E$8-Assumptions!$E$9+0.5*C12^2)*Assumptions!$E$7)/(C12*SQRT(Assumptions!$E$7)))-Assumptions!$E$6*EXP(-Assumptions!$E$8*Assumptions!$E$7)*NORMSDIST(((LN(Assumptions!$E$5/Assumptions!$E$6)+(Assumptions!$E$8-Assumptions!$E$9+0.5*C12^2)*Assumptions!$E$7)/(C12*SQRT(Assumptions!$E$7)))-C12*SQRT(Assumptions!$E$7))</f>
        <v/>
      </c>
      <c r="E12" s="51">
        <f>Assumptions!$E$11</f>
        <v/>
      </c>
      <c r="F12" s="61">
        <f>D12-E12</f>
        <v/>
      </c>
      <c r="G12" s="62">
        <f>Assumptions!$E$5*EXP(-Assumptions!$E$9*Assumptions!$E$7)*(EXP(-(((LN(Assumptions!$E$5/Assumptions!$E$6)+(Assumptions!$E$8-Assumptions!$E$9+0.5*C12^2)*Assumptions!$E$7)/(C12*SQRT(Assumptions!$E$7)))^2)/2)/SQRT(2*PI()))*SQRT(Assumptions!$E$7)</f>
        <v/>
      </c>
    </row>
    <row r="13" ht="15" customHeight="1" s="36">
      <c r="B13" s="35" t="n">
        <v>8</v>
      </c>
      <c r="C13" s="63">
        <f>MAX(0.0001,C12-F12/MAX(0.000001,G12))</f>
        <v/>
      </c>
      <c r="D13" s="61">
        <f>Assumptions!$E$5*EXP(-Assumptions!$E$9*Assumptions!$E$7)*NORMSDIST((LN(Assumptions!$E$5/Assumptions!$E$6)+(Assumptions!$E$8-Assumptions!$E$9+0.5*C13^2)*Assumptions!$E$7)/(C13*SQRT(Assumptions!$E$7)))-Assumptions!$E$6*EXP(-Assumptions!$E$8*Assumptions!$E$7)*NORMSDIST(((LN(Assumptions!$E$5/Assumptions!$E$6)+(Assumptions!$E$8-Assumptions!$E$9+0.5*C13^2)*Assumptions!$E$7)/(C13*SQRT(Assumptions!$E$7)))-C13*SQRT(Assumptions!$E$7))</f>
        <v/>
      </c>
      <c r="E13" s="51">
        <f>Assumptions!$E$11</f>
        <v/>
      </c>
      <c r="F13" s="61">
        <f>D13-E13</f>
        <v/>
      </c>
      <c r="G13" s="62">
        <f>Assumptions!$E$5*EXP(-Assumptions!$E$9*Assumptions!$E$7)*(EXP(-(((LN(Assumptions!$E$5/Assumptions!$E$6)+(Assumptions!$E$8-Assumptions!$E$9+0.5*C13^2)*Assumptions!$E$7)/(C13*SQRT(Assumptions!$E$7)))^2)/2)/SQRT(2*PI()))*SQRT(Assumptions!$E$7)</f>
        <v/>
      </c>
    </row>
    <row r="14" ht="15" customHeight="1" s="36">
      <c r="B14" s="35" t="n">
        <v>9</v>
      </c>
      <c r="C14" s="63">
        <f>MAX(0.0001,C13-F13/MAX(0.000001,G13))</f>
        <v/>
      </c>
      <c r="D14" s="61">
        <f>Assumptions!$E$5*EXP(-Assumptions!$E$9*Assumptions!$E$7)*NORMSDIST((LN(Assumptions!$E$5/Assumptions!$E$6)+(Assumptions!$E$8-Assumptions!$E$9+0.5*C14^2)*Assumptions!$E$7)/(C14*SQRT(Assumptions!$E$7)))-Assumptions!$E$6*EXP(-Assumptions!$E$8*Assumptions!$E$7)*NORMSDIST(((LN(Assumptions!$E$5/Assumptions!$E$6)+(Assumptions!$E$8-Assumptions!$E$9+0.5*C14^2)*Assumptions!$E$7)/(C14*SQRT(Assumptions!$E$7)))-C14*SQRT(Assumptions!$E$7))</f>
        <v/>
      </c>
      <c r="E14" s="51">
        <f>Assumptions!$E$11</f>
        <v/>
      </c>
      <c r="F14" s="61">
        <f>D14-E14</f>
        <v/>
      </c>
      <c r="G14" s="62">
        <f>Assumptions!$E$5*EXP(-Assumptions!$E$9*Assumptions!$E$7)*(EXP(-(((LN(Assumptions!$E$5/Assumptions!$E$6)+(Assumptions!$E$8-Assumptions!$E$9+0.5*C14^2)*Assumptions!$E$7)/(C14*SQRT(Assumptions!$E$7)))^2)/2)/SQRT(2*PI()))*SQRT(Assumptions!$E$7)</f>
        <v/>
      </c>
    </row>
    <row r="17" ht="15" customHeight="1" s="36">
      <c r="B17" s="35" t="inlineStr">
        <is>
          <t>Converged implied volatility</t>
        </is>
      </c>
      <c r="C17" s="63">
        <f>C14</f>
        <v/>
      </c>
      <c r="D17" s="35" t="inlineStr">
        <is>
          <t>Final absolute price error</t>
        </is>
      </c>
      <c r="E17" s="61">
        <f>ABS(F14)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2" customWidth="1" style="35" min="2" max="2"/>
    <col width="18" customWidth="1" style="35" min="3" max="4"/>
    <col width="40" customWidth="1" style="35" min="5" max="5"/>
  </cols>
  <sheetData>
    <row r="2" ht="27.75" customHeight="1" s="36">
      <c r="B2" s="37" t="inlineStr">
        <is>
          <t>European Greeks</t>
        </is>
      </c>
    </row>
    <row r="4" ht="15" customHeight="1" s="36">
      <c r="B4" s="49" t="inlineStr">
        <is>
          <t>Greek</t>
        </is>
      </c>
      <c r="C4" s="49" t="inlineStr">
        <is>
          <t>Call</t>
        </is>
      </c>
      <c r="D4" s="49" t="inlineStr">
        <is>
          <t>Put</t>
        </is>
      </c>
      <c r="E4" s="49" t="inlineStr">
        <is>
          <t>Interpretation</t>
        </is>
      </c>
    </row>
    <row r="5" ht="15" customHeight="1" s="36">
      <c r="B5" s="35" t="inlineStr">
        <is>
          <t>Delta</t>
        </is>
      </c>
      <c r="C5" s="64">
        <f>EXP(-Assumptions!$E$9*Assumptions!$E$7)*NORMSDIST('European Pricer'!$C$5)</f>
        <v/>
      </c>
      <c r="D5" s="64">
        <f>EXP(-Assumptions!$E$9*Assumptions!$E$7)*(NORMSDIST('European Pricer'!$C$5)-1)</f>
        <v/>
      </c>
      <c r="E5" s="35" t="inlineStr">
        <is>
          <t>first-order spot exposure</t>
        </is>
      </c>
    </row>
    <row r="6" ht="15" customHeight="1" s="36">
      <c r="B6" s="35" t="inlineStr">
        <is>
          <t>Gamma</t>
        </is>
      </c>
      <c r="C6" s="64">
        <f>EXP(-Assumptions!$E$9*Assumptions!$E$7)*(EXP(-(('European Pricer'!$C$5)^2)/2)/SQRT(2*PI()))/(Assumptions!$E$5*Assumptions!$E$10*SQRT(Assumptions!$E$7))</f>
        <v/>
      </c>
      <c r="D6" s="64">
        <f>C6</f>
        <v/>
      </c>
      <c r="E6" s="35" t="inlineStr">
        <is>
          <t>delta curvature</t>
        </is>
      </c>
    </row>
    <row r="7" ht="15" customHeight="1" s="36">
      <c r="B7" s="35" t="inlineStr">
        <is>
          <t>Vega</t>
        </is>
      </c>
      <c r="C7" s="64">
        <f>Assumptions!$E$5*EXP(-Assumptions!$E$9*Assumptions!$E$7)*(EXP(-(('European Pricer'!$C$5)^2)/2)/SQRT(2*PI()))*SQRT(Assumptions!$E$7)</f>
        <v/>
      </c>
      <c r="D7" s="64">
        <f>C7</f>
        <v/>
      </c>
      <c r="E7" s="35" t="inlineStr">
        <is>
          <t>P&amp;L per 100 vol points</t>
        </is>
      </c>
    </row>
    <row r="8" ht="15" customHeight="1" s="36">
      <c r="B8" s="35" t="inlineStr">
        <is>
          <t>Theta / year</t>
        </is>
      </c>
      <c r="C8" s="64">
        <f>-Assumptions!$E$5*EXP(-Assumptions!$E$9*Assumptions!$E$7)*(EXP(-(('European Pricer'!$C$5)^2)/2)/SQRT(2*PI()))*Assumptions!$E$10/(2*SQRT(Assumptions!$E$7))-Assumptions!$E$8*Assumptions!$E$6*EXP(-Assumptions!$E$8*Assumptions!$E$7)*NORMSDIST('European Pricer'!$C$6)+Assumptions!$E$9*Assumptions!$E$5*EXP(-Assumptions!$E$9*Assumptions!$E$7)*NORMSDIST('European Pricer'!$C$5)</f>
        <v/>
      </c>
      <c r="D8" s="64">
        <f>-Assumptions!$E$5*EXP(-Assumptions!$E$9*Assumptions!$E$7)*(EXP(-(('European Pricer'!$C$5)^2)/2)/SQRT(2*PI()))*Assumptions!$E$10/(2*SQRT(Assumptions!$E$7))+Assumptions!$E$8*Assumptions!$E$6*EXP(-Assumptions!$E$8*Assumptions!$E$7)*NORMSDIST(-'European Pricer'!$C$6)-Assumptions!$E$9*Assumptions!$E$5*EXP(-Assumptions!$E$9*Assumptions!$E$7)*NORMSDIST(-'European Pricer'!$C$5)</f>
        <v/>
      </c>
      <c r="E8" s="35" t="inlineStr">
        <is>
          <t>annual time decay</t>
        </is>
      </c>
    </row>
    <row r="9" ht="15" customHeight="1" s="36">
      <c r="B9" s="35" t="inlineStr">
        <is>
          <t>Rho</t>
        </is>
      </c>
      <c r="C9" s="64">
        <f>Assumptions!$E$7*Assumptions!$E$6*EXP(-Assumptions!$E$8*Assumptions!$E$7)*NORMSDIST('European Pricer'!$C$6)</f>
        <v/>
      </c>
      <c r="D9" s="64">
        <f>-Assumptions!$E$7*Assumptions!$E$6*EXP(-Assumptions!$E$8*Assumptions!$E$7)*NORMSDIST(-'European Pricer'!$C$6)</f>
        <v/>
      </c>
      <c r="E9" s="35" t="inlineStr">
        <is>
          <t>rate exposure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2" customWidth="1" style="35" min="2" max="2"/>
    <col width="13" customWidth="1" style="35" min="3" max="7"/>
  </cols>
  <sheetData>
    <row r="2" ht="27.75" customHeight="1" s="36">
      <c r="B2" s="37" t="inlineStr">
        <is>
          <t>Illustrative Volatility Surface</t>
        </is>
      </c>
    </row>
    <row r="4" ht="15" customHeight="1" s="36">
      <c r="B4" s="49" t="inlineStr">
        <is>
          <t>Maturity / Strike</t>
        </is>
      </c>
      <c r="C4" s="49" t="n">
        <v>80</v>
      </c>
      <c r="D4" s="49" t="n">
        <v>90</v>
      </c>
      <c r="E4" s="49" t="n">
        <v>100</v>
      </c>
      <c r="F4" s="49" t="n">
        <v>110</v>
      </c>
      <c r="G4" s="49" t="n">
        <v>120</v>
      </c>
    </row>
    <row r="5" ht="15" customHeight="1" s="36">
      <c r="B5" s="65" t="n">
        <v>0.25</v>
      </c>
      <c r="C5" s="63">
        <f>MAX(0.01,Assumptions!$E$10+Assumptions!$E$14*(C$4/Assumptions!$E$5-1)+Assumptions!$E$15*LN($B5/Assumptions!$E$7))</f>
        <v/>
      </c>
      <c r="D5" s="63">
        <f>MAX(0.01,Assumptions!$E$10+Assumptions!$E$14*(D$4/Assumptions!$E$5-1)+Assumptions!$E$15*LN($B5/Assumptions!$E$7))</f>
        <v/>
      </c>
      <c r="E5" s="63">
        <f>MAX(0.01,Assumptions!$E$10+Assumptions!$E$14*(E$4/Assumptions!$E$5-1)+Assumptions!$E$15*LN($B5/Assumptions!$E$7))</f>
        <v/>
      </c>
      <c r="F5" s="63">
        <f>MAX(0.01,Assumptions!$E$10+Assumptions!$E$14*(F$4/Assumptions!$E$5-1)+Assumptions!$E$15*LN($B5/Assumptions!$E$7))</f>
        <v/>
      </c>
      <c r="G5" s="63">
        <f>MAX(0.01,Assumptions!$E$10+Assumptions!$E$14*(G$4/Assumptions!$E$5-1)+Assumptions!$E$15*LN($B5/Assumptions!$E$7))</f>
        <v/>
      </c>
    </row>
    <row r="6" ht="15" customHeight="1" s="36">
      <c r="B6" s="65" t="n">
        <v>0.5</v>
      </c>
      <c r="C6" s="63">
        <f>MAX(0.01,Assumptions!$E$10+Assumptions!$E$14*(C$4/Assumptions!$E$5-1)+Assumptions!$E$15*LN($B6/Assumptions!$E$7))</f>
        <v/>
      </c>
      <c r="D6" s="63">
        <f>MAX(0.01,Assumptions!$E$10+Assumptions!$E$14*(D$4/Assumptions!$E$5-1)+Assumptions!$E$15*LN($B6/Assumptions!$E$7))</f>
        <v/>
      </c>
      <c r="E6" s="63">
        <f>MAX(0.01,Assumptions!$E$10+Assumptions!$E$14*(E$4/Assumptions!$E$5-1)+Assumptions!$E$15*LN($B6/Assumptions!$E$7))</f>
        <v/>
      </c>
      <c r="F6" s="63">
        <f>MAX(0.01,Assumptions!$E$10+Assumptions!$E$14*(F$4/Assumptions!$E$5-1)+Assumptions!$E$15*LN($B6/Assumptions!$E$7))</f>
        <v/>
      </c>
      <c r="G6" s="63">
        <f>MAX(0.01,Assumptions!$E$10+Assumptions!$E$14*(G$4/Assumptions!$E$5-1)+Assumptions!$E$15*LN($B6/Assumptions!$E$7))</f>
        <v/>
      </c>
    </row>
    <row r="7" ht="15" customHeight="1" s="36">
      <c r="B7" s="65" t="n">
        <v>1</v>
      </c>
      <c r="C7" s="63">
        <f>MAX(0.01,Assumptions!$E$10+Assumptions!$E$14*(C$4/Assumptions!$E$5-1)+Assumptions!$E$15*LN($B7/Assumptions!$E$7))</f>
        <v/>
      </c>
      <c r="D7" s="63">
        <f>MAX(0.01,Assumptions!$E$10+Assumptions!$E$14*(D$4/Assumptions!$E$5-1)+Assumptions!$E$15*LN($B7/Assumptions!$E$7))</f>
        <v/>
      </c>
      <c r="E7" s="63">
        <f>MAX(0.01,Assumptions!$E$10+Assumptions!$E$14*(E$4/Assumptions!$E$5-1)+Assumptions!$E$15*LN($B7/Assumptions!$E$7))</f>
        <v/>
      </c>
      <c r="F7" s="63">
        <f>MAX(0.01,Assumptions!$E$10+Assumptions!$E$14*(F$4/Assumptions!$E$5-1)+Assumptions!$E$15*LN($B7/Assumptions!$E$7))</f>
        <v/>
      </c>
      <c r="G7" s="63">
        <f>MAX(0.01,Assumptions!$E$10+Assumptions!$E$14*(G$4/Assumptions!$E$5-1)+Assumptions!$E$15*LN($B7/Assumptions!$E$7))</f>
        <v/>
      </c>
    </row>
    <row r="8" ht="15" customHeight="1" s="36">
      <c r="B8" s="65" t="n">
        <v>2</v>
      </c>
      <c r="C8" s="63">
        <f>MAX(0.01,Assumptions!$E$10+Assumptions!$E$14*(C$4/Assumptions!$E$5-1)+Assumptions!$E$15*LN($B8/Assumptions!$E$7))</f>
        <v/>
      </c>
      <c r="D8" s="63">
        <f>MAX(0.01,Assumptions!$E$10+Assumptions!$E$14*(D$4/Assumptions!$E$5-1)+Assumptions!$E$15*LN($B8/Assumptions!$E$7))</f>
        <v/>
      </c>
      <c r="E8" s="63">
        <f>MAX(0.01,Assumptions!$E$10+Assumptions!$E$14*(E$4/Assumptions!$E$5-1)+Assumptions!$E$15*LN($B8/Assumptions!$E$7))</f>
        <v/>
      </c>
      <c r="F8" s="63">
        <f>MAX(0.01,Assumptions!$E$10+Assumptions!$E$14*(F$4/Assumptions!$E$5-1)+Assumptions!$E$15*LN($B8/Assumptions!$E$7))</f>
        <v/>
      </c>
      <c r="G8" s="63">
        <f>MAX(0.01,Assumptions!$E$10+Assumptions!$E$14*(G$4/Assumptions!$E$5-1)+Assumptions!$E$15*LN($B8/Assumptions!$E$7))</f>
        <v/>
      </c>
    </row>
  </sheetData>
  <mergeCells count="1">
    <mergeCell ref="B2:G2"/>
  </mergeCells>
  <conditionalFormatting sqref="C5:G8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M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2" customWidth="1" style="35" min="2" max="2"/>
    <col width="12" customWidth="1" style="35" min="3" max="4"/>
    <col width="13" customWidth="1" style="35" min="5" max="7"/>
    <col width="14" customWidth="1" style="35" min="8" max="12"/>
    <col width="16" customWidth="1" style="35" min="13" max="13"/>
  </cols>
  <sheetData>
    <row r="2" ht="27.75" customHeight="1" s="36">
      <c r="B2" s="37" t="inlineStr">
        <is>
          <t>Options Portfolio Greeks</t>
        </is>
      </c>
    </row>
    <row r="4" ht="15" customHeight="1" s="36">
      <c r="B4" s="49" t="inlineStr">
        <is>
          <t>Leg</t>
        </is>
      </c>
      <c r="C4" s="49" t="inlineStr">
        <is>
          <t>Type</t>
        </is>
      </c>
      <c r="D4" s="49" t="inlineStr">
        <is>
          <t>Quantity</t>
        </is>
      </c>
      <c r="E4" s="49" t="inlineStr">
        <is>
          <t>Strike</t>
        </is>
      </c>
      <c r="F4" s="49" t="inlineStr">
        <is>
          <t>Maturity</t>
        </is>
      </c>
      <c r="G4" s="49" t="inlineStr">
        <is>
          <t>Vol</t>
        </is>
      </c>
      <c r="H4" s="49" t="inlineStr">
        <is>
          <t>Price</t>
        </is>
      </c>
      <c r="I4" s="49" t="inlineStr">
        <is>
          <t>Delta</t>
        </is>
      </c>
      <c r="J4" s="49" t="inlineStr">
        <is>
          <t>Gamma</t>
        </is>
      </c>
      <c r="K4" s="49" t="inlineStr">
        <is>
          <t>Vega</t>
        </is>
      </c>
      <c r="L4" s="49" t="inlineStr">
        <is>
          <t>Theta</t>
        </is>
      </c>
      <c r="M4" s="49" t="inlineStr">
        <is>
          <t>Market value</t>
        </is>
      </c>
    </row>
    <row r="5" ht="15" customHeight="1" s="36">
      <c r="B5" s="35" t="inlineStr">
        <is>
          <t>Core call</t>
        </is>
      </c>
      <c r="C5" s="35" t="inlineStr">
        <is>
          <t>Call</t>
        </is>
      </c>
      <c r="D5" s="66" t="n">
        <v>10</v>
      </c>
      <c r="E5" s="50" t="n">
        <v>100</v>
      </c>
      <c r="F5" s="66" t="n">
        <v>0.5</v>
      </c>
      <c r="G5" s="54" t="n">
        <v>0.25</v>
      </c>
      <c r="H5" s="61">
        <f>IF($C5="Call",Assumptions!$E$5*EXP(-Assumptions!$E$9*F5)*NORMSDIST((LN(Assumptions!$E$5/E5)+(Assumptions!$E$8-Assumptions!$E$9+0.5*G5^2)*F5)/(G5*SQRT(F5)))-E5*EXP(-Assumptions!$E$8*F5)*NORMSDIST(((LN(Assumptions!$E$5/E5)+(Assumptions!$E$8-Assumptions!$E$9+0.5*G5^2)*F5)/(G5*SQRT(F5)))-G5*SQRT(F5)),E5*EXP(-Assumptions!$E$8*F5)*NORMSDIST(-(((LN(Assumptions!$E$5/E5)+(Assumptions!$E$8-Assumptions!$E$9+0.5*G5^2)*F5)/(G5*SQRT(F5)))-G5*SQRT(F5)))-Assumptions!$E$5*EXP(-Assumptions!$E$9*F5)*NORMSDIST(-((LN(Assumptions!$E$5/E5)+(Assumptions!$E$8-Assumptions!$E$9+0.5*G5^2)*F5)/(G5*SQRT(F5)))))</f>
        <v/>
      </c>
      <c r="I5" s="35">
        <f>IF($C5="Call",EXP(-Assumptions!$E$9*F5)*NORMSDIST((LN(Assumptions!$E$5/E5)+(Assumptions!$E$8-Assumptions!$E$9+0.5*G5^2)*F5)/(G5*SQRT(F5))),EXP(-Assumptions!$E$9*F5)*(NORMSDIST((LN(Assumptions!$E$5/E5)+(Assumptions!$E$8-Assumptions!$E$9+0.5*G5^2)*F5)/(G5*SQRT(F5)))-1))*D5</f>
        <v/>
      </c>
      <c r="J5" s="35">
        <f>EXP(-Assumptions!$E$9*F5)*(EXP(-(((LN(Assumptions!$E$5/E5)+(Assumptions!$E$8-Assumptions!$E$9+0.5*G5^2)*F5)/(G5*SQRT(F5)))^2)/2)/SQRT(2*PI()))/(Assumptions!$E$5*G5*SQRT(F5))*D5</f>
        <v/>
      </c>
      <c r="K5" s="35">
        <f>Assumptions!$E$5*EXP(-Assumptions!$E$9*F5)*(EXP(-(((LN(Assumptions!$E$5/E5)+(Assumptions!$E$8-Assumptions!$E$9+0.5*G5^2)*F5)/(G5*SQRT(F5)))^2)/2)/SQRT(2*PI()))*SQRT(F5)*D5</f>
        <v/>
      </c>
      <c r="L5" s="35">
        <f>-Assumptions!$E$5*EXP(-Assumptions!$E$9*F5)*(EXP(-(((LN(Assumptions!$E$5/E5)+(Assumptions!$E$8-Assumptions!$E$9+0.5*G5^2)*F5)/(G5*SQRT(F5)))^2)/2)/SQRT(2*PI()))*G5/(2*SQRT(F5))*D5</f>
        <v/>
      </c>
      <c r="M5" s="67">
        <f>H5*D5*Assumptions!$E$12</f>
        <v/>
      </c>
    </row>
    <row r="6" ht="15" customHeight="1" s="36">
      <c r="B6" s="35" t="inlineStr">
        <is>
          <t>Protective put</t>
        </is>
      </c>
      <c r="C6" s="35" t="inlineStr">
        <is>
          <t>Put</t>
        </is>
      </c>
      <c r="D6" s="66" t="n">
        <v>10</v>
      </c>
      <c r="E6" s="50" t="n">
        <v>90</v>
      </c>
      <c r="F6" s="66" t="n">
        <v>0.5</v>
      </c>
      <c r="G6" s="54" t="n">
        <v>0.3</v>
      </c>
      <c r="H6" s="61">
        <f>IF($C6="Call",Assumptions!$E$5*EXP(-Assumptions!$E$9*F6)*NORMSDIST((LN(Assumptions!$E$5/E6)+(Assumptions!$E$8-Assumptions!$E$9+0.5*G6^2)*F6)/(G6*SQRT(F6)))-E6*EXP(-Assumptions!$E$8*F6)*NORMSDIST(((LN(Assumptions!$E$5/E6)+(Assumptions!$E$8-Assumptions!$E$9+0.5*G6^2)*F6)/(G6*SQRT(F6)))-G6*SQRT(F6)),E6*EXP(-Assumptions!$E$8*F6)*NORMSDIST(-(((LN(Assumptions!$E$5/E6)+(Assumptions!$E$8-Assumptions!$E$9+0.5*G6^2)*F6)/(G6*SQRT(F6)))-G6*SQRT(F6)))-Assumptions!$E$5*EXP(-Assumptions!$E$9*F6)*NORMSDIST(-((LN(Assumptions!$E$5/E6)+(Assumptions!$E$8-Assumptions!$E$9+0.5*G6^2)*F6)/(G6*SQRT(F6)))))</f>
        <v/>
      </c>
      <c r="I6" s="35">
        <f>IF($C6="Call",EXP(-Assumptions!$E$9*F6)*NORMSDIST((LN(Assumptions!$E$5/E6)+(Assumptions!$E$8-Assumptions!$E$9+0.5*G6^2)*F6)/(G6*SQRT(F6))),EXP(-Assumptions!$E$9*F6)*(NORMSDIST((LN(Assumptions!$E$5/E6)+(Assumptions!$E$8-Assumptions!$E$9+0.5*G6^2)*F6)/(G6*SQRT(F6)))-1))*D6</f>
        <v/>
      </c>
      <c r="J6" s="35">
        <f>EXP(-Assumptions!$E$9*F6)*(EXP(-(((LN(Assumptions!$E$5/E6)+(Assumptions!$E$8-Assumptions!$E$9+0.5*G6^2)*F6)/(G6*SQRT(F6)))^2)/2)/SQRT(2*PI()))/(Assumptions!$E$5*G6*SQRT(F6))*D6</f>
        <v/>
      </c>
      <c r="K6" s="35">
        <f>Assumptions!$E$5*EXP(-Assumptions!$E$9*F6)*(EXP(-(((LN(Assumptions!$E$5/E6)+(Assumptions!$E$8-Assumptions!$E$9+0.5*G6^2)*F6)/(G6*SQRT(F6)))^2)/2)/SQRT(2*PI()))*SQRT(F6)*D6</f>
        <v/>
      </c>
      <c r="L6" s="35">
        <f>-Assumptions!$E$5*EXP(-Assumptions!$E$9*F6)*(EXP(-(((LN(Assumptions!$E$5/E6)+(Assumptions!$E$8-Assumptions!$E$9+0.5*G6^2)*F6)/(G6*SQRT(F6)))^2)/2)/SQRT(2*PI()))*G6/(2*SQRT(F6))*D6</f>
        <v/>
      </c>
      <c r="M6" s="67">
        <f>H6*D6*Assumptions!$E$12</f>
        <v/>
      </c>
    </row>
    <row r="7" ht="15" customHeight="1" s="36">
      <c r="B7" s="35" t="inlineStr">
        <is>
          <t>Short call</t>
        </is>
      </c>
      <c r="C7" s="35" t="inlineStr">
        <is>
          <t>Call</t>
        </is>
      </c>
      <c r="D7" s="66" t="n">
        <v>-5</v>
      </c>
      <c r="E7" s="50" t="n">
        <v>110</v>
      </c>
      <c r="F7" s="66" t="n">
        <v>0.5</v>
      </c>
      <c r="G7" s="54" t="n">
        <v>0.24</v>
      </c>
      <c r="H7" s="61">
        <f>IF($C7="Call",Assumptions!$E$5*EXP(-Assumptions!$E$9*F7)*NORMSDIST((LN(Assumptions!$E$5/E7)+(Assumptions!$E$8-Assumptions!$E$9+0.5*G7^2)*F7)/(G7*SQRT(F7)))-E7*EXP(-Assumptions!$E$8*F7)*NORMSDIST(((LN(Assumptions!$E$5/E7)+(Assumptions!$E$8-Assumptions!$E$9+0.5*G7^2)*F7)/(G7*SQRT(F7)))-G7*SQRT(F7)),E7*EXP(-Assumptions!$E$8*F7)*NORMSDIST(-(((LN(Assumptions!$E$5/E7)+(Assumptions!$E$8-Assumptions!$E$9+0.5*G7^2)*F7)/(G7*SQRT(F7)))-G7*SQRT(F7)))-Assumptions!$E$5*EXP(-Assumptions!$E$9*F7)*NORMSDIST(-((LN(Assumptions!$E$5/E7)+(Assumptions!$E$8-Assumptions!$E$9+0.5*G7^2)*F7)/(G7*SQRT(F7)))))</f>
        <v/>
      </c>
      <c r="I7" s="35">
        <f>IF($C7="Call",EXP(-Assumptions!$E$9*F7)*NORMSDIST((LN(Assumptions!$E$5/E7)+(Assumptions!$E$8-Assumptions!$E$9+0.5*G7^2)*F7)/(G7*SQRT(F7))),EXP(-Assumptions!$E$9*F7)*(NORMSDIST((LN(Assumptions!$E$5/E7)+(Assumptions!$E$8-Assumptions!$E$9+0.5*G7^2)*F7)/(G7*SQRT(F7)))-1))*D7</f>
        <v/>
      </c>
      <c r="J7" s="35">
        <f>EXP(-Assumptions!$E$9*F7)*(EXP(-(((LN(Assumptions!$E$5/E7)+(Assumptions!$E$8-Assumptions!$E$9+0.5*G7^2)*F7)/(G7*SQRT(F7)))^2)/2)/SQRT(2*PI()))/(Assumptions!$E$5*G7*SQRT(F7))*D7</f>
        <v/>
      </c>
      <c r="K7" s="35">
        <f>Assumptions!$E$5*EXP(-Assumptions!$E$9*F7)*(EXP(-(((LN(Assumptions!$E$5/E7)+(Assumptions!$E$8-Assumptions!$E$9+0.5*G7^2)*F7)/(G7*SQRT(F7)))^2)/2)/SQRT(2*PI()))*SQRT(F7)*D7</f>
        <v/>
      </c>
      <c r="L7" s="35">
        <f>-Assumptions!$E$5*EXP(-Assumptions!$E$9*F7)*(EXP(-(((LN(Assumptions!$E$5/E7)+(Assumptions!$E$8-Assumptions!$E$9+0.5*G7^2)*F7)/(G7*SQRT(F7)))^2)/2)/SQRT(2*PI()))*G7/(2*SQRT(F7))*D7</f>
        <v/>
      </c>
      <c r="M7" s="67">
        <f>H7*D7*Assumptions!$E$12</f>
        <v/>
      </c>
    </row>
    <row r="8" ht="15" customHeight="1" s="36">
      <c r="B8" s="35" t="inlineStr">
        <is>
          <t>Long-dated call</t>
        </is>
      </c>
      <c r="C8" s="35" t="inlineStr">
        <is>
          <t>Call</t>
        </is>
      </c>
      <c r="D8" s="66" t="n">
        <v>4</v>
      </c>
      <c r="E8" s="50" t="n">
        <v>105</v>
      </c>
      <c r="F8" s="66" t="n">
        <v>1</v>
      </c>
      <c r="G8" s="54" t="n">
        <v>0.27</v>
      </c>
      <c r="H8" s="61">
        <f>IF($C8="Call",Assumptions!$E$5*EXP(-Assumptions!$E$9*F8)*NORMSDIST((LN(Assumptions!$E$5/E8)+(Assumptions!$E$8-Assumptions!$E$9+0.5*G8^2)*F8)/(G8*SQRT(F8)))-E8*EXP(-Assumptions!$E$8*F8)*NORMSDIST(((LN(Assumptions!$E$5/E8)+(Assumptions!$E$8-Assumptions!$E$9+0.5*G8^2)*F8)/(G8*SQRT(F8)))-G8*SQRT(F8)),E8*EXP(-Assumptions!$E$8*F8)*NORMSDIST(-(((LN(Assumptions!$E$5/E8)+(Assumptions!$E$8-Assumptions!$E$9+0.5*G8^2)*F8)/(G8*SQRT(F8)))-G8*SQRT(F8)))-Assumptions!$E$5*EXP(-Assumptions!$E$9*F8)*NORMSDIST(-((LN(Assumptions!$E$5/E8)+(Assumptions!$E$8-Assumptions!$E$9+0.5*G8^2)*F8)/(G8*SQRT(F8)))))</f>
        <v/>
      </c>
      <c r="I8" s="35">
        <f>IF($C8="Call",EXP(-Assumptions!$E$9*F8)*NORMSDIST((LN(Assumptions!$E$5/E8)+(Assumptions!$E$8-Assumptions!$E$9+0.5*G8^2)*F8)/(G8*SQRT(F8))),EXP(-Assumptions!$E$9*F8)*(NORMSDIST((LN(Assumptions!$E$5/E8)+(Assumptions!$E$8-Assumptions!$E$9+0.5*G8^2)*F8)/(G8*SQRT(F8)))-1))*D8</f>
        <v/>
      </c>
      <c r="J8" s="35">
        <f>EXP(-Assumptions!$E$9*F8)*(EXP(-(((LN(Assumptions!$E$5/E8)+(Assumptions!$E$8-Assumptions!$E$9+0.5*G8^2)*F8)/(G8*SQRT(F8)))^2)/2)/SQRT(2*PI()))/(Assumptions!$E$5*G8*SQRT(F8))*D8</f>
        <v/>
      </c>
      <c r="K8" s="35">
        <f>Assumptions!$E$5*EXP(-Assumptions!$E$9*F8)*(EXP(-(((LN(Assumptions!$E$5/E8)+(Assumptions!$E$8-Assumptions!$E$9+0.5*G8^2)*F8)/(G8*SQRT(F8)))^2)/2)/SQRT(2*PI()))*SQRT(F8)*D8</f>
        <v/>
      </c>
      <c r="L8" s="35">
        <f>-Assumptions!$E$5*EXP(-Assumptions!$E$9*F8)*(EXP(-(((LN(Assumptions!$E$5/E8)+(Assumptions!$E$8-Assumptions!$E$9+0.5*G8^2)*F8)/(G8*SQRT(F8)))^2)/2)/SQRT(2*PI()))*G8/(2*SQRT(F8))*D8</f>
        <v/>
      </c>
      <c r="M8" s="67">
        <f>H8*D8*Assumptions!$E$12</f>
        <v/>
      </c>
    </row>
    <row r="10" ht="15" customHeight="1" s="36">
      <c r="B10" s="68" t="inlineStr">
        <is>
          <t>Portfolio total</t>
        </is>
      </c>
      <c r="C10" s="68" t="n"/>
      <c r="D10" s="68" t="n"/>
      <c r="E10" s="68" t="n"/>
      <c r="F10" s="68" t="n"/>
      <c r="G10" s="68" t="n"/>
      <c r="H10" s="68" t="n"/>
      <c r="I10" s="69">
        <f>SUM(I5:I8)</f>
        <v/>
      </c>
      <c r="J10" s="69">
        <f>SUM(J5:J8)</f>
        <v/>
      </c>
      <c r="K10" s="69">
        <f>SUM(K5:K8)</f>
        <v/>
      </c>
      <c r="L10" s="69">
        <f>SUM(L5:L8)</f>
        <v/>
      </c>
      <c r="M10" s="70">
        <f>SUM(M5:M8)</f>
        <v/>
      </c>
    </row>
  </sheetData>
  <mergeCells count="1">
    <mergeCell ref="B2:M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4" customWidth="1" style="35" min="2" max="2"/>
    <col width="14" customWidth="1" style="35" min="3" max="7"/>
  </cols>
  <sheetData>
    <row r="2" ht="27.75" customHeight="1" s="36">
      <c r="B2" s="37" t="inlineStr">
        <is>
          <t>Delta-Gamma-Vega Scenario P&amp;L</t>
        </is>
      </c>
    </row>
    <row r="4" ht="15" customHeight="1" s="36">
      <c r="B4" s="49" t="inlineStr">
        <is>
          <t>Spot shock / Vol shock</t>
        </is>
      </c>
      <c r="C4" s="71" t="n">
        <v>-0.1</v>
      </c>
      <c r="D4" s="71" t="n">
        <v>-0.05</v>
      </c>
      <c r="E4" s="71" t="n">
        <v>0</v>
      </c>
      <c r="F4" s="71" t="n">
        <v>0.05</v>
      </c>
      <c r="G4" s="71" t="n">
        <v>0.1</v>
      </c>
    </row>
    <row r="5" ht="15" customHeight="1" s="36">
      <c r="B5" s="72" t="n">
        <v>-0.2</v>
      </c>
      <c r="C5" s="67">
        <f>Portfolio!$I$10*(Assumptions!$E$5*$B5)+0.5*Portfolio!$J$10*(Assumptions!$E$5*$B5)^2+Portfolio!$K$10*C$4</f>
        <v/>
      </c>
      <c r="D5" s="67">
        <f>Portfolio!$I$10*(Assumptions!$E$5*$B5)+0.5*Portfolio!$J$10*(Assumptions!$E$5*$B5)^2+Portfolio!$K$10*D$4</f>
        <v/>
      </c>
      <c r="E5" s="67">
        <f>Portfolio!$I$10*(Assumptions!$E$5*$B5)+0.5*Portfolio!$J$10*(Assumptions!$E$5*$B5)^2+Portfolio!$K$10*E$4</f>
        <v/>
      </c>
      <c r="F5" s="67">
        <f>Portfolio!$I$10*(Assumptions!$E$5*$B5)+0.5*Portfolio!$J$10*(Assumptions!$E$5*$B5)^2+Portfolio!$K$10*F$4</f>
        <v/>
      </c>
      <c r="G5" s="67">
        <f>Portfolio!$I$10*(Assumptions!$E$5*$B5)+0.5*Portfolio!$J$10*(Assumptions!$E$5*$B5)^2+Portfolio!$K$10*G$4</f>
        <v/>
      </c>
    </row>
    <row r="6" ht="15" customHeight="1" s="36">
      <c r="B6" s="72" t="n">
        <v>-0.1</v>
      </c>
      <c r="C6" s="67">
        <f>Portfolio!$I$10*(Assumptions!$E$5*$B6)+0.5*Portfolio!$J$10*(Assumptions!$E$5*$B6)^2+Portfolio!$K$10*C$4</f>
        <v/>
      </c>
      <c r="D6" s="67">
        <f>Portfolio!$I$10*(Assumptions!$E$5*$B6)+0.5*Portfolio!$J$10*(Assumptions!$E$5*$B6)^2+Portfolio!$K$10*D$4</f>
        <v/>
      </c>
      <c r="E6" s="67">
        <f>Portfolio!$I$10*(Assumptions!$E$5*$B6)+0.5*Portfolio!$J$10*(Assumptions!$E$5*$B6)^2+Portfolio!$K$10*E$4</f>
        <v/>
      </c>
      <c r="F6" s="67">
        <f>Portfolio!$I$10*(Assumptions!$E$5*$B6)+0.5*Portfolio!$J$10*(Assumptions!$E$5*$B6)^2+Portfolio!$K$10*F$4</f>
        <v/>
      </c>
      <c r="G6" s="67">
        <f>Portfolio!$I$10*(Assumptions!$E$5*$B6)+0.5*Portfolio!$J$10*(Assumptions!$E$5*$B6)^2+Portfolio!$K$10*G$4</f>
        <v/>
      </c>
    </row>
    <row r="7" ht="15" customHeight="1" s="36">
      <c r="B7" s="72" t="n">
        <v>0</v>
      </c>
      <c r="C7" s="67">
        <f>Portfolio!$I$10*(Assumptions!$E$5*$B7)+0.5*Portfolio!$J$10*(Assumptions!$E$5*$B7)^2+Portfolio!$K$10*C$4</f>
        <v/>
      </c>
      <c r="D7" s="67">
        <f>Portfolio!$I$10*(Assumptions!$E$5*$B7)+0.5*Portfolio!$J$10*(Assumptions!$E$5*$B7)^2+Portfolio!$K$10*D$4</f>
        <v/>
      </c>
      <c r="E7" s="67">
        <f>Portfolio!$I$10*(Assumptions!$E$5*$B7)+0.5*Portfolio!$J$10*(Assumptions!$E$5*$B7)^2+Portfolio!$K$10*E$4</f>
        <v/>
      </c>
      <c r="F7" s="67">
        <f>Portfolio!$I$10*(Assumptions!$E$5*$B7)+0.5*Portfolio!$J$10*(Assumptions!$E$5*$B7)^2+Portfolio!$K$10*F$4</f>
        <v/>
      </c>
      <c r="G7" s="67">
        <f>Portfolio!$I$10*(Assumptions!$E$5*$B7)+0.5*Portfolio!$J$10*(Assumptions!$E$5*$B7)^2+Portfolio!$K$10*G$4</f>
        <v/>
      </c>
    </row>
    <row r="8" ht="15" customHeight="1" s="36">
      <c r="B8" s="72" t="n">
        <v>0.1</v>
      </c>
      <c r="C8" s="67">
        <f>Portfolio!$I$10*(Assumptions!$E$5*$B8)+0.5*Portfolio!$J$10*(Assumptions!$E$5*$B8)^2+Portfolio!$K$10*C$4</f>
        <v/>
      </c>
      <c r="D8" s="67">
        <f>Portfolio!$I$10*(Assumptions!$E$5*$B8)+0.5*Portfolio!$J$10*(Assumptions!$E$5*$B8)^2+Portfolio!$K$10*D$4</f>
        <v/>
      </c>
      <c r="E8" s="67">
        <f>Portfolio!$I$10*(Assumptions!$E$5*$B8)+0.5*Portfolio!$J$10*(Assumptions!$E$5*$B8)^2+Portfolio!$K$10*E$4</f>
        <v/>
      </c>
      <c r="F8" s="67">
        <f>Portfolio!$I$10*(Assumptions!$E$5*$B8)+0.5*Portfolio!$J$10*(Assumptions!$E$5*$B8)^2+Portfolio!$K$10*F$4</f>
        <v/>
      </c>
      <c r="G8" s="67">
        <f>Portfolio!$I$10*(Assumptions!$E$5*$B8)+0.5*Portfolio!$J$10*(Assumptions!$E$5*$B8)^2+Portfolio!$K$10*G$4</f>
        <v/>
      </c>
    </row>
    <row r="9" ht="15" customHeight="1" s="36">
      <c r="B9" s="72" t="n">
        <v>0.2</v>
      </c>
      <c r="C9" s="67">
        <f>Portfolio!$I$10*(Assumptions!$E$5*$B9)+0.5*Portfolio!$J$10*(Assumptions!$E$5*$B9)^2+Portfolio!$K$10*C$4</f>
        <v/>
      </c>
      <c r="D9" s="67">
        <f>Portfolio!$I$10*(Assumptions!$E$5*$B9)+0.5*Portfolio!$J$10*(Assumptions!$E$5*$B9)^2+Portfolio!$K$10*D$4</f>
        <v/>
      </c>
      <c r="E9" s="67">
        <f>Portfolio!$I$10*(Assumptions!$E$5*$B9)+0.5*Portfolio!$J$10*(Assumptions!$E$5*$B9)^2+Portfolio!$K$10*E$4</f>
        <v/>
      </c>
      <c r="F9" s="67">
        <f>Portfolio!$I$10*(Assumptions!$E$5*$B9)+0.5*Portfolio!$J$10*(Assumptions!$E$5*$B9)^2+Portfolio!$K$10*F$4</f>
        <v/>
      </c>
      <c r="G9" s="67">
        <f>Portfolio!$I$10*(Assumptions!$E$5*$B9)+0.5*Portfolio!$J$10*(Assumptions!$E$5*$B9)^2+Portfolio!$K$10*G$4</f>
        <v/>
      </c>
    </row>
  </sheetData>
  <mergeCells count="1">
    <mergeCell ref="B2:H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42" customWidth="1" style="35" min="2" max="2"/>
    <col width="18" customWidth="1" style="35" min="3" max="3"/>
  </cols>
  <sheetData>
    <row r="2" ht="27.75" customHeight="1" s="36">
      <c r="B2" s="37" t="inlineStr">
        <is>
          <t>Model Checks</t>
        </is>
      </c>
    </row>
    <row r="4" ht="15" customHeight="1" s="36">
      <c r="B4" s="49" t="inlineStr">
        <is>
          <t>Check</t>
        </is>
      </c>
      <c r="C4" s="49" t="inlineStr">
        <is>
          <t>Status</t>
        </is>
      </c>
    </row>
    <row r="5" ht="15" customHeight="1" s="36">
      <c r="B5" s="35" t="inlineStr">
        <is>
          <t>Put-call parity</t>
        </is>
      </c>
      <c r="C5" s="35">
        <f>IF(ABS('European Pricer'!C13)&lt;0.000001,"PASS","FAIL")</f>
        <v/>
      </c>
    </row>
    <row r="6" ht="15" customHeight="1" s="36">
      <c r="B6" s="35" t="inlineStr">
        <is>
          <t>Implied volatility convergence</t>
        </is>
      </c>
      <c r="C6" s="35">
        <f>IF('Implied Vol'!E17&lt;0.0001,"PASS","REVIEW")</f>
        <v/>
      </c>
    </row>
    <row r="7" ht="15" customHeight="1" s="36">
      <c r="B7" s="35" t="inlineStr">
        <is>
          <t>Gamma positive</t>
        </is>
      </c>
      <c r="C7" s="35">
        <f>IF(AND(Greeks!C6&gt;0,Greeks!D6&gt;0),"PASS","FAIL")</f>
        <v/>
      </c>
    </row>
    <row r="8" ht="15" customHeight="1" s="36">
      <c r="B8" s="35" t="inlineStr">
        <is>
          <t>Call price within bounds</t>
        </is>
      </c>
      <c r="C8" s="35">
        <f>IF(AND('European Pricer'!C7&gt;=MAX(0,Assumptions!E5*EXP(-Assumptions!E9*Assumptions!E7)-Assumptions!E6*EXP(-Assumptions!E8*Assumptions!E7)),'European Pricer'!C7&lt;=Assumptions!E5*EXP(-Assumptions!E9*Assumptions!E7)),"PASS","FAIL")</f>
        <v/>
      </c>
    </row>
    <row r="9" ht="15" customHeight="1" s="36">
      <c r="B9" s="35" t="inlineStr">
        <is>
          <t>Portfolio formulas populated</t>
        </is>
      </c>
      <c r="C9" s="35">
        <f>IF(COUNT(Portfolio!H5:M8)=24,"PASS","FAIL")</f>
        <v/>
      </c>
    </row>
    <row r="10" ht="15" customHeight="1" s="36">
      <c r="B10" s="35" t="inlineStr">
        <is>
          <t>Overall</t>
        </is>
      </c>
      <c r="C10" s="35">
        <f>IF(COUNTIF(C5:C9,"FAIL")=0,"PASS","FAIL")</f>
        <v/>
      </c>
    </row>
  </sheetData>
  <mergeCells count="1">
    <mergeCell ref="B2:C2"/>
  </mergeCells>
  <conditionalFormatting sqref="C5:C10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4" customWidth="1" style="35" min="2" max="2"/>
    <col width="58" customWidth="1" style="35" min="3" max="3"/>
    <col width="16" customWidth="1" style="35" min="4" max="4"/>
    <col width="48" customWidth="1" style="35" min="5" max="5"/>
  </cols>
  <sheetData>
    <row r="2" ht="27.75" customHeight="1" s="36">
      <c r="B2" s="37" t="inlineStr">
        <is>
          <t>Source Register</t>
        </is>
      </c>
    </row>
    <row r="4" ht="15" customHeight="1" s="36">
      <c r="B4" s="49" t="inlineStr">
        <is>
          <t>Input / dataset</t>
        </is>
      </c>
      <c r="C4" s="49" t="inlineStr">
        <is>
          <t>Source URL or document</t>
        </is>
      </c>
      <c r="D4" s="49" t="inlineStr">
        <is>
          <t>As-of</t>
        </is>
      </c>
      <c r="E4" s="49" t="inlineStr">
        <is>
          <t>Notes / transformation</t>
        </is>
      </c>
    </row>
    <row r="5" ht="15" customHeight="1" s="36">
      <c r="B5" s="73" t="inlineStr">
        <is>
          <t>Option contract specification</t>
        </is>
      </c>
      <c r="C5" s="73" t="inlineStr">
        <is>
          <t>[exchange / broker URL]</t>
        </is>
      </c>
      <c r="D5" s="73" t="inlineStr">
        <is>
          <t>[date]</t>
        </is>
      </c>
      <c r="E5" s="73" t="inlineStr">
        <is>
          <t>Multiplier, expiry, settlement, exercise style</t>
        </is>
      </c>
    </row>
    <row r="6" ht="15" customHeight="1" s="36">
      <c r="B6" s="73" t="inlineStr">
        <is>
          <t>Underlying and option market data</t>
        </is>
      </c>
      <c r="C6" s="73" t="inlineStr">
        <is>
          <t>[market data URL]</t>
        </is>
      </c>
      <c r="D6" s="73" t="inlineStr">
        <is>
          <t>[timestamp]</t>
        </is>
      </c>
      <c r="E6" s="73" t="inlineStr">
        <is>
          <t>Spot, bid/ask, implied volatility</t>
        </is>
      </c>
    </row>
    <row r="7" ht="15" customHeight="1" s="36">
      <c r="B7" s="73" t="inlineStr">
        <is>
          <t>Risk-free curve</t>
        </is>
      </c>
      <c r="C7" s="73" t="inlineStr">
        <is>
          <t>https://home.treasury.gov/resource-center/data-chart-center/interest-rates</t>
        </is>
      </c>
      <c r="D7" s="73" t="inlineStr">
        <is>
          <t>[date]</t>
        </is>
      </c>
      <c r="E7" s="73" t="inlineStr">
        <is>
          <t>Document interpolation and currency basis</t>
        </is>
      </c>
    </row>
    <row r="8" ht="15" customHeight="1" s="36">
      <c r="B8" s="73" t="inlineStr">
        <is>
          <t>Dividend / carry assumption</t>
        </is>
      </c>
      <c r="C8" s="73" t="inlineStr">
        <is>
          <t>[issuer or market source]</t>
        </is>
      </c>
      <c r="D8" s="73" t="inlineStr">
        <is>
          <t>[date]</t>
        </is>
      </c>
      <c r="E8" s="73" t="inlineStr">
        <is>
          <t>Expected dividends or foreign rates</t>
        </is>
      </c>
    </row>
    <row r="9">
      <c r="B9" s="78" t="inlineStr">
        <is>
          <t>S&amp;P 500 via FRED</t>
        </is>
      </c>
      <c r="C9" s="78" t="inlineStr">
        <is>
          <t>https://fred.stlouisfed.org/series/SP500</t>
        </is>
      </c>
      <c r="D9" s="78" t="inlineStr">
        <is>
          <t>2024-01-02</t>
        </is>
      </c>
      <c r="E9" s="78" t="inlineStr">
        <is>
          <t>Federal Reserve Bank of St. Louis / S&amp;P; frozen curated observation as of case date</t>
        </is>
      </c>
    </row>
    <row r="10">
      <c r="B10" s="78" t="inlineStr">
        <is>
          <t>CBOE VIX via FRED</t>
        </is>
      </c>
      <c r="C10" s="78" t="inlineStr">
        <is>
          <t>https://fred.stlouisfed.org/series/VIXCLS</t>
        </is>
      </c>
      <c r="D10" s="78" t="inlineStr">
        <is>
          <t>2024-01-02</t>
        </is>
      </c>
      <c r="E10" s="78" t="inlineStr">
        <is>
          <t>Federal Reserve Bank of St. Louis / CBOE; frozen curated observation as of case date</t>
        </is>
      </c>
    </row>
    <row r="11">
      <c r="B11" s="78" t="inlineStr">
        <is>
          <t>6-Month Treasury via FRED</t>
        </is>
      </c>
      <c r="C11" s="78" t="inlineStr">
        <is>
          <t>https://fred.stlouisfed.org/series/DGS6MO</t>
        </is>
      </c>
      <c r="D11" s="78" t="inlineStr">
        <is>
          <t>2024-01-02</t>
        </is>
      </c>
      <c r="E11" s="78" t="inlineStr">
        <is>
          <t>Federal Reserve Bank of St. Louis / U.S. Treasury; frozen curated observation as of case date</t>
        </is>
      </c>
    </row>
    <row r="12">
      <c r="B12" s="78" t="inlineStr">
        <is>
          <t>Frozen source snapshot</t>
        </is>
      </c>
      <c r="C12" s="78" t="inlineStr">
        <is>
          <t>repo://14_Options_Derivatives/sources/snapshots/options-spx-2024-01-02.json</t>
        </is>
      </c>
      <c r="D12" s="78" t="inlineStr">
        <is>
          <t>2024-01-02</t>
        </is>
      </c>
      <c r="E12" s="78" t="inlineStr">
        <is>
          <t>Immutable curated observation package with SHA-256 digest</t>
        </is>
      </c>
    </row>
    <row r="13">
      <c r="B13" s="78" t="inlineStr">
        <is>
          <t>Nearest round strike</t>
        </is>
      </c>
      <c r="C13" s="78" t="inlineStr">
        <is>
          <t>repo://14_Options_Derivatives/sources/snapshots/options-spx-2024-01-02.json</t>
        </is>
      </c>
      <c r="D13" s="78" t="inlineStr">
        <is>
          <t>2024-01-02</t>
        </is>
      </c>
      <c r="E13" s="78" t="inlineStr">
        <is>
          <t>Modeler-owned assumption documented in frozen snapshot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14" customWidth="1" style="35" min="2" max="2"/>
    <col width="22" customWidth="1" style="35" min="3" max="3"/>
    <col width="28" customWidth="1" style="35" min="4" max="4"/>
    <col width="38" customWidth="1" style="35" min="5" max="5"/>
    <col width="34" customWidth="1" style="35" min="6" max="6"/>
    <col width="18" customWidth="1" style="35" min="7" max="7"/>
  </cols>
  <sheetData>
    <row r="2" ht="27.75" customHeight="1" s="36">
      <c r="B2" s="37" t="inlineStr">
        <is>
          <t>Refresh Log</t>
        </is>
      </c>
    </row>
    <row r="4" ht="15" customHeight="1" s="36">
      <c r="B4" s="49" t="inlineStr">
        <is>
          <t>Date</t>
        </is>
      </c>
      <c r="C4" s="49" t="inlineStr">
        <is>
          <t>Trigger</t>
        </is>
      </c>
      <c r="D4" s="49" t="inlineStr">
        <is>
          <t>Source snapshot</t>
        </is>
      </c>
      <c r="E4" s="49" t="inlineStr">
        <is>
          <t>What changed</t>
        </is>
      </c>
      <c r="F4" s="49" t="inlineStr">
        <is>
          <t>Reviewer / challenge</t>
        </is>
      </c>
      <c r="G4" s="49" t="inlineStr">
        <is>
          <t>Next check</t>
        </is>
      </c>
    </row>
    <row r="5" ht="15" customHeight="1" s="36">
      <c r="B5" s="74" t="inlineStr">
        <is>
          <t>2026-08-04</t>
        </is>
      </c>
      <c r="C5" s="74" t="inlineStr">
        <is>
          <t>External historical evidence materialization</t>
        </is>
      </c>
      <c r="D5" s="74" t="inlineStr">
        <is>
          <t>repo://14_Options_Derivatives/sources/snapshots/options-spx-2024-01-02.json</t>
        </is>
      </c>
      <c r="E5" s="74" t="inlineStr">
        <is>
          <t>Generated public case options-spx-2024-01-02 from canonical release template</t>
        </is>
      </c>
      <c r="F5" s="74" t="inlineStr">
        <is>
          <t>External historical case; human stakeholder approval remains pending</t>
        </is>
      </c>
      <c r="G5" s="74" t="inlineStr">
        <is>
          <t>On source revision, builder change, monitoring breach, or annual review</t>
        </is>
      </c>
    </row>
    <row r="6" ht="15" customHeight="1" s="36">
      <c r="B6" s="74" t="n"/>
      <c r="C6" s="74" t="n"/>
      <c r="D6" s="74" t="n"/>
      <c r="E6" s="74" t="n"/>
      <c r="F6" s="74" t="n"/>
      <c r="G6" s="74" t="n"/>
    </row>
    <row r="7" ht="15" customHeight="1" s="36">
      <c r="B7" s="74" t="n"/>
      <c r="C7" s="74" t="n"/>
      <c r="D7" s="74" t="n"/>
      <c r="E7" s="74" t="n"/>
      <c r="F7" s="74" t="n"/>
      <c r="G7" s="74" t="n"/>
    </row>
    <row r="8" ht="15" customHeight="1" s="36">
      <c r="B8" s="74" t="n"/>
      <c r="C8" s="74" t="n"/>
      <c r="D8" s="74" t="n"/>
      <c r="E8" s="74" t="n"/>
      <c r="F8" s="74" t="n"/>
      <c r="G8" s="74" t="n"/>
    </row>
    <row r="9" ht="15" customHeight="1" s="36">
      <c r="B9" s="74" t="n"/>
      <c r="C9" s="74" t="n"/>
      <c r="D9" s="74" t="n"/>
      <c r="E9" s="74" t="n"/>
      <c r="F9" s="74" t="n"/>
      <c r="G9" s="74" t="n"/>
    </row>
    <row r="10" ht="15" customHeight="1" s="36">
      <c r="B10" s="74" t="n"/>
      <c r="C10" s="74" t="n"/>
      <c r="D10" s="74" t="n"/>
      <c r="E10" s="74" t="n"/>
      <c r="F10" s="74" t="n"/>
      <c r="G10" s="74" t="n"/>
    </row>
    <row r="11" ht="15" customHeight="1" s="36">
      <c r="B11" s="74" t="n"/>
      <c r="C11" s="74" t="n"/>
      <c r="D11" s="74" t="n"/>
      <c r="E11" s="74" t="n"/>
      <c r="F11" s="74" t="n"/>
      <c r="G11" s="74" t="n"/>
    </row>
    <row r="12" ht="15" customHeight="1" s="36">
      <c r="B12" s="74" t="n"/>
      <c r="C12" s="74" t="n"/>
      <c r="D12" s="74" t="n"/>
      <c r="E12" s="74" t="n"/>
      <c r="F12" s="74" t="n"/>
      <c r="G12" s="74" t="n"/>
    </row>
    <row r="13" ht="15" customHeight="1" s="36">
      <c r="B13" s="74" t="n"/>
      <c r="C13" s="74" t="n"/>
      <c r="D13" s="74" t="n"/>
      <c r="E13" s="74" t="n"/>
      <c r="F13" s="74" t="n"/>
      <c r="G13" s="74" t="n"/>
    </row>
    <row r="14" ht="15" customHeight="1" s="36">
      <c r="B14" s="74" t="n"/>
      <c r="C14" s="74" t="n"/>
      <c r="D14" s="74" t="n"/>
      <c r="E14" s="74" t="n"/>
      <c r="F14" s="74" t="n"/>
      <c r="G14" s="74" t="n"/>
    </row>
    <row r="15" ht="15" customHeight="1" s="36">
      <c r="B15" s="74" t="n"/>
      <c r="C15" s="74" t="n"/>
      <c r="D15" s="74" t="n"/>
      <c r="E15" s="74" t="n"/>
      <c r="F15" s="74" t="n"/>
      <c r="G15" s="74" t="n"/>
    </row>
    <row r="16" ht="15" customHeight="1" s="36">
      <c r="B16" s="74" t="n"/>
      <c r="C16" s="74" t="n"/>
      <c r="D16" s="74" t="n"/>
      <c r="E16" s="74" t="n"/>
      <c r="F16" s="74" t="n"/>
      <c r="G16" s="74" t="n"/>
    </row>
    <row r="17" ht="15" customHeight="1" s="36">
      <c r="B17" s="74" t="n"/>
      <c r="C17" s="74" t="n"/>
      <c r="D17" s="74" t="n"/>
      <c r="E17" s="74" t="n"/>
      <c r="F17" s="74" t="n"/>
      <c r="G17" s="74" t="n"/>
    </row>
    <row r="18" ht="15" customHeight="1" s="36">
      <c r="B18" s="74" t="n"/>
      <c r="C18" s="74" t="n"/>
      <c r="D18" s="74" t="n"/>
      <c r="E18" s="74" t="n"/>
      <c r="F18" s="74" t="n"/>
      <c r="G18" s="74" t="n"/>
    </row>
    <row r="19" ht="15" customHeight="1" s="36">
      <c r="B19" s="74" t="n"/>
      <c r="C19" s="74" t="n"/>
      <c r="D19" s="74" t="n"/>
      <c r="E19" s="74" t="n"/>
      <c r="F19" s="74" t="n"/>
      <c r="G19" s="74" t="n"/>
    </row>
    <row r="20" ht="15" customHeight="1" s="36">
      <c r="B20" s="74" t="n"/>
      <c r="C20" s="74" t="n"/>
      <c r="D20" s="74" t="n"/>
      <c r="E20" s="74" t="n"/>
      <c r="F20" s="74" t="n"/>
      <c r="G20" s="74" t="n"/>
    </row>
    <row r="21" ht="15" customHeight="1" s="36">
      <c r="B21" s="74" t="n"/>
      <c r="C21" s="74" t="n"/>
      <c r="D21" s="74" t="n"/>
      <c r="E21" s="74" t="n"/>
      <c r="F21" s="74" t="n"/>
      <c r="G21" s="74" t="n"/>
    </row>
    <row r="22" ht="15" customHeight="1" s="36">
      <c r="B22" s="74" t="n"/>
      <c r="C22" s="74" t="n"/>
      <c r="D22" s="74" t="n"/>
      <c r="E22" s="74" t="n"/>
      <c r="F22" s="74" t="n"/>
      <c r="G22" s="74" t="n"/>
    </row>
    <row r="23" ht="15" customHeight="1" s="36">
      <c r="B23" s="74" t="n"/>
      <c r="C23" s="74" t="n"/>
      <c r="D23" s="74" t="n"/>
      <c r="E23" s="74" t="n"/>
      <c r="F23" s="74" t="n"/>
      <c r="G23" s="74" t="n"/>
    </row>
    <row r="24" ht="15" customHeight="1" s="36">
      <c r="B24" s="74" t="n"/>
      <c r="C24" s="74" t="n"/>
      <c r="D24" s="74" t="n"/>
      <c r="E24" s="74" t="n"/>
      <c r="F24" s="74" t="n"/>
      <c r="G24" s="74" t="n"/>
    </row>
    <row r="25" ht="15" customHeight="1" s="36">
      <c r="B25" s="74" t="n"/>
      <c r="C25" s="74" t="n"/>
      <c r="D25" s="74" t="n"/>
      <c r="E25" s="74" t="n"/>
      <c r="F25" s="74" t="n"/>
      <c r="G25" s="74" t="n"/>
    </row>
    <row r="26" ht="15" customHeight="1" s="36">
      <c r="B26" s="74" t="n"/>
      <c r="C26" s="74" t="n"/>
      <c r="D26" s="74" t="n"/>
      <c r="E26" s="74" t="n"/>
      <c r="F26" s="74" t="n"/>
      <c r="G26" s="74" t="n"/>
    </row>
    <row r="27" ht="15" customHeight="1" s="36">
      <c r="B27" s="74" t="n"/>
      <c r="C27" s="74" t="n"/>
      <c r="D27" s="74" t="n"/>
      <c r="E27" s="74" t="n"/>
      <c r="F27" s="74" t="n"/>
      <c r="G27" s="74" t="n"/>
    </row>
    <row r="28" ht="15" customHeight="1" s="36">
      <c r="B28" s="74" t="n"/>
      <c r="C28" s="74" t="n"/>
      <c r="D28" s="74" t="n"/>
      <c r="E28" s="74" t="n"/>
      <c r="F28" s="74" t="n"/>
      <c r="G28" s="74" t="n"/>
    </row>
    <row r="29" ht="15" customHeight="1" s="36">
      <c r="B29" s="74" t="n"/>
      <c r="C29" s="74" t="n"/>
      <c r="D29" s="74" t="n"/>
      <c r="E29" s="74" t="n"/>
      <c r="F29" s="74" t="n"/>
      <c r="G29" s="74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2026-08-04T03:47:42Z</dcterms:created>
  <dcterms:modified xmlns:dcterms="http://purl.org/dc/terms/" xmlns:xsi="http://www.w3.org/2001/XMLSchema-instance" xsi:type="dcterms:W3CDTF">2026-08-04T18:30:39Z</dcterms:modified>
  <cp:revision>0</cp:revision>
</cp:coreProperties>
</file>