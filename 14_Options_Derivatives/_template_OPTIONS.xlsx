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S Pricer" sheetId="2" state="visible" r:id="rId4"/>
    <sheet name="Greeks" sheetId="3" state="visible" r:id="rId5"/>
    <sheet name="Strategy Payoffs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<sst xmlns="http://schemas.openxmlformats.org/spreadsheetml/2006/main" count="58" uniqueCount="57">
  <si>
    <t xml:space="preserve">[UNDERLYING] — Options Model</t>
  </si>
  <si>
    <t xml:space="preserve">Underlying:</t>
  </si>
  <si>
    <t xml:space="preserve">[fill in]</t>
  </si>
  <si>
    <t xml:space="preserve">Option type covered:</t>
  </si>
  <si>
    <t xml:space="preserve">Equity / index / FX / commodity options</t>
  </si>
  <si>
    <t xml:space="preserve">Last refreshed:</t>
  </si>
  <si>
    <t xml:space="preserve">[date]</t>
  </si>
  <si>
    <t xml:space="preserve">Next expiry to watch:</t>
  </si>
  <si>
    <t xml:space="preserve">Refresh cadence:</t>
  </si>
  <si>
    <t xml:space="preserve">Weekly (daily near expiry)</t>
  </si>
  <si>
    <t xml:space="preserve">Black-Scholes Pricer</t>
  </si>
  <si>
    <t xml:space="preserve">Inputs</t>
  </si>
  <si>
    <t xml:space="preserve">Intermediate</t>
  </si>
  <si>
    <t xml:space="preserve">Spot price (S)</t>
  </si>
  <si>
    <t xml:space="preserve">d1</t>
  </si>
  <si>
    <t xml:space="preserve">Strike price (K)</t>
  </si>
  <si>
    <t xml:space="preserve">d2</t>
  </si>
  <si>
    <t xml:space="preserve">Time to expiry (yrs, T)</t>
  </si>
  <si>
    <t xml:space="preserve">N(d1)</t>
  </si>
  <si>
    <t xml:space="preserve">Risk-free rate (r)</t>
  </si>
  <si>
    <t xml:space="preserve">N(d2)</t>
  </si>
  <si>
    <t xml:space="preserve">Dividend yield (q)</t>
  </si>
  <si>
    <t xml:space="preserve">N(-d1)</t>
  </si>
  <si>
    <t xml:space="preserve">Implied volatility (sigma)</t>
  </si>
  <si>
    <t xml:space="preserve">N(-d2)</t>
  </si>
  <si>
    <t xml:space="preserve">Outputs</t>
  </si>
  <si>
    <t xml:space="preserve">Call price</t>
  </si>
  <si>
    <t xml:space="preserve">Put price</t>
  </si>
  <si>
    <t xml:space="preserve">Greeks (linked to BS Pricer inputs)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</si>
  <si>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</si>
  <si>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</si>
  <si>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</si>
  <si>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</si>
  <si>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</si>
  <si>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Price sensitivity to $1 move in underlying</t>
  </si>
  <si>
    <t xml:space="preserve">Gamma</t>
  </si>
  <si>
    <t xml:space="preserve">Rate of change of delta</t>
  </si>
  <si>
    <t xml:space="preserve">Vega (per 1% vol)</t>
  </si>
  <si>
    <t xml:space="preserve">Sensitivity to 1pt vol change</t>
  </si>
  <si>
    <t xml:space="preserve">Theta (per day)</t>
  </si>
  <si>
    <t xml:space="preserve">Time decay per calendar day</t>
  </si>
  <si>
    <t xml:space="preserve">Rho (per 1%)</t>
  </si>
  <si>
    <t xml:space="preserve">Sensitivity to 1pt rate change</t>
  </si>
  <si>
    <t xml:space="preserve">Payoff at Expiry — Long Straddle Example</t>
  </si>
  <si>
    <t xml:space="preserve">Underlying price at expiry -&gt;</t>
  </si>
  <si>
    <t xml:space="preserve">Long call payoff</t>
  </si>
  <si>
    <t xml:space="preserve">Long put payoff</t>
  </si>
  <si>
    <t xml:space="preserve">Net payoff (straddle)</t>
  </si>
  <si>
    <t xml:space="preserve">Less: premium paid</t>
  </si>
  <si>
    <t xml:space="preserve">Net P&amp;L</t>
  </si>
  <si>
    <t xml:space="preserve">Note: swap the payoff formulas per leg to model spreads, collars, condors, etc.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</si>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</sst>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0.0000"/>
    <numFmt numFmtId="167" formatCode="0.00%;\(0.00%\);\-"/>
    <numFmt numFmtId="168" formatCode="0.0%;\(0.0%\);\-"/>
    <numFmt numFmtId="169" formatCode="\$#,##0;&quot;($&quot;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  <c r="E4" s="4" t="s">
        <v>12</v>
      </c>
    </row>
    <row r="5" customFormat="false" ht="15" hidden="false" customHeight="false" outlineLevel="0" collapsed="false">
      <c r="B5" s="5" t="s">
        <v>13</v>
      </c>
      <c r="C5" s="6" t="n">
        <v>100</v>
      </c>
      <c r="E5" s="7" t="s">
        <v>14</v>
      </c>
      <c r="F5" s="8" t="n">
        <f aca="false">(LN(C5/C6)+(C8-C9+0.5*C10^2)*C7)/(C10*SQRT(C7))</f>
        <v>0.15</v>
      </c>
    </row>
    <row r="6" customFormat="false" ht="15" hidden="false" customHeight="false" outlineLevel="0" collapsed="false">
      <c r="B6" s="5" t="s">
        <v>15</v>
      </c>
      <c r="C6" s="6" t="n">
        <v>100</v>
      </c>
      <c r="E6" s="7" t="s">
        <v>16</v>
      </c>
      <c r="F6" s="8" t="n">
        <f aca="false">F5-C10*SQRT(C7)</f>
        <v>0</v>
      </c>
    </row>
    <row r="7" customFormat="false" ht="15" hidden="false" customHeight="false" outlineLevel="0" collapsed="false">
      <c r="B7" s="5" t="s">
        <v>17</v>
      </c>
      <c r="C7" s="9" t="n">
        <v>0.25</v>
      </c>
      <c r="E7" s="7" t="s">
        <v>18</v>
      </c>
      <c r="F7" s="8" t="n">
        <f aca="false">NORMSDIST(F5)</f>
        <v>0.559617692370243</v>
      </c>
    </row>
    <row r="8" customFormat="false" ht="15" hidden="false" customHeight="false" outlineLevel="0" collapsed="false">
      <c r="B8" s="5" t="s">
        <v>19</v>
      </c>
      <c r="C8" s="10" t="n">
        <v>0.045</v>
      </c>
      <c r="E8" s="7" t="s">
        <v>20</v>
      </c>
      <c r="F8" s="8" t="n">
        <f aca="false">NORMSDIST(F6)</f>
        <v>0.5</v>
      </c>
    </row>
    <row r="9" customFormat="false" ht="15" hidden="false" customHeight="false" outlineLevel="0" collapsed="false">
      <c r="B9" s="5" t="s">
        <v>21</v>
      </c>
      <c r="C9" s="10" t="n">
        <v>0</v>
      </c>
      <c r="E9" s="7" t="s">
        <v>22</v>
      </c>
      <c r="F9" s="8" t="n">
        <f aca="false">NORMSDIST(-F5)</f>
        <v>0.440382307629758</v>
      </c>
    </row>
    <row r="10" customFormat="false" ht="15" hidden="false" customHeight="false" outlineLevel="0" collapsed="false">
      <c r="B10" s="5" t="s">
        <v>23</v>
      </c>
      <c r="C10" s="11" t="n">
        <v>0.3</v>
      </c>
      <c r="E10" s="7" t="s">
        <v>24</v>
      </c>
      <c r="F10" s="8" t="n">
        <f aca="false">NORMSDIST(-F6)</f>
        <v>0.5</v>
      </c>
    </row>
    <row r="12" customFormat="false" ht="15" hidden="false" customHeight="false" outlineLevel="0" collapsed="false">
      <c r="B12" s="4" t="s">
        <v>25</v>
      </c>
    </row>
    <row r="13" customFormat="false" ht="15" hidden="false" customHeight="false" outlineLevel="0" collapsed="false">
      <c r="B13" s="0" t="s">
        <v>26</v>
      </c>
      <c r="C13" s="12" t="n">
        <f aca="false">C5*EXP(-C9*C7)*F7-C6*EXP(-C8*C7)*F8</f>
        <v>6.5211170064626</v>
      </c>
    </row>
    <row r="14" customFormat="false" ht="15" hidden="false" customHeight="false" outlineLevel="0" collapsed="false">
      <c r="B14" s="0" t="s">
        <v>27</v>
      </c>
      <c r="C14" s="12" t="n">
        <f aca="false">C6*EXP(-C8*C7)*F10-C5*EXP(-C9*C7)*F9</f>
        <v>5.4024214675859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A4" s="13"/>
      <c r="B4" s="13" t="s">
        <v>29</v>
      </c>
      <c r="C4" s="13" t="s">
        <v>30</v>
      </c>
      <c r="D4" s="13" t="s">
        <v>31</v>
      </c>
      <c r="E4" s="7" t="s">
        <v>32</v>
      </c>
    </row>
    <row r="5" customFormat="false" ht="15" hidden="false" customHeight="false" outlineLevel="0" collapsed="false">
      <c r="B5" s="5" t="s">
        <v>33</v>
      </c>
      <c r="C5" s="8" t="n">
        <f aca="false">EXP(-'BS Pricer'!$C$9*'BS Pricer'!$C$7)*'BS Pricer'!$F$7</f>
        <v>0.559617692370243</v>
      </c>
      <c r="D5" s="8" t="n">
        <f aca="false">-EXP(-'BS Pricer'!$C$9*'BS Pricer'!$C$7)*'BS Pricer'!$F$9</f>
        <v>-0.440382307629758</v>
      </c>
      <c r="E5" s="14" t="s">
        <v>34</v>
      </c>
    </row>
    <row r="6" customFormat="false" ht="15" hidden="false" customHeight="false" outlineLevel="0" collapsed="false">
      <c r="B6" s="5" t="s">
        <v>35</v>
      </c>
      <c r="C6" s="8" t="n">
        <f aca="false">EXP(-'BS Pricer'!$C$9*'BS Pricer'!$C$7)*(EXP(-('BS Pricer'!$F$5)^2/2)/SQRT(2*PI()))/('BS Pricer'!$C$5*'BS Pricer'!$C$10*SQRT('BS Pricer'!$C$7))</f>
        <v>0.026897048103991</v>
      </c>
      <c r="D6" s="8" t="n">
        <f aca="false">EXP(-'BS Pricer'!$C$9*'BS Pricer'!$C$7)*(EXP(-('BS Pricer'!$F$5)^2/2)/SQRT(2*PI()))/('BS Pricer'!$C$5*'BS Pricer'!$C$10*SQRT('BS Pricer'!$C$7))</f>
        <v>0.026897048103991</v>
      </c>
      <c r="E6" s="14" t="s">
        <v>36</v>
      </c>
    </row>
    <row r="7" customFormat="false" ht="15" hidden="false" customHeight="false" outlineLevel="0" collapsed="false">
      <c r="B7" s="5" t="s">
        <v>37</v>
      </c>
      <c r="C7" s="8" t="n">
        <f aca="false">'BS Pricer'!$C$5*EXP(-'BS Pricer'!$C$9*'BS Pricer'!$C$7)*(EXP(-('BS Pricer'!$F$5)^2/2)/SQRT(2*PI()))*SQRT('BS Pricer'!$C$7)/100</f>
        <v>0.201727860779933</v>
      </c>
      <c r="D7" s="8" t="n">
        <f aca="false">'BS Pricer'!$C$5*EXP(-'BS Pricer'!$C$9*'BS Pricer'!$C$7)*(EXP(-('BS Pricer'!$F$5)^2/2)/SQRT(2*PI()))*SQRT('BS Pricer'!$C$7)/100</f>
        <v>0.201727860779933</v>
      </c>
      <c r="E7" s="14" t="s">
        <v>38</v>
      </c>
    </row>
    <row r="8" customFormat="false" ht="15" hidden="false" customHeight="false" outlineLevel="0" collapsed="false">
      <c r="B8" s="5" t="s">
        <v>39</v>
      </c>
      <c r="C8" s="8" t="n">
        <f aca="false">(-'BS Pricer'!$C$5*(EXP(-('BS Pricer'!$F$5)^2/2)/SQRT(2*PI()))*'BS Pricer'!$C$10*EXP(-'BS Pricer'!$C$9*'BS Pricer'!$C$7)/(2*SQRT('BS Pricer'!$C$7))-'BS Pricer'!$C$8*'BS Pricer'!$C$6*EXP(-'BS Pricer'!$C$8*'BS Pricer'!$C$7)*'BS Pricer'!$F$8+'BS Pricer'!$C$9*'BS Pricer'!$C$5*EXP(-'BS Pricer'!$C$9*'BS Pricer'!$C$7)*'BS Pricer'!$F$7)/365</f>
        <v>-0.0392561671155377</v>
      </c>
      <c r="D8" s="8" t="n">
        <f aca="false">(-'BS Pricer'!$C$5*(EXP(-('BS Pricer'!$F$5)^2/2)/SQRT(2*PI()))*'BS Pricer'!$C$10*EXP(-'BS Pricer'!$C$9*'BS Pricer'!$C$7)/(2*SQRT('BS Pricer'!$C$7))+'BS Pricer'!$C$8*'BS Pricer'!$C$6*EXP(-'BS Pricer'!$C$8*'BS Pricer'!$C$7)*'BS Pricer'!$F$10-'BS Pricer'!$C$9*'BS Pricer'!$C$5*EXP(-'BS Pricer'!$C$9*'BS Pricer'!$C$7)*'BS Pricer'!$F$9)/365</f>
        <v>-0.0270653213600567</v>
      </c>
      <c r="E8" s="14" t="s">
        <v>40</v>
      </c>
    </row>
    <row r="9" customFormat="false" ht="15" hidden="false" customHeight="false" outlineLevel="0" collapsed="false">
      <c r="B9" s="5" t="s">
        <v>41</v>
      </c>
      <c r="C9" s="8" t="n">
        <f aca="false">'BS Pricer'!$C$6*'BS Pricer'!$C$7*EXP(-'BS Pricer'!$C$8*'BS Pricer'!$C$7)*'BS Pricer'!$F$8/100</f>
        <v>0.123601630576404</v>
      </c>
      <c r="D9" s="8" t="n">
        <f aca="false">-'BS Pricer'!$C$6*'BS Pricer'!$C$7*EXP(-'BS Pricer'!$C$8*'BS Pricer'!$C$7)*'BS Pricer'!$F$10/100</f>
        <v>-0.123601630576404</v>
      </c>
      <c r="E9" s="1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11" min="3" style="0" width="12"/>
  </cols>
  <sheetData>
    <row r="2" customFormat="false" ht="19.7" hidden="false" customHeight="false" outlineLevel="0" collapsed="false">
      <c r="B2" s="1" t="s">
        <v>43</v>
      </c>
    </row>
    <row r="4" customFormat="false" ht="15" hidden="false" customHeight="false" outlineLevel="0" collapsed="false">
      <c r="B4" s="2" t="s">
        <v>44</v>
      </c>
      <c r="C4" s="15" t="n">
        <v>70</v>
      </c>
      <c r="D4" s="15" t="n">
        <v>80</v>
      </c>
      <c r="E4" s="15" t="n">
        <v>90</v>
      </c>
      <c r="F4" s="15" t="n">
        <v>100</v>
      </c>
      <c r="G4" s="15" t="n">
        <v>110</v>
      </c>
      <c r="H4" s="15" t="n">
        <v>120</v>
      </c>
      <c r="I4" s="15" t="n">
        <v>130</v>
      </c>
    </row>
    <row r="5" customFormat="false" ht="15" hidden="false" customHeight="false" outlineLevel="0" collapsed="false">
      <c r="B5" s="0" t="s">
        <v>45</v>
      </c>
      <c r="C5" s="16" t="n">
        <f aca="false">MAX(C4-'BS Pricer'!$C$6,0)</f>
        <v>0</v>
      </c>
      <c r="D5" s="16" t="n">
        <f aca="false">MAX(D4-'BS Pricer'!$C$6,0)</f>
        <v>0</v>
      </c>
      <c r="E5" s="16" t="n">
        <f aca="false">MAX(E4-'BS Pricer'!$C$6,0)</f>
        <v>0</v>
      </c>
      <c r="F5" s="16" t="n">
        <f aca="false">MAX(F4-'BS Pricer'!$C$6,0)</f>
        <v>0</v>
      </c>
      <c r="G5" s="16" t="n">
        <f aca="false">MAX(G4-'BS Pricer'!$C$6,0)</f>
        <v>10</v>
      </c>
      <c r="H5" s="16" t="n">
        <f aca="false">MAX(H4-'BS Pricer'!$C$6,0)</f>
        <v>20</v>
      </c>
      <c r="I5" s="16" t="n">
        <f aca="false">MAX(I4-'BS Pricer'!$C$6,0)</f>
        <v>30</v>
      </c>
      <c r="J5" s="17"/>
      <c r="K5" s="17"/>
    </row>
    <row r="6" customFormat="false" ht="15" hidden="false" customHeight="false" outlineLevel="0" collapsed="false">
      <c r="B6" s="0" t="s">
        <v>46</v>
      </c>
      <c r="C6" s="16" t="n">
        <f aca="false">MAX('BS Pricer'!$C$6-C4,0)</f>
        <v>30</v>
      </c>
      <c r="D6" s="16" t="n">
        <f aca="false">MAX('BS Pricer'!$C$6-D4,0)</f>
        <v>20</v>
      </c>
      <c r="E6" s="16" t="n">
        <f aca="false">MAX('BS Pricer'!$C$6-E4,0)</f>
        <v>10</v>
      </c>
      <c r="F6" s="16" t="n">
        <f aca="false">MAX('BS Pricer'!$C$6-F4,0)</f>
        <v>0</v>
      </c>
      <c r="G6" s="16" t="n">
        <f aca="false">MAX('BS Pricer'!$C$6-G4,0)</f>
        <v>0</v>
      </c>
      <c r="H6" s="16" t="n">
        <f aca="false">MAX('BS Pricer'!$C$6-H4,0)</f>
        <v>0</v>
      </c>
      <c r="I6" s="16" t="n">
        <f aca="false">MAX('BS Pricer'!$C$6-I4,0)</f>
        <v>0</v>
      </c>
      <c r="J6" s="17"/>
      <c r="K6" s="17"/>
    </row>
    <row r="7" customFormat="false" ht="15" hidden="false" customHeight="false" outlineLevel="0" collapsed="false">
      <c r="B7" s="0" t="s">
        <v>47</v>
      </c>
      <c r="C7" s="16" t="n">
        <f aca="false">C5+C6</f>
        <v>30</v>
      </c>
      <c r="D7" s="16" t="n">
        <f aca="false">D5+D6</f>
        <v>20</v>
      </c>
      <c r="E7" s="16" t="n">
        <f aca="false">E5+E6</f>
        <v>10</v>
      </c>
      <c r="F7" s="16" t="n">
        <f aca="false">F5+F6</f>
        <v>0</v>
      </c>
      <c r="G7" s="16" t="n">
        <f aca="false">G5+G6</f>
        <v>10</v>
      </c>
      <c r="H7" s="16" t="n">
        <f aca="false">H5+H6</f>
        <v>20</v>
      </c>
      <c r="I7" s="16" t="n">
        <f aca="false">I5+I6</f>
        <v>30</v>
      </c>
      <c r="J7" s="17"/>
      <c r="K7" s="17"/>
    </row>
    <row r="8" customFormat="false" ht="15" hidden="false" customHeight="false" outlineLevel="0" collapsed="false">
      <c r="B8" s="0" t="s">
        <v>48</v>
      </c>
      <c r="C8" s="16" t="n">
        <f aca="false">'BS Pricer'!$C$13+'BS Pricer'!$C$14</f>
        <v>11.9235384740485</v>
      </c>
      <c r="D8" s="16" t="n">
        <f aca="false">'BS Pricer'!$C$13+'BS Pricer'!$C$14</f>
        <v>11.9235384740485</v>
      </c>
      <c r="E8" s="16" t="n">
        <f aca="false">'BS Pricer'!$C$13+'BS Pricer'!$C$14</f>
        <v>11.9235384740485</v>
      </c>
      <c r="F8" s="16" t="n">
        <f aca="false">'BS Pricer'!$C$13+'BS Pricer'!$C$14</f>
        <v>11.9235384740485</v>
      </c>
      <c r="G8" s="16" t="n">
        <f aca="false">'BS Pricer'!$C$13+'BS Pricer'!$C$14</f>
        <v>11.9235384740485</v>
      </c>
      <c r="H8" s="16" t="n">
        <f aca="false">'BS Pricer'!$C$13+'BS Pricer'!$C$14</f>
        <v>11.9235384740485</v>
      </c>
      <c r="I8" s="16" t="n">
        <f aca="false">'BS Pricer'!$C$13+'BS Pricer'!$C$14</f>
        <v>11.9235384740485</v>
      </c>
      <c r="J8" s="17"/>
      <c r="K8" s="17"/>
    </row>
    <row r="9" customFormat="false" ht="15" hidden="false" customHeight="false" outlineLevel="0" collapsed="false">
      <c r="B9" s="0" t="s">
        <v>49</v>
      </c>
      <c r="C9" s="18" t="n">
        <f aca="false">C7-C8</f>
        <v>18.0764615259515</v>
      </c>
      <c r="D9" s="18" t="n">
        <f aca="false">D7-D8</f>
        <v>8.0764615259515</v>
      </c>
      <c r="E9" s="18" t="n">
        <f aca="false">E7-E8</f>
        <v>-1.9235384740485</v>
      </c>
      <c r="F9" s="18" t="n">
        <f aca="false">F7-F8</f>
        <v>-11.9235384740485</v>
      </c>
      <c r="G9" s="18" t="n">
        <f aca="false">G7-G8</f>
        <v>-1.9235384740485</v>
      </c>
      <c r="H9" s="18" t="n">
        <f aca="false">H7-H8</f>
        <v>8.0764615259515</v>
      </c>
      <c r="I9" s="18" t="n">
        <f aca="false">I7-I8</f>
        <v>18.0764615259515</v>
      </c>
      <c r="J9" s="17"/>
      <c r="K9" s="17"/>
    </row>
    <row r="11" customFormat="false" ht="15" hidden="false" customHeight="false" outlineLevel="0" collapsed="false">
      <c r="B11" s="14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51</v>
      </c>
    </row>
    <row r="4" customFormat="false" ht="15" hidden="false" customHeight="false" outlineLevel="0" collapsed="false">
      <c r="B4" s="13" t="s">
        <v>52</v>
      </c>
      <c r="C4" s="13" t="s">
        <v>53</v>
      </c>
      <c r="D4" s="13" t="s">
        <v>54</v>
      </c>
      <c r="E4" s="13" t="s">
        <v>55</v>
      </c>
      <c r="F4" s="13" t="s">
        <v>56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2026-08-03T16:05:56Z</dcterms:created>
  <dc:creator>openpyxl</dc:creator>
  <dc:description/>
  <dc:language>en-US</dc:language>
  <cp:lastModifiedBy/>
  <dcterms:modified xsi:type="dcterms:W3CDTF">2026-08-03T16:05:56Z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