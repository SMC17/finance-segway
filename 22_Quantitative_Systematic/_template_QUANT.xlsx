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Returns &amp; Sharpe" sheetId="2" state="visible" r:id="rId4"/>
    <sheet name="Position Sizing" sheetId="3" state="visible" r:id="rId5"/>
    <sheet name="RefreshLog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<sst xmlns="http://schemas.openxmlformats.org/spreadsheetml/2006/main" count="63" uniqueCount="62">
  <si>
    <t xml:space="preserve">[STRATEGY] — Quantitative / Systematic Model</t>
  </si>
  <si>
    <t xml:space="preserve">Strategy:</t>
  </si>
  <si>
    <t xml:space="preserve">[fill in]</t>
  </si>
  <si>
    <t xml:space="preserve">Asset class / universe:</t>
  </si>
  <si>
    <t xml:space="preserve">Last refreshed:</t>
  </si>
  <si>
    <t xml:space="preserve">[date]</t>
  </si>
  <si>
    <t xml:space="preserve">Refresh cadence:</t>
  </si>
  <si>
    <t xml:space="preserve">Weekly (daily if live-traded)</t>
  </si>
  <si>
    <t xml:space="preserve">Risk-Adjusted Return Statistics</t>
  </si>
  <si>
    <t xml:space="preserve">Monthly return series (enter below, extend as needed)</t>
  </si>
  <si>
    <t xml:space="preserve">Month</t>
  </si>
  <si>
    <t xml:space="preserve">Return %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</si>
  <si>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</si>
  <si>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</si>
  <si>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</si>
  <si>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</si>
  <si>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</si>
  <si>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</si>
  <si>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</si>
  <si>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</si>
  <si>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</si>
  <si>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</si>
  <si>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</si>
  <si>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</si>
  <si>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</si>
  <si>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</si>
  <si>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</si>
  <si>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</si>
  <si>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</si>
  <si>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</si>
  <si>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</si>
  <si>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</si>
  <si>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</si>
  <si>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</si>
  <si>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</si>
  <si>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</si>
  <si>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Risk-free rate (annual, %)</t>
  </si>
  <si>
    <t xml:space="preserve">Outputs</t>
  </si>
  <si>
    <t xml:space="preserve">Avg monthly return</t>
  </si>
  <si>
    <t xml:space="preserve">Monthly std dev</t>
  </si>
  <si>
    <t xml:space="preserve">Annualized return</t>
  </si>
  <si>
    <t xml:space="preserve">Annualized volatility</t>
  </si>
  <si>
    <t xml:space="preserve">Sharpe ratio</t>
  </si>
  <si>
    <t xml:space="preserve">Downside deviation (returns &lt; 0 only)</t>
  </si>
  <si>
    <t xml:space="preserve">Sortino ratio</t>
  </si>
  <si>
    <t xml:space="preserve">Max drawdown</t>
  </si>
  <si>
    <t xml:space="preserve">[compute from cumulative return series — add running max &amp; drawdown columns for live use]</t>
  </si>
  <si>
    <t xml:space="preserve">Position Sizing (Kelly &amp; Fixed Fractional)</t>
  </si>
  <si>
    <t xml:space="preserve">Win rate (%)</t>
  </si>
  <si>
    <t xml:space="preserve">Avg win / avg loss ratio (payoff ratio)</t>
  </si>
  <si>
    <t xml:space="preserve">Account equity ($)</t>
  </si>
  <si>
    <t xml:space="preserve">Max risk per trade (fixed-fractional, %)</t>
  </si>
  <si>
    <t xml:space="preserve">Kelly fraction = W - (1-W)/R</t>
  </si>
  <si>
    <t xml:space="preserve">Full Kelly is aggressive — most practitioners use 1/4 to 1/2 Kelly</t>
  </si>
  <si>
    <t xml:space="preserve">Half-Kelly position size ($)</t>
  </si>
  <si>
    <t xml:space="preserve">Fixed-fractional position size ($)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</si>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</sst>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%;\(0.00%\);\-"/>
    <numFmt numFmtId="166" formatCode="0.0%;\(0.0%\);\-"/>
    <numFmt numFmtId="167" formatCode="0.00"/>
    <numFmt numFmtId="168" formatCode="\$#,##0;&quot;($&quot;#,##0\);\-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BFBFB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2</v>
      </c>
    </row>
    <row r="6" customFormat="false" ht="15" hidden="false" customHeight="false" outlineLevel="0" collapsed="false">
      <c r="B6" s="2" t="s">
        <v>4</v>
      </c>
      <c r="C6" s="3" t="s">
        <v>5</v>
      </c>
    </row>
    <row r="7" customFormat="false" ht="15" hidden="false" customHeight="false" outlineLevel="0" collapsed="false">
      <c r="B7" s="2" t="s">
        <v>6</v>
      </c>
      <c r="C7" s="3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40"/>
  </cols>
  <sheetData>
    <row r="2" customFormat="false" ht="19.7" hidden="false" customHeight="false" outlineLevel="0" collapsed="false">
      <c r="B2" s="1" t="s">
        <v>8</v>
      </c>
    </row>
    <row r="4" customFormat="false" ht="15" hidden="false" customHeight="false" outlineLevel="0" collapsed="false">
      <c r="B4" s="4" t="s">
        <v>9</v>
      </c>
    </row>
    <row r="5" customFormat="false" ht="15" hidden="false" customHeight="false" outlineLevel="0" collapsed="false">
      <c r="B5" s="5" t="s">
        <v>10</v>
      </c>
      <c r="C5" s="5" t="s">
        <v>11</v>
      </c>
    </row>
    <row r="6" customFormat="false" ht="15" hidden="false" customHeight="false" outlineLevel="0" collapsed="false">
      <c r="B6" s="0" t="s">
        <v>12</v>
      </c>
      <c r="C6" s="6" t="n">
        <v>0</v>
      </c>
    </row>
    <row r="7" customFormat="false" ht="15" hidden="false" customHeight="false" outlineLevel="0" collapsed="false">
      <c r="B7" s="0" t="s">
        <v>13</v>
      </c>
      <c r="C7" s="6" t="n">
        <v>0</v>
      </c>
    </row>
    <row r="8" customFormat="false" ht="15" hidden="false" customHeight="false" outlineLevel="0" collapsed="false">
      <c r="B8" s="0" t="s">
        <v>14</v>
      </c>
      <c r="C8" s="6" t="n">
        <v>0</v>
      </c>
    </row>
    <row r="9" customFormat="false" ht="15" hidden="false" customHeight="false" outlineLevel="0" collapsed="false">
      <c r="B9" s="0" t="s">
        <v>15</v>
      </c>
      <c r="C9" s="6" t="n">
        <v>0</v>
      </c>
    </row>
    <row r="10" customFormat="false" ht="15" hidden="false" customHeight="false" outlineLevel="0" collapsed="false">
      <c r="B10" s="0" t="s">
        <v>16</v>
      </c>
      <c r="C10" s="6" t="n">
        <v>0</v>
      </c>
    </row>
    <row r="11" customFormat="false" ht="15" hidden="false" customHeight="false" outlineLevel="0" collapsed="false">
      <c r="B11" s="0" t="s">
        <v>17</v>
      </c>
      <c r="C11" s="6" t="n">
        <v>0</v>
      </c>
    </row>
    <row r="12" customFormat="false" ht="15" hidden="false" customHeight="false" outlineLevel="0" collapsed="false">
      <c r="B12" s="0" t="s">
        <v>18</v>
      </c>
      <c r="C12" s="6" t="n">
        <v>0</v>
      </c>
    </row>
    <row r="13" customFormat="false" ht="15" hidden="false" customHeight="false" outlineLevel="0" collapsed="false">
      <c r="B13" s="0" t="s">
        <v>19</v>
      </c>
      <c r="C13" s="6" t="n">
        <v>0</v>
      </c>
    </row>
    <row r="14" customFormat="false" ht="15" hidden="false" customHeight="false" outlineLevel="0" collapsed="false">
      <c r="B14" s="0" t="s">
        <v>20</v>
      </c>
      <c r="C14" s="6" t="n">
        <v>0</v>
      </c>
    </row>
    <row r="15" customFormat="false" ht="15" hidden="false" customHeight="false" outlineLevel="0" collapsed="false">
      <c r="B15" s="0" t="s">
        <v>21</v>
      </c>
      <c r="C15" s="6" t="n">
        <v>0</v>
      </c>
    </row>
    <row r="16" customFormat="false" ht="15" hidden="false" customHeight="false" outlineLevel="0" collapsed="false">
      <c r="B16" s="0" t="s">
        <v>22</v>
      </c>
      <c r="C16" s="6" t="n">
        <v>0</v>
      </c>
    </row>
    <row r="17" customFormat="false" ht="15" hidden="false" customHeight="false" outlineLevel="0" collapsed="false">
      <c r="B17" s="0" t="s">
        <v>23</v>
      </c>
      <c r="C17" s="6" t="n">
        <v>0</v>
      </c>
    </row>
    <row r="18" customFormat="false" ht="15" hidden="false" customHeight="false" outlineLevel="0" collapsed="false">
      <c r="B18" s="0" t="s">
        <v>24</v>
      </c>
      <c r="C18" s="6" t="n">
        <v>0</v>
      </c>
    </row>
    <row r="19" customFormat="false" ht="15" hidden="false" customHeight="false" outlineLevel="0" collapsed="false">
      <c r="B19" s="0" t="s">
        <v>25</v>
      </c>
      <c r="C19" s="6" t="n">
        <v>0</v>
      </c>
    </row>
    <row r="20" customFormat="false" ht="15" hidden="false" customHeight="false" outlineLevel="0" collapsed="false">
      <c r="B20" s="0" t="s">
        <v>26</v>
      </c>
      <c r="C20" s="6" t="n">
        <v>0</v>
      </c>
    </row>
    <row r="21" customFormat="false" ht="15" hidden="false" customHeight="false" outlineLevel="0" collapsed="false">
      <c r="B21" s="0" t="s">
        <v>27</v>
      </c>
      <c r="C21" s="6" t="n">
        <v>0</v>
      </c>
    </row>
    <row r="22" customFormat="false" ht="15" hidden="false" customHeight="false" outlineLevel="0" collapsed="false">
      <c r="B22" s="0" t="s">
        <v>28</v>
      </c>
      <c r="C22" s="6" t="n">
        <v>0</v>
      </c>
    </row>
    <row r="23" customFormat="false" ht="15" hidden="false" customHeight="false" outlineLevel="0" collapsed="false">
      <c r="B23" s="0" t="s">
        <v>29</v>
      </c>
      <c r="C23" s="6" t="n">
        <v>0</v>
      </c>
    </row>
    <row r="24" customFormat="false" ht="15" hidden="false" customHeight="false" outlineLevel="0" collapsed="false">
      <c r="B24" s="0" t="s">
        <v>30</v>
      </c>
      <c r="C24" s="6" t="n">
        <v>0</v>
      </c>
    </row>
    <row r="25" customFormat="false" ht="15" hidden="false" customHeight="false" outlineLevel="0" collapsed="false">
      <c r="B25" s="0" t="s">
        <v>31</v>
      </c>
      <c r="C25" s="6" t="n">
        <v>0</v>
      </c>
    </row>
    <row r="26" customFormat="false" ht="15" hidden="false" customHeight="false" outlineLevel="0" collapsed="false">
      <c r="B26" s="0" t="s">
        <v>32</v>
      </c>
      <c r="C26" s="6" t="n">
        <v>0</v>
      </c>
    </row>
    <row r="27" customFormat="false" ht="15" hidden="false" customHeight="false" outlineLevel="0" collapsed="false">
      <c r="B27" s="0" t="s">
        <v>33</v>
      </c>
      <c r="C27" s="6" t="n">
        <v>0</v>
      </c>
    </row>
    <row r="28" customFormat="false" ht="15" hidden="false" customHeight="false" outlineLevel="0" collapsed="false">
      <c r="B28" s="0" t="s">
        <v>34</v>
      </c>
      <c r="C28" s="6" t="n">
        <v>0</v>
      </c>
    </row>
    <row r="29" customFormat="false" ht="15" hidden="false" customHeight="false" outlineLevel="0" collapsed="false">
      <c r="B29" s="0" t="s">
        <v>35</v>
      </c>
      <c r="C29" s="6" t="n">
        <v>0</v>
      </c>
    </row>
    <row r="32" customFormat="false" ht="15" hidden="false" customHeight="false" outlineLevel="0" collapsed="false">
      <c r="B32" s="0" t="s">
        <v>36</v>
      </c>
      <c r="C32" s="7" t="n">
        <v>0.045</v>
      </c>
    </row>
    <row r="34" customFormat="false" ht="15" hidden="false" customHeight="false" outlineLevel="0" collapsed="false">
      <c r="B34" s="8" t="s">
        <v>37</v>
      </c>
    </row>
    <row r="35" customFormat="false" ht="15" hidden="false" customHeight="false" outlineLevel="0" collapsed="false">
      <c r="B35" s="0" t="s">
        <v>38</v>
      </c>
      <c r="C35" s="9" t="n">
        <f aca="false">AVERAGE(C6:C29)</f>
        <v>0</v>
      </c>
    </row>
    <row r="36" customFormat="false" ht="15" hidden="false" customHeight="false" outlineLevel="0" collapsed="false">
      <c r="B36" s="0" t="s">
        <v>39</v>
      </c>
      <c r="C36" s="9" t="n">
        <f aca="false">STDEV(C6:C29)</f>
        <v>0</v>
      </c>
    </row>
    <row r="37" customFormat="false" ht="15" hidden="false" customHeight="false" outlineLevel="0" collapsed="false">
      <c r="B37" s="0" t="s">
        <v>40</v>
      </c>
      <c r="C37" s="10" t="n">
        <f aca="false">(1+C35)^12-1</f>
        <v>0</v>
      </c>
    </row>
    <row r="38" customFormat="false" ht="15" hidden="false" customHeight="false" outlineLevel="0" collapsed="false">
      <c r="B38" s="0" t="s">
        <v>41</v>
      </c>
      <c r="C38" s="10" t="n">
        <f aca="false">C36*SQRT(12)</f>
        <v>0</v>
      </c>
    </row>
    <row r="39" customFormat="false" ht="15" hidden="false" customHeight="false" outlineLevel="0" collapsed="false">
      <c r="B39" s="0" t="s">
        <v>42</v>
      </c>
      <c r="C39" s="11" t="str">
        <f aca="false">IFERROR((C37-C32)/C38,"-")</f>
        <v>-</v>
      </c>
    </row>
    <row r="40" customFormat="false" ht="15" hidden="false" customHeight="false" outlineLevel="0" collapsed="false">
      <c r="B40" s="0" t="s">
        <v>43</v>
      </c>
      <c r="C40" s="10" t="str">
        <f aca="false">IFERROR(SQRT(SUMPRODUCT((C6:C29&lt;0)*(C6:C29)^2)/COUNTIF(C6:C29,"&lt;0"))*SQRT(12),"-")</f>
        <v>-</v>
      </c>
    </row>
    <row r="41" customFormat="false" ht="15" hidden="false" customHeight="false" outlineLevel="0" collapsed="false">
      <c r="B41" s="0" t="s">
        <v>44</v>
      </c>
      <c r="C41" s="11" t="str">
        <f aca="false">IFERROR((C37-C32)/C40,"-")</f>
        <v>-</v>
      </c>
    </row>
    <row r="42" customFormat="false" ht="15" hidden="false" customHeight="false" outlineLevel="0" collapsed="false">
      <c r="B42" s="0" t="s">
        <v>45</v>
      </c>
      <c r="C42" s="4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40"/>
  </cols>
  <sheetData>
    <row r="2" customFormat="false" ht="19.7" hidden="false" customHeight="false" outlineLevel="0" collapsed="false">
      <c r="B2" s="1" t="s">
        <v>47</v>
      </c>
    </row>
    <row r="5" customFormat="false" ht="15" hidden="false" customHeight="false" outlineLevel="0" collapsed="false">
      <c r="B5" s="12" t="s">
        <v>48</v>
      </c>
      <c r="C5" s="13" t="n">
        <v>0.55</v>
      </c>
    </row>
    <row r="6" customFormat="false" ht="15" hidden="false" customHeight="false" outlineLevel="0" collapsed="false">
      <c r="B6" s="12" t="s">
        <v>49</v>
      </c>
      <c r="C6" s="14" t="n">
        <v>1.5</v>
      </c>
    </row>
    <row r="7" customFormat="false" ht="15" hidden="false" customHeight="false" outlineLevel="0" collapsed="false">
      <c r="B7" s="12" t="s">
        <v>50</v>
      </c>
      <c r="C7" s="15" t="n">
        <v>0</v>
      </c>
    </row>
    <row r="8" customFormat="false" ht="15" hidden="false" customHeight="false" outlineLevel="0" collapsed="false">
      <c r="B8" s="12" t="s">
        <v>51</v>
      </c>
      <c r="C8" s="13" t="n">
        <v>0.01</v>
      </c>
    </row>
    <row r="10" customFormat="false" ht="15" hidden="false" customHeight="false" outlineLevel="0" collapsed="false">
      <c r="B10" s="0" t="s">
        <v>52</v>
      </c>
      <c r="C10" s="16" t="n">
        <f aca="false">C5-(1-C5)/C6</f>
        <v>0.25</v>
      </c>
      <c r="D10" s="4" t="s">
        <v>53</v>
      </c>
    </row>
    <row r="11" customFormat="false" ht="15" hidden="false" customHeight="false" outlineLevel="0" collapsed="false">
      <c r="B11" s="0" t="s">
        <v>54</v>
      </c>
      <c r="C11" s="17" t="n">
        <f aca="false">IFERROR(C7*C10/2,"-")</f>
        <v>0</v>
      </c>
    </row>
    <row r="12" customFormat="false" ht="15" hidden="false" customHeight="false" outlineLevel="0" collapsed="false">
      <c r="B12" s="0" t="s">
        <v>55</v>
      </c>
      <c r="C12" s="17" t="n">
        <f aca="false">C7*C8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56</v>
      </c>
    </row>
    <row r="4" customFormat="false" ht="15" hidden="false" customHeight="false" outlineLevel="0" collapsed="false">
      <c r="B4" s="5" t="s">
        <v>57</v>
      </c>
      <c r="C4" s="5" t="s">
        <v>58</v>
      </c>
      <c r="D4" s="5" t="s">
        <v>59</v>
      </c>
      <c r="E4" s="5" t="s">
        <v>60</v>
      </c>
      <c r="F4" s="5" t="s">
        <v>61</v>
      </c>
    </row>
    <row r="5" customFormat="false" ht="15" hidden="false" customHeight="false" outlineLevel="0" collapsed="false">
      <c r="B5" s="18"/>
      <c r="C5" s="18"/>
      <c r="D5" s="18"/>
      <c r="E5" s="18"/>
      <c r="F5" s="18"/>
    </row>
    <row r="6" customFormat="false" ht="15" hidden="false" customHeight="false" outlineLevel="0" collapsed="false">
      <c r="B6" s="18"/>
      <c r="C6" s="18"/>
      <c r="D6" s="18"/>
      <c r="E6" s="18"/>
      <c r="F6" s="18"/>
    </row>
    <row r="7" customFormat="false" ht="15" hidden="false" customHeight="false" outlineLevel="0" collapsed="false">
      <c r="B7" s="18"/>
      <c r="C7" s="18"/>
      <c r="D7" s="18"/>
      <c r="E7" s="18"/>
      <c r="F7" s="18"/>
    </row>
    <row r="8" customFormat="false" ht="15" hidden="false" customHeight="false" outlineLevel="0" collapsed="false">
      <c r="B8" s="18"/>
      <c r="C8" s="18"/>
      <c r="D8" s="18"/>
      <c r="E8" s="18"/>
      <c r="F8" s="18"/>
    </row>
    <row r="9" customFormat="false" ht="15" hidden="false" customHeight="false" outlineLevel="0" collapsed="false">
      <c r="B9" s="18"/>
      <c r="C9" s="18"/>
      <c r="D9" s="18"/>
      <c r="E9" s="18"/>
      <c r="F9" s="18"/>
    </row>
    <row r="10" customFormat="false" ht="15" hidden="false" customHeight="false" outlineLevel="0" collapsed="false">
      <c r="B10" s="18"/>
      <c r="C10" s="18"/>
      <c r="D10" s="18"/>
      <c r="E10" s="18"/>
      <c r="F10" s="18"/>
    </row>
    <row r="11" customFormat="false" ht="15" hidden="false" customHeight="false" outlineLevel="0" collapsed="false">
      <c r="B11" s="18"/>
      <c r="C11" s="18"/>
      <c r="D11" s="18"/>
      <c r="E11" s="18"/>
      <c r="F11" s="18"/>
    </row>
    <row r="12" customFormat="false" ht="15" hidden="false" customHeight="false" outlineLevel="0" collapsed="false">
      <c r="B12" s="18"/>
      <c r="C12" s="18"/>
      <c r="D12" s="18"/>
      <c r="E12" s="18"/>
      <c r="F12" s="18"/>
    </row>
    <row r="13" customFormat="false" ht="15" hidden="false" customHeight="false" outlineLevel="0" collapsed="false">
      <c r="B13" s="18"/>
      <c r="C13" s="18"/>
      <c r="D13" s="18"/>
      <c r="E13" s="18"/>
      <c r="F13" s="18"/>
    </row>
    <row r="14" customFormat="false" ht="15" hidden="false" customHeight="false" outlineLevel="0" collapsed="false">
      <c r="B14" s="18"/>
      <c r="C14" s="18"/>
      <c r="D14" s="18"/>
      <c r="E14" s="18"/>
      <c r="F14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2026-08-03T21:44:45Z</dcterms:created>
  <dc:creator>openpyxl</dc:creator>
  <dc:description/>
  <dc:language>en-US</dc:language>
  <cp:lastModifiedBy/>
  <dcterms:modified xsi:type="dcterms:W3CDTF">2026-08-03T21:44:45Z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