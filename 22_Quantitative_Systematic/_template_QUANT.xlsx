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Returns &amp; Sharpe" sheetId="2" state="visible" r:id="rId4"/>
    <sheet name="Position Sizing" sheetId="3" state="visible" r:id="rId5"/>
    <sheet name="RefreshLog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<sst xmlns="http://schemas.openxmlformats.org/spreadsheetml/2006/main" count="74" uniqueCount="73">
  <si>
    <t xml:space="preserve">[STRATEGY] — Quantitative / Systematic Model</t>
  </si>
  <si>
    <t xml:space="preserve">Strategy:</t>
  </si>
  <si>
    <t xml:space="preserve">[fill in]</t>
  </si>
  <si>
    <t xml:space="preserve">Asset class / universe:</t>
  </si>
  <si>
    <t xml:space="preserve">Last refreshed:</t>
  </si>
  <si>
    <t xml:space="preserve">[date]</t>
  </si>
  <si>
    <t xml:space="preserve">Refresh cadence:</t>
  </si>
  <si>
    <t xml:space="preserve">Weekly (daily if live-traded)</t>
  </si>
  <si>
    <t xml:space="preserve">Risk-Adjusted Return Statistics</t>
  </si>
  <si>
    <t xml:space="preserve">Monthly return series (enter below, extend as needed)</t>
  </si>
  <si>
    <t xml:space="preserve">Month</t>
  </si>
  <si>
    <t xml:space="preserve">Return %</t>
  </si>
  <si>
    <t xml:space="preserve">Benchmark %</t>
  </si>
  <si>
    <t xml:space="preserve">Wealth idx</t>
  </si>
  <si>
    <t xml:space="preserve">Peak</t>
  </si>
  <si>
    <t xml:space="preserve">Drawdown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</si>
  <si>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</si>
  <si>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</si>
  <si>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</si>
  <si>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</si>
  <si>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</si>
  <si>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</si>
  <si>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</si>
  <si>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</si>
  <si>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</si>
  <si>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</si>
  <si>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</si>
  <si>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</si>
  <si>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</si>
  <si>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</si>
  <si>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</si>
  <si>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</si>
  <si>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</si>
  <si>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</si>
  <si>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</si>
  <si>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</si>
  <si>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</si>
  <si>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</si>
  <si>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</si>
  <si>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</si>
  <si>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Risk-free rate (annual, %)</t>
  </si>
  <si>
    <t xml:space="preserve">Outputs</t>
  </si>
  <si>
    <t xml:space="preserve">Avg monthly return</t>
  </si>
  <si>
    <t xml:space="preserve">Monthly std dev</t>
  </si>
  <si>
    <t xml:space="preserve">Annualized return</t>
  </si>
  <si>
    <t xml:space="preserve">Annualized volatility</t>
  </si>
  <si>
    <t xml:space="preserve">Sharpe ratio</t>
  </si>
  <si>
    <t xml:space="preserve">Downside deviation (returns &lt; 0 only)</t>
  </si>
  <si>
    <t xml:space="preserve">Sortino ratio</t>
  </si>
  <si>
    <t xml:space="preserve">Max drawdown</t>
  </si>
  <si>
    <t xml:space="preserve">Trough of the wealth-index drawdown series (columns F-H) — worst peak-to-trough decline in the sample</t>
  </si>
  <si>
    <t xml:space="preserve">Benchmark &amp; Factor Exposure (single-factor / CAPM)</t>
  </si>
  <si>
    <t xml:space="preserve">Avg monthly benchmark return</t>
  </si>
  <si>
    <t xml:space="preserve">Annualized benchmark return</t>
  </si>
  <si>
    <t xml:space="preserve">Beta (vs benchmark)</t>
  </si>
  <si>
    <t xml:space="preserve">R-squared</t>
  </si>
  <si>
    <t xml:space="preserve">Jensen's alpha (annualized) = Rp - [Rf + Beta x (Rm - Rf)]</t>
  </si>
  <si>
    <t xml:space="preserve">Positive = generating return beyond what beta exposure to the benchmark would explain</t>
  </si>
  <si>
    <t xml:space="preserve">Position Sizing (Kelly &amp; Fixed Fractional)</t>
  </si>
  <si>
    <t xml:space="preserve">Win rate (%)</t>
  </si>
  <si>
    <t xml:space="preserve">Avg win / avg loss ratio (payoff ratio)</t>
  </si>
  <si>
    <t xml:space="preserve">Account equity ($)</t>
  </si>
  <si>
    <t xml:space="preserve">Max risk per trade (fixed-fractional, %)</t>
  </si>
  <si>
    <t xml:space="preserve">Kelly fraction = W - (1-W)/R</t>
  </si>
  <si>
    <t xml:space="preserve">Full Kelly is aggressive — most practitioners use 1/4 to 1/2 Kelly</t>
  </si>
  <si>
    <t xml:space="preserve">Half-Kelly position size ($)</t>
  </si>
  <si>
    <t xml:space="preserve">Fixed-fractional position size ($)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</si>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</sst>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%;\(0.00%\);\-"/>
    <numFmt numFmtId="166" formatCode="0.0000"/>
    <numFmt numFmtId="167" formatCode="0.0%;\(0.0%\);\-"/>
    <numFmt numFmtId="168" formatCode="0.00"/>
    <numFmt numFmtId="169" formatCode="\$#,##0;&quot;($&quot;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2</v>
      </c>
    </row>
    <row r="6" customFormat="false" ht="15" hidden="false" customHeight="false" outlineLevel="0" collapsed="false">
      <c r="B6" s="2" t="s">
        <v>4</v>
      </c>
      <c r="C6" s="3" t="s">
        <v>5</v>
      </c>
    </row>
    <row r="7" customFormat="false" ht="15" hidden="false" customHeight="false" outlineLevel="0" collapsed="false">
      <c r="B7" s="2" t="s">
        <v>6</v>
      </c>
      <c r="C7" s="3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8" min="5" style="0" width="14"/>
  </cols>
  <sheetData>
    <row r="2" customFormat="false" ht="19.7" hidden="false" customHeight="false" outlineLevel="0" collapsed="false">
      <c r="B2" s="1" t="s">
        <v>8</v>
      </c>
    </row>
    <row r="4" customFormat="false" ht="15" hidden="false" customHeight="false" outlineLevel="0" collapsed="false">
      <c r="B4" s="4" t="s">
        <v>9</v>
      </c>
    </row>
    <row r="5" customFormat="false" ht="15" hidden="false" customHeight="false" outlineLevel="0" collapsed="false">
      <c r="B5" s="5" t="s">
        <v>10</v>
      </c>
      <c r="C5" s="5" t="s">
        <v>11</v>
      </c>
      <c r="E5" s="5" t="s">
        <v>12</v>
      </c>
      <c r="F5" s="5" t="s">
        <v>13</v>
      </c>
      <c r="G5" s="5" t="s">
        <v>14</v>
      </c>
      <c r="H5" s="5" t="s">
        <v>15</v>
      </c>
    </row>
    <row r="6" customFormat="false" ht="15" hidden="false" customHeight="false" outlineLevel="0" collapsed="false">
      <c r="B6" s="0" t="s">
        <v>16</v>
      </c>
      <c r="C6" s="6" t="n">
        <v>0</v>
      </c>
      <c r="E6" s="6" t="n">
        <v>0</v>
      </c>
      <c r="F6" s="7" t="n">
        <f aca="false">1*(1+C6)</f>
        <v>1</v>
      </c>
      <c r="G6" s="7" t="n">
        <f aca="false">MAX($F$6:F6)</f>
        <v>1</v>
      </c>
      <c r="H6" s="8" t="n">
        <f aca="false">IFERROR(F6/G6-1,"-")</f>
        <v>0</v>
      </c>
    </row>
    <row r="7" customFormat="false" ht="15" hidden="false" customHeight="false" outlineLevel="0" collapsed="false">
      <c r="B7" s="0" t="s">
        <v>17</v>
      </c>
      <c r="C7" s="6" t="n">
        <v>0</v>
      </c>
      <c r="E7" s="6" t="n">
        <v>0</v>
      </c>
      <c r="F7" s="7" t="n">
        <f aca="false">F6*(1+C7)</f>
        <v>1</v>
      </c>
      <c r="G7" s="7" t="n">
        <f aca="false">MAX($F$6:F7)</f>
        <v>1</v>
      </c>
      <c r="H7" s="8" t="n">
        <f aca="false">IFERROR(F7/G7-1,"-")</f>
        <v>0</v>
      </c>
    </row>
    <row r="8" customFormat="false" ht="15" hidden="false" customHeight="false" outlineLevel="0" collapsed="false">
      <c r="B8" s="0" t="s">
        <v>18</v>
      </c>
      <c r="C8" s="6" t="n">
        <v>0</v>
      </c>
      <c r="E8" s="6" t="n">
        <v>0</v>
      </c>
      <c r="F8" s="7" t="n">
        <f aca="false">F7*(1+C8)</f>
        <v>1</v>
      </c>
      <c r="G8" s="7" t="n">
        <f aca="false">MAX($F$6:F8)</f>
        <v>1</v>
      </c>
      <c r="H8" s="8" t="n">
        <f aca="false">IFERROR(F8/G8-1,"-")</f>
        <v>0</v>
      </c>
    </row>
    <row r="9" customFormat="false" ht="15" hidden="false" customHeight="false" outlineLevel="0" collapsed="false">
      <c r="B9" s="0" t="s">
        <v>19</v>
      </c>
      <c r="C9" s="6" t="n">
        <v>0</v>
      </c>
      <c r="E9" s="6" t="n">
        <v>0</v>
      </c>
      <c r="F9" s="7" t="n">
        <f aca="false">F8*(1+C9)</f>
        <v>1</v>
      </c>
      <c r="G9" s="7" t="n">
        <f aca="false">MAX($F$6:F9)</f>
        <v>1</v>
      </c>
      <c r="H9" s="8" t="n">
        <f aca="false">IFERROR(F9/G9-1,"-")</f>
        <v>0</v>
      </c>
    </row>
    <row r="10" customFormat="false" ht="15" hidden="false" customHeight="false" outlineLevel="0" collapsed="false">
      <c r="B10" s="0" t="s">
        <v>20</v>
      </c>
      <c r="C10" s="6" t="n">
        <v>0</v>
      </c>
      <c r="E10" s="6" t="n">
        <v>0</v>
      </c>
      <c r="F10" s="7" t="n">
        <f aca="false">F9*(1+C10)</f>
        <v>1</v>
      </c>
      <c r="G10" s="7" t="n">
        <f aca="false">MAX($F$6:F10)</f>
        <v>1</v>
      </c>
      <c r="H10" s="8" t="n">
        <f aca="false">IFERROR(F10/G10-1,"-")</f>
        <v>0</v>
      </c>
    </row>
    <row r="11" customFormat="false" ht="15" hidden="false" customHeight="false" outlineLevel="0" collapsed="false">
      <c r="B11" s="0" t="s">
        <v>21</v>
      </c>
      <c r="C11" s="6" t="n">
        <v>0</v>
      </c>
      <c r="E11" s="6" t="n">
        <v>0</v>
      </c>
      <c r="F11" s="7" t="n">
        <f aca="false">F10*(1+C11)</f>
        <v>1</v>
      </c>
      <c r="G11" s="7" t="n">
        <f aca="false">MAX($F$6:F11)</f>
        <v>1</v>
      </c>
      <c r="H11" s="8" t="n">
        <f aca="false">IFERROR(F11/G11-1,"-")</f>
        <v>0</v>
      </c>
    </row>
    <row r="12" customFormat="false" ht="15" hidden="false" customHeight="false" outlineLevel="0" collapsed="false">
      <c r="B12" s="0" t="s">
        <v>22</v>
      </c>
      <c r="C12" s="6" t="n">
        <v>0</v>
      </c>
      <c r="E12" s="6" t="n">
        <v>0</v>
      </c>
      <c r="F12" s="7" t="n">
        <f aca="false">F11*(1+C12)</f>
        <v>1</v>
      </c>
      <c r="G12" s="7" t="n">
        <f aca="false">MAX($F$6:F12)</f>
        <v>1</v>
      </c>
      <c r="H12" s="8" t="n">
        <f aca="false">IFERROR(F12/G12-1,"-")</f>
        <v>0</v>
      </c>
    </row>
    <row r="13" customFormat="false" ht="15" hidden="false" customHeight="false" outlineLevel="0" collapsed="false">
      <c r="B13" s="0" t="s">
        <v>23</v>
      </c>
      <c r="C13" s="6" t="n">
        <v>0</v>
      </c>
      <c r="E13" s="6" t="n">
        <v>0</v>
      </c>
      <c r="F13" s="7" t="n">
        <f aca="false">F12*(1+C13)</f>
        <v>1</v>
      </c>
      <c r="G13" s="7" t="n">
        <f aca="false">MAX($F$6:F13)</f>
        <v>1</v>
      </c>
      <c r="H13" s="8" t="n">
        <f aca="false">IFERROR(F13/G13-1,"-")</f>
        <v>0</v>
      </c>
    </row>
    <row r="14" customFormat="false" ht="15" hidden="false" customHeight="false" outlineLevel="0" collapsed="false">
      <c r="B14" s="0" t="s">
        <v>24</v>
      </c>
      <c r="C14" s="6" t="n">
        <v>0</v>
      </c>
      <c r="E14" s="6" t="n">
        <v>0</v>
      </c>
      <c r="F14" s="7" t="n">
        <f aca="false">F13*(1+C14)</f>
        <v>1</v>
      </c>
      <c r="G14" s="7" t="n">
        <f aca="false">MAX($F$6:F14)</f>
        <v>1</v>
      </c>
      <c r="H14" s="8" t="n">
        <f aca="false">IFERROR(F14/G14-1,"-")</f>
        <v>0</v>
      </c>
    </row>
    <row r="15" customFormat="false" ht="15" hidden="false" customHeight="false" outlineLevel="0" collapsed="false">
      <c r="B15" s="0" t="s">
        <v>25</v>
      </c>
      <c r="C15" s="6" t="n">
        <v>0</v>
      </c>
      <c r="E15" s="6" t="n">
        <v>0</v>
      </c>
      <c r="F15" s="7" t="n">
        <f aca="false">F14*(1+C15)</f>
        <v>1</v>
      </c>
      <c r="G15" s="7" t="n">
        <f aca="false">MAX($F$6:F15)</f>
        <v>1</v>
      </c>
      <c r="H15" s="8" t="n">
        <f aca="false">IFERROR(F15/G15-1,"-")</f>
        <v>0</v>
      </c>
    </row>
    <row r="16" customFormat="false" ht="15" hidden="false" customHeight="false" outlineLevel="0" collapsed="false">
      <c r="B16" s="0" t="s">
        <v>26</v>
      </c>
      <c r="C16" s="6" t="n">
        <v>0</v>
      </c>
      <c r="E16" s="6" t="n">
        <v>0</v>
      </c>
      <c r="F16" s="7" t="n">
        <f aca="false">F15*(1+C16)</f>
        <v>1</v>
      </c>
      <c r="G16" s="7" t="n">
        <f aca="false">MAX($F$6:F16)</f>
        <v>1</v>
      </c>
      <c r="H16" s="8" t="n">
        <f aca="false">IFERROR(F16/G16-1,"-")</f>
        <v>0</v>
      </c>
    </row>
    <row r="17" customFormat="false" ht="15" hidden="false" customHeight="false" outlineLevel="0" collapsed="false">
      <c r="B17" s="0" t="s">
        <v>27</v>
      </c>
      <c r="C17" s="6" t="n">
        <v>0</v>
      </c>
      <c r="E17" s="6" t="n">
        <v>0</v>
      </c>
      <c r="F17" s="7" t="n">
        <f aca="false">F16*(1+C17)</f>
        <v>1</v>
      </c>
      <c r="G17" s="7" t="n">
        <f aca="false">MAX($F$6:F17)</f>
        <v>1</v>
      </c>
      <c r="H17" s="8" t="n">
        <f aca="false">IFERROR(F17/G17-1,"-")</f>
        <v>0</v>
      </c>
    </row>
    <row r="18" customFormat="false" ht="15" hidden="false" customHeight="false" outlineLevel="0" collapsed="false">
      <c r="B18" s="0" t="s">
        <v>28</v>
      </c>
      <c r="C18" s="6" t="n">
        <v>0</v>
      </c>
      <c r="E18" s="6" t="n">
        <v>0</v>
      </c>
      <c r="F18" s="7" t="n">
        <f aca="false">F17*(1+C18)</f>
        <v>1</v>
      </c>
      <c r="G18" s="7" t="n">
        <f aca="false">MAX($F$6:F18)</f>
        <v>1</v>
      </c>
      <c r="H18" s="8" t="n">
        <f aca="false">IFERROR(F18/G18-1,"-")</f>
        <v>0</v>
      </c>
    </row>
    <row r="19" customFormat="false" ht="15" hidden="false" customHeight="false" outlineLevel="0" collapsed="false">
      <c r="B19" s="0" t="s">
        <v>29</v>
      </c>
      <c r="C19" s="6" t="n">
        <v>0</v>
      </c>
      <c r="E19" s="6" t="n">
        <v>0</v>
      </c>
      <c r="F19" s="7" t="n">
        <f aca="false">F18*(1+C19)</f>
        <v>1</v>
      </c>
      <c r="G19" s="7" t="n">
        <f aca="false">MAX($F$6:F19)</f>
        <v>1</v>
      </c>
      <c r="H19" s="8" t="n">
        <f aca="false">IFERROR(F19/G19-1,"-")</f>
        <v>0</v>
      </c>
    </row>
    <row r="20" customFormat="false" ht="15" hidden="false" customHeight="false" outlineLevel="0" collapsed="false">
      <c r="B20" s="0" t="s">
        <v>30</v>
      </c>
      <c r="C20" s="6" t="n">
        <v>0</v>
      </c>
      <c r="E20" s="6" t="n">
        <v>0</v>
      </c>
      <c r="F20" s="7" t="n">
        <f aca="false">F19*(1+C20)</f>
        <v>1</v>
      </c>
      <c r="G20" s="7" t="n">
        <f aca="false">MAX($F$6:F20)</f>
        <v>1</v>
      </c>
      <c r="H20" s="8" t="n">
        <f aca="false">IFERROR(F20/G20-1,"-")</f>
        <v>0</v>
      </c>
    </row>
    <row r="21" customFormat="false" ht="15" hidden="false" customHeight="false" outlineLevel="0" collapsed="false">
      <c r="B21" s="0" t="s">
        <v>31</v>
      </c>
      <c r="C21" s="6" t="n">
        <v>0</v>
      </c>
      <c r="E21" s="6" t="n">
        <v>0</v>
      </c>
      <c r="F21" s="7" t="n">
        <f aca="false">F20*(1+C21)</f>
        <v>1</v>
      </c>
      <c r="G21" s="7" t="n">
        <f aca="false">MAX($F$6:F21)</f>
        <v>1</v>
      </c>
      <c r="H21" s="8" t="n">
        <f aca="false">IFERROR(F21/G21-1,"-")</f>
        <v>0</v>
      </c>
    </row>
    <row r="22" customFormat="false" ht="15" hidden="false" customHeight="false" outlineLevel="0" collapsed="false">
      <c r="B22" s="0" t="s">
        <v>32</v>
      </c>
      <c r="C22" s="6" t="n">
        <v>0</v>
      </c>
      <c r="E22" s="6" t="n">
        <v>0</v>
      </c>
      <c r="F22" s="7" t="n">
        <f aca="false">F21*(1+C22)</f>
        <v>1</v>
      </c>
      <c r="G22" s="7" t="n">
        <f aca="false">MAX($F$6:F22)</f>
        <v>1</v>
      </c>
      <c r="H22" s="8" t="n">
        <f aca="false">IFERROR(F22/G22-1,"-")</f>
        <v>0</v>
      </c>
    </row>
    <row r="23" customFormat="false" ht="15" hidden="false" customHeight="false" outlineLevel="0" collapsed="false">
      <c r="B23" s="0" t="s">
        <v>33</v>
      </c>
      <c r="C23" s="6" t="n">
        <v>0</v>
      </c>
      <c r="E23" s="6" t="n">
        <v>0</v>
      </c>
      <c r="F23" s="7" t="n">
        <f aca="false">F22*(1+C23)</f>
        <v>1</v>
      </c>
      <c r="G23" s="7" t="n">
        <f aca="false">MAX($F$6:F23)</f>
        <v>1</v>
      </c>
      <c r="H23" s="8" t="n">
        <f aca="false">IFERROR(F23/G23-1,"-")</f>
        <v>0</v>
      </c>
    </row>
    <row r="24" customFormat="false" ht="15" hidden="false" customHeight="false" outlineLevel="0" collapsed="false">
      <c r="B24" s="0" t="s">
        <v>34</v>
      </c>
      <c r="C24" s="6" t="n">
        <v>0</v>
      </c>
      <c r="E24" s="6" t="n">
        <v>0</v>
      </c>
      <c r="F24" s="7" t="n">
        <f aca="false">F23*(1+C24)</f>
        <v>1</v>
      </c>
      <c r="G24" s="7" t="n">
        <f aca="false">MAX($F$6:F24)</f>
        <v>1</v>
      </c>
      <c r="H24" s="8" t="n">
        <f aca="false">IFERROR(F24/G24-1,"-")</f>
        <v>0</v>
      </c>
    </row>
    <row r="25" customFormat="false" ht="15" hidden="false" customHeight="false" outlineLevel="0" collapsed="false">
      <c r="B25" s="0" t="s">
        <v>35</v>
      </c>
      <c r="C25" s="6" t="n">
        <v>0</v>
      </c>
      <c r="E25" s="6" t="n">
        <v>0</v>
      </c>
      <c r="F25" s="7" t="n">
        <f aca="false">F24*(1+C25)</f>
        <v>1</v>
      </c>
      <c r="G25" s="7" t="n">
        <f aca="false">MAX($F$6:F25)</f>
        <v>1</v>
      </c>
      <c r="H25" s="8" t="n">
        <f aca="false">IFERROR(F25/G25-1,"-")</f>
        <v>0</v>
      </c>
    </row>
    <row r="26" customFormat="false" ht="15" hidden="false" customHeight="false" outlineLevel="0" collapsed="false">
      <c r="B26" s="0" t="s">
        <v>36</v>
      </c>
      <c r="C26" s="6" t="n">
        <v>0</v>
      </c>
      <c r="E26" s="6" t="n">
        <v>0</v>
      </c>
      <c r="F26" s="7" t="n">
        <f aca="false">F25*(1+C26)</f>
        <v>1</v>
      </c>
      <c r="G26" s="7" t="n">
        <f aca="false">MAX($F$6:F26)</f>
        <v>1</v>
      </c>
      <c r="H26" s="8" t="n">
        <f aca="false">IFERROR(F26/G26-1,"-")</f>
        <v>0</v>
      </c>
    </row>
    <row r="27" customFormat="false" ht="15" hidden="false" customHeight="false" outlineLevel="0" collapsed="false">
      <c r="B27" s="0" t="s">
        <v>37</v>
      </c>
      <c r="C27" s="6" t="n">
        <v>0</v>
      </c>
      <c r="E27" s="6" t="n">
        <v>0</v>
      </c>
      <c r="F27" s="7" t="n">
        <f aca="false">F26*(1+C27)</f>
        <v>1</v>
      </c>
      <c r="G27" s="7" t="n">
        <f aca="false">MAX($F$6:F27)</f>
        <v>1</v>
      </c>
      <c r="H27" s="8" t="n">
        <f aca="false">IFERROR(F27/G27-1,"-")</f>
        <v>0</v>
      </c>
    </row>
    <row r="28" customFormat="false" ht="15" hidden="false" customHeight="false" outlineLevel="0" collapsed="false">
      <c r="B28" s="0" t="s">
        <v>38</v>
      </c>
      <c r="C28" s="6" t="n">
        <v>0</v>
      </c>
      <c r="E28" s="6" t="n">
        <v>0</v>
      </c>
      <c r="F28" s="7" t="n">
        <f aca="false">F27*(1+C28)</f>
        <v>1</v>
      </c>
      <c r="G28" s="7" t="n">
        <f aca="false">MAX($F$6:F28)</f>
        <v>1</v>
      </c>
      <c r="H28" s="8" t="n">
        <f aca="false">IFERROR(F28/G28-1,"-")</f>
        <v>0</v>
      </c>
    </row>
    <row r="29" customFormat="false" ht="15" hidden="false" customHeight="false" outlineLevel="0" collapsed="false">
      <c r="B29" s="0" t="s">
        <v>39</v>
      </c>
      <c r="C29" s="6" t="n">
        <v>0</v>
      </c>
      <c r="E29" s="6" t="n">
        <v>0</v>
      </c>
      <c r="F29" s="7" t="n">
        <f aca="false">F28*(1+C29)</f>
        <v>1</v>
      </c>
      <c r="G29" s="7" t="n">
        <f aca="false">MAX($F$6:F29)</f>
        <v>1</v>
      </c>
      <c r="H29" s="8" t="n">
        <f aca="false">IFERROR(F29/G29-1,"-")</f>
        <v>0</v>
      </c>
    </row>
    <row r="32" customFormat="false" ht="15" hidden="false" customHeight="false" outlineLevel="0" collapsed="false">
      <c r="B32" s="0" t="s">
        <v>40</v>
      </c>
      <c r="C32" s="9" t="n">
        <v>0.045</v>
      </c>
    </row>
    <row r="34" customFormat="false" ht="15" hidden="false" customHeight="false" outlineLevel="0" collapsed="false">
      <c r="B34" s="10" t="s">
        <v>41</v>
      </c>
    </row>
    <row r="35" customFormat="false" ht="15" hidden="false" customHeight="false" outlineLevel="0" collapsed="false">
      <c r="B35" s="0" t="s">
        <v>42</v>
      </c>
      <c r="C35" s="11" t="n">
        <f aca="false">AVERAGE(C6:C29)</f>
        <v>0</v>
      </c>
    </row>
    <row r="36" customFormat="false" ht="15" hidden="false" customHeight="false" outlineLevel="0" collapsed="false">
      <c r="B36" s="0" t="s">
        <v>43</v>
      </c>
      <c r="C36" s="11" t="n">
        <f aca="false">STDEV(C6:C29)</f>
        <v>0</v>
      </c>
    </row>
    <row r="37" customFormat="false" ht="15" hidden="false" customHeight="false" outlineLevel="0" collapsed="false">
      <c r="B37" s="0" t="s">
        <v>44</v>
      </c>
      <c r="C37" s="8" t="n">
        <f aca="false">(1+C35)^12-1</f>
        <v>0</v>
      </c>
    </row>
    <row r="38" customFormat="false" ht="15" hidden="false" customHeight="false" outlineLevel="0" collapsed="false">
      <c r="B38" s="0" t="s">
        <v>45</v>
      </c>
      <c r="C38" s="8" t="n">
        <f aca="false">C36*SQRT(12)</f>
        <v>0</v>
      </c>
    </row>
    <row r="39" customFormat="false" ht="15" hidden="false" customHeight="false" outlineLevel="0" collapsed="false">
      <c r="B39" s="0" t="s">
        <v>46</v>
      </c>
      <c r="C39" s="12" t="str">
        <f aca="false">IFERROR((C37-C32)/C38,"-")</f>
        <v>-</v>
      </c>
    </row>
    <row r="40" customFormat="false" ht="15" hidden="false" customHeight="false" outlineLevel="0" collapsed="false">
      <c r="B40" s="0" t="s">
        <v>47</v>
      </c>
      <c r="C40" s="8" t="str">
        <f aca="false">IFERROR(SQRT(SUMPRODUCT((C6:C29&lt;0)*(C6:C29)^2)/COUNTIF(C6:C29,"&lt;0"))*SQRT(12),"-")</f>
        <v>-</v>
      </c>
    </row>
    <row r="41" customFormat="false" ht="15" hidden="false" customHeight="false" outlineLevel="0" collapsed="false">
      <c r="B41" s="0" t="s">
        <v>48</v>
      </c>
      <c r="C41" s="12" t="str">
        <f aca="false">IFERROR((C37-C32)/C40,"-")</f>
        <v>-</v>
      </c>
    </row>
    <row r="42" customFormat="false" ht="15" hidden="false" customHeight="false" outlineLevel="0" collapsed="false">
      <c r="B42" s="0" t="s">
        <v>49</v>
      </c>
      <c r="C42" s="13" t="n">
        <f aca="false">MIN(H6:H29)</f>
        <v>0</v>
      </c>
      <c r="D42" s="4" t="s">
        <v>50</v>
      </c>
    </row>
    <row r="44" customFormat="false" ht="15" hidden="false" customHeight="false" outlineLevel="0" collapsed="false">
      <c r="B44" s="10" t="s">
        <v>51</v>
      </c>
    </row>
    <row r="45" customFormat="false" ht="15" hidden="false" customHeight="false" outlineLevel="0" collapsed="false">
      <c r="B45" s="0" t="s">
        <v>52</v>
      </c>
      <c r="C45" s="11" t="n">
        <f aca="false">AVERAGE(E6:E29)</f>
        <v>0</v>
      </c>
    </row>
    <row r="46" customFormat="false" ht="15" hidden="false" customHeight="false" outlineLevel="0" collapsed="false">
      <c r="B46" s="0" t="s">
        <v>53</v>
      </c>
      <c r="C46" s="8" t="n">
        <f aca="false">(1+C45)^12-1</f>
        <v>0</v>
      </c>
    </row>
    <row r="47" customFormat="false" ht="15" hidden="false" customHeight="false" outlineLevel="0" collapsed="false">
      <c r="B47" s="0" t="s">
        <v>54</v>
      </c>
      <c r="C47" s="12" t="str">
        <f aca="false">IFERROR(SLOPE(C6:C29,E6:E29),"-")</f>
        <v>-</v>
      </c>
    </row>
    <row r="48" customFormat="false" ht="15" hidden="false" customHeight="false" outlineLevel="0" collapsed="false">
      <c r="B48" s="0" t="s">
        <v>55</v>
      </c>
      <c r="C48" s="8" t="str">
        <f aca="false">IFERROR(RSQ(C6:C29,E6:E29),"-")</f>
        <v>-</v>
      </c>
    </row>
    <row r="49" customFormat="false" ht="15" hidden="false" customHeight="false" outlineLevel="0" collapsed="false">
      <c r="B49" s="0" t="s">
        <v>56</v>
      </c>
      <c r="C49" s="13" t="str">
        <f aca="false">IFERROR(C37-(C32+C47*(C46-C32)),"-")</f>
        <v>-</v>
      </c>
      <c r="D49" s="4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58</v>
      </c>
    </row>
    <row r="5" customFormat="false" ht="15" hidden="false" customHeight="false" outlineLevel="0" collapsed="false">
      <c r="B5" s="14" t="s">
        <v>59</v>
      </c>
      <c r="C5" s="15" t="n">
        <v>0.55</v>
      </c>
    </row>
    <row r="6" customFormat="false" ht="15" hidden="false" customHeight="false" outlineLevel="0" collapsed="false">
      <c r="B6" s="14" t="s">
        <v>60</v>
      </c>
      <c r="C6" s="16" t="n">
        <v>1.5</v>
      </c>
    </row>
    <row r="7" customFormat="false" ht="15" hidden="false" customHeight="false" outlineLevel="0" collapsed="false">
      <c r="B7" s="14" t="s">
        <v>61</v>
      </c>
      <c r="C7" s="17" t="n">
        <v>0</v>
      </c>
    </row>
    <row r="8" customFormat="false" ht="15" hidden="false" customHeight="false" outlineLevel="0" collapsed="false">
      <c r="B8" s="14" t="s">
        <v>62</v>
      </c>
      <c r="C8" s="15" t="n">
        <v>0.01</v>
      </c>
    </row>
    <row r="10" customFormat="false" ht="15" hidden="false" customHeight="false" outlineLevel="0" collapsed="false">
      <c r="B10" s="0" t="s">
        <v>63</v>
      </c>
      <c r="C10" s="13" t="n">
        <f aca="false">C5-(1-C5)/C6</f>
        <v>0.25</v>
      </c>
      <c r="D10" s="4" t="s">
        <v>64</v>
      </c>
    </row>
    <row r="11" customFormat="false" ht="15" hidden="false" customHeight="false" outlineLevel="0" collapsed="false">
      <c r="B11" s="0" t="s">
        <v>65</v>
      </c>
      <c r="C11" s="18" t="n">
        <f aca="false">IFERROR(C7*C10/2,"-")</f>
        <v>0</v>
      </c>
    </row>
    <row r="12" customFormat="false" ht="15" hidden="false" customHeight="false" outlineLevel="0" collapsed="false">
      <c r="B12" s="0" t="s">
        <v>66</v>
      </c>
      <c r="C12" s="18" t="n">
        <f aca="false">C7*C8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67</v>
      </c>
    </row>
    <row r="4" customFormat="false" ht="15" hidden="false" customHeight="false" outlineLevel="0" collapsed="false"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</row>
    <row r="5" customFormat="false" ht="15" hidden="false" customHeight="false" outlineLevel="0" collapsed="false">
      <c r="B5" s="19"/>
      <c r="C5" s="19"/>
      <c r="D5" s="19"/>
      <c r="E5" s="19"/>
      <c r="F5" s="19"/>
    </row>
    <row r="6" customFormat="false" ht="15" hidden="false" customHeight="false" outlineLevel="0" collapsed="false">
      <c r="B6" s="19"/>
      <c r="C6" s="19"/>
      <c r="D6" s="19"/>
      <c r="E6" s="19"/>
      <c r="F6" s="19"/>
    </row>
    <row r="7" customFormat="false" ht="15" hidden="false" customHeight="false" outlineLevel="0" collapsed="false">
      <c r="B7" s="19"/>
      <c r="C7" s="19"/>
      <c r="D7" s="19"/>
      <c r="E7" s="19"/>
      <c r="F7" s="19"/>
    </row>
    <row r="8" customFormat="false" ht="15" hidden="false" customHeight="false" outlineLevel="0" collapsed="false">
      <c r="B8" s="19"/>
      <c r="C8" s="19"/>
      <c r="D8" s="19"/>
      <c r="E8" s="19"/>
      <c r="F8" s="19"/>
    </row>
    <row r="9" customFormat="false" ht="15" hidden="false" customHeight="false" outlineLevel="0" collapsed="false">
      <c r="B9" s="19"/>
      <c r="C9" s="19"/>
      <c r="D9" s="19"/>
      <c r="E9" s="19"/>
      <c r="F9" s="19"/>
    </row>
    <row r="10" customFormat="false" ht="15" hidden="false" customHeight="false" outlineLevel="0" collapsed="false">
      <c r="B10" s="19"/>
      <c r="C10" s="19"/>
      <c r="D10" s="19"/>
      <c r="E10" s="19"/>
      <c r="F10" s="19"/>
    </row>
    <row r="11" customFormat="false" ht="15" hidden="false" customHeight="false" outlineLevel="0" collapsed="false">
      <c r="B11" s="19"/>
      <c r="C11" s="19"/>
      <c r="D11" s="19"/>
      <c r="E11" s="19"/>
      <c r="F11" s="19"/>
    </row>
    <row r="12" customFormat="false" ht="15" hidden="false" customHeight="false" outlineLevel="0" collapsed="false">
      <c r="B12" s="19"/>
      <c r="C12" s="19"/>
      <c r="D12" s="19"/>
      <c r="E12" s="19"/>
      <c r="F12" s="19"/>
    </row>
    <row r="13" customFormat="false" ht="15" hidden="false" customHeight="false" outlineLevel="0" collapsed="false">
      <c r="B13" s="19"/>
      <c r="C13" s="19"/>
      <c r="D13" s="19"/>
      <c r="E13" s="19"/>
      <c r="F13" s="19"/>
    </row>
    <row r="14" customFormat="false" ht="15" hidden="false" customHeight="false" outlineLevel="0" collapsed="false">
      <c r="B14" s="19"/>
      <c r="C14" s="19"/>
      <c r="D14" s="19"/>
      <c r="E14" s="19"/>
      <c r="F14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2026-08-03T22:49:07Z</dcterms:created>
  <dc:creator>openpyxl</dc:creator>
  <dc:description/>
  <dc:language>en-US</dc:language>
  <cp:lastModifiedBy/>
  <dcterms:modified xsi:type="dcterms:W3CDTF">2026-08-03T22:49:07Z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