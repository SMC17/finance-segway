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Backtest" sheetId="3" state="visible" r:id="rId5"/>
    <sheet name="Performance" sheetId="4" state="visible" r:id="rId6"/>
    <sheet name="Walk Forward" sheetId="5" state="visible" r:id="rId7"/>
    <sheet name="Costs &amp; Capacity" sheetId="6" state="visible" r:id="rId8"/>
    <sheet name="Risk" sheetId="7" state="visible" r:id="rId9"/>
    <sheet name="Stress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<sst xmlns="http://schemas.openxmlformats.org/spreadsheetml/2006/main" count="196" uniqueCount="175">
  <si>
    <t xml:space="preserve">[STRATEGY] — Systematic Research Model</t>
  </si>
  <si>
    <t xml:space="preserve">Strategy / universe:</t>
  </si>
  <si>
    <t xml:space="preserve">[Name and investable universe]</t>
  </si>
  <si>
    <t xml:space="preserve">Data vintage / point-in-time policy:</t>
  </si>
  <si>
    <t xml:space="preserve">[policy]</t>
  </si>
  <si>
    <t xml:space="preserve">Last refreshed:</t>
  </si>
  <si>
    <t xml:space="preserve">[date]</t>
  </si>
  <si>
    <t xml:space="preserve">Next rebalance / review:</t>
  </si>
  <si>
    <t xml:space="preserve">Refresh cadence:</t>
  </si>
  <si>
    <t xml:space="preserve">Daily or per rebalance</t>
  </si>
  <si>
    <t xml:space="preserve">Active scenario:</t>
  </si>
  <si>
    <t xml:space="preserve">Base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</si>
  <si>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</si>
  <si>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</si>
  <si>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</si>
  <si>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</si>
  <si>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</si>
  <si>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</si>
  <si>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</si>
  <si>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</si>
  <si>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</si>
  <si>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</si>
  <si>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</si>
  <si>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Backtest, Cost, and Capacity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</si>
  <si>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</si>
  <si>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</si>
  <si>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</si>
  <si>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</si>
  <si>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</si>
  <si>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</si>
  <si>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</si>
  <si>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</si>
  <si>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</si>
  <si>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</si>
  <si>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</si>
  <si>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</si>
  <si>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</si>
  <si>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</si>
  <si>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</si>
  <si>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</si>
  <si>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</si>
  <si>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</si>
  <si>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</si>
  <si>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</si>
  <si>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</si>
  <si>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</si>
  <si>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</si>
  <si>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</si>
  <si>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</si>
  <si>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</si>
  <si>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</si>
  <si>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</si>
  <si>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</si>
  <si>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</si>
  <si>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</si>
  <si>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</si>
  <si>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</si>
  <si>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</si>
  <si>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</si>
  <si>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</si>
  <si>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</si>
  <si>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</si>
  <si>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</si>
  <si>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</si>
  <si>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</si>
  <si>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</si>
  <si>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</si>
  <si>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</si>
  <si>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</si>
  <si>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</si>
  <si>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</si>
  <si>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</si>
  <si>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</si>
  <si>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</si>
  <si>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</si>
  <si>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</si>
  <si>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</si>
  <si>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</si>
  <si>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</si>
  <si>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</si>
  <si>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</si>
  <si>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</si>
  <si>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</si>
  <si>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</si>
  <si>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</si>
  <si>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</si>
  <si>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</si>
  <si>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</si>
  <si>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</si>
  <si>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</si>
  <si>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</si>
  <si>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</si>
  <si>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</si>
  <si>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</si>
  <si>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</si>
  <si>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</si>
  <si>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</si>
  <si>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</si>
  <si>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</si>
  <si>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</si>
  <si>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</si>
  <si>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</si>
  <si>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</si>
  <si>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</si>
  <si>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</si>
  <si>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</si>
  <si>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</si>
  <si>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</si>
  <si>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</si>
  <si>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</si>
  <si>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</si>
  <si>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</si>
  <si>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</si>
  <si>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</si>
  <si>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</si>
  <si>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</si>
  <si>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</si>
  <si>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</si>
  <si>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</si>
  <si>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</si>
  <si>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</si>
  <si>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</si>
  <si>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</si>
  <si>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</si>
  <si>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</si>
  <si>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</si>
  <si>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</si>
  <si>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</si>
  <si>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</si>
  <si>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</si>
  <si>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</si>
  <si>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</si>
  <si>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</si>
  <si>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</si>
  <si>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</si>
  <si>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</si>
  <si>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Status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</si>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</sst>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4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12</v>
      </c>
      <c r="D5" s="9" t="n">
        <v>12</v>
      </c>
      <c r="E5" s="10" t="n">
        <f aca="false">IF(Cover!$C$9="Downside",D5,C5)</f>
        <v>12</v>
      </c>
      <c r="F5" s="11" t="s">
        <v>29</v>
      </c>
    </row>
    <row r="6" customFormat="false" ht="15" hidden="false" customHeight="false" outlineLevel="0" collapsed="false">
      <c r="B6" s="0" t="s">
        <v>30</v>
      </c>
      <c r="C6" s="12" t="n">
        <v>0.002</v>
      </c>
      <c r="D6" s="12" t="n">
        <v>0.002</v>
      </c>
      <c r="E6" s="13" t="n">
        <f aca="false">IF(Cover!$C$9="Downside",D6,C6)</f>
        <v>0.002</v>
      </c>
      <c r="F6" s="11" t="s">
        <v>31</v>
      </c>
    </row>
    <row r="7" customFormat="false" ht="15" hidden="false" customHeight="false" outlineLevel="0" collapsed="false">
      <c r="B7" s="0" t="s">
        <v>32</v>
      </c>
      <c r="C7" s="14" t="n">
        <v>8</v>
      </c>
      <c r="D7" s="14" t="n">
        <v>15</v>
      </c>
      <c r="E7" s="15" t="n">
        <f aca="false">IF(Cover!$C$9="Downside",D7,C7)</f>
        <v>8</v>
      </c>
      <c r="F7" s="11" t="s">
        <v>33</v>
      </c>
    </row>
    <row r="8" customFormat="false" ht="15" hidden="false" customHeight="false" outlineLevel="0" collapsed="false">
      <c r="B8" s="0" t="s">
        <v>34</v>
      </c>
      <c r="C8" s="16" t="n">
        <v>0.002</v>
      </c>
      <c r="D8" s="16" t="n">
        <v>0.008</v>
      </c>
      <c r="E8" s="17" t="n">
        <f aca="false">IF(Cover!$C$9="Downside",D8,C8)</f>
        <v>0.002</v>
      </c>
      <c r="F8" s="11" t="s">
        <v>35</v>
      </c>
    </row>
    <row r="9" customFormat="false" ht="15" hidden="false" customHeight="false" outlineLevel="0" collapsed="false">
      <c r="B9" s="0" t="s">
        <v>36</v>
      </c>
      <c r="C9" s="18" t="n">
        <v>50</v>
      </c>
      <c r="D9" s="18" t="n">
        <v>150</v>
      </c>
      <c r="E9" s="19" t="n">
        <f aca="false">IF(Cover!$C$9="Downside",D9,C9)</f>
        <v>50</v>
      </c>
      <c r="F9" s="11" t="s">
        <v>37</v>
      </c>
    </row>
    <row r="10" customFormat="false" ht="15" hidden="false" customHeight="false" outlineLevel="0" collapsed="false">
      <c r="B10" s="0" t="s">
        <v>38</v>
      </c>
      <c r="C10" s="18" t="n">
        <v>500</v>
      </c>
      <c r="D10" s="18" t="n">
        <v>250</v>
      </c>
      <c r="E10" s="19" t="n">
        <f aca="false">IF(Cover!$C$9="Downside",D10,C10)</f>
        <v>500</v>
      </c>
      <c r="F10" s="11" t="s">
        <v>37</v>
      </c>
    </row>
    <row r="11" customFormat="false" ht="15" hidden="false" customHeight="false" outlineLevel="0" collapsed="false">
      <c r="B11" s="0" t="s">
        <v>39</v>
      </c>
      <c r="C11" s="20" t="n">
        <v>0.1</v>
      </c>
      <c r="D11" s="20" t="n">
        <v>0.08</v>
      </c>
      <c r="E11" s="21" t="n">
        <f aca="false">IF(Cover!$C$9="Downside",D11,C11)</f>
        <v>0.1</v>
      </c>
      <c r="F11" s="11" t="s">
        <v>40</v>
      </c>
    </row>
    <row r="12" customFormat="false" ht="15" hidden="false" customHeight="false" outlineLevel="0" collapsed="false">
      <c r="B12" s="0" t="s">
        <v>41</v>
      </c>
      <c r="C12" s="9" t="n">
        <v>24</v>
      </c>
      <c r="D12" s="9" t="n">
        <v>24</v>
      </c>
      <c r="E12" s="10" t="n">
        <f aca="false">IF(Cover!$C$9="Downside",D12,C12)</f>
        <v>24</v>
      </c>
      <c r="F12" s="11" t="s">
        <v>29</v>
      </c>
    </row>
    <row r="13" customFormat="false" ht="15" hidden="false" customHeight="false" outlineLevel="0" collapsed="false">
      <c r="B13" s="0" t="s">
        <v>42</v>
      </c>
      <c r="C13" s="9" t="n">
        <v>6</v>
      </c>
      <c r="D13" s="9" t="n">
        <v>6</v>
      </c>
      <c r="E13" s="10" t="n">
        <f aca="false">IF(Cover!$C$9="Downside",D13,C13)</f>
        <v>6</v>
      </c>
      <c r="F13" s="11" t="s">
        <v>29</v>
      </c>
    </row>
    <row r="14" customFormat="false" ht="15" hidden="false" customHeight="false" outlineLevel="0" collapsed="false">
      <c r="B14" s="0" t="s">
        <v>43</v>
      </c>
      <c r="C14" s="9" t="n">
        <v>6</v>
      </c>
      <c r="D14" s="9" t="n">
        <v>6</v>
      </c>
      <c r="E14" s="10" t="n">
        <f aca="false">IF(Cover!$C$9="Downside",D14,C14)</f>
        <v>6</v>
      </c>
      <c r="F14" s="11" t="s">
        <v>29</v>
      </c>
    </row>
    <row r="15" customFormat="false" ht="15" hidden="false" customHeight="false" outlineLevel="0" collapsed="false">
      <c r="B15" s="0" t="s">
        <v>44</v>
      </c>
      <c r="C15" s="20" t="n">
        <v>0.95</v>
      </c>
      <c r="D15" s="20" t="n">
        <v>0.99</v>
      </c>
      <c r="E15" s="21" t="n">
        <f aca="false">IF(Cover!$C$9="Downside",D15,C15)</f>
        <v>0.95</v>
      </c>
      <c r="F15" s="11" t="s">
        <v>31</v>
      </c>
    </row>
    <row r="16" customFormat="false" ht="15" hidden="false" customHeight="false" outlineLevel="0" collapsed="false">
      <c r="B16" s="0" t="s">
        <v>45</v>
      </c>
      <c r="C16" s="20" t="n">
        <v>0.12</v>
      </c>
      <c r="D16" s="20" t="n">
        <v>0.1</v>
      </c>
      <c r="E16" s="21" t="n">
        <f aca="false">IF(Cover!$C$9="Downside",D16,C16)</f>
        <v>0.12</v>
      </c>
      <c r="F16" s="11" t="s">
        <v>46</v>
      </c>
    </row>
    <row r="17" customFormat="false" ht="15" hidden="false" customHeight="false" outlineLevel="0" collapsed="false">
      <c r="B17" s="0" t="s">
        <v>47</v>
      </c>
      <c r="C17" s="20" t="n">
        <v>-0.2</v>
      </c>
      <c r="D17" s="20" t="n">
        <v>-0.15</v>
      </c>
      <c r="E17" s="21" t="n">
        <f aca="false">IF(Cover!$C$9="Downside",D17,C17)</f>
        <v>-0.2</v>
      </c>
      <c r="F17" s="11" t="s">
        <v>31</v>
      </c>
    </row>
    <row r="18" customFormat="false" ht="15" hidden="false" customHeight="false" outlineLevel="0" collapsed="false">
      <c r="B18" s="0" t="s">
        <v>48</v>
      </c>
      <c r="C18" s="9" t="n">
        <v>1</v>
      </c>
      <c r="D18" s="9" t="n">
        <v>1</v>
      </c>
      <c r="E18" s="10" t="n">
        <f aca="false">IF(Cover!$C$9="Downside",D18,C18)</f>
        <v>1</v>
      </c>
      <c r="F18" s="11" t="s">
        <v>29</v>
      </c>
    </row>
    <row r="19" customFormat="false" ht="15" hidden="false" customHeight="false" outlineLevel="0" collapsed="false">
      <c r="B19" s="0" t="s">
        <v>49</v>
      </c>
      <c r="C19" s="9" t="n">
        <v>1</v>
      </c>
      <c r="D19" s="9" t="n">
        <v>1</v>
      </c>
      <c r="E19" s="10" t="n">
        <f aca="false">IF(Cover!$C$9="Downside",D19,C19)</f>
        <v>1</v>
      </c>
      <c r="F19" s="11" t="s"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10" min="9" style="0" width="16"/>
    <col collapsed="false" customWidth="true" hidden="false" outlineLevel="0" max="12" min="11" style="0" width="14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52</v>
      </c>
      <c r="C4" s="8" t="s">
        <v>53</v>
      </c>
      <c r="D4" s="8" t="s">
        <v>54</v>
      </c>
      <c r="E4" s="8" t="s">
        <v>55</v>
      </c>
      <c r="F4" s="8" t="s">
        <v>56</v>
      </c>
      <c r="G4" s="8" t="s">
        <v>57</v>
      </c>
      <c r="H4" s="8" t="s">
        <v>58</v>
      </c>
      <c r="I4" s="8" t="s">
        <v>59</v>
      </c>
      <c r="J4" s="8" t="s">
        <v>60</v>
      </c>
      <c r="K4" s="8" t="s">
        <v>61</v>
      </c>
      <c r="L4" s="8" t="s">
        <v>62</v>
      </c>
    </row>
    <row r="5" customFormat="false" ht="15" hidden="false" customHeight="false" outlineLevel="0" collapsed="false">
      <c r="B5" s="0" t="n">
        <v>1</v>
      </c>
      <c r="C5" s="12" t="n">
        <v>0.0118652159242335</v>
      </c>
      <c r="D5" s="12" t="n">
        <v>0.279800399619259</v>
      </c>
      <c r="E5" s="22" t="n">
        <f aca="false">IF(AND(Assumptions!$E$18&gt;=1,Assumptions!$E$19=1),1,0)</f>
        <v>1</v>
      </c>
      <c r="F5" s="22" t="n">
        <f aca="false">ABS(D5)*Assumptions!$E$7/10000</f>
        <v>0.000223840319695407</v>
      </c>
      <c r="G5" s="22" t="n">
        <f aca="false">Assumptions!$E$8*(ABS(D5)*Assumptions!$E$9/Assumptions!$E$10)^1.5</f>
        <v>9.36057422348858E-006</v>
      </c>
      <c r="H5" s="22" t="n">
        <f aca="false">IF(E5=1,C5-F5-G5,0)</f>
        <v>0.0116320150303146</v>
      </c>
      <c r="I5" s="23" t="n">
        <f aca="false">1+H5</f>
        <v>1.01163201503031</v>
      </c>
      <c r="J5" s="23" t="n">
        <f aca="false">I5</f>
        <v>1.01163201503031</v>
      </c>
      <c r="K5" s="22" t="n">
        <f aca="false">IFERROR(I5/J5-1,0)</f>
        <v>0</v>
      </c>
      <c r="L5" s="22" t="n">
        <f aca="false">ABS(D5)*Assumptions!$E$9/Assumptions!$E$10</f>
        <v>0.0279800399619259</v>
      </c>
    </row>
    <row r="6" customFormat="false" ht="15" hidden="false" customHeight="false" outlineLevel="0" collapsed="false">
      <c r="B6" s="0" t="n">
        <v>2</v>
      </c>
      <c r="C6" s="12" t="n">
        <v>0.0151772011235084</v>
      </c>
      <c r="D6" s="12" t="n">
        <v>0.308412751346298</v>
      </c>
      <c r="E6" s="22" t="n">
        <f aca="false">IF(AND(Assumptions!$E$18&gt;=1,Assumptions!$E$19=1),1,0)</f>
        <v>1</v>
      </c>
      <c r="F6" s="22" t="n">
        <f aca="false">ABS(D6)*Assumptions!$E$7/10000</f>
        <v>0.000246730201077038</v>
      </c>
      <c r="G6" s="22" t="n">
        <f aca="false">Assumptions!$E$8*(ABS(D6)*Assumptions!$E$9/Assumptions!$E$10)^1.5</f>
        <v>1.08324946743579E-005</v>
      </c>
      <c r="H6" s="22" t="n">
        <f aca="false">IF(E6=1,C6-F6-G6,0)</f>
        <v>0.014919638427757</v>
      </c>
      <c r="I6" s="23" t="n">
        <f aca="false">I5*(1+H6)</f>
        <v>1.02672519891651</v>
      </c>
      <c r="J6" s="23" t="n">
        <f aca="false">MAX(J5,I6)</f>
        <v>1.02672519891651</v>
      </c>
      <c r="K6" s="22" t="n">
        <f aca="false">IFERROR(I6/J6-1,0)</f>
        <v>0</v>
      </c>
      <c r="L6" s="22" t="n">
        <f aca="false">ABS(D6)*Assumptions!$E$9/Assumptions!$E$10</f>
        <v>0.0308412751346298</v>
      </c>
    </row>
    <row r="7" customFormat="false" ht="15" hidden="false" customHeight="false" outlineLevel="0" collapsed="false">
      <c r="B7" s="0" t="n">
        <v>3</v>
      </c>
      <c r="C7" s="12" t="n">
        <v>0.0175550139277398</v>
      </c>
      <c r="D7" s="12" t="n">
        <v>0.334696371009255</v>
      </c>
      <c r="E7" s="22" t="n">
        <f aca="false">IF(AND(Assumptions!$E$18&gt;=1,Assumptions!$E$19=1),1,0)</f>
        <v>1</v>
      </c>
      <c r="F7" s="22" t="n">
        <f aca="false">ABS(D7)*Assumptions!$E$7/10000</f>
        <v>0.000267757096807404</v>
      </c>
      <c r="G7" s="22" t="n">
        <f aca="false">Assumptions!$E$8*(ABS(D7)*Assumptions!$E$9/Assumptions!$E$10)^1.5</f>
        <v>1.22463453051212E-005</v>
      </c>
      <c r="H7" s="22" t="n">
        <f aca="false">IF(E7=1,C7-F7-G7,0)</f>
        <v>0.0172750104856272</v>
      </c>
      <c r="I7" s="23" t="n">
        <f aca="false">I6*(1+H7)</f>
        <v>1.04446188749365</v>
      </c>
      <c r="J7" s="23" t="n">
        <f aca="false">MAX(J6,I7)</f>
        <v>1.04446188749365</v>
      </c>
      <c r="K7" s="22" t="n">
        <f aca="false">IFERROR(I7/J7-1,0)</f>
        <v>0</v>
      </c>
      <c r="L7" s="22" t="n">
        <f aca="false">ABS(D7)*Assumptions!$E$9/Assumptions!$E$10</f>
        <v>0.0334696371009255</v>
      </c>
    </row>
    <row r="8" customFormat="false" ht="15" hidden="false" customHeight="false" outlineLevel="0" collapsed="false">
      <c r="B8" s="0" t="n">
        <v>4</v>
      </c>
      <c r="C8" s="12" t="n">
        <v>0.0187100300968512</v>
      </c>
      <c r="D8" s="12" t="n">
        <v>0.357603413634928</v>
      </c>
      <c r="E8" s="22" t="n">
        <f aca="false">IF(AND(Assumptions!$E$18&gt;=1,Assumptions!$E$19=1),1,0)</f>
        <v>1</v>
      </c>
      <c r="F8" s="22" t="n">
        <f aca="false">ABS(D8)*Assumptions!$E$7/10000</f>
        <v>0.000286082730907943</v>
      </c>
      <c r="G8" s="22" t="n">
        <f aca="false">Assumptions!$E$8*(ABS(D8)*Assumptions!$E$9/Assumptions!$E$10)^1.5</f>
        <v>1.35248506938104E-005</v>
      </c>
      <c r="H8" s="22" t="n">
        <f aca="false">IF(E8=1,C8-F8-G8,0)</f>
        <v>0.0184104225152494</v>
      </c>
      <c r="I8" s="23" t="n">
        <f aca="false">I7*(1+H8)</f>
        <v>1.06369087214348</v>
      </c>
      <c r="J8" s="23" t="n">
        <f aca="false">MAX(J7,I8)</f>
        <v>1.06369087214348</v>
      </c>
      <c r="K8" s="22" t="n">
        <f aca="false">IFERROR(I8/J8-1,0)</f>
        <v>0</v>
      </c>
      <c r="L8" s="22" t="n">
        <f aca="false">ABS(D8)*Assumptions!$E$9/Assumptions!$E$10</f>
        <v>0.0357603413634928</v>
      </c>
    </row>
    <row r="9" customFormat="false" ht="15" hidden="false" customHeight="false" outlineLevel="0" collapsed="false">
      <c r="B9" s="0" t="n">
        <v>5</v>
      </c>
      <c r="C9" s="12" t="n">
        <v>0.00847826357322536</v>
      </c>
      <c r="D9" s="12" t="n">
        <v>0.376220647721185</v>
      </c>
      <c r="E9" s="22" t="n">
        <f aca="false">IF(AND(Assumptions!$E$18&gt;=1,Assumptions!$E$19=1),1,0)</f>
        <v>1</v>
      </c>
      <c r="F9" s="22" t="n">
        <f aca="false">ABS(D9)*Assumptions!$E$7/10000</f>
        <v>0.000300976518176948</v>
      </c>
      <c r="G9" s="22" t="n">
        <f aca="false">Assumptions!$E$8*(ABS(D9)*Assumptions!$E$9/Assumptions!$E$10)^1.5</f>
        <v>1.4594658448156E-005</v>
      </c>
      <c r="H9" s="22" t="n">
        <f aca="false">IF(E9=1,C9-F9-G9,0)</f>
        <v>0.00816269239660026</v>
      </c>
      <c r="I9" s="23" t="n">
        <f aca="false">I8*(1+H9)</f>
        <v>1.07237345353786</v>
      </c>
      <c r="J9" s="23" t="n">
        <f aca="false">MAX(J8,I9)</f>
        <v>1.07237345353786</v>
      </c>
      <c r="K9" s="22" t="n">
        <f aca="false">IFERROR(I9/J9-1,0)</f>
        <v>0</v>
      </c>
      <c r="L9" s="22" t="n">
        <f aca="false">ABS(D9)*Assumptions!$E$9/Assumptions!$E$10</f>
        <v>0.0376220647721185</v>
      </c>
    </row>
    <row r="10" customFormat="false" ht="15" hidden="false" customHeight="false" outlineLevel="0" collapsed="false">
      <c r="B10" s="0" t="n">
        <v>6</v>
      </c>
      <c r="C10" s="12" t="n">
        <v>0.0168391695219598</v>
      </c>
      <c r="D10" s="12" t="n">
        <v>0.389805862895084</v>
      </c>
      <c r="E10" s="22" t="n">
        <f aca="false">IF(AND(Assumptions!$E$18&gt;=1,Assumptions!$E$19=1),1,0)</f>
        <v>1</v>
      </c>
      <c r="F10" s="22" t="n">
        <f aca="false">ABS(D10)*Assumptions!$E$7/10000</f>
        <v>0.000311844690316067</v>
      </c>
      <c r="G10" s="22" t="n">
        <f aca="false">Assumptions!$E$8*(ABS(D10)*Assumptions!$E$9/Assumptions!$E$10)^1.5</f>
        <v>1.53922655029196E-005</v>
      </c>
      <c r="H10" s="22" t="n">
        <f aca="false">IF(E10=1,C10-F10-G10,0)</f>
        <v>0.0165119325661408</v>
      </c>
      <c r="I10" s="23" t="n">
        <f aca="false">I9*(1+H10)</f>
        <v>1.0900804116884</v>
      </c>
      <c r="J10" s="23" t="n">
        <f aca="false">MAX(J9,I10)</f>
        <v>1.0900804116884</v>
      </c>
      <c r="K10" s="22" t="n">
        <f aca="false">IFERROR(I10/J10-1,0)</f>
        <v>0</v>
      </c>
      <c r="L10" s="22" t="n">
        <f aca="false">ABS(D10)*Assumptions!$E$9/Assumptions!$E$10</f>
        <v>0.0389805862895084</v>
      </c>
    </row>
    <row r="11" customFormat="false" ht="15" hidden="false" customHeight="false" outlineLevel="0" collapsed="false">
      <c r="B11" s="0" t="n">
        <v>7</v>
      </c>
      <c r="C11" s="12" t="n">
        <v>0.0139188444160687</v>
      </c>
      <c r="D11" s="12" t="n">
        <v>0.397817459498269</v>
      </c>
      <c r="E11" s="22" t="n">
        <f aca="false">IF(AND(Assumptions!$E$18&gt;=1,Assumptions!$E$19=1),1,0)</f>
        <v>1</v>
      </c>
      <c r="F11" s="22" t="n">
        <f aca="false">ABS(D11)*Assumptions!$E$7/10000</f>
        <v>0.000318253967598615</v>
      </c>
      <c r="G11" s="22" t="n">
        <f aca="false">Assumptions!$E$8*(ABS(D11)*Assumptions!$E$9/Assumptions!$E$10)^1.5</f>
        <v>1.58692263632887E-005</v>
      </c>
      <c r="H11" s="22" t="n">
        <f aca="false">IF(E11=1,C11-F11-G11,0)</f>
        <v>0.0135847212221068</v>
      </c>
      <c r="I11" s="23" t="n">
        <f aca="false">I10*(1+H11)</f>
        <v>1.10488885019087</v>
      </c>
      <c r="J11" s="23" t="n">
        <f aca="false">MAX(J10,I11)</f>
        <v>1.10488885019087</v>
      </c>
      <c r="K11" s="22" t="n">
        <f aca="false">IFERROR(I11/J11-1,0)</f>
        <v>0</v>
      </c>
      <c r="L11" s="22" t="n">
        <f aca="false">ABS(D11)*Assumptions!$E$9/Assumptions!$E$10</f>
        <v>0.0397817459498269</v>
      </c>
    </row>
    <row r="12" customFormat="false" ht="15" hidden="false" customHeight="false" outlineLevel="0" collapsed="false">
      <c r="B12" s="0" t="n">
        <v>8</v>
      </c>
      <c r="C12" s="12" t="n">
        <v>0.00997725176355615</v>
      </c>
      <c r="D12" s="12" t="n">
        <v>0.399936040456226</v>
      </c>
      <c r="E12" s="22" t="n">
        <f aca="false">IF(AND(Assumptions!$E$18&gt;=1,Assumptions!$E$19=1),1,0)</f>
        <v>1</v>
      </c>
      <c r="F12" s="22" t="n">
        <f aca="false">ABS(D12)*Assumptions!$E$7/10000</f>
        <v>0.000319948832364981</v>
      </c>
      <c r="G12" s="22" t="n">
        <f aca="false">Assumptions!$E$8*(ABS(D12)*Assumptions!$E$9/Assumptions!$E$10)^1.5</f>
        <v>1.59961625807835E-005</v>
      </c>
      <c r="H12" s="22" t="n">
        <f aca="false">IF(E12=1,C12-F12-G12,0)</f>
        <v>0.00964130676861039</v>
      </c>
      <c r="I12" s="23" t="n">
        <f aca="false">I11*(1+H12)</f>
        <v>1.11554142254077</v>
      </c>
      <c r="J12" s="23" t="n">
        <f aca="false">MAX(J11,I12)</f>
        <v>1.11554142254077</v>
      </c>
      <c r="K12" s="22" t="n">
        <f aca="false">IFERROR(I12/J12-1,0)</f>
        <v>0</v>
      </c>
      <c r="L12" s="22" t="n">
        <f aca="false">ABS(D12)*Assumptions!$E$9/Assumptions!$E$10</f>
        <v>0.0399936040456226</v>
      </c>
    </row>
    <row r="13" customFormat="false" ht="15" hidden="false" customHeight="false" outlineLevel="0" collapsed="false">
      <c r="B13" s="0" t="n">
        <v>9</v>
      </c>
      <c r="C13" s="12" t="n">
        <v>0.00538085718888648</v>
      </c>
      <c r="D13" s="12" t="n">
        <v>0.396077144631729</v>
      </c>
      <c r="E13" s="22" t="n">
        <f aca="false">IF(AND(Assumptions!$E$18&gt;=1,Assumptions!$E$19=1),1,0)</f>
        <v>1</v>
      </c>
      <c r="F13" s="22" t="n">
        <f aca="false">ABS(D13)*Assumptions!$E$7/10000</f>
        <v>0.000316861715705383</v>
      </c>
      <c r="G13" s="22" t="n">
        <f aca="false">Assumptions!$E$8*(ABS(D13)*Assumptions!$E$9/Assumptions!$E$10)^1.5</f>
        <v>1.57652067044241E-005</v>
      </c>
      <c r="H13" s="22" t="n">
        <f aca="false">IF(E13=1,C13-F13-G13,0)</f>
        <v>0.00504823026647667</v>
      </c>
      <c r="I13" s="23" t="n">
        <f aca="false">I12*(1+H13)</f>
        <v>1.12117293251355</v>
      </c>
      <c r="J13" s="23" t="n">
        <f aca="false">MAX(J12,I13)</f>
        <v>1.12117293251355</v>
      </c>
      <c r="K13" s="22" t="n">
        <f aca="false">IFERROR(I13/J13-1,0)</f>
        <v>0</v>
      </c>
      <c r="L13" s="22" t="n">
        <f aca="false">ABS(D13)*Assumptions!$E$9/Assumptions!$E$10</f>
        <v>0.0396077144631729</v>
      </c>
    </row>
    <row r="14" customFormat="false" ht="15" hidden="false" customHeight="false" outlineLevel="0" collapsed="false">
      <c r="B14" s="0" t="n">
        <v>10</v>
      </c>
      <c r="C14" s="12" t="n">
        <v>-0.00943634017096778</v>
      </c>
      <c r="D14" s="12" t="n">
        <v>0.386394614023852</v>
      </c>
      <c r="E14" s="22" t="n">
        <f aca="false">IF(AND(Assumptions!$E$18&gt;=1,Assumptions!$E$19=1),1,0)</f>
        <v>1</v>
      </c>
      <c r="F14" s="22" t="n">
        <f aca="false">ABS(D14)*Assumptions!$E$7/10000</f>
        <v>0.000309115691219082</v>
      </c>
      <c r="G14" s="22" t="n">
        <f aca="false">Assumptions!$E$8*(ABS(D14)*Assumptions!$E$9/Assumptions!$E$10)^1.5</f>
        <v>1.5190658197559E-005</v>
      </c>
      <c r="H14" s="22" t="n">
        <f aca="false">IF(E14=1,C14-F14-G14,0)</f>
        <v>-0.00976064652038442</v>
      </c>
      <c r="I14" s="23" t="n">
        <f aca="false">I13*(1+H14)</f>
        <v>1.11022955983106</v>
      </c>
      <c r="J14" s="23" t="n">
        <f aca="false">MAX(J13,I14)</f>
        <v>1.12117293251355</v>
      </c>
      <c r="K14" s="22" t="n">
        <f aca="false">IFERROR(I14/J14-1,0)</f>
        <v>-0.00976064652038455</v>
      </c>
      <c r="L14" s="22" t="n">
        <f aca="false">ABS(D14)*Assumptions!$E$9/Assumptions!$E$10</f>
        <v>0.0386394614023852</v>
      </c>
    </row>
    <row r="15" customFormat="false" ht="15" hidden="false" customHeight="false" outlineLevel="0" collapsed="false">
      <c r="B15" s="0" t="n">
        <v>11</v>
      </c>
      <c r="C15" s="12" t="n">
        <v>-0.00401911805060946</v>
      </c>
      <c r="D15" s="12" t="n">
        <v>0.371274460572939</v>
      </c>
      <c r="E15" s="22" t="n">
        <f aca="false">IF(AND(Assumptions!$E$18&gt;=1,Assumptions!$E$19=1),1,0)</f>
        <v>1</v>
      </c>
      <c r="F15" s="22" t="n">
        <f aca="false">ABS(D15)*Assumptions!$E$7/10000</f>
        <v>0.000297019568458351</v>
      </c>
      <c r="G15" s="22" t="n">
        <f aca="false">Assumptions!$E$8*(ABS(D15)*Assumptions!$E$9/Assumptions!$E$10)^1.5</f>
        <v>1.43077917156454E-005</v>
      </c>
      <c r="H15" s="22" t="n">
        <f aca="false">IF(E15=1,C15-F15-G15,0)</f>
        <v>-0.00433044541078345</v>
      </c>
      <c r="I15" s="23" t="n">
        <f aca="false">I14*(1+H15)</f>
        <v>1.10542177132878</v>
      </c>
      <c r="J15" s="23" t="n">
        <f aca="false">MAX(J14,I15)</f>
        <v>1.12117293251355</v>
      </c>
      <c r="K15" s="22" t="n">
        <f aca="false">IFERROR(I15/J15-1,0)</f>
        <v>-0.0140488239842375</v>
      </c>
      <c r="L15" s="22" t="n">
        <f aca="false">ABS(D15)*Assumptions!$E$9/Assumptions!$E$10</f>
        <v>0.0371274460572939</v>
      </c>
    </row>
    <row r="16" customFormat="false" ht="15" hidden="false" customHeight="false" outlineLevel="0" collapsed="false">
      <c r="B16" s="0" t="n">
        <v>12</v>
      </c>
      <c r="C16" s="12" t="n">
        <v>-0.00793961497619996</v>
      </c>
      <c r="D16" s="12" t="n">
        <v>0.351319477082673</v>
      </c>
      <c r="E16" s="22" t="n">
        <f aca="false">IF(AND(Assumptions!$E$18&gt;=1,Assumptions!$E$19=1),1,0)</f>
        <v>1</v>
      </c>
      <c r="F16" s="22" t="n">
        <f aca="false">ABS(D16)*Assumptions!$E$7/10000</f>
        <v>0.000281055581666138</v>
      </c>
      <c r="G16" s="22" t="n">
        <f aca="false">Assumptions!$E$8*(ABS(D16)*Assumptions!$E$9/Assumptions!$E$10)^1.5</f>
        <v>1.31699260735781E-005</v>
      </c>
      <c r="H16" s="22" t="n">
        <f aca="false">IF(E16=1,C16-F16-G16,0)</f>
        <v>-0.00823384048393968</v>
      </c>
      <c r="I16" s="23" t="n">
        <f aca="false">I15*(1+H16)</f>
        <v>1.09631990479618</v>
      </c>
      <c r="J16" s="23" t="n">
        <f aca="false">MAX(J15,I16)</f>
        <v>1.12117293251355</v>
      </c>
      <c r="K16" s="22" t="n">
        <f aca="false">IFERROR(I16/J16-1,0)</f>
        <v>-0.0221669886925041</v>
      </c>
      <c r="L16" s="22" t="n">
        <f aca="false">ABS(D16)*Assumptions!$E$9/Assumptions!$E$10</f>
        <v>0.0351319477082673</v>
      </c>
    </row>
    <row r="17" customFormat="false" ht="15" hidden="false" customHeight="false" outlineLevel="0" collapsed="false">
      <c r="B17" s="0" t="n">
        <v>13</v>
      </c>
      <c r="C17" s="12" t="n">
        <v>-0.0108428704725758</v>
      </c>
      <c r="D17" s="12" t="n">
        <v>0.32732520577322</v>
      </c>
      <c r="E17" s="22" t="n">
        <f aca="false">IF(AND(Assumptions!$E$18&gt;=1,Assumptions!$E$19=1),1,0)</f>
        <v>1</v>
      </c>
      <c r="F17" s="22" t="n">
        <f aca="false">ABS(D17)*Assumptions!$E$7/10000</f>
        <v>0.000261860164618576</v>
      </c>
      <c r="G17" s="22" t="n">
        <f aca="false">Assumptions!$E$8*(ABS(D17)*Assumptions!$E$9/Assumptions!$E$10)^1.5</f>
        <v>1.18440210347914E-005</v>
      </c>
      <c r="H17" s="22" t="n">
        <f aca="false">IF(E17=1,C17-F17-G17,0)</f>
        <v>-0.0111165746582292</v>
      </c>
      <c r="I17" s="23" t="n">
        <f aca="false">I16*(1+H17)</f>
        <v>1.08413258272521</v>
      </c>
      <c r="J17" s="23" t="n">
        <f aca="false">MAX(J16,I17)</f>
        <v>1.12117293251355</v>
      </c>
      <c r="K17" s="22" t="n">
        <f aca="false">IFERROR(I17/J17-1,0)</f>
        <v>-0.0330371423659849</v>
      </c>
      <c r="L17" s="22" t="n">
        <f aca="false">ABS(D17)*Assumptions!$E$9/Assumptions!$E$10</f>
        <v>0.032732520577322</v>
      </c>
    </row>
    <row r="18" customFormat="false" ht="15" hidden="false" customHeight="false" outlineLevel="0" collapsed="false">
      <c r="B18" s="0" t="n">
        <v>14</v>
      </c>
      <c r="C18" s="12" t="n">
        <v>-0.012484340024458</v>
      </c>
      <c r="D18" s="12" t="n">
        <v>0.300248222523386</v>
      </c>
      <c r="E18" s="22" t="n">
        <f aca="false">IF(AND(Assumptions!$E$18&gt;=1,Assumptions!$E$19=1),1,0)</f>
        <v>1</v>
      </c>
      <c r="F18" s="22" t="n">
        <f aca="false">ABS(D18)*Assumptions!$E$7/10000</f>
        <v>0.000240198578018709</v>
      </c>
      <c r="G18" s="22" t="n">
        <f aca="false">Assumptions!$E$8*(ABS(D18)*Assumptions!$E$9/Assumptions!$E$10)^1.5</f>
        <v>1.04052055336908E-005</v>
      </c>
      <c r="H18" s="22" t="n">
        <f aca="false">IF(E18=1,C18-F18-G18,0)</f>
        <v>-0.0127349438080104</v>
      </c>
      <c r="I18" s="23" t="n">
        <f aca="false">I17*(1+H18)</f>
        <v>1.07032621520377</v>
      </c>
      <c r="J18" s="23" t="n">
        <f aca="false">MAX(J17,I18)</f>
        <v>1.12117293251355</v>
      </c>
      <c r="K18" s="22" t="n">
        <f aca="false">IFERROR(I18/J18-1,0)</f>
        <v>-0.0453513600223873</v>
      </c>
      <c r="L18" s="22" t="n">
        <f aca="false">ABS(D18)*Assumptions!$E$9/Assumptions!$E$10</f>
        <v>0.0300248222523386</v>
      </c>
    </row>
    <row r="19" customFormat="false" ht="15" hidden="false" customHeight="false" outlineLevel="0" collapsed="false">
      <c r="B19" s="0" t="n">
        <v>15</v>
      </c>
      <c r="C19" s="12" t="n">
        <v>-0.0227552867239183</v>
      </c>
      <c r="D19" s="12" t="n">
        <v>0.27116800120898</v>
      </c>
      <c r="E19" s="22" t="n">
        <f aca="false">IF(AND(Assumptions!$E$18&gt;=1,Assumptions!$E$19=1),1,0)</f>
        <v>1</v>
      </c>
      <c r="F19" s="22" t="n">
        <f aca="false">ABS(D19)*Assumptions!$E$7/10000</f>
        <v>0.000216934400967184</v>
      </c>
      <c r="G19" s="22" t="n">
        <f aca="false">Assumptions!$E$8*(ABS(D19)*Assumptions!$E$9/Assumptions!$E$10)^1.5</f>
        <v>8.93074430975383E-006</v>
      </c>
      <c r="H19" s="22" t="n">
        <f aca="false">IF(E19=1,C19-F19-G19,0)</f>
        <v>-0.0229811518691952</v>
      </c>
      <c r="I19" s="23" t="n">
        <f aca="false">I18*(1+H19)</f>
        <v>1.0457288859026</v>
      </c>
      <c r="J19" s="23" t="n">
        <f aca="false">MAX(J18,I19)</f>
        <v>1.12117293251355</v>
      </c>
      <c r="K19" s="22" t="n">
        <f aca="false">IFERROR(I19/J19-1,0)</f>
        <v>-0.0672902853994334</v>
      </c>
      <c r="L19" s="22" t="n">
        <f aca="false">ABS(D19)*Assumptions!$E$9/Assumptions!$E$10</f>
        <v>0.027116800120898</v>
      </c>
    </row>
    <row r="20" customFormat="false" ht="15" hidden="false" customHeight="false" outlineLevel="0" collapsed="false">
      <c r="B20" s="0" t="n">
        <v>16</v>
      </c>
      <c r="C20" s="12" t="n">
        <v>-0.011693285493763</v>
      </c>
      <c r="D20" s="12" t="n">
        <v>0.258756121514137</v>
      </c>
      <c r="E20" s="22" t="n">
        <f aca="false">IF(AND(Assumptions!$E$18&gt;=1,Assumptions!$E$19=1),1,0)</f>
        <v>1</v>
      </c>
      <c r="F20" s="22" t="n">
        <f aca="false">ABS(D20)*Assumptions!$E$7/10000</f>
        <v>0.00020700489721131</v>
      </c>
      <c r="G20" s="22" t="n">
        <f aca="false">Assumptions!$E$8*(ABS(D20)*Assumptions!$E$9/Assumptions!$E$10)^1.5</f>
        <v>8.32464926847314E-006</v>
      </c>
      <c r="H20" s="22" t="n">
        <f aca="false">IF(E20=1,C20-F20-G20,0)</f>
        <v>-0.0119086150402428</v>
      </c>
      <c r="I20" s="23" t="n">
        <f aca="false">I19*(1+H20)</f>
        <v>1.03327570316392</v>
      </c>
      <c r="J20" s="23" t="n">
        <f aca="false">MAX(J19,I20)</f>
        <v>1.12117293251355</v>
      </c>
      <c r="K20" s="22" t="n">
        <f aca="false">IFERROR(I20/J20-1,0)</f>
        <v>-0.0783975663349062</v>
      </c>
      <c r="L20" s="22" t="n">
        <f aca="false">ABS(D20)*Assumptions!$E$9/Assumptions!$E$10</f>
        <v>0.0258756121514137</v>
      </c>
    </row>
    <row r="21" customFormat="false" ht="15" hidden="false" customHeight="false" outlineLevel="0" collapsed="false">
      <c r="B21" s="0" t="n">
        <v>17</v>
      </c>
      <c r="C21" s="12" t="n">
        <v>-0.00947671338935732</v>
      </c>
      <c r="D21" s="12" t="n">
        <v>0.288331165304025</v>
      </c>
      <c r="E21" s="22" t="n">
        <f aca="false">IF(AND(Assumptions!$E$18&gt;=1,Assumptions!$E$19=1),1,0)</f>
        <v>1</v>
      </c>
      <c r="F21" s="22" t="n">
        <f aca="false">ABS(D21)*Assumptions!$E$7/10000</f>
        <v>0.00023066493224322</v>
      </c>
      <c r="G21" s="22" t="n">
        <f aca="false">Assumptions!$E$8*(ABS(D21)*Assumptions!$E$9/Assumptions!$E$10)^1.5</f>
        <v>9.79190917370588E-006</v>
      </c>
      <c r="H21" s="22" t="n">
        <f aca="false">IF(E21=1,C21-F21-G21,0)</f>
        <v>-0.00971717023077424</v>
      </c>
      <c r="I21" s="23" t="n">
        <f aca="false">I20*(1+H21)</f>
        <v>1.02323518726095</v>
      </c>
      <c r="J21" s="23" t="n">
        <f aca="false">MAX(J20,I21)</f>
        <v>1.12117293251355</v>
      </c>
      <c r="K21" s="22" t="n">
        <f aca="false">IFERROR(I21/J21-1,0)</f>
        <v>-0.0873529340679259</v>
      </c>
      <c r="L21" s="22" t="n">
        <f aca="false">ABS(D21)*Assumptions!$E$9/Assumptions!$E$10</f>
        <v>0.0288331165304025</v>
      </c>
    </row>
    <row r="22" customFormat="false" ht="15" hidden="false" customHeight="false" outlineLevel="0" collapsed="false">
      <c r="B22" s="0" t="n">
        <v>18</v>
      </c>
      <c r="C22" s="12" t="n">
        <v>-0.0064038604974068</v>
      </c>
      <c r="D22" s="12" t="n">
        <v>0.316378066494228</v>
      </c>
      <c r="E22" s="22" t="n">
        <f aca="false">IF(AND(Assumptions!$E$18&gt;=1,Assumptions!$E$19=1),1,0)</f>
        <v>1</v>
      </c>
      <c r="F22" s="22" t="n">
        <f aca="false">ABS(D22)*Assumptions!$E$7/10000</f>
        <v>0.000253102453195382</v>
      </c>
      <c r="G22" s="22" t="n">
        <f aca="false">Assumptions!$E$8*(ABS(D22)*Assumptions!$E$9/Assumptions!$E$10)^1.5</f>
        <v>1.1254845743816E-005</v>
      </c>
      <c r="H22" s="22" t="n">
        <f aca="false">IF(E22=1,C22-F22-G22,0)</f>
        <v>-0.00666821779634599</v>
      </c>
      <c r="I22" s="23" t="n">
        <f aca="false">I21*(1+H22)</f>
        <v>1.01641203217541</v>
      </c>
      <c r="J22" s="23" t="n">
        <f aca="false">MAX(J21,I22)</f>
        <v>1.12117293251355</v>
      </c>
      <c r="K22" s="22" t="n">
        <f aca="false">IFERROR(I22/J22-1,0)</f>
        <v>-0.093438663474757</v>
      </c>
      <c r="L22" s="22" t="n">
        <f aca="false">ABS(D22)*Assumptions!$E$9/Assumptions!$E$10</f>
        <v>0.0316378066494228</v>
      </c>
    </row>
    <row r="23" customFormat="false" ht="15" hidden="false" customHeight="false" outlineLevel="0" collapsed="false">
      <c r="B23" s="0" t="n">
        <v>19</v>
      </c>
      <c r="C23" s="12" t="n">
        <v>-0.00285898654454352</v>
      </c>
      <c r="D23" s="12" t="n">
        <v>0.341778683641408</v>
      </c>
      <c r="E23" s="22" t="n">
        <f aca="false">IF(AND(Assumptions!$E$18&gt;=1,Assumptions!$E$19=1),1,0)</f>
        <v>1</v>
      </c>
      <c r="F23" s="22" t="n">
        <f aca="false">ABS(D23)*Assumptions!$E$7/10000</f>
        <v>0.000273422946913126</v>
      </c>
      <c r="G23" s="22" t="n">
        <f aca="false">Assumptions!$E$8*(ABS(D23)*Assumptions!$E$9/Assumptions!$E$10)^1.5</f>
        <v>1.26371009498058E-005</v>
      </c>
      <c r="H23" s="22" t="n">
        <f aca="false">IF(E23=1,C23-F23-G23,0)</f>
        <v>-0.00314504659240645</v>
      </c>
      <c r="I23" s="23" t="n">
        <f aca="false">I22*(1+H23)</f>
        <v>1.01321536897714</v>
      </c>
      <c r="J23" s="23" t="n">
        <f aca="false">MAX(J22,I23)</f>
        <v>1.12117293251355</v>
      </c>
      <c r="K23" s="22" t="n">
        <f aca="false">IFERROR(I23/J23-1,0)</f>
        <v>-0.0962898411170032</v>
      </c>
      <c r="L23" s="22" t="n">
        <f aca="false">ABS(D23)*Assumptions!$E$9/Assumptions!$E$10</f>
        <v>0.0341778683641408</v>
      </c>
    </row>
    <row r="24" customFormat="false" ht="15" hidden="false" customHeight="false" outlineLevel="0" collapsed="false">
      <c r="B24" s="0" t="n">
        <v>20</v>
      </c>
      <c r="C24" s="12" t="n">
        <v>-0.0092690824404773</v>
      </c>
      <c r="D24" s="12" t="n">
        <v>0.363520374296189</v>
      </c>
      <c r="E24" s="22" t="n">
        <f aca="false">IF(AND(Assumptions!$E$18&gt;=1,Assumptions!$E$19=1),1,0)</f>
        <v>1</v>
      </c>
      <c r="F24" s="22" t="n">
        <f aca="false">ABS(D24)*Assumptions!$E$7/10000</f>
        <v>0.000290816299436951</v>
      </c>
      <c r="G24" s="22" t="n">
        <f aca="false">Assumptions!$E$8*(ABS(D24)*Assumptions!$E$9/Assumptions!$E$10)^1.5</f>
        <v>1.38619117920265E-005</v>
      </c>
      <c r="H24" s="22" t="n">
        <f aca="false">IF(E24=1,C24-F24-G24,0)</f>
        <v>-0.00957376065170628</v>
      </c>
      <c r="I24" s="23" t="n">
        <f aca="false">I23*(1+H24)</f>
        <v>1.00351508754592</v>
      </c>
      <c r="J24" s="23" t="n">
        <f aca="false">MAX(J23,I24)</f>
        <v>1.12117293251355</v>
      </c>
      <c r="K24" s="22" t="n">
        <f aca="false">IFERROR(I24/J24-1,0)</f>
        <v>-0.104941745876664</v>
      </c>
      <c r="L24" s="22" t="n">
        <f aca="false">ABS(D24)*Assumptions!$E$9/Assumptions!$E$10</f>
        <v>0.0363520374296189</v>
      </c>
    </row>
    <row r="25" customFormat="false" ht="15" hidden="false" customHeight="false" outlineLevel="0" collapsed="false">
      <c r="B25" s="0" t="n">
        <v>21</v>
      </c>
      <c r="C25" s="12" t="n">
        <v>0.0039438842050228</v>
      </c>
      <c r="D25" s="12" t="n">
        <v>0.380736365862038</v>
      </c>
      <c r="E25" s="22" t="n">
        <f aca="false">IF(AND(Assumptions!$E$18&gt;=1,Assumptions!$E$19=1),1,0)</f>
        <v>1</v>
      </c>
      <c r="F25" s="22" t="n">
        <f aca="false">ABS(D25)*Assumptions!$E$7/10000</f>
        <v>0.000304589092689631</v>
      </c>
      <c r="G25" s="22" t="n">
        <f aca="false">Assumptions!$E$8*(ABS(D25)*Assumptions!$E$9/Assumptions!$E$10)^1.5</f>
        <v>1.48582114991349E-005</v>
      </c>
      <c r="H25" s="22" t="n">
        <f aca="false">IF(E25=1,C25-F25-G25,0)</f>
        <v>0.00362443690083403</v>
      </c>
      <c r="I25" s="23" t="n">
        <f aca="false">I24*(1+H25)</f>
        <v>1.00715226465976</v>
      </c>
      <c r="J25" s="23" t="n">
        <f aca="false">MAX(J24,I25)</f>
        <v>1.12117293251355</v>
      </c>
      <c r="K25" s="22" t="n">
        <f aca="false">IFERROR(I25/J25-1,0)</f>
        <v>-0.101697663712024</v>
      </c>
      <c r="L25" s="22" t="n">
        <f aca="false">ABS(D25)*Assumptions!$E$9/Assumptions!$E$10</f>
        <v>0.0380736365862038</v>
      </c>
    </row>
    <row r="26" customFormat="false" ht="15" hidden="false" customHeight="false" outlineLevel="0" collapsed="false">
      <c r="B26" s="0" t="n">
        <v>22</v>
      </c>
      <c r="C26" s="12" t="n">
        <v>0.00640996723222435</v>
      </c>
      <c r="D26" s="12" t="n">
        <v>0.392740311083427</v>
      </c>
      <c r="E26" s="22" t="n">
        <f aca="false">IF(AND(Assumptions!$E$18&gt;=1,Assumptions!$E$19=1),1,0)</f>
        <v>1</v>
      </c>
      <c r="F26" s="22" t="n">
        <f aca="false">ABS(D26)*Assumptions!$E$7/10000</f>
        <v>0.000314192248866742</v>
      </c>
      <c r="G26" s="22" t="n">
        <f aca="false">Assumptions!$E$8*(ABS(D26)*Assumptions!$E$9/Assumptions!$E$10)^1.5</f>
        <v>1.55664010499351E-005</v>
      </c>
      <c r="H26" s="22" t="n">
        <f aca="false">IF(E26=1,C26-F26-G26,0)</f>
        <v>0.00608020858230768</v>
      </c>
      <c r="I26" s="23" t="n">
        <f aca="false">I25*(1+H26)</f>
        <v>1.01327596050304</v>
      </c>
      <c r="J26" s="23" t="n">
        <f aca="false">MAX(J25,I26)</f>
        <v>1.12117293251355</v>
      </c>
      <c r="K26" s="22" t="n">
        <f aca="false">IFERROR(I26/J26-1,0)</f>
        <v>-0.0962357981374187</v>
      </c>
      <c r="L26" s="22" t="n">
        <f aca="false">ABS(D26)*Assumptions!$E$9/Assumptions!$E$10</f>
        <v>0.0392740311083427</v>
      </c>
    </row>
    <row r="27" customFormat="false" ht="15" hidden="false" customHeight="false" outlineLevel="0" collapsed="false">
      <c r="B27" s="0" t="n">
        <v>23</v>
      </c>
      <c r="C27" s="12" t="n">
        <v>0.00785229879394966</v>
      </c>
      <c r="D27" s="12" t="n">
        <v>0.39905365054502</v>
      </c>
      <c r="E27" s="22" t="n">
        <f aca="false">IF(AND(Assumptions!$E$18&gt;=1,Assumptions!$E$19=1),1,0)</f>
        <v>1</v>
      </c>
      <c r="F27" s="22" t="n">
        <f aca="false">ABS(D27)*Assumptions!$E$7/10000</f>
        <v>0.000319242920436016</v>
      </c>
      <c r="G27" s="22" t="n">
        <f aca="false">Assumptions!$E$8*(ABS(D27)*Assumptions!$E$9/Assumptions!$E$10)^1.5</f>
        <v>1.5943252630104E-005</v>
      </c>
      <c r="H27" s="22" t="n">
        <f aca="false">IF(E27=1,C27-F27-G27,0)</f>
        <v>0.00751711262088354</v>
      </c>
      <c r="I27" s="23" t="n">
        <f aca="false">I26*(1+H27)</f>
        <v>1.02089287001418</v>
      </c>
      <c r="J27" s="23" t="n">
        <f aca="false">MAX(J26,I27)</f>
        <v>1.12117293251355</v>
      </c>
      <c r="K27" s="22" t="n">
        <f aca="false">IFERROR(I27/J27-1,0)</f>
        <v>-0.0894421008492946</v>
      </c>
      <c r="L27" s="22" t="n">
        <f aca="false">ABS(D27)*Assumptions!$E$9/Assumptions!$E$10</f>
        <v>0.039905365054502</v>
      </c>
    </row>
    <row r="28" customFormat="false" ht="15" hidden="false" customHeight="false" outlineLevel="0" collapsed="false">
      <c r="B28" s="0" t="n">
        <v>24</v>
      </c>
      <c r="C28" s="12" t="n">
        <v>0.00811767839814802</v>
      </c>
      <c r="D28" s="12" t="n">
        <v>0.399424691325376</v>
      </c>
      <c r="E28" s="22" t="n">
        <f aca="false">IF(AND(Assumptions!$E$18&gt;=1,Assumptions!$E$19=1),1,0)</f>
        <v>1</v>
      </c>
      <c r="F28" s="22" t="n">
        <f aca="false">ABS(D28)*Assumptions!$E$7/10000</f>
        <v>0.000319539753060301</v>
      </c>
      <c r="G28" s="22" t="n">
        <f aca="false">Assumptions!$E$8*(ABS(D28)*Assumptions!$E$9/Assumptions!$E$10)^1.5</f>
        <v>1.59654938942521E-005</v>
      </c>
      <c r="H28" s="22" t="n">
        <f aca="false">IF(E28=1,C28-F28-G28,0)</f>
        <v>0.00778217315119346</v>
      </c>
      <c r="I28" s="23" t="n">
        <f aca="false">I27*(1+H28)</f>
        <v>1.02883763509744</v>
      </c>
      <c r="J28" s="23" t="n">
        <f aca="false">MAX(J27,I28)</f>
        <v>1.12117293251355</v>
      </c>
      <c r="K28" s="22" t="n">
        <f aca="false">IFERROR(I28/J28-1,0)</f>
        <v>-0.0823559816139167</v>
      </c>
      <c r="L28" s="22" t="n">
        <f aca="false">ABS(D28)*Assumptions!$E$9/Assumptions!$E$10</f>
        <v>0.0399424691325376</v>
      </c>
    </row>
    <row r="29" customFormat="false" ht="15" hidden="false" customHeight="false" outlineLevel="0" collapsed="false">
      <c r="B29" s="0" t="n">
        <v>25</v>
      </c>
      <c r="C29" s="12" t="n">
        <v>-0.00280667553386828</v>
      </c>
      <c r="D29" s="12" t="n">
        <v>0.393838641199471</v>
      </c>
      <c r="E29" s="22" t="n">
        <f aca="false">IF(AND(Assumptions!$E$18&gt;=1,Assumptions!$E$19=1),1,0)</f>
        <v>1</v>
      </c>
      <c r="F29" s="22" t="n">
        <f aca="false">ABS(D29)*Assumptions!$E$7/10000</f>
        <v>0.000315070912959577</v>
      </c>
      <c r="G29" s="22" t="n">
        <f aca="false">Assumptions!$E$8*(ABS(D29)*Assumptions!$E$9/Assumptions!$E$10)^1.5</f>
        <v>1.56317457357593E-005</v>
      </c>
      <c r="H29" s="22" t="n">
        <f aca="false">IF(E29=1,C29-F29-G29,0)</f>
        <v>-0.00313737819256361</v>
      </c>
      <c r="I29" s="23" t="n">
        <f aca="false">I28*(1+H29)</f>
        <v>1.0256097823374</v>
      </c>
      <c r="J29" s="23" t="n">
        <f aca="false">MAX(J28,I29)</f>
        <v>1.12117293251355</v>
      </c>
      <c r="K29" s="22" t="n">
        <f aca="false">IFERROR(I29/J29-1,0)</f>
        <v>-0.0852349779457378</v>
      </c>
      <c r="L29" s="22" t="n">
        <f aca="false">ABS(D29)*Assumptions!$E$9/Assumptions!$E$10</f>
        <v>0.0393838641199471</v>
      </c>
    </row>
    <row r="30" customFormat="false" ht="15" hidden="false" customHeight="false" outlineLevel="0" collapsed="false">
      <c r="B30" s="0" t="n">
        <v>26</v>
      </c>
      <c r="C30" s="12" t="n">
        <v>0.0052079466088486</v>
      </c>
      <c r="D30" s="12" t="n">
        <v>0.382518198358023</v>
      </c>
      <c r="E30" s="22" t="n">
        <f aca="false">IF(AND(Assumptions!$E$18&gt;=1,Assumptions!$E$19=1),1,0)</f>
        <v>1</v>
      </c>
      <c r="F30" s="22" t="n">
        <f aca="false">ABS(D30)*Assumptions!$E$7/10000</f>
        <v>0.000306014558686418</v>
      </c>
      <c r="G30" s="22" t="n">
        <f aca="false">Assumptions!$E$8*(ABS(D30)*Assumptions!$E$9/Assumptions!$E$10)^1.5</f>
        <v>1.49626372816547E-005</v>
      </c>
      <c r="H30" s="22" t="n">
        <f aca="false">IF(E30=1,C30-F30-G30,0)</f>
        <v>0.00488696941288052</v>
      </c>
      <c r="I30" s="23" t="n">
        <f aca="false">I29*(1+H30)</f>
        <v>1.03062190597323</v>
      </c>
      <c r="J30" s="23" t="n">
        <f aca="false">MAX(J29,I30)</f>
        <v>1.12117293251355</v>
      </c>
      <c r="K30" s="22" t="n">
        <f aca="false">IFERROR(I30/J30-1,0)</f>
        <v>-0.0807645492629855</v>
      </c>
      <c r="L30" s="22" t="n">
        <f aca="false">ABS(D30)*Assumptions!$E$9/Assumptions!$E$10</f>
        <v>0.0382518198358023</v>
      </c>
    </row>
    <row r="31" customFormat="false" ht="15" hidden="false" customHeight="false" outlineLevel="0" collapsed="false">
      <c r="B31" s="0" t="n">
        <v>27</v>
      </c>
      <c r="C31" s="12" t="n">
        <v>0.00241702739946968</v>
      </c>
      <c r="D31" s="12" t="n">
        <v>0.365914673133398</v>
      </c>
      <c r="E31" s="22" t="n">
        <f aca="false">IF(AND(Assumptions!$E$18&gt;=1,Assumptions!$E$19=1),1,0)</f>
        <v>1</v>
      </c>
      <c r="F31" s="22" t="n">
        <f aca="false">ABS(D31)*Assumptions!$E$7/10000</f>
        <v>0.000292731738506718</v>
      </c>
      <c r="G31" s="22" t="n">
        <f aca="false">Assumptions!$E$8*(ABS(D31)*Assumptions!$E$9/Assumptions!$E$10)^1.5</f>
        <v>1.39990876640346E-005</v>
      </c>
      <c r="H31" s="22" t="n">
        <f aca="false">IF(E31=1,C31-F31-G31,0)</f>
        <v>0.00211029657329892</v>
      </c>
      <c r="I31" s="23" t="n">
        <f aca="false">I30*(1+H31)</f>
        <v>1.03279682384978</v>
      </c>
      <c r="J31" s="23" t="n">
        <f aca="false">MAX(J30,I31)</f>
        <v>1.12117293251355</v>
      </c>
      <c r="K31" s="22" t="n">
        <f aca="false">IFERROR(I31/J31-1,0)</f>
        <v>-0.0788246898412404</v>
      </c>
      <c r="L31" s="22" t="n">
        <f aca="false">ABS(D31)*Assumptions!$E$9/Assumptions!$E$10</f>
        <v>0.0365914673133398</v>
      </c>
    </row>
    <row r="32" customFormat="false" ht="15" hidden="false" customHeight="false" outlineLevel="0" collapsed="false">
      <c r="B32" s="0" t="n">
        <v>28</v>
      </c>
      <c r="C32" s="12" t="n">
        <v>-0.000826054898524681</v>
      </c>
      <c r="D32" s="12" t="n">
        <v>0.344689995680848</v>
      </c>
      <c r="E32" s="22" t="n">
        <f aca="false">IF(AND(Assumptions!$E$18&gt;=1,Assumptions!$E$19=1),1,0)</f>
        <v>1</v>
      </c>
      <c r="F32" s="22" t="n">
        <f aca="false">ABS(D32)*Assumptions!$E$7/10000</f>
        <v>0.000275751996544679</v>
      </c>
      <c r="G32" s="22" t="n">
        <f aca="false">Assumptions!$E$8*(ABS(D32)*Assumptions!$E$9/Assumptions!$E$10)^1.5</f>
        <v>1.27989108355701E-005</v>
      </c>
      <c r="H32" s="22" t="n">
        <f aca="false">IF(E32=1,C32-F32-G32,0)</f>
        <v>-0.00111460580590493</v>
      </c>
      <c r="I32" s="23" t="n">
        <f aca="false">I31*(1+H32)</f>
        <v>1.03164566251359</v>
      </c>
      <c r="J32" s="23" t="n">
        <f aca="false">MAX(J31,I32)</f>
        <v>1.12117293251355</v>
      </c>
      <c r="K32" s="22" t="n">
        <f aca="false">IFERROR(I32/J32-1,0)</f>
        <v>-0.0798514371901997</v>
      </c>
      <c r="L32" s="22" t="n">
        <f aca="false">ABS(D32)*Assumptions!$E$9/Assumptions!$E$10</f>
        <v>0.0344689995680848</v>
      </c>
    </row>
    <row r="33" customFormat="false" ht="15" hidden="false" customHeight="false" outlineLevel="0" collapsed="false">
      <c r="B33" s="0" t="n">
        <v>29</v>
      </c>
      <c r="C33" s="12" t="n">
        <v>-0.0041098683365781</v>
      </c>
      <c r="D33" s="12" t="n">
        <v>0.319690326912064</v>
      </c>
      <c r="E33" s="22" t="n">
        <f aca="false">IF(AND(Assumptions!$E$18&gt;=1,Assumptions!$E$19=1),1,0)</f>
        <v>1</v>
      </c>
      <c r="F33" s="22" t="n">
        <f aca="false">ABS(D33)*Assumptions!$E$7/10000</f>
        <v>0.000255752261529651</v>
      </c>
      <c r="G33" s="22" t="n">
        <f aca="false">Assumptions!$E$8*(ABS(D33)*Assumptions!$E$9/Assumptions!$E$10)^1.5</f>
        <v>1.1432053264259E-005</v>
      </c>
      <c r="H33" s="22" t="n">
        <f aca="false">IF(E33=1,C33-F33-G33,0)</f>
        <v>-0.00437705265137201</v>
      </c>
      <c r="I33" s="23" t="n">
        <f aca="false">I32*(1+H33)</f>
        <v>1.02713009513121</v>
      </c>
      <c r="J33" s="23" t="n">
        <f aca="false">MAX(J32,I33)</f>
        <v>1.12117293251355</v>
      </c>
      <c r="K33" s="22" t="n">
        <f aca="false">IFERROR(I33/J33-1,0)</f>
        <v>-0.0838789758967025</v>
      </c>
      <c r="L33" s="22" t="n">
        <f aca="false">ABS(D33)*Assumptions!$E$9/Assumptions!$E$10</f>
        <v>0.0319690326912064</v>
      </c>
    </row>
    <row r="34" customFormat="false" ht="15" hidden="false" customHeight="false" outlineLevel="0" collapsed="false">
      <c r="B34" s="0" t="n">
        <v>30</v>
      </c>
      <c r="C34" s="12" t="n">
        <v>-0.0170113288179311</v>
      </c>
      <c r="D34" s="12" t="n">
        <v>0.291912324729839</v>
      </c>
      <c r="E34" s="22" t="n">
        <f aca="false">IF(AND(Assumptions!$E$18&gt;=1,Assumptions!$E$19=1),1,0)</f>
        <v>1</v>
      </c>
      <c r="F34" s="22" t="n">
        <f aca="false">ABS(D34)*Assumptions!$E$7/10000</f>
        <v>0.000233529859783871</v>
      </c>
      <c r="G34" s="22" t="n">
        <f aca="false">Assumptions!$E$8*(ABS(D34)*Assumptions!$E$9/Assumptions!$E$10)^1.5</f>
        <v>9.97490212491167E-006</v>
      </c>
      <c r="H34" s="22" t="n">
        <f aca="false">IF(E34=1,C34-F34-G34,0)</f>
        <v>-0.0172548335798399</v>
      </c>
      <c r="I34" s="23" t="n">
        <f aca="false">I33*(1+H34)</f>
        <v>1.00940713627488</v>
      </c>
      <c r="J34" s="23" t="n">
        <f aca="false">MAX(J33,I34)</f>
        <v>1.12117293251355</v>
      </c>
      <c r="K34" s="22" t="n">
        <f aca="false">IFERROR(I34/J34-1,0)</f>
        <v>-0.0996864917065973</v>
      </c>
      <c r="L34" s="22" t="n">
        <f aca="false">ABS(D34)*Assumptions!$E$9/Assumptions!$E$10</f>
        <v>0.0291912324729839</v>
      </c>
    </row>
    <row r="35" customFormat="false" ht="15" hidden="false" customHeight="false" outlineLevel="0" collapsed="false">
      <c r="B35" s="0" t="n">
        <v>31</v>
      </c>
      <c r="C35" s="12" t="n">
        <v>-0.00914353041562147</v>
      </c>
      <c r="D35" s="12" t="n">
        <v>0.262463410422624</v>
      </c>
      <c r="E35" s="22" t="n">
        <f aca="false">IF(AND(Assumptions!$E$18&gt;=1,Assumptions!$E$19=1),1,0)</f>
        <v>1</v>
      </c>
      <c r="F35" s="22" t="n">
        <f aca="false">ABS(D35)*Assumptions!$E$7/10000</f>
        <v>0.0002099707283381</v>
      </c>
      <c r="G35" s="22" t="n">
        <f aca="false">Assumptions!$E$8*(ABS(D35)*Assumptions!$E$9/Assumptions!$E$10)^1.5</f>
        <v>8.50419377191176E-006</v>
      </c>
      <c r="H35" s="22" t="n">
        <f aca="false">IF(E35=1,C35-F35-G35,0)</f>
        <v>-0.00936200533773148</v>
      </c>
      <c r="I35" s="23" t="n">
        <f aca="false">I34*(1+H35)</f>
        <v>0.999957061277128</v>
      </c>
      <c r="J35" s="23" t="n">
        <f aca="false">MAX(J34,I35)</f>
        <v>1.12117293251355</v>
      </c>
      <c r="K35" s="22" t="n">
        <f aca="false">IFERROR(I35/J35-1,0)</f>
        <v>-0.108115231576872</v>
      </c>
      <c r="L35" s="22" t="n">
        <f aca="false">ABS(D35)*Assumptions!$E$9/Assumptions!$E$10</f>
        <v>0.0262463410422624</v>
      </c>
    </row>
    <row r="36" customFormat="false" ht="15" hidden="false" customHeight="false" outlineLevel="0" collapsed="false">
      <c r="B36" s="0" t="n">
        <v>32</v>
      </c>
      <c r="C36" s="12" t="n">
        <v>-0.0101997134567755</v>
      </c>
      <c r="D36" s="12" t="n">
        <v>0.267482380727574</v>
      </c>
      <c r="E36" s="22" t="n">
        <f aca="false">IF(AND(Assumptions!$E$18&gt;=1,Assumptions!$E$19=1),1,0)</f>
        <v>1</v>
      </c>
      <c r="F36" s="22" t="n">
        <f aca="false">ABS(D36)*Assumptions!$E$7/10000</f>
        <v>0.000213985904582059</v>
      </c>
      <c r="G36" s="22" t="n">
        <f aca="false">Assumptions!$E$8*(ABS(D36)*Assumptions!$E$9/Assumptions!$E$10)^1.5</f>
        <v>8.74928907213244E-006</v>
      </c>
      <c r="H36" s="22" t="n">
        <f aca="false">IF(E36=1,C36-F36-G36,0)</f>
        <v>-0.0104224486504297</v>
      </c>
      <c r="I36" s="23" t="n">
        <f aca="false">I35*(1+H36)</f>
        <v>0.989535060153333</v>
      </c>
      <c r="J36" s="23" t="n">
        <f aca="false">MAX(J35,I36)</f>
        <v>1.12117293251355</v>
      </c>
      <c r="K36" s="22" t="n">
        <f aca="false">IFERROR(I36/J36-1,0)</f>
        <v>-0.117410854777862</v>
      </c>
      <c r="L36" s="22" t="n">
        <f aca="false">ABS(D36)*Assumptions!$E$9/Assumptions!$E$10</f>
        <v>0.0267482380727574</v>
      </c>
    </row>
    <row r="37" customFormat="false" ht="15" hidden="false" customHeight="false" outlineLevel="0" collapsed="false">
      <c r="B37" s="0" t="n">
        <v>33</v>
      </c>
      <c r="C37" s="12" t="n">
        <v>-0.00998850208202598</v>
      </c>
      <c r="D37" s="12" t="n">
        <v>0.296731204527007</v>
      </c>
      <c r="E37" s="22" t="n">
        <f aca="false">IF(AND(Assumptions!$E$18&gt;=1,Assumptions!$E$19=1),1,0)</f>
        <v>1</v>
      </c>
      <c r="F37" s="22" t="n">
        <f aca="false">ABS(D37)*Assumptions!$E$7/10000</f>
        <v>0.000237384963621605</v>
      </c>
      <c r="G37" s="22" t="n">
        <f aca="false">Assumptions!$E$8*(ABS(D37)*Assumptions!$E$9/Assumptions!$E$10)^1.5</f>
        <v>1.02229167690232E-005</v>
      </c>
      <c r="H37" s="22" t="n">
        <f aca="false">IF(E37=1,C37-F37-G37,0)</f>
        <v>-0.0102361099624166</v>
      </c>
      <c r="I37" s="23" t="n">
        <f aca="false">I36*(1+H37)</f>
        <v>0.979406070465937</v>
      </c>
      <c r="J37" s="23" t="n">
        <f aca="false">MAX(J36,I37)</f>
        <v>1.12117293251355</v>
      </c>
      <c r="K37" s="22" t="n">
        <f aca="false">IFERROR(I37/J37-1,0)</f>
        <v>-0.126445134319991</v>
      </c>
      <c r="L37" s="22" t="n">
        <f aca="false">ABS(D37)*Assumptions!$E$9/Assumptions!$E$10</f>
        <v>0.0296731204527007</v>
      </c>
    </row>
    <row r="38" customFormat="false" ht="15" hidden="false" customHeight="false" outlineLevel="0" collapsed="false">
      <c r="B38" s="0" t="n">
        <v>34</v>
      </c>
      <c r="C38" s="12" t="n">
        <v>-0.00845650221457471</v>
      </c>
      <c r="D38" s="12" t="n">
        <v>0.324117002670791</v>
      </c>
      <c r="E38" s="22" t="n">
        <f aca="false">IF(AND(Assumptions!$E$18&gt;=1,Assumptions!$E$19=1),1,0)</f>
        <v>1</v>
      </c>
      <c r="F38" s="22" t="n">
        <f aca="false">ABS(D38)*Assumptions!$E$7/10000</f>
        <v>0.000259293602136633</v>
      </c>
      <c r="G38" s="22" t="n">
        <f aca="false">Assumptions!$E$8*(ABS(D38)*Assumptions!$E$9/Assumptions!$E$10)^1.5</f>
        <v>1.16703187145894E-005</v>
      </c>
      <c r="H38" s="22" t="n">
        <f aca="false">IF(E38=1,C38-F38-G38,0)</f>
        <v>-0.00872746613542593</v>
      </c>
      <c r="I38" s="23" t="n">
        <f aca="false">I37*(1+H38)</f>
        <v>0.970858337153115</v>
      </c>
      <c r="J38" s="23" t="n">
        <f aca="false">MAX(J37,I38)</f>
        <v>1.12117293251355</v>
      </c>
      <c r="K38" s="22" t="n">
        <f aca="false">IFERROR(I38/J38-1,0)</f>
        <v>-0.13406905482765</v>
      </c>
      <c r="L38" s="22" t="n">
        <f aca="false">ABS(D38)*Assumptions!$E$9/Assumptions!$E$10</f>
        <v>0.0324117002670791</v>
      </c>
    </row>
    <row r="39" customFormat="false" ht="15" hidden="false" customHeight="false" outlineLevel="0" collapsed="false">
      <c r="B39" s="0" t="n">
        <v>35</v>
      </c>
      <c r="C39" s="12" t="n">
        <v>-0.0156957410420597</v>
      </c>
      <c r="D39" s="12" t="n">
        <v>0.348547989807818</v>
      </c>
      <c r="E39" s="22" t="n">
        <f aca="false">IF(AND(Assumptions!$E$18&gt;=1,Assumptions!$E$19=1),1,0)</f>
        <v>1</v>
      </c>
      <c r="F39" s="22" t="n">
        <f aca="false">ABS(D39)*Assumptions!$E$7/10000</f>
        <v>0.000278838391846255</v>
      </c>
      <c r="G39" s="22" t="n">
        <f aca="false">Assumptions!$E$8*(ABS(D39)*Assumptions!$E$9/Assumptions!$E$10)^1.5</f>
        <v>1.30143915637005E-005</v>
      </c>
      <c r="H39" s="22" t="n">
        <f aca="false">IF(E39=1,C39-F39-G39,0)</f>
        <v>-0.0159875938254697</v>
      </c>
      <c r="I39" s="23" t="n">
        <f aca="false">I38*(1+H39)</f>
        <v>0.95533664839664</v>
      </c>
      <c r="J39" s="23" t="n">
        <f aca="false">MAX(J38,I39)</f>
        <v>1.12117293251355</v>
      </c>
      <c r="K39" s="22" t="n">
        <f aca="false">IFERROR(I39/J39-1,0)</f>
        <v>-0.147913207059971</v>
      </c>
      <c r="L39" s="22" t="n">
        <f aca="false">ABS(D39)*Assumptions!$E$9/Assumptions!$E$10</f>
        <v>0.0348547989807818</v>
      </c>
    </row>
    <row r="40" customFormat="false" ht="15" hidden="false" customHeight="false" outlineLevel="0" collapsed="false">
      <c r="B40" s="0" t="n">
        <v>36</v>
      </c>
      <c r="C40" s="12" t="n">
        <v>-0.00193509721371111</v>
      </c>
      <c r="D40" s="12" t="n">
        <v>0.369050179577373</v>
      </c>
      <c r="E40" s="22" t="n">
        <f aca="false">IF(AND(Assumptions!$E$18&gt;=1,Assumptions!$E$19=1),1,0)</f>
        <v>1</v>
      </c>
      <c r="F40" s="22" t="n">
        <f aca="false">ABS(D40)*Assumptions!$E$7/10000</f>
        <v>0.000295240143661898</v>
      </c>
      <c r="G40" s="22" t="n">
        <f aca="false">Assumptions!$E$8*(ABS(D40)*Assumptions!$E$9/Assumptions!$E$10)^1.5</f>
        <v>1.4179408914598E-005</v>
      </c>
      <c r="H40" s="22" t="n">
        <f aca="false">IF(E40=1,C40-F40-G40,0)</f>
        <v>-0.00224451676628761</v>
      </c>
      <c r="I40" s="23" t="n">
        <f aca="false">I39*(1+H40)</f>
        <v>0.953192379271865</v>
      </c>
      <c r="J40" s="23" t="n">
        <f aca="false">MAX(J39,I40)</f>
        <v>1.12117293251355</v>
      </c>
      <c r="K40" s="22" t="n">
        <f aca="false">IFERROR(I40/J40-1,0)</f>
        <v>-0.149825730153057</v>
      </c>
      <c r="L40" s="22" t="n">
        <f aca="false">ABS(D40)*Assumptions!$E$9/Assumptions!$E$10</f>
        <v>0.0369050179577373</v>
      </c>
    </row>
    <row r="41" customFormat="false" ht="15" hidden="false" customHeight="false" outlineLevel="0" collapsed="false">
      <c r="B41" s="0" t="n">
        <v>37</v>
      </c>
      <c r="C41" s="12" t="n">
        <v>0.00248336663625181</v>
      </c>
      <c r="D41" s="12" t="n">
        <v>0.384806214371744</v>
      </c>
      <c r="E41" s="22" t="n">
        <f aca="false">IF(AND(Assumptions!$E$18&gt;=1,Assumptions!$E$19=1),1,0)</f>
        <v>1</v>
      </c>
      <c r="F41" s="22" t="n">
        <f aca="false">ABS(D41)*Assumptions!$E$7/10000</f>
        <v>0.000307844971497395</v>
      </c>
      <c r="G41" s="22" t="n">
        <f aca="false">Assumptions!$E$8*(ABS(D41)*Assumptions!$E$9/Assumptions!$E$10)^1.5</f>
        <v>1.5097085379906E-005</v>
      </c>
      <c r="H41" s="22" t="n">
        <f aca="false">IF(E41=1,C41-F41-G41,0)</f>
        <v>0.0021604245793745</v>
      </c>
      <c r="I41" s="23" t="n">
        <f aca="false">I40*(1+H41)</f>
        <v>0.955251679516916</v>
      </c>
      <c r="J41" s="23" t="n">
        <f aca="false">MAX(J40,I41)</f>
        <v>1.12117293251355</v>
      </c>
      <c r="K41" s="22" t="n">
        <f aca="false">IFERROR(I41/J41-1,0)</f>
        <v>-0.147988992763728</v>
      </c>
      <c r="L41" s="22" t="n">
        <f aca="false">ABS(D41)*Assumptions!$E$9/Assumptions!$E$10</f>
        <v>0.0384806214371744</v>
      </c>
    </row>
    <row r="42" customFormat="false" ht="15" hidden="false" customHeight="false" outlineLevel="0" collapsed="false">
      <c r="B42" s="0" t="n">
        <v>38</v>
      </c>
      <c r="C42" s="12" t="n">
        <v>0.00714059472727621</v>
      </c>
      <c r="D42" s="12" t="n">
        <v>0.395187950804723</v>
      </c>
      <c r="E42" s="22" t="n">
        <f aca="false">IF(AND(Assumptions!$E$18&gt;=1,Assumptions!$E$19=1),1,0)</f>
        <v>1</v>
      </c>
      <c r="F42" s="22" t="n">
        <f aca="false">ABS(D42)*Assumptions!$E$7/10000</f>
        <v>0.000316150360643778</v>
      </c>
      <c r="G42" s="22" t="n">
        <f aca="false">Assumptions!$E$8*(ABS(D42)*Assumptions!$E$9/Assumptions!$E$10)^1.5</f>
        <v>1.57121471403858E-005</v>
      </c>
      <c r="H42" s="22" t="n">
        <f aca="false">IF(E42=1,C42-F42-G42,0)</f>
        <v>0.00680873221949204</v>
      </c>
      <c r="I42" s="23" t="n">
        <f aca="false">I41*(1+H42)</f>
        <v>0.961755732404967</v>
      </c>
      <c r="J42" s="23" t="n">
        <f aca="false">MAX(J41,I42)</f>
        <v>1.12117293251355</v>
      </c>
      <c r="K42" s="22" t="n">
        <f aca="false">IFERROR(I42/J42-1,0)</f>
        <v>-0.142187877967396</v>
      </c>
      <c r="L42" s="22" t="n">
        <f aca="false">ABS(D42)*Assumptions!$E$9/Assumptions!$E$10</f>
        <v>0.0395187950804723</v>
      </c>
    </row>
    <row r="43" customFormat="false" ht="15" hidden="false" customHeight="false" outlineLevel="0" collapsed="false">
      <c r="B43" s="0" t="n">
        <v>39</v>
      </c>
      <c r="C43" s="12" t="n">
        <v>0.0115852980820744</v>
      </c>
      <c r="D43" s="12" t="n">
        <v>0.399781501806191</v>
      </c>
      <c r="E43" s="22" t="n">
        <f aca="false">IF(AND(Assumptions!$E$18&gt;=1,Assumptions!$E$19=1),1,0)</f>
        <v>1</v>
      </c>
      <c r="F43" s="22" t="n">
        <f aca="false">ABS(D43)*Assumptions!$E$7/10000</f>
        <v>0.000319825201444953</v>
      </c>
      <c r="G43" s="22" t="n">
        <f aca="false">Assumptions!$E$8*(ABS(D43)*Assumptions!$E$9/Assumptions!$E$10)^1.5</f>
        <v>1.59868918988393E-005</v>
      </c>
      <c r="H43" s="22" t="n">
        <f aca="false">IF(E43=1,C43-F43-G43,0)</f>
        <v>0.0112494859887306</v>
      </c>
      <c r="I43" s="23" t="n">
        <f aca="false">I42*(1+H43)</f>
        <v>0.972574990041238</v>
      </c>
      <c r="J43" s="23" t="n">
        <f aca="false">MAX(J42,I43)</f>
        <v>1.12117293251355</v>
      </c>
      <c r="K43" s="22" t="n">
        <f aca="false">IFERROR(I43/J43-1,0)</f>
        <v>-0.132537932519627</v>
      </c>
      <c r="L43" s="22" t="n">
        <f aca="false">ABS(D43)*Assumptions!$E$9/Assumptions!$E$10</f>
        <v>0.0399781501806191</v>
      </c>
    </row>
    <row r="44" customFormat="false" ht="15" hidden="false" customHeight="false" outlineLevel="0" collapsed="false">
      <c r="B44" s="0" t="n">
        <v>40</v>
      </c>
      <c r="C44" s="12" t="n">
        <v>0.00538238409646321</v>
      </c>
      <c r="D44" s="12" t="n">
        <v>0.398403736993507</v>
      </c>
      <c r="E44" s="22" t="n">
        <f aca="false">IF(AND(Assumptions!$E$18&gt;=1,Assumptions!$E$19=1),1,0)</f>
        <v>1</v>
      </c>
      <c r="F44" s="22" t="n">
        <f aca="false">ABS(D44)*Assumptions!$E$7/10000</f>
        <v>0.000318722989594806</v>
      </c>
      <c r="G44" s="22" t="n">
        <f aca="false">Assumptions!$E$8*(ABS(D44)*Assumptions!$E$9/Assumptions!$E$10)^1.5</f>
        <v>1.59043198353428E-005</v>
      </c>
      <c r="H44" s="22" t="n">
        <f aca="false">IF(E44=1,C44-F44-G44,0)</f>
        <v>0.00504775678703306</v>
      </c>
      <c r="I44" s="23" t="n">
        <f aca="false">I43*(1+H44)</f>
        <v>0.977484312048117</v>
      </c>
      <c r="J44" s="23" t="n">
        <f aca="false">MAX(J43,I44)</f>
        <v>1.12117293251355</v>
      </c>
      <c r="K44" s="22" t="n">
        <f aca="false">IFERROR(I44/J44-1,0)</f>
        <v>-0.128159194981009</v>
      </c>
      <c r="L44" s="22" t="n">
        <f aca="false">ABS(D44)*Assumptions!$E$9/Assumptions!$E$10</f>
        <v>0.0398403736993507</v>
      </c>
    </row>
    <row r="45" customFormat="false" ht="15" hidden="false" customHeight="false" outlineLevel="0" collapsed="false">
      <c r="B45" s="0" t="n">
        <v>41</v>
      </c>
      <c r="C45" s="12" t="n">
        <v>0.018159749795409</v>
      </c>
      <c r="D45" s="12" t="n">
        <v>0.391109583501966</v>
      </c>
      <c r="E45" s="22" t="n">
        <f aca="false">IF(AND(Assumptions!$E$18&gt;=1,Assumptions!$E$19=1),1,0)</f>
        <v>1</v>
      </c>
      <c r="F45" s="22" t="n">
        <f aca="false">ABS(D45)*Assumptions!$E$7/10000</f>
        <v>0.000312887666801573</v>
      </c>
      <c r="G45" s="22" t="n">
        <f aca="false">Assumptions!$E$8*(ABS(D45)*Assumptions!$E$9/Assumptions!$E$10)^1.5</f>
        <v>1.54695500637129E-005</v>
      </c>
      <c r="H45" s="22" t="n">
        <f aca="false">IF(E45=1,C45-F45-G45,0)</f>
        <v>0.0178313925785437</v>
      </c>
      <c r="I45" s="23" t="n">
        <f aca="false">I44*(1+H45)</f>
        <v>0.994914218555615</v>
      </c>
      <c r="J45" s="23" t="n">
        <f aca="false">MAX(J44,I45)</f>
        <v>1.12117293251355</v>
      </c>
      <c r="K45" s="22" t="n">
        <f aca="false">IFERROR(I45/J45-1,0)</f>
        <v>-0.112613059320722</v>
      </c>
      <c r="L45" s="22" t="n">
        <f aca="false">ABS(D45)*Assumptions!$E$9/Assumptions!$E$10</f>
        <v>0.0391109583501966</v>
      </c>
    </row>
    <row r="46" customFormat="false" ht="15" hidden="false" customHeight="false" outlineLevel="0" collapsed="false">
      <c r="B46" s="0" t="n">
        <v>42</v>
      </c>
      <c r="C46" s="12" t="n">
        <v>0.0196483099882406</v>
      </c>
      <c r="D46" s="12" t="n">
        <v>0.378189836213242</v>
      </c>
      <c r="E46" s="22" t="n">
        <f aca="false">IF(AND(Assumptions!$E$18&gt;=1,Assumptions!$E$19=1),1,0)</f>
        <v>1</v>
      </c>
      <c r="F46" s="22" t="n">
        <f aca="false">ABS(D46)*Assumptions!$E$7/10000</f>
        <v>0.000302551868970594</v>
      </c>
      <c r="G46" s="22" t="n">
        <f aca="false">Assumptions!$E$8*(ABS(D46)*Assumptions!$E$9/Assumptions!$E$10)^1.5</f>
        <v>1.47093938075192E-005</v>
      </c>
      <c r="H46" s="22" t="n">
        <f aca="false">IF(E46=1,C46-F46-G46,0)</f>
        <v>0.0193310487254625</v>
      </c>
      <c r="I46" s="23" t="n">
        <f aca="false">I45*(1+H46)</f>
        <v>1.01414695379217</v>
      </c>
      <c r="J46" s="23" t="n">
        <f aca="false">MAX(J45,I46)</f>
        <v>1.12117293251355</v>
      </c>
      <c r="K46" s="22" t="n">
        <f aca="false">IFERROR(I46/J46-1,0)</f>
        <v>-0.0954589391321119</v>
      </c>
      <c r="L46" s="22" t="n">
        <f aca="false">ABS(D46)*Assumptions!$E$9/Assumptions!$E$10</f>
        <v>0.0378189836213242</v>
      </c>
    </row>
    <row r="47" customFormat="false" ht="15" hidden="false" customHeight="false" outlineLevel="0" collapsed="false">
      <c r="B47" s="0" t="n">
        <v>43</v>
      </c>
      <c r="C47" s="12" t="n">
        <v>0.0197108728327755</v>
      </c>
      <c r="D47" s="12" t="n">
        <v>0.360159564681117</v>
      </c>
      <c r="E47" s="22" t="n">
        <f aca="false">IF(AND(Assumptions!$E$18&gt;=1,Assumptions!$E$19=1),1,0)</f>
        <v>1</v>
      </c>
      <c r="F47" s="22" t="n">
        <f aca="false">ABS(D47)*Assumptions!$E$7/10000</f>
        <v>0.000288127651744894</v>
      </c>
      <c r="G47" s="22" t="n">
        <f aca="false">Assumptions!$E$8*(ABS(D47)*Assumptions!$E$9/Assumptions!$E$10)^1.5</f>
        <v>1.36701230791591E-005</v>
      </c>
      <c r="H47" s="22" t="n">
        <f aca="false">IF(E47=1,C47-F47-G47,0)</f>
        <v>0.0194090750579514</v>
      </c>
      <c r="I47" s="23" t="n">
        <f aca="false">I46*(1+H47)</f>
        <v>1.03383060813811</v>
      </c>
      <c r="J47" s="23" t="n">
        <f aca="false">MAX(J46,I47)</f>
        <v>1.12117293251355</v>
      </c>
      <c r="K47" s="22" t="n">
        <f aca="false">IFERROR(I47/J47-1,0)</f>
        <v>-0.077902633788728</v>
      </c>
      <c r="L47" s="22" t="n">
        <f aca="false">ABS(D47)*Assumptions!$E$9/Assumptions!$E$10</f>
        <v>0.0360159564681117</v>
      </c>
    </row>
    <row r="48" customFormat="false" ht="15" hidden="false" customHeight="false" outlineLevel="0" collapsed="false">
      <c r="B48" s="0" t="n">
        <v>44</v>
      </c>
      <c r="C48" s="12" t="n">
        <v>0.0183566992284292</v>
      </c>
      <c r="D48" s="12" t="n">
        <v>0.337737578933764</v>
      </c>
      <c r="E48" s="22" t="n">
        <f aca="false">IF(AND(Assumptions!$E$18&gt;=1,Assumptions!$E$19=1),1,0)</f>
        <v>1</v>
      </c>
      <c r="F48" s="22" t="n">
        <f aca="false">ABS(D48)*Assumptions!$E$7/10000</f>
        <v>0.000270190063147011</v>
      </c>
      <c r="G48" s="22" t="n">
        <f aca="false">Assumptions!$E$8*(ABS(D48)*Assumptions!$E$9/Assumptions!$E$10)^1.5</f>
        <v>1.24136379380065E-005</v>
      </c>
      <c r="H48" s="22" t="n">
        <f aca="false">IF(E48=1,C48-F48-G48,0)</f>
        <v>0.0180740955273442</v>
      </c>
      <c r="I48" s="23" t="n">
        <f aca="false">I47*(1+H48)</f>
        <v>1.05251616130869</v>
      </c>
      <c r="J48" s="23" t="n">
        <f aca="false">MAX(J47,I48)</f>
        <v>1.12117293251355</v>
      </c>
      <c r="K48" s="22" t="n">
        <f aca="false">IFERROR(I48/J48-1,0)</f>
        <v>-0.0612365579063131</v>
      </c>
      <c r="L48" s="22" t="n">
        <f aca="false">ABS(D48)*Assumptions!$E$9/Assumptions!$E$10</f>
        <v>0.0337737578933764</v>
      </c>
    </row>
    <row r="49" customFormat="false" ht="15" hidden="false" customHeight="false" outlineLevel="0" collapsed="false">
      <c r="B49" s="0" t="n">
        <v>45</v>
      </c>
      <c r="C49" s="12" t="n">
        <v>0.00574015432484417</v>
      </c>
      <c r="D49" s="12" t="n">
        <v>0.311817772786264</v>
      </c>
      <c r="E49" s="22" t="n">
        <f aca="false">IF(AND(Assumptions!$E$18&gt;=1,Assumptions!$E$19=1),1,0)</f>
        <v>1</v>
      </c>
      <c r="F49" s="22" t="n">
        <f aca="false">ABS(D49)*Assumptions!$E$7/10000</f>
        <v>0.000249454218229011</v>
      </c>
      <c r="G49" s="22" t="n">
        <f aca="false">Assumptions!$E$8*(ABS(D49)*Assumptions!$E$9/Assumptions!$E$10)^1.5</f>
        <v>1.10123826482359E-005</v>
      </c>
      <c r="H49" s="22" t="n">
        <f aca="false">IF(E49=1,C49-F49-G49,0)</f>
        <v>0.00547968772396692</v>
      </c>
      <c r="I49" s="23" t="n">
        <f aca="false">I48*(1+H49)</f>
        <v>1.05828362119709</v>
      </c>
      <c r="J49" s="23" t="n">
        <f aca="false">MAX(J48,I49)</f>
        <v>1.12117293251355</v>
      </c>
      <c r="K49" s="22" t="n">
        <f aca="false">IFERROR(I49/J49-1,0)</f>
        <v>-0.0560924273969633</v>
      </c>
      <c r="L49" s="22" t="n">
        <f aca="false">ABS(D49)*Assumptions!$E$9/Assumptions!$E$10</f>
        <v>0.0311817772786264</v>
      </c>
    </row>
    <row r="50" customFormat="false" ht="15" hidden="false" customHeight="false" outlineLevel="0" collapsed="false">
      <c r="B50" s="0" t="n">
        <v>46</v>
      </c>
      <c r="C50" s="12" t="n">
        <v>0.0121436062989767</v>
      </c>
      <c r="D50" s="12" t="n">
        <v>0.283433487115037</v>
      </c>
      <c r="E50" s="22" t="n">
        <f aca="false">IF(AND(Assumptions!$E$18&gt;=1,Assumptions!$E$19=1),1,0)</f>
        <v>1</v>
      </c>
      <c r="F50" s="22" t="n">
        <f aca="false">ABS(D50)*Assumptions!$E$7/10000</f>
        <v>0.00022674678969203</v>
      </c>
      <c r="G50" s="22" t="n">
        <f aca="false">Assumptions!$E$8*(ABS(D50)*Assumptions!$E$9/Assumptions!$E$10)^1.5</f>
        <v>9.54347929565138E-006</v>
      </c>
      <c r="H50" s="22" t="n">
        <f aca="false">IF(E50=1,C50-F50-G50,0)</f>
        <v>0.011907316029989</v>
      </c>
      <c r="I50" s="23" t="n">
        <f aca="false">I49*(1+H50)</f>
        <v>1.07088493872405</v>
      </c>
      <c r="J50" s="23" t="n">
        <f aca="false">MAX(J49,I50)</f>
        <v>1.12117293251355</v>
      </c>
      <c r="K50" s="22" t="n">
        <f aca="false">IFERROR(I50/J50-1,0)</f>
        <v>-0.0448530216268791</v>
      </c>
      <c r="L50" s="22" t="n">
        <f aca="false">ABS(D50)*Assumptions!$E$9/Assumptions!$E$10</f>
        <v>0.0283433487115037</v>
      </c>
    </row>
    <row r="51" customFormat="false" ht="15" hidden="false" customHeight="false" outlineLevel="0" collapsed="false">
      <c r="B51" s="0" t="n">
        <v>47</v>
      </c>
      <c r="C51" s="12" t="n">
        <v>0.0079464572032407</v>
      </c>
      <c r="D51" s="12" t="n">
        <v>0.253716313818004</v>
      </c>
      <c r="E51" s="22" t="n">
        <f aca="false">IF(AND(Assumptions!$E$18&gt;=1,Assumptions!$E$19=1),1,0)</f>
        <v>1</v>
      </c>
      <c r="F51" s="22" t="n">
        <f aca="false">ABS(D51)*Assumptions!$E$7/10000</f>
        <v>0.000202973051054403</v>
      </c>
      <c r="G51" s="22" t="n">
        <f aca="false">Assumptions!$E$8*(ABS(D51)*Assumptions!$E$9/Assumptions!$E$10)^1.5</f>
        <v>8.08262789150611E-006</v>
      </c>
      <c r="H51" s="22" t="n">
        <f aca="false">IF(E51=1,C51-F51-G51,0)</f>
        <v>0.00773540152429479</v>
      </c>
      <c r="I51" s="23" t="n">
        <f aca="false">I50*(1+H51)</f>
        <v>1.0791686637114</v>
      </c>
      <c r="J51" s="23" t="n">
        <f aca="false">MAX(J50,I51)</f>
        <v>1.12117293251355</v>
      </c>
      <c r="K51" s="22" t="n">
        <f aca="false">IFERROR(I51/J51-1,0)</f>
        <v>-0.0374645762344462</v>
      </c>
      <c r="L51" s="22" t="n">
        <f aca="false">ABS(D51)*Assumptions!$E$9/Assumptions!$E$10</f>
        <v>0.0253716313818004</v>
      </c>
    </row>
    <row r="52" customFormat="false" ht="15" hidden="false" customHeight="false" outlineLevel="0" collapsed="false">
      <c r="B52" s="0" t="n">
        <v>48</v>
      </c>
      <c r="C52" s="12" t="n">
        <v>0.0035837128016564</v>
      </c>
      <c r="D52" s="12" t="n">
        <v>0.276149017183447</v>
      </c>
      <c r="E52" s="22" t="n">
        <f aca="false">IF(AND(Assumptions!$E$18&gt;=1,Assumptions!$E$19=1),1,0)</f>
        <v>1</v>
      </c>
      <c r="F52" s="22" t="n">
        <f aca="false">ABS(D52)*Assumptions!$E$7/10000</f>
        <v>0.000220919213746758</v>
      </c>
      <c r="G52" s="22" t="n">
        <f aca="false">Assumptions!$E$8*(ABS(D52)*Assumptions!$E$9/Assumptions!$E$10)^1.5</f>
        <v>9.17794072521195E-006</v>
      </c>
      <c r="H52" s="22" t="n">
        <f aca="false">IF(E52=1,C52-F52-G52,0)</f>
        <v>0.00335361564718443</v>
      </c>
      <c r="I52" s="23" t="n">
        <f aca="false">I51*(1+H52)</f>
        <v>1.08278778062797</v>
      </c>
      <c r="J52" s="23" t="n">
        <f aca="false">MAX(J51,I52)</f>
        <v>1.12117293251355</v>
      </c>
      <c r="K52" s="22" t="n">
        <f aca="false">IFERROR(I52/J52-1,0)</f>
        <v>-0.0342366023763366</v>
      </c>
      <c r="L52" s="22" t="n">
        <f aca="false">ABS(D52)*Assumptions!$E$9/Assumptions!$E$10</f>
        <v>0.0276149017183447</v>
      </c>
    </row>
    <row r="53" customFormat="false" ht="15" hidden="false" customHeight="false" outlineLevel="0" collapsed="false">
      <c r="B53" s="0" t="n">
        <v>49</v>
      </c>
      <c r="C53" s="12" t="n">
        <v>-0.000501354580917067</v>
      </c>
      <c r="D53" s="12" t="n">
        <v>0.304971869387789</v>
      </c>
      <c r="E53" s="22" t="n">
        <f aca="false">IF(AND(Assumptions!$E$18&gt;=1,Assumptions!$E$19=1),1,0)</f>
        <v>1</v>
      </c>
      <c r="F53" s="22" t="n">
        <f aca="false">ABS(D53)*Assumptions!$E$7/10000</f>
        <v>0.000243977495510231</v>
      </c>
      <c r="G53" s="22" t="n">
        <f aca="false">Assumptions!$E$8*(ABS(D53)*Assumptions!$E$9/Assumptions!$E$10)^1.5</f>
        <v>1.06517182038286E-005</v>
      </c>
      <c r="H53" s="22" t="n">
        <f aca="false">IF(E53=1,C53-F53-G53,0)</f>
        <v>-0.000755983794631127</v>
      </c>
      <c r="I53" s="23" t="n">
        <f aca="false">I52*(1+H53)</f>
        <v>1.08196921061279</v>
      </c>
      <c r="J53" s="23" t="n">
        <f aca="false">MAX(J52,I53)</f>
        <v>1.12117293251355</v>
      </c>
      <c r="K53" s="22" t="n">
        <f aca="false">IFERROR(I53/J53-1,0)</f>
        <v>-0.0349667038543882</v>
      </c>
      <c r="L53" s="22" t="n">
        <f aca="false">ABS(D53)*Assumptions!$E$9/Assumptions!$E$10</f>
        <v>0.0304971869387789</v>
      </c>
    </row>
    <row r="54" customFormat="false" ht="15" hidden="false" customHeight="false" outlineLevel="0" collapsed="false">
      <c r="B54" s="0" t="n">
        <v>50</v>
      </c>
      <c r="C54" s="12" t="n">
        <v>-0.0139052502583773</v>
      </c>
      <c r="D54" s="12" t="n">
        <v>0.331603166633405</v>
      </c>
      <c r="E54" s="22" t="n">
        <f aca="false">IF(AND(Assumptions!$E$18&gt;=1,Assumptions!$E$19=1),1,0)</f>
        <v>1</v>
      </c>
      <c r="F54" s="22" t="n">
        <f aca="false">ABS(D54)*Assumptions!$E$7/10000</f>
        <v>0.000265282533306724</v>
      </c>
      <c r="G54" s="22" t="n">
        <f aca="false">Assumptions!$E$8*(ABS(D54)*Assumptions!$E$9/Assumptions!$E$10)^1.5</f>
        <v>1.20769703322188E-005</v>
      </c>
      <c r="H54" s="22" t="n">
        <f aca="false">IF(E54=1,C54-F54-G54,0)</f>
        <v>-0.0141826097620163</v>
      </c>
      <c r="I54" s="23" t="n">
        <f aca="false">I53*(1+H54)</f>
        <v>1.06662406352416</v>
      </c>
      <c r="J54" s="23" t="n">
        <f aca="false">MAX(J53,I54)</f>
        <v>1.12117293251355</v>
      </c>
      <c r="K54" s="22" t="n">
        <f aca="false">IFERROR(I54/J54-1,0)</f>
        <v>-0.0486533945009737</v>
      </c>
      <c r="L54" s="22" t="n">
        <f aca="false">ABS(D54)*Assumptions!$E$9/Assumptions!$E$10</f>
        <v>0.0331603166633405</v>
      </c>
    </row>
    <row r="55" customFormat="false" ht="15" hidden="false" customHeight="false" outlineLevel="0" collapsed="false">
      <c r="B55" s="0" t="n">
        <v>51</v>
      </c>
      <c r="C55" s="12" t="n">
        <v>-0.00630773479296565</v>
      </c>
      <c r="D55" s="12" t="n">
        <v>0.354981203139031</v>
      </c>
      <c r="E55" s="22" t="n">
        <f aca="false">IF(AND(Assumptions!$E$18&gt;=1,Assumptions!$E$19=1),1,0)</f>
        <v>1</v>
      </c>
      <c r="F55" s="22" t="n">
        <f aca="false">ABS(D55)*Assumptions!$E$7/10000</f>
        <v>0.000283984962511225</v>
      </c>
      <c r="G55" s="22" t="n">
        <f aca="false">Assumptions!$E$8*(ABS(D55)*Assumptions!$E$9/Assumptions!$E$10)^1.5</f>
        <v>1.33763625478783E-005</v>
      </c>
      <c r="H55" s="22" t="n">
        <f aca="false">IF(E55=1,C55-F55-G55,0)</f>
        <v>-0.00660509611802476</v>
      </c>
      <c r="I55" s="23" t="n">
        <f aca="false">I54*(1+H55)</f>
        <v>1.05957890906278</v>
      </c>
      <c r="J55" s="23" t="n">
        <f aca="false">MAX(J54,I55)</f>
        <v>1.12117293251355</v>
      </c>
      <c r="K55" s="22" t="n">
        <f aca="false">IFERROR(I55/J55-1,0)</f>
        <v>-0.0549371302718513</v>
      </c>
      <c r="L55" s="22" t="n">
        <f aca="false">ABS(D55)*Assumptions!$E$9/Assumptions!$E$10</f>
        <v>0.0354981203139031</v>
      </c>
    </row>
    <row r="56" customFormat="false" ht="15" hidden="false" customHeight="false" outlineLevel="0" collapsed="false">
      <c r="B56" s="0" t="n">
        <v>52</v>
      </c>
      <c r="C56" s="12" t="n">
        <v>-0.00750596791669256</v>
      </c>
      <c r="D56" s="12" t="n">
        <v>0.374173970362848</v>
      </c>
      <c r="E56" s="22" t="n">
        <f aca="false">IF(AND(Assumptions!$E$18&gt;=1,Assumptions!$E$19=1),1,0)</f>
        <v>1</v>
      </c>
      <c r="F56" s="22" t="n">
        <f aca="false">ABS(D56)*Assumptions!$E$7/10000</f>
        <v>0.000299339176290278</v>
      </c>
      <c r="G56" s="22" t="n">
        <f aca="false">Assumptions!$E$8*(ABS(D56)*Assumptions!$E$9/Assumptions!$E$10)^1.5</f>
        <v>1.44757259988973E-005</v>
      </c>
      <c r="H56" s="22" t="n">
        <f aca="false">IF(E56=1,C56-F56-G56,0)</f>
        <v>-0.00781978281898174</v>
      </c>
      <c r="I56" s="23" t="n">
        <f aca="false">I55*(1+H56)</f>
        <v>1.05129323211434</v>
      </c>
      <c r="J56" s="23" t="n">
        <f aca="false">MAX(J55,I56)</f>
        <v>1.12117293251355</v>
      </c>
      <c r="K56" s="22" t="n">
        <f aca="false">IFERROR(I56/J56-1,0)</f>
        <v>-0.0623273166634091</v>
      </c>
      <c r="L56" s="22" t="n">
        <f aca="false">ABS(D56)*Assumptions!$E$9/Assumptions!$E$10</f>
        <v>0.0374173970362848</v>
      </c>
    </row>
    <row r="57" customFormat="false" ht="15" hidden="false" customHeight="false" outlineLevel="0" collapsed="false">
      <c r="B57" s="0" t="n">
        <v>53</v>
      </c>
      <c r="C57" s="12" t="n">
        <v>-0.00743558260759404</v>
      </c>
      <c r="D57" s="12" t="n">
        <v>0.388416313241921</v>
      </c>
      <c r="E57" s="22" t="n">
        <f aca="false">IF(AND(Assumptions!$E$18&gt;=1,Assumptions!$E$19=1),1,0)</f>
        <v>1</v>
      </c>
      <c r="F57" s="22" t="n">
        <f aca="false">ABS(D57)*Assumptions!$E$7/10000</f>
        <v>0.000310733050593537</v>
      </c>
      <c r="G57" s="22" t="n">
        <f aca="false">Assumptions!$E$8*(ABS(D57)*Assumptions!$E$9/Assumptions!$E$10)^1.5</f>
        <v>1.53100351658494E-005</v>
      </c>
      <c r="H57" s="22" t="n">
        <f aca="false">IF(E57=1,C57-F57-G57,0)</f>
        <v>-0.00776162569335343</v>
      </c>
      <c r="I57" s="23" t="n">
        <f aca="false">I56*(1+H57)</f>
        <v>1.04313348755271</v>
      </c>
      <c r="J57" s="23" t="n">
        <f aca="false">MAX(J56,I57)</f>
        <v>1.12117293251355</v>
      </c>
      <c r="K57" s="22" t="n">
        <f aca="false">IFERROR(I57/J57-1,0)</f>
        <v>-0.0696051810543501</v>
      </c>
      <c r="L57" s="22" t="n">
        <f aca="false">ABS(D57)*Assumptions!$E$9/Assumptions!$E$10</f>
        <v>0.0388416313241921</v>
      </c>
    </row>
    <row r="58" customFormat="false" ht="15" hidden="false" customHeight="false" outlineLevel="0" collapsed="false">
      <c r="B58" s="0" t="n">
        <v>54</v>
      </c>
      <c r="C58" s="12" t="n">
        <v>-0.00617639494320523</v>
      </c>
      <c r="D58" s="12" t="n">
        <v>0.397140434509974</v>
      </c>
      <c r="E58" s="22" t="n">
        <f aca="false">IF(AND(Assumptions!$E$18&gt;=1,Assumptions!$E$19=1),1,0)</f>
        <v>1</v>
      </c>
      <c r="F58" s="22" t="n">
        <f aca="false">ABS(D58)*Assumptions!$E$7/10000</f>
        <v>0.000317712347607979</v>
      </c>
      <c r="G58" s="22" t="n">
        <f aca="false">Assumptions!$E$8*(ABS(D58)*Assumptions!$E$9/Assumptions!$E$10)^1.5</f>
        <v>1.58287330787454E-005</v>
      </c>
      <c r="H58" s="22" t="n">
        <f aca="false">IF(E58=1,C58-F58-G58,0)</f>
        <v>-0.00650993602389196</v>
      </c>
      <c r="I58" s="23" t="n">
        <f aca="false">I57*(1+H58)</f>
        <v>1.03634275528436</v>
      </c>
      <c r="J58" s="23" t="n">
        <f aca="false">MAX(J57,I58)</f>
        <v>1.12117293251355</v>
      </c>
      <c r="K58" s="22" t="n">
        <f aca="false">IFERROR(I58/J58-1,0)</f>
        <v>-0.0756619918026468</v>
      </c>
      <c r="L58" s="22" t="n">
        <f aca="false">ABS(D58)*Assumptions!$E$9/Assumptions!$E$10</f>
        <v>0.0397140434509974</v>
      </c>
    </row>
    <row r="59" customFormat="false" ht="15" hidden="false" customHeight="false" outlineLevel="0" collapsed="false">
      <c r="B59" s="0" t="n">
        <v>55</v>
      </c>
      <c r="C59" s="12" t="n">
        <v>-0.013942149190867</v>
      </c>
      <c r="D59" s="12" t="n">
        <v>0.399998530982606</v>
      </c>
      <c r="E59" s="22" t="n">
        <f aca="false">IF(AND(Assumptions!$E$18&gt;=1,Assumptions!$E$19=1),1,0)</f>
        <v>1</v>
      </c>
      <c r="F59" s="22" t="n">
        <f aca="false">ABS(D59)*Assumptions!$E$7/10000</f>
        <v>0.000319998824786084</v>
      </c>
      <c r="G59" s="22" t="n">
        <f aca="false">Assumptions!$E$8*(ABS(D59)*Assumptions!$E$9/Assumptions!$E$10)^1.5</f>
        <v>1.59999118590373E-005</v>
      </c>
      <c r="H59" s="22" t="n">
        <f aca="false">IF(E59=1,C59-F59-G59,0)</f>
        <v>-0.0142781479275121</v>
      </c>
      <c r="I59" s="23" t="n">
        <f aca="false">I58*(1+H59)</f>
        <v>1.02154570012081</v>
      </c>
      <c r="J59" s="23" t="n">
        <f aca="false">MAX(J58,I59)</f>
        <v>1.12117293251355</v>
      </c>
      <c r="K59" s="22" t="n">
        <f aca="false">IFERROR(I59/J59-1,0)</f>
        <v>-0.0888598266187103</v>
      </c>
      <c r="L59" s="22" t="n">
        <f aca="false">ABS(D59)*Assumptions!$E$9/Assumptions!$E$10</f>
        <v>0.0399998530982606</v>
      </c>
    </row>
    <row r="60" customFormat="false" ht="15" hidden="false" customHeight="false" outlineLevel="0" collapsed="false">
      <c r="B60" s="0" t="n">
        <v>56</v>
      </c>
      <c r="C60" s="12" t="n">
        <v>-0.00105545697169086</v>
      </c>
      <c r="D60" s="12" t="n">
        <v>0.396876659372698</v>
      </c>
      <c r="E60" s="22" t="n">
        <f aca="false">IF(AND(Assumptions!$E$18&gt;=1,Assumptions!$E$19=1),1,0)</f>
        <v>1</v>
      </c>
      <c r="F60" s="22" t="n">
        <f aca="false">ABS(D60)*Assumptions!$E$7/10000</f>
        <v>0.000317501327498158</v>
      </c>
      <c r="G60" s="22" t="n">
        <f aca="false">Assumptions!$E$8*(ABS(D60)*Assumptions!$E$9/Assumptions!$E$10)^1.5</f>
        <v>1.58129658619646E-005</v>
      </c>
      <c r="H60" s="22" t="n">
        <f aca="false">IF(E60=1,C60-F60-G60,0)</f>
        <v>-0.00138877126505098</v>
      </c>
      <c r="I60" s="23" t="n">
        <f aca="false">I59*(1+H60)</f>
        <v>1.02012700680654</v>
      </c>
      <c r="J60" s="23" t="n">
        <f aca="false">MAX(J59,I60)</f>
        <v>1.12117293251355</v>
      </c>
      <c r="K60" s="22" t="n">
        <f aca="false">IFERROR(I60/J60-1,0)</f>
        <v>-0.0901251919099358</v>
      </c>
      <c r="L60" s="22" t="n">
        <f aca="false">ABS(D60)*Assumptions!$E$9/Assumptions!$E$10</f>
        <v>0.0396876659372698</v>
      </c>
    </row>
    <row r="61" customFormat="false" ht="15" hidden="false" customHeight="false" outlineLevel="0" collapsed="false">
      <c r="B61" s="0" t="n">
        <v>57</v>
      </c>
      <c r="C61" s="12" t="n">
        <v>0.00208927946906418</v>
      </c>
      <c r="D61" s="12" t="n">
        <v>0.387899278849701</v>
      </c>
      <c r="E61" s="22" t="n">
        <f aca="false">IF(AND(Assumptions!$E$18&gt;=1,Assumptions!$E$19=1),1,0)</f>
        <v>1</v>
      </c>
      <c r="F61" s="22" t="n">
        <f aca="false">ABS(D61)*Assumptions!$E$7/10000</f>
        <v>0.000310319423079761</v>
      </c>
      <c r="G61" s="22" t="n">
        <f aca="false">Assumptions!$E$8*(ABS(D61)*Assumptions!$E$9/Assumptions!$E$10)^1.5</f>
        <v>1.5279475764949E-005</v>
      </c>
      <c r="H61" s="22" t="n">
        <f aca="false">IF(E61=1,C61-F61-G61,0)</f>
        <v>0.00176368057021947</v>
      </c>
      <c r="I61" s="23" t="n">
        <f aca="false">I60*(1+H61)</f>
        <v>1.0219261849876</v>
      </c>
      <c r="J61" s="23" t="n">
        <f aca="false">MAX(J60,I61)</f>
        <v>1.12117293251355</v>
      </c>
      <c r="K61" s="22" t="n">
        <f aca="false">IFERROR(I61/J61-1,0)</f>
        <v>-0.0885204633895751</v>
      </c>
      <c r="L61" s="22" t="n">
        <f aca="false">ABS(D61)*Assumptions!$E$9/Assumptions!$E$10</f>
        <v>0.0387899278849701</v>
      </c>
    </row>
    <row r="62" customFormat="false" ht="15" hidden="false" customHeight="false" outlineLevel="0" collapsed="false">
      <c r="B62" s="0" t="n">
        <v>58</v>
      </c>
      <c r="C62" s="12" t="n">
        <v>0.00507084643567315</v>
      </c>
      <c r="D62" s="12" t="n">
        <v>0.373424289245306</v>
      </c>
      <c r="E62" s="22" t="n">
        <f aca="false">IF(AND(Assumptions!$E$18&gt;=1,Assumptions!$E$19=1),1,0)</f>
        <v>1</v>
      </c>
      <c r="F62" s="22" t="n">
        <f aca="false">ABS(D62)*Assumptions!$E$7/10000</f>
        <v>0.000298739431396245</v>
      </c>
      <c r="G62" s="22" t="n">
        <f aca="false">Assumptions!$E$8*(ABS(D62)*Assumptions!$E$9/Assumptions!$E$10)^1.5</f>
        <v>1.44322432539807E-005</v>
      </c>
      <c r="H62" s="22" t="n">
        <f aca="false">IF(E62=1,C62-F62-G62,0)</f>
        <v>0.00475767476102292</v>
      </c>
      <c r="I62" s="23" t="n">
        <f aca="false">I61*(1+H62)</f>
        <v>1.02678817740555</v>
      </c>
      <c r="J62" s="23" t="n">
        <f aca="false">MAX(J61,I62)</f>
        <v>1.12117293251355</v>
      </c>
      <c r="K62" s="22" t="n">
        <f aca="false">IFERROR(I62/J62-1,0)</f>
        <v>-0.0841839402030548</v>
      </c>
      <c r="L62" s="22" t="n">
        <f aca="false">ABS(D62)*Assumptions!$E$9/Assumptions!$E$10</f>
        <v>0.0373424289245306</v>
      </c>
    </row>
    <row r="63" customFormat="false" ht="15" hidden="false" customHeight="false" outlineLevel="0" collapsed="false">
      <c r="B63" s="0" t="n">
        <v>59</v>
      </c>
      <c r="C63" s="12" t="n">
        <v>0.00748911701523658</v>
      </c>
      <c r="D63" s="12" t="n">
        <v>0.354028762716568</v>
      </c>
      <c r="E63" s="22" t="n">
        <f aca="false">IF(AND(Assumptions!$E$18&gt;=1,Assumptions!$E$19=1),1,0)</f>
        <v>1</v>
      </c>
      <c r="F63" s="22" t="n">
        <f aca="false">ABS(D63)*Assumptions!$E$7/10000</f>
        <v>0.000283223010173255</v>
      </c>
      <c r="G63" s="22" t="n">
        <f aca="false">Assumptions!$E$8*(ABS(D63)*Assumptions!$E$9/Assumptions!$E$10)^1.5</f>
        <v>1.33225640421622E-005</v>
      </c>
      <c r="H63" s="22" t="n">
        <f aca="false">IF(E63=1,C63-F63-G63,0)</f>
        <v>0.00719257144102117</v>
      </c>
      <c r="I63" s="23" t="n">
        <f aca="false">I62*(1+H63)</f>
        <v>1.03417342472633</v>
      </c>
      <c r="J63" s="23" t="n">
        <f aca="false">MAX(J62,I63)</f>
        <v>1.12117293251355</v>
      </c>
      <c r="K63" s="22" t="n">
        <f aca="false">IFERROR(I63/J63-1,0)</f>
        <v>-0.0775968677661306</v>
      </c>
      <c r="L63" s="22" t="n">
        <f aca="false">ABS(D63)*Assumptions!$E$9/Assumptions!$E$10</f>
        <v>0.0354028762716568</v>
      </c>
    </row>
    <row r="64" customFormat="false" ht="15" hidden="false" customHeight="false" outlineLevel="0" collapsed="false">
      <c r="B64" s="0" t="n">
        <v>60</v>
      </c>
      <c r="C64" s="12" t="n">
        <v>-0.00098943569946022</v>
      </c>
      <c r="D64" s="12" t="n">
        <v>0.330485937700065</v>
      </c>
      <c r="E64" s="22" t="n">
        <f aca="false">IF(AND(Assumptions!$E$18&gt;=1,Assumptions!$E$19=1),1,0)</f>
        <v>1</v>
      </c>
      <c r="F64" s="22" t="n">
        <f aca="false">ABS(D64)*Assumptions!$E$7/10000</f>
        <v>0.000264388750160052</v>
      </c>
      <c r="G64" s="22" t="n">
        <f aca="false">Assumptions!$E$8*(ABS(D64)*Assumptions!$E$9/Assumptions!$E$10)^1.5</f>
        <v>1.20159876390503E-005</v>
      </c>
      <c r="H64" s="22" t="n">
        <f aca="false">IF(E64=1,C64-F64-G64,0)</f>
        <v>-0.00126584043725932</v>
      </c>
      <c r="I64" s="23" t="n">
        <f aca="false">I63*(1+H64)</f>
        <v>1.03286432618618</v>
      </c>
      <c r="J64" s="23" t="n">
        <f aca="false">MAX(J63,I64)</f>
        <v>1.12117293251355</v>
      </c>
      <c r="K64" s="22" t="n">
        <f aca="false">IFERROR(I64/J64-1,0)</f>
        <v>-0.078764482950367</v>
      </c>
      <c r="L64" s="22" t="n">
        <f aca="false">ABS(D64)*Assumptions!$E$9/Assumptions!$E$10</f>
        <v>0.0330485937700065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27.75" hidden="false" customHeight="true" outlineLevel="0" collapsed="false">
      <c r="B2" s="1" t="s">
        <v>63</v>
      </c>
      <c r="C2" s="1"/>
      <c r="D2" s="1"/>
      <c r="E2" s="1"/>
    </row>
    <row r="4" customFormat="false" ht="15" hidden="false" customHeight="false" outlineLevel="0" collapsed="false">
      <c r="B4" s="8" t="s">
        <v>64</v>
      </c>
      <c r="C4" s="8" t="s">
        <v>65</v>
      </c>
      <c r="D4" s="8" t="s">
        <v>66</v>
      </c>
      <c r="E4" s="8" t="s">
        <v>67</v>
      </c>
    </row>
    <row r="5" customFormat="false" ht="15" hidden="false" customHeight="false" outlineLevel="0" collapsed="false">
      <c r="B5" s="0" t="s">
        <v>68</v>
      </c>
      <c r="C5" s="22" t="n">
        <f aca="false">AVERAGE(Backtest!C5:C64)*Assumptions!E5</f>
        <v>0.0106418518703173</v>
      </c>
      <c r="D5" s="22" t="n">
        <f aca="false">AVERAGE(Backtest!H5:H64)*Assumptions!E5</f>
        <v>0.0071373816543462</v>
      </c>
      <c r="E5" s="11" t="s">
        <v>69</v>
      </c>
    </row>
    <row r="6" customFormat="false" ht="15" hidden="false" customHeight="false" outlineLevel="0" collapsed="false">
      <c r="B6" s="0" t="s">
        <v>70</v>
      </c>
      <c r="C6" s="22" t="n">
        <f aca="false">STDEVP(Backtest!C5:C64)*SQRT(Assumptions!E5)</f>
        <v>0.0366220319407769</v>
      </c>
      <c r="D6" s="22" t="n">
        <f aca="false">STDEVP(Backtest!H5:H64)*SQRT(Assumptions!E5)</f>
        <v>0.0365802803204241</v>
      </c>
      <c r="E6" s="11" t="s">
        <v>71</v>
      </c>
    </row>
    <row r="7" customFormat="false" ht="15" hidden="false" customHeight="false" outlineLevel="0" collapsed="false">
      <c r="B7" s="0" t="s">
        <v>72</v>
      </c>
      <c r="C7" s="24" t="n">
        <f aca="false">IFERROR((AVERAGE(Backtest!C5:C64)-Assumptions!E6)/STDEVP(Backtest!C5:C64)*SQRT(Assumptions!E5),0)</f>
        <v>-0.364757153597724</v>
      </c>
      <c r="D7" s="24" t="n">
        <f aca="false">IFERROR((AVERAGE(Backtest!H5:H64)-Assumptions!E6)/STDEVP(Backtest!H5:H64)*SQRT(Assumptions!E5),0)</f>
        <v>-0.460975645838306</v>
      </c>
      <c r="E7" s="11" t="s">
        <v>73</v>
      </c>
    </row>
    <row r="8" customFormat="false" ht="15" hidden="false" customHeight="false" outlineLevel="0" collapsed="false">
      <c r="B8" s="0" t="s">
        <v>74</v>
      </c>
      <c r="C8" s="24" t="n">
        <f aca="false">IFERROR((AVERAGE(Backtest!C5:C64)-Assumptions!E6)/SQRT(SUMPRODUCT((Backtest!C5:C64&lt;Assumptions!E6)*(Backtest!C5:C64-Assumptions!E6)^2)/COUNT(Backtest!C5:C64))*SQRT(Assumptions!E5),0)</f>
        <v>-0.476754711518125</v>
      </c>
      <c r="D8" s="24" t="n">
        <f aca="false">IFERROR((AVERAGE(Backtest!H5:H64)-Assumptions!E6)/SQRT(SUMPRODUCT((Backtest!H5:H64&lt;Assumptions!E6)*(Backtest!H5:H64-Assumptions!E6)^2)/COUNT(Backtest!H5:H64))*SQRT(Assumptions!E5),0)</f>
        <v>-0.589243796234642</v>
      </c>
      <c r="E8" s="11" t="s">
        <v>75</v>
      </c>
    </row>
    <row r="9" customFormat="false" ht="15" hidden="false" customHeight="false" outlineLevel="0" collapsed="false">
      <c r="B9" s="0" t="s">
        <v>76</v>
      </c>
      <c r="C9" s="22" t="n">
        <f aca="false">MIN(Backtest!K5:K64)</f>
        <v>-0.149825730153057</v>
      </c>
      <c r="D9" s="22" t="n">
        <f aca="false">MIN(Backtest!K5:K64)</f>
        <v>-0.149825730153057</v>
      </c>
      <c r="E9" s="11" t="s">
        <v>77</v>
      </c>
    </row>
    <row r="10" customFormat="false" ht="15" hidden="false" customHeight="false" outlineLevel="0" collapsed="false">
      <c r="B10" s="0" t="s">
        <v>78</v>
      </c>
      <c r="C10" s="22" t="n">
        <f aca="false">COUNTIF(Backtest!C5:C64,"&gt;0")/COUNT(Backtest!C5:C64)</f>
        <v>0.5</v>
      </c>
      <c r="D10" s="22" t="n">
        <f aca="false">COUNTIF(Backtest!H5:H64,"&gt;0")/COUNT(Backtest!H5:H64)</f>
        <v>0.5</v>
      </c>
      <c r="E10" s="11" t="s">
        <v>79</v>
      </c>
    </row>
    <row r="11" customFormat="false" ht="15" hidden="false" customHeight="false" outlineLevel="0" collapsed="false">
      <c r="B11" s="0" t="s">
        <v>80</v>
      </c>
      <c r="C11" s="25" t="n">
        <f aca="false">PRODUCT(1+Backtest!C5:C64)</f>
        <v>1.01391884441607</v>
      </c>
      <c r="D11" s="25" t="n">
        <f aca="false">Backtest!I64</f>
        <v>1.03286432618618</v>
      </c>
      <c r="E11" s="11" t="s">
        <v>81</v>
      </c>
    </row>
    <row r="12" customFormat="false" ht="15" hidden="false" customHeight="false" outlineLevel="0" collapsed="false">
      <c r="B12" s="0" t="s">
        <v>82</v>
      </c>
      <c r="C12" s="22" t="n">
        <f aca="false">C5-D5</f>
        <v>0.0035044702159711</v>
      </c>
      <c r="D12" s="22" t="n">
        <f aca="false">C5-D5</f>
        <v>0.0035044702159711</v>
      </c>
      <c r="E12" s="11" t="s">
        <v>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10" min="7" style="0" width="16"/>
  </cols>
  <sheetData>
    <row r="2" customFormat="false" ht="27.75" hidden="false" customHeight="true" outlineLevel="0" collapsed="false">
      <c r="B2" s="1" t="s">
        <v>84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8" t="s">
        <v>85</v>
      </c>
      <c r="C4" s="8" t="s">
        <v>86</v>
      </c>
      <c r="D4" s="8" t="s">
        <v>87</v>
      </c>
      <c r="E4" s="8" t="s">
        <v>88</v>
      </c>
      <c r="F4" s="8" t="s">
        <v>89</v>
      </c>
      <c r="G4" s="8" t="s">
        <v>90</v>
      </c>
      <c r="H4" s="8" t="s">
        <v>91</v>
      </c>
      <c r="I4" s="8" t="s">
        <v>92</v>
      </c>
      <c r="J4" s="8" t="s">
        <v>93</v>
      </c>
    </row>
    <row r="5" customFormat="false" ht="15" hidden="false" customHeight="false" outlineLevel="0" collapsed="false">
      <c r="B5" s="0" t="n">
        <v>1</v>
      </c>
      <c r="C5" s="0" t="n">
        <v>1</v>
      </c>
      <c r="D5" s="0" t="n">
        <v>24</v>
      </c>
      <c r="E5" s="0" t="n">
        <v>25</v>
      </c>
      <c r="F5" s="0" t="n">
        <v>30</v>
      </c>
      <c r="G5" s="24" t="n">
        <f aca="false">IFERROR(AVERAGE(INDEX(Backtest!$H$5:$H$64,C5):INDEX(Backtest!$H$5:$H$64,D5))/STDEVP(INDEX(Backtest!$H$5:$H$64,C5):INDEX(Backtest!$H$5:$H$64,D5))*SQRT(Assumptions!$E$5),0)</f>
        <v>0.378503671459219</v>
      </c>
      <c r="H5" s="24" t="n">
        <f aca="false">IFERROR(AVERAGE(INDEX(Backtest!$H$5:$H$64,E5):INDEX(Backtest!$H$5:$H$64,F5))/STDEVP(INDEX(Backtest!$H$5:$H$64,E5):INDEX(Backtest!$H$5:$H$64,F5))*SQRT(Assumptions!$E$5),0)</f>
        <v>-1.55022273126917</v>
      </c>
      <c r="I5" s="22" t="n">
        <f aca="false">(1+INDEX(Backtest!$H$5:$H$64,E5+0))*(1+INDEX(Backtest!$H$5:$H$64,E5+1))*(1+INDEX(Backtest!$H$5:$H$64,E5+2))*(1+INDEX(Backtest!$H$5:$H$64,E5+3))*(1+INDEX(Backtest!$H$5:$H$64,E5+4))*(1+INDEX(Backtest!$H$5:$H$64,E5+5))-1</f>
        <v>-0.0188858748550017</v>
      </c>
      <c r="J5" s="24" t="n">
        <f aca="false">H5-G5</f>
        <v>-1.92872640272839</v>
      </c>
    </row>
    <row r="6" customFormat="false" ht="15" hidden="false" customHeight="false" outlineLevel="0" collapsed="false">
      <c r="B6" s="0" t="n">
        <v>2</v>
      </c>
      <c r="C6" s="0" t="n">
        <v>7</v>
      </c>
      <c r="D6" s="0" t="n">
        <v>30</v>
      </c>
      <c r="E6" s="0" t="n">
        <v>31</v>
      </c>
      <c r="F6" s="0" t="n">
        <v>36</v>
      </c>
      <c r="G6" s="24" t="n">
        <f aca="false">IFERROR(AVERAGE(INDEX(Backtest!$H$5:$H$64,C6):INDEX(Backtest!$H$5:$H$64,D6))/STDEVP(INDEX(Backtest!$H$5:$H$64,C6):INDEX(Backtest!$H$5:$H$64,D6))*SQRT(Assumptions!$E$5),0)</f>
        <v>-1.20874247160734</v>
      </c>
      <c r="H6" s="24" t="n">
        <f aca="false">IFERROR(AVERAGE(INDEX(Backtest!$H$5:$H$64,E6):INDEX(Backtest!$H$5:$H$64,F6))/STDEVP(INDEX(Backtest!$H$5:$H$64,E6):INDEX(Backtest!$H$5:$H$64,F6))*SQRT(Assumptions!$E$5),0)</f>
        <v>-8.19288150306608</v>
      </c>
      <c r="I6" s="22" t="n">
        <f aca="false">(1+INDEX(Backtest!$H$5:$H$64,E6+0))*(1+INDEX(Backtest!$H$5:$H$64,E6+1))*(1+INDEX(Backtest!$H$5:$H$64,E6+2))*(1+INDEX(Backtest!$H$5:$H$64,E6+3))*(1+INDEX(Backtest!$H$5:$H$64,E6+4))*(1+INDEX(Backtest!$H$5:$H$64,E6+5))-1</f>
        <v>-0.0556908654425294</v>
      </c>
      <c r="J6" s="24" t="n">
        <f aca="false">H6-G6</f>
        <v>-6.98413903145874</v>
      </c>
    </row>
    <row r="7" customFormat="false" ht="15" hidden="false" customHeight="false" outlineLevel="0" collapsed="false">
      <c r="B7" s="0" t="n">
        <v>3</v>
      </c>
      <c r="C7" s="0" t="n">
        <v>13</v>
      </c>
      <c r="D7" s="0" t="n">
        <v>36</v>
      </c>
      <c r="E7" s="0" t="n">
        <v>37</v>
      </c>
      <c r="F7" s="0" t="n">
        <v>42</v>
      </c>
      <c r="G7" s="24" t="n">
        <f aca="false">IFERROR(AVERAGE(INDEX(Backtest!$H$5:$H$64,C7):INDEX(Backtest!$H$5:$H$64,D7))/STDEVP(INDEX(Backtest!$H$5:$H$64,C7):INDEX(Backtest!$H$5:$H$64,D7))*SQRT(Assumptions!$E$5),0)</f>
        <v>-2.48660887924197</v>
      </c>
      <c r="H7" s="24" t="n">
        <f aca="false">IFERROR(AVERAGE(INDEX(Backtest!$H$5:$H$64,E7):INDEX(Backtest!$H$5:$H$64,F7))/STDEVP(INDEX(Backtest!$H$5:$H$64,E7):INDEX(Backtest!$H$5:$H$64,F7))*SQRT(Assumptions!$E$5),0)</f>
        <v>5.63882638429954</v>
      </c>
      <c r="I7" s="22" t="n">
        <f aca="false">(1+INDEX(Backtest!$H$5:$H$64,E7+0))*(1+INDEX(Backtest!$H$5:$H$64,E7+1))*(1+INDEX(Backtest!$H$5:$H$64,E7+2))*(1+INDEX(Backtest!$H$5:$H$64,E7+3))*(1+INDEX(Backtest!$H$5:$H$64,E7+4))*(1+INDEX(Backtest!$H$5:$H$64,E7+5))-1</f>
        <v>0.0639478198166745</v>
      </c>
      <c r="J7" s="24" t="n">
        <f aca="false">H7-G7</f>
        <v>8.12543526354151</v>
      </c>
    </row>
    <row r="8" customFormat="false" ht="15" hidden="false" customHeight="false" outlineLevel="0" collapsed="false">
      <c r="B8" s="0" t="n">
        <v>4</v>
      </c>
      <c r="C8" s="0" t="n">
        <v>19</v>
      </c>
      <c r="D8" s="0" t="n">
        <v>42</v>
      </c>
      <c r="E8" s="0" t="n">
        <v>43</v>
      </c>
      <c r="F8" s="0" t="n">
        <v>48</v>
      </c>
      <c r="G8" s="24" t="n">
        <f aca="false">IFERROR(AVERAGE(INDEX(Backtest!$H$5:$H$64,C8):INDEX(Backtest!$H$5:$H$64,D8))/STDEVP(INDEX(Backtest!$H$5:$H$64,C8):INDEX(Backtest!$H$5:$H$64,D8))*SQRT(Assumptions!$E$5),0)</f>
        <v>-0.017548969537947</v>
      </c>
      <c r="H8" s="24" t="n">
        <f aca="false">IFERROR(AVERAGE(INDEX(Backtest!$H$5:$H$64,E8):INDEX(Backtest!$H$5:$H$64,F8))/STDEVP(INDEX(Backtest!$H$5:$H$64,E8):INDEX(Backtest!$H$5:$H$64,F8))*SQRT(Assumptions!$E$5),0)</f>
        <v>6.27220694563783</v>
      </c>
      <c r="I8" s="22" t="n">
        <f aca="false">(1+INDEX(Backtest!$H$5:$H$64,E8+0))*(1+INDEX(Backtest!$H$5:$H$64,E8+1))*(1+INDEX(Backtest!$H$5:$H$64,E8+2))*(1+INDEX(Backtest!$H$5:$H$64,E8+3))*(1+INDEX(Backtest!$H$5:$H$64,E8+4))*(1+INDEX(Backtest!$H$5:$H$64,E8+5))-1</f>
        <v>0.0676833141184701</v>
      </c>
      <c r="J8" s="24" t="n">
        <f aca="false">H8-G8</f>
        <v>6.28975591517578</v>
      </c>
    </row>
    <row r="9" customFormat="false" ht="15" hidden="false" customHeight="false" outlineLevel="0" collapsed="false">
      <c r="B9" s="0" t="n">
        <v>5</v>
      </c>
      <c r="C9" s="0" t="n">
        <v>25</v>
      </c>
      <c r="D9" s="0" t="n">
        <v>48</v>
      </c>
      <c r="E9" s="0" t="n">
        <v>49</v>
      </c>
      <c r="F9" s="0" t="n">
        <v>54</v>
      </c>
      <c r="G9" s="24" t="n">
        <f aca="false">IFERROR(AVERAGE(INDEX(Backtest!$H$5:$H$64,C9):INDEX(Backtest!$H$5:$H$64,D9))/STDEVP(INDEX(Backtest!$H$5:$H$64,C9):INDEX(Backtest!$H$5:$H$64,D9))*SQRT(Assumptions!$E$5),0)</f>
        <v>0.712063019152258</v>
      </c>
      <c r="H9" s="24" t="n">
        <f aca="false">IFERROR(AVERAGE(INDEX(Backtest!$H$5:$H$64,E9):INDEX(Backtest!$H$5:$H$64,F9))/STDEVP(INDEX(Backtest!$H$5:$H$64,E9):INDEX(Backtest!$H$5:$H$64,F9))*SQRT(Assumptions!$E$5),0)</f>
        <v>-6.44133067744714</v>
      </c>
      <c r="I9" s="22" t="n">
        <f aca="false">(1+INDEX(Backtest!$H$5:$H$64,E9+0))*(1+INDEX(Backtest!$H$5:$H$64,E9+1))*(1+INDEX(Backtest!$H$5:$H$64,E9+2))*(1+INDEX(Backtest!$H$5:$H$64,E9+3))*(1+INDEX(Backtest!$H$5:$H$64,E9+4))*(1+INDEX(Backtest!$H$5:$H$64,E9+5))-1</f>
        <v>-0.0428939319177352</v>
      </c>
      <c r="J9" s="24" t="n">
        <f aca="false">H9-G9</f>
        <v>-7.1533936965994</v>
      </c>
    </row>
    <row r="10" customFormat="false" ht="15" hidden="false" customHeight="false" outlineLevel="0" collapsed="false">
      <c r="B10" s="0" t="n">
        <v>6</v>
      </c>
      <c r="C10" s="0" t="n">
        <v>31</v>
      </c>
      <c r="D10" s="0" t="n">
        <v>54</v>
      </c>
      <c r="E10" s="0" t="n">
        <v>55</v>
      </c>
      <c r="F10" s="0" t="n">
        <v>60</v>
      </c>
      <c r="G10" s="24" t="n">
        <f aca="false">IFERROR(AVERAGE(INDEX(Backtest!$H$5:$H$64,C10):INDEX(Backtest!$H$5:$H$64,D10))/STDEVP(INDEX(Backtest!$H$5:$H$64,C10):INDEX(Backtest!$H$5:$H$64,D10))*SQRT(Assumptions!$E$5),0)</f>
        <v>0.367485181563152</v>
      </c>
      <c r="H10" s="24" t="n">
        <f aca="false">IFERROR(AVERAGE(INDEX(Backtest!$H$5:$H$64,E10):INDEX(Backtest!$H$5:$H$64,F10))/STDEVP(INDEX(Backtest!$H$5:$H$64,E10):INDEX(Backtest!$H$5:$H$64,F10))*SQRT(Assumptions!$E$5),0)</f>
        <v>-0.270524136635252</v>
      </c>
      <c r="I10" s="22" t="n">
        <f aca="false">(1+INDEX(Backtest!$H$5:$H$64,E10+0))*(1+INDEX(Backtest!$H$5:$H$64,E10+1))*(1+INDEX(Backtest!$H$5:$H$64,E10+2))*(1+INDEX(Backtest!$H$5:$H$64,E10+3))*(1+INDEX(Backtest!$H$5:$H$64,E10+4))*(1+INDEX(Backtest!$H$5:$H$64,E10+5))-1</f>
        <v>-0.00335644658145218</v>
      </c>
      <c r="J10" s="24" t="n">
        <f aca="false">H10-G10</f>
        <v>-0.638009318198405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94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95</v>
      </c>
      <c r="C4" s="26" t="n">
        <v>0.1</v>
      </c>
      <c r="D4" s="26" t="n">
        <v>0.25</v>
      </c>
      <c r="E4" s="26" t="n">
        <v>0.5</v>
      </c>
      <c r="F4" s="26" t="n">
        <v>0.75</v>
      </c>
      <c r="G4" s="26" t="n">
        <v>1</v>
      </c>
    </row>
    <row r="5" customFormat="false" ht="15" hidden="false" customHeight="false" outlineLevel="0" collapsed="false">
      <c r="B5" s="27" t="n">
        <v>10</v>
      </c>
      <c r="C5" s="22" t="n">
        <f aca="false">C$4*Assumptions!$E$7/10000+Assumptions!$E$8*(C$4*$B5/Assumptions!$E$10)^1.5</f>
        <v>8.01788854382E-005</v>
      </c>
      <c r="D5" s="22" t="n">
        <f aca="false">D$4*Assumptions!$E$7/10000+Assumptions!$E$8*(D$4*$B5/Assumptions!$E$10)^1.5</f>
        <v>0.000200707106781187</v>
      </c>
      <c r="E5" s="22" t="n">
        <f aca="false">E$4*Assumptions!$E$7/10000+Assumptions!$E$8*(E$4*$B5/Assumptions!$E$10)^1.5</f>
        <v>0.000402</v>
      </c>
      <c r="F5" s="22" t="n">
        <f aca="false">F$4*Assumptions!$E$7/10000+Assumptions!$E$8*(F$4*$B5/Assumptions!$E$10)^1.5</f>
        <v>0.000603674234614175</v>
      </c>
      <c r="G5" s="22" t="n">
        <f aca="false">G$4*Assumptions!$E$7/10000+Assumptions!$E$8*(G$4*$B5/Assumptions!$E$10)^1.5</f>
        <v>0.000805656854249492</v>
      </c>
    </row>
    <row r="6" customFormat="false" ht="15" hidden="false" customHeight="false" outlineLevel="0" collapsed="false">
      <c r="B6" s="27" t="n">
        <v>25</v>
      </c>
      <c r="C6" s="22" t="n">
        <f aca="false">C$4*Assumptions!$E$7/10000+Assumptions!$E$8*(C$4*$B6/Assumptions!$E$10)^1.5</f>
        <v>8.07071067811866E-005</v>
      </c>
      <c r="D6" s="22" t="n">
        <f aca="false">D$4*Assumptions!$E$7/10000+Assumptions!$E$8*(D$4*$B6/Assumptions!$E$10)^1.5</f>
        <v>0.000202795084971875</v>
      </c>
      <c r="E6" s="22" t="n">
        <f aca="false">E$4*Assumptions!$E$7/10000+Assumptions!$E$8*(E$4*$B6/Assumptions!$E$10)^1.5</f>
        <v>0.000407905694150421</v>
      </c>
      <c r="F6" s="22" t="n">
        <f aca="false">F$4*Assumptions!$E$7/10000+Assumptions!$E$8*(F$4*$B6/Assumptions!$E$10)^1.5</f>
        <v>0.000614523687548278</v>
      </c>
      <c r="G6" s="22" t="n">
        <f aca="false">G$4*Assumptions!$E$7/10000+Assumptions!$E$8*(G$4*$B6/Assumptions!$E$10)^1.5</f>
        <v>0.000822360679774998</v>
      </c>
    </row>
    <row r="7" customFormat="false" ht="15" hidden="false" customHeight="false" outlineLevel="0" collapsed="false">
      <c r="B7" s="27" t="n">
        <v>50</v>
      </c>
      <c r="C7" s="22" t="n">
        <f aca="false">C$4*Assumptions!$E$7/10000+Assumptions!$E$8*(C$4*$B7/Assumptions!$E$10)^1.5</f>
        <v>8.2E-005</v>
      </c>
      <c r="D7" s="22" t="n">
        <f aca="false">D$4*Assumptions!$E$7/10000+Assumptions!$E$8*(D$4*$B7/Assumptions!$E$10)^1.5</f>
        <v>0.000207905694150421</v>
      </c>
      <c r="E7" s="22" t="n">
        <f aca="false">E$4*Assumptions!$E$7/10000+Assumptions!$E$8*(E$4*$B7/Assumptions!$E$10)^1.5</f>
        <v>0.000422360679774998</v>
      </c>
      <c r="F7" s="22" t="n">
        <f aca="false">F$4*Assumptions!$E$7/10000+Assumptions!$E$8*(F$4*$B7/Assumptions!$E$10)^1.5</f>
        <v>0.000641079191812887</v>
      </c>
      <c r="G7" s="22" t="n">
        <f aca="false">G$4*Assumptions!$E$7/10000+Assumptions!$E$8*(G$4*$B7/Assumptions!$E$10)^1.5</f>
        <v>0.000863245553203368</v>
      </c>
    </row>
    <row r="8" customFormat="false" ht="15" hidden="false" customHeight="false" outlineLevel="0" collapsed="false">
      <c r="B8" s="27" t="n">
        <v>100</v>
      </c>
      <c r="C8" s="22" t="n">
        <f aca="false">C$4*Assumptions!$E$7/10000+Assumptions!$E$8*(C$4*$B8/Assumptions!$E$10)^1.5</f>
        <v>8.56568542494924E-005</v>
      </c>
      <c r="D8" s="22" t="n">
        <f aca="false">D$4*Assumptions!$E$7/10000+Assumptions!$E$8*(D$4*$B8/Assumptions!$E$10)^1.5</f>
        <v>0.000222360679774998</v>
      </c>
      <c r="E8" s="22" t="n">
        <f aca="false">E$4*Assumptions!$E$7/10000+Assumptions!$E$8*(E$4*$B8/Assumptions!$E$10)^1.5</f>
        <v>0.000463245553203368</v>
      </c>
      <c r="F8" s="22" t="n">
        <f aca="false">F$4*Assumptions!$E$7/10000+Assumptions!$E$8*(F$4*$B8/Assumptions!$E$10)^1.5</f>
        <v>0.000716189500386223</v>
      </c>
      <c r="G8" s="22" t="n">
        <f aca="false">G$4*Assumptions!$E$7/10000+Assumptions!$E$8*(G$4*$B8/Assumptions!$E$10)^1.5</f>
        <v>0.000978885438199983</v>
      </c>
    </row>
    <row r="9" customFormat="false" ht="15" hidden="false" customHeight="false" outlineLevel="0" collapsed="false">
      <c r="B9" s="27" t="n">
        <v>250</v>
      </c>
      <c r="C9" s="22" t="n">
        <f aca="false">C$4*Assumptions!$E$7/10000+Assumptions!$E$8*(C$4*$B9/Assumptions!$E$10)^1.5</f>
        <v>0.000102360679774998</v>
      </c>
      <c r="D9" s="22" t="n">
        <f aca="false">D$4*Assumptions!$E$7/10000+Assumptions!$E$8*(D$4*$B9/Assumptions!$E$10)^1.5</f>
        <v>0.000288388347648318</v>
      </c>
      <c r="E9" s="22" t="n">
        <f aca="false">E$4*Assumptions!$E$7/10000+Assumptions!$E$8*(E$4*$B9/Assumptions!$E$10)^1.5</f>
        <v>0.00065</v>
      </c>
      <c r="F9" s="22" t="n">
        <f aca="false">F$4*Assumptions!$E$7/10000+Assumptions!$E$8*(F$4*$B9/Assumptions!$E$10)^1.5</f>
        <v>0.00105927932677185</v>
      </c>
      <c r="G9" s="22" t="n">
        <f aca="false">G$4*Assumptions!$E$7/10000+Assumptions!$E$8*(G$4*$B9/Assumptions!$E$10)^1.5</f>
        <v>0.00150710678118655</v>
      </c>
    </row>
    <row r="12" customFormat="false" ht="15" hidden="false" customHeight="false" outlineLevel="0" collapsed="false">
      <c r="B12" s="0" t="s">
        <v>96</v>
      </c>
      <c r="C12" s="22" t="n">
        <f aca="false">MAX(Backtest!L5:L64)</f>
        <v>0.0399998530982606</v>
      </c>
    </row>
    <row r="13" customFormat="false" ht="15" hidden="false" customHeight="false" outlineLevel="0" collapsed="false">
      <c r="B13" s="0" t="s">
        <v>97</v>
      </c>
      <c r="C13" s="22" t="n">
        <f aca="false">Assumptions!E11</f>
        <v>0.1</v>
      </c>
    </row>
    <row r="14" customFormat="false" ht="15" hidden="false" customHeight="false" outlineLevel="0" collapsed="false">
      <c r="B14" s="0" t="s">
        <v>98</v>
      </c>
      <c r="C14" s="0" t="str">
        <f aca="false">IF(C12&lt;=C13,"PASS","BREACH")</f>
        <v>PASS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0"/>
  </cols>
  <sheetData>
    <row r="2" customFormat="false" ht="27.75" hidden="false" customHeight="true" outlineLevel="0" collapsed="false">
      <c r="B2" s="1" t="s">
        <v>99</v>
      </c>
      <c r="C2" s="1"/>
      <c r="D2" s="1"/>
      <c r="E2" s="1"/>
    </row>
    <row r="4" customFormat="false" ht="15" hidden="false" customHeight="false" outlineLevel="0" collapsed="false">
      <c r="B4" s="8" t="s">
        <v>64</v>
      </c>
      <c r="C4" s="8" t="s">
        <v>100</v>
      </c>
      <c r="D4" s="8" t="s">
        <v>101</v>
      </c>
      <c r="E4" s="8" t="s">
        <v>102</v>
      </c>
    </row>
    <row r="5" customFormat="false" ht="15" hidden="false" customHeight="false" outlineLevel="0" collapsed="false">
      <c r="B5" s="0" t="s">
        <v>103</v>
      </c>
      <c r="C5" s="22" t="n">
        <f aca="false">-PERCENTILE(Backtest!H5:H64,1-Assumptions!E15)</f>
        <v>0.01436362022241</v>
      </c>
      <c r="D5" s="11" t="s">
        <v>31</v>
      </c>
      <c r="E5" s="11" t="s">
        <v>104</v>
      </c>
    </row>
    <row r="6" customFormat="false" ht="15" hidden="false" customHeight="false" outlineLevel="0" collapsed="false">
      <c r="B6" s="0" t="s">
        <v>105</v>
      </c>
      <c r="C6" s="22" t="n">
        <f aca="false">IFERROR(-AVERAGEIF(Backtest!H5:H64,"&lt;="&amp;-C5,Backtest!H5:H64),0)</f>
        <v>0.0187411930915016</v>
      </c>
      <c r="D6" s="11" t="s">
        <v>31</v>
      </c>
      <c r="E6" s="11" t="s">
        <v>106</v>
      </c>
    </row>
    <row r="7" customFormat="false" ht="15" hidden="false" customHeight="false" outlineLevel="0" collapsed="false">
      <c r="B7" s="0" t="s">
        <v>107</v>
      </c>
      <c r="C7" s="22" t="n">
        <f aca="false">-(AVERAGE(Backtest!H5:H64)+NORMSINV(1-Assumptions!E15)*STDEVP(Backtest!H5:H64))</f>
        <v>0.0167745720553632</v>
      </c>
      <c r="D7" s="11" t="s">
        <v>31</v>
      </c>
      <c r="E7" s="11" t="s">
        <v>108</v>
      </c>
    </row>
    <row r="8" customFormat="false" ht="15" hidden="false" customHeight="false" outlineLevel="0" collapsed="false">
      <c r="B8" s="0" t="s">
        <v>76</v>
      </c>
      <c r="C8" s="22" t="n">
        <f aca="false">Performance!D9</f>
        <v>-0.149825730153057</v>
      </c>
      <c r="D8" s="11" t="s">
        <v>31</v>
      </c>
      <c r="E8" s="11" t="s">
        <v>109</v>
      </c>
    </row>
    <row r="9" customFormat="false" ht="15" hidden="false" customHeight="false" outlineLevel="0" collapsed="false">
      <c r="B9" s="0" t="s">
        <v>110</v>
      </c>
      <c r="C9" s="22" t="n">
        <f aca="false">ABS(Assumptions!E17)</f>
        <v>0.2</v>
      </c>
      <c r="D9" s="11" t="s">
        <v>31</v>
      </c>
      <c r="E9" s="11" t="s">
        <v>111</v>
      </c>
    </row>
    <row r="10" customFormat="false" ht="15" hidden="false" customHeight="false" outlineLevel="0" collapsed="false">
      <c r="B10" s="0" t="s">
        <v>112</v>
      </c>
      <c r="C10" s="0" t="str">
        <f aca="false">IF(C8&lt;=C9,"PASS","BREACH")</f>
        <v>PASS</v>
      </c>
      <c r="D10" s="11" t="s">
        <v>113</v>
      </c>
      <c r="E10" s="11" t="s">
        <v>114</v>
      </c>
    </row>
    <row r="11" customFormat="false" ht="15" hidden="false" customHeight="false" outlineLevel="0" collapsed="false">
      <c r="B11" s="0" t="s">
        <v>115</v>
      </c>
      <c r="C11" s="22" t="n">
        <f aca="false">Performance!D6</f>
        <v>0.0365802803204241</v>
      </c>
      <c r="D11" s="11" t="s">
        <v>31</v>
      </c>
      <c r="E11" s="11" t="s">
        <v>116</v>
      </c>
    </row>
    <row r="12" customFormat="false" ht="15" hidden="false" customHeight="false" outlineLevel="0" collapsed="false">
      <c r="B12" s="0" t="s">
        <v>117</v>
      </c>
      <c r="C12" s="22" t="n">
        <f aca="false">Assumptions!E16</f>
        <v>0.12</v>
      </c>
      <c r="D12" s="11" t="s">
        <v>31</v>
      </c>
      <c r="E12" s="11" t="s">
        <v>118</v>
      </c>
    </row>
    <row r="13" customFormat="false" ht="15" hidden="false" customHeight="false" outlineLevel="0" collapsed="false">
      <c r="B13" s="0" t="s">
        <v>119</v>
      </c>
      <c r="C13" s="24" t="n">
        <f aca="false">IFERROR(C12/C11,0)</f>
        <v>3.2804559983921</v>
      </c>
      <c r="D13" s="11" t="s">
        <v>120</v>
      </c>
      <c r="E13" s="11" t="s">
        <v>121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7" min="6" style="0" width="16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123</v>
      </c>
      <c r="C4" s="8" t="s">
        <v>124</v>
      </c>
      <c r="D4" s="8" t="s">
        <v>125</v>
      </c>
      <c r="E4" s="8" t="s">
        <v>126</v>
      </c>
      <c r="F4" s="8" t="s">
        <v>127</v>
      </c>
      <c r="G4" s="8" t="s">
        <v>128</v>
      </c>
    </row>
    <row r="5" customFormat="false" ht="15" hidden="false" customHeight="false" outlineLevel="0" collapsed="false">
      <c r="B5" s="0" t="s">
        <v>129</v>
      </c>
      <c r="C5" s="12" t="n">
        <v>-0.12</v>
      </c>
      <c r="D5" s="28" t="n">
        <v>1.5</v>
      </c>
      <c r="E5" s="28" t="n">
        <v>0.6</v>
      </c>
      <c r="F5" s="22" t="n">
        <f aca="false">AVERAGE(Backtest!D5:D64)*D5*Assumptions!$E$7/10000+Assumptions!$E$8*(AVERAGE(Backtest!D5:D64)*D5*Assumptions!$E$9/(Assumptions!$E$10*E5))^1.5</f>
        <v>0.000469876544118388</v>
      </c>
      <c r="G5" s="22" t="n">
        <f aca="false">C5-F5</f>
        <v>-0.120469876544118</v>
      </c>
    </row>
    <row r="6" customFormat="false" ht="15" hidden="false" customHeight="false" outlineLevel="0" collapsed="false">
      <c r="B6" s="0" t="s">
        <v>130</v>
      </c>
      <c r="C6" s="12" t="n">
        <v>-0.06</v>
      </c>
      <c r="D6" s="28" t="n">
        <v>2</v>
      </c>
      <c r="E6" s="28" t="n">
        <v>0.5</v>
      </c>
      <c r="F6" s="22" t="n">
        <f aca="false">AVERAGE(Backtest!D5:D64)*D6*Assumptions!$E$7/10000+Assumptions!$E$8*(AVERAGE(Backtest!D5:D64)*D6*Assumptions!$E$9/(Assumptions!$E$10*E6))^1.5</f>
        <v>0.000662044154662674</v>
      </c>
      <c r="G6" s="22" t="n">
        <f aca="false">C6-F6</f>
        <v>-0.0606620441546627</v>
      </c>
    </row>
    <row r="7" customFormat="false" ht="15" hidden="false" customHeight="false" outlineLevel="0" collapsed="false">
      <c r="B7" s="0" t="s">
        <v>131</v>
      </c>
      <c r="C7" s="12" t="n">
        <v>-0.1</v>
      </c>
      <c r="D7" s="28" t="n">
        <v>3</v>
      </c>
      <c r="E7" s="28" t="n">
        <v>0.3</v>
      </c>
      <c r="F7" s="22" t="n">
        <f aca="false">AVERAGE(Backtest!D5:D64)*D7*Assumptions!$E$7/10000+Assumptions!$E$8*(AVERAGE(Backtest!D5:D64)*D7*Assumptions!$E$9/(Assumptions!$E$10*E7))^1.5</f>
        <v>0.0012485800964478</v>
      </c>
      <c r="G7" s="22" t="n">
        <f aca="false">C7-F7</f>
        <v>-0.101248580096448</v>
      </c>
    </row>
    <row r="8" customFormat="false" ht="15" hidden="false" customHeight="false" outlineLevel="0" collapsed="false">
      <c r="B8" s="0" t="s">
        <v>132</v>
      </c>
      <c r="C8" s="12" t="n">
        <v>-0.04</v>
      </c>
      <c r="D8" s="28" t="n">
        <v>1.5</v>
      </c>
      <c r="E8" s="28" t="n">
        <v>0.15</v>
      </c>
      <c r="F8" s="22" t="n">
        <f aca="false">AVERAGE(Backtest!D5:D64)*D8*Assumptions!$E$7/10000+Assumptions!$E$8*(AVERAGE(Backtest!D5:D64)*D8*Assumptions!$E$9/(Assumptions!$E$10*E8))^1.5</f>
        <v>0.000830174720364579</v>
      </c>
      <c r="G8" s="22" t="n">
        <f aca="false">C8-F8</f>
        <v>-0.0408301747203646</v>
      </c>
    </row>
    <row r="9" customFormat="false" ht="15" hidden="false" customHeight="false" outlineLevel="0" collapsed="false">
      <c r="B9" s="0" t="s">
        <v>133</v>
      </c>
      <c r="C9" s="12" t="n">
        <v>-0.03</v>
      </c>
      <c r="D9" s="28" t="n">
        <v>1</v>
      </c>
      <c r="E9" s="28" t="n">
        <v>1</v>
      </c>
      <c r="F9" s="22" t="n">
        <f aca="false">AVERAGE(Backtest!D5:D64)*D9*Assumptions!$E$7/10000+Assumptions!$E$8*(AVERAGE(Backtest!D5:D64)*D9*Assumptions!$E$9/(Assumptions!$E$10*E9))^1.5</f>
        <v>0.000291958207374443</v>
      </c>
      <c r="G9" s="22" t="n">
        <f aca="false">C9-F9</f>
        <v>-0.0302919582073744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134</v>
      </c>
      <c r="C2" s="1"/>
    </row>
    <row r="4" customFormat="false" ht="15" hidden="false" customHeight="false" outlineLevel="0" collapsed="false">
      <c r="B4" s="8" t="s">
        <v>135</v>
      </c>
      <c r="C4" s="8" t="s">
        <v>136</v>
      </c>
    </row>
    <row r="5" customFormat="false" ht="15" hidden="false" customHeight="false" outlineLevel="0" collapsed="false">
      <c r="B5" s="0" t="s">
        <v>137</v>
      </c>
      <c r="C5" s="0" t="str">
        <f aca="false">IF(Assumptions!E18&gt;=1,"PASS","FAIL")</f>
        <v>PASS</v>
      </c>
    </row>
    <row r="6" customFormat="false" ht="15" hidden="false" customHeight="false" outlineLevel="0" collapsed="false">
      <c r="B6" s="0" t="s">
        <v>138</v>
      </c>
      <c r="C6" s="0" t="str">
        <f aca="false">IF(Assumptions!E19=1,"PASS","FAIL")</f>
        <v>PASS</v>
      </c>
    </row>
    <row r="7" customFormat="false" ht="15" hidden="false" customHeight="false" outlineLevel="0" collapsed="false">
      <c r="B7" s="0" t="s">
        <v>139</v>
      </c>
      <c r="C7" s="0" t="str">
        <f aca="false">IF(AND(Assumptions!E7&gt;0,Assumptions!E8&gt;0),"PASS","FAIL")</f>
        <v>PASS</v>
      </c>
    </row>
    <row r="8" customFormat="false" ht="15" hidden="false" customHeight="false" outlineLevel="0" collapsed="false">
      <c r="B8" s="0" t="s">
        <v>140</v>
      </c>
      <c r="C8" s="0" t="str">
        <f aca="false">IF('Costs &amp; Capacity'!C14="PASS","PASS","BREACH")</f>
        <v>PASS</v>
      </c>
    </row>
    <row r="9" customFormat="false" ht="15" hidden="false" customHeight="false" outlineLevel="0" collapsed="false">
      <c r="B9" s="0" t="s">
        <v>141</v>
      </c>
      <c r="C9" s="0" t="str">
        <f aca="false">IF(Performance!C5&gt;=Performance!D5,"PASS","FAIL")</f>
        <v>PASS</v>
      </c>
    </row>
    <row r="10" customFormat="false" ht="15" hidden="false" customHeight="false" outlineLevel="0" collapsed="false">
      <c r="B10" s="0" t="s">
        <v>142</v>
      </c>
      <c r="C10" s="0" t="str">
        <f aca="false">IF(COUNT('Walk Forward'!H5:H10)=6,"PASS","FAIL")</f>
        <v>PASS</v>
      </c>
    </row>
    <row r="11" customFormat="false" ht="15" hidden="false" customHeight="false" outlineLevel="0" collapsed="false">
      <c r="B11" s="0" t="s">
        <v>143</v>
      </c>
      <c r="C11" s="0" t="str">
        <f aca="false">IF(Risk!C10="PASS","PASS","REVIEW")</f>
        <v>PASS</v>
      </c>
    </row>
    <row r="12" customFormat="false" ht="15" hidden="false" customHeight="false" outlineLevel="0" collapsed="false">
      <c r="B12" s="0" t="s">
        <v>144</v>
      </c>
      <c r="C12" s="0" t="str">
        <f aca="false">IF(COUNT(Backtest!H5:H64)=60,"PASS","FAIL")</f>
        <v>PASS</v>
      </c>
    </row>
    <row r="13" customFormat="false" ht="15" hidden="false" customHeight="false" outlineLevel="0" collapsed="false">
      <c r="B13" s="0" t="s">
        <v>145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146</v>
      </c>
      <c r="C2" s="1"/>
      <c r="D2" s="1"/>
      <c r="E2" s="1"/>
    </row>
    <row r="4" customFormat="false" ht="15" hidden="false" customHeight="false" outlineLevel="0" collapsed="false">
      <c r="B4" s="8" t="s">
        <v>147</v>
      </c>
      <c r="C4" s="8" t="s">
        <v>148</v>
      </c>
      <c r="D4" s="8" t="s">
        <v>149</v>
      </c>
      <c r="E4" s="8" t="s">
        <v>150</v>
      </c>
    </row>
    <row r="5" customFormat="false" ht="15" hidden="false" customHeight="false" outlineLevel="0" collapsed="false">
      <c r="B5" s="29" t="s">
        <v>151</v>
      </c>
      <c r="C5" s="29" t="s">
        <v>152</v>
      </c>
      <c r="D5" s="29" t="s">
        <v>153</v>
      </c>
      <c r="E5" s="29" t="s">
        <v>154</v>
      </c>
    </row>
    <row r="6" customFormat="false" ht="15" hidden="false" customHeight="false" outlineLevel="0" collapsed="false">
      <c r="B6" s="29" t="s">
        <v>155</v>
      </c>
      <c r="C6" s="29" t="s">
        <v>156</v>
      </c>
      <c r="D6" s="29" t="s">
        <v>153</v>
      </c>
      <c r="E6" s="29" t="s">
        <v>157</v>
      </c>
    </row>
    <row r="7" customFormat="false" ht="15" hidden="false" customHeight="false" outlineLevel="0" collapsed="false">
      <c r="B7" s="29" t="s">
        <v>158</v>
      </c>
      <c r="C7" s="29" t="s">
        <v>159</v>
      </c>
      <c r="D7" s="29" t="s">
        <v>160</v>
      </c>
      <c r="E7" s="29" t="s">
        <v>161</v>
      </c>
    </row>
    <row r="8" customFormat="false" ht="15" hidden="false" customHeight="false" outlineLevel="0" collapsed="false">
      <c r="B8" s="29" t="s">
        <v>162</v>
      </c>
      <c r="C8" s="29" t="s">
        <v>163</v>
      </c>
      <c r="D8" s="29" t="s">
        <v>160</v>
      </c>
      <c r="E8" s="29" t="s">
        <v>164</v>
      </c>
    </row>
    <row r="9" customFormat="false" ht="15" hidden="false" customHeight="false" outlineLevel="0" collapsed="false">
      <c r="B9" s="29" t="s">
        <v>165</v>
      </c>
      <c r="C9" s="29" t="s">
        <v>166</v>
      </c>
      <c r="D9" s="29" t="s">
        <v>160</v>
      </c>
      <c r="E9" s="29" t="s">
        <v>167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168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169</v>
      </c>
      <c r="C4" s="8" t="s">
        <v>170</v>
      </c>
      <c r="D4" s="8" t="s">
        <v>171</v>
      </c>
      <c r="E4" s="8" t="s">
        <v>172</v>
      </c>
      <c r="F4" s="8" t="s">
        <v>173</v>
      </c>
      <c r="G4" s="8" t="s">
        <v>174</v>
      </c>
    </row>
    <row r="5" customFormat="false" ht="15" hidden="false" customHeight="false" outlineLevel="0" collapsed="false">
      <c r="B5" s="30"/>
      <c r="C5" s="30"/>
      <c r="D5" s="30"/>
      <c r="E5" s="30"/>
      <c r="F5" s="30"/>
      <c r="G5" s="30"/>
    </row>
    <row r="6" customFormat="false" ht="15" hidden="false" customHeight="false" outlineLevel="0" collapsed="false">
      <c r="B6" s="30"/>
      <c r="C6" s="30"/>
      <c r="D6" s="30"/>
      <c r="E6" s="30"/>
      <c r="F6" s="30"/>
      <c r="G6" s="30"/>
    </row>
    <row r="7" customFormat="false" ht="15" hidden="false" customHeight="false" outlineLevel="0" collapsed="false">
      <c r="B7" s="30"/>
      <c r="C7" s="30"/>
      <c r="D7" s="30"/>
      <c r="E7" s="30"/>
      <c r="F7" s="30"/>
      <c r="G7" s="30"/>
    </row>
    <row r="8" customFormat="false" ht="15" hidden="false" customHeight="false" outlineLevel="0" collapsed="false">
      <c r="B8" s="30"/>
      <c r="C8" s="30"/>
      <c r="D8" s="30"/>
      <c r="E8" s="30"/>
      <c r="F8" s="30"/>
      <c r="G8" s="30"/>
    </row>
    <row r="9" customFormat="false" ht="15" hidden="false" customHeight="false" outlineLevel="0" collapsed="false">
      <c r="B9" s="30"/>
      <c r="C9" s="30"/>
      <c r="D9" s="30"/>
      <c r="E9" s="30"/>
      <c r="F9" s="30"/>
      <c r="G9" s="30"/>
    </row>
    <row r="10" customFormat="false" ht="15" hidden="false" customHeight="fals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fals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fals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fals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fals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fals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fals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fals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fals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fals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fals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fals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fals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fals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fals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fals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fals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