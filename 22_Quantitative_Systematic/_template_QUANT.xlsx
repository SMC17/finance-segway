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Backtest" sheetId="6" state="visible" r:id="rId6"/>
    <sheet xmlns:r="http://schemas.openxmlformats.org/officeDocument/2006/relationships" name="Performance" sheetId="7" state="visible" r:id="rId7"/>
    <sheet xmlns:r="http://schemas.openxmlformats.org/officeDocument/2006/relationships" name="Walk Forward" sheetId="8" state="visible" r:id="rId8"/>
    <sheet xmlns:r="http://schemas.openxmlformats.org/officeDocument/2006/relationships" name="Costs &amp; Capacity" sheetId="9" state="visible" r:id="rId9"/>
    <sheet xmlns:r="http://schemas.openxmlformats.org/officeDocument/2006/relationships" name="Risk" sheetId="10" state="visible" r:id="rId10"/>
    <sheet xmlns:r="http://schemas.openxmlformats.org/officeDocument/2006/relationships" name="Stress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freshLog" sheetId="14" state="visible" r:id="rId14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0.00%;[Red](0.00%);-"/>
    <numFmt numFmtId="165" formatCode="0.0"/>
    <numFmt numFmtId="166" formatCode="0.0000"/>
    <numFmt numFmtId="167" formatCode="$#,##0.0;[Red]($#,##0.0);-"/>
    <numFmt numFmtId="168" formatCode="0.0%;[Red](0.0%);-"/>
    <numFmt numFmtId="169" formatCode="0.0000x"/>
    <numFmt numFmtId="170" formatCode="0.0x;[Red](0.0x);-"/>
    <numFmt numFmtId="171" formatCode="0.000x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" fontId="3" fillId="3" borderId="1" pivotButton="0" quotePrefix="0" xfId="0"/>
    <xf numFmtId="1" fontId="8" fillId="0" borderId="0" pivotButton="0" quotePrefix="0" xfId="0"/>
    <xf numFmtId="164" fontId="3" fillId="3" borderId="1" pivotButton="0" quotePrefix="0" xfId="0"/>
    <xf numFmtId="164" fontId="8" fillId="0" borderId="0" pivotButton="0" quotePrefix="0" xfId="0"/>
    <xf numFmtId="165" fontId="3" fillId="3" borderId="1" pivotButton="0" quotePrefix="0" xfId="0"/>
    <xf numFmtId="165" fontId="8" fillId="0" borderId="0" pivotButton="0" quotePrefix="0" xfId="0"/>
    <xf numFmtId="166" fontId="3" fillId="3" borderId="1" pivotButton="0" quotePrefix="0" xfId="0"/>
    <xf numFmtId="166" fontId="8" fillId="0" borderId="0" pivotButton="0" quotePrefix="0" xfId="0"/>
    <xf numFmtId="167" fontId="3" fillId="3" borderId="1" pivotButton="0" quotePrefix="0" xfId="0"/>
    <xf numFmtId="167" fontId="8" fillId="0" borderId="0" pivotButton="0" quotePrefix="0" xfId="0"/>
    <xf numFmtId="168" fontId="3" fillId="3" borderId="1" pivotButton="0" quotePrefix="0" xfId="0"/>
    <xf numFmtId="168" fontId="8" fillId="0" borderId="0" pivotButton="0" quotePrefix="0" xfId="0"/>
    <xf numFmtId="164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4" fontId="4" fillId="2" borderId="1" applyAlignment="1" pivotButton="0" quotePrefix="0" xfId="0">
      <alignment horizontal="center" vertical="center" wrapText="1"/>
    </xf>
    <xf numFmtId="167" fontId="0" fillId="0" borderId="0" pivotButton="0" quotePrefix="0" xfId="0"/>
    <xf numFmtId="170" fontId="3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9" fillId="4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1" fillId="4" borderId="0" pivotButton="0" quotePrefix="0" xfId="0"/>
    <xf numFmtId="0" fontId="10" fillId="5" borderId="2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[STRATEGY] — Systematic Research Model</t>
        </is>
      </c>
    </row>
    <row r="4">
      <c r="B4" s="2" t="inlineStr">
        <is>
          <t>Strategy / universe:</t>
        </is>
      </c>
      <c r="C4" s="3" t="inlineStr">
        <is>
          <t>[Name and investable universe]</t>
        </is>
      </c>
    </row>
    <row r="5">
      <c r="B5" s="2" t="inlineStr">
        <is>
          <t>Data vintage / point-in-time policy:</t>
        </is>
      </c>
      <c r="C5" s="3" t="inlineStr">
        <is>
          <t>[policy]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rebalance / review: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Daily or per rebalance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Periodic returns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0" t="inlineStr">
        <is>
          <t>Quantitative &amp; Systematic — Institutional Decision Surface</t>
        </is>
      </c>
    </row>
    <row r="4">
      <c r="B4" s="31" t="inlineStr">
        <is>
          <t>Model ID</t>
        </is>
      </c>
      <c r="C4" s="32" t="inlineStr">
        <is>
          <t>22</t>
        </is>
      </c>
    </row>
    <row r="5">
      <c r="B5" s="31" t="inlineStr">
        <is>
          <t>Domain</t>
        </is>
      </c>
      <c r="C5" s="32" t="inlineStr">
        <is>
          <t>Quantitative &amp; Systematic</t>
        </is>
      </c>
    </row>
    <row r="6">
      <c r="B6" s="31" t="inlineStr">
        <is>
          <t>Declared maturity</t>
        </is>
      </c>
      <c r="C6" s="32" t="inlineStr">
        <is>
          <t>M2</t>
        </is>
      </c>
    </row>
    <row r="7">
      <c r="B7" s="31" t="inlineStr">
        <is>
          <t>Canonical builder</t>
        </is>
      </c>
      <c r="C7" s="32" t="inlineStr">
        <is>
          <t>tools/builders/build_quant_release.py</t>
        </is>
      </c>
    </row>
    <row r="8">
      <c r="B8" s="31" t="inlineStr">
        <is>
          <t>Decision arena</t>
        </is>
      </c>
      <c r="C8" s="32" t="inlineStr">
        <is>
          <t>research, portfolio construction, execution, risk and model validation</t>
        </is>
      </c>
    </row>
    <row r="9">
      <c r="B9" s="31" t="inlineStr">
        <is>
          <t>Committee artifact</t>
        </is>
      </c>
      <c r="C9" s="32" t="inlineStr">
        <is>
          <t>research approval and live-monitoring pack</t>
        </is>
      </c>
    </row>
    <row r="10">
      <c r="B10" s="31" t="inlineStr">
        <is>
          <t>Operating cadence</t>
        </is>
      </c>
      <c r="C10" s="32" t="inlineStr">
        <is>
          <t>per research run; daily live; monthly model committee</t>
        </is>
      </c>
    </row>
    <row r="12">
      <c r="B12" s="33" t="inlineStr">
        <is>
          <t>Key decision outputs</t>
        </is>
      </c>
    </row>
    <row r="13">
      <c r="B13" s="34" t="inlineStr">
        <is>
          <t>#</t>
        </is>
      </c>
      <c r="C13" s="34" t="inlineStr">
        <is>
          <t>Requirement</t>
        </is>
      </c>
      <c r="D13" s="34" t="inlineStr">
        <is>
          <t>Owner</t>
        </is>
      </c>
      <c r="E13" s="34" t="inlineStr">
        <is>
          <t>Evidence / location</t>
        </is>
      </c>
      <c r="F13" s="34" t="inlineStr">
        <is>
          <t>Status</t>
        </is>
      </c>
    </row>
    <row r="14">
      <c r="B14" t="n">
        <v>1</v>
      </c>
      <c r="C14" t="inlineStr">
        <is>
          <t>gross and net performance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capacity and market impact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walk-forward stability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3" t="inlineStr">
        <is>
          <t>Insider questions</t>
        </is>
      </c>
    </row>
    <row r="21">
      <c r="B21" s="34" t="inlineStr">
        <is>
          <t>#</t>
        </is>
      </c>
      <c r="C21" s="34" t="inlineStr">
        <is>
          <t>Requirement</t>
        </is>
      </c>
      <c r="D21" s="34" t="inlineStr">
        <is>
          <t>Owner</t>
        </is>
      </c>
      <c r="E21" s="34" t="inlineStr">
        <is>
          <t>Evidence / location</t>
        </is>
      </c>
      <c r="F21" s="34" t="inlineStr">
        <is>
          <t>Status</t>
        </is>
      </c>
    </row>
    <row r="22">
      <c r="B22" t="n">
        <v>1</v>
      </c>
      <c r="C22" t="inlineStr">
        <is>
          <t>What data was knowable at decision time?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result survives alternate costs and universes?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Where is capacity constrained—signal or execution?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3" t="inlineStr">
        <is>
          <t>Scenario families</t>
        </is>
      </c>
    </row>
    <row r="29">
      <c r="B29" s="34" t="inlineStr">
        <is>
          <t>#</t>
        </is>
      </c>
      <c r="C29" s="34" t="inlineStr">
        <is>
          <t>Requirement</t>
        </is>
      </c>
      <c r="D29" s="34" t="inlineStr">
        <is>
          <t>Owner</t>
        </is>
      </c>
      <c r="E29" s="34" t="inlineStr">
        <is>
          <t>Evidence / location</t>
        </is>
      </c>
      <c r="F29" s="34" t="inlineStr">
        <is>
          <t>Status</t>
        </is>
      </c>
    </row>
    <row r="30">
      <c r="B30" t="n">
        <v>1</v>
      </c>
      <c r="C30" t="inlineStr">
        <is>
          <t>cost and impact inflation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regime break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crowding and correlation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3" t="inlineStr">
        <is>
          <t>Primary diligence documents</t>
        </is>
      </c>
    </row>
    <row r="37">
      <c r="B37" s="34" t="inlineStr">
        <is>
          <t>#</t>
        </is>
      </c>
      <c r="C37" s="34" t="inlineStr">
        <is>
          <t>Requirement</t>
        </is>
      </c>
      <c r="D37" s="34" t="inlineStr">
        <is>
          <t>Owner</t>
        </is>
      </c>
      <c r="E37" s="34" t="inlineStr">
        <is>
          <t>Evidence / location</t>
        </is>
      </c>
      <c r="F37" s="34" t="inlineStr">
        <is>
          <t>Status</t>
        </is>
      </c>
    </row>
    <row r="38">
      <c r="B38" t="n">
        <v>1</v>
      </c>
      <c r="C38" t="inlineStr">
        <is>
          <t>research specification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data dictionary and licenses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experiment and code version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3" t="inlineStr">
        <is>
          <t>Challenge tests</t>
        </is>
      </c>
    </row>
    <row r="45">
      <c r="B45" s="34" t="inlineStr">
        <is>
          <t>#</t>
        </is>
      </c>
      <c r="C45" s="34" t="inlineStr">
        <is>
          <t>Requirement</t>
        </is>
      </c>
      <c r="D45" s="34" t="inlineStr">
        <is>
          <t>Owner</t>
        </is>
      </c>
      <c r="E45" s="34" t="inlineStr">
        <is>
          <t>Evidence / location</t>
        </is>
      </c>
      <c r="F45" s="34" t="inlineStr">
        <is>
          <t>Status</t>
        </is>
      </c>
    </row>
    <row r="46">
      <c r="B46" t="n">
        <v>1</v>
      </c>
      <c r="C46" t="inlineStr">
        <is>
          <t>no look-ahead or survivorship bias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walk-forward partitions do not overlap improperly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gross return exceeds net by explicit costs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3" t="inlineStr">
        <is>
          <t>Known failure modes</t>
        </is>
      </c>
    </row>
    <row r="53">
      <c r="B53" s="34" t="inlineStr">
        <is>
          <t>#</t>
        </is>
      </c>
      <c r="C53" s="34" t="inlineStr">
        <is>
          <t>Requirement</t>
        </is>
      </c>
      <c r="D53" s="34" t="inlineStr">
        <is>
          <t>Owner</t>
        </is>
      </c>
      <c r="E53" s="34" t="inlineStr">
        <is>
          <t>Evidence / location</t>
        </is>
      </c>
      <c r="F53" s="34" t="inlineStr">
        <is>
          <t>Status</t>
        </is>
      </c>
    </row>
    <row r="54">
      <c r="B54" t="n">
        <v>1</v>
      </c>
      <c r="C54" t="inlineStr">
        <is>
          <t>optimizing on one backtest path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using revised fundamentals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ignoring rejected orders and partial fills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3" t="inlineStr">
        <is>
          <t>Regulatory / methodological anchors</t>
        </is>
      </c>
    </row>
    <row r="61">
      <c r="B61" s="34" t="inlineStr">
        <is>
          <t>Standard</t>
        </is>
      </c>
      <c r="C61" s="34" t="inlineStr">
        <is>
          <t>Scope</t>
        </is>
      </c>
      <c r="D61" s="34" t="inlineStr">
        <is>
          <t>Source URL</t>
        </is>
      </c>
      <c r="E61" s="34" t="inlineStr">
        <is>
          <t>Applicability</t>
        </is>
      </c>
      <c r="F61" s="34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MAR21 Sensitivities-Based Method</t>
        </is>
      </c>
      <c r="C63" t="inlineStr">
        <is>
          <t>market-risk factors and aggregation</t>
        </is>
      </c>
      <c r="D63" t="inlineStr">
        <is>
          <t>https://www.bis.org/basel_framework/chapter/MAR/21.htm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0" t="inlineStr">
        <is>
          <t>Independent Challenge, Override and Closure Log</t>
        </is>
      </c>
    </row>
    <row r="4">
      <c r="B4" s="34" t="inlineStr">
        <is>
          <t>Date</t>
        </is>
      </c>
      <c r="C4" s="34" t="inlineStr">
        <is>
          <t>Reviewer</t>
        </is>
      </c>
      <c r="D4" s="34" t="inlineStr">
        <is>
          <t>Challenge</t>
        </is>
      </c>
      <c r="E4" s="34" t="inlineStr">
        <is>
          <t>Owner response</t>
        </is>
      </c>
      <c r="F4" s="34" t="inlineStr">
        <is>
          <t>Evidence</t>
        </is>
      </c>
      <c r="G4" s="34" t="inlineStr">
        <is>
          <t>Impact</t>
        </is>
      </c>
      <c r="H4" s="34" t="inlineStr">
        <is>
          <t>Status</t>
        </is>
      </c>
      <c r="I4" s="34" t="inlineStr">
        <is>
          <t>Closure</t>
        </is>
      </c>
    </row>
    <row r="5">
      <c r="B5" t="inlineStr"/>
      <c r="C5" t="inlineStr"/>
      <c r="D5" t="inlineStr">
        <is>
          <t>no look-ahead or survivorship bias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walk-forward partitions do not overlap improperly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gross return exceeds net by explicit costs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0" t="inlineStr">
        <is>
          <t>Source, Transformation, Ownership and Refresh Map</t>
        </is>
      </c>
    </row>
    <row r="4">
      <c r="B4" s="34" t="inlineStr">
        <is>
          <t>Source class</t>
        </is>
      </c>
      <c r="C4" s="34" t="inlineStr">
        <is>
          <t>Cadence</t>
        </is>
      </c>
      <c r="D4" s="34" t="inlineStr">
        <is>
          <t>Control</t>
        </is>
      </c>
      <c r="E4" s="34" t="inlineStr">
        <is>
          <t>System / provider</t>
        </is>
      </c>
      <c r="F4" s="34" t="inlineStr">
        <is>
          <t>As-of</t>
        </is>
      </c>
      <c r="G4" s="34" t="inlineStr">
        <is>
          <t>Owner</t>
        </is>
      </c>
      <c r="H4" s="34" t="inlineStr">
        <is>
          <t>Transform</t>
        </is>
      </c>
      <c r="I4" s="34" t="inlineStr">
        <is>
          <t>Downstream</t>
        </is>
      </c>
      <c r="J4" s="34" t="inlineStr">
        <is>
          <t>Status</t>
        </is>
      </c>
    </row>
    <row r="5">
      <c r="B5" t="inlineStr">
        <is>
          <t>research data</t>
        </is>
      </c>
      <c r="C5" t="inlineStr">
        <is>
          <t>per dataset</t>
        </is>
      </c>
      <c r="D5" t="inlineStr">
        <is>
          <t>point-in-time and survivorship controls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signals</t>
        </is>
      </c>
      <c r="C6" t="inlineStr">
        <is>
          <t>daily/intraday</t>
        </is>
      </c>
      <c r="D6" t="inlineStr">
        <is>
          <t>versioned feature lineage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5" customWidth="1" min="3" max="3"/>
    <col width="15" customWidth="1" min="4" max="4"/>
    <col width="15" customWidth="1" min="5" max="5"/>
    <col width="34" customWidth="1" min="6" max="6"/>
  </cols>
  <sheetData>
    <row r="2" ht="28" customHeight="1">
      <c r="B2" s="1" t="inlineStr">
        <is>
          <t>Backtest, Cost, and Capacity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Periods per year</t>
        </is>
      </c>
      <c r="C5" s="9" t="n">
        <v>12</v>
      </c>
      <c r="D5" s="9" t="n">
        <v>12</v>
      </c>
      <c r="E5" s="10">
        <f>IF(Cover!$C$9="Downside",D5,C5)</f>
        <v/>
      </c>
      <c r="F5" t="inlineStr">
        <is>
          <t>periods</t>
        </is>
      </c>
    </row>
    <row r="6">
      <c r="B6" t="inlineStr">
        <is>
          <t>Risk-free return per period</t>
        </is>
      </c>
      <c r="C6" s="11" t="n">
        <v>0.002</v>
      </c>
      <c r="D6" s="11" t="n">
        <v>0.002</v>
      </c>
      <c r="E6" s="12">
        <f>IF(Cover!$C$9="Downside",D6,C6)</f>
        <v/>
      </c>
      <c r="F6" t="inlineStr">
        <is>
          <t>%</t>
        </is>
      </c>
    </row>
    <row r="7">
      <c r="B7" t="inlineStr">
        <is>
          <t>Linear transaction cost</t>
        </is>
      </c>
      <c r="C7" s="13" t="n">
        <v>8</v>
      </c>
      <c r="D7" s="13" t="n">
        <v>15</v>
      </c>
      <c r="E7" s="14">
        <f>IF(Cover!$C$9="Downside",D7,C7)</f>
        <v/>
      </c>
      <c r="F7" t="inlineStr">
        <is>
          <t>bps per unit turnover</t>
        </is>
      </c>
    </row>
    <row r="8">
      <c r="B8" t="inlineStr">
        <is>
          <t>Impact coefficient</t>
        </is>
      </c>
      <c r="C8" s="15" t="n">
        <v>0.002</v>
      </c>
      <c r="D8" s="15" t="n">
        <v>0.008</v>
      </c>
      <c r="E8" s="16">
        <f>IF(Cover!$C$9="Downside",D8,C8)</f>
        <v/>
      </c>
      <c r="F8" t="inlineStr">
        <is>
          <t>return units</t>
        </is>
      </c>
    </row>
    <row r="9">
      <c r="B9" t="inlineStr">
        <is>
          <t>Capital deployed</t>
        </is>
      </c>
      <c r="C9" s="17" t="n">
        <v>50</v>
      </c>
      <c r="D9" s="17" t="n">
        <v>150</v>
      </c>
      <c r="E9" s="18">
        <f>IF(Cover!$C$9="Downside",D9,C9)</f>
        <v/>
      </c>
      <c r="F9" t="inlineStr">
        <is>
          <t>$mm</t>
        </is>
      </c>
    </row>
    <row r="10">
      <c r="B10" t="inlineStr">
        <is>
          <t>Average daily volume</t>
        </is>
      </c>
      <c r="C10" s="17" t="n">
        <v>500</v>
      </c>
      <c r="D10" s="17" t="n">
        <v>250</v>
      </c>
      <c r="E10" s="18">
        <f>IF(Cover!$C$9="Downside",D10,C10)</f>
        <v/>
      </c>
      <c r="F10" t="inlineStr">
        <is>
          <t>$mm</t>
        </is>
      </c>
    </row>
    <row r="11">
      <c r="B11" t="inlineStr">
        <is>
          <t>Maximum participation</t>
        </is>
      </c>
      <c r="C11" s="19" t="n">
        <v>0.1</v>
      </c>
      <c r="D11" s="19" t="n">
        <v>0.08</v>
      </c>
      <c r="E11" s="20">
        <f>IF(Cover!$C$9="Downside",D11,C11)</f>
        <v/>
      </c>
      <c r="F11" t="inlineStr">
        <is>
          <t>% ADV</t>
        </is>
      </c>
    </row>
    <row r="12">
      <c r="B12" t="inlineStr">
        <is>
          <t>Training periods</t>
        </is>
      </c>
      <c r="C12" s="9" t="n">
        <v>24</v>
      </c>
      <c r="D12" s="9" t="n">
        <v>24</v>
      </c>
      <c r="E12" s="10">
        <f>IF(Cover!$C$9="Downside",D12,C12)</f>
        <v/>
      </c>
      <c r="F12" t="inlineStr">
        <is>
          <t>periods</t>
        </is>
      </c>
    </row>
    <row r="13">
      <c r="B13" t="inlineStr">
        <is>
          <t>Testing periods</t>
        </is>
      </c>
      <c r="C13" s="9" t="n">
        <v>6</v>
      </c>
      <c r="D13" s="9" t="n">
        <v>6</v>
      </c>
      <c r="E13" s="10">
        <f>IF(Cover!$C$9="Downside",D13,C13)</f>
        <v/>
      </c>
      <c r="F13" t="inlineStr">
        <is>
          <t>periods</t>
        </is>
      </c>
    </row>
    <row r="14">
      <c r="B14" t="inlineStr">
        <is>
          <t>Walk-forward step</t>
        </is>
      </c>
      <c r="C14" s="9" t="n">
        <v>6</v>
      </c>
      <c r="D14" s="9" t="n">
        <v>6</v>
      </c>
      <c r="E14" s="10">
        <f>IF(Cover!$C$9="Downside",D14,C14)</f>
        <v/>
      </c>
      <c r="F14" t="inlineStr">
        <is>
          <t>periods</t>
        </is>
      </c>
    </row>
    <row r="15">
      <c r="B15" t="inlineStr">
        <is>
          <t>VaR confidence</t>
        </is>
      </c>
      <c r="C15" s="19" t="n">
        <v>0.95</v>
      </c>
      <c r="D15" s="19" t="n">
        <v>0.99</v>
      </c>
      <c r="E15" s="20">
        <f>IF(Cover!$C$9="Downside",D15,C15)</f>
        <v/>
      </c>
      <c r="F15" t="inlineStr">
        <is>
          <t>%</t>
        </is>
      </c>
    </row>
    <row r="16">
      <c r="B16" t="inlineStr">
        <is>
          <t>Target volatility</t>
        </is>
      </c>
      <c r="C16" s="19" t="n">
        <v>0.12</v>
      </c>
      <c r="D16" s="19" t="n">
        <v>0.1</v>
      </c>
      <c r="E16" s="20">
        <f>IF(Cover!$C$9="Downside",D16,C16)</f>
        <v/>
      </c>
      <c r="F16" t="inlineStr">
        <is>
          <t>% annual</t>
        </is>
      </c>
    </row>
    <row r="17">
      <c r="B17" t="inlineStr">
        <is>
          <t>Maximum drawdown limit</t>
        </is>
      </c>
      <c r="C17" s="19" t="n">
        <v>-0.2</v>
      </c>
      <c r="D17" s="19" t="n">
        <v>-0.15</v>
      </c>
      <c r="E17" s="20">
        <f>IF(Cover!$C$9="Downside",D17,C17)</f>
        <v/>
      </c>
      <c r="F17" t="inlineStr">
        <is>
          <t>%</t>
        </is>
      </c>
    </row>
    <row r="18">
      <c r="B18" t="inlineStr">
        <is>
          <t>Signal lag</t>
        </is>
      </c>
      <c r="C18" s="9" t="n">
        <v>1</v>
      </c>
      <c r="D18" s="9" t="n">
        <v>1</v>
      </c>
      <c r="E18" s="10">
        <f>IF(Cover!$C$9="Downside",D18,C18)</f>
        <v/>
      </c>
      <c r="F18" t="inlineStr">
        <is>
          <t>periods</t>
        </is>
      </c>
    </row>
    <row r="19">
      <c r="B19" t="inlineStr">
        <is>
          <t>Data publication lag enforced</t>
        </is>
      </c>
      <c r="C19" s="9" t="n">
        <v>1</v>
      </c>
      <c r="D19" s="9" t="n">
        <v>1</v>
      </c>
      <c r="E19" s="10">
        <f>IF(Cover!$C$9="Downside",D19,C19)</f>
        <v/>
      </c>
      <c r="F19" t="inlineStr">
        <is>
          <t>1=yes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</cols>
  <sheetData>
    <row r="2" ht="28" customHeight="1">
      <c r="B2" s="1" t="inlineStr">
        <is>
          <t>Point-in-Time Backtest</t>
        </is>
      </c>
    </row>
    <row r="4">
      <c r="B4" s="8" t="inlineStr">
        <is>
          <t>Period</t>
        </is>
      </c>
      <c r="C4" s="8" t="inlineStr">
        <is>
          <t>Gross return</t>
        </is>
      </c>
      <c r="D4" s="8" t="inlineStr">
        <is>
          <t>Turnover</t>
        </is>
      </c>
      <c r="E4" s="8" t="inlineStr">
        <is>
          <t>Signal available?</t>
        </is>
      </c>
      <c r="F4" s="8" t="inlineStr">
        <is>
          <t>Linear cost</t>
        </is>
      </c>
      <c r="G4" s="8" t="inlineStr">
        <is>
          <t>Impact cost</t>
        </is>
      </c>
      <c r="H4" s="8" t="inlineStr">
        <is>
          <t>Net return</t>
        </is>
      </c>
      <c r="I4" s="8" t="inlineStr">
        <is>
          <t>Cumulative wealth</t>
        </is>
      </c>
      <c r="J4" s="8" t="inlineStr">
        <is>
          <t>Running peak</t>
        </is>
      </c>
      <c r="K4" s="8" t="inlineStr">
        <is>
          <t>Drawdown</t>
        </is>
      </c>
      <c r="L4" s="8" t="inlineStr">
        <is>
          <t>Participation</t>
        </is>
      </c>
    </row>
    <row r="5">
      <c r="B5" t="n">
        <v>1</v>
      </c>
      <c r="C5" s="11" t="n">
        <v>0.01186521592423352</v>
      </c>
      <c r="D5" s="11" t="n">
        <v>0.2798003996192592</v>
      </c>
      <c r="E5" s="21">
        <f>IF(AND(Assumptions!$E$18&gt;=1,Assumptions!$E$19=1),1,0)</f>
        <v/>
      </c>
      <c r="F5" s="21">
        <f>ABS(D5)*Assumptions!$E$7/10000</f>
        <v/>
      </c>
      <c r="G5" s="21">
        <f>Assumptions!$E$8*(ABS(D5)*Assumptions!$E$9/Assumptions!$E$10)^1.5</f>
        <v/>
      </c>
      <c r="H5" s="21">
        <f>IF(E5=1,C5-F5-G5,0)</f>
        <v/>
      </c>
      <c r="I5" s="22">
        <f>1+H5</f>
        <v/>
      </c>
      <c r="J5" s="22">
        <f>I5</f>
        <v/>
      </c>
      <c r="K5" s="21">
        <f>IFERROR(I5/J5-1,0)</f>
        <v/>
      </c>
      <c r="L5" s="21">
        <f>ABS(D5)*Assumptions!$E$9/Assumptions!$E$10</f>
        <v/>
      </c>
    </row>
    <row r="6">
      <c r="B6" t="n">
        <v>2</v>
      </c>
      <c r="C6" s="11" t="n">
        <v>0.01517720112350835</v>
      </c>
      <c r="D6" s="11" t="n">
        <v>0.3084127513462976</v>
      </c>
      <c r="E6" s="21">
        <f>IF(AND(Assumptions!$E$18&gt;=1,Assumptions!$E$19=1),1,0)</f>
        <v/>
      </c>
      <c r="F6" s="21">
        <f>ABS(D6)*Assumptions!$E$7/10000</f>
        <v/>
      </c>
      <c r="G6" s="21">
        <f>Assumptions!$E$8*(ABS(D6)*Assumptions!$E$9/Assumptions!$E$10)^1.5</f>
        <v/>
      </c>
      <c r="H6" s="21">
        <f>IF(E6=1,C6-F6-G6,0)</f>
        <v/>
      </c>
      <c r="I6" s="22">
        <f>I5*(1+H6)</f>
        <v/>
      </c>
      <c r="J6" s="22">
        <f>MAX(J5,I6)</f>
        <v/>
      </c>
      <c r="K6" s="21">
        <f>IFERROR(I6/J6-1,0)</f>
        <v/>
      </c>
      <c r="L6" s="21">
        <f>ABS(D6)*Assumptions!$E$9/Assumptions!$E$10</f>
        <v/>
      </c>
    </row>
    <row r="7">
      <c r="B7" t="n">
        <v>3</v>
      </c>
      <c r="C7" s="11" t="n">
        <v>0.01755501392773976</v>
      </c>
      <c r="D7" s="11" t="n">
        <v>0.3346963710092553</v>
      </c>
      <c r="E7" s="21">
        <f>IF(AND(Assumptions!$E$18&gt;=1,Assumptions!$E$19=1),1,0)</f>
        <v/>
      </c>
      <c r="F7" s="21">
        <f>ABS(D7)*Assumptions!$E$7/10000</f>
        <v/>
      </c>
      <c r="G7" s="21">
        <f>Assumptions!$E$8*(ABS(D7)*Assumptions!$E$9/Assumptions!$E$10)^1.5</f>
        <v/>
      </c>
      <c r="H7" s="21">
        <f>IF(E7=1,C7-F7-G7,0)</f>
        <v/>
      </c>
      <c r="I7" s="22">
        <f>I6*(1+H7)</f>
        <v/>
      </c>
      <c r="J7" s="22">
        <f>MAX(J6,I7)</f>
        <v/>
      </c>
      <c r="K7" s="21">
        <f>IFERROR(I7/J7-1,0)</f>
        <v/>
      </c>
      <c r="L7" s="21">
        <f>ABS(D7)*Assumptions!$E$9/Assumptions!$E$10</f>
        <v/>
      </c>
    </row>
    <row r="8">
      <c r="B8" t="n">
        <v>4</v>
      </c>
      <c r="C8" s="11" t="n">
        <v>0.01871003009685117</v>
      </c>
      <c r="D8" s="11" t="n">
        <v>0.3576034136349284</v>
      </c>
      <c r="E8" s="21">
        <f>IF(AND(Assumptions!$E$18&gt;=1,Assumptions!$E$19=1),1,0)</f>
        <v/>
      </c>
      <c r="F8" s="21">
        <f>ABS(D8)*Assumptions!$E$7/10000</f>
        <v/>
      </c>
      <c r="G8" s="21">
        <f>Assumptions!$E$8*(ABS(D8)*Assumptions!$E$9/Assumptions!$E$10)^1.5</f>
        <v/>
      </c>
      <c r="H8" s="21">
        <f>IF(E8=1,C8-F8-G8,0)</f>
        <v/>
      </c>
      <c r="I8" s="22">
        <f>I7*(1+H8)</f>
        <v/>
      </c>
      <c r="J8" s="22">
        <f>MAX(J7,I8)</f>
        <v/>
      </c>
      <c r="K8" s="21">
        <f>IFERROR(I8/J8-1,0)</f>
        <v/>
      </c>
      <c r="L8" s="21">
        <f>ABS(D8)*Assumptions!$E$9/Assumptions!$E$10</f>
        <v/>
      </c>
    </row>
    <row r="9">
      <c r="B9" t="n">
        <v>5</v>
      </c>
      <c r="C9" s="11" t="n">
        <v>0.008478263573225359</v>
      </c>
      <c r="D9" s="11" t="n">
        <v>0.3762206477211845</v>
      </c>
      <c r="E9" s="21">
        <f>IF(AND(Assumptions!$E$18&gt;=1,Assumptions!$E$19=1),1,0)</f>
        <v/>
      </c>
      <c r="F9" s="21">
        <f>ABS(D9)*Assumptions!$E$7/10000</f>
        <v/>
      </c>
      <c r="G9" s="21">
        <f>Assumptions!$E$8*(ABS(D9)*Assumptions!$E$9/Assumptions!$E$10)^1.5</f>
        <v/>
      </c>
      <c r="H9" s="21">
        <f>IF(E9=1,C9-F9-G9,0)</f>
        <v/>
      </c>
      <c r="I9" s="22">
        <f>I8*(1+H9)</f>
        <v/>
      </c>
      <c r="J9" s="22">
        <f>MAX(J8,I9)</f>
        <v/>
      </c>
      <c r="K9" s="21">
        <f>IFERROR(I9/J9-1,0)</f>
        <v/>
      </c>
      <c r="L9" s="21">
        <f>ABS(D9)*Assumptions!$E$9/Assumptions!$E$10</f>
        <v/>
      </c>
    </row>
    <row r="10">
      <c r="B10" t="n">
        <v>6</v>
      </c>
      <c r="C10" s="11" t="n">
        <v>0.01683916952195979</v>
      </c>
      <c r="D10" s="11" t="n">
        <v>0.3898058628950839</v>
      </c>
      <c r="E10" s="21">
        <f>IF(AND(Assumptions!$E$18&gt;=1,Assumptions!$E$19=1),1,0)</f>
        <v/>
      </c>
      <c r="F10" s="21">
        <f>ABS(D10)*Assumptions!$E$7/10000</f>
        <v/>
      </c>
      <c r="G10" s="21">
        <f>Assumptions!$E$8*(ABS(D10)*Assumptions!$E$9/Assumptions!$E$10)^1.5</f>
        <v/>
      </c>
      <c r="H10" s="21">
        <f>IF(E10=1,C10-F10-G10,0)</f>
        <v/>
      </c>
      <c r="I10" s="22">
        <f>I9*(1+H10)</f>
        <v/>
      </c>
      <c r="J10" s="22">
        <f>MAX(J9,I10)</f>
        <v/>
      </c>
      <c r="K10" s="21">
        <f>IFERROR(I10/J10-1,0)</f>
        <v/>
      </c>
      <c r="L10" s="21">
        <f>ABS(D10)*Assumptions!$E$9/Assumptions!$E$10</f>
        <v/>
      </c>
    </row>
    <row r="11">
      <c r="B11" t="n">
        <v>7</v>
      </c>
      <c r="C11" s="11" t="n">
        <v>0.01391884441606873</v>
      </c>
      <c r="D11" s="11" t="n">
        <v>0.397817459498269</v>
      </c>
      <c r="E11" s="21">
        <f>IF(AND(Assumptions!$E$18&gt;=1,Assumptions!$E$19=1),1,0)</f>
        <v/>
      </c>
      <c r="F11" s="21">
        <f>ABS(D11)*Assumptions!$E$7/10000</f>
        <v/>
      </c>
      <c r="G11" s="21">
        <f>Assumptions!$E$8*(ABS(D11)*Assumptions!$E$9/Assumptions!$E$10)^1.5</f>
        <v/>
      </c>
      <c r="H11" s="21">
        <f>IF(E11=1,C11-F11-G11,0)</f>
        <v/>
      </c>
      <c r="I11" s="22">
        <f>I10*(1+H11)</f>
        <v/>
      </c>
      <c r="J11" s="22">
        <f>MAX(J10,I11)</f>
        <v/>
      </c>
      <c r="K11" s="21">
        <f>IFERROR(I11/J11-1,0)</f>
        <v/>
      </c>
      <c r="L11" s="21">
        <f>ABS(D11)*Assumptions!$E$9/Assumptions!$E$10</f>
        <v/>
      </c>
    </row>
    <row r="12">
      <c r="B12" t="n">
        <v>8</v>
      </c>
      <c r="C12" s="11" t="n">
        <v>0.00997725176355615</v>
      </c>
      <c r="D12" s="11" t="n">
        <v>0.3999360404562258</v>
      </c>
      <c r="E12" s="21">
        <f>IF(AND(Assumptions!$E$18&gt;=1,Assumptions!$E$19=1),1,0)</f>
        <v/>
      </c>
      <c r="F12" s="21">
        <f>ABS(D12)*Assumptions!$E$7/10000</f>
        <v/>
      </c>
      <c r="G12" s="21">
        <f>Assumptions!$E$8*(ABS(D12)*Assumptions!$E$9/Assumptions!$E$10)^1.5</f>
        <v/>
      </c>
      <c r="H12" s="21">
        <f>IF(E12=1,C12-F12-G12,0)</f>
        <v/>
      </c>
      <c r="I12" s="22">
        <f>I11*(1+H12)</f>
        <v/>
      </c>
      <c r="J12" s="22">
        <f>MAX(J11,I12)</f>
        <v/>
      </c>
      <c r="K12" s="21">
        <f>IFERROR(I12/J12-1,0)</f>
        <v/>
      </c>
      <c r="L12" s="21">
        <f>ABS(D12)*Assumptions!$E$9/Assumptions!$E$10</f>
        <v/>
      </c>
    </row>
    <row r="13">
      <c r="B13" t="n">
        <v>9</v>
      </c>
      <c r="C13" s="11" t="n">
        <v>0.005380857188886477</v>
      </c>
      <c r="D13" s="11" t="n">
        <v>0.3960771446317293</v>
      </c>
      <c r="E13" s="21">
        <f>IF(AND(Assumptions!$E$18&gt;=1,Assumptions!$E$19=1),1,0)</f>
        <v/>
      </c>
      <c r="F13" s="21">
        <f>ABS(D13)*Assumptions!$E$7/10000</f>
        <v/>
      </c>
      <c r="G13" s="21">
        <f>Assumptions!$E$8*(ABS(D13)*Assumptions!$E$9/Assumptions!$E$10)^1.5</f>
        <v/>
      </c>
      <c r="H13" s="21">
        <f>IF(E13=1,C13-F13-G13,0)</f>
        <v/>
      </c>
      <c r="I13" s="22">
        <f>I12*(1+H13)</f>
        <v/>
      </c>
      <c r="J13" s="22">
        <f>MAX(J12,I13)</f>
        <v/>
      </c>
      <c r="K13" s="21">
        <f>IFERROR(I13/J13-1,0)</f>
        <v/>
      </c>
      <c r="L13" s="21">
        <f>ABS(D13)*Assumptions!$E$9/Assumptions!$E$10</f>
        <v/>
      </c>
    </row>
    <row r="14">
      <c r="B14" t="n">
        <v>10</v>
      </c>
      <c r="C14" s="11" t="n">
        <v>-0.009436340170967783</v>
      </c>
      <c r="D14" s="11" t="n">
        <v>0.3863946140238522</v>
      </c>
      <c r="E14" s="21">
        <f>IF(AND(Assumptions!$E$18&gt;=1,Assumptions!$E$19=1),1,0)</f>
        <v/>
      </c>
      <c r="F14" s="21">
        <f>ABS(D14)*Assumptions!$E$7/10000</f>
        <v/>
      </c>
      <c r="G14" s="21">
        <f>Assumptions!$E$8*(ABS(D14)*Assumptions!$E$9/Assumptions!$E$10)^1.5</f>
        <v/>
      </c>
      <c r="H14" s="21">
        <f>IF(E14=1,C14-F14-G14,0)</f>
        <v/>
      </c>
      <c r="I14" s="22">
        <f>I13*(1+H14)</f>
        <v/>
      </c>
      <c r="J14" s="22">
        <f>MAX(J13,I14)</f>
        <v/>
      </c>
      <c r="K14" s="21">
        <f>IFERROR(I14/J14-1,0)</f>
        <v/>
      </c>
      <c r="L14" s="21">
        <f>ABS(D14)*Assumptions!$E$9/Assumptions!$E$10</f>
        <v/>
      </c>
    </row>
    <row r="15">
      <c r="B15" t="n">
        <v>11</v>
      </c>
      <c r="C15" s="11" t="n">
        <v>-0.004019118050609457</v>
      </c>
      <c r="D15" s="11" t="n">
        <v>0.3712744605729385</v>
      </c>
      <c r="E15" s="21">
        <f>IF(AND(Assumptions!$E$18&gt;=1,Assumptions!$E$19=1),1,0)</f>
        <v/>
      </c>
      <c r="F15" s="21">
        <f>ABS(D15)*Assumptions!$E$7/10000</f>
        <v/>
      </c>
      <c r="G15" s="21">
        <f>Assumptions!$E$8*(ABS(D15)*Assumptions!$E$9/Assumptions!$E$10)^1.5</f>
        <v/>
      </c>
      <c r="H15" s="21">
        <f>IF(E15=1,C15-F15-G15,0)</f>
        <v/>
      </c>
      <c r="I15" s="22">
        <f>I14*(1+H15)</f>
        <v/>
      </c>
      <c r="J15" s="22">
        <f>MAX(J14,I15)</f>
        <v/>
      </c>
      <c r="K15" s="21">
        <f>IFERROR(I15/J15-1,0)</f>
        <v/>
      </c>
      <c r="L15" s="21">
        <f>ABS(D15)*Assumptions!$E$9/Assumptions!$E$10</f>
        <v/>
      </c>
    </row>
    <row r="16">
      <c r="B16" t="n">
        <v>12</v>
      </c>
      <c r="C16" s="11" t="n">
        <v>-0.007939614976199964</v>
      </c>
      <c r="D16" s="11" t="n">
        <v>0.3513194770826726</v>
      </c>
      <c r="E16" s="21">
        <f>IF(AND(Assumptions!$E$18&gt;=1,Assumptions!$E$19=1),1,0)</f>
        <v/>
      </c>
      <c r="F16" s="21">
        <f>ABS(D16)*Assumptions!$E$7/10000</f>
        <v/>
      </c>
      <c r="G16" s="21">
        <f>Assumptions!$E$8*(ABS(D16)*Assumptions!$E$9/Assumptions!$E$10)^1.5</f>
        <v/>
      </c>
      <c r="H16" s="21">
        <f>IF(E16=1,C16-F16-G16,0)</f>
        <v/>
      </c>
      <c r="I16" s="22">
        <f>I15*(1+H16)</f>
        <v/>
      </c>
      <c r="J16" s="22">
        <f>MAX(J15,I16)</f>
        <v/>
      </c>
      <c r="K16" s="21">
        <f>IFERROR(I16/J16-1,0)</f>
        <v/>
      </c>
      <c r="L16" s="21">
        <f>ABS(D16)*Assumptions!$E$9/Assumptions!$E$10</f>
        <v/>
      </c>
    </row>
    <row r="17">
      <c r="B17" t="n">
        <v>13</v>
      </c>
      <c r="C17" s="11" t="n">
        <v>-0.01084287047257581</v>
      </c>
      <c r="D17" s="11" t="n">
        <v>0.3273252057732196</v>
      </c>
      <c r="E17" s="21">
        <f>IF(AND(Assumptions!$E$18&gt;=1,Assumptions!$E$19=1),1,0)</f>
        <v/>
      </c>
      <c r="F17" s="21">
        <f>ABS(D17)*Assumptions!$E$7/10000</f>
        <v/>
      </c>
      <c r="G17" s="21">
        <f>Assumptions!$E$8*(ABS(D17)*Assumptions!$E$9/Assumptions!$E$10)^1.5</f>
        <v/>
      </c>
      <c r="H17" s="21">
        <f>IF(E17=1,C17-F17-G17,0)</f>
        <v/>
      </c>
      <c r="I17" s="22">
        <f>I16*(1+H17)</f>
        <v/>
      </c>
      <c r="J17" s="22">
        <f>MAX(J16,I17)</f>
        <v/>
      </c>
      <c r="K17" s="21">
        <f>IFERROR(I17/J17-1,0)</f>
        <v/>
      </c>
      <c r="L17" s="21">
        <f>ABS(D17)*Assumptions!$E$9/Assumptions!$E$10</f>
        <v/>
      </c>
    </row>
    <row r="18">
      <c r="B18" t="n">
        <v>14</v>
      </c>
      <c r="C18" s="11" t="n">
        <v>-0.01248434002445799</v>
      </c>
      <c r="D18" s="11" t="n">
        <v>0.3002482225233858</v>
      </c>
      <c r="E18" s="21">
        <f>IF(AND(Assumptions!$E$18&gt;=1,Assumptions!$E$19=1),1,0)</f>
        <v/>
      </c>
      <c r="F18" s="21">
        <f>ABS(D18)*Assumptions!$E$7/10000</f>
        <v/>
      </c>
      <c r="G18" s="21">
        <f>Assumptions!$E$8*(ABS(D18)*Assumptions!$E$9/Assumptions!$E$10)^1.5</f>
        <v/>
      </c>
      <c r="H18" s="21">
        <f>IF(E18=1,C18-F18-G18,0)</f>
        <v/>
      </c>
      <c r="I18" s="22">
        <f>I17*(1+H18)</f>
        <v/>
      </c>
      <c r="J18" s="22">
        <f>MAX(J17,I18)</f>
        <v/>
      </c>
      <c r="K18" s="21">
        <f>IFERROR(I18/J18-1,0)</f>
        <v/>
      </c>
      <c r="L18" s="21">
        <f>ABS(D18)*Assumptions!$E$9/Assumptions!$E$10</f>
        <v/>
      </c>
    </row>
    <row r="19">
      <c r="B19" t="n">
        <v>15</v>
      </c>
      <c r="C19" s="11" t="n">
        <v>-0.02275528672391825</v>
      </c>
      <c r="D19" s="11" t="n">
        <v>0.2711680012089801</v>
      </c>
      <c r="E19" s="21">
        <f>IF(AND(Assumptions!$E$18&gt;=1,Assumptions!$E$19=1),1,0)</f>
        <v/>
      </c>
      <c r="F19" s="21">
        <f>ABS(D19)*Assumptions!$E$7/10000</f>
        <v/>
      </c>
      <c r="G19" s="21">
        <f>Assumptions!$E$8*(ABS(D19)*Assumptions!$E$9/Assumptions!$E$10)^1.5</f>
        <v/>
      </c>
      <c r="H19" s="21">
        <f>IF(E19=1,C19-F19-G19,0)</f>
        <v/>
      </c>
      <c r="I19" s="22">
        <f>I18*(1+H19)</f>
        <v/>
      </c>
      <c r="J19" s="22">
        <f>MAX(J18,I19)</f>
        <v/>
      </c>
      <c r="K19" s="21">
        <f>IFERROR(I19/J19-1,0)</f>
        <v/>
      </c>
      <c r="L19" s="21">
        <f>ABS(D19)*Assumptions!$E$9/Assumptions!$E$10</f>
        <v/>
      </c>
    </row>
    <row r="20">
      <c r="B20" t="n">
        <v>16</v>
      </c>
      <c r="C20" s="11" t="n">
        <v>-0.01169328549376302</v>
      </c>
      <c r="D20" s="11" t="n">
        <v>0.258756121514137</v>
      </c>
      <c r="E20" s="21">
        <f>IF(AND(Assumptions!$E$18&gt;=1,Assumptions!$E$19=1),1,0)</f>
        <v/>
      </c>
      <c r="F20" s="21">
        <f>ABS(D20)*Assumptions!$E$7/10000</f>
        <v/>
      </c>
      <c r="G20" s="21">
        <f>Assumptions!$E$8*(ABS(D20)*Assumptions!$E$9/Assumptions!$E$10)^1.5</f>
        <v/>
      </c>
      <c r="H20" s="21">
        <f>IF(E20=1,C20-F20-G20,0)</f>
        <v/>
      </c>
      <c r="I20" s="22">
        <f>I19*(1+H20)</f>
        <v/>
      </c>
      <c r="J20" s="22">
        <f>MAX(J19,I20)</f>
        <v/>
      </c>
      <c r="K20" s="21">
        <f>IFERROR(I20/J20-1,0)</f>
        <v/>
      </c>
      <c r="L20" s="21">
        <f>ABS(D20)*Assumptions!$E$9/Assumptions!$E$10</f>
        <v/>
      </c>
    </row>
    <row r="21">
      <c r="B21" t="n">
        <v>17</v>
      </c>
      <c r="C21" s="11" t="n">
        <v>-0.009476713389357317</v>
      </c>
      <c r="D21" s="11" t="n">
        <v>0.2883311653040247</v>
      </c>
      <c r="E21" s="21">
        <f>IF(AND(Assumptions!$E$18&gt;=1,Assumptions!$E$19=1),1,0)</f>
        <v/>
      </c>
      <c r="F21" s="21">
        <f>ABS(D21)*Assumptions!$E$7/10000</f>
        <v/>
      </c>
      <c r="G21" s="21">
        <f>Assumptions!$E$8*(ABS(D21)*Assumptions!$E$9/Assumptions!$E$10)^1.5</f>
        <v/>
      </c>
      <c r="H21" s="21">
        <f>IF(E21=1,C21-F21-G21,0)</f>
        <v/>
      </c>
      <c r="I21" s="22">
        <f>I20*(1+H21)</f>
        <v/>
      </c>
      <c r="J21" s="22">
        <f>MAX(J20,I21)</f>
        <v/>
      </c>
      <c r="K21" s="21">
        <f>IFERROR(I21/J21-1,0)</f>
        <v/>
      </c>
      <c r="L21" s="21">
        <f>ABS(D21)*Assumptions!$E$9/Assumptions!$E$10</f>
        <v/>
      </c>
    </row>
    <row r="22">
      <c r="B22" t="n">
        <v>18</v>
      </c>
      <c r="C22" s="11" t="n">
        <v>-0.006403860497406795</v>
      </c>
      <c r="D22" s="11" t="n">
        <v>0.3163780664942278</v>
      </c>
      <c r="E22" s="21">
        <f>IF(AND(Assumptions!$E$18&gt;=1,Assumptions!$E$19=1),1,0)</f>
        <v/>
      </c>
      <c r="F22" s="21">
        <f>ABS(D22)*Assumptions!$E$7/10000</f>
        <v/>
      </c>
      <c r="G22" s="21">
        <f>Assumptions!$E$8*(ABS(D22)*Assumptions!$E$9/Assumptions!$E$10)^1.5</f>
        <v/>
      </c>
      <c r="H22" s="21">
        <f>IF(E22=1,C22-F22-G22,0)</f>
        <v/>
      </c>
      <c r="I22" s="22">
        <f>I21*(1+H22)</f>
        <v/>
      </c>
      <c r="J22" s="22">
        <f>MAX(J21,I22)</f>
        <v/>
      </c>
      <c r="K22" s="21">
        <f>IFERROR(I22/J22-1,0)</f>
        <v/>
      </c>
      <c r="L22" s="21">
        <f>ABS(D22)*Assumptions!$E$9/Assumptions!$E$10</f>
        <v/>
      </c>
    </row>
    <row r="23">
      <c r="B23" t="n">
        <v>19</v>
      </c>
      <c r="C23" s="11" t="n">
        <v>-0.002858986544543521</v>
      </c>
      <c r="D23" s="11" t="n">
        <v>0.3417786836414078</v>
      </c>
      <c r="E23" s="21">
        <f>IF(AND(Assumptions!$E$18&gt;=1,Assumptions!$E$19=1),1,0)</f>
        <v/>
      </c>
      <c r="F23" s="21">
        <f>ABS(D23)*Assumptions!$E$7/10000</f>
        <v/>
      </c>
      <c r="G23" s="21">
        <f>Assumptions!$E$8*(ABS(D23)*Assumptions!$E$9/Assumptions!$E$10)^1.5</f>
        <v/>
      </c>
      <c r="H23" s="21">
        <f>IF(E23=1,C23-F23-G23,0)</f>
        <v/>
      </c>
      <c r="I23" s="22">
        <f>I22*(1+H23)</f>
        <v/>
      </c>
      <c r="J23" s="22">
        <f>MAX(J22,I23)</f>
        <v/>
      </c>
      <c r="K23" s="21">
        <f>IFERROR(I23/J23-1,0)</f>
        <v/>
      </c>
      <c r="L23" s="21">
        <f>ABS(D23)*Assumptions!$E$9/Assumptions!$E$10</f>
        <v/>
      </c>
    </row>
    <row r="24">
      <c r="B24" t="n">
        <v>20</v>
      </c>
      <c r="C24" s="11" t="n">
        <v>-0.0092690824404773</v>
      </c>
      <c r="D24" s="11" t="n">
        <v>0.3635203742961892</v>
      </c>
      <c r="E24" s="21">
        <f>IF(AND(Assumptions!$E$18&gt;=1,Assumptions!$E$19=1),1,0)</f>
        <v/>
      </c>
      <c r="F24" s="21">
        <f>ABS(D24)*Assumptions!$E$7/10000</f>
        <v/>
      </c>
      <c r="G24" s="21">
        <f>Assumptions!$E$8*(ABS(D24)*Assumptions!$E$9/Assumptions!$E$10)^1.5</f>
        <v/>
      </c>
      <c r="H24" s="21">
        <f>IF(E24=1,C24-F24-G24,0)</f>
        <v/>
      </c>
      <c r="I24" s="22">
        <f>I23*(1+H24)</f>
        <v/>
      </c>
      <c r="J24" s="22">
        <f>MAX(J23,I24)</f>
        <v/>
      </c>
      <c r="K24" s="21">
        <f>IFERROR(I24/J24-1,0)</f>
        <v/>
      </c>
      <c r="L24" s="21">
        <f>ABS(D24)*Assumptions!$E$9/Assumptions!$E$10</f>
        <v/>
      </c>
    </row>
    <row r="25">
      <c r="B25" t="n">
        <v>21</v>
      </c>
      <c r="C25" s="11" t="n">
        <v>0.003943884205022797</v>
      </c>
      <c r="D25" s="11" t="n">
        <v>0.3807363658620382</v>
      </c>
      <c r="E25" s="21">
        <f>IF(AND(Assumptions!$E$18&gt;=1,Assumptions!$E$19=1),1,0)</f>
        <v/>
      </c>
      <c r="F25" s="21">
        <f>ABS(D25)*Assumptions!$E$7/10000</f>
        <v/>
      </c>
      <c r="G25" s="21">
        <f>Assumptions!$E$8*(ABS(D25)*Assumptions!$E$9/Assumptions!$E$10)^1.5</f>
        <v/>
      </c>
      <c r="H25" s="21">
        <f>IF(E25=1,C25-F25-G25,0)</f>
        <v/>
      </c>
      <c r="I25" s="22">
        <f>I24*(1+H25)</f>
        <v/>
      </c>
      <c r="J25" s="22">
        <f>MAX(J24,I25)</f>
        <v/>
      </c>
      <c r="K25" s="21">
        <f>IFERROR(I25/J25-1,0)</f>
        <v/>
      </c>
      <c r="L25" s="21">
        <f>ABS(D25)*Assumptions!$E$9/Assumptions!$E$10</f>
        <v/>
      </c>
    </row>
    <row r="26">
      <c r="B26" t="n">
        <v>22</v>
      </c>
      <c r="C26" s="11" t="n">
        <v>0.006409967232224355</v>
      </c>
      <c r="D26" s="11" t="n">
        <v>0.3927403110834274</v>
      </c>
      <c r="E26" s="21">
        <f>IF(AND(Assumptions!$E$18&gt;=1,Assumptions!$E$19=1),1,0)</f>
        <v/>
      </c>
      <c r="F26" s="21">
        <f>ABS(D26)*Assumptions!$E$7/10000</f>
        <v/>
      </c>
      <c r="G26" s="21">
        <f>Assumptions!$E$8*(ABS(D26)*Assumptions!$E$9/Assumptions!$E$10)^1.5</f>
        <v/>
      </c>
      <c r="H26" s="21">
        <f>IF(E26=1,C26-F26-G26,0)</f>
        <v/>
      </c>
      <c r="I26" s="22">
        <f>I25*(1+H26)</f>
        <v/>
      </c>
      <c r="J26" s="22">
        <f>MAX(J25,I26)</f>
        <v/>
      </c>
      <c r="K26" s="21">
        <f>IFERROR(I26/J26-1,0)</f>
        <v/>
      </c>
      <c r="L26" s="21">
        <f>ABS(D26)*Assumptions!$E$9/Assumptions!$E$10</f>
        <v/>
      </c>
    </row>
    <row r="27">
      <c r="B27" t="n">
        <v>23</v>
      </c>
      <c r="C27" s="11" t="n">
        <v>0.007852298793949658</v>
      </c>
      <c r="D27" s="11" t="n">
        <v>0.3990536505450196</v>
      </c>
      <c r="E27" s="21">
        <f>IF(AND(Assumptions!$E$18&gt;=1,Assumptions!$E$19=1),1,0)</f>
        <v/>
      </c>
      <c r="F27" s="21">
        <f>ABS(D27)*Assumptions!$E$7/10000</f>
        <v/>
      </c>
      <c r="G27" s="21">
        <f>Assumptions!$E$8*(ABS(D27)*Assumptions!$E$9/Assumptions!$E$10)^1.5</f>
        <v/>
      </c>
      <c r="H27" s="21">
        <f>IF(E27=1,C27-F27-G27,0)</f>
        <v/>
      </c>
      <c r="I27" s="22">
        <f>I26*(1+H27)</f>
        <v/>
      </c>
      <c r="J27" s="22">
        <f>MAX(J26,I27)</f>
        <v/>
      </c>
      <c r="K27" s="21">
        <f>IFERROR(I27/J27-1,0)</f>
        <v/>
      </c>
      <c r="L27" s="21">
        <f>ABS(D27)*Assumptions!$E$9/Assumptions!$E$10</f>
        <v/>
      </c>
    </row>
    <row r="28">
      <c r="B28" t="n">
        <v>24</v>
      </c>
      <c r="C28" s="11" t="n">
        <v>0.008117678398148016</v>
      </c>
      <c r="D28" s="11" t="n">
        <v>0.3994246913253761</v>
      </c>
      <c r="E28" s="21">
        <f>IF(AND(Assumptions!$E$18&gt;=1,Assumptions!$E$19=1),1,0)</f>
        <v/>
      </c>
      <c r="F28" s="21">
        <f>ABS(D28)*Assumptions!$E$7/10000</f>
        <v/>
      </c>
      <c r="G28" s="21">
        <f>Assumptions!$E$8*(ABS(D28)*Assumptions!$E$9/Assumptions!$E$10)^1.5</f>
        <v/>
      </c>
      <c r="H28" s="21">
        <f>IF(E28=1,C28-F28-G28,0)</f>
        <v/>
      </c>
      <c r="I28" s="22">
        <f>I27*(1+H28)</f>
        <v/>
      </c>
      <c r="J28" s="22">
        <f>MAX(J27,I28)</f>
        <v/>
      </c>
      <c r="K28" s="21">
        <f>IFERROR(I28/J28-1,0)</f>
        <v/>
      </c>
      <c r="L28" s="21">
        <f>ABS(D28)*Assumptions!$E$9/Assumptions!$E$10</f>
        <v/>
      </c>
    </row>
    <row r="29">
      <c r="B29" t="n">
        <v>25</v>
      </c>
      <c r="C29" s="11" t="n">
        <v>-0.002806675533868279</v>
      </c>
      <c r="D29" s="11" t="n">
        <v>0.3938386411994708</v>
      </c>
      <c r="E29" s="21">
        <f>IF(AND(Assumptions!$E$18&gt;=1,Assumptions!$E$19=1),1,0)</f>
        <v/>
      </c>
      <c r="F29" s="21">
        <f>ABS(D29)*Assumptions!$E$7/10000</f>
        <v/>
      </c>
      <c r="G29" s="21">
        <f>Assumptions!$E$8*(ABS(D29)*Assumptions!$E$9/Assumptions!$E$10)^1.5</f>
        <v/>
      </c>
      <c r="H29" s="21">
        <f>IF(E29=1,C29-F29-G29,0)</f>
        <v/>
      </c>
      <c r="I29" s="22">
        <f>I28*(1+H29)</f>
        <v/>
      </c>
      <c r="J29" s="22">
        <f>MAX(J28,I29)</f>
        <v/>
      </c>
      <c r="K29" s="21">
        <f>IFERROR(I29/J29-1,0)</f>
        <v/>
      </c>
      <c r="L29" s="21">
        <f>ABS(D29)*Assumptions!$E$9/Assumptions!$E$10</f>
        <v/>
      </c>
    </row>
    <row r="30">
      <c r="B30" t="n">
        <v>26</v>
      </c>
      <c r="C30" s="11" t="n">
        <v>0.005207946608848596</v>
      </c>
      <c r="D30" s="11" t="n">
        <v>0.382518198358023</v>
      </c>
      <c r="E30" s="21">
        <f>IF(AND(Assumptions!$E$18&gt;=1,Assumptions!$E$19=1),1,0)</f>
        <v/>
      </c>
      <c r="F30" s="21">
        <f>ABS(D30)*Assumptions!$E$7/10000</f>
        <v/>
      </c>
      <c r="G30" s="21">
        <f>Assumptions!$E$8*(ABS(D30)*Assumptions!$E$9/Assumptions!$E$10)^1.5</f>
        <v/>
      </c>
      <c r="H30" s="21">
        <f>IF(E30=1,C30-F30-G30,0)</f>
        <v/>
      </c>
      <c r="I30" s="22">
        <f>I29*(1+H30)</f>
        <v/>
      </c>
      <c r="J30" s="22">
        <f>MAX(J29,I30)</f>
        <v/>
      </c>
      <c r="K30" s="21">
        <f>IFERROR(I30/J30-1,0)</f>
        <v/>
      </c>
      <c r="L30" s="21">
        <f>ABS(D30)*Assumptions!$E$9/Assumptions!$E$10</f>
        <v/>
      </c>
    </row>
    <row r="31">
      <c r="B31" t="n">
        <v>27</v>
      </c>
      <c r="C31" s="11" t="n">
        <v>0.002417027399469675</v>
      </c>
      <c r="D31" s="11" t="n">
        <v>0.3659146731333981</v>
      </c>
      <c r="E31" s="21">
        <f>IF(AND(Assumptions!$E$18&gt;=1,Assumptions!$E$19=1),1,0)</f>
        <v/>
      </c>
      <c r="F31" s="21">
        <f>ABS(D31)*Assumptions!$E$7/10000</f>
        <v/>
      </c>
      <c r="G31" s="21">
        <f>Assumptions!$E$8*(ABS(D31)*Assumptions!$E$9/Assumptions!$E$10)^1.5</f>
        <v/>
      </c>
      <c r="H31" s="21">
        <f>IF(E31=1,C31-F31-G31,0)</f>
        <v/>
      </c>
      <c r="I31" s="22">
        <f>I30*(1+H31)</f>
        <v/>
      </c>
      <c r="J31" s="22">
        <f>MAX(J30,I31)</f>
        <v/>
      </c>
      <c r="K31" s="21">
        <f>IFERROR(I31/J31-1,0)</f>
        <v/>
      </c>
      <c r="L31" s="21">
        <f>ABS(D31)*Assumptions!$E$9/Assumptions!$E$10</f>
        <v/>
      </c>
    </row>
    <row r="32">
      <c r="B32" t="n">
        <v>28</v>
      </c>
      <c r="C32" s="11" t="n">
        <v>-0.0008260548985246806</v>
      </c>
      <c r="D32" s="11" t="n">
        <v>0.3446899956808482</v>
      </c>
      <c r="E32" s="21">
        <f>IF(AND(Assumptions!$E$18&gt;=1,Assumptions!$E$19=1),1,0)</f>
        <v/>
      </c>
      <c r="F32" s="21">
        <f>ABS(D32)*Assumptions!$E$7/10000</f>
        <v/>
      </c>
      <c r="G32" s="21">
        <f>Assumptions!$E$8*(ABS(D32)*Assumptions!$E$9/Assumptions!$E$10)^1.5</f>
        <v/>
      </c>
      <c r="H32" s="21">
        <f>IF(E32=1,C32-F32-G32,0)</f>
        <v/>
      </c>
      <c r="I32" s="22">
        <f>I31*(1+H32)</f>
        <v/>
      </c>
      <c r="J32" s="22">
        <f>MAX(J31,I32)</f>
        <v/>
      </c>
      <c r="K32" s="21">
        <f>IFERROR(I32/J32-1,0)</f>
        <v/>
      </c>
      <c r="L32" s="21">
        <f>ABS(D32)*Assumptions!$E$9/Assumptions!$E$10</f>
        <v/>
      </c>
    </row>
    <row r="33">
      <c r="B33" t="n">
        <v>29</v>
      </c>
      <c r="C33" s="11" t="n">
        <v>-0.004109868336578098</v>
      </c>
      <c r="D33" s="11" t="n">
        <v>0.3196903269120636</v>
      </c>
      <c r="E33" s="21">
        <f>IF(AND(Assumptions!$E$18&gt;=1,Assumptions!$E$19=1),1,0)</f>
        <v/>
      </c>
      <c r="F33" s="21">
        <f>ABS(D33)*Assumptions!$E$7/10000</f>
        <v/>
      </c>
      <c r="G33" s="21">
        <f>Assumptions!$E$8*(ABS(D33)*Assumptions!$E$9/Assumptions!$E$10)^1.5</f>
        <v/>
      </c>
      <c r="H33" s="21">
        <f>IF(E33=1,C33-F33-G33,0)</f>
        <v/>
      </c>
      <c r="I33" s="22">
        <f>I32*(1+H33)</f>
        <v/>
      </c>
      <c r="J33" s="22">
        <f>MAX(J32,I33)</f>
        <v/>
      </c>
      <c r="K33" s="21">
        <f>IFERROR(I33/J33-1,0)</f>
        <v/>
      </c>
      <c r="L33" s="21">
        <f>ABS(D33)*Assumptions!$E$9/Assumptions!$E$10</f>
        <v/>
      </c>
    </row>
    <row r="34">
      <c r="B34" t="n">
        <v>30</v>
      </c>
      <c r="C34" s="11" t="n">
        <v>-0.01701132881793108</v>
      </c>
      <c r="D34" s="11" t="n">
        <v>0.2919123247298389</v>
      </c>
      <c r="E34" s="21">
        <f>IF(AND(Assumptions!$E$18&gt;=1,Assumptions!$E$19=1),1,0)</f>
        <v/>
      </c>
      <c r="F34" s="21">
        <f>ABS(D34)*Assumptions!$E$7/10000</f>
        <v/>
      </c>
      <c r="G34" s="21">
        <f>Assumptions!$E$8*(ABS(D34)*Assumptions!$E$9/Assumptions!$E$10)^1.5</f>
        <v/>
      </c>
      <c r="H34" s="21">
        <f>IF(E34=1,C34-F34-G34,0)</f>
        <v/>
      </c>
      <c r="I34" s="22">
        <f>I33*(1+H34)</f>
        <v/>
      </c>
      <c r="J34" s="22">
        <f>MAX(J33,I34)</f>
        <v/>
      </c>
      <c r="K34" s="21">
        <f>IFERROR(I34/J34-1,0)</f>
        <v/>
      </c>
      <c r="L34" s="21">
        <f>ABS(D34)*Assumptions!$E$9/Assumptions!$E$10</f>
        <v/>
      </c>
    </row>
    <row r="35">
      <c r="B35" t="n">
        <v>31</v>
      </c>
      <c r="C35" s="11" t="n">
        <v>-0.009143530415621466</v>
      </c>
      <c r="D35" s="11" t="n">
        <v>0.2624634104226244</v>
      </c>
      <c r="E35" s="21">
        <f>IF(AND(Assumptions!$E$18&gt;=1,Assumptions!$E$19=1),1,0)</f>
        <v/>
      </c>
      <c r="F35" s="21">
        <f>ABS(D35)*Assumptions!$E$7/10000</f>
        <v/>
      </c>
      <c r="G35" s="21">
        <f>Assumptions!$E$8*(ABS(D35)*Assumptions!$E$9/Assumptions!$E$10)^1.5</f>
        <v/>
      </c>
      <c r="H35" s="21">
        <f>IF(E35=1,C35-F35-G35,0)</f>
        <v/>
      </c>
      <c r="I35" s="22">
        <f>I34*(1+H35)</f>
        <v/>
      </c>
      <c r="J35" s="22">
        <f>MAX(J34,I35)</f>
        <v/>
      </c>
      <c r="K35" s="21">
        <f>IFERROR(I35/J35-1,0)</f>
        <v/>
      </c>
      <c r="L35" s="21">
        <f>ABS(D35)*Assumptions!$E$9/Assumptions!$E$10</f>
        <v/>
      </c>
    </row>
    <row r="36">
      <c r="B36" t="n">
        <v>32</v>
      </c>
      <c r="C36" s="11" t="n">
        <v>-0.01019971345677549</v>
      </c>
      <c r="D36" s="11" t="n">
        <v>0.267482380727574</v>
      </c>
      <c r="E36" s="21">
        <f>IF(AND(Assumptions!$E$18&gt;=1,Assumptions!$E$19=1),1,0)</f>
        <v/>
      </c>
      <c r="F36" s="21">
        <f>ABS(D36)*Assumptions!$E$7/10000</f>
        <v/>
      </c>
      <c r="G36" s="21">
        <f>Assumptions!$E$8*(ABS(D36)*Assumptions!$E$9/Assumptions!$E$10)^1.5</f>
        <v/>
      </c>
      <c r="H36" s="21">
        <f>IF(E36=1,C36-F36-G36,0)</f>
        <v/>
      </c>
      <c r="I36" s="22">
        <f>I35*(1+H36)</f>
        <v/>
      </c>
      <c r="J36" s="22">
        <f>MAX(J35,I36)</f>
        <v/>
      </c>
      <c r="K36" s="21">
        <f>IFERROR(I36/J36-1,0)</f>
        <v/>
      </c>
      <c r="L36" s="21">
        <f>ABS(D36)*Assumptions!$E$9/Assumptions!$E$10</f>
        <v/>
      </c>
    </row>
    <row r="37">
      <c r="B37" t="n">
        <v>33</v>
      </c>
      <c r="C37" s="11" t="n">
        <v>-0.009988502082025983</v>
      </c>
      <c r="D37" s="11" t="n">
        <v>0.2967312045270067</v>
      </c>
      <c r="E37" s="21">
        <f>IF(AND(Assumptions!$E$18&gt;=1,Assumptions!$E$19=1),1,0)</f>
        <v/>
      </c>
      <c r="F37" s="21">
        <f>ABS(D37)*Assumptions!$E$7/10000</f>
        <v/>
      </c>
      <c r="G37" s="21">
        <f>Assumptions!$E$8*(ABS(D37)*Assumptions!$E$9/Assumptions!$E$10)^1.5</f>
        <v/>
      </c>
      <c r="H37" s="21">
        <f>IF(E37=1,C37-F37-G37,0)</f>
        <v/>
      </c>
      <c r="I37" s="22">
        <f>I36*(1+H37)</f>
        <v/>
      </c>
      <c r="J37" s="22">
        <f>MAX(J36,I37)</f>
        <v/>
      </c>
      <c r="K37" s="21">
        <f>IFERROR(I37/J37-1,0)</f>
        <v/>
      </c>
      <c r="L37" s="21">
        <f>ABS(D37)*Assumptions!$E$9/Assumptions!$E$10</f>
        <v/>
      </c>
    </row>
    <row r="38">
      <c r="B38" t="n">
        <v>34</v>
      </c>
      <c r="C38" s="11" t="n">
        <v>-0.008456502214574706</v>
      </c>
      <c r="D38" s="11" t="n">
        <v>0.3241170026707912</v>
      </c>
      <c r="E38" s="21">
        <f>IF(AND(Assumptions!$E$18&gt;=1,Assumptions!$E$19=1),1,0)</f>
        <v/>
      </c>
      <c r="F38" s="21">
        <f>ABS(D38)*Assumptions!$E$7/10000</f>
        <v/>
      </c>
      <c r="G38" s="21">
        <f>Assumptions!$E$8*(ABS(D38)*Assumptions!$E$9/Assumptions!$E$10)^1.5</f>
        <v/>
      </c>
      <c r="H38" s="21">
        <f>IF(E38=1,C38-F38-G38,0)</f>
        <v/>
      </c>
      <c r="I38" s="22">
        <f>I37*(1+H38)</f>
        <v/>
      </c>
      <c r="J38" s="22">
        <f>MAX(J37,I38)</f>
        <v/>
      </c>
      <c r="K38" s="21">
        <f>IFERROR(I38/J38-1,0)</f>
        <v/>
      </c>
      <c r="L38" s="21">
        <f>ABS(D38)*Assumptions!$E$9/Assumptions!$E$10</f>
        <v/>
      </c>
    </row>
    <row r="39">
      <c r="B39" t="n">
        <v>35</v>
      </c>
      <c r="C39" s="11" t="n">
        <v>-0.01569574104205972</v>
      </c>
      <c r="D39" s="11" t="n">
        <v>0.3485479898078184</v>
      </c>
      <c r="E39" s="21">
        <f>IF(AND(Assumptions!$E$18&gt;=1,Assumptions!$E$19=1),1,0)</f>
        <v/>
      </c>
      <c r="F39" s="21">
        <f>ABS(D39)*Assumptions!$E$7/10000</f>
        <v/>
      </c>
      <c r="G39" s="21">
        <f>Assumptions!$E$8*(ABS(D39)*Assumptions!$E$9/Assumptions!$E$10)^1.5</f>
        <v/>
      </c>
      <c r="H39" s="21">
        <f>IF(E39=1,C39-F39-G39,0)</f>
        <v/>
      </c>
      <c r="I39" s="22">
        <f>I38*(1+H39)</f>
        <v/>
      </c>
      <c r="J39" s="22">
        <f>MAX(J38,I39)</f>
        <v/>
      </c>
      <c r="K39" s="21">
        <f>IFERROR(I39/J39-1,0)</f>
        <v/>
      </c>
      <c r="L39" s="21">
        <f>ABS(D39)*Assumptions!$E$9/Assumptions!$E$10</f>
        <v/>
      </c>
    </row>
    <row r="40">
      <c r="B40" t="n">
        <v>36</v>
      </c>
      <c r="C40" s="11" t="n">
        <v>-0.00193509721371111</v>
      </c>
      <c r="D40" s="11" t="n">
        <v>0.369050179577373</v>
      </c>
      <c r="E40" s="21">
        <f>IF(AND(Assumptions!$E$18&gt;=1,Assumptions!$E$19=1),1,0)</f>
        <v/>
      </c>
      <c r="F40" s="21">
        <f>ABS(D40)*Assumptions!$E$7/10000</f>
        <v/>
      </c>
      <c r="G40" s="21">
        <f>Assumptions!$E$8*(ABS(D40)*Assumptions!$E$9/Assumptions!$E$10)^1.5</f>
        <v/>
      </c>
      <c r="H40" s="21">
        <f>IF(E40=1,C40-F40-G40,0)</f>
        <v/>
      </c>
      <c r="I40" s="22">
        <f>I39*(1+H40)</f>
        <v/>
      </c>
      <c r="J40" s="22">
        <f>MAX(J39,I40)</f>
        <v/>
      </c>
      <c r="K40" s="21">
        <f>IFERROR(I40/J40-1,0)</f>
        <v/>
      </c>
      <c r="L40" s="21">
        <f>ABS(D40)*Assumptions!$E$9/Assumptions!$E$10</f>
        <v/>
      </c>
    </row>
    <row r="41">
      <c r="B41" t="n">
        <v>37</v>
      </c>
      <c r="C41" s="11" t="n">
        <v>0.002483366636251806</v>
      </c>
      <c r="D41" s="11" t="n">
        <v>0.384806214371744</v>
      </c>
      <c r="E41" s="21">
        <f>IF(AND(Assumptions!$E$18&gt;=1,Assumptions!$E$19=1),1,0)</f>
        <v/>
      </c>
      <c r="F41" s="21">
        <f>ABS(D41)*Assumptions!$E$7/10000</f>
        <v/>
      </c>
      <c r="G41" s="21">
        <f>Assumptions!$E$8*(ABS(D41)*Assumptions!$E$9/Assumptions!$E$10)^1.5</f>
        <v/>
      </c>
      <c r="H41" s="21">
        <f>IF(E41=1,C41-F41-G41,0)</f>
        <v/>
      </c>
      <c r="I41" s="22">
        <f>I40*(1+H41)</f>
        <v/>
      </c>
      <c r="J41" s="22">
        <f>MAX(J40,I41)</f>
        <v/>
      </c>
      <c r="K41" s="21">
        <f>IFERROR(I41/J41-1,0)</f>
        <v/>
      </c>
      <c r="L41" s="21">
        <f>ABS(D41)*Assumptions!$E$9/Assumptions!$E$10</f>
        <v/>
      </c>
    </row>
    <row r="42">
      <c r="B42" t="n">
        <v>38</v>
      </c>
      <c r="C42" s="11" t="n">
        <v>0.007140594727276206</v>
      </c>
      <c r="D42" s="11" t="n">
        <v>0.3951879508047229</v>
      </c>
      <c r="E42" s="21">
        <f>IF(AND(Assumptions!$E$18&gt;=1,Assumptions!$E$19=1),1,0)</f>
        <v/>
      </c>
      <c r="F42" s="21">
        <f>ABS(D42)*Assumptions!$E$7/10000</f>
        <v/>
      </c>
      <c r="G42" s="21">
        <f>Assumptions!$E$8*(ABS(D42)*Assumptions!$E$9/Assumptions!$E$10)^1.5</f>
        <v/>
      </c>
      <c r="H42" s="21">
        <f>IF(E42=1,C42-F42-G42,0)</f>
        <v/>
      </c>
      <c r="I42" s="22">
        <f>I41*(1+H42)</f>
        <v/>
      </c>
      <c r="J42" s="22">
        <f>MAX(J41,I42)</f>
        <v/>
      </c>
      <c r="K42" s="21">
        <f>IFERROR(I42/J42-1,0)</f>
        <v/>
      </c>
      <c r="L42" s="21">
        <f>ABS(D42)*Assumptions!$E$9/Assumptions!$E$10</f>
        <v/>
      </c>
    </row>
    <row r="43">
      <c r="B43" t="n">
        <v>39</v>
      </c>
      <c r="C43" s="11" t="n">
        <v>0.01158529808207443</v>
      </c>
      <c r="D43" s="11" t="n">
        <v>0.3997815018061908</v>
      </c>
      <c r="E43" s="21">
        <f>IF(AND(Assumptions!$E$18&gt;=1,Assumptions!$E$19=1),1,0)</f>
        <v/>
      </c>
      <c r="F43" s="21">
        <f>ABS(D43)*Assumptions!$E$7/10000</f>
        <v/>
      </c>
      <c r="G43" s="21">
        <f>Assumptions!$E$8*(ABS(D43)*Assumptions!$E$9/Assumptions!$E$10)^1.5</f>
        <v/>
      </c>
      <c r="H43" s="21">
        <f>IF(E43=1,C43-F43-G43,0)</f>
        <v/>
      </c>
      <c r="I43" s="22">
        <f>I42*(1+H43)</f>
        <v/>
      </c>
      <c r="J43" s="22">
        <f>MAX(J42,I43)</f>
        <v/>
      </c>
      <c r="K43" s="21">
        <f>IFERROR(I43/J43-1,0)</f>
        <v/>
      </c>
      <c r="L43" s="21">
        <f>ABS(D43)*Assumptions!$E$9/Assumptions!$E$10</f>
        <v/>
      </c>
    </row>
    <row r="44">
      <c r="B44" t="n">
        <v>40</v>
      </c>
      <c r="C44" s="11" t="n">
        <v>0.005382384096463213</v>
      </c>
      <c r="D44" s="11" t="n">
        <v>0.3984037369935073</v>
      </c>
      <c r="E44" s="21">
        <f>IF(AND(Assumptions!$E$18&gt;=1,Assumptions!$E$19=1),1,0)</f>
        <v/>
      </c>
      <c r="F44" s="21">
        <f>ABS(D44)*Assumptions!$E$7/10000</f>
        <v/>
      </c>
      <c r="G44" s="21">
        <f>Assumptions!$E$8*(ABS(D44)*Assumptions!$E$9/Assumptions!$E$10)^1.5</f>
        <v/>
      </c>
      <c r="H44" s="21">
        <f>IF(E44=1,C44-F44-G44,0)</f>
        <v/>
      </c>
      <c r="I44" s="22">
        <f>I43*(1+H44)</f>
        <v/>
      </c>
      <c r="J44" s="22">
        <f>MAX(J43,I44)</f>
        <v/>
      </c>
      <c r="K44" s="21">
        <f>IFERROR(I44/J44-1,0)</f>
        <v/>
      </c>
      <c r="L44" s="21">
        <f>ABS(D44)*Assumptions!$E$9/Assumptions!$E$10</f>
        <v/>
      </c>
    </row>
    <row r="45">
      <c r="B45" t="n">
        <v>41</v>
      </c>
      <c r="C45" s="11" t="n">
        <v>0.01815974979540903</v>
      </c>
      <c r="D45" s="11" t="n">
        <v>0.391109583501966</v>
      </c>
      <c r="E45" s="21">
        <f>IF(AND(Assumptions!$E$18&gt;=1,Assumptions!$E$19=1),1,0)</f>
        <v/>
      </c>
      <c r="F45" s="21">
        <f>ABS(D45)*Assumptions!$E$7/10000</f>
        <v/>
      </c>
      <c r="G45" s="21">
        <f>Assumptions!$E$8*(ABS(D45)*Assumptions!$E$9/Assumptions!$E$10)^1.5</f>
        <v/>
      </c>
      <c r="H45" s="21">
        <f>IF(E45=1,C45-F45-G45,0)</f>
        <v/>
      </c>
      <c r="I45" s="22">
        <f>I44*(1+H45)</f>
        <v/>
      </c>
      <c r="J45" s="22">
        <f>MAX(J44,I45)</f>
        <v/>
      </c>
      <c r="K45" s="21">
        <f>IFERROR(I45/J45-1,0)</f>
        <v/>
      </c>
      <c r="L45" s="21">
        <f>ABS(D45)*Assumptions!$E$9/Assumptions!$E$10</f>
        <v/>
      </c>
    </row>
    <row r="46">
      <c r="B46" t="n">
        <v>42</v>
      </c>
      <c r="C46" s="11" t="n">
        <v>0.01964830998824064</v>
      </c>
      <c r="D46" s="11" t="n">
        <v>0.3781898362132421</v>
      </c>
      <c r="E46" s="21">
        <f>IF(AND(Assumptions!$E$18&gt;=1,Assumptions!$E$19=1),1,0)</f>
        <v/>
      </c>
      <c r="F46" s="21">
        <f>ABS(D46)*Assumptions!$E$7/10000</f>
        <v/>
      </c>
      <c r="G46" s="21">
        <f>Assumptions!$E$8*(ABS(D46)*Assumptions!$E$9/Assumptions!$E$10)^1.5</f>
        <v/>
      </c>
      <c r="H46" s="21">
        <f>IF(E46=1,C46-F46-G46,0)</f>
        <v/>
      </c>
      <c r="I46" s="22">
        <f>I45*(1+H46)</f>
        <v/>
      </c>
      <c r="J46" s="22">
        <f>MAX(J45,I46)</f>
        <v/>
      </c>
      <c r="K46" s="21">
        <f>IFERROR(I46/J46-1,0)</f>
        <v/>
      </c>
      <c r="L46" s="21">
        <f>ABS(D46)*Assumptions!$E$9/Assumptions!$E$10</f>
        <v/>
      </c>
    </row>
    <row r="47">
      <c r="B47" t="n">
        <v>43</v>
      </c>
      <c r="C47" s="11" t="n">
        <v>0.01971087283277548</v>
      </c>
      <c r="D47" s="11" t="n">
        <v>0.360159564681117</v>
      </c>
      <c r="E47" s="21">
        <f>IF(AND(Assumptions!$E$18&gt;=1,Assumptions!$E$19=1),1,0)</f>
        <v/>
      </c>
      <c r="F47" s="21">
        <f>ABS(D47)*Assumptions!$E$7/10000</f>
        <v/>
      </c>
      <c r="G47" s="21">
        <f>Assumptions!$E$8*(ABS(D47)*Assumptions!$E$9/Assumptions!$E$10)^1.5</f>
        <v/>
      </c>
      <c r="H47" s="21">
        <f>IF(E47=1,C47-F47-G47,0)</f>
        <v/>
      </c>
      <c r="I47" s="22">
        <f>I46*(1+H47)</f>
        <v/>
      </c>
      <c r="J47" s="22">
        <f>MAX(J46,I47)</f>
        <v/>
      </c>
      <c r="K47" s="21">
        <f>IFERROR(I47/J47-1,0)</f>
        <v/>
      </c>
      <c r="L47" s="21">
        <f>ABS(D47)*Assumptions!$E$9/Assumptions!$E$10</f>
        <v/>
      </c>
    </row>
    <row r="48">
      <c r="B48" t="n">
        <v>44</v>
      </c>
      <c r="C48" s="11" t="n">
        <v>0.01835669922842918</v>
      </c>
      <c r="D48" s="11" t="n">
        <v>0.3377375789337643</v>
      </c>
      <c r="E48" s="21">
        <f>IF(AND(Assumptions!$E$18&gt;=1,Assumptions!$E$19=1),1,0)</f>
        <v/>
      </c>
      <c r="F48" s="21">
        <f>ABS(D48)*Assumptions!$E$7/10000</f>
        <v/>
      </c>
      <c r="G48" s="21">
        <f>Assumptions!$E$8*(ABS(D48)*Assumptions!$E$9/Assumptions!$E$10)^1.5</f>
        <v/>
      </c>
      <c r="H48" s="21">
        <f>IF(E48=1,C48-F48-G48,0)</f>
        <v/>
      </c>
      <c r="I48" s="22">
        <f>I47*(1+H48)</f>
        <v/>
      </c>
      <c r="J48" s="22">
        <f>MAX(J47,I48)</f>
        <v/>
      </c>
      <c r="K48" s="21">
        <f>IFERROR(I48/J48-1,0)</f>
        <v/>
      </c>
      <c r="L48" s="21">
        <f>ABS(D48)*Assumptions!$E$9/Assumptions!$E$10</f>
        <v/>
      </c>
    </row>
    <row r="49">
      <c r="B49" t="n">
        <v>45</v>
      </c>
      <c r="C49" s="11" t="n">
        <v>0.005740154324844168</v>
      </c>
      <c r="D49" s="11" t="n">
        <v>0.3118177727862635</v>
      </c>
      <c r="E49" s="21">
        <f>IF(AND(Assumptions!$E$18&gt;=1,Assumptions!$E$19=1),1,0)</f>
        <v/>
      </c>
      <c r="F49" s="21">
        <f>ABS(D49)*Assumptions!$E$7/10000</f>
        <v/>
      </c>
      <c r="G49" s="21">
        <f>Assumptions!$E$8*(ABS(D49)*Assumptions!$E$9/Assumptions!$E$10)^1.5</f>
        <v/>
      </c>
      <c r="H49" s="21">
        <f>IF(E49=1,C49-F49-G49,0)</f>
        <v/>
      </c>
      <c r="I49" s="22">
        <f>I48*(1+H49)</f>
        <v/>
      </c>
      <c r="J49" s="22">
        <f>MAX(J48,I49)</f>
        <v/>
      </c>
      <c r="K49" s="21">
        <f>IFERROR(I49/J49-1,0)</f>
        <v/>
      </c>
      <c r="L49" s="21">
        <f>ABS(D49)*Assumptions!$E$9/Assumptions!$E$10</f>
        <v/>
      </c>
    </row>
    <row r="50">
      <c r="B50" t="n">
        <v>46</v>
      </c>
      <c r="C50" s="11" t="n">
        <v>0.01214360629897669</v>
      </c>
      <c r="D50" s="11" t="n">
        <v>0.2834334871150371</v>
      </c>
      <c r="E50" s="21">
        <f>IF(AND(Assumptions!$E$18&gt;=1,Assumptions!$E$19=1),1,0)</f>
        <v/>
      </c>
      <c r="F50" s="21">
        <f>ABS(D50)*Assumptions!$E$7/10000</f>
        <v/>
      </c>
      <c r="G50" s="21">
        <f>Assumptions!$E$8*(ABS(D50)*Assumptions!$E$9/Assumptions!$E$10)^1.5</f>
        <v/>
      </c>
      <c r="H50" s="21">
        <f>IF(E50=1,C50-F50-G50,0)</f>
        <v/>
      </c>
      <c r="I50" s="22">
        <f>I49*(1+H50)</f>
        <v/>
      </c>
      <c r="J50" s="22">
        <f>MAX(J49,I50)</f>
        <v/>
      </c>
      <c r="K50" s="21">
        <f>IFERROR(I50/J50-1,0)</f>
        <v/>
      </c>
      <c r="L50" s="21">
        <f>ABS(D50)*Assumptions!$E$9/Assumptions!$E$10</f>
        <v/>
      </c>
    </row>
    <row r="51">
      <c r="B51" t="n">
        <v>47</v>
      </c>
      <c r="C51" s="11" t="n">
        <v>0.007946457203240703</v>
      </c>
      <c r="D51" s="11" t="n">
        <v>0.2537163138180037</v>
      </c>
      <c r="E51" s="21">
        <f>IF(AND(Assumptions!$E$18&gt;=1,Assumptions!$E$19=1),1,0)</f>
        <v/>
      </c>
      <c r="F51" s="21">
        <f>ABS(D51)*Assumptions!$E$7/10000</f>
        <v/>
      </c>
      <c r="G51" s="21">
        <f>Assumptions!$E$8*(ABS(D51)*Assumptions!$E$9/Assumptions!$E$10)^1.5</f>
        <v/>
      </c>
      <c r="H51" s="21">
        <f>IF(E51=1,C51-F51-G51,0)</f>
        <v/>
      </c>
      <c r="I51" s="22">
        <f>I50*(1+H51)</f>
        <v/>
      </c>
      <c r="J51" s="22">
        <f>MAX(J50,I51)</f>
        <v/>
      </c>
      <c r="K51" s="21">
        <f>IFERROR(I51/J51-1,0)</f>
        <v/>
      </c>
      <c r="L51" s="21">
        <f>ABS(D51)*Assumptions!$E$9/Assumptions!$E$10</f>
        <v/>
      </c>
    </row>
    <row r="52">
      <c r="B52" t="n">
        <v>48</v>
      </c>
      <c r="C52" s="11" t="n">
        <v>0.003583712801656395</v>
      </c>
      <c r="D52" s="11" t="n">
        <v>0.2761490171834469</v>
      </c>
      <c r="E52" s="21">
        <f>IF(AND(Assumptions!$E$18&gt;=1,Assumptions!$E$19=1),1,0)</f>
        <v/>
      </c>
      <c r="F52" s="21">
        <f>ABS(D52)*Assumptions!$E$7/10000</f>
        <v/>
      </c>
      <c r="G52" s="21">
        <f>Assumptions!$E$8*(ABS(D52)*Assumptions!$E$9/Assumptions!$E$10)^1.5</f>
        <v/>
      </c>
      <c r="H52" s="21">
        <f>IF(E52=1,C52-F52-G52,0)</f>
        <v/>
      </c>
      <c r="I52" s="22">
        <f>I51*(1+H52)</f>
        <v/>
      </c>
      <c r="J52" s="22">
        <f>MAX(J51,I52)</f>
        <v/>
      </c>
      <c r="K52" s="21">
        <f>IFERROR(I52/J52-1,0)</f>
        <v/>
      </c>
      <c r="L52" s="21">
        <f>ABS(D52)*Assumptions!$E$9/Assumptions!$E$10</f>
        <v/>
      </c>
    </row>
    <row r="53">
      <c r="B53" t="n">
        <v>49</v>
      </c>
      <c r="C53" s="11" t="n">
        <v>-0.0005013545809170669</v>
      </c>
      <c r="D53" s="11" t="n">
        <v>0.3049718693877893</v>
      </c>
      <c r="E53" s="21">
        <f>IF(AND(Assumptions!$E$18&gt;=1,Assumptions!$E$19=1),1,0)</f>
        <v/>
      </c>
      <c r="F53" s="21">
        <f>ABS(D53)*Assumptions!$E$7/10000</f>
        <v/>
      </c>
      <c r="G53" s="21">
        <f>Assumptions!$E$8*(ABS(D53)*Assumptions!$E$9/Assumptions!$E$10)^1.5</f>
        <v/>
      </c>
      <c r="H53" s="21">
        <f>IF(E53=1,C53-F53-G53,0)</f>
        <v/>
      </c>
      <c r="I53" s="22">
        <f>I52*(1+H53)</f>
        <v/>
      </c>
      <c r="J53" s="22">
        <f>MAX(J52,I53)</f>
        <v/>
      </c>
      <c r="K53" s="21">
        <f>IFERROR(I53/J53-1,0)</f>
        <v/>
      </c>
      <c r="L53" s="21">
        <f>ABS(D53)*Assumptions!$E$9/Assumptions!$E$10</f>
        <v/>
      </c>
    </row>
    <row r="54">
      <c r="B54" t="n">
        <v>50</v>
      </c>
      <c r="C54" s="11" t="n">
        <v>-0.01390525025837732</v>
      </c>
      <c r="D54" s="11" t="n">
        <v>0.3316031666334054</v>
      </c>
      <c r="E54" s="21">
        <f>IF(AND(Assumptions!$E$18&gt;=1,Assumptions!$E$19=1),1,0)</f>
        <v/>
      </c>
      <c r="F54" s="21">
        <f>ABS(D54)*Assumptions!$E$7/10000</f>
        <v/>
      </c>
      <c r="G54" s="21">
        <f>Assumptions!$E$8*(ABS(D54)*Assumptions!$E$9/Assumptions!$E$10)^1.5</f>
        <v/>
      </c>
      <c r="H54" s="21">
        <f>IF(E54=1,C54-F54-G54,0)</f>
        <v/>
      </c>
      <c r="I54" s="22">
        <f>I53*(1+H54)</f>
        <v/>
      </c>
      <c r="J54" s="22">
        <f>MAX(J53,I54)</f>
        <v/>
      </c>
      <c r="K54" s="21">
        <f>IFERROR(I54/J54-1,0)</f>
        <v/>
      </c>
      <c r="L54" s="21">
        <f>ABS(D54)*Assumptions!$E$9/Assumptions!$E$10</f>
        <v/>
      </c>
    </row>
    <row r="55">
      <c r="B55" t="n">
        <v>51</v>
      </c>
      <c r="C55" s="11" t="n">
        <v>-0.006307734792965652</v>
      </c>
      <c r="D55" s="11" t="n">
        <v>0.3549812031390314</v>
      </c>
      <c r="E55" s="21">
        <f>IF(AND(Assumptions!$E$18&gt;=1,Assumptions!$E$19=1),1,0)</f>
        <v/>
      </c>
      <c r="F55" s="21">
        <f>ABS(D55)*Assumptions!$E$7/10000</f>
        <v/>
      </c>
      <c r="G55" s="21">
        <f>Assumptions!$E$8*(ABS(D55)*Assumptions!$E$9/Assumptions!$E$10)^1.5</f>
        <v/>
      </c>
      <c r="H55" s="21">
        <f>IF(E55=1,C55-F55-G55,0)</f>
        <v/>
      </c>
      <c r="I55" s="22">
        <f>I54*(1+H55)</f>
        <v/>
      </c>
      <c r="J55" s="22">
        <f>MAX(J54,I55)</f>
        <v/>
      </c>
      <c r="K55" s="21">
        <f>IFERROR(I55/J55-1,0)</f>
        <v/>
      </c>
      <c r="L55" s="21">
        <f>ABS(D55)*Assumptions!$E$9/Assumptions!$E$10</f>
        <v/>
      </c>
    </row>
    <row r="56">
      <c r="B56" t="n">
        <v>52</v>
      </c>
      <c r="C56" s="11" t="n">
        <v>-0.007505967916692563</v>
      </c>
      <c r="D56" s="11" t="n">
        <v>0.3741739703628481</v>
      </c>
      <c r="E56" s="21">
        <f>IF(AND(Assumptions!$E$18&gt;=1,Assumptions!$E$19=1),1,0)</f>
        <v/>
      </c>
      <c r="F56" s="21">
        <f>ABS(D56)*Assumptions!$E$7/10000</f>
        <v/>
      </c>
      <c r="G56" s="21">
        <f>Assumptions!$E$8*(ABS(D56)*Assumptions!$E$9/Assumptions!$E$10)^1.5</f>
        <v/>
      </c>
      <c r="H56" s="21">
        <f>IF(E56=1,C56-F56-G56,0)</f>
        <v/>
      </c>
      <c r="I56" s="22">
        <f>I55*(1+H56)</f>
        <v/>
      </c>
      <c r="J56" s="22">
        <f>MAX(J55,I56)</f>
        <v/>
      </c>
      <c r="K56" s="21">
        <f>IFERROR(I56/J56-1,0)</f>
        <v/>
      </c>
      <c r="L56" s="21">
        <f>ABS(D56)*Assumptions!$E$9/Assumptions!$E$10</f>
        <v/>
      </c>
    </row>
    <row r="57">
      <c r="B57" t="n">
        <v>53</v>
      </c>
      <c r="C57" s="11" t="n">
        <v>-0.007435582607594041</v>
      </c>
      <c r="D57" s="11" t="n">
        <v>0.3884163132419209</v>
      </c>
      <c r="E57" s="21">
        <f>IF(AND(Assumptions!$E$18&gt;=1,Assumptions!$E$19=1),1,0)</f>
        <v/>
      </c>
      <c r="F57" s="21">
        <f>ABS(D57)*Assumptions!$E$7/10000</f>
        <v/>
      </c>
      <c r="G57" s="21">
        <f>Assumptions!$E$8*(ABS(D57)*Assumptions!$E$9/Assumptions!$E$10)^1.5</f>
        <v/>
      </c>
      <c r="H57" s="21">
        <f>IF(E57=1,C57-F57-G57,0)</f>
        <v/>
      </c>
      <c r="I57" s="22">
        <f>I56*(1+H57)</f>
        <v/>
      </c>
      <c r="J57" s="22">
        <f>MAX(J56,I57)</f>
        <v/>
      </c>
      <c r="K57" s="21">
        <f>IFERROR(I57/J57-1,0)</f>
        <v/>
      </c>
      <c r="L57" s="21">
        <f>ABS(D57)*Assumptions!$E$9/Assumptions!$E$10</f>
        <v/>
      </c>
    </row>
    <row r="58">
      <c r="B58" t="n">
        <v>54</v>
      </c>
      <c r="C58" s="11" t="n">
        <v>-0.006176394943205234</v>
      </c>
      <c r="D58" s="11" t="n">
        <v>0.3971404345099737</v>
      </c>
      <c r="E58" s="21">
        <f>IF(AND(Assumptions!$E$18&gt;=1,Assumptions!$E$19=1),1,0)</f>
        <v/>
      </c>
      <c r="F58" s="21">
        <f>ABS(D58)*Assumptions!$E$7/10000</f>
        <v/>
      </c>
      <c r="G58" s="21">
        <f>Assumptions!$E$8*(ABS(D58)*Assumptions!$E$9/Assumptions!$E$10)^1.5</f>
        <v/>
      </c>
      <c r="H58" s="21">
        <f>IF(E58=1,C58-F58-G58,0)</f>
        <v/>
      </c>
      <c r="I58" s="22">
        <f>I57*(1+H58)</f>
        <v/>
      </c>
      <c r="J58" s="22">
        <f>MAX(J57,I58)</f>
        <v/>
      </c>
      <c r="K58" s="21">
        <f>IFERROR(I58/J58-1,0)</f>
        <v/>
      </c>
      <c r="L58" s="21">
        <f>ABS(D58)*Assumptions!$E$9/Assumptions!$E$10</f>
        <v/>
      </c>
    </row>
    <row r="59">
      <c r="B59" t="n">
        <v>55</v>
      </c>
      <c r="C59" s="11" t="n">
        <v>-0.01394214919086696</v>
      </c>
      <c r="D59" s="11" t="n">
        <v>0.3999985309826055</v>
      </c>
      <c r="E59" s="21">
        <f>IF(AND(Assumptions!$E$18&gt;=1,Assumptions!$E$19=1),1,0)</f>
        <v/>
      </c>
      <c r="F59" s="21">
        <f>ABS(D59)*Assumptions!$E$7/10000</f>
        <v/>
      </c>
      <c r="G59" s="21">
        <f>Assumptions!$E$8*(ABS(D59)*Assumptions!$E$9/Assumptions!$E$10)^1.5</f>
        <v/>
      </c>
      <c r="H59" s="21">
        <f>IF(E59=1,C59-F59-G59,0)</f>
        <v/>
      </c>
      <c r="I59" s="22">
        <f>I58*(1+H59)</f>
        <v/>
      </c>
      <c r="J59" s="22">
        <f>MAX(J58,I59)</f>
        <v/>
      </c>
      <c r="K59" s="21">
        <f>IFERROR(I59/J59-1,0)</f>
        <v/>
      </c>
      <c r="L59" s="21">
        <f>ABS(D59)*Assumptions!$E$9/Assumptions!$E$10</f>
        <v/>
      </c>
    </row>
    <row r="60">
      <c r="B60" t="n">
        <v>56</v>
      </c>
      <c r="C60" s="11" t="n">
        <v>-0.001055456971690855</v>
      </c>
      <c r="D60" s="11" t="n">
        <v>0.3968766593726976</v>
      </c>
      <c r="E60" s="21">
        <f>IF(AND(Assumptions!$E$18&gt;=1,Assumptions!$E$19=1),1,0)</f>
        <v/>
      </c>
      <c r="F60" s="21">
        <f>ABS(D60)*Assumptions!$E$7/10000</f>
        <v/>
      </c>
      <c r="G60" s="21">
        <f>Assumptions!$E$8*(ABS(D60)*Assumptions!$E$9/Assumptions!$E$10)^1.5</f>
        <v/>
      </c>
      <c r="H60" s="21">
        <f>IF(E60=1,C60-F60-G60,0)</f>
        <v/>
      </c>
      <c r="I60" s="22">
        <f>I59*(1+H60)</f>
        <v/>
      </c>
      <c r="J60" s="22">
        <f>MAX(J59,I60)</f>
        <v/>
      </c>
      <c r="K60" s="21">
        <f>IFERROR(I60/J60-1,0)</f>
        <v/>
      </c>
      <c r="L60" s="21">
        <f>ABS(D60)*Assumptions!$E$9/Assumptions!$E$10</f>
        <v/>
      </c>
    </row>
    <row r="61">
      <c r="B61" t="n">
        <v>57</v>
      </c>
      <c r="C61" s="11" t="n">
        <v>0.002089279469064181</v>
      </c>
      <c r="D61" s="11" t="n">
        <v>0.3878992788497013</v>
      </c>
      <c r="E61" s="21">
        <f>IF(AND(Assumptions!$E$18&gt;=1,Assumptions!$E$19=1),1,0)</f>
        <v/>
      </c>
      <c r="F61" s="21">
        <f>ABS(D61)*Assumptions!$E$7/10000</f>
        <v/>
      </c>
      <c r="G61" s="21">
        <f>Assumptions!$E$8*(ABS(D61)*Assumptions!$E$9/Assumptions!$E$10)^1.5</f>
        <v/>
      </c>
      <c r="H61" s="21">
        <f>IF(E61=1,C61-F61-G61,0)</f>
        <v/>
      </c>
      <c r="I61" s="22">
        <f>I60*(1+H61)</f>
        <v/>
      </c>
      <c r="J61" s="22">
        <f>MAX(J60,I61)</f>
        <v/>
      </c>
      <c r="K61" s="21">
        <f>IFERROR(I61/J61-1,0)</f>
        <v/>
      </c>
      <c r="L61" s="21">
        <f>ABS(D61)*Assumptions!$E$9/Assumptions!$E$10</f>
        <v/>
      </c>
    </row>
    <row r="62">
      <c r="B62" t="n">
        <v>58</v>
      </c>
      <c r="C62" s="11" t="n">
        <v>0.005070846435673149</v>
      </c>
      <c r="D62" s="11" t="n">
        <v>0.3734242892453064</v>
      </c>
      <c r="E62" s="21">
        <f>IF(AND(Assumptions!$E$18&gt;=1,Assumptions!$E$19=1),1,0)</f>
        <v/>
      </c>
      <c r="F62" s="21">
        <f>ABS(D62)*Assumptions!$E$7/10000</f>
        <v/>
      </c>
      <c r="G62" s="21">
        <f>Assumptions!$E$8*(ABS(D62)*Assumptions!$E$9/Assumptions!$E$10)^1.5</f>
        <v/>
      </c>
      <c r="H62" s="21">
        <f>IF(E62=1,C62-F62-G62,0)</f>
        <v/>
      </c>
      <c r="I62" s="22">
        <f>I61*(1+H62)</f>
        <v/>
      </c>
      <c r="J62" s="22">
        <f>MAX(J61,I62)</f>
        <v/>
      </c>
      <c r="K62" s="21">
        <f>IFERROR(I62/J62-1,0)</f>
        <v/>
      </c>
      <c r="L62" s="21">
        <f>ABS(D62)*Assumptions!$E$9/Assumptions!$E$10</f>
        <v/>
      </c>
    </row>
    <row r="63">
      <c r="B63" t="n">
        <v>59</v>
      </c>
      <c r="C63" s="11" t="n">
        <v>0.007489117015236582</v>
      </c>
      <c r="D63" s="11" t="n">
        <v>0.3540287627165684</v>
      </c>
      <c r="E63" s="21">
        <f>IF(AND(Assumptions!$E$18&gt;=1,Assumptions!$E$19=1),1,0)</f>
        <v/>
      </c>
      <c r="F63" s="21">
        <f>ABS(D63)*Assumptions!$E$7/10000</f>
        <v/>
      </c>
      <c r="G63" s="21">
        <f>Assumptions!$E$8*(ABS(D63)*Assumptions!$E$9/Assumptions!$E$10)^1.5</f>
        <v/>
      </c>
      <c r="H63" s="21">
        <f>IF(E63=1,C63-F63-G63,0)</f>
        <v/>
      </c>
      <c r="I63" s="22">
        <f>I62*(1+H63)</f>
        <v/>
      </c>
      <c r="J63" s="22">
        <f>MAX(J62,I63)</f>
        <v/>
      </c>
      <c r="K63" s="21">
        <f>IFERROR(I63/J63-1,0)</f>
        <v/>
      </c>
      <c r="L63" s="21">
        <f>ABS(D63)*Assumptions!$E$9/Assumptions!$E$10</f>
        <v/>
      </c>
    </row>
    <row r="64">
      <c r="B64" t="n">
        <v>60</v>
      </c>
      <c r="C64" s="11" t="n">
        <v>-0.0009894356994602201</v>
      </c>
      <c r="D64" s="11" t="n">
        <v>0.3304859377000652</v>
      </c>
      <c r="E64" s="21">
        <f>IF(AND(Assumptions!$E$18&gt;=1,Assumptions!$E$19=1),1,0)</f>
        <v/>
      </c>
      <c r="F64" s="21">
        <f>ABS(D64)*Assumptions!$E$7/10000</f>
        <v/>
      </c>
      <c r="G64" s="21">
        <f>Assumptions!$E$8*(ABS(D64)*Assumptions!$E$9/Assumptions!$E$10)^1.5</f>
        <v/>
      </c>
      <c r="H64" s="21">
        <f>IF(E64=1,C64-F64-G64,0)</f>
        <v/>
      </c>
      <c r="I64" s="22">
        <f>I63*(1+H64)</f>
        <v/>
      </c>
      <c r="J64" s="22">
        <f>MAX(J63,I64)</f>
        <v/>
      </c>
      <c r="K64" s="21">
        <f>IFERROR(I64/J64-1,0)</f>
        <v/>
      </c>
      <c r="L64" s="21">
        <f>ABS(D64)*Assumptions!$E$9/Assumptions!$E$10</f>
        <v/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8" customWidth="1" min="4" max="4"/>
    <col width="44" customWidth="1" min="5" max="5"/>
  </cols>
  <sheetData>
    <row r="2" ht="28" customHeight="1">
      <c r="B2" s="1" t="inlineStr">
        <is>
          <t>Gross, Net, and Risk-Adjusted Performance</t>
        </is>
      </c>
    </row>
    <row r="4">
      <c r="B4" s="8" t="inlineStr">
        <is>
          <t>Metric</t>
        </is>
      </c>
      <c r="C4" s="8" t="inlineStr">
        <is>
          <t>Gross</t>
        </is>
      </c>
      <c r="D4" s="8" t="inlineStr">
        <is>
          <t>Net</t>
        </is>
      </c>
      <c r="E4" s="8" t="inlineStr">
        <is>
          <t>Interpretation</t>
        </is>
      </c>
    </row>
    <row r="5">
      <c r="B5" t="inlineStr">
        <is>
          <t>Annualized arithmetic return</t>
        </is>
      </c>
      <c r="C5" s="21">
        <f>AVERAGE(Backtest!C5:C64)*Assumptions!E5</f>
        <v/>
      </c>
      <c r="D5" s="21">
        <f>AVERAGE(Backtest!H5:H64)*Assumptions!E5</f>
        <v/>
      </c>
      <c r="E5" t="inlineStr">
        <is>
          <t>mean periodic return annualized</t>
        </is>
      </c>
    </row>
    <row r="6">
      <c r="B6" t="inlineStr">
        <is>
          <t>Annualized volatility</t>
        </is>
      </c>
      <c r="C6" s="21">
        <f>STDEVP(Backtest!C5:C64)*SQRT(Assumptions!E5)</f>
        <v/>
      </c>
      <c r="D6" s="21">
        <f>STDEVP(Backtest!H5:H64)*SQRT(Assumptions!E5)</f>
        <v/>
      </c>
      <c r="E6" t="inlineStr">
        <is>
          <t>population volatility</t>
        </is>
      </c>
    </row>
    <row r="7">
      <c r="B7" t="inlineStr">
        <is>
          <t>Sharpe ratio</t>
        </is>
      </c>
      <c r="C7" s="23">
        <f>IFERROR((AVERAGE(Backtest!C5:C64)-Assumptions!E6)/STDEVP(Backtest!C5:C64)*SQRT(Assumptions!E5),0)</f>
        <v/>
      </c>
      <c r="D7" s="23">
        <f>IFERROR((AVERAGE(Backtest!H5:H64)-Assumptions!E6)/STDEVP(Backtest!H5:H64)*SQRT(Assumptions!E5),0)</f>
        <v/>
      </c>
      <c r="E7" t="inlineStr">
        <is>
          <t>excess return / volatility</t>
        </is>
      </c>
    </row>
    <row r="8">
      <c r="B8" t="inlineStr">
        <is>
          <t>Sortino ratio</t>
        </is>
      </c>
      <c r="C8" s="23">
        <f>IFERROR((AVERAGE(Backtest!C5:C64)-Assumptions!E6)/SQRT(SUMPRODUCT((Backtest!C5:C64&lt;Assumptions!E6)*(Backtest!C5:C64-Assumptions!E6)^2)/COUNT(Backtest!C5:C64))*SQRT(Assumptions!E5),0)</f>
        <v/>
      </c>
      <c r="D8" s="23">
        <f>IFERROR((AVERAGE(Backtest!H5:H64)-Assumptions!E6)/SQRT(SUMPRODUCT((Backtest!H5:H64&lt;Assumptions!E6)*(Backtest!H5:H64-Assumptions!E6)^2)/COUNT(Backtest!H5:H64))*SQRT(Assumptions!E5),0)</f>
        <v/>
      </c>
      <c r="E8" t="inlineStr">
        <is>
          <t>downside-risk adjusted</t>
        </is>
      </c>
    </row>
    <row r="9">
      <c r="B9" t="inlineStr">
        <is>
          <t>Maximum drawdown</t>
        </is>
      </c>
      <c r="C9" s="21">
        <f>MIN(Backtest!K5:K64)</f>
        <v/>
      </c>
      <c r="D9" s="21">
        <f>MIN(Backtest!K5:K64)</f>
        <v/>
      </c>
      <c r="E9" t="inlineStr">
        <is>
          <t>peak-to-trough</t>
        </is>
      </c>
    </row>
    <row r="10">
      <c r="B10" t="inlineStr">
        <is>
          <t>Hit rate</t>
        </is>
      </c>
      <c r="C10" s="21">
        <f>COUNTIF(Backtest!C5:C64,"&gt;0")/COUNT(Backtest!C5:C64)</f>
        <v/>
      </c>
      <c r="D10" s="21">
        <f>COUNTIF(Backtest!H5:H64,"&gt;0")/COUNT(Backtest!H5:H64)</f>
        <v/>
      </c>
      <c r="E10" t="inlineStr">
        <is>
          <t>positive periods</t>
        </is>
      </c>
    </row>
    <row r="11">
      <c r="B11" t="inlineStr">
        <is>
          <t>Ending wealth multiple</t>
        </is>
      </c>
      <c r="C11" s="24">
        <f>PRODUCT(1+Backtest!C5:C64)</f>
        <v/>
      </c>
      <c r="D11" s="24">
        <f>Backtest!I64</f>
        <v/>
      </c>
      <c r="E11" t="inlineStr">
        <is>
          <t>growth of one unit</t>
        </is>
      </c>
    </row>
    <row r="12">
      <c r="B12" t="inlineStr">
        <is>
          <t>Annual cost drag</t>
        </is>
      </c>
      <c r="C12" s="21">
        <f>C5-D5</f>
        <v/>
      </c>
      <c r="D12" s="21">
        <f>C5-D5</f>
        <v/>
      </c>
      <c r="E12" t="inlineStr">
        <is>
          <t>gross less net annualized return</t>
        </is>
      </c>
    </row>
  </sheetData>
  <mergeCells count="1"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 ht="28" customHeight="1">
      <c r="B2" s="1" t="inlineStr">
        <is>
          <t>Walk-Forward Validation Folds</t>
        </is>
      </c>
    </row>
    <row r="4">
      <c r="B4" s="8" t="inlineStr">
        <is>
          <t>Fold</t>
        </is>
      </c>
      <c r="C4" s="8" t="inlineStr">
        <is>
          <t>Train start</t>
        </is>
      </c>
      <c r="D4" s="8" t="inlineStr">
        <is>
          <t>Train end</t>
        </is>
      </c>
      <c r="E4" s="8" t="inlineStr">
        <is>
          <t>Test start</t>
        </is>
      </c>
      <c r="F4" s="8" t="inlineStr">
        <is>
          <t>Test end</t>
        </is>
      </c>
      <c r="G4" s="8" t="inlineStr">
        <is>
          <t>Train Sharpe</t>
        </is>
      </c>
      <c r="H4" s="8" t="inlineStr">
        <is>
          <t>Test Sharpe</t>
        </is>
      </c>
      <c r="I4" s="8" t="inlineStr">
        <is>
          <t>Test net return</t>
        </is>
      </c>
      <c r="J4" s="8" t="inlineStr">
        <is>
          <t>Degradation</t>
        </is>
      </c>
    </row>
    <row r="5">
      <c r="B5" t="n">
        <v>1</v>
      </c>
      <c r="C5" t="n">
        <v>1</v>
      </c>
      <c r="D5" t="n">
        <v>24</v>
      </c>
      <c r="E5" t="n">
        <v>25</v>
      </c>
      <c r="F5" t="n">
        <v>30</v>
      </c>
      <c r="G5" s="23">
        <f>IFERROR(AVERAGE(INDEX(Backtest!$H$5:$H$64,C5):INDEX(Backtest!$H$5:$H$64,D5))/STDEVP(INDEX(Backtest!$H$5:$H$64,C5):INDEX(Backtest!$H$5:$H$64,D5))*SQRT(Assumptions!$E$5),0)</f>
        <v/>
      </c>
      <c r="H5" s="23">
        <f>IFERROR(AVERAGE(INDEX(Backtest!$H$5:$H$64,E5):INDEX(Backtest!$H$5:$H$64,F5))/STDEVP(INDEX(Backtest!$H$5:$H$64,E5):INDEX(Backtest!$H$5:$H$64,F5))*SQRT(Assumptions!$E$5),0)</f>
        <v/>
      </c>
      <c r="I5" s="21">
        <f>(1+INDEX(Backtest!$H$5:$H$64,E5+0))*(1+INDEX(Backtest!$H$5:$H$64,E5+1))*(1+INDEX(Backtest!$H$5:$H$64,E5+2))*(1+INDEX(Backtest!$H$5:$H$64,E5+3))*(1+INDEX(Backtest!$H$5:$H$64,E5+4))*(1+INDEX(Backtest!$H$5:$H$64,E5+5))-1</f>
        <v/>
      </c>
      <c r="J5" s="23">
        <f>H5-G5</f>
        <v/>
      </c>
    </row>
    <row r="6">
      <c r="B6" t="n">
        <v>2</v>
      </c>
      <c r="C6" t="n">
        <v>7</v>
      </c>
      <c r="D6" t="n">
        <v>30</v>
      </c>
      <c r="E6" t="n">
        <v>31</v>
      </c>
      <c r="F6" t="n">
        <v>36</v>
      </c>
      <c r="G6" s="23">
        <f>IFERROR(AVERAGE(INDEX(Backtest!$H$5:$H$64,C6):INDEX(Backtest!$H$5:$H$64,D6))/STDEVP(INDEX(Backtest!$H$5:$H$64,C6):INDEX(Backtest!$H$5:$H$64,D6))*SQRT(Assumptions!$E$5),0)</f>
        <v/>
      </c>
      <c r="H6" s="23">
        <f>IFERROR(AVERAGE(INDEX(Backtest!$H$5:$H$64,E6):INDEX(Backtest!$H$5:$H$64,F6))/STDEVP(INDEX(Backtest!$H$5:$H$64,E6):INDEX(Backtest!$H$5:$H$64,F6))*SQRT(Assumptions!$E$5),0)</f>
        <v/>
      </c>
      <c r="I6" s="21">
        <f>(1+INDEX(Backtest!$H$5:$H$64,E6+0))*(1+INDEX(Backtest!$H$5:$H$64,E6+1))*(1+INDEX(Backtest!$H$5:$H$64,E6+2))*(1+INDEX(Backtest!$H$5:$H$64,E6+3))*(1+INDEX(Backtest!$H$5:$H$64,E6+4))*(1+INDEX(Backtest!$H$5:$H$64,E6+5))-1</f>
        <v/>
      </c>
      <c r="J6" s="23">
        <f>H6-G6</f>
        <v/>
      </c>
    </row>
    <row r="7">
      <c r="B7" t="n">
        <v>3</v>
      </c>
      <c r="C7" t="n">
        <v>13</v>
      </c>
      <c r="D7" t="n">
        <v>36</v>
      </c>
      <c r="E7" t="n">
        <v>37</v>
      </c>
      <c r="F7" t="n">
        <v>42</v>
      </c>
      <c r="G7" s="23">
        <f>IFERROR(AVERAGE(INDEX(Backtest!$H$5:$H$64,C7):INDEX(Backtest!$H$5:$H$64,D7))/STDEVP(INDEX(Backtest!$H$5:$H$64,C7):INDEX(Backtest!$H$5:$H$64,D7))*SQRT(Assumptions!$E$5),0)</f>
        <v/>
      </c>
      <c r="H7" s="23">
        <f>IFERROR(AVERAGE(INDEX(Backtest!$H$5:$H$64,E7):INDEX(Backtest!$H$5:$H$64,F7))/STDEVP(INDEX(Backtest!$H$5:$H$64,E7):INDEX(Backtest!$H$5:$H$64,F7))*SQRT(Assumptions!$E$5),0)</f>
        <v/>
      </c>
      <c r="I7" s="21">
        <f>(1+INDEX(Backtest!$H$5:$H$64,E7+0))*(1+INDEX(Backtest!$H$5:$H$64,E7+1))*(1+INDEX(Backtest!$H$5:$H$64,E7+2))*(1+INDEX(Backtest!$H$5:$H$64,E7+3))*(1+INDEX(Backtest!$H$5:$H$64,E7+4))*(1+INDEX(Backtest!$H$5:$H$64,E7+5))-1</f>
        <v/>
      </c>
      <c r="J7" s="23">
        <f>H7-G7</f>
        <v/>
      </c>
    </row>
    <row r="8">
      <c r="B8" t="n">
        <v>4</v>
      </c>
      <c r="C8" t="n">
        <v>19</v>
      </c>
      <c r="D8" t="n">
        <v>42</v>
      </c>
      <c r="E8" t="n">
        <v>43</v>
      </c>
      <c r="F8" t="n">
        <v>48</v>
      </c>
      <c r="G8" s="23">
        <f>IFERROR(AVERAGE(INDEX(Backtest!$H$5:$H$64,C8):INDEX(Backtest!$H$5:$H$64,D8))/STDEVP(INDEX(Backtest!$H$5:$H$64,C8):INDEX(Backtest!$H$5:$H$64,D8))*SQRT(Assumptions!$E$5),0)</f>
        <v/>
      </c>
      <c r="H8" s="23">
        <f>IFERROR(AVERAGE(INDEX(Backtest!$H$5:$H$64,E8):INDEX(Backtest!$H$5:$H$64,F8))/STDEVP(INDEX(Backtest!$H$5:$H$64,E8):INDEX(Backtest!$H$5:$H$64,F8))*SQRT(Assumptions!$E$5),0)</f>
        <v/>
      </c>
      <c r="I8" s="21">
        <f>(1+INDEX(Backtest!$H$5:$H$64,E8+0))*(1+INDEX(Backtest!$H$5:$H$64,E8+1))*(1+INDEX(Backtest!$H$5:$H$64,E8+2))*(1+INDEX(Backtest!$H$5:$H$64,E8+3))*(1+INDEX(Backtest!$H$5:$H$64,E8+4))*(1+INDEX(Backtest!$H$5:$H$64,E8+5))-1</f>
        <v/>
      </c>
      <c r="J8" s="23">
        <f>H8-G8</f>
        <v/>
      </c>
    </row>
    <row r="9">
      <c r="B9" t="n">
        <v>5</v>
      </c>
      <c r="C9" t="n">
        <v>25</v>
      </c>
      <c r="D9" t="n">
        <v>48</v>
      </c>
      <c r="E9" t="n">
        <v>49</v>
      </c>
      <c r="F9" t="n">
        <v>54</v>
      </c>
      <c r="G9" s="23">
        <f>IFERROR(AVERAGE(INDEX(Backtest!$H$5:$H$64,C9):INDEX(Backtest!$H$5:$H$64,D9))/STDEVP(INDEX(Backtest!$H$5:$H$64,C9):INDEX(Backtest!$H$5:$H$64,D9))*SQRT(Assumptions!$E$5),0)</f>
        <v/>
      </c>
      <c r="H9" s="23">
        <f>IFERROR(AVERAGE(INDEX(Backtest!$H$5:$H$64,E9):INDEX(Backtest!$H$5:$H$64,F9))/STDEVP(INDEX(Backtest!$H$5:$H$64,E9):INDEX(Backtest!$H$5:$H$64,F9))*SQRT(Assumptions!$E$5),0)</f>
        <v/>
      </c>
      <c r="I9" s="21">
        <f>(1+INDEX(Backtest!$H$5:$H$64,E9+0))*(1+INDEX(Backtest!$H$5:$H$64,E9+1))*(1+INDEX(Backtest!$H$5:$H$64,E9+2))*(1+INDEX(Backtest!$H$5:$H$64,E9+3))*(1+INDEX(Backtest!$H$5:$H$64,E9+4))*(1+INDEX(Backtest!$H$5:$H$64,E9+5))-1</f>
        <v/>
      </c>
      <c r="J9" s="23">
        <f>H9-G9</f>
        <v/>
      </c>
    </row>
    <row r="10">
      <c r="B10" t="n">
        <v>6</v>
      </c>
      <c r="C10" t="n">
        <v>31</v>
      </c>
      <c r="D10" t="n">
        <v>54</v>
      </c>
      <c r="E10" t="n">
        <v>55</v>
      </c>
      <c r="F10" t="n">
        <v>60</v>
      </c>
      <c r="G10" s="23">
        <f>IFERROR(AVERAGE(INDEX(Backtest!$H$5:$H$64,C10):INDEX(Backtest!$H$5:$H$64,D10))/STDEVP(INDEX(Backtest!$H$5:$H$64,C10):INDEX(Backtest!$H$5:$H$64,D10))*SQRT(Assumptions!$E$5),0)</f>
        <v/>
      </c>
      <c r="H10" s="23">
        <f>IFERROR(AVERAGE(INDEX(Backtest!$H$5:$H$64,E10):INDEX(Backtest!$H$5:$H$64,F10))/STDEVP(INDEX(Backtest!$H$5:$H$64,E10):INDEX(Backtest!$H$5:$H$64,F10))*SQRT(Assumptions!$E$5),0)</f>
        <v/>
      </c>
      <c r="I10" s="21">
        <f>(1+INDEX(Backtest!$H$5:$H$64,E10+0))*(1+INDEX(Backtest!$H$5:$H$64,E10+1))*(1+INDEX(Backtest!$H$5:$H$64,E10+2))*(1+INDEX(Backtest!$H$5:$H$64,E10+3))*(1+INDEX(Backtest!$H$5:$H$64,E10+4))*(1+INDEX(Backtest!$H$5:$H$64,E10+5))-1</f>
        <v/>
      </c>
      <c r="J10" s="23">
        <f>H10-G10</f>
        <v/>
      </c>
    </row>
  </sheetData>
  <mergeCells count="1"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Cost and Capacity Sensitivity</t>
        </is>
      </c>
    </row>
    <row r="4">
      <c r="B4" s="8" t="inlineStr">
        <is>
          <t>Capital / Turnover</t>
        </is>
      </c>
      <c r="C4" s="25" t="n">
        <v>0.1</v>
      </c>
      <c r="D4" s="25" t="n">
        <v>0.25</v>
      </c>
      <c r="E4" s="25" t="n">
        <v>0.5</v>
      </c>
      <c r="F4" s="25" t="n">
        <v>0.75</v>
      </c>
      <c r="G4" s="25" t="n">
        <v>1</v>
      </c>
    </row>
    <row r="5">
      <c r="B5" s="26" t="n">
        <v>10</v>
      </c>
      <c r="C5" s="21">
        <f>C$4*Assumptions!$E$7/10000+Assumptions!$E$8*(C$4*$B5/Assumptions!$E$10)^1.5</f>
        <v/>
      </c>
      <c r="D5" s="21">
        <f>D$4*Assumptions!$E$7/10000+Assumptions!$E$8*(D$4*$B5/Assumptions!$E$10)^1.5</f>
        <v/>
      </c>
      <c r="E5" s="21">
        <f>E$4*Assumptions!$E$7/10000+Assumptions!$E$8*(E$4*$B5/Assumptions!$E$10)^1.5</f>
        <v/>
      </c>
      <c r="F5" s="21">
        <f>F$4*Assumptions!$E$7/10000+Assumptions!$E$8*(F$4*$B5/Assumptions!$E$10)^1.5</f>
        <v/>
      </c>
      <c r="G5" s="21">
        <f>G$4*Assumptions!$E$7/10000+Assumptions!$E$8*(G$4*$B5/Assumptions!$E$10)^1.5</f>
        <v/>
      </c>
    </row>
    <row r="6">
      <c r="B6" s="26" t="n">
        <v>25</v>
      </c>
      <c r="C6" s="21">
        <f>C$4*Assumptions!$E$7/10000+Assumptions!$E$8*(C$4*$B6/Assumptions!$E$10)^1.5</f>
        <v/>
      </c>
      <c r="D6" s="21">
        <f>D$4*Assumptions!$E$7/10000+Assumptions!$E$8*(D$4*$B6/Assumptions!$E$10)^1.5</f>
        <v/>
      </c>
      <c r="E6" s="21">
        <f>E$4*Assumptions!$E$7/10000+Assumptions!$E$8*(E$4*$B6/Assumptions!$E$10)^1.5</f>
        <v/>
      </c>
      <c r="F6" s="21">
        <f>F$4*Assumptions!$E$7/10000+Assumptions!$E$8*(F$4*$B6/Assumptions!$E$10)^1.5</f>
        <v/>
      </c>
      <c r="G6" s="21">
        <f>G$4*Assumptions!$E$7/10000+Assumptions!$E$8*(G$4*$B6/Assumptions!$E$10)^1.5</f>
        <v/>
      </c>
    </row>
    <row r="7">
      <c r="B7" s="26" t="n">
        <v>50</v>
      </c>
      <c r="C7" s="21">
        <f>C$4*Assumptions!$E$7/10000+Assumptions!$E$8*(C$4*$B7/Assumptions!$E$10)^1.5</f>
        <v/>
      </c>
      <c r="D7" s="21">
        <f>D$4*Assumptions!$E$7/10000+Assumptions!$E$8*(D$4*$B7/Assumptions!$E$10)^1.5</f>
        <v/>
      </c>
      <c r="E7" s="21">
        <f>E$4*Assumptions!$E$7/10000+Assumptions!$E$8*(E$4*$B7/Assumptions!$E$10)^1.5</f>
        <v/>
      </c>
      <c r="F7" s="21">
        <f>F$4*Assumptions!$E$7/10000+Assumptions!$E$8*(F$4*$B7/Assumptions!$E$10)^1.5</f>
        <v/>
      </c>
      <c r="G7" s="21">
        <f>G$4*Assumptions!$E$7/10000+Assumptions!$E$8*(G$4*$B7/Assumptions!$E$10)^1.5</f>
        <v/>
      </c>
    </row>
    <row r="8">
      <c r="B8" s="26" t="n">
        <v>100</v>
      </c>
      <c r="C8" s="21">
        <f>C$4*Assumptions!$E$7/10000+Assumptions!$E$8*(C$4*$B8/Assumptions!$E$10)^1.5</f>
        <v/>
      </c>
      <c r="D8" s="21">
        <f>D$4*Assumptions!$E$7/10000+Assumptions!$E$8*(D$4*$B8/Assumptions!$E$10)^1.5</f>
        <v/>
      </c>
      <c r="E8" s="21">
        <f>E$4*Assumptions!$E$7/10000+Assumptions!$E$8*(E$4*$B8/Assumptions!$E$10)^1.5</f>
        <v/>
      </c>
      <c r="F8" s="21">
        <f>F$4*Assumptions!$E$7/10000+Assumptions!$E$8*(F$4*$B8/Assumptions!$E$10)^1.5</f>
        <v/>
      </c>
      <c r="G8" s="21">
        <f>G$4*Assumptions!$E$7/10000+Assumptions!$E$8*(G$4*$B8/Assumptions!$E$10)^1.5</f>
        <v/>
      </c>
    </row>
    <row r="9">
      <c r="B9" s="26" t="n">
        <v>250</v>
      </c>
      <c r="C9" s="21">
        <f>C$4*Assumptions!$E$7/10000+Assumptions!$E$8*(C$4*$B9/Assumptions!$E$10)^1.5</f>
        <v/>
      </c>
      <c r="D9" s="21">
        <f>D$4*Assumptions!$E$7/10000+Assumptions!$E$8*(D$4*$B9/Assumptions!$E$10)^1.5</f>
        <v/>
      </c>
      <c r="E9" s="21">
        <f>E$4*Assumptions!$E$7/10000+Assumptions!$E$8*(E$4*$B9/Assumptions!$E$10)^1.5</f>
        <v/>
      </c>
      <c r="F9" s="21">
        <f>F$4*Assumptions!$E$7/10000+Assumptions!$E$8*(F$4*$B9/Assumptions!$E$10)^1.5</f>
        <v/>
      </c>
      <c r="G9" s="21">
        <f>G$4*Assumptions!$E$7/10000+Assumptions!$E$8*(G$4*$B9/Assumptions!$E$10)^1.5</f>
        <v/>
      </c>
    </row>
    <row r="12">
      <c r="B12" t="inlineStr">
        <is>
          <t>Current maximum participation</t>
        </is>
      </c>
      <c r="C12" s="21">
        <f>MAX(Backtest!L5:L64)</f>
        <v/>
      </c>
    </row>
    <row r="13">
      <c r="B13" t="inlineStr">
        <is>
          <t>Participation limit</t>
        </is>
      </c>
      <c r="C13" s="21">
        <f>Assumptions!E11</f>
        <v/>
      </c>
    </row>
    <row r="14">
      <c r="B14" t="inlineStr">
        <is>
          <t>Capacity status</t>
        </is>
      </c>
      <c r="C14">
        <f>IF(C12&lt;=C13,"PASS","BREACH")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conditionalFormatting sqref="C14">
    <cfRule type="expression" priority="2" dxfId="0">
      <formula>C14="PASS"</formula>
    </cfRule>
    <cfRule type="expression" priority="3" dxfId="1">
      <formula>C14="FAIL"</formula>
    </cfRule>
    <cfRule type="expression" priority="4" dxfId="2">
      <formula>C14="REVIEW"</formula>
    </cfRule>
    <cfRule type="expression" priority="5" dxfId="1">
      <formula>C14="BREACH"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4" customWidth="1" min="4" max="4"/>
    <col width="40" customWidth="1" min="5" max="5"/>
  </cols>
  <sheetData>
    <row r="2" ht="28" customHeight="1">
      <c r="B2" s="1" t="inlineStr">
        <is>
          <t>Distribution and Tail Risk</t>
        </is>
      </c>
    </row>
    <row r="4">
      <c r="B4" s="8" t="inlineStr">
        <is>
          <t>Metric</t>
        </is>
      </c>
      <c r="C4" s="8" t="inlineStr">
        <is>
          <t>Value</t>
        </is>
      </c>
      <c r="D4" s="8" t="inlineStr">
        <is>
          <t>Units</t>
        </is>
      </c>
      <c r="E4" s="8" t="inlineStr">
        <is>
          <t>Method</t>
        </is>
      </c>
    </row>
    <row r="5">
      <c r="B5" t="inlineStr">
        <is>
          <t>Historical VaR</t>
        </is>
      </c>
      <c r="C5" s="21">
        <f>-PERCENTILE(Backtest!H5:H64,1-Assumptions!E15)</f>
        <v/>
      </c>
      <c r="D5" t="inlineStr">
        <is>
          <t>%</t>
        </is>
      </c>
      <c r="E5" t="inlineStr">
        <is>
          <t>empirical left-tail quantile</t>
        </is>
      </c>
    </row>
    <row r="6">
      <c r="B6" t="inlineStr">
        <is>
          <t>Historical expected shortfall</t>
        </is>
      </c>
      <c r="C6" s="21">
        <f>IFERROR(-AVERAGEIF(Backtest!H5:H64,"&lt;="&amp;-C5,Backtest!H5:H64),0)</f>
        <v/>
      </c>
      <c r="D6" t="inlineStr">
        <is>
          <t>%</t>
        </is>
      </c>
      <c r="E6" t="inlineStr">
        <is>
          <t>mean return beyond VaR</t>
        </is>
      </c>
    </row>
    <row r="7">
      <c r="B7" t="inlineStr">
        <is>
          <t>Parametric VaR</t>
        </is>
      </c>
      <c r="C7" s="21">
        <f>-(AVERAGE(Backtest!H5:H64)+NORMSINV(1-Assumptions!E15)*STDEVP(Backtest!H5:H64))</f>
        <v/>
      </c>
      <c r="D7" t="inlineStr">
        <is>
          <t>%</t>
        </is>
      </c>
      <c r="E7" t="inlineStr">
        <is>
          <t>normal approximation</t>
        </is>
      </c>
    </row>
    <row r="8">
      <c r="B8" t="inlineStr">
        <is>
          <t>Maximum drawdown</t>
        </is>
      </c>
      <c r="C8" s="21">
        <f>Performance!D9</f>
        <v/>
      </c>
      <c r="D8" t="inlineStr">
        <is>
          <t>%</t>
        </is>
      </c>
      <c r="E8" t="inlineStr">
        <is>
          <t>realized peak-to-trough</t>
        </is>
      </c>
    </row>
    <row r="9">
      <c r="B9" t="inlineStr">
        <is>
          <t>Drawdown limit</t>
        </is>
      </c>
      <c r="C9" s="21">
        <f>ABS(Assumptions!E17)</f>
        <v/>
      </c>
      <c r="D9" t="inlineStr">
        <is>
          <t>%</t>
        </is>
      </c>
      <c r="E9" t="inlineStr">
        <is>
          <t>approved risk limit</t>
        </is>
      </c>
    </row>
    <row r="10">
      <c r="B10" t="inlineStr">
        <is>
          <t>Drawdown status</t>
        </is>
      </c>
      <c r="C10">
        <f>IF(C8&lt;=C9,"PASS","BREACH")</f>
        <v/>
      </c>
      <c r="D10" t="inlineStr">
        <is>
          <t>status</t>
        </is>
      </c>
      <c r="E10" t="inlineStr">
        <is>
          <t>limit test</t>
        </is>
      </c>
    </row>
    <row r="11">
      <c r="B11" t="inlineStr">
        <is>
          <t>Annualized net volatility</t>
        </is>
      </c>
      <c r="C11" s="21">
        <f>Performance!D6</f>
        <v/>
      </c>
      <c r="D11" t="inlineStr">
        <is>
          <t>%</t>
        </is>
      </c>
      <c r="E11" t="inlineStr">
        <is>
          <t>realized</t>
        </is>
      </c>
    </row>
    <row r="12">
      <c r="B12" t="inlineStr">
        <is>
          <t>Volatility target</t>
        </is>
      </c>
      <c r="C12" s="21">
        <f>Assumptions!E16</f>
        <v/>
      </c>
      <c r="D12" t="inlineStr">
        <is>
          <t>%</t>
        </is>
      </c>
      <c r="E12" t="inlineStr">
        <is>
          <t>approved target</t>
        </is>
      </c>
    </row>
    <row r="13">
      <c r="B13" t="inlineStr">
        <is>
          <t>Volatility scaling</t>
        </is>
      </c>
      <c r="C13" s="23">
        <f>IFERROR(C12/C11,0)</f>
        <v/>
      </c>
      <c r="D13" t="inlineStr">
        <is>
          <t>x</t>
        </is>
      </c>
      <c r="E13" t="inlineStr">
        <is>
          <t>target / realized</t>
        </is>
      </c>
    </row>
  </sheetData>
  <mergeCells count="1">
    <mergeCell ref="B2:E2"/>
  </mergeCells>
  <conditionalFormatting sqref="C10">
    <cfRule type="expression" priority="1" dxfId="0">
      <formula>C10="PASS"</formula>
    </cfRule>
    <cfRule type="expression" priority="2" dxfId="1">
      <formula>C10="FAIL"</formula>
    </cfRule>
    <cfRule type="expression" priority="3" dxfId="2">
      <formula>C10="REVIEW"</formula>
    </cfRule>
    <cfRule type="expression" priority="4" dxfId="1">
      <formula>C10="BREACH"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8" customWidth="1" min="4" max="4"/>
    <col width="18" customWidth="1" min="5" max="5"/>
    <col width="16" customWidth="1" min="6" max="6"/>
    <col width="16" customWidth="1" min="7" max="7"/>
  </cols>
  <sheetData>
    <row r="2" ht="28" customHeight="1">
      <c r="B2" s="1" t="inlineStr">
        <is>
          <t>Strategy Stress Scenarios</t>
        </is>
      </c>
    </row>
    <row r="4">
      <c r="B4" s="8" t="inlineStr">
        <is>
          <t>Scenario</t>
        </is>
      </c>
      <c r="C4" s="8" t="inlineStr">
        <is>
          <t>Return shock</t>
        </is>
      </c>
      <c r="D4" s="8" t="inlineStr">
        <is>
          <t>Turnover multiplier</t>
        </is>
      </c>
      <c r="E4" s="8" t="inlineStr">
        <is>
          <t>Liquidity multiplier</t>
        </is>
      </c>
      <c r="F4" s="8" t="inlineStr">
        <is>
          <t>Cost shock</t>
        </is>
      </c>
      <c r="G4" s="8" t="inlineStr">
        <is>
          <t>Estimated P&amp;L</t>
        </is>
      </c>
    </row>
    <row r="5">
      <c r="B5" t="inlineStr">
        <is>
          <t>Equity selloff / beta shock</t>
        </is>
      </c>
      <c r="C5" s="11" t="n">
        <v>-0.12</v>
      </c>
      <c r="D5" s="27" t="n">
        <v>1.5</v>
      </c>
      <c r="E5" s="27" t="n">
        <v>0.6</v>
      </c>
      <c r="F5" s="21">
        <f>AVERAGE(Backtest!D5:D64)*D5*Assumptions!$E$7/10000+Assumptions!$E$8*(AVERAGE(Backtest!D5:D64)*D5*Assumptions!$E$9/(Assumptions!$E$10*E5))^1.5</f>
        <v/>
      </c>
      <c r="G5" s="21">
        <f>C5-F5</f>
        <v/>
      </c>
    </row>
    <row r="6">
      <c r="B6" t="inlineStr">
        <is>
          <t>Volatility spike</t>
        </is>
      </c>
      <c r="C6" s="11" t="n">
        <v>-0.06</v>
      </c>
      <c r="D6" s="27" t="n">
        <v>2</v>
      </c>
      <c r="E6" s="27" t="n">
        <v>0.5</v>
      </c>
      <c r="F6" s="21">
        <f>AVERAGE(Backtest!D5:D64)*D6*Assumptions!$E$7/10000+Assumptions!$E$8*(AVERAGE(Backtest!D5:D64)*D6*Assumptions!$E$9/(Assumptions!$E$10*E6))^1.5</f>
        <v/>
      </c>
      <c r="G6" s="21">
        <f>C6-F6</f>
        <v/>
      </c>
    </row>
    <row r="7">
      <c r="B7" t="inlineStr">
        <is>
          <t>Crowded unwind</t>
        </is>
      </c>
      <c r="C7" s="11" t="n">
        <v>-0.1</v>
      </c>
      <c r="D7" s="27" t="n">
        <v>3</v>
      </c>
      <c r="E7" s="27" t="n">
        <v>0.3</v>
      </c>
      <c r="F7" s="21">
        <f>AVERAGE(Backtest!D5:D64)*D7*Assumptions!$E$7/10000+Assumptions!$E$8*(AVERAGE(Backtest!D5:D64)*D7*Assumptions!$E$9/(Assumptions!$E$10*E7))^1.5</f>
        <v/>
      </c>
      <c r="G7" s="21">
        <f>C7-F7</f>
        <v/>
      </c>
    </row>
    <row r="8">
      <c r="B8" t="inlineStr">
        <is>
          <t>Liquidity freeze</t>
        </is>
      </c>
      <c r="C8" s="11" t="n">
        <v>-0.04</v>
      </c>
      <c r="D8" s="27" t="n">
        <v>1.5</v>
      </c>
      <c r="E8" s="27" t="n">
        <v>0.15</v>
      </c>
      <c r="F8" s="21">
        <f>AVERAGE(Backtest!D5:D64)*D8*Assumptions!$E$7/10000+Assumptions!$E$8*(AVERAGE(Backtest!D5:D64)*D8*Assumptions!$E$9/(Assumptions!$E$10*E8))^1.5</f>
        <v/>
      </c>
      <c r="G8" s="21">
        <f>C8-F8</f>
        <v/>
      </c>
    </row>
    <row r="9">
      <c r="B9" t="inlineStr">
        <is>
          <t>Model decay</t>
        </is>
      </c>
      <c r="C9" s="11" t="n">
        <v>-0.03</v>
      </c>
      <c r="D9" s="27" t="n">
        <v>1</v>
      </c>
      <c r="E9" s="27" t="n">
        <v>1</v>
      </c>
      <c r="F9" s="21">
        <f>AVERAGE(Backtest!D5:D64)*D9*Assumptions!$E$7/10000+Assumptions!$E$8*(AVERAGE(Backtest!D5:D64)*D9*Assumptions!$E$9/(Assumptions!$E$10*E9))^1.5</f>
        <v/>
      </c>
      <c r="G9" s="21">
        <f>C9-F9</f>
        <v/>
      </c>
    </row>
  </sheetData>
  <mergeCells count="1"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</cols>
  <sheetData>
    <row r="2" ht="28" customHeight="1">
      <c r="B2" s="1" t="inlineStr">
        <is>
          <t>Research and 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Signal lag is positive</t>
        </is>
      </c>
      <c r="C5">
        <f>IF(Assumptions!E18&gt;=1,"PASS","FAIL")</f>
        <v/>
      </c>
    </row>
    <row r="6">
      <c r="B6" t="inlineStr">
        <is>
          <t>Publication lag control enabled</t>
        </is>
      </c>
      <c r="C6">
        <f>IF(Assumptions!E19=1,"PASS","FAIL")</f>
        <v/>
      </c>
    </row>
    <row r="7">
      <c r="B7" t="inlineStr">
        <is>
          <t>Transaction costs included</t>
        </is>
      </c>
      <c r="C7">
        <f>IF(AND(Assumptions!E7&gt;0,Assumptions!E8&gt;0),"PASS","FAIL")</f>
        <v/>
      </c>
    </row>
    <row r="8">
      <c r="B8" t="inlineStr">
        <is>
          <t>No participation breach</t>
        </is>
      </c>
      <c r="C8">
        <f>IF('Costs &amp; Capacity'!C14="PASS","PASS","BREACH")</f>
        <v/>
      </c>
    </row>
    <row r="9">
      <c r="B9" t="inlineStr">
        <is>
          <t>Gross return exceeds or equals net</t>
        </is>
      </c>
      <c r="C9">
        <f>IF(Performance!C5&gt;=Performance!D5,"PASS","FAIL")</f>
        <v/>
      </c>
    </row>
    <row r="10">
      <c r="B10" t="inlineStr">
        <is>
          <t>Walk-forward tests populated</t>
        </is>
      </c>
      <c r="C10">
        <f>IF(COUNT('Walk Forward'!H5:H10)=6,"PASS","FAIL")</f>
        <v/>
      </c>
    </row>
    <row r="11">
      <c r="B11" t="inlineStr">
        <is>
          <t>No drawdown breach</t>
        </is>
      </c>
      <c r="C11">
        <f>IF(Risk!C10="PASS","PASS","REVIEW")</f>
        <v/>
      </c>
    </row>
    <row r="12">
      <c r="B12" t="inlineStr">
        <is>
          <t>All returns finite</t>
        </is>
      </c>
      <c r="C12">
        <f>IF(COUNT(Backtest!H5:H64)=60,"PASS","FAIL")</f>
        <v/>
      </c>
    </row>
    <row r="13">
      <c r="B13" t="inlineStr">
        <is>
          <t>Overall</t>
        </is>
      </c>
      <c r="C13">
        <f>IF(COUNTIF(C5:C12,"FAIL")=0,"PASS","FAIL")</f>
        <v/>
      </c>
    </row>
  </sheetData>
  <mergeCells count="1">
    <mergeCell ref="B2:C2"/>
  </mergeCells>
  <conditionalFormatting sqref="C5:C13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8" t="inlineStr">
        <is>
          <t>Point-in-time market and fundamental data</t>
        </is>
      </c>
      <c r="C5" s="28" t="inlineStr">
        <is>
          <t>[dataset URL / manifest]</t>
        </is>
      </c>
      <c r="D5" s="28" t="inlineStr">
        <is>
          <t>[as-of]</t>
        </is>
      </c>
      <c r="E5" s="28" t="inlineStr">
        <is>
          <t>Document revisions, survivorship, and publication lag</t>
        </is>
      </c>
    </row>
    <row r="6">
      <c r="B6" s="28" t="inlineStr">
        <is>
          <t>Corporate actions and universe membership</t>
        </is>
      </c>
      <c r="C6" s="28" t="inlineStr">
        <is>
          <t>[dataset URL]</t>
        </is>
      </c>
      <c r="D6" s="28" t="inlineStr">
        <is>
          <t>[as-of]</t>
        </is>
      </c>
      <c r="E6" s="28" t="inlineStr">
        <is>
          <t>Split, dividend, delisting, and constituent history</t>
        </is>
      </c>
    </row>
    <row r="7">
      <c r="B7" s="28" t="inlineStr">
        <is>
          <t>Execution and transaction-cost data</t>
        </is>
      </c>
      <c r="C7" s="28" t="inlineStr">
        <is>
          <t>[broker / venue source]</t>
        </is>
      </c>
      <c r="D7" s="28" t="inlineStr">
        <is>
          <t>[period]</t>
        </is>
      </c>
      <c r="E7" s="28" t="inlineStr">
        <is>
          <t>Spreads, fees, impact, and borrow</t>
        </is>
      </c>
    </row>
    <row r="8">
      <c r="B8" s="28" t="inlineStr">
        <is>
          <t>Risk-free benchmark</t>
        </is>
      </c>
      <c r="C8" s="28" t="inlineStr">
        <is>
          <t>https://fred.stlouisfed.org/</t>
        </is>
      </c>
      <c r="D8" s="28" t="inlineStr">
        <is>
          <t>[period]</t>
        </is>
      </c>
      <c r="E8" s="28" t="inlineStr">
        <is>
          <t>Record series ID and compounding</t>
        </is>
      </c>
    </row>
    <row r="9">
      <c r="B9" s="28" t="inlineStr">
        <is>
          <t>Live-monitoring comparison</t>
        </is>
      </c>
      <c r="C9" s="28" t="inlineStr">
        <is>
          <t>[production report URL]</t>
        </is>
      </c>
      <c r="D9" s="28" t="inlineStr">
        <is>
          <t>[period]</t>
        </is>
      </c>
      <c r="E9" s="28" t="inlineStr">
        <is>
          <t>Backtest-to-live degradation and incidents</t>
        </is>
      </c>
    </row>
  </sheetData>
  <mergeCells count="1"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9" t="n"/>
      <c r="C5" s="29" t="n"/>
      <c r="D5" s="29" t="n"/>
      <c r="E5" s="29" t="n"/>
      <c r="F5" s="29" t="n"/>
      <c r="G5" s="29" t="n"/>
    </row>
    <row r="6">
      <c r="B6" s="29" t="n"/>
      <c r="C6" s="29" t="n"/>
      <c r="D6" s="29" t="n"/>
      <c r="E6" s="29" t="n"/>
      <c r="F6" s="29" t="n"/>
      <c r="G6" s="29" t="n"/>
    </row>
    <row r="7">
      <c r="B7" s="29" t="n"/>
      <c r="C7" s="29" t="n"/>
      <c r="D7" s="29" t="n"/>
      <c r="E7" s="29" t="n"/>
      <c r="F7" s="29" t="n"/>
      <c r="G7" s="29" t="n"/>
    </row>
    <row r="8">
      <c r="B8" s="29" t="n"/>
      <c r="C8" s="29" t="n"/>
      <c r="D8" s="29" t="n"/>
      <c r="E8" s="29" t="n"/>
      <c r="F8" s="29" t="n"/>
      <c r="G8" s="29" t="n"/>
    </row>
    <row r="9">
      <c r="B9" s="29" t="n"/>
      <c r="C9" s="29" t="n"/>
      <c r="D9" s="29" t="n"/>
      <c r="E9" s="29" t="n"/>
      <c r="F9" s="29" t="n"/>
      <c r="G9" s="29" t="n"/>
    </row>
    <row r="10">
      <c r="B10" s="29" t="n"/>
      <c r="C10" s="29" t="n"/>
      <c r="D10" s="29" t="n"/>
      <c r="E10" s="29" t="n"/>
      <c r="F10" s="29" t="n"/>
      <c r="G10" s="29" t="n"/>
    </row>
    <row r="11">
      <c r="B11" s="29" t="n"/>
      <c r="C11" s="29" t="n"/>
      <c r="D11" s="29" t="n"/>
      <c r="E11" s="29" t="n"/>
      <c r="F11" s="29" t="n"/>
      <c r="G11" s="29" t="n"/>
    </row>
    <row r="12">
      <c r="B12" s="29" t="n"/>
      <c r="C12" s="29" t="n"/>
      <c r="D12" s="29" t="n"/>
      <c r="E12" s="29" t="n"/>
      <c r="F12" s="29" t="n"/>
      <c r="G12" s="29" t="n"/>
    </row>
    <row r="13">
      <c r="B13" s="29" t="n"/>
      <c r="C13" s="29" t="n"/>
      <c r="D13" s="29" t="n"/>
      <c r="E13" s="29" t="n"/>
      <c r="F13" s="29" t="n"/>
      <c r="G13" s="29" t="n"/>
    </row>
    <row r="14">
      <c r="B14" s="29" t="n"/>
      <c r="C14" s="29" t="n"/>
      <c r="D14" s="29" t="n"/>
      <c r="E14" s="29" t="n"/>
      <c r="F14" s="29" t="n"/>
      <c r="G14" s="29" t="n"/>
    </row>
    <row r="15">
      <c r="B15" s="29" t="n"/>
      <c r="C15" s="29" t="n"/>
      <c r="D15" s="29" t="n"/>
      <c r="E15" s="29" t="n"/>
      <c r="F15" s="29" t="n"/>
      <c r="G15" s="29" t="n"/>
    </row>
    <row r="16">
      <c r="B16" s="29" t="n"/>
      <c r="C16" s="29" t="n"/>
      <c r="D16" s="29" t="n"/>
      <c r="E16" s="29" t="n"/>
      <c r="F16" s="29" t="n"/>
      <c r="G16" s="29" t="n"/>
    </row>
    <row r="17">
      <c r="B17" s="29" t="n"/>
      <c r="C17" s="29" t="n"/>
      <c r="D17" s="29" t="n"/>
      <c r="E17" s="29" t="n"/>
      <c r="F17" s="29" t="n"/>
      <c r="G17" s="29" t="n"/>
    </row>
    <row r="18">
      <c r="B18" s="29" t="n"/>
      <c r="C18" s="29" t="n"/>
      <c r="D18" s="29" t="n"/>
      <c r="E18" s="29" t="n"/>
      <c r="F18" s="29" t="n"/>
      <c r="G18" s="29" t="n"/>
    </row>
    <row r="19">
      <c r="B19" s="29" t="n"/>
      <c r="C19" s="29" t="n"/>
      <c r="D19" s="29" t="n"/>
      <c r="E19" s="29" t="n"/>
      <c r="F19" s="29" t="n"/>
      <c r="G19" s="29" t="n"/>
    </row>
    <row r="20">
      <c r="B20" s="29" t="n"/>
      <c r="C20" s="29" t="n"/>
      <c r="D20" s="29" t="n"/>
      <c r="E20" s="29" t="n"/>
      <c r="F20" s="29" t="n"/>
      <c r="G20" s="29" t="n"/>
    </row>
    <row r="21">
      <c r="B21" s="29" t="n"/>
      <c r="C21" s="29" t="n"/>
      <c r="D21" s="29" t="n"/>
      <c r="E21" s="29" t="n"/>
      <c r="F21" s="29" t="n"/>
      <c r="G21" s="29" t="n"/>
    </row>
    <row r="22">
      <c r="B22" s="29" t="n"/>
      <c r="C22" s="29" t="n"/>
      <c r="D22" s="29" t="n"/>
      <c r="E22" s="29" t="n"/>
      <c r="F22" s="29" t="n"/>
      <c r="G22" s="29" t="n"/>
    </row>
    <row r="23">
      <c r="B23" s="29" t="n"/>
      <c r="C23" s="29" t="n"/>
      <c r="D23" s="29" t="n"/>
      <c r="E23" s="29" t="n"/>
      <c r="F23" s="29" t="n"/>
      <c r="G23" s="29" t="n"/>
    </row>
    <row r="24">
      <c r="B24" s="29" t="n"/>
      <c r="C24" s="29" t="n"/>
      <c r="D24" s="29" t="n"/>
      <c r="E24" s="29" t="n"/>
      <c r="F24" s="29" t="n"/>
      <c r="G24" s="29" t="n"/>
    </row>
    <row r="25">
      <c r="B25" s="29" t="n"/>
      <c r="C25" s="29" t="n"/>
      <c r="D25" s="29" t="n"/>
      <c r="E25" s="29" t="n"/>
      <c r="F25" s="29" t="n"/>
      <c r="G25" s="29" t="n"/>
    </row>
    <row r="26">
      <c r="B26" s="29" t="n"/>
      <c r="C26" s="29" t="n"/>
      <c r="D26" s="29" t="n"/>
      <c r="E26" s="29" t="n"/>
      <c r="F26" s="29" t="n"/>
      <c r="G26" s="29" t="n"/>
    </row>
    <row r="27">
      <c r="B27" s="29" t="n"/>
      <c r="C27" s="29" t="n"/>
      <c r="D27" s="29" t="n"/>
      <c r="E27" s="29" t="n"/>
      <c r="F27" s="29" t="n"/>
      <c r="G27" s="29" t="n"/>
    </row>
    <row r="28">
      <c r="B28" s="29" t="n"/>
      <c r="C28" s="29" t="n"/>
      <c r="D28" s="29" t="n"/>
      <c r="E28" s="29" t="n"/>
      <c r="F28" s="29" t="n"/>
      <c r="G28" s="29" t="n"/>
    </row>
    <row r="29">
      <c r="B29" s="29" t="n"/>
      <c r="C29" s="29" t="n"/>
      <c r="D29" s="29" t="n"/>
      <c r="E29" s="29" t="n"/>
      <c r="F29" s="29" t="n"/>
      <c r="G29" s="29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2026-08-05T22:47:23Z</dcterms:created>
  <dcterms:modified xmlns:dcterms="http://purl.org/dc/terms/" xmlns:xsi="http://www.w3.org/2001/XMLSchema-instance" xsi:type="dcterms:W3CDTF">2026-08-05T22:47:23Z</dcterms:modified>
</cp:coreProperties>
</file>