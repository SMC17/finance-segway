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Backtest" sheetId="6" state="visible" r:id="rId8"/>
    <sheet name="Performance" sheetId="7" state="visible" r:id="rId9"/>
    <sheet name="Walk Forward" sheetId="8" state="visible" r:id="rId10"/>
    <sheet name="Costs &amp; Capacity" sheetId="9" state="visible" r:id="rId11"/>
    <sheet name="Risk" sheetId="10" state="visible" r:id="rId12"/>
    <sheet name="Stress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<sst xmlns="http://schemas.openxmlformats.org/spreadsheetml/2006/main" count="376" uniqueCount="279">
  <si>
    <t xml:space="preserve">[STRATEGY] — Systematic Research Model</t>
  </si>
  <si>
    <t xml:space="preserve">Strategy / universe:</t>
  </si>
  <si>
    <t xml:space="preserve">Adversarial Capacity and Cost Shock</t>
  </si>
  <si>
    <t xml:space="preserve">Data vintage / point-in-time policy:</t>
  </si>
  <si>
    <t xml:space="preserve">[policy]</t>
  </si>
  <si>
    <t xml:space="preserve">Last refreshed:</t>
  </si>
  <si>
    <t xml:space="preserve">2026-08-03</t>
  </si>
  <si>
    <t xml:space="preserve">Next rebalance / review:</t>
  </si>
  <si>
    <t xml:space="preserve">[date]</t>
  </si>
  <si>
    <t xml:space="preserve">Refresh cadence:</t>
  </si>
  <si>
    <t xml:space="preserve">Daily or per rebalance</t>
  </si>
  <si>
    <t xml:space="preserve">Active scenario:</t>
  </si>
  <si>
    <t xml:space="preserve">Downside</t>
  </si>
  <si>
    <t xml:space="preserve">Units:</t>
  </si>
  <si>
    <t xml:space="preserve">Periodic returns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</si>
  <si>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</si>
  <si>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</si>
  <si>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</si>
  <si>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</si>
  <si>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</si>
  <si>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</si>
  <si>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</si>
  <si>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</si>
  <si>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</si>
  <si>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Quantitative &amp; Systematic — Institutional Decision Surface</t>
  </si>
  <si>
    <t xml:space="preserve">Model ID</t>
  </si>
  <si>
    <t xml:space="preserve">22</t>
  </si>
  <si>
    <t xml:space="preserve">Domain</t>
  </si>
  <si>
    <t xml:space="preserve">Quantitative &amp; Systematic</t>
  </si>
  <si>
    <t xml:space="preserve">Declared maturity</t>
  </si>
  <si>
    <t xml:space="preserve">M2</t>
  </si>
  <si>
    <t xml:space="preserve">Canonical builder</t>
  </si>
  <si>
    <t xml:space="preserve">tools/builders/build_quant_release.py</t>
  </si>
  <si>
    <t xml:space="preserve">Decision arena</t>
  </si>
  <si>
    <t xml:space="preserve">research, portfolio construction, execution, risk and model validation</t>
  </si>
  <si>
    <t xml:space="preserve">Committee artifact</t>
  </si>
  <si>
    <t xml:space="preserve">research approval and live-monitoring pack</t>
  </si>
  <si>
    <t xml:space="preserve">Operating cadence</t>
  </si>
  <si>
    <t xml:space="preserve">per research run; daily live; monthly model committee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</si>
  <si>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</si>
  <si>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</si>
  <si>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</si>
  <si>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</si>
  <si>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</si>
  <si>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</si>
  <si>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gross and net performance</t>
  </si>
  <si>
    <t xml:space="preserve">OPEN</t>
  </si>
  <si>
    <t xml:space="preserve">capacity and market impact</t>
  </si>
  <si>
    <t xml:space="preserve">walk-forward stability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</si>
  <si>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</si>
  <si>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</si>
  <si>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</si>
  <si>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data was knowable at decision time?</t>
  </si>
  <si>
    <t xml:space="preserve">Which result survives alternate costs and universes?</t>
  </si>
  <si>
    <t xml:space="preserve">Where is capacity constrained—signal or execution?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</si>
  <si>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</si>
  <si>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</si>
  <si>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</si>
  <si>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cost and impact inflation</t>
  </si>
  <si>
    <t xml:space="preserve">regime break</t>
  </si>
  <si>
    <t xml:space="preserve">crowding and correlation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</si>
  <si>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</si>
  <si>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</si>
  <si>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</si>
  <si>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research specification</t>
  </si>
  <si>
    <t xml:space="preserve">data dictionary and licenses</t>
  </si>
  <si>
    <t xml:space="preserve">experiment and code version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</si>
  <si>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</si>
  <si>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</si>
  <si>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</si>
  <si>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no look-ahead or survivorship bias</t>
  </si>
  <si>
    <t xml:space="preserve">walk-forward partitions do not overlap improperly</t>
  </si>
  <si>
    <t xml:space="preserve">gross return exceeds net by explicit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</si>
  <si>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</si>
  <si>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</si>
  <si>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</si>
  <si>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optimizing on one backtest path</t>
  </si>
  <si>
    <t xml:space="preserve">using revised fundamentals</t>
  </si>
  <si>
    <t xml:space="preserve">ignoring rejected orders and partial fills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</si>
  <si>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</si>
  <si>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</si>
  <si>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</si>
  <si>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</si>
  <si>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</si>
  <si>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</si>
  <si>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</si>
  <si>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</si>
  <si>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</si>
  <si>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</si>
  <si>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</si>
  <si>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</si>
  <si>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</si>
  <si>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</si>
  <si>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</si>
  <si>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</si>
  <si>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</si>
  <si>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</si>
  <si>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</si>
  <si>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</si>
  <si>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</si>
  <si>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</si>
  <si>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</si>
  <si>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</si>
  <si>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</si>
  <si>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</si>
  <si>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</si>
  <si>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</si>
  <si>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</si>
  <si>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</si>
  <si>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</si>
  <si>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research data</t>
  </si>
  <si>
    <t xml:space="preserve">per dataset</t>
  </si>
  <si>
    <t xml:space="preserve">point-in-time and survivorship controls</t>
  </si>
  <si>
    <t xml:space="preserve">TO MAP</t>
  </si>
  <si>
    <t xml:space="preserve">signals</t>
  </si>
  <si>
    <t xml:space="preserve">daily/intraday</t>
  </si>
  <si>
    <t xml:space="preserve">versioned feature lineage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</si>
  <si>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</si>
  <si>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</si>
  <si>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</si>
  <si>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</si>
  <si>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</si>
  <si>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</si>
  <si>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Backtest, Cost, and Capacity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</si>
  <si>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</si>
  <si>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</si>
  <si>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</si>
  <si>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</si>
  <si>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Periods per year</t>
  </si>
  <si>
    <t xml:space="preserve">periods</t>
  </si>
  <si>
    <t xml:space="preserve">Risk-free return per period</t>
  </si>
  <si>
    <t xml:space="preserve">%</t>
  </si>
  <si>
    <t xml:space="preserve">Linear transaction cost</t>
  </si>
  <si>
    <t xml:space="preserve">bps per unit turnover</t>
  </si>
  <si>
    <t xml:space="preserve">Impact coefficient</t>
  </si>
  <si>
    <t xml:space="preserve">return units</t>
  </si>
  <si>
    <t xml:space="preserve">Capital deployed</t>
  </si>
  <si>
    <t xml:space="preserve">$mm</t>
  </si>
  <si>
    <t xml:space="preserve">Average daily volume</t>
  </si>
  <si>
    <t xml:space="preserve">Maximum participation</t>
  </si>
  <si>
    <t xml:space="preserve">% ADV</t>
  </si>
  <si>
    <t xml:space="preserve">Training periods</t>
  </si>
  <si>
    <t xml:space="preserve">Testing periods</t>
  </si>
  <si>
    <t xml:space="preserve">Walk-forward step</t>
  </si>
  <si>
    <t xml:space="preserve">VaR confidence</t>
  </si>
  <si>
    <t xml:space="preserve">Target volatility</t>
  </si>
  <si>
    <t xml:space="preserve">% annual</t>
  </si>
  <si>
    <t xml:space="preserve">Maximum drawdown limit</t>
  </si>
  <si>
    <t xml:space="preserve">Signal lag</t>
  </si>
  <si>
    <t xml:space="preserve">Data publication lag enforced</t>
  </si>
  <si>
    <t xml:space="preserve">1=yes</t>
  </si>
  <si>
    <t xml:space="preserve">Point-in-Time Backtest</t>
  </si>
  <si>
    <t xml:space="preserve">Period</t>
  </si>
  <si>
    <t xml:space="preserve">Gross return</t>
  </si>
  <si>
    <t xml:space="preserve">Turnover</t>
  </si>
  <si>
    <t xml:space="preserve">Signal available?</t>
  </si>
  <si>
    <t xml:space="preserve">Linear cost</t>
  </si>
  <si>
    <t xml:space="preserve">Impact cost</t>
  </si>
  <si>
    <t xml:space="preserve">Net return</t>
  </si>
  <si>
    <t xml:space="preserve">Cumulative wealth</t>
  </si>
  <si>
    <t xml:space="preserve">Running peak</t>
  </si>
  <si>
    <t xml:space="preserve">Drawdown</t>
  </si>
  <si>
    <t xml:space="preserve">Participation</t>
  </si>
  <si>
    <t xml:space="preserve">Gross, Net, and Risk-Adjusted Performance</t>
  </si>
  <si>
    <t xml:space="preserve">Metric</t>
  </si>
  <si>
    <t xml:space="preserve">Gross</t>
  </si>
  <si>
    <t xml:space="preserve">Net</t>
  </si>
  <si>
    <t xml:space="preserve">Interpretation</t>
  </si>
  <si>
    <t xml:space="preserve">Annualized arithmetic return</t>
  </si>
  <si>
    <t xml:space="preserve">mean periodic return annualized</t>
  </si>
  <si>
    <t xml:space="preserve">Annualized volatility</t>
  </si>
  <si>
    <t xml:space="preserve">population volatility</t>
  </si>
  <si>
    <t xml:space="preserve">Sharpe ratio</t>
  </si>
  <si>
    <t xml:space="preserve">excess return / volatility</t>
  </si>
  <si>
    <t xml:space="preserve">Sortino ratio</t>
  </si>
  <si>
    <t xml:space="preserve">downside-risk adjusted</t>
  </si>
  <si>
    <t xml:space="preserve">Maximum drawdown</t>
  </si>
  <si>
    <t xml:space="preserve">peak-to-trough</t>
  </si>
  <si>
    <t xml:space="preserve">Hit rate</t>
  </si>
  <si>
    <t xml:space="preserve">positive periods</t>
  </si>
  <si>
    <t xml:space="preserve">Ending wealth multiple</t>
  </si>
  <si>
    <t xml:space="preserve">growth of one unit</t>
  </si>
  <si>
    <t xml:space="preserve">Annual cost drag</t>
  </si>
  <si>
    <t xml:space="preserve">gross less net annualized return</t>
  </si>
  <si>
    <t xml:space="preserve">Walk-Forward Validation Folds</t>
  </si>
  <si>
    <t xml:space="preserve">Fold</t>
  </si>
  <si>
    <t xml:space="preserve">Train start</t>
  </si>
  <si>
    <t xml:space="preserve">Train end</t>
  </si>
  <si>
    <t xml:space="preserve">Test start</t>
  </si>
  <si>
    <t xml:space="preserve">Test end</t>
  </si>
  <si>
    <t xml:space="preserve">Train Sharpe</t>
  </si>
  <si>
    <t xml:space="preserve">Test Sharpe</t>
  </si>
  <si>
    <t xml:space="preserve">Test net return</t>
  </si>
  <si>
    <t xml:space="preserve">Degradation</t>
  </si>
  <si>
    <t xml:space="preserve">Cost and Capacity Sensitivity</t>
  </si>
  <si>
    <t xml:space="preserve">Capital / Turnover</t>
  </si>
  <si>
    <t xml:space="preserve">Current maximum participation</t>
  </si>
  <si>
    <t xml:space="preserve">Participation limit</t>
  </si>
  <si>
    <t xml:space="preserve">Capacity status</t>
  </si>
  <si>
    <t xml:space="preserve">Distribution and Tail Risk</t>
  </si>
  <si>
    <t xml:space="preserve">Value</t>
  </si>
  <si>
    <t xml:space="preserve">Units</t>
  </si>
  <si>
    <t xml:space="preserve">Method</t>
  </si>
  <si>
    <t xml:space="preserve">Historical VaR</t>
  </si>
  <si>
    <t xml:space="preserve">empirical left-tail quantile</t>
  </si>
  <si>
    <t xml:space="preserve">Historical expected shortfall</t>
  </si>
  <si>
    <t xml:space="preserve">mean return beyond VaR</t>
  </si>
  <si>
    <t xml:space="preserve">Parametric VaR</t>
  </si>
  <si>
    <t xml:space="preserve">normal approximation</t>
  </si>
  <si>
    <t xml:space="preserve">realized peak-to-trough</t>
  </si>
  <si>
    <t xml:space="preserve">Drawdown limit</t>
  </si>
  <si>
    <t xml:space="preserve">approved risk limit</t>
  </si>
  <si>
    <t xml:space="preserve">Drawdown status</t>
  </si>
  <si>
    <t xml:space="preserve">status</t>
  </si>
  <si>
    <t xml:space="preserve">limit test</t>
  </si>
  <si>
    <t xml:space="preserve">Annualized net volatility</t>
  </si>
  <si>
    <t xml:space="preserve">realized</t>
  </si>
  <si>
    <t xml:space="preserve">Volatility target</t>
  </si>
  <si>
    <t xml:space="preserve">approved target</t>
  </si>
  <si>
    <t xml:space="preserve">Volatility scaling</t>
  </si>
  <si>
    <t xml:space="preserve">x</t>
  </si>
  <si>
    <t xml:space="preserve">target / realized</t>
  </si>
  <si>
    <t xml:space="preserve">Strategy Stress Scenarios</t>
  </si>
  <si>
    <t xml:space="preserve">Scenario</t>
  </si>
  <si>
    <t xml:space="preserve">Return shock</t>
  </si>
  <si>
    <t xml:space="preserve">Turnover multiplier</t>
  </si>
  <si>
    <t xml:space="preserve">Liquidity multiplier</t>
  </si>
  <si>
    <t xml:space="preserve">Cost shock</t>
  </si>
  <si>
    <t xml:space="preserve">Estimated P&amp;L</t>
  </si>
  <si>
    <t xml:space="preserve">Equity selloff / beta shock</t>
  </si>
  <si>
    <t xml:space="preserve">Volatility spike</t>
  </si>
  <si>
    <t xml:space="preserve">Crowded unwind</t>
  </si>
  <si>
    <t xml:space="preserve">Liquidity freeze</t>
  </si>
  <si>
    <t xml:space="preserve">Model decay</t>
  </si>
  <si>
    <t xml:space="preserve">Research and Model Checks</t>
  </si>
  <si>
    <t xml:space="preserve">Check</t>
  </si>
  <si>
    <t xml:space="preserve">Signal lag is positive</t>
  </si>
  <si>
    <t xml:space="preserve">Publication lag control enabled</t>
  </si>
  <si>
    <t xml:space="preserve">Transaction costs included</t>
  </si>
  <si>
    <t xml:space="preserve">No participation breach</t>
  </si>
  <si>
    <t xml:space="preserve">Gross return exceeds or equals net</t>
  </si>
  <si>
    <t xml:space="preserve">Walk-forward tests populated</t>
  </si>
  <si>
    <t xml:space="preserve">No drawdown breach</t>
  </si>
  <si>
    <t xml:space="preserve">All returns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</si>
  <si>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</si>
  <si>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</si>
  <si>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</si>
  <si>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</si>
  <si>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</si>
  <si>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Point-in-time market and fundamental data</t>
  </si>
  <si>
    <t xml:space="preserve">[dataset URL / manifest]</t>
  </si>
  <si>
    <t xml:space="preserve">[as-of]</t>
  </si>
  <si>
    <t xml:space="preserve">Document revisions, survivorship, and publication lag</t>
  </si>
  <si>
    <t xml:space="preserve">Corporate actions and universe membership</t>
  </si>
  <si>
    <t xml:space="preserve">[dataset URL]</t>
  </si>
  <si>
    <t xml:space="preserve">Split, dividend, delisting, and constituent history</t>
  </si>
  <si>
    <t xml:space="preserve">Execution and transaction-cost data</t>
  </si>
  <si>
    <t xml:space="preserve">[broker / venue source]</t>
  </si>
  <si>
    <t xml:space="preserve">[period]</t>
  </si>
  <si>
    <t xml:space="preserve">Spreads, fees, impact, and borrow</t>
  </si>
  <si>
    <t xml:space="preserve">Risk-free benchmark</t>
  </si>
  <si>
    <t xml:space="preserve">https://fred.stlouisfed.org/</t>
  </si>
  <si>
    <t xml:space="preserve">Record series ID and compounding</t>
  </si>
  <si>
    <t xml:space="preserve">Live-monitoring comparison</t>
  </si>
  <si>
    <t xml:space="preserve">[production report URL]</t>
  </si>
  <si>
    <t xml:space="preserve">Backtest-to-live degradation and incidents</t>
  </si>
  <si>
    <t xml:space="preserve">Finance-Segway benchmark fixture quant-adversarial-capacity</t>
  </si>
  <si>
    <t xml:space="preserve">repo://standards/benchmark_cases/quant-adversarial-capacity.json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</si>
  <si>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</si>
  <si>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</si>
  <si>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</si>
  <si>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</si>
  <si>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</si>
  <si>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</si>
  <si>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</si>
  <si>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</si>
  <si>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quant-adversarial-capacity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</si>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</sst>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%;[RED]\(0.00%\);\-"/>
    <numFmt numFmtId="167" formatCode="0.0"/>
    <numFmt numFmtId="168" formatCode="0.0000"/>
    <numFmt numFmtId="169" formatCode="\$#,##0.0;[RED]&quot;($&quot;#,##0.0\);\-"/>
    <numFmt numFmtId="170" formatCode="0.0%;[RED]\(0.0%\);\-"/>
    <numFmt numFmtId="171" formatCode="0.0000\x"/>
    <numFmt numFmtId="172" formatCode="0.0\x;[RED]\(0.0&quot;x)&quot;;\-"/>
    <numFmt numFmtId="173" formatCode="0.0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115</v>
      </c>
      <c r="D6" s="1" t="s">
        <v>116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117</v>
      </c>
      <c r="C7" s="1" t="s">
        <v>118</v>
      </c>
      <c r="D7" s="1" t="s">
        <v>119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120</v>
      </c>
      <c r="C8" s="1" t="s">
        <v>121</v>
      </c>
      <c r="D8" s="1" t="s">
        <v>122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4"/>
  </cols>
  <sheetData>
    <row r="2" customFormat="false" ht="27.75" hidden="false" customHeight="true" outlineLevel="0" collapsed="false">
      <c r="B2" s="2" t="s">
        <v>123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124</v>
      </c>
      <c r="C4" s="16" t="s">
        <v>125</v>
      </c>
      <c r="D4" s="16" t="s">
        <v>12</v>
      </c>
      <c r="E4" s="16" t="s">
        <v>126</v>
      </c>
      <c r="F4" s="16" t="s">
        <v>127</v>
      </c>
    </row>
    <row r="5" customFormat="false" ht="15" hidden="false" customHeight="true" outlineLevel="0" collapsed="false">
      <c r="B5" s="1" t="s">
        <v>128</v>
      </c>
      <c r="C5" s="17" t="n">
        <v>12</v>
      </c>
      <c r="D5" s="17" t="n">
        <v>12</v>
      </c>
      <c r="E5" s="18" t="n">
        <f aca="false">IF(Cover!$C$9="Downside",D5,C5)</f>
        <v>12</v>
      </c>
      <c r="F5" s="1" t="s">
        <v>129</v>
      </c>
    </row>
    <row r="6" customFormat="false" ht="15" hidden="false" customHeight="true" outlineLevel="0" collapsed="false">
      <c r="B6" s="1" t="s">
        <v>130</v>
      </c>
      <c r="C6" s="19" t="n">
        <v>0.002</v>
      </c>
      <c r="D6" s="19" t="n">
        <v>0.002</v>
      </c>
      <c r="E6" s="20" t="n">
        <f aca="false">IF(Cover!$C$9="Downside",D6,C6)</f>
        <v>0.002</v>
      </c>
      <c r="F6" s="1" t="s">
        <v>131</v>
      </c>
    </row>
    <row r="7" customFormat="false" ht="15" hidden="false" customHeight="true" outlineLevel="0" collapsed="false">
      <c r="B7" s="1" t="s">
        <v>132</v>
      </c>
      <c r="C7" s="21" t="n">
        <v>8</v>
      </c>
      <c r="D7" s="22" t="n">
        <v>25</v>
      </c>
      <c r="E7" s="23" t="n">
        <f aca="false">IF(Cover!$C$9="Downside",D7,C7)</f>
        <v>25</v>
      </c>
      <c r="F7" s="1" t="s">
        <v>133</v>
      </c>
    </row>
    <row r="8" customFormat="false" ht="15" hidden="false" customHeight="true" outlineLevel="0" collapsed="false">
      <c r="B8" s="1" t="s">
        <v>134</v>
      </c>
      <c r="C8" s="24" t="n">
        <v>0.002</v>
      </c>
      <c r="D8" s="25" t="n">
        <v>0.015</v>
      </c>
      <c r="E8" s="26" t="n">
        <f aca="false">IF(Cover!$C$9="Downside",D8,C8)</f>
        <v>0.015</v>
      </c>
      <c r="F8" s="1" t="s">
        <v>135</v>
      </c>
    </row>
    <row r="9" customFormat="false" ht="15" hidden="false" customHeight="true" outlineLevel="0" collapsed="false">
      <c r="B9" s="1" t="s">
        <v>136</v>
      </c>
      <c r="C9" s="27" t="n">
        <v>50</v>
      </c>
      <c r="D9" s="28" t="n">
        <v>300</v>
      </c>
      <c r="E9" s="29" t="n">
        <f aca="false">IF(Cover!$C$9="Downside",D9,C9)</f>
        <v>300</v>
      </c>
      <c r="F9" s="1" t="s">
        <v>137</v>
      </c>
    </row>
    <row r="10" customFormat="false" ht="15" hidden="false" customHeight="true" outlineLevel="0" collapsed="false">
      <c r="B10" s="1" t="s">
        <v>138</v>
      </c>
      <c r="C10" s="27" t="n">
        <v>500</v>
      </c>
      <c r="D10" s="28" t="n">
        <v>100</v>
      </c>
      <c r="E10" s="29" t="n">
        <f aca="false">IF(Cover!$C$9="Downside",D10,C10)</f>
        <v>100</v>
      </c>
      <c r="F10" s="1" t="s">
        <v>137</v>
      </c>
    </row>
    <row r="11" customFormat="false" ht="15" hidden="false" customHeight="true" outlineLevel="0" collapsed="false">
      <c r="B11" s="1" t="s">
        <v>139</v>
      </c>
      <c r="C11" s="30" t="n">
        <v>0.1</v>
      </c>
      <c r="D11" s="30" t="n">
        <v>0.08</v>
      </c>
      <c r="E11" s="31" t="n">
        <f aca="false">IF(Cover!$C$9="Downside",D11,C11)</f>
        <v>0.08</v>
      </c>
      <c r="F11" s="1" t="s">
        <v>140</v>
      </c>
    </row>
    <row r="12" customFormat="false" ht="15" hidden="false" customHeight="true" outlineLevel="0" collapsed="false">
      <c r="B12" s="1" t="s">
        <v>141</v>
      </c>
      <c r="C12" s="17" t="n">
        <v>24</v>
      </c>
      <c r="D12" s="17" t="n">
        <v>24</v>
      </c>
      <c r="E12" s="18" t="n">
        <f aca="false">IF(Cover!$C$9="Downside",D12,C12)</f>
        <v>24</v>
      </c>
      <c r="F12" s="1" t="s">
        <v>129</v>
      </c>
    </row>
    <row r="13" customFormat="false" ht="15" hidden="false" customHeight="true" outlineLevel="0" collapsed="false">
      <c r="B13" s="1" t="s">
        <v>142</v>
      </c>
      <c r="C13" s="17" t="n">
        <v>6</v>
      </c>
      <c r="D13" s="17" t="n">
        <v>6</v>
      </c>
      <c r="E13" s="18" t="n">
        <f aca="false">IF(Cover!$C$9="Downside",D13,C13)</f>
        <v>6</v>
      </c>
      <c r="F13" s="1" t="s">
        <v>129</v>
      </c>
    </row>
    <row r="14" customFormat="false" ht="15" hidden="false" customHeight="true" outlineLevel="0" collapsed="false">
      <c r="B14" s="1" t="s">
        <v>143</v>
      </c>
      <c r="C14" s="17" t="n">
        <v>6</v>
      </c>
      <c r="D14" s="17" t="n">
        <v>6</v>
      </c>
      <c r="E14" s="18" t="n">
        <f aca="false">IF(Cover!$C$9="Downside",D14,C14)</f>
        <v>6</v>
      </c>
      <c r="F14" s="1" t="s">
        <v>129</v>
      </c>
    </row>
    <row r="15" customFormat="false" ht="15" hidden="false" customHeight="true" outlineLevel="0" collapsed="false">
      <c r="B15" s="1" t="s">
        <v>144</v>
      </c>
      <c r="C15" s="30" t="n">
        <v>0.95</v>
      </c>
      <c r="D15" s="30" t="n">
        <v>0.99</v>
      </c>
      <c r="E15" s="31" t="n">
        <f aca="false">IF(Cover!$C$9="Downside",D15,C15)</f>
        <v>0.99</v>
      </c>
      <c r="F15" s="1" t="s">
        <v>131</v>
      </c>
    </row>
    <row r="16" customFormat="false" ht="15" hidden="false" customHeight="true" outlineLevel="0" collapsed="false">
      <c r="B16" s="1" t="s">
        <v>145</v>
      </c>
      <c r="C16" s="30" t="n">
        <v>0.12</v>
      </c>
      <c r="D16" s="30" t="n">
        <v>0.1</v>
      </c>
      <c r="E16" s="31" t="n">
        <f aca="false">IF(Cover!$C$9="Downside",D16,C16)</f>
        <v>0.1</v>
      </c>
      <c r="F16" s="1" t="s">
        <v>146</v>
      </c>
    </row>
    <row r="17" customFormat="false" ht="15" hidden="false" customHeight="true" outlineLevel="0" collapsed="false">
      <c r="B17" s="1" t="s">
        <v>147</v>
      </c>
      <c r="C17" s="30" t="n">
        <v>-0.2</v>
      </c>
      <c r="D17" s="30" t="n">
        <v>-0.15</v>
      </c>
      <c r="E17" s="31" t="n">
        <f aca="false">IF(Cover!$C$9="Downside",D17,C17)</f>
        <v>-0.15</v>
      </c>
      <c r="F17" s="1" t="s">
        <v>131</v>
      </c>
    </row>
    <row r="18" customFormat="false" ht="15" hidden="false" customHeight="true" outlineLevel="0" collapsed="false">
      <c r="B18" s="1" t="s">
        <v>148</v>
      </c>
      <c r="C18" s="17" t="n">
        <v>1</v>
      </c>
      <c r="D18" s="17" t="n">
        <v>1</v>
      </c>
      <c r="E18" s="18" t="n">
        <f aca="false">IF(Cover!$C$9="Downside",D18,C18)</f>
        <v>1</v>
      </c>
      <c r="F18" s="1" t="s">
        <v>129</v>
      </c>
    </row>
    <row r="19" customFormat="false" ht="15" hidden="false" customHeight="true" outlineLevel="0" collapsed="false">
      <c r="B19" s="1" t="s">
        <v>149</v>
      </c>
      <c r="C19" s="17" t="n">
        <v>1</v>
      </c>
      <c r="D19" s="17" t="n">
        <v>1</v>
      </c>
      <c r="E19" s="18" t="n">
        <f aca="false">IF(Cover!$C$9="Downside",D19,C19)</f>
        <v>1</v>
      </c>
      <c r="F19" s="1" t="s">
        <v>150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10" min="9" style="1" width="16"/>
    <col collapsed="false" customWidth="true" hidden="false" outlineLevel="0" max="12" min="11" style="1" width="14"/>
  </cols>
  <sheetData>
    <row r="2" customFormat="false" ht="27.7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</row>
    <row r="5" customFormat="false" ht="15" hidden="false" customHeight="true" outlineLevel="0" collapsed="false">
      <c r="B5" s="1" t="n">
        <v>1</v>
      </c>
      <c r="C5" s="19" t="n">
        <v>0.0118652159242335</v>
      </c>
      <c r="D5" s="19" t="n">
        <v>0.279800399619259</v>
      </c>
      <c r="E5" s="32" t="n">
        <f aca="false">IF(AND(Assumptions!$E$18&gt;=1,Assumptions!$E$19=1),1,0)</f>
        <v>1</v>
      </c>
      <c r="F5" s="32" t="n">
        <f aca="false">ABS(D5)*Assumptions!$E$7/10000</f>
        <v>0.000699500999048148</v>
      </c>
      <c r="G5" s="32" t="n">
        <f aca="false">Assumptions!$E$8*(ABS(D5)*Assumptions!$E$9/Assumptions!$E$10)^1.5</f>
        <v>0.0115357447201637</v>
      </c>
      <c r="H5" s="32" t="n">
        <f aca="false">IF(E5=1,C5-F5-G5,0)</f>
        <v>-0.000370029794978357</v>
      </c>
      <c r="I5" s="33" t="n">
        <f aca="false">1+H5</f>
        <v>0.999629970205022</v>
      </c>
      <c r="J5" s="33" t="n">
        <f aca="false">I5</f>
        <v>0.999629970205022</v>
      </c>
      <c r="K5" s="32" t="n">
        <f aca="false">IFERROR(I5/J5-1,0)</f>
        <v>0</v>
      </c>
      <c r="L5" s="32" t="n">
        <f aca="false">ABS(D5)*Assumptions!$E$9/Assumptions!$E$10</f>
        <v>0.839401198857777</v>
      </c>
    </row>
    <row r="6" customFormat="false" ht="15" hidden="false" customHeight="true" outlineLevel="0" collapsed="false">
      <c r="B6" s="1" t="n">
        <v>2</v>
      </c>
      <c r="C6" s="19" t="n">
        <v>0.0151772011235084</v>
      </c>
      <c r="D6" s="19" t="n">
        <v>0.308412751346298</v>
      </c>
      <c r="E6" s="32" t="n">
        <f aca="false">IF(AND(Assumptions!$E$18&gt;=1,Assumptions!$E$19=1),1,0)</f>
        <v>1</v>
      </c>
      <c r="F6" s="32" t="n">
        <f aca="false">ABS(D6)*Assumptions!$E$7/10000</f>
        <v>0.000771031878365745</v>
      </c>
      <c r="G6" s="32" t="n">
        <f aca="false">Assumptions!$E$8*(ABS(D6)*Assumptions!$E$9/Assumptions!$E$10)^1.5</f>
        <v>0.0133497037962009</v>
      </c>
      <c r="H6" s="32" t="n">
        <f aca="false">IF(E6=1,C6-F6-G6,0)</f>
        <v>0.00105646544894174</v>
      </c>
      <c r="I6" s="33" t="n">
        <f aca="false">I5*(1+H6)</f>
        <v>1.00068604473027</v>
      </c>
      <c r="J6" s="33" t="n">
        <f aca="false">MAX(J5,I6)</f>
        <v>1.00068604473027</v>
      </c>
      <c r="K6" s="32" t="n">
        <f aca="false">IFERROR(I6/J6-1,0)</f>
        <v>0</v>
      </c>
      <c r="L6" s="32" t="n">
        <f aca="false">ABS(D6)*Assumptions!$E$9/Assumptions!$E$10</f>
        <v>0.925238254038894</v>
      </c>
    </row>
    <row r="7" customFormat="false" ht="15" hidden="false" customHeight="true" outlineLevel="0" collapsed="false">
      <c r="B7" s="1" t="n">
        <v>3</v>
      </c>
      <c r="C7" s="19" t="n">
        <v>0.0175550139277398</v>
      </c>
      <c r="D7" s="19" t="n">
        <v>0.334696371009255</v>
      </c>
      <c r="E7" s="32" t="n">
        <f aca="false">IF(AND(Assumptions!$E$18&gt;=1,Assumptions!$E$19=1),1,0)</f>
        <v>1</v>
      </c>
      <c r="F7" s="32" t="n">
        <f aca="false">ABS(D7)*Assumptions!$E$7/10000</f>
        <v>0.000836740927523137</v>
      </c>
      <c r="G7" s="32" t="n">
        <f aca="false">Assumptions!$E$8*(ABS(D7)*Assumptions!$E$9/Assumptions!$E$10)^1.5</f>
        <v>0.0150920990338778</v>
      </c>
      <c r="H7" s="32" t="n">
        <f aca="false">IF(E7=1,C7-F7-G7,0)</f>
        <v>0.00162617396633883</v>
      </c>
      <c r="I7" s="33" t="n">
        <f aca="false">I6*(1+H7)</f>
        <v>1.00231333432469</v>
      </c>
      <c r="J7" s="33" t="n">
        <f aca="false">MAX(J6,I7)</f>
        <v>1.00231333432469</v>
      </c>
      <c r="K7" s="32" t="n">
        <f aca="false">IFERROR(I7/J7-1,0)</f>
        <v>0</v>
      </c>
      <c r="L7" s="32" t="n">
        <f aca="false">ABS(D7)*Assumptions!$E$9/Assumptions!$E$10</f>
        <v>1.00408911302777</v>
      </c>
    </row>
    <row r="8" customFormat="false" ht="15" hidden="false" customHeight="true" outlineLevel="0" collapsed="false">
      <c r="B8" s="1" t="n">
        <v>4</v>
      </c>
      <c r="C8" s="19" t="n">
        <v>0.0187100300968512</v>
      </c>
      <c r="D8" s="19" t="n">
        <v>0.357603413634928</v>
      </c>
      <c r="E8" s="32" t="n">
        <f aca="false">IF(AND(Assumptions!$E$18&gt;=1,Assumptions!$E$19=1),1,0)</f>
        <v>1</v>
      </c>
      <c r="F8" s="32" t="n">
        <f aca="false">ABS(D8)*Assumptions!$E$7/10000</f>
        <v>0.00089400853408732</v>
      </c>
      <c r="G8" s="32" t="n">
        <f aca="false">Assumptions!$E$8*(ABS(D8)*Assumptions!$E$9/Assumptions!$E$10)^1.5</f>
        <v>0.016667698076751</v>
      </c>
      <c r="H8" s="32" t="n">
        <f aca="false">IF(E8=1,C8-F8-G8,0)</f>
        <v>0.00114832348601292</v>
      </c>
      <c r="I8" s="33" t="n">
        <f aca="false">I7*(1+H8)</f>
        <v>1.00346431426684</v>
      </c>
      <c r="J8" s="33" t="n">
        <f aca="false">MAX(J7,I8)</f>
        <v>1.00346431426684</v>
      </c>
      <c r="K8" s="32" t="n">
        <f aca="false">IFERROR(I8/J8-1,0)</f>
        <v>0</v>
      </c>
      <c r="L8" s="32" t="n">
        <f aca="false">ABS(D8)*Assumptions!$E$9/Assumptions!$E$10</f>
        <v>1.07281024090478</v>
      </c>
    </row>
    <row r="9" customFormat="false" ht="15" hidden="false" customHeight="true" outlineLevel="0" collapsed="false">
      <c r="B9" s="1" t="n">
        <v>5</v>
      </c>
      <c r="C9" s="19" t="n">
        <v>0.00847826357322536</v>
      </c>
      <c r="D9" s="19" t="n">
        <v>0.376220647721185</v>
      </c>
      <c r="E9" s="32" t="n">
        <f aca="false">IF(AND(Assumptions!$E$18&gt;=1,Assumptions!$E$19=1),1,0)</f>
        <v>1</v>
      </c>
      <c r="F9" s="32" t="n">
        <f aca="false">ABS(D9)*Assumptions!$E$7/10000</f>
        <v>0.000940551619302963</v>
      </c>
      <c r="G9" s="32" t="n">
        <f aca="false">Assumptions!$E$8*(ABS(D9)*Assumptions!$E$9/Assumptions!$E$10)^1.5</f>
        <v>0.0179861032150614</v>
      </c>
      <c r="H9" s="32" t="n">
        <f aca="false">IF(E9=1,C9-F9-G9,0)</f>
        <v>-0.010448391261139</v>
      </c>
      <c r="I9" s="33" t="n">
        <f aca="false">I8*(1+H9)</f>
        <v>0.992979726494787</v>
      </c>
      <c r="J9" s="33" t="n">
        <f aca="false">MAX(J8,I9)</f>
        <v>1.00346431426684</v>
      </c>
      <c r="K9" s="32" t="n">
        <f aca="false">IFERROR(I9/J9-1,0)</f>
        <v>-0.0104483912611391</v>
      </c>
      <c r="L9" s="32" t="n">
        <f aca="false">ABS(D9)*Assumptions!$E$9/Assumptions!$E$10</f>
        <v>1.12866194316356</v>
      </c>
    </row>
    <row r="10" customFormat="false" ht="15" hidden="false" customHeight="true" outlineLevel="0" collapsed="false">
      <c r="B10" s="1" t="n">
        <v>6</v>
      </c>
      <c r="C10" s="19" t="n">
        <v>0.0168391695219598</v>
      </c>
      <c r="D10" s="19" t="n">
        <v>0.389805862895084</v>
      </c>
      <c r="E10" s="32" t="n">
        <f aca="false">IF(AND(Assumptions!$E$18&gt;=1,Assumptions!$E$19=1),1,0)</f>
        <v>1</v>
      </c>
      <c r="F10" s="32" t="n">
        <f aca="false">ABS(D10)*Assumptions!$E$7/10000</f>
        <v>0.00097451465723771</v>
      </c>
      <c r="G10" s="32" t="n">
        <f aca="false">Assumptions!$E$8*(ABS(D10)*Assumptions!$E$9/Assumptions!$E$10)^1.5</f>
        <v>0.0189690548108797</v>
      </c>
      <c r="H10" s="32" t="n">
        <f aca="false">IF(E10=1,C10-F10-G10,0)</f>
        <v>-0.00310439994615764</v>
      </c>
      <c r="I10" s="33" t="n">
        <f aca="false">I9*(1+H10)</f>
        <v>0.989897120285321</v>
      </c>
      <c r="J10" s="33" t="n">
        <f aca="false">MAX(J9,I10)</f>
        <v>1.00346431426684</v>
      </c>
      <c r="K10" s="32" t="n">
        <f aca="false">IFERROR(I10/J10-1,0)</f>
        <v>-0.0135203552220281</v>
      </c>
      <c r="L10" s="32" t="n">
        <f aca="false">ABS(D10)*Assumptions!$E$9/Assumptions!$E$10</f>
        <v>1.16941758868525</v>
      </c>
    </row>
    <row r="11" customFormat="false" ht="15" hidden="false" customHeight="true" outlineLevel="0" collapsed="false">
      <c r="B11" s="1" t="n">
        <v>7</v>
      </c>
      <c r="C11" s="19" t="n">
        <v>0.0139188444160687</v>
      </c>
      <c r="D11" s="19" t="n">
        <v>0.397817459498269</v>
      </c>
      <c r="E11" s="32" t="n">
        <f aca="false">IF(AND(Assumptions!$E$18&gt;=1,Assumptions!$E$19=1),1,0)</f>
        <v>1</v>
      </c>
      <c r="F11" s="32" t="n">
        <f aca="false">ABS(D11)*Assumptions!$E$7/10000</f>
        <v>0.000994543648745673</v>
      </c>
      <c r="G11" s="32" t="n">
        <f aca="false">Assumptions!$E$8*(ABS(D11)*Assumptions!$E$9/Assumptions!$E$10)^1.5</f>
        <v>0.01955684981099</v>
      </c>
      <c r="H11" s="32" t="n">
        <f aca="false">IF(E11=1,C11-F11-G11,0)</f>
        <v>-0.00663254904366701</v>
      </c>
      <c r="I11" s="33" t="n">
        <f aca="false">I10*(1+H11)</f>
        <v>0.983331579086844</v>
      </c>
      <c r="J11" s="33" t="n">
        <f aca="false">MAX(J10,I11)</f>
        <v>1.00346431426684</v>
      </c>
      <c r="K11" s="32" t="n">
        <f aca="false">IFERROR(I11/J11-1,0)</f>
        <v>-0.0200632298465973</v>
      </c>
      <c r="L11" s="32" t="n">
        <f aca="false">ABS(D11)*Assumptions!$E$9/Assumptions!$E$10</f>
        <v>1.19345237849481</v>
      </c>
    </row>
    <row r="12" customFormat="false" ht="15" hidden="false" customHeight="true" outlineLevel="0" collapsed="false">
      <c r="B12" s="1" t="n">
        <v>8</v>
      </c>
      <c r="C12" s="19" t="n">
        <v>0.00997725176355615</v>
      </c>
      <c r="D12" s="19" t="n">
        <v>0.399936040456226</v>
      </c>
      <c r="E12" s="32" t="n">
        <f aca="false">IF(AND(Assumptions!$E$18&gt;=1,Assumptions!$E$19=1),1,0)</f>
        <v>1</v>
      </c>
      <c r="F12" s="32" t="n">
        <f aca="false">ABS(D12)*Assumptions!$E$7/10000</f>
        <v>0.000999840101140565</v>
      </c>
      <c r="G12" s="32" t="n">
        <f aca="false">Assumptions!$E$8*(ABS(D12)*Assumptions!$E$9/Assumptions!$E$10)^1.5</f>
        <v>0.0197132829277842</v>
      </c>
      <c r="H12" s="32" t="n">
        <f aca="false">IF(E12=1,C12-F12-G12,0)</f>
        <v>-0.0107358712653686</v>
      </c>
      <c r="I12" s="33" t="n">
        <f aca="false">I11*(1+H12)</f>
        <v>0.972774657842596</v>
      </c>
      <c r="J12" s="33" t="n">
        <f aca="false">MAX(J11,I12)</f>
        <v>1.00346431426684</v>
      </c>
      <c r="K12" s="32" t="n">
        <f aca="false">IFERROR(I12/J12-1,0)</f>
        <v>-0.0305837048591653</v>
      </c>
      <c r="L12" s="32" t="n">
        <f aca="false">ABS(D12)*Assumptions!$E$9/Assumptions!$E$10</f>
        <v>1.19980812136868</v>
      </c>
    </row>
    <row r="13" customFormat="false" ht="15" hidden="false" customHeight="true" outlineLevel="0" collapsed="false">
      <c r="B13" s="1" t="n">
        <v>9</v>
      </c>
      <c r="C13" s="19" t="n">
        <v>0.00538085718888648</v>
      </c>
      <c r="D13" s="19" t="n">
        <v>0.396077144631729</v>
      </c>
      <c r="E13" s="32" t="n">
        <f aca="false">IF(AND(Assumptions!$E$18&gt;=1,Assumptions!$E$19=1),1,0)</f>
        <v>1</v>
      </c>
      <c r="F13" s="32" t="n">
        <f aca="false">ABS(D13)*Assumptions!$E$7/10000</f>
        <v>0.000990192861579322</v>
      </c>
      <c r="G13" s="32" t="n">
        <f aca="false">Assumptions!$E$8*(ABS(D13)*Assumptions!$E$9/Assumptions!$E$10)^1.5</f>
        <v>0.0194286585054257</v>
      </c>
      <c r="H13" s="32" t="n">
        <f aca="false">IF(E13=1,C13-F13-G13,0)</f>
        <v>-0.0150379941781185</v>
      </c>
      <c r="I13" s="33" t="n">
        <f aca="false">I12*(1+H13)</f>
        <v>0.958146078201338</v>
      </c>
      <c r="J13" s="33" t="n">
        <f aca="false">MAX(J12,I13)</f>
        <v>1.00346431426684</v>
      </c>
      <c r="K13" s="32" t="n">
        <f aca="false">IFERROR(I13/J13-1,0)</f>
        <v>-0.0451617814616663</v>
      </c>
      <c r="L13" s="32" t="n">
        <f aca="false">ABS(D13)*Assumptions!$E$9/Assumptions!$E$10</f>
        <v>1.18823143389519</v>
      </c>
    </row>
    <row r="14" customFormat="false" ht="15" hidden="false" customHeight="true" outlineLevel="0" collapsed="false">
      <c r="B14" s="1" t="n">
        <v>10</v>
      </c>
      <c r="C14" s="19" t="n">
        <v>-0.00943634017096778</v>
      </c>
      <c r="D14" s="19" t="n">
        <v>0.386394614023852</v>
      </c>
      <c r="E14" s="32" t="n">
        <f aca="false">IF(AND(Assumptions!$E$18&gt;=1,Assumptions!$E$19=1),1,0)</f>
        <v>1</v>
      </c>
      <c r="F14" s="32" t="n">
        <f aca="false">ABS(D14)*Assumptions!$E$7/10000</f>
        <v>0.00096598653505963</v>
      </c>
      <c r="G14" s="32" t="n">
        <f aca="false">Assumptions!$E$8*(ABS(D14)*Assumptions!$E$9/Assumptions!$E$10)^1.5</f>
        <v>0.0187205988558461</v>
      </c>
      <c r="H14" s="32" t="n">
        <f aca="false">IF(E14=1,C14-F14-G14,0)</f>
        <v>-0.0291229255618736</v>
      </c>
      <c r="I14" s="33" t="n">
        <f aca="false">I13*(1+H14)</f>
        <v>0.930242061288479</v>
      </c>
      <c r="J14" s="33" t="n">
        <f aca="false">MAX(J13,I14)</f>
        <v>1.00346431426684</v>
      </c>
      <c r="K14" s="32" t="n">
        <f aca="false">IFERROR(I14/J14-1,0)</f>
        <v>-0.0729694638237902</v>
      </c>
      <c r="L14" s="32" t="n">
        <f aca="false">ABS(D14)*Assumptions!$E$9/Assumptions!$E$10</f>
        <v>1.15918384207156</v>
      </c>
    </row>
    <row r="15" customFormat="false" ht="15" hidden="false" customHeight="true" outlineLevel="0" collapsed="false">
      <c r="B15" s="1" t="n">
        <v>11</v>
      </c>
      <c r="C15" s="19" t="n">
        <v>-0.00401911805060946</v>
      </c>
      <c r="D15" s="19" t="n">
        <v>0.371274460572939</v>
      </c>
      <c r="E15" s="32" t="n">
        <f aca="false">IF(AND(Assumptions!$E$18&gt;=1,Assumptions!$E$19=1),1,0)</f>
        <v>1</v>
      </c>
      <c r="F15" s="32" t="n">
        <f aca="false">ABS(D15)*Assumptions!$E$7/10000</f>
        <v>0.000928186151432348</v>
      </c>
      <c r="G15" s="32" t="n">
        <f aca="false">Assumptions!$E$8*(ABS(D15)*Assumptions!$E$9/Assumptions!$E$10)^1.5</f>
        <v>0.0176325756091752</v>
      </c>
      <c r="H15" s="32" t="n">
        <f aca="false">IF(E15=1,C15-F15-G15,0)</f>
        <v>-0.022579879811217</v>
      </c>
      <c r="I15" s="33" t="n">
        <f aca="false">I14*(1+H15)</f>
        <v>0.909237307349247</v>
      </c>
      <c r="J15" s="33" t="n">
        <f aca="false">MAX(J14,I15)</f>
        <v>1.00346431426684</v>
      </c>
      <c r="K15" s="32" t="n">
        <f aca="false">IFERROR(I15/J15-1,0)</f>
        <v>-0.0939017019119771</v>
      </c>
      <c r="L15" s="32" t="n">
        <f aca="false">ABS(D15)*Assumptions!$E$9/Assumptions!$E$10</f>
        <v>1.11382338171882</v>
      </c>
    </row>
    <row r="16" customFormat="false" ht="15" hidden="false" customHeight="true" outlineLevel="0" collapsed="false">
      <c r="B16" s="1" t="n">
        <v>12</v>
      </c>
      <c r="C16" s="19" t="n">
        <v>-0.00793961497619996</v>
      </c>
      <c r="D16" s="19" t="n">
        <v>0.351319477082673</v>
      </c>
      <c r="E16" s="32" t="n">
        <f aca="false">IF(AND(Assumptions!$E$18&gt;=1,Assumptions!$E$19=1),1,0)</f>
        <v>1</v>
      </c>
      <c r="F16" s="32" t="n">
        <f aca="false">ABS(D16)*Assumptions!$E$7/10000</f>
        <v>0.000878298692706683</v>
      </c>
      <c r="G16" s="32" t="n">
        <f aca="false">Assumptions!$E$8*(ABS(D16)*Assumptions!$E$9/Assumptions!$E$10)^1.5</f>
        <v>0.0162302975801419</v>
      </c>
      <c r="H16" s="32" t="n">
        <f aca="false">IF(E16=1,C16-F16-G16,0)</f>
        <v>-0.0250482112490486</v>
      </c>
      <c r="I16" s="33" t="n">
        <f aca="false">I15*(1+H16)</f>
        <v>0.886462539199247</v>
      </c>
      <c r="J16" s="33" t="n">
        <f aca="false">MAX(J15,I16)</f>
        <v>1.00346431426684</v>
      </c>
      <c r="K16" s="32" t="n">
        <f aca="false">IFERROR(I16/J16-1,0)</f>
        <v>-0.116597843494889</v>
      </c>
      <c r="L16" s="32" t="n">
        <f aca="false">ABS(D16)*Assumptions!$E$9/Assumptions!$E$10</f>
        <v>1.05395843124802</v>
      </c>
    </row>
    <row r="17" customFormat="false" ht="15" hidden="false" customHeight="true" outlineLevel="0" collapsed="false">
      <c r="B17" s="1" t="n">
        <v>13</v>
      </c>
      <c r="C17" s="19" t="n">
        <v>-0.0108428704725758</v>
      </c>
      <c r="D17" s="19" t="n">
        <v>0.32732520577322</v>
      </c>
      <c r="E17" s="32" t="n">
        <f aca="false">IF(AND(Assumptions!$E$18&gt;=1,Assumptions!$E$19=1),1,0)</f>
        <v>1</v>
      </c>
      <c r="F17" s="32" t="n">
        <f aca="false">ABS(D17)*Assumptions!$E$7/10000</f>
        <v>0.00081831301443305</v>
      </c>
      <c r="G17" s="32" t="n">
        <f aca="false">Assumptions!$E$8*(ABS(D17)*Assumptions!$E$9/Assumptions!$E$10)^1.5</f>
        <v>0.0145962843577221</v>
      </c>
      <c r="H17" s="32" t="n">
        <f aca="false">IF(E17=1,C17-F17-G17,0)</f>
        <v>-0.0262574678447309</v>
      </c>
      <c r="I17" s="33" t="n">
        <f aca="false">I16*(1+H17)</f>
        <v>0.863186277580664</v>
      </c>
      <c r="J17" s="33" t="n">
        <f aca="false">MAX(J16,I17)</f>
        <v>1.00346431426684</v>
      </c>
      <c r="K17" s="32" t="n">
        <f aca="false">IFERROR(I17/J17-1,0)</f>
        <v>-0.139793747213288</v>
      </c>
      <c r="L17" s="32" t="n">
        <f aca="false">ABS(D17)*Assumptions!$E$9/Assumptions!$E$10</f>
        <v>0.98197561731966</v>
      </c>
    </row>
    <row r="18" customFormat="false" ht="15" hidden="false" customHeight="true" outlineLevel="0" collapsed="false">
      <c r="B18" s="1" t="n">
        <v>14</v>
      </c>
      <c r="C18" s="19" t="n">
        <v>-0.012484340024458</v>
      </c>
      <c r="D18" s="19" t="n">
        <v>0.300248222523386</v>
      </c>
      <c r="E18" s="32" t="n">
        <f aca="false">IF(AND(Assumptions!$E$18&gt;=1,Assumptions!$E$19=1),1,0)</f>
        <v>1</v>
      </c>
      <c r="F18" s="32" t="n">
        <f aca="false">ABS(D18)*Assumptions!$E$7/10000</f>
        <v>0.000750620556308465</v>
      </c>
      <c r="G18" s="32" t="n">
        <f aca="false">Assumptions!$E$8*(ABS(D18)*Assumptions!$E$9/Assumptions!$E$10)^1.5</f>
        <v>0.01282312301913</v>
      </c>
      <c r="H18" s="32" t="n">
        <f aca="false">IF(E18=1,C18-F18-G18,0)</f>
        <v>-0.0260580835998965</v>
      </c>
      <c r="I18" s="33" t="n">
        <f aca="false">I17*(1+H18)</f>
        <v>0.840693297397184</v>
      </c>
      <c r="J18" s="33" t="n">
        <f aca="false">MAX(J17,I18)</f>
        <v>1.00346431426684</v>
      </c>
      <c r="K18" s="32" t="n">
        <f aca="false">IFERROR(I18/J18-1,0)</f>
        <v>-0.162209073661558</v>
      </c>
      <c r="L18" s="32" t="n">
        <f aca="false">ABS(D18)*Assumptions!$E$9/Assumptions!$E$10</f>
        <v>0.900744667570158</v>
      </c>
    </row>
    <row r="19" customFormat="false" ht="15" hidden="false" customHeight="true" outlineLevel="0" collapsed="false">
      <c r="B19" s="1" t="n">
        <v>15</v>
      </c>
      <c r="C19" s="19" t="n">
        <v>-0.0227552867239183</v>
      </c>
      <c r="D19" s="19" t="n">
        <v>0.27116800120898</v>
      </c>
      <c r="E19" s="32" t="n">
        <f aca="false">IF(AND(Assumptions!$E$18&gt;=1,Assumptions!$E$19=1),1,0)</f>
        <v>1</v>
      </c>
      <c r="F19" s="32" t="n">
        <f aca="false">ABS(D19)*Assumptions!$E$7/10000</f>
        <v>0.00067792000302245</v>
      </c>
      <c r="G19" s="32" t="n">
        <f aca="false">Assumptions!$E$8*(ABS(D19)*Assumptions!$E$9/Assumptions!$E$10)^1.5</f>
        <v>0.0110060327559669</v>
      </c>
      <c r="H19" s="32" t="n">
        <f aca="false">IF(E19=1,C19-F19-G19,0)</f>
        <v>-0.0344392394829077</v>
      </c>
      <c r="I19" s="33" t="n">
        <f aca="false">I18*(1+H19)</f>
        <v>0.811740459596447</v>
      </c>
      <c r="J19" s="33" t="n">
        <f aca="false">MAX(J18,I19)</f>
        <v>1.00346431426684</v>
      </c>
      <c r="K19" s="32" t="n">
        <f aca="false">IFERROR(I19/J19-1,0)</f>
        <v>-0.191061956010335</v>
      </c>
      <c r="L19" s="32" t="n">
        <f aca="false">ABS(D19)*Assumptions!$E$9/Assumptions!$E$10</f>
        <v>0.81350400362694</v>
      </c>
    </row>
    <row r="20" customFormat="false" ht="15" hidden="false" customHeight="true" outlineLevel="0" collapsed="false">
      <c r="B20" s="1" t="n">
        <v>16</v>
      </c>
      <c r="C20" s="19" t="n">
        <v>-0.011693285493763</v>
      </c>
      <c r="D20" s="19" t="n">
        <v>0.258756121514137</v>
      </c>
      <c r="E20" s="32" t="n">
        <f aca="false">IF(AND(Assumptions!$E$18&gt;=1,Assumptions!$E$19=1),1,0)</f>
        <v>1</v>
      </c>
      <c r="F20" s="32" t="n">
        <f aca="false">ABS(D20)*Assumptions!$E$7/10000</f>
        <v>0.000646890303785343</v>
      </c>
      <c r="G20" s="32" t="n">
        <f aca="false">Assumptions!$E$8*(ABS(D20)*Assumptions!$E$9/Assumptions!$E$10)^1.5</f>
        <v>0.0102590959222386</v>
      </c>
      <c r="H20" s="32" t="n">
        <f aca="false">IF(E20=1,C20-F20-G20,0)</f>
        <v>-0.022599271719787</v>
      </c>
      <c r="I20" s="33" t="n">
        <f aca="false">I19*(1+H20)</f>
        <v>0.793395716384082</v>
      </c>
      <c r="J20" s="33" t="n">
        <f aca="false">MAX(J19,I20)</f>
        <v>1.00346431426684</v>
      </c>
      <c r="K20" s="32" t="n">
        <f aca="false">IFERROR(I20/J20-1,0)</f>
        <v>-0.20934336667093</v>
      </c>
      <c r="L20" s="32" t="n">
        <f aca="false">ABS(D20)*Assumptions!$E$9/Assumptions!$E$10</f>
        <v>0.776268364542411</v>
      </c>
    </row>
    <row r="21" customFormat="false" ht="15" hidden="false" customHeight="true" outlineLevel="0" collapsed="false">
      <c r="B21" s="1" t="n">
        <v>17</v>
      </c>
      <c r="C21" s="19" t="n">
        <v>-0.00947671338935732</v>
      </c>
      <c r="D21" s="19" t="n">
        <v>0.288331165304025</v>
      </c>
      <c r="E21" s="32" t="n">
        <f aca="false">IF(AND(Assumptions!$E$18&gt;=1,Assumptions!$E$19=1),1,0)</f>
        <v>1</v>
      </c>
      <c r="F21" s="32" t="n">
        <f aca="false">ABS(D21)*Assumptions!$E$7/10000</f>
        <v>0.000720827913260063</v>
      </c>
      <c r="G21" s="32" t="n">
        <f aca="false">Assumptions!$E$8*(ABS(D21)*Assumptions!$E$9/Assumptions!$E$10)^1.5</f>
        <v>0.0120673114548311</v>
      </c>
      <c r="H21" s="32" t="n">
        <f aca="false">IF(E21=1,C21-F21-G21,0)</f>
        <v>-0.0222648527574485</v>
      </c>
      <c r="I21" s="33" t="n">
        <f aca="false">I20*(1+H21)</f>
        <v>0.7757308775804</v>
      </c>
      <c r="J21" s="33" t="n">
        <f aca="false">MAX(J20,I21)</f>
        <v>1.00346431426684</v>
      </c>
      <c r="K21" s="32" t="n">
        <f aca="false">IFERROR(I21/J21-1,0)</f>
        <v>-0.226947220193702</v>
      </c>
      <c r="L21" s="32" t="n">
        <f aca="false">ABS(D21)*Assumptions!$E$9/Assumptions!$E$10</f>
        <v>0.864993495912075</v>
      </c>
    </row>
    <row r="22" customFormat="false" ht="15" hidden="false" customHeight="true" outlineLevel="0" collapsed="false">
      <c r="B22" s="1" t="n">
        <v>18</v>
      </c>
      <c r="C22" s="19" t="n">
        <v>-0.0064038604974068</v>
      </c>
      <c r="D22" s="19" t="n">
        <v>0.316378066494228</v>
      </c>
      <c r="E22" s="32" t="n">
        <f aca="false">IF(AND(Assumptions!$E$18&gt;=1,Assumptions!$E$19=1),1,0)</f>
        <v>1</v>
      </c>
      <c r="F22" s="32" t="n">
        <f aca="false">ABS(D22)*Assumptions!$E$7/10000</f>
        <v>0.00079094516623557</v>
      </c>
      <c r="G22" s="32" t="n">
        <f aca="false">Assumptions!$E$8*(ABS(D22)*Assumptions!$E$9/Assumptions!$E$10)^1.5</f>
        <v>0.0138701990140403</v>
      </c>
      <c r="H22" s="32" t="n">
        <f aca="false">IF(E22=1,C22-F22-G22,0)</f>
        <v>-0.0210650046776827</v>
      </c>
      <c r="I22" s="33" t="n">
        <f aca="false">I21*(1+H22)</f>
        <v>0.759390103015546</v>
      </c>
      <c r="J22" s="33" t="n">
        <f aca="false">MAX(J21,I22)</f>
        <v>1.00346431426684</v>
      </c>
      <c r="K22" s="32" t="n">
        <f aca="false">IFERROR(I22/J22-1,0)</f>
        <v>-0.243231580616417</v>
      </c>
      <c r="L22" s="32" t="n">
        <f aca="false">ABS(D22)*Assumptions!$E$9/Assumptions!$E$10</f>
        <v>0.949134199482684</v>
      </c>
    </row>
    <row r="23" customFormat="false" ht="15" hidden="false" customHeight="true" outlineLevel="0" collapsed="false">
      <c r="B23" s="1" t="n">
        <v>19</v>
      </c>
      <c r="C23" s="19" t="n">
        <v>-0.00285898654454352</v>
      </c>
      <c r="D23" s="19" t="n">
        <v>0.341778683641408</v>
      </c>
      <c r="E23" s="32" t="n">
        <f aca="false">IF(AND(Assumptions!$E$18&gt;=1,Assumptions!$E$19=1),1,0)</f>
        <v>1</v>
      </c>
      <c r="F23" s="32" t="n">
        <f aca="false">ABS(D23)*Assumptions!$E$7/10000</f>
        <v>0.00085444670910352</v>
      </c>
      <c r="G23" s="32" t="n">
        <f aca="false">Assumptions!$E$8*(ABS(D23)*Assumptions!$E$9/Assumptions!$E$10)^1.5</f>
        <v>0.0155736568162768</v>
      </c>
      <c r="H23" s="32" t="n">
        <f aca="false">IF(E23=1,C23-F23-G23,0)</f>
        <v>-0.0192870900699238</v>
      </c>
      <c r="I23" s="33" t="n">
        <f aca="false">I22*(1+H23)</f>
        <v>0.744743677700476</v>
      </c>
      <c r="J23" s="33" t="n">
        <f aca="false">MAX(J22,I23)</f>
        <v>1.00346431426684</v>
      </c>
      <c r="K23" s="32" t="n">
        <f aca="false">IFERROR(I23/J23-1,0)</f>
        <v>-0.257827441283142</v>
      </c>
      <c r="L23" s="32" t="n">
        <f aca="false">ABS(D23)*Assumptions!$E$9/Assumptions!$E$10</f>
        <v>1.02533605092422</v>
      </c>
    </row>
    <row r="24" customFormat="false" ht="15" hidden="false" customHeight="true" outlineLevel="0" collapsed="false">
      <c r="B24" s="1" t="n">
        <v>20</v>
      </c>
      <c r="C24" s="19" t="n">
        <v>-0.0092690824404773</v>
      </c>
      <c r="D24" s="19" t="n">
        <v>0.363520374296189</v>
      </c>
      <c r="E24" s="32" t="n">
        <f aca="false">IF(AND(Assumptions!$E$18&gt;=1,Assumptions!$E$19=1),1,0)</f>
        <v>1</v>
      </c>
      <c r="F24" s="32" t="n">
        <f aca="false">ABS(D24)*Assumptions!$E$7/10000</f>
        <v>0.000908800935740473</v>
      </c>
      <c r="G24" s="32" t="n">
        <f aca="false">Assumptions!$E$8*(ABS(D24)*Assumptions!$E$9/Assumptions!$E$10)^1.5</f>
        <v>0.0170830840019395</v>
      </c>
      <c r="H24" s="32" t="n">
        <f aca="false">IF(E24=1,C24-F24-G24,0)</f>
        <v>-0.0272609673781573</v>
      </c>
      <c r="I24" s="33" t="n">
        <f aca="false">I23*(1+H24)</f>
        <v>0.724441244597595</v>
      </c>
      <c r="J24" s="33" t="n">
        <f aca="false">MAX(J23,I24)</f>
        <v>1.00346431426684</v>
      </c>
      <c r="K24" s="32" t="n">
        <f aca="false">IFERROR(I24/J24-1,0)</f>
        <v>-0.278059783195286</v>
      </c>
      <c r="L24" s="32" t="n">
        <f aca="false">ABS(D24)*Assumptions!$E$9/Assumptions!$E$10</f>
        <v>1.09056112288857</v>
      </c>
    </row>
    <row r="25" customFormat="false" ht="15" hidden="false" customHeight="true" outlineLevel="0" collapsed="false">
      <c r="B25" s="1" t="n">
        <v>21</v>
      </c>
      <c r="C25" s="19" t="n">
        <v>0.0039438842050228</v>
      </c>
      <c r="D25" s="19" t="n">
        <v>0.380736365862038</v>
      </c>
      <c r="E25" s="32" t="n">
        <f aca="false">IF(AND(Assumptions!$E$18&gt;=1,Assumptions!$E$19=1),1,0)</f>
        <v>1</v>
      </c>
      <c r="F25" s="32" t="n">
        <f aca="false">ABS(D25)*Assumptions!$E$7/10000</f>
        <v>0.000951840914655095</v>
      </c>
      <c r="G25" s="32" t="n">
        <f aca="false">Assumptions!$E$8*(ABS(D25)*Assumptions!$E$9/Assumptions!$E$10)^1.5</f>
        <v>0.0183108996050824</v>
      </c>
      <c r="H25" s="32" t="n">
        <f aca="false">IF(E25=1,C25-F25-G25,0)</f>
        <v>-0.0153188563147147</v>
      </c>
      <c r="I25" s="33" t="n">
        <f aca="false">I24*(1+H25)</f>
        <v>0.713343633263151</v>
      </c>
      <c r="J25" s="33" t="n">
        <f aca="false">MAX(J24,I25)</f>
        <v>1.00346431426684</v>
      </c>
      <c r="K25" s="32" t="n">
        <f aca="false">IFERROR(I25/J25-1,0)</f>
        <v>-0.289119081644331</v>
      </c>
      <c r="L25" s="32" t="n">
        <f aca="false">ABS(D25)*Assumptions!$E$9/Assumptions!$E$10</f>
        <v>1.14220909758611</v>
      </c>
    </row>
    <row r="26" customFormat="false" ht="15" hidden="false" customHeight="true" outlineLevel="0" collapsed="false">
      <c r="B26" s="1" t="n">
        <v>22</v>
      </c>
      <c r="C26" s="19" t="n">
        <v>0.00640996723222435</v>
      </c>
      <c r="D26" s="19" t="n">
        <v>0.392740311083427</v>
      </c>
      <c r="E26" s="32" t="n">
        <f aca="false">IF(AND(Assumptions!$E$18&gt;=1,Assumptions!$E$19=1),1,0)</f>
        <v>1</v>
      </c>
      <c r="F26" s="32" t="n">
        <f aca="false">ABS(D26)*Assumptions!$E$7/10000</f>
        <v>0.000981850777708568</v>
      </c>
      <c r="G26" s="32" t="n">
        <f aca="false">Assumptions!$E$8*(ABS(D26)*Assumptions!$E$9/Assumptions!$E$10)^1.5</f>
        <v>0.0191836552369984</v>
      </c>
      <c r="H26" s="32" t="n">
        <f aca="false">IF(E26=1,C26-F26-G26,0)</f>
        <v>-0.0137555387824827</v>
      </c>
      <c r="I26" s="33" t="n">
        <f aca="false">I25*(1+H26)</f>
        <v>0.703531207250563</v>
      </c>
      <c r="J26" s="33" t="n">
        <f aca="false">MAX(J25,I26)</f>
        <v>1.00346431426684</v>
      </c>
      <c r="K26" s="32" t="n">
        <f aca="false">IFERROR(I26/J26-1,0)</f>
        <v>-0.2988976316865</v>
      </c>
      <c r="L26" s="32" t="n">
        <f aca="false">ABS(D26)*Assumptions!$E$9/Assumptions!$E$10</f>
        <v>1.17822093325028</v>
      </c>
    </row>
    <row r="27" customFormat="false" ht="15" hidden="false" customHeight="true" outlineLevel="0" collapsed="false">
      <c r="B27" s="1" t="n">
        <v>23</v>
      </c>
      <c r="C27" s="19" t="n">
        <v>0.00785229879394966</v>
      </c>
      <c r="D27" s="19" t="n">
        <v>0.39905365054502</v>
      </c>
      <c r="E27" s="32" t="n">
        <f aca="false">IF(AND(Assumptions!$E$18&gt;=1,Assumptions!$E$19=1),1,0)</f>
        <v>1</v>
      </c>
      <c r="F27" s="32" t="n">
        <f aca="false">ABS(D27)*Assumptions!$E$7/10000</f>
        <v>0.00099763412636255</v>
      </c>
      <c r="G27" s="32" t="n">
        <f aca="false">Assumptions!$E$8*(ABS(D27)*Assumptions!$E$9/Assumptions!$E$10)^1.5</f>
        <v>0.019648077987401</v>
      </c>
      <c r="H27" s="32" t="n">
        <f aca="false">IF(E27=1,C27-F27-G27,0)</f>
        <v>-0.0127934133198138</v>
      </c>
      <c r="I27" s="33" t="n">
        <f aca="false">I26*(1+H27)</f>
        <v>0.694530641732819</v>
      </c>
      <c r="J27" s="33" t="n">
        <f aca="false">MAX(J26,I27)</f>
        <v>1.00346431426684</v>
      </c>
      <c r="K27" s="32" t="n">
        <f aca="false">IFERROR(I27/J27-1,0)</f>
        <v>-0.307867124063835</v>
      </c>
      <c r="L27" s="32" t="n">
        <f aca="false">ABS(D27)*Assumptions!$E$9/Assumptions!$E$10</f>
        <v>1.19716095163506</v>
      </c>
    </row>
    <row r="28" customFormat="false" ht="15" hidden="false" customHeight="true" outlineLevel="0" collapsed="false">
      <c r="B28" s="1" t="n">
        <v>24</v>
      </c>
      <c r="C28" s="19" t="n">
        <v>0.00811767839814802</v>
      </c>
      <c r="D28" s="19" t="n">
        <v>0.399424691325376</v>
      </c>
      <c r="E28" s="32" t="n">
        <f aca="false">IF(AND(Assumptions!$E$18&gt;=1,Assumptions!$E$19=1),1,0)</f>
        <v>1</v>
      </c>
      <c r="F28" s="32" t="n">
        <f aca="false">ABS(D28)*Assumptions!$E$7/10000</f>
        <v>0.00099856172831344</v>
      </c>
      <c r="G28" s="32" t="n">
        <f aca="false">Assumptions!$E$8*(ABS(D28)*Assumptions!$E$9/Assumptions!$E$10)^1.5</f>
        <v>0.0196754875820839</v>
      </c>
      <c r="H28" s="32" t="n">
        <f aca="false">IF(E28=1,C28-F28-G28,0)</f>
        <v>-0.0125563709122494</v>
      </c>
      <c r="I28" s="33" t="n">
        <f aca="false">I27*(1+H28)</f>
        <v>0.685809857385299</v>
      </c>
      <c r="J28" s="33" t="n">
        <f aca="false">MAX(J27,I28)</f>
        <v>1.00346431426684</v>
      </c>
      <c r="K28" s="32" t="n">
        <f aca="false">IFERROR(I28/J28-1,0)</f>
        <v>-0.316557801174651</v>
      </c>
      <c r="L28" s="32" t="n">
        <f aca="false">ABS(D28)*Assumptions!$E$9/Assumptions!$E$10</f>
        <v>1.19827407397613</v>
      </c>
    </row>
    <row r="29" customFormat="false" ht="15" hidden="false" customHeight="true" outlineLevel="0" collapsed="false">
      <c r="B29" s="1" t="n">
        <v>25</v>
      </c>
      <c r="C29" s="19" t="n">
        <v>-0.00280667553386828</v>
      </c>
      <c r="D29" s="19" t="n">
        <v>0.393838641199471</v>
      </c>
      <c r="E29" s="32" t="n">
        <f aca="false">IF(AND(Assumptions!$E$18&gt;=1,Assumptions!$E$19=1),1,0)</f>
        <v>1</v>
      </c>
      <c r="F29" s="32" t="n">
        <f aca="false">ABS(D29)*Assumptions!$E$7/10000</f>
        <v>0.000984596602998677</v>
      </c>
      <c r="G29" s="32" t="n">
        <f aca="false">Assumptions!$E$8*(ABS(D29)*Assumptions!$E$9/Assumptions!$E$10)^1.5</f>
        <v>0.0192641844434862</v>
      </c>
      <c r="H29" s="32" t="n">
        <f aca="false">IF(E29=1,C29-F29-G29,0)</f>
        <v>-0.0230554565803532</v>
      </c>
      <c r="I29" s="33" t="n">
        <f aca="false">I28*(1+H29)</f>
        <v>0.669998197995974</v>
      </c>
      <c r="J29" s="33" t="n">
        <f aca="false">MAX(J28,I29)</f>
        <v>1.00346431426684</v>
      </c>
      <c r="K29" s="32" t="n">
        <f aca="false">IFERROR(I29/J29-1,0)</f>
        <v>-0.33231487311485</v>
      </c>
      <c r="L29" s="32" t="n">
        <f aca="false">ABS(D29)*Assumptions!$E$9/Assumptions!$E$10</f>
        <v>1.18151592359841</v>
      </c>
    </row>
    <row r="30" customFormat="false" ht="15" hidden="false" customHeight="true" outlineLevel="0" collapsed="false">
      <c r="B30" s="1" t="n">
        <v>26</v>
      </c>
      <c r="C30" s="19" t="n">
        <v>0.0052079466088486</v>
      </c>
      <c r="D30" s="19" t="n">
        <v>0.382518198358023</v>
      </c>
      <c r="E30" s="32" t="n">
        <f aca="false">IF(AND(Assumptions!$E$18&gt;=1,Assumptions!$E$19=1),1,0)</f>
        <v>1</v>
      </c>
      <c r="F30" s="32" t="n">
        <f aca="false">ABS(D30)*Assumptions!$E$7/10000</f>
        <v>0.000956295495895057</v>
      </c>
      <c r="G30" s="32" t="n">
        <f aca="false">Assumptions!$E$8*(ABS(D30)*Assumptions!$E$9/Assumptions!$E$10)^1.5</f>
        <v>0.0184395914075926</v>
      </c>
      <c r="H30" s="32" t="n">
        <f aca="false">IF(E30=1,C30-F30-G30,0)</f>
        <v>-0.0141879402946391</v>
      </c>
      <c r="I30" s="33" t="n">
        <f aca="false">I29*(1+H30)</f>
        <v>0.660492303565291</v>
      </c>
      <c r="J30" s="33" t="n">
        <f aca="false">MAX(J29,I30)</f>
        <v>1.00346431426684</v>
      </c>
      <c r="K30" s="32" t="n">
        <f aca="false">IFERROR(I30/J30-1,0)</f>
        <v>-0.341787949830715</v>
      </c>
      <c r="L30" s="32" t="n">
        <f aca="false">ABS(D30)*Assumptions!$E$9/Assumptions!$E$10</f>
        <v>1.14755459507407</v>
      </c>
    </row>
    <row r="31" customFormat="false" ht="15" hidden="false" customHeight="true" outlineLevel="0" collapsed="false">
      <c r="B31" s="1" t="n">
        <v>27</v>
      </c>
      <c r="C31" s="19" t="n">
        <v>0.00241702739946968</v>
      </c>
      <c r="D31" s="19" t="n">
        <v>0.365914673133398</v>
      </c>
      <c r="E31" s="32" t="n">
        <f aca="false">IF(AND(Assumptions!$E$18&gt;=1,Assumptions!$E$19=1),1,0)</f>
        <v>1</v>
      </c>
      <c r="F31" s="32" t="n">
        <f aca="false">ABS(D31)*Assumptions!$E$7/10000</f>
        <v>0.000914786682833495</v>
      </c>
      <c r="G31" s="32" t="n">
        <f aca="false">Assumptions!$E$8*(ABS(D31)*Assumptions!$E$9/Assumptions!$E$10)^1.5</f>
        <v>0.0172521362206891</v>
      </c>
      <c r="H31" s="32" t="n">
        <f aca="false">IF(E31=1,C31-F31-G31,0)</f>
        <v>-0.0157498955040529</v>
      </c>
      <c r="I31" s="33" t="n">
        <f aca="false">I30*(1+H31)</f>
        <v>0.650089618802907</v>
      </c>
      <c r="J31" s="33" t="n">
        <f aca="false">MAX(J30,I31)</f>
        <v>1.00346431426684</v>
      </c>
      <c r="K31" s="32" t="n">
        <f aca="false">IFERROR(I31/J31-1,0)</f>
        <v>-0.35215472084039</v>
      </c>
      <c r="L31" s="32" t="n">
        <f aca="false">ABS(D31)*Assumptions!$E$9/Assumptions!$E$10</f>
        <v>1.09774401940019</v>
      </c>
    </row>
    <row r="32" customFormat="false" ht="15" hidden="false" customHeight="true" outlineLevel="0" collapsed="false">
      <c r="B32" s="1" t="n">
        <v>28</v>
      </c>
      <c r="C32" s="19" t="n">
        <v>-0.000826054898524681</v>
      </c>
      <c r="D32" s="19" t="n">
        <v>0.344689995680848</v>
      </c>
      <c r="E32" s="32" t="n">
        <f aca="false">IF(AND(Assumptions!$E$18&gt;=1,Assumptions!$E$19=1),1,0)</f>
        <v>1</v>
      </c>
      <c r="F32" s="32" t="n">
        <f aca="false">ABS(D32)*Assumptions!$E$7/10000</f>
        <v>0.00086172498920212</v>
      </c>
      <c r="G32" s="32" t="n">
        <f aca="false">Assumptions!$E$8*(ABS(D32)*Assumptions!$E$9/Assumptions!$E$10)^1.5</f>
        <v>0.0157730673963128</v>
      </c>
      <c r="H32" s="32" t="n">
        <f aca="false">IF(E32=1,C32-F32-G32,0)</f>
        <v>-0.0174608472840396</v>
      </c>
      <c r="I32" s="33" t="n">
        <f aca="false">I31*(1+H32)</f>
        <v>0.63873850324805</v>
      </c>
      <c r="J32" s="33" t="n">
        <f aca="false">MAX(J31,I32)</f>
        <v>1.00346431426684</v>
      </c>
      <c r="K32" s="32" t="n">
        <f aca="false">IFERROR(I32/J32-1,0)</f>
        <v>-0.363466648323482</v>
      </c>
      <c r="L32" s="32" t="n">
        <f aca="false">ABS(D32)*Assumptions!$E$9/Assumptions!$E$10</f>
        <v>1.03406998704254</v>
      </c>
    </row>
    <row r="33" customFormat="false" ht="15" hidden="false" customHeight="true" outlineLevel="0" collapsed="false">
      <c r="B33" s="1" t="n">
        <v>29</v>
      </c>
      <c r="C33" s="19" t="n">
        <v>-0.0041098683365781</v>
      </c>
      <c r="D33" s="19" t="n">
        <v>0.319690326912064</v>
      </c>
      <c r="E33" s="32" t="n">
        <f aca="false">IF(AND(Assumptions!$E$18&gt;=1,Assumptions!$E$19=1),1,0)</f>
        <v>1</v>
      </c>
      <c r="F33" s="32" t="n">
        <f aca="false">ABS(D33)*Assumptions!$E$7/10000</f>
        <v>0.00079922581728016</v>
      </c>
      <c r="G33" s="32" t="n">
        <f aca="false">Assumptions!$E$8*(ABS(D33)*Assumptions!$E$9/Assumptions!$E$10)^1.5</f>
        <v>0.0140885852657293</v>
      </c>
      <c r="H33" s="32" t="n">
        <f aca="false">IF(E33=1,C33-F33-G33,0)</f>
        <v>-0.0189976794195875</v>
      </c>
      <c r="I33" s="33" t="n">
        <f aca="false">I32*(1+H33)</f>
        <v>0.626603953930396</v>
      </c>
      <c r="J33" s="33" t="n">
        <f aca="false">MAX(J32,I33)</f>
        <v>1.00346431426684</v>
      </c>
      <c r="K33" s="32" t="n">
        <f aca="false">IFERROR(I33/J33-1,0)</f>
        <v>-0.375559304878508</v>
      </c>
      <c r="L33" s="32" t="n">
        <f aca="false">ABS(D33)*Assumptions!$E$9/Assumptions!$E$10</f>
        <v>0.959070980736192</v>
      </c>
    </row>
    <row r="34" customFormat="false" ht="15" hidden="false" customHeight="true" outlineLevel="0" collapsed="false">
      <c r="B34" s="1" t="n">
        <v>30</v>
      </c>
      <c r="C34" s="19" t="n">
        <v>-0.0170113288179311</v>
      </c>
      <c r="D34" s="19" t="n">
        <v>0.291912324729839</v>
      </c>
      <c r="E34" s="32" t="n">
        <f aca="false">IF(AND(Assumptions!$E$18&gt;=1,Assumptions!$E$19=1),1,0)</f>
        <v>1</v>
      </c>
      <c r="F34" s="32" t="n">
        <f aca="false">ABS(D34)*Assumptions!$E$7/10000</f>
        <v>0.000729780811824598</v>
      </c>
      <c r="G34" s="32" t="n">
        <f aca="false">Assumptions!$E$8*(ABS(D34)*Assumptions!$E$9/Assumptions!$E$10)^1.5</f>
        <v>0.0122928275311208</v>
      </c>
      <c r="H34" s="32" t="n">
        <f aca="false">IF(E34=1,C34-F34-G34,0)</f>
        <v>-0.0300339371608765</v>
      </c>
      <c r="I34" s="33" t="n">
        <f aca="false">I33*(1+H34)</f>
        <v>0.607784570153294</v>
      </c>
      <c r="J34" s="33" t="n">
        <f aca="false">MAX(J33,I34)</f>
        <v>1.00346431426684</v>
      </c>
      <c r="K34" s="32" t="n">
        <f aca="false">IFERROR(I34/J34-1,0)</f>
        <v>-0.394313717476481</v>
      </c>
      <c r="L34" s="32" t="n">
        <f aca="false">ABS(D34)*Assumptions!$E$9/Assumptions!$E$10</f>
        <v>0.875736974189517</v>
      </c>
    </row>
    <row r="35" customFormat="false" ht="15" hidden="false" customHeight="true" outlineLevel="0" collapsed="false">
      <c r="B35" s="1" t="n">
        <v>31</v>
      </c>
      <c r="C35" s="19" t="n">
        <v>-0.00914353041562147</v>
      </c>
      <c r="D35" s="19" t="n">
        <v>0.262463410422624</v>
      </c>
      <c r="E35" s="32" t="n">
        <f aca="false">IF(AND(Assumptions!$E$18&gt;=1,Assumptions!$E$19=1),1,0)</f>
        <v>1</v>
      </c>
      <c r="F35" s="32" t="n">
        <f aca="false">ABS(D35)*Assumptions!$E$7/10000</f>
        <v>0.00065615852605656</v>
      </c>
      <c r="G35" s="32" t="n">
        <f aca="false">Assumptions!$E$8*(ABS(D35)*Assumptions!$E$9/Assumptions!$E$10)^1.5</f>
        <v>0.0104803622151098</v>
      </c>
      <c r="H35" s="32" t="n">
        <f aca="false">IF(E35=1,C35-F35-G35,0)</f>
        <v>-0.0202800511567878</v>
      </c>
      <c r="I35" s="33" t="n">
        <f aca="false">I34*(1+H35)</f>
        <v>0.595458667978279</v>
      </c>
      <c r="J35" s="33" t="n">
        <f aca="false">MAX(J34,I35)</f>
        <v>1.00346431426684</v>
      </c>
      <c r="K35" s="32" t="n">
        <f aca="false">IFERROR(I35/J35-1,0)</f>
        <v>-0.406597066271022</v>
      </c>
      <c r="L35" s="32" t="n">
        <f aca="false">ABS(D35)*Assumptions!$E$9/Assumptions!$E$10</f>
        <v>0.787390231267872</v>
      </c>
    </row>
    <row r="36" customFormat="false" ht="15" hidden="false" customHeight="true" outlineLevel="0" collapsed="false">
      <c r="B36" s="1" t="n">
        <v>32</v>
      </c>
      <c r="C36" s="19" t="n">
        <v>-0.0101997134567755</v>
      </c>
      <c r="D36" s="19" t="n">
        <v>0.267482380727574</v>
      </c>
      <c r="E36" s="32" t="n">
        <f aca="false">IF(AND(Assumptions!$E$18&gt;=1,Assumptions!$E$19=1),1,0)</f>
        <v>1</v>
      </c>
      <c r="F36" s="32" t="n">
        <f aca="false">ABS(D36)*Assumptions!$E$7/10000</f>
        <v>0.000668705951818935</v>
      </c>
      <c r="G36" s="32" t="n">
        <f aca="false">Assumptions!$E$8*(ABS(D36)*Assumptions!$E$9/Assumptions!$E$10)^1.5</f>
        <v>0.0107824117206159</v>
      </c>
      <c r="H36" s="32" t="n">
        <f aca="false">IF(E36=1,C36-F36-G36,0)</f>
        <v>-0.0216508311292103</v>
      </c>
      <c r="I36" s="33" t="n">
        <f aca="false">I35*(1+H36)</f>
        <v>0.582566492913456</v>
      </c>
      <c r="J36" s="33" t="n">
        <f aca="false">MAX(J35,I36)</f>
        <v>1.00346431426684</v>
      </c>
      <c r="K36" s="32" t="n">
        <f aca="false">IFERROR(I36/J36-1,0)</f>
        <v>-0.419444732980766</v>
      </c>
      <c r="L36" s="32" t="n">
        <f aca="false">ABS(D36)*Assumptions!$E$9/Assumptions!$E$10</f>
        <v>0.802447142182722</v>
      </c>
    </row>
    <row r="37" customFormat="false" ht="15" hidden="false" customHeight="true" outlineLevel="0" collapsed="false">
      <c r="B37" s="1" t="n">
        <v>33</v>
      </c>
      <c r="C37" s="19" t="n">
        <v>-0.00998850208202598</v>
      </c>
      <c r="D37" s="19" t="n">
        <v>0.296731204527007</v>
      </c>
      <c r="E37" s="32" t="n">
        <f aca="false">IF(AND(Assumptions!$E$18&gt;=1,Assumptions!$E$19=1),1,0)</f>
        <v>1</v>
      </c>
      <c r="F37" s="32" t="n">
        <f aca="false">ABS(D37)*Assumptions!$E$7/10000</f>
        <v>0.000741828011317518</v>
      </c>
      <c r="G37" s="32" t="n">
        <f aca="false">Assumptions!$E$8*(ABS(D37)*Assumptions!$E$9/Assumptions!$E$10)^1.5</f>
        <v>0.0125984747652567</v>
      </c>
      <c r="H37" s="32" t="n">
        <f aca="false">IF(E37=1,C37-F37-G37,0)</f>
        <v>-0.0233288048586002</v>
      </c>
      <c r="I37" s="33" t="n">
        <f aca="false">I36*(1+H37)</f>
        <v>0.568975912883119</v>
      </c>
      <c r="J37" s="33" t="n">
        <f aca="false">MAX(J36,I37)</f>
        <v>1.00346431426684</v>
      </c>
      <c r="K37" s="32" t="n">
        <f aca="false">IFERROR(I37/J37-1,0)</f>
        <v>-0.43298839351469</v>
      </c>
      <c r="L37" s="32" t="n">
        <f aca="false">ABS(D37)*Assumptions!$E$9/Assumptions!$E$10</f>
        <v>0.890193613581021</v>
      </c>
    </row>
    <row r="38" customFormat="false" ht="15" hidden="false" customHeight="true" outlineLevel="0" collapsed="false">
      <c r="B38" s="1" t="n">
        <v>34</v>
      </c>
      <c r="C38" s="19" t="n">
        <v>-0.00845650221457471</v>
      </c>
      <c r="D38" s="19" t="n">
        <v>0.324117002670791</v>
      </c>
      <c r="E38" s="32" t="n">
        <f aca="false">IF(AND(Assumptions!$E$18&gt;=1,Assumptions!$E$19=1),1,0)</f>
        <v>1</v>
      </c>
      <c r="F38" s="32" t="n">
        <f aca="false">ABS(D38)*Assumptions!$E$7/10000</f>
        <v>0.000810292506676978</v>
      </c>
      <c r="G38" s="32" t="n">
        <f aca="false">Assumptions!$E$8*(ABS(D38)*Assumptions!$E$9/Assumptions!$E$10)^1.5</f>
        <v>0.0143822178298245</v>
      </c>
      <c r="H38" s="32" t="n">
        <f aca="false">IF(E38=1,C38-F38-G38,0)</f>
        <v>-0.0236490125510762</v>
      </c>
      <c r="I38" s="33" t="n">
        <f aca="false">I37*(1+H38)</f>
        <v>0.555520194378086</v>
      </c>
      <c r="J38" s="33" t="n">
        <f aca="false">MAX(J37,I38)</f>
        <v>1.00346431426684</v>
      </c>
      <c r="K38" s="32" t="n">
        <f aca="false">IFERROR(I38/J38-1,0)</f>
        <v>-0.446397658113067</v>
      </c>
      <c r="L38" s="32" t="n">
        <f aca="false">ABS(D38)*Assumptions!$E$9/Assumptions!$E$10</f>
        <v>0.972351008012373</v>
      </c>
    </row>
    <row r="39" customFormat="false" ht="15" hidden="false" customHeight="true" outlineLevel="0" collapsed="false">
      <c r="B39" s="1" t="n">
        <v>35</v>
      </c>
      <c r="C39" s="19" t="n">
        <v>-0.0156957410420597</v>
      </c>
      <c r="D39" s="19" t="n">
        <v>0.348547989807818</v>
      </c>
      <c r="E39" s="32" t="n">
        <f aca="false">IF(AND(Assumptions!$E$18&gt;=1,Assumptions!$E$19=1),1,0)</f>
        <v>1</v>
      </c>
      <c r="F39" s="32" t="n">
        <f aca="false">ABS(D39)*Assumptions!$E$7/10000</f>
        <v>0.000871369974519545</v>
      </c>
      <c r="G39" s="32" t="n">
        <f aca="false">Assumptions!$E$8*(ABS(D39)*Assumptions!$E$9/Assumptions!$E$10)^1.5</f>
        <v>0.0160386206211983</v>
      </c>
      <c r="H39" s="32" t="n">
        <f aca="false">IF(E39=1,C39-F39-G39,0)</f>
        <v>-0.0326057316377775</v>
      </c>
      <c r="I39" s="33" t="n">
        <f aca="false">I38*(1+H39)</f>
        <v>0.537407052000829</v>
      </c>
      <c r="J39" s="33" t="n">
        <f aca="false">MAX(J38,I39)</f>
        <v>1.00346431426684</v>
      </c>
      <c r="K39" s="32" t="n">
        <f aca="false">IFERROR(I39/J39-1,0)</f>
        <v>-0.464448267506678</v>
      </c>
      <c r="L39" s="32" t="n">
        <f aca="false">ABS(D39)*Assumptions!$E$9/Assumptions!$E$10</f>
        <v>1.04564396942345</v>
      </c>
    </row>
    <row r="40" customFormat="false" ht="15" hidden="false" customHeight="true" outlineLevel="0" collapsed="false">
      <c r="B40" s="1" t="n">
        <v>36</v>
      </c>
      <c r="C40" s="19" t="n">
        <v>-0.00193509721371111</v>
      </c>
      <c r="D40" s="19" t="n">
        <v>0.369050179577373</v>
      </c>
      <c r="E40" s="32" t="n">
        <f aca="false">IF(AND(Assumptions!$E$18&gt;=1,Assumptions!$E$19=1),1,0)</f>
        <v>1</v>
      </c>
      <c r="F40" s="32" t="n">
        <f aca="false">ABS(D40)*Assumptions!$E$7/10000</f>
        <v>0.000922625448943433</v>
      </c>
      <c r="G40" s="32" t="n">
        <f aca="false">Assumptions!$E$8*(ABS(D40)*Assumptions!$E$9/Assumptions!$E$10)^1.5</f>
        <v>0.0174743597578841</v>
      </c>
      <c r="H40" s="32" t="n">
        <f aca="false">IF(E40=1,C40-F40-G40,0)</f>
        <v>-0.0203320824205387</v>
      </c>
      <c r="I40" s="33" t="n">
        <f aca="false">I39*(1+H40)</f>
        <v>0.526480447526169</v>
      </c>
      <c r="J40" s="33" t="n">
        <f aca="false">MAX(J39,I40)</f>
        <v>1.00346431426684</v>
      </c>
      <c r="K40" s="32" t="n">
        <f aca="false">IFERROR(I40/J40-1,0)</f>
        <v>-0.475337149472194</v>
      </c>
      <c r="L40" s="32" t="n">
        <f aca="false">ABS(D40)*Assumptions!$E$9/Assumptions!$E$10</f>
        <v>1.10715053873212</v>
      </c>
    </row>
    <row r="41" customFormat="false" ht="15" hidden="false" customHeight="true" outlineLevel="0" collapsed="false">
      <c r="B41" s="1" t="n">
        <v>37</v>
      </c>
      <c r="C41" s="19" t="n">
        <v>0.00248336663625181</v>
      </c>
      <c r="D41" s="19" t="n">
        <v>0.384806214371744</v>
      </c>
      <c r="E41" s="32" t="n">
        <f aca="false">IF(AND(Assumptions!$E$18&gt;=1,Assumptions!$E$19=1),1,0)</f>
        <v>1</v>
      </c>
      <c r="F41" s="32" t="n">
        <f aca="false">ABS(D41)*Assumptions!$E$7/10000</f>
        <v>0.00096201553592936</v>
      </c>
      <c r="G41" s="32" t="n">
        <f aca="false">Assumptions!$E$8*(ABS(D41)*Assumptions!$E$9/Assumptions!$E$10)^1.5</f>
        <v>0.0186052819841009</v>
      </c>
      <c r="H41" s="32" t="n">
        <f aca="false">IF(E41=1,C41-F41-G41,0)</f>
        <v>-0.0170839308837784</v>
      </c>
      <c r="I41" s="33" t="n">
        <f aca="false">I40*(1+H41)</f>
        <v>0.517486091948971</v>
      </c>
      <c r="J41" s="33" t="n">
        <f aca="false">MAX(J40,I41)</f>
        <v>1.00346431426684</v>
      </c>
      <c r="K41" s="32" t="n">
        <f aca="false">IFERROR(I41/J41-1,0)</f>
        <v>-0.484300453347897</v>
      </c>
      <c r="L41" s="32" t="n">
        <f aca="false">ABS(D41)*Assumptions!$E$9/Assumptions!$E$10</f>
        <v>1.15441864311523</v>
      </c>
    </row>
    <row r="42" customFormat="false" ht="15" hidden="false" customHeight="true" outlineLevel="0" collapsed="false">
      <c r="B42" s="1" t="n">
        <v>38</v>
      </c>
      <c r="C42" s="19" t="n">
        <v>0.00714059472727621</v>
      </c>
      <c r="D42" s="19" t="n">
        <v>0.395187950804723</v>
      </c>
      <c r="E42" s="32" t="n">
        <f aca="false">IF(AND(Assumptions!$E$18&gt;=1,Assumptions!$E$19=1),1,0)</f>
        <v>1</v>
      </c>
      <c r="F42" s="32" t="n">
        <f aca="false">ABS(D42)*Assumptions!$E$7/10000</f>
        <v>0.000987969877011808</v>
      </c>
      <c r="G42" s="32" t="n">
        <f aca="false">Assumptions!$E$8*(ABS(D42)*Assumptions!$E$9/Assumptions!$E$10)^1.5</f>
        <v>0.0193632691851666</v>
      </c>
      <c r="H42" s="32" t="n">
        <f aca="false">IF(E42=1,C42-F42-G42,0)</f>
        <v>-0.0132106443349022</v>
      </c>
      <c r="I42" s="33" t="n">
        <f aca="false">I41*(1+H42)</f>
        <v>0.510649767239975</v>
      </c>
      <c r="J42" s="33" t="n">
        <f aca="false">MAX(J41,I42)</f>
        <v>1.00346431426684</v>
      </c>
      <c r="K42" s="32" t="n">
        <f aca="false">IFERROR(I42/J42-1,0)</f>
        <v>-0.491113176642389</v>
      </c>
      <c r="L42" s="32" t="n">
        <f aca="false">ABS(D42)*Assumptions!$E$9/Assumptions!$E$10</f>
        <v>1.18556385241417</v>
      </c>
    </row>
    <row r="43" customFormat="false" ht="15" hidden="false" customHeight="true" outlineLevel="0" collapsed="false">
      <c r="B43" s="1" t="n">
        <v>39</v>
      </c>
      <c r="C43" s="19" t="n">
        <v>0.0115852980820744</v>
      </c>
      <c r="D43" s="19" t="n">
        <v>0.399781501806191</v>
      </c>
      <c r="E43" s="32" t="n">
        <f aca="false">IF(AND(Assumptions!$E$18&gt;=1,Assumptions!$E$19=1),1,0)</f>
        <v>1</v>
      </c>
      <c r="F43" s="32" t="n">
        <f aca="false">ABS(D43)*Assumptions!$E$7/10000</f>
        <v>0.000999453754515477</v>
      </c>
      <c r="G43" s="32" t="n">
        <f aca="false">Assumptions!$E$8*(ABS(D43)*Assumptions!$E$9/Assumptions!$E$10)^1.5</f>
        <v>0.0197018579641294</v>
      </c>
      <c r="H43" s="32" t="n">
        <f aca="false">IF(E43=1,C43-F43-G43,0)</f>
        <v>-0.00911601363657051</v>
      </c>
      <c r="I43" s="33" t="n">
        <f aca="false">I42*(1+H43)</f>
        <v>0.505994676998304</v>
      </c>
      <c r="J43" s="33" t="n">
        <f aca="false">MAX(J42,I43)</f>
        <v>1.00346431426684</v>
      </c>
      <c r="K43" s="32" t="n">
        <f aca="false">IFERROR(I43/J43-1,0)</f>
        <v>-0.495752195863588</v>
      </c>
      <c r="L43" s="32" t="n">
        <f aca="false">ABS(D43)*Assumptions!$E$9/Assumptions!$E$10</f>
        <v>1.19934450541857</v>
      </c>
    </row>
    <row r="44" customFormat="false" ht="15" hidden="false" customHeight="true" outlineLevel="0" collapsed="false">
      <c r="B44" s="1" t="n">
        <v>40</v>
      </c>
      <c r="C44" s="19" t="n">
        <v>0.00538238409646321</v>
      </c>
      <c r="D44" s="19" t="n">
        <v>0.398403736993507</v>
      </c>
      <c r="E44" s="32" t="n">
        <f aca="false">IF(AND(Assumptions!$E$18&gt;=1,Assumptions!$E$19=1),1,0)</f>
        <v>1</v>
      </c>
      <c r="F44" s="32" t="n">
        <f aca="false">ABS(D44)*Assumptions!$E$7/10000</f>
        <v>0.000996009342483767</v>
      </c>
      <c r="G44" s="32" t="n">
        <f aca="false">Assumptions!$E$8*(ABS(D44)*Assumptions!$E$9/Assumptions!$E$10)^1.5</f>
        <v>0.0196000981550867</v>
      </c>
      <c r="H44" s="32" t="n">
        <f aca="false">IF(E44=1,C44-F44-G44,0)</f>
        <v>-0.0152137234011073</v>
      </c>
      <c r="I44" s="33" t="n">
        <f aca="false">I43*(1+H44)</f>
        <v>0.498296613940019</v>
      </c>
      <c r="J44" s="33" t="n">
        <f aca="false">MAX(J43,I44)</f>
        <v>1.00346431426684</v>
      </c>
      <c r="K44" s="32" t="n">
        <f aca="false">IFERROR(I44/J44-1,0)</f>
        <v>-0.503423682481335</v>
      </c>
      <c r="L44" s="32" t="n">
        <f aca="false">ABS(D44)*Assumptions!$E$9/Assumptions!$E$10</f>
        <v>1.19521121098052</v>
      </c>
    </row>
    <row r="45" customFormat="false" ht="15" hidden="false" customHeight="true" outlineLevel="0" collapsed="false">
      <c r="B45" s="1" t="n">
        <v>41</v>
      </c>
      <c r="C45" s="19" t="n">
        <v>0.018159749795409</v>
      </c>
      <c r="D45" s="19" t="n">
        <v>0.391109583501966</v>
      </c>
      <c r="E45" s="32" t="n">
        <f aca="false">IF(AND(Assumptions!$E$18&gt;=1,Assumptions!$E$19=1),1,0)</f>
        <v>1</v>
      </c>
      <c r="F45" s="32" t="n">
        <f aca="false">ABS(D45)*Assumptions!$E$7/10000</f>
        <v>0.000977773958754915</v>
      </c>
      <c r="G45" s="32" t="n">
        <f aca="false">Assumptions!$E$8*(ABS(D45)*Assumptions!$E$9/Assumptions!$E$10)^1.5</f>
        <v>0.0190642984297899</v>
      </c>
      <c r="H45" s="32" t="n">
        <f aca="false">IF(E45=1,C45-F45-G45,0)</f>
        <v>-0.00188232259313577</v>
      </c>
      <c r="I45" s="33" t="n">
        <f aca="false">I44*(1+H45)</f>
        <v>0.497358658965517</v>
      </c>
      <c r="J45" s="33" t="n">
        <f aca="false">MAX(J44,I45)</f>
        <v>1.00346431426684</v>
      </c>
      <c r="K45" s="32" t="n">
        <f aca="false">IFERROR(I45/J45-1,0)</f>
        <v>-0.504358399303016</v>
      </c>
      <c r="L45" s="32" t="n">
        <f aca="false">ABS(D45)*Assumptions!$E$9/Assumptions!$E$10</f>
        <v>1.1733287505059</v>
      </c>
    </row>
    <row r="46" customFormat="false" ht="15" hidden="false" customHeight="true" outlineLevel="0" collapsed="false">
      <c r="B46" s="1" t="n">
        <v>42</v>
      </c>
      <c r="C46" s="19" t="n">
        <v>0.0196483099882406</v>
      </c>
      <c r="D46" s="19" t="n">
        <v>0.378189836213242</v>
      </c>
      <c r="E46" s="32" t="n">
        <f aca="false">IF(AND(Assumptions!$E$18&gt;=1,Assumptions!$E$19=1),1,0)</f>
        <v>1</v>
      </c>
      <c r="F46" s="32" t="n">
        <f aca="false">ABS(D46)*Assumptions!$E$7/10000</f>
        <v>0.000945474590533105</v>
      </c>
      <c r="G46" s="32" t="n">
        <f aca="false">Assumptions!$E$8*(ABS(D46)*Assumptions!$E$9/Assumptions!$E$10)^1.5</f>
        <v>0.0181275002901114</v>
      </c>
      <c r="H46" s="32" t="n">
        <f aca="false">IF(E46=1,C46-F46-G46,0)</f>
        <v>0.000575335107596046</v>
      </c>
      <c r="I46" s="33" t="n">
        <f aca="false">I45*(1+H46)</f>
        <v>0.497644806863086</v>
      </c>
      <c r="J46" s="33" t="n">
        <f aca="false">MAX(J45,I46)</f>
        <v>1.00346431426684</v>
      </c>
      <c r="K46" s="32" t="n">
        <f aca="false">IFERROR(I46/J46-1,0)</f>
        <v>-0.50407323928935</v>
      </c>
      <c r="L46" s="32" t="n">
        <f aca="false">ABS(D46)*Assumptions!$E$9/Assumptions!$E$10</f>
        <v>1.13456950863973</v>
      </c>
    </row>
    <row r="47" customFormat="false" ht="15" hidden="false" customHeight="true" outlineLevel="0" collapsed="false">
      <c r="B47" s="1" t="n">
        <v>43</v>
      </c>
      <c r="C47" s="19" t="n">
        <v>0.0197108728327755</v>
      </c>
      <c r="D47" s="19" t="n">
        <v>0.360159564681117</v>
      </c>
      <c r="E47" s="32" t="n">
        <f aca="false">IF(AND(Assumptions!$E$18&gt;=1,Assumptions!$E$19=1),1,0)</f>
        <v>1</v>
      </c>
      <c r="F47" s="32" t="n">
        <f aca="false">ABS(D47)*Assumptions!$E$7/10000</f>
        <v>0.000900398911702792</v>
      </c>
      <c r="G47" s="32" t="n">
        <f aca="false">Assumptions!$E$8*(ABS(D47)*Assumptions!$E$9/Assumptions!$E$10)^1.5</f>
        <v>0.0168467282422367</v>
      </c>
      <c r="H47" s="32" t="n">
        <f aca="false">IF(E47=1,C47-F47-G47,0)</f>
        <v>0.00196374567883605</v>
      </c>
      <c r="I47" s="33" t="n">
        <f aca="false">I46*(1+H47)</f>
        <v>0.498622054702159</v>
      </c>
      <c r="J47" s="33" t="n">
        <f aca="false">MAX(J46,I47)</f>
        <v>1.00346431426684</v>
      </c>
      <c r="K47" s="32" t="n">
        <f aca="false">IFERROR(I47/J47-1,0)</f>
        <v>-0.503099365255986</v>
      </c>
      <c r="L47" s="32" t="n">
        <f aca="false">ABS(D47)*Assumptions!$E$9/Assumptions!$E$10</f>
        <v>1.08047869404335</v>
      </c>
    </row>
    <row r="48" customFormat="false" ht="15" hidden="false" customHeight="true" outlineLevel="0" collapsed="false">
      <c r="B48" s="1" t="n">
        <v>44</v>
      </c>
      <c r="C48" s="19" t="n">
        <v>0.0183566992284292</v>
      </c>
      <c r="D48" s="19" t="n">
        <v>0.337737578933764</v>
      </c>
      <c r="E48" s="32" t="n">
        <f aca="false">IF(AND(Assumptions!$E$18&gt;=1,Assumptions!$E$19=1),1,0)</f>
        <v>1</v>
      </c>
      <c r="F48" s="32" t="n">
        <f aca="false">ABS(D48)*Assumptions!$E$7/10000</f>
        <v>0.00084434394733441</v>
      </c>
      <c r="G48" s="32" t="n">
        <f aca="false">Assumptions!$E$8*(ABS(D48)*Assumptions!$E$9/Assumptions!$E$10)^1.5</f>
        <v>0.0152982664185332</v>
      </c>
      <c r="H48" s="32" t="n">
        <f aca="false">IF(E48=1,C48-F48-G48,0)</f>
        <v>0.0022140888625616</v>
      </c>
      <c r="I48" s="33" t="n">
        <f aca="false">I47*(1+H48)</f>
        <v>0.499726048240102</v>
      </c>
      <c r="J48" s="33" t="n">
        <f aca="false">MAX(J47,I48)</f>
        <v>1.00346431426684</v>
      </c>
      <c r="K48" s="32" t="n">
        <f aca="false">IFERROR(I48/J48-1,0)</f>
        <v>-0.501999183094799</v>
      </c>
      <c r="L48" s="32" t="n">
        <f aca="false">ABS(D48)*Assumptions!$E$9/Assumptions!$E$10</f>
        <v>1.01321273680129</v>
      </c>
    </row>
    <row r="49" customFormat="false" ht="15" hidden="false" customHeight="true" outlineLevel="0" collapsed="false">
      <c r="B49" s="1" t="n">
        <v>45</v>
      </c>
      <c r="C49" s="19" t="n">
        <v>0.00574015432484417</v>
      </c>
      <c r="D49" s="19" t="n">
        <v>0.311817772786264</v>
      </c>
      <c r="E49" s="32" t="n">
        <f aca="false">IF(AND(Assumptions!$E$18&gt;=1,Assumptions!$E$19=1),1,0)</f>
        <v>1</v>
      </c>
      <c r="F49" s="32" t="n">
        <f aca="false">ABS(D49)*Assumptions!$E$7/10000</f>
        <v>0.00077954443196566</v>
      </c>
      <c r="G49" s="32" t="n">
        <f aca="false">Assumptions!$E$8*(ABS(D49)*Assumptions!$E$9/Assumptions!$E$10)^1.5</f>
        <v>0.0135713933737139</v>
      </c>
      <c r="H49" s="32" t="n">
        <f aca="false">IF(E49=1,C49-F49-G49,0)</f>
        <v>-0.00861078348083542</v>
      </c>
      <c r="I49" s="33" t="n">
        <f aca="false">I48*(1+H49)</f>
        <v>0.495423015438973</v>
      </c>
      <c r="J49" s="33" t="n">
        <f aca="false">MAX(J48,I49)</f>
        <v>1.00346431426684</v>
      </c>
      <c r="K49" s="32" t="n">
        <f aca="false">IFERROR(I49/J49-1,0)</f>
        <v>-0.506287360302449</v>
      </c>
      <c r="L49" s="32" t="n">
        <f aca="false">ABS(D49)*Assumptions!$E$9/Assumptions!$E$10</f>
        <v>0.935453318358792</v>
      </c>
    </row>
    <row r="50" customFormat="false" ht="15" hidden="false" customHeight="true" outlineLevel="0" collapsed="false">
      <c r="B50" s="1" t="n">
        <v>46</v>
      </c>
      <c r="C50" s="19" t="n">
        <v>0.0121436062989767</v>
      </c>
      <c r="D50" s="19" t="n">
        <v>0.283433487115037</v>
      </c>
      <c r="E50" s="32" t="n">
        <f aca="false">IF(AND(Assumptions!$E$18&gt;=1,Assumptions!$E$19=1),1,0)</f>
        <v>1</v>
      </c>
      <c r="F50" s="32" t="n">
        <f aca="false">ABS(D50)*Assumptions!$E$7/10000</f>
        <v>0.000708583717787593</v>
      </c>
      <c r="G50" s="32" t="n">
        <f aca="false">Assumptions!$E$8*(ABS(D50)*Assumptions!$E$9/Assumptions!$E$10)^1.5</f>
        <v>0.0117611524964515</v>
      </c>
      <c r="H50" s="32" t="n">
        <f aca="false">IF(E50=1,C50-F50-G50,0)</f>
        <v>-0.000326129915262379</v>
      </c>
      <c r="I50" s="33" t="n">
        <f aca="false">I49*(1+H50)</f>
        <v>0.495261443172929</v>
      </c>
      <c r="J50" s="33" t="n">
        <f aca="false">MAX(J49,I50)</f>
        <v>1.00346431426684</v>
      </c>
      <c r="K50" s="32" t="n">
        <f aca="false">IFERROR(I50/J50-1,0)</f>
        <v>-0.506448374763797</v>
      </c>
      <c r="L50" s="32" t="n">
        <f aca="false">ABS(D50)*Assumptions!$E$9/Assumptions!$E$10</f>
        <v>0.850300461345111</v>
      </c>
    </row>
    <row r="51" customFormat="false" ht="15" hidden="false" customHeight="true" outlineLevel="0" collapsed="false">
      <c r="B51" s="1" t="n">
        <v>47</v>
      </c>
      <c r="C51" s="19" t="n">
        <v>0.0079464572032407</v>
      </c>
      <c r="D51" s="19" t="n">
        <v>0.253716313818004</v>
      </c>
      <c r="E51" s="32" t="n">
        <f aca="false">IF(AND(Assumptions!$E$18&gt;=1,Assumptions!$E$19=1),1,0)</f>
        <v>1</v>
      </c>
      <c r="F51" s="32" t="n">
        <f aca="false">ABS(D51)*Assumptions!$E$7/10000</f>
        <v>0.00063429078454501</v>
      </c>
      <c r="G51" s="32" t="n">
        <f aca="false">Assumptions!$E$8*(ABS(D51)*Assumptions!$E$9/Assumptions!$E$10)^1.5</f>
        <v>0.00996083464522123</v>
      </c>
      <c r="H51" s="32" t="n">
        <f aca="false">IF(E51=1,C51-F51-G51,0)</f>
        <v>-0.00264866822652553</v>
      </c>
      <c r="I51" s="33" t="n">
        <f aca="false">I50*(1+H51)</f>
        <v>0.493949659924574</v>
      </c>
      <c r="J51" s="33" t="n">
        <f aca="false">MAX(J50,I51)</f>
        <v>1.00346431426684</v>
      </c>
      <c r="K51" s="32" t="n">
        <f aca="false">IFERROR(I51/J51-1,0)</f>
        <v>-0.507755629271711</v>
      </c>
      <c r="L51" s="32" t="n">
        <f aca="false">ABS(D51)*Assumptions!$E$9/Assumptions!$E$10</f>
        <v>0.761148941454012</v>
      </c>
    </row>
    <row r="52" customFormat="false" ht="15" hidden="false" customHeight="true" outlineLevel="0" collapsed="false">
      <c r="B52" s="1" t="n">
        <v>48</v>
      </c>
      <c r="C52" s="19" t="n">
        <v>0.0035837128016564</v>
      </c>
      <c r="D52" s="19" t="n">
        <v>0.276149017183447</v>
      </c>
      <c r="E52" s="32" t="n">
        <f aca="false">IF(AND(Assumptions!$E$18&gt;=1,Assumptions!$E$19=1),1,0)</f>
        <v>1</v>
      </c>
      <c r="F52" s="32" t="n">
        <f aca="false">ABS(D52)*Assumptions!$E$7/10000</f>
        <v>0.000690372542958617</v>
      </c>
      <c r="G52" s="32" t="n">
        <f aca="false">Assumptions!$E$8*(ABS(D52)*Assumptions!$E$9/Assumptions!$E$10)^1.5</f>
        <v>0.0113106716249488</v>
      </c>
      <c r="H52" s="32" t="n">
        <f aca="false">IF(E52=1,C52-F52-G52,0)</f>
        <v>-0.00841733136625101</v>
      </c>
      <c r="I52" s="33" t="n">
        <f aca="false">I51*(1+H52)</f>
        <v>0.489791921958742</v>
      </c>
      <c r="J52" s="33" t="n">
        <f aca="false">MAX(J51,I52)</f>
        <v>1.00346431426684</v>
      </c>
      <c r="K52" s="32" t="n">
        <f aca="false">IFERROR(I52/J52-1,0)</f>
        <v>-0.511899013253302</v>
      </c>
      <c r="L52" s="32" t="n">
        <f aca="false">ABS(D52)*Assumptions!$E$9/Assumptions!$E$10</f>
        <v>0.828447051550341</v>
      </c>
    </row>
    <row r="53" customFormat="false" ht="15" hidden="false" customHeight="true" outlineLevel="0" collapsed="false">
      <c r="B53" s="1" t="n">
        <v>49</v>
      </c>
      <c r="C53" s="19" t="n">
        <v>-0.000501354580917067</v>
      </c>
      <c r="D53" s="19" t="n">
        <v>0.304971869387789</v>
      </c>
      <c r="E53" s="32" t="n">
        <f aca="false">IF(AND(Assumptions!$E$18&gt;=1,Assumptions!$E$19=1),1,0)</f>
        <v>1</v>
      </c>
      <c r="F53" s="32" t="n">
        <f aca="false">ABS(D53)*Assumptions!$E$7/10000</f>
        <v>0.000762429673469472</v>
      </c>
      <c r="G53" s="32" t="n">
        <f aca="false">Assumptions!$E$8*(ABS(D53)*Assumptions!$E$9/Assumptions!$E$10)^1.5</f>
        <v>0.0131269192569569</v>
      </c>
      <c r="H53" s="32" t="n">
        <f aca="false">IF(E53=1,C53-F53-G53,0)</f>
        <v>-0.0143907035113435</v>
      </c>
      <c r="I53" s="33" t="n">
        <f aca="false">I52*(1+H53)</f>
        <v>0.482743471627582</v>
      </c>
      <c r="J53" s="33" t="n">
        <f aca="false">MAX(J52,I53)</f>
        <v>1.00346431426684</v>
      </c>
      <c r="K53" s="32" t="n">
        <f aca="false">IFERROR(I53/J53-1,0)</f>
        <v>-0.518923129837168</v>
      </c>
      <c r="L53" s="32" t="n">
        <f aca="false">ABS(D53)*Assumptions!$E$9/Assumptions!$E$10</f>
        <v>0.914915608163367</v>
      </c>
    </row>
    <row r="54" customFormat="false" ht="15" hidden="false" customHeight="true" outlineLevel="0" collapsed="false">
      <c r="B54" s="1" t="n">
        <v>50</v>
      </c>
      <c r="C54" s="19" t="n">
        <v>-0.0139052502583773</v>
      </c>
      <c r="D54" s="19" t="n">
        <v>0.331603166633405</v>
      </c>
      <c r="E54" s="32" t="n">
        <f aca="false">IF(AND(Assumptions!$E$18&gt;=1,Assumptions!$E$19=1),1,0)</f>
        <v>1</v>
      </c>
      <c r="F54" s="32" t="n">
        <f aca="false">ABS(D54)*Assumptions!$E$7/10000</f>
        <v>0.000829007916583513</v>
      </c>
      <c r="G54" s="32" t="n">
        <f aca="false">Assumptions!$E$8*(ABS(D54)*Assumptions!$E$9/Assumptions!$E$10)^1.5</f>
        <v>0.014883365423873</v>
      </c>
      <c r="H54" s="32" t="n">
        <f aca="false">IF(E54=1,C54-F54-G54,0)</f>
        <v>-0.0296176235988338</v>
      </c>
      <c r="I54" s="33" t="n">
        <f aca="false">I53*(1+H54)</f>
        <v>0.468445757190122</v>
      </c>
      <c r="J54" s="33" t="n">
        <f aca="false">MAX(J53,I54)</f>
        <v>1.00346431426684</v>
      </c>
      <c r="K54" s="32" t="n">
        <f aca="false">IFERROR(I54/J54-1,0)</f>
        <v>-0.533171483499756</v>
      </c>
      <c r="L54" s="32" t="n">
        <f aca="false">ABS(D54)*Assumptions!$E$9/Assumptions!$E$10</f>
        <v>0.994809499900215</v>
      </c>
    </row>
    <row r="55" customFormat="false" ht="15" hidden="false" customHeight="true" outlineLevel="0" collapsed="false">
      <c r="B55" s="1" t="n">
        <v>51</v>
      </c>
      <c r="C55" s="19" t="n">
        <v>-0.00630773479296565</v>
      </c>
      <c r="D55" s="19" t="n">
        <v>0.354981203139031</v>
      </c>
      <c r="E55" s="32" t="n">
        <f aca="false">IF(AND(Assumptions!$E$18&gt;=1,Assumptions!$E$19=1),1,0)</f>
        <v>1</v>
      </c>
      <c r="F55" s="32" t="n">
        <f aca="false">ABS(D55)*Assumptions!$E$7/10000</f>
        <v>0.000887453007847578</v>
      </c>
      <c r="G55" s="32" t="n">
        <f aca="false">Assumptions!$E$8*(ABS(D55)*Assumptions!$E$9/Assumptions!$E$10)^1.5</f>
        <v>0.0164847048858905</v>
      </c>
      <c r="H55" s="32" t="n">
        <f aca="false">IF(E55=1,C55-F55-G55,0)</f>
        <v>-0.0236798926867037</v>
      </c>
      <c r="I55" s="33" t="n">
        <f aca="false">I54*(1+H55)</f>
        <v>0.457353011930319</v>
      </c>
      <c r="J55" s="33" t="n">
        <f aca="false">MAX(J54,I55)</f>
        <v>1.00346431426684</v>
      </c>
      <c r="K55" s="32" t="n">
        <f aca="false">IFERROR(I55/J55-1,0)</f>
        <v>-0.544225932673575</v>
      </c>
      <c r="L55" s="32" t="n">
        <f aca="false">ABS(D55)*Assumptions!$E$9/Assumptions!$E$10</f>
        <v>1.06494360941709</v>
      </c>
    </row>
    <row r="56" customFormat="false" ht="15" hidden="false" customHeight="true" outlineLevel="0" collapsed="false">
      <c r="B56" s="1" t="n">
        <v>52</v>
      </c>
      <c r="C56" s="19" t="n">
        <v>-0.00750596791669256</v>
      </c>
      <c r="D56" s="19" t="n">
        <v>0.374173970362848</v>
      </c>
      <c r="E56" s="32" t="n">
        <f aca="false">IF(AND(Assumptions!$E$18&gt;=1,Assumptions!$E$19=1),1,0)</f>
        <v>1</v>
      </c>
      <c r="F56" s="32" t="n">
        <f aca="false">ABS(D56)*Assumptions!$E$7/10000</f>
        <v>0.00093543492590712</v>
      </c>
      <c r="G56" s="32" t="n">
        <f aca="false">Assumptions!$E$8*(ABS(D56)*Assumptions!$E$9/Assumptions!$E$10)^1.5</f>
        <v>0.0178395337481851</v>
      </c>
      <c r="H56" s="32" t="n">
        <f aca="false">IF(E56=1,C56-F56-G56,0)</f>
        <v>-0.0262809365907848</v>
      </c>
      <c r="I56" s="33" t="n">
        <f aca="false">I55*(1+H56)</f>
        <v>0.445333346424174</v>
      </c>
      <c r="J56" s="33" t="n">
        <f aca="false">MAX(J55,I56)</f>
        <v>1.00346431426684</v>
      </c>
      <c r="K56" s="32" t="n">
        <f aca="false">IFERROR(I56/J56-1,0)</f>
        <v>-0.556204102036705</v>
      </c>
      <c r="L56" s="32" t="n">
        <f aca="false">ABS(D56)*Assumptions!$E$9/Assumptions!$E$10</f>
        <v>1.12252191108854</v>
      </c>
    </row>
    <row r="57" customFormat="false" ht="15" hidden="false" customHeight="true" outlineLevel="0" collapsed="false">
      <c r="B57" s="1" t="n">
        <v>53</v>
      </c>
      <c r="C57" s="19" t="n">
        <v>-0.00743558260759404</v>
      </c>
      <c r="D57" s="19" t="n">
        <v>0.388416313241921</v>
      </c>
      <c r="E57" s="32" t="n">
        <f aca="false">IF(AND(Assumptions!$E$18&gt;=1,Assumptions!$E$19=1),1,0)</f>
        <v>1</v>
      </c>
      <c r="F57" s="32" t="n">
        <f aca="false">ABS(D57)*Assumptions!$E$7/10000</f>
        <v>0.000971040783104803</v>
      </c>
      <c r="G57" s="32" t="n">
        <f aca="false">Assumptions!$E$8*(ABS(D57)*Assumptions!$E$9/Assumptions!$E$10)^1.5</f>
        <v>0.0188677161371994</v>
      </c>
      <c r="H57" s="32" t="n">
        <f aca="false">IF(E57=1,C57-F57-G57,0)</f>
        <v>-0.0272743395278982</v>
      </c>
      <c r="I57" s="33" t="n">
        <f aca="false">I56*(1+H57)</f>
        <v>0.433187173530706</v>
      </c>
      <c r="J57" s="33" t="n">
        <f aca="false">MAX(J56,I57)</f>
        <v>1.00346431426684</v>
      </c>
      <c r="K57" s="32" t="n">
        <f aca="false">IFERROR(I57/J57-1,0)</f>
        <v>-0.568308342038844</v>
      </c>
      <c r="L57" s="32" t="n">
        <f aca="false">ABS(D57)*Assumptions!$E$9/Assumptions!$E$10</f>
        <v>1.16524893972576</v>
      </c>
    </row>
    <row r="58" customFormat="false" ht="15" hidden="false" customHeight="true" outlineLevel="0" collapsed="false">
      <c r="B58" s="1" t="n">
        <v>54</v>
      </c>
      <c r="C58" s="19" t="n">
        <v>-0.00617639494320523</v>
      </c>
      <c r="D58" s="19" t="n">
        <v>0.397140434509974</v>
      </c>
      <c r="E58" s="32" t="n">
        <f aca="false">IF(AND(Assumptions!$E$18&gt;=1,Assumptions!$E$19=1),1,0)</f>
        <v>1</v>
      </c>
      <c r="F58" s="32" t="n">
        <f aca="false">ABS(D58)*Assumptions!$E$7/10000</f>
        <v>0.000992851086274935</v>
      </c>
      <c r="G58" s="32" t="n">
        <f aca="false">Assumptions!$E$8*(ABS(D58)*Assumptions!$E$9/Assumptions!$E$10)^1.5</f>
        <v>0.0195069468689034</v>
      </c>
      <c r="H58" s="32" t="n">
        <f aca="false">IF(E58=1,C58-F58-G58,0)</f>
        <v>-0.0266761928983836</v>
      </c>
      <c r="I58" s="33" t="n">
        <f aca="false">I57*(1+H58)</f>
        <v>0.421631388928495</v>
      </c>
      <c r="J58" s="33" t="n">
        <f aca="false">MAX(J57,I58)</f>
        <v>1.00346431426684</v>
      </c>
      <c r="K58" s="32" t="n">
        <f aca="false">IFERROR(I58/J58-1,0)</f>
        <v>-0.579824231979239</v>
      </c>
      <c r="L58" s="32" t="n">
        <f aca="false">ABS(D58)*Assumptions!$E$9/Assumptions!$E$10</f>
        <v>1.19142130352992</v>
      </c>
    </row>
    <row r="59" customFormat="false" ht="15" hidden="false" customHeight="true" outlineLevel="0" collapsed="false">
      <c r="B59" s="1" t="n">
        <v>55</v>
      </c>
      <c r="C59" s="19" t="n">
        <v>-0.013942149190867</v>
      </c>
      <c r="D59" s="19" t="n">
        <v>0.399998530982606</v>
      </c>
      <c r="E59" s="32" t="n">
        <f aca="false">IF(AND(Assumptions!$E$18&gt;=1,Assumptions!$E$19=1),1,0)</f>
        <v>1</v>
      </c>
      <c r="F59" s="32" t="n">
        <f aca="false">ABS(D59)*Assumptions!$E$7/10000</f>
        <v>0.000999996327456515</v>
      </c>
      <c r="G59" s="32" t="n">
        <f aca="false">Assumptions!$E$8*(ABS(D59)*Assumptions!$E$9/Assumptions!$E$10)^1.5</f>
        <v>0.0197179034474006</v>
      </c>
      <c r="H59" s="32" t="n">
        <f aca="false">IF(E59=1,C59-F59-G59,0)</f>
        <v>-0.0346600489657241</v>
      </c>
      <c r="I59" s="33" t="n">
        <f aca="false">I58*(1+H59)</f>
        <v>0.407017624342747</v>
      </c>
      <c r="J59" s="33" t="n">
        <f aca="false">MAX(J58,I59)</f>
        <v>1.00346431426684</v>
      </c>
      <c r="K59" s="32" t="n">
        <f aca="false">IFERROR(I59/J59-1,0)</f>
        <v>-0.594387544673049</v>
      </c>
      <c r="L59" s="32" t="n">
        <f aca="false">ABS(D59)*Assumptions!$E$9/Assumptions!$E$10</f>
        <v>1.19999559294782</v>
      </c>
    </row>
    <row r="60" customFormat="false" ht="15" hidden="false" customHeight="true" outlineLevel="0" collapsed="false">
      <c r="B60" s="1" t="n">
        <v>56</v>
      </c>
      <c r="C60" s="19" t="n">
        <v>-0.00105545697169086</v>
      </c>
      <c r="D60" s="19" t="n">
        <v>0.396876659372698</v>
      </c>
      <c r="E60" s="32" t="n">
        <f aca="false">IF(AND(Assumptions!$E$18&gt;=1,Assumptions!$E$19=1),1,0)</f>
        <v>1</v>
      </c>
      <c r="F60" s="32" t="n">
        <f aca="false">ABS(D60)*Assumptions!$E$7/10000</f>
        <v>0.000992191648431745</v>
      </c>
      <c r="G60" s="32" t="n">
        <f aca="false">Assumptions!$E$8*(ABS(D60)*Assumptions!$E$9/Assumptions!$E$10)^1.5</f>
        <v>0.0194875157332286</v>
      </c>
      <c r="H60" s="32" t="n">
        <f aca="false">IF(E60=1,C60-F60-G60,0)</f>
        <v>-0.0215351643533512</v>
      </c>
      <c r="I60" s="33" t="n">
        <f aca="false">I59*(1+H60)</f>
        <v>0.398252432907815</v>
      </c>
      <c r="J60" s="33" t="n">
        <f aca="false">MAX(J59,I60)</f>
        <v>1.00346431426684</v>
      </c>
      <c r="K60" s="32" t="n">
        <f aca="false">IFERROR(I60/J60-1,0)</f>
        <v>-0.603122475562282</v>
      </c>
      <c r="L60" s="32" t="n">
        <f aca="false">ABS(D60)*Assumptions!$E$9/Assumptions!$E$10</f>
        <v>1.19062997811809</v>
      </c>
    </row>
    <row r="61" customFormat="false" ht="15" hidden="false" customHeight="true" outlineLevel="0" collapsed="false">
      <c r="B61" s="1" t="n">
        <v>57</v>
      </c>
      <c r="C61" s="19" t="n">
        <v>0.00208927946906418</v>
      </c>
      <c r="D61" s="19" t="n">
        <v>0.387899278849701</v>
      </c>
      <c r="E61" s="32" t="n">
        <f aca="false">IF(AND(Assumptions!$E$18&gt;=1,Assumptions!$E$19=1),1,0)</f>
        <v>1</v>
      </c>
      <c r="F61" s="32" t="n">
        <f aca="false">ABS(D61)*Assumptions!$E$7/10000</f>
        <v>0.000969748197124253</v>
      </c>
      <c r="G61" s="32" t="n">
        <f aca="false">Assumptions!$E$8*(ABS(D61)*Assumptions!$E$9/Assumptions!$E$10)^1.5</f>
        <v>0.0188300554724611</v>
      </c>
      <c r="H61" s="32" t="n">
        <f aca="false">IF(E61=1,C61-F61-G61,0)</f>
        <v>-0.0177105242005212</v>
      </c>
      <c r="I61" s="33" t="n">
        <f aca="false">I60*(1+H61)</f>
        <v>0.391199173556885</v>
      </c>
      <c r="J61" s="33" t="n">
        <f aca="false">MAX(J60,I61)</f>
        <v>1.00346431426684</v>
      </c>
      <c r="K61" s="32" t="n">
        <f aca="false">IFERROR(I61/J61-1,0)</f>
        <v>-0.610151384563479</v>
      </c>
      <c r="L61" s="32" t="n">
        <f aca="false">ABS(D61)*Assumptions!$E$9/Assumptions!$E$10</f>
        <v>1.1636978365491</v>
      </c>
    </row>
    <row r="62" customFormat="false" ht="15" hidden="false" customHeight="true" outlineLevel="0" collapsed="false">
      <c r="B62" s="1" t="n">
        <v>58</v>
      </c>
      <c r="C62" s="19" t="n">
        <v>0.00507084643567315</v>
      </c>
      <c r="D62" s="19" t="n">
        <v>0.373424289245306</v>
      </c>
      <c r="E62" s="32" t="n">
        <f aca="false">IF(AND(Assumptions!$E$18&gt;=1,Assumptions!$E$19=1),1,0)</f>
        <v>1</v>
      </c>
      <c r="F62" s="32" t="n">
        <f aca="false">ABS(D62)*Assumptions!$E$7/10000</f>
        <v>0.000933560723113265</v>
      </c>
      <c r="G62" s="32" t="n">
        <f aca="false">Assumptions!$E$8*(ABS(D62)*Assumptions!$E$9/Assumptions!$E$10)^1.5</f>
        <v>0.0177859466676157</v>
      </c>
      <c r="H62" s="32" t="n">
        <f aca="false">IF(E62=1,C62-F62-G62,0)</f>
        <v>-0.0136486609550558</v>
      </c>
      <c r="I62" s="33" t="n">
        <f aca="false">I61*(1+H62)</f>
        <v>0.385859828671109</v>
      </c>
      <c r="J62" s="33" t="n">
        <f aca="false">MAX(J61,I62)</f>
        <v>1.00346431426684</v>
      </c>
      <c r="K62" s="32" t="n">
        <f aca="false">IFERROR(I62/J62-1,0)</f>
        <v>-0.61547229613937</v>
      </c>
      <c r="L62" s="32" t="n">
        <f aca="false">ABS(D62)*Assumptions!$E$9/Assumptions!$E$10</f>
        <v>1.12027286773592</v>
      </c>
    </row>
    <row r="63" customFormat="false" ht="15" hidden="false" customHeight="true" outlineLevel="0" collapsed="false">
      <c r="B63" s="1" t="n">
        <v>59</v>
      </c>
      <c r="C63" s="19" t="n">
        <v>0.00748911701523658</v>
      </c>
      <c r="D63" s="19" t="n">
        <v>0.354028762716568</v>
      </c>
      <c r="E63" s="32" t="n">
        <f aca="false">IF(AND(Assumptions!$E$18&gt;=1,Assumptions!$E$19=1),1,0)</f>
        <v>1</v>
      </c>
      <c r="F63" s="32" t="n">
        <f aca="false">ABS(D63)*Assumptions!$E$7/10000</f>
        <v>0.00088507190679142</v>
      </c>
      <c r="G63" s="32" t="n">
        <f aca="false">Assumptions!$E$8*(ABS(D63)*Assumptions!$E$9/Assumptions!$E$10)^1.5</f>
        <v>0.0164184049118237</v>
      </c>
      <c r="H63" s="32" t="n">
        <f aca="false">IF(E63=1,C63-F63-G63,0)</f>
        <v>-0.00981435980337857</v>
      </c>
      <c r="I63" s="33" t="n">
        <f aca="false">I62*(1+H63)</f>
        <v>0.382072861478861</v>
      </c>
      <c r="J63" s="33" t="n">
        <f aca="false">MAX(J62,I63)</f>
        <v>1.00346431426684</v>
      </c>
      <c r="K63" s="32" t="n">
        <f aca="false">IFERROR(I63/J63-1,0)</f>
        <v>-0.619246189379425</v>
      </c>
      <c r="L63" s="32" t="n">
        <f aca="false">ABS(D63)*Assumptions!$E$9/Assumptions!$E$10</f>
        <v>1.0620862881497</v>
      </c>
    </row>
    <row r="64" customFormat="false" ht="15" hidden="false" customHeight="true" outlineLevel="0" collapsed="false">
      <c r="B64" s="1" t="n">
        <v>60</v>
      </c>
      <c r="C64" s="19" t="n">
        <v>-0.00098943569946022</v>
      </c>
      <c r="D64" s="19" t="n">
        <v>0.330485937700065</v>
      </c>
      <c r="E64" s="32" t="n">
        <f aca="false">IF(AND(Assumptions!$E$18&gt;=1,Assumptions!$E$19=1),1,0)</f>
        <v>1</v>
      </c>
      <c r="F64" s="32" t="n">
        <f aca="false">ABS(D64)*Assumptions!$E$7/10000</f>
        <v>0.000826214844250162</v>
      </c>
      <c r="G64" s="32" t="n">
        <f aca="false">Assumptions!$E$8*(ABS(D64)*Assumptions!$E$9/Assumptions!$E$10)^1.5</f>
        <v>0.0148082118313749</v>
      </c>
      <c r="H64" s="32" t="n">
        <f aca="false">IF(E64=1,C64-F64-G64,0)</f>
        <v>-0.0166238623750853</v>
      </c>
      <c r="I64" s="33" t="n">
        <f aca="false">I63*(1+H64)</f>
        <v>0.375721334812381</v>
      </c>
      <c r="J64" s="33" t="n">
        <f aca="false">MAX(J63,I64)</f>
        <v>1.00346431426684</v>
      </c>
      <c r="K64" s="32" t="n">
        <f aca="false">IFERROR(I64/J64-1,0)</f>
        <v>-0.625575788325971</v>
      </c>
      <c r="L64" s="32" t="n">
        <f aca="false">ABS(D64)*Assumptions!$E$9/Assumptions!$E$10</f>
        <v>0.991457813100195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163</v>
      </c>
      <c r="C2" s="2"/>
      <c r="D2" s="2"/>
      <c r="E2" s="2"/>
    </row>
    <row r="4" customFormat="false" ht="15" hidden="false" customHeight="true" outlineLevel="0" collapsed="false">
      <c r="B4" s="16" t="s">
        <v>164</v>
      </c>
      <c r="C4" s="16" t="s">
        <v>165</v>
      </c>
      <c r="D4" s="16" t="s">
        <v>166</v>
      </c>
      <c r="E4" s="16" t="s">
        <v>167</v>
      </c>
    </row>
    <row r="5" customFormat="false" ht="15" hidden="false" customHeight="true" outlineLevel="0" collapsed="false">
      <c r="B5" s="1" t="s">
        <v>168</v>
      </c>
      <c r="C5" s="32" t="n">
        <f aca="false">AVERAGE(Backtest!C5:C64)*Assumptions!E5</f>
        <v>0.0106418518703173</v>
      </c>
      <c r="D5" s="32" t="n">
        <f aca="false">AVERAGE(Backtest!H5:H64)*Assumptions!E5</f>
        <v>-0.19358128074481</v>
      </c>
      <c r="E5" s="1" t="s">
        <v>169</v>
      </c>
    </row>
    <row r="6" customFormat="false" ht="15" hidden="false" customHeight="true" outlineLevel="0" collapsed="false">
      <c r="B6" s="1" t="s">
        <v>170</v>
      </c>
      <c r="C6" s="32" t="n">
        <f aca="false">STDEVP(Backtest!C5:C64)*SQRT(Assumptions!E5)</f>
        <v>0.0366220319407769</v>
      </c>
      <c r="D6" s="32" t="n">
        <f aca="false">STDEVP(Backtest!H5:H64)*SQRT(Assumptions!E5)</f>
        <v>0.0347255300345332</v>
      </c>
      <c r="E6" s="1" t="s">
        <v>171</v>
      </c>
    </row>
    <row r="7" customFormat="false" ht="15" hidden="false" customHeight="true" outlineLevel="0" collapsed="false">
      <c r="B7" s="1" t="s">
        <v>172</v>
      </c>
      <c r="C7" s="34" t="n">
        <f aca="false">IFERROR((AVERAGE(Backtest!C5:C64)-Assumptions!E6)/STDEVP(Backtest!C5:C64)*SQRT(Assumptions!E5),0)</f>
        <v>-0.364757153597724</v>
      </c>
      <c r="D7" s="34" t="n">
        <f aca="false">IFERROR((AVERAGE(Backtest!H5:H64)-Assumptions!E6)/STDEVP(Backtest!H5:H64)*SQRT(Assumptions!E5),0)</f>
        <v>-6.26574397938443</v>
      </c>
      <c r="E7" s="1" t="s">
        <v>173</v>
      </c>
    </row>
    <row r="8" customFormat="false" ht="15" hidden="false" customHeight="true" outlineLevel="0" collapsed="false">
      <c r="B8" s="1" t="s">
        <v>174</v>
      </c>
      <c r="C8" s="34" t="n">
        <f aca="false">IFERROR((AVERAGE(Backtest!C5:C64)-Assumptions!E6)/SQRT(SUMPRODUCT((Backtest!C5:C64&lt;Assumptions!E6)*(Backtest!C5:C64-Assumptions!E6)^2)/COUNT(Backtest!C5:C64))*SQRT(Assumptions!E5),0)</f>
        <v>-0.476754711518125</v>
      </c>
      <c r="D8" s="34" t="n">
        <f aca="false">IFERROR((AVERAGE(Backtest!H5:H64)-Assumptions!E6)/SQRT(SUMPRODUCT((Backtest!H5:H64&lt;Assumptions!E6)*(Backtest!H5:H64-Assumptions!E6)^2)/COUNT(Backtest!H5:H64))*SQRT(Assumptions!E5),0)</f>
        <v>-3.03163051910122</v>
      </c>
      <c r="E8" s="1" t="s">
        <v>175</v>
      </c>
    </row>
    <row r="9" customFormat="false" ht="15" hidden="false" customHeight="true" outlineLevel="0" collapsed="false">
      <c r="B9" s="1" t="s">
        <v>176</v>
      </c>
      <c r="C9" s="32" t="n">
        <f aca="false">MIN(Backtest!K5:K64)</f>
        <v>-0.625575788325971</v>
      </c>
      <c r="D9" s="32" t="n">
        <f aca="false">MIN(Backtest!K5:K64)</f>
        <v>-0.625575788325971</v>
      </c>
      <c r="E9" s="1" t="s">
        <v>177</v>
      </c>
    </row>
    <row r="10" customFormat="false" ht="15" hidden="false" customHeight="true" outlineLevel="0" collapsed="false">
      <c r="B10" s="1" t="s">
        <v>178</v>
      </c>
      <c r="C10" s="32" t="n">
        <f aca="false">COUNTIF(Backtest!C5:C64,"&gt;0")/COUNT(Backtest!C5:C64)</f>
        <v>0.5</v>
      </c>
      <c r="D10" s="32" t="n">
        <f aca="false">COUNTIF(Backtest!H5:H64,"&gt;0")/COUNT(Backtest!H5:H64)</f>
        <v>0.1</v>
      </c>
      <c r="E10" s="1" t="s">
        <v>179</v>
      </c>
    </row>
    <row r="11" customFormat="false" ht="15" hidden="false" customHeight="true" outlineLevel="0" collapsed="false">
      <c r="B11" s="1" t="s">
        <v>180</v>
      </c>
      <c r="C11" s="35" t="n">
        <f aca="false">PRODUCT(1+Backtest!C5:C64)</f>
        <v>1.01391884441607</v>
      </c>
      <c r="D11" s="35" t="n">
        <f aca="false">Backtest!I64</f>
        <v>0.375721334812381</v>
      </c>
      <c r="E11" s="1" t="s">
        <v>181</v>
      </c>
    </row>
    <row r="12" customFormat="false" ht="15" hidden="false" customHeight="true" outlineLevel="0" collapsed="false">
      <c r="B12" s="1" t="s">
        <v>182</v>
      </c>
      <c r="C12" s="32" t="n">
        <f aca="false">C5-D5</f>
        <v>0.204223132615127</v>
      </c>
      <c r="D12" s="32" t="n">
        <f aca="false">C5-D5</f>
        <v>0.204223132615127</v>
      </c>
      <c r="E12" s="1" t="s">
        <v>183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6" min="3" style="1" width="13"/>
    <col collapsed="false" customWidth="true" hidden="false" outlineLevel="0" max="10" min="7" style="1" width="16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185</v>
      </c>
      <c r="C4" s="16" t="s">
        <v>186</v>
      </c>
      <c r="D4" s="16" t="s">
        <v>187</v>
      </c>
      <c r="E4" s="16" t="s">
        <v>188</v>
      </c>
      <c r="F4" s="16" t="s">
        <v>189</v>
      </c>
      <c r="G4" s="16" t="s">
        <v>190</v>
      </c>
      <c r="H4" s="16" t="s">
        <v>191</v>
      </c>
      <c r="I4" s="16" t="s">
        <v>192</v>
      </c>
      <c r="J4" s="16" t="s">
        <v>193</v>
      </c>
    </row>
    <row r="5" customFormat="false" ht="15" hidden="false" customHeight="true" outlineLevel="0" collapsed="false">
      <c r="B5" s="1" t="n">
        <v>1</v>
      </c>
      <c r="C5" s="1" t="n">
        <v>1</v>
      </c>
      <c r="D5" s="1" t="n">
        <v>24</v>
      </c>
      <c r="E5" s="1" t="n">
        <v>25</v>
      </c>
      <c r="F5" s="1" t="n">
        <v>30</v>
      </c>
      <c r="G5" s="34" t="n">
        <f aca="false">IFERROR(AVERAGE(INDEX(Backtest!$H$5:$H$64,C5):INDEX(Backtest!$H$5:$H$64,D5))/STDEVP(INDEX(Backtest!$H$5:$H$64,C5):INDEX(Backtest!$H$5:$H$64,D5))*SQRT(Assumptions!$E$5),0)</f>
        <v>-5.20560634187653</v>
      </c>
      <c r="H5" s="34" t="n">
        <f aca="false">IFERROR(AVERAGE(INDEX(Backtest!$H$5:$H$64,E5):INDEX(Backtest!$H$5:$H$64,F5))/STDEVP(INDEX(Backtest!$H$5:$H$64,E5):INDEX(Backtest!$H$5:$H$64,F5))*SQRT(Assumptions!$E$5),0)</f>
        <v>-12.9880807438413</v>
      </c>
      <c r="I5" s="32" t="n">
        <f aca="false">(1+INDEX(Backtest!$H$5:$H$64,E5+0))*(1+INDEX(Backtest!$H$5:$H$64,E5+1))*(1+INDEX(Backtest!$H$5:$H$64,E5+2))*(1+INDEX(Backtest!$H$5:$H$64,E5+3))*(1+INDEX(Backtest!$H$5:$H$64,E5+4))*(1+INDEX(Backtest!$H$5:$H$64,E5+5))-1</f>
        <v>-0.113771020337156</v>
      </c>
      <c r="J5" s="34" t="n">
        <f aca="false">H5-G5</f>
        <v>-7.78247440196474</v>
      </c>
    </row>
    <row r="6" customFormat="false" ht="15" hidden="false" customHeight="true" outlineLevel="0" collapsed="false">
      <c r="B6" s="1" t="n">
        <v>2</v>
      </c>
      <c r="C6" s="1" t="n">
        <v>7</v>
      </c>
      <c r="D6" s="1" t="n">
        <v>30</v>
      </c>
      <c r="E6" s="1" t="n">
        <v>31</v>
      </c>
      <c r="F6" s="1" t="n">
        <v>36</v>
      </c>
      <c r="G6" s="34" t="n">
        <f aca="false">IFERROR(AVERAGE(INDEX(Backtest!$H$5:$H$64,C6):INDEX(Backtest!$H$5:$H$64,D6))/STDEVP(INDEX(Backtest!$H$5:$H$64,C6):INDEX(Backtest!$H$5:$H$64,D6))*SQRT(Assumptions!$E$5),0)</f>
        <v>-10.3181755353465</v>
      </c>
      <c r="H6" s="34" t="n">
        <f aca="false">IFERROR(AVERAGE(INDEX(Backtest!$H$5:$H$64,E6):INDEX(Backtest!$H$5:$H$64,F6))/STDEVP(INDEX(Backtest!$H$5:$H$64,E6):INDEX(Backtest!$H$5:$H$64,F6))*SQRT(Assumptions!$E$5),0)</f>
        <v>-19.4228641999198</v>
      </c>
      <c r="I6" s="32" t="n">
        <f aca="false">(1+INDEX(Backtest!$H$5:$H$64,E6+0))*(1+INDEX(Backtest!$H$5:$H$64,E6+1))*(1+INDEX(Backtest!$H$5:$H$64,E6+2))*(1+INDEX(Backtest!$H$5:$H$64,E6+3))*(1+INDEX(Backtest!$H$5:$H$64,E6+4))*(1+INDEX(Backtest!$H$5:$H$64,E6+5))-1</f>
        <v>-0.133771284464524</v>
      </c>
      <c r="J6" s="34" t="n">
        <f aca="false">H6-G6</f>
        <v>-9.1046886645733</v>
      </c>
    </row>
    <row r="7" customFormat="false" ht="15" hidden="false" customHeight="true" outlineLevel="0" collapsed="false">
      <c r="B7" s="1" t="n">
        <v>3</v>
      </c>
      <c r="C7" s="1" t="n">
        <v>13</v>
      </c>
      <c r="D7" s="1" t="n">
        <v>36</v>
      </c>
      <c r="E7" s="1" t="n">
        <v>37</v>
      </c>
      <c r="F7" s="1" t="n">
        <v>42</v>
      </c>
      <c r="G7" s="34" t="n">
        <f aca="false">IFERROR(AVERAGE(INDEX(Backtest!$H$5:$H$64,C7):INDEX(Backtest!$H$5:$H$64,D7))/STDEVP(INDEX(Backtest!$H$5:$H$64,C7):INDEX(Backtest!$H$5:$H$64,D7))*SQRT(Assumptions!$E$5),0)</f>
        <v>-12.6907238165229</v>
      </c>
      <c r="H7" s="34" t="n">
        <f aca="false">IFERROR(AVERAGE(INDEX(Backtest!$H$5:$H$64,E7):INDEX(Backtest!$H$5:$H$64,F7))/STDEVP(INDEX(Backtest!$H$5:$H$64,E7):INDEX(Backtest!$H$5:$H$64,F7))*SQRT(Assumptions!$E$5),0)</f>
        <v>-4.8734587131571</v>
      </c>
      <c r="I7" s="32" t="n">
        <f aca="false">(1+INDEX(Backtest!$H$5:$H$64,E7+0))*(1+INDEX(Backtest!$H$5:$H$64,E7+1))*(1+INDEX(Backtest!$H$5:$H$64,E7+2))*(1+INDEX(Backtest!$H$5:$H$64,E7+3))*(1+INDEX(Backtest!$H$5:$H$64,E7+4))*(1+INDEX(Backtest!$H$5:$H$64,E7+5))-1</f>
        <v>-0.0547705822667792</v>
      </c>
      <c r="J7" s="34" t="n">
        <f aca="false">H7-G7</f>
        <v>7.81726510336578</v>
      </c>
    </row>
    <row r="8" customFormat="false" ht="15" hidden="false" customHeight="true" outlineLevel="0" collapsed="false">
      <c r="B8" s="1" t="n">
        <v>4</v>
      </c>
      <c r="C8" s="1" t="n">
        <v>19</v>
      </c>
      <c r="D8" s="1" t="n">
        <v>42</v>
      </c>
      <c r="E8" s="1" t="n">
        <v>43</v>
      </c>
      <c r="F8" s="1" t="n">
        <v>48</v>
      </c>
      <c r="G8" s="34" t="n">
        <f aca="false">IFERROR(AVERAGE(INDEX(Backtest!$H$5:$H$64,C8):INDEX(Backtest!$H$5:$H$64,D8))/STDEVP(INDEX(Backtest!$H$5:$H$64,C8):INDEX(Backtest!$H$5:$H$64,D8))*SQRT(Assumptions!$E$5),0)</f>
        <v>-8.00279635387307</v>
      </c>
      <c r="H8" s="34" t="n">
        <f aca="false">IFERROR(AVERAGE(INDEX(Backtest!$H$5:$H$64,E8):INDEX(Backtest!$H$5:$H$64,F8))/STDEVP(INDEX(Backtest!$H$5:$H$64,E8):INDEX(Backtest!$H$5:$H$64,F8))*SQRT(Assumptions!$E$5),0)</f>
        <v>-2.05038212735139</v>
      </c>
      <c r="I8" s="32" t="n">
        <f aca="false">(1+INDEX(Backtest!$H$5:$H$64,E8+0))*(1+INDEX(Backtest!$H$5:$H$64,E8+1))*(1+INDEX(Backtest!$H$5:$H$64,E8+2))*(1+INDEX(Backtest!$H$5:$H$64,E8+3))*(1+INDEX(Backtest!$H$5:$H$64,E8+4))*(1+INDEX(Backtest!$H$5:$H$64,E8+5))-1</f>
        <v>-0.0157801001759573</v>
      </c>
      <c r="J8" s="34" t="n">
        <f aca="false">H8-G8</f>
        <v>5.95241422652167</v>
      </c>
    </row>
    <row r="9" customFormat="false" ht="15" hidden="false" customHeight="true" outlineLevel="0" collapsed="false">
      <c r="B9" s="1" t="n">
        <v>5</v>
      </c>
      <c r="C9" s="1" t="n">
        <v>25</v>
      </c>
      <c r="D9" s="1" t="n">
        <v>48</v>
      </c>
      <c r="E9" s="1" t="n">
        <v>49</v>
      </c>
      <c r="F9" s="1" t="n">
        <v>54</v>
      </c>
      <c r="G9" s="34" t="n">
        <f aca="false">IFERROR(AVERAGE(INDEX(Backtest!$H$5:$H$64,C9):INDEX(Backtest!$H$5:$H$64,D9))/STDEVP(INDEX(Backtest!$H$5:$H$64,C9):INDEX(Backtest!$H$5:$H$64,D9))*SQRT(Assumptions!$E$5),0)</f>
        <v>-4.87765359965351</v>
      </c>
      <c r="H9" s="34" t="n">
        <f aca="false">IFERROR(AVERAGE(INDEX(Backtest!$H$5:$H$64,E9):INDEX(Backtest!$H$5:$H$64,F9))/STDEVP(INDEX(Backtest!$H$5:$H$64,E9):INDEX(Backtest!$H$5:$H$64,F9))*SQRT(Assumptions!$E$5),0)</f>
        <v>-17.4008676014317</v>
      </c>
      <c r="I9" s="32" t="n">
        <f aca="false">(1+INDEX(Backtest!$H$5:$H$64,E9+0))*(1+INDEX(Backtest!$H$5:$H$64,E9+1))*(1+INDEX(Backtest!$H$5:$H$64,E9+2))*(1+INDEX(Backtest!$H$5:$H$64,E9+3))*(1+INDEX(Backtest!$H$5:$H$64,E9+4))*(1+INDEX(Backtest!$H$5:$H$64,E9+5))-1</f>
        <v>-0.139162223741184</v>
      </c>
      <c r="J9" s="34" t="n">
        <f aca="false">H9-G9</f>
        <v>-12.5232140017782</v>
      </c>
    </row>
    <row r="10" customFormat="false" ht="15" hidden="false" customHeight="true" outlineLevel="0" collapsed="false">
      <c r="B10" s="1" t="n">
        <v>6</v>
      </c>
      <c r="C10" s="1" t="n">
        <v>31</v>
      </c>
      <c r="D10" s="1" t="n">
        <v>54</v>
      </c>
      <c r="E10" s="1" t="n">
        <v>55</v>
      </c>
      <c r="F10" s="1" t="n">
        <v>60</v>
      </c>
      <c r="G10" s="34" t="n">
        <f aca="false">IFERROR(AVERAGE(INDEX(Backtest!$H$5:$H$64,C10):INDEX(Backtest!$H$5:$H$64,D10))/STDEVP(INDEX(Backtest!$H$5:$H$64,C10):INDEX(Backtest!$H$5:$H$64,D10))*SQRT(Assumptions!$E$5),0)</f>
        <v>-4.87368554174409</v>
      </c>
      <c r="H10" s="34" t="n">
        <f aca="false">IFERROR(AVERAGE(INDEX(Backtest!$H$5:$H$64,E10):INDEX(Backtest!$H$5:$H$64,F10))/STDEVP(INDEX(Backtest!$H$5:$H$64,E10):INDEX(Backtest!$H$5:$H$64,F10))*SQRT(Assumptions!$E$5),0)</f>
        <v>-8.35850427713227</v>
      </c>
      <c r="I10" s="32" t="n">
        <f aca="false">(1+INDEX(Backtest!$H$5:$H$64,E10+0))*(1+INDEX(Backtest!$H$5:$H$64,E10+1))*(1+INDEX(Backtest!$H$5:$H$64,E10+2))*(1+INDEX(Backtest!$H$5:$H$64,E10+3))*(1+INDEX(Backtest!$H$5:$H$64,E10+4))*(1+INDEX(Backtest!$H$5:$H$64,E10+5))-1</f>
        <v>-0.10888670844167</v>
      </c>
      <c r="J10" s="34" t="n">
        <f aca="false">H10-G10</f>
        <v>-3.48481873538818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194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195</v>
      </c>
      <c r="C4" s="36" t="n">
        <v>0.1</v>
      </c>
      <c r="D4" s="36" t="n">
        <v>0.25</v>
      </c>
      <c r="E4" s="36" t="n">
        <v>0.5</v>
      </c>
      <c r="F4" s="36" t="n">
        <v>0.75</v>
      </c>
      <c r="G4" s="36" t="n">
        <v>1</v>
      </c>
    </row>
    <row r="5" customFormat="false" ht="15" hidden="false" customHeight="true" outlineLevel="0" collapsed="false">
      <c r="B5" s="37" t="n">
        <v>10</v>
      </c>
      <c r="C5" s="32" t="n">
        <f aca="false">C$4*Assumptions!$E$7/10000+Assumptions!$E$8*(C$4*$B5/Assumptions!$E$10)^1.5</f>
        <v>0.000265</v>
      </c>
      <c r="D5" s="32" t="n">
        <f aca="false">D$4*Assumptions!$E$7/10000+Assumptions!$E$8*(D$4*$B5/Assumptions!$E$10)^1.5</f>
        <v>0.000684292706128157</v>
      </c>
      <c r="E5" s="32" t="n">
        <f aca="false">E$4*Assumptions!$E$7/10000+Assumptions!$E$8*(E$4*$B5/Assumptions!$E$10)^1.5</f>
        <v>0.00141770509831248</v>
      </c>
      <c r="F5" s="32" t="n">
        <f aca="false">F$4*Assumptions!$E$7/10000+Assumptions!$E$8*(F$4*$B5/Assumptions!$E$10)^1.5</f>
        <v>0.00218309393859666</v>
      </c>
      <c r="G5" s="32" t="n">
        <f aca="false">G$4*Assumptions!$E$7/10000+Assumptions!$E$8*(G$4*$B5/Assumptions!$E$10)^1.5</f>
        <v>0.00297434164902526</v>
      </c>
    </row>
    <row r="6" customFormat="false" ht="15" hidden="false" customHeight="true" outlineLevel="0" collapsed="false">
      <c r="B6" s="37" t="n">
        <v>25</v>
      </c>
      <c r="C6" s="32" t="n">
        <f aca="false">C$4*Assumptions!$E$7/10000+Assumptions!$E$8*(C$4*$B6/Assumptions!$E$10)^1.5</f>
        <v>0.000309292706128157</v>
      </c>
      <c r="D6" s="32" t="n">
        <f aca="false">D$4*Assumptions!$E$7/10000+Assumptions!$E$8*(D$4*$B6/Assumptions!$E$10)^1.5</f>
        <v>0.000859375</v>
      </c>
      <c r="E6" s="32" t="n">
        <f aca="false">E$4*Assumptions!$E$7/10000+Assumptions!$E$8*(E$4*$B6/Assumptions!$E$10)^1.5</f>
        <v>0.00191291260736239</v>
      </c>
      <c r="F6" s="32" t="n">
        <f aca="false">F$4*Assumptions!$E$7/10000+Assumptions!$E$8*(F$4*$B6/Assumptions!$E$10)^1.5</f>
        <v>0.00309284822407187</v>
      </c>
      <c r="G6" s="32" t="n">
        <f aca="false">G$4*Assumptions!$E$7/10000+Assumptions!$E$8*(G$4*$B6/Assumptions!$E$10)^1.5</f>
        <v>0.004375</v>
      </c>
    </row>
    <row r="7" customFormat="false" ht="15" hidden="false" customHeight="true" outlineLevel="0" collapsed="false">
      <c r="B7" s="37" t="n">
        <v>50</v>
      </c>
      <c r="C7" s="32" t="n">
        <f aca="false">C$4*Assumptions!$E$7/10000+Assumptions!$E$8*(C$4*$B7/Assumptions!$E$10)^1.5</f>
        <v>0.000417705098312484</v>
      </c>
      <c r="D7" s="32" t="n">
        <f aca="false">D$4*Assumptions!$E$7/10000+Assumptions!$E$8*(D$4*$B7/Assumptions!$E$10)^1.5</f>
        <v>0.00128791260736239</v>
      </c>
      <c r="E7" s="32" t="n">
        <f aca="false">E$4*Assumptions!$E$7/10000+Assumptions!$E$8*(E$4*$B7/Assumptions!$E$10)^1.5</f>
        <v>0.003125</v>
      </c>
      <c r="F7" s="32" t="n">
        <f aca="false">F$4*Assumptions!$E$7/10000+Assumptions!$E$8*(F$4*$B7/Assumptions!$E$10)^1.5</f>
        <v>0.00531959495078884</v>
      </c>
      <c r="G7" s="32" t="n">
        <f aca="false">G$4*Assumptions!$E$7/10000+Assumptions!$E$8*(G$4*$B7/Assumptions!$E$10)^1.5</f>
        <v>0.00780330085889911</v>
      </c>
    </row>
    <row r="8" customFormat="false" ht="15" hidden="false" customHeight="true" outlineLevel="0" collapsed="false">
      <c r="B8" s="37" t="n">
        <v>100</v>
      </c>
      <c r="C8" s="32" t="n">
        <f aca="false">C$4*Assumptions!$E$7/10000+Assumptions!$E$8*(C$4*$B8/Assumptions!$E$10)^1.5</f>
        <v>0.000724341649025257</v>
      </c>
      <c r="D8" s="32" t="n">
        <f aca="false">D$4*Assumptions!$E$7/10000+Assumptions!$E$8*(D$4*$B8/Assumptions!$E$10)^1.5</f>
        <v>0.0025</v>
      </c>
      <c r="E8" s="32" t="n">
        <f aca="false">E$4*Assumptions!$E$7/10000+Assumptions!$E$8*(E$4*$B8/Assumptions!$E$10)^1.5</f>
        <v>0.00655330085889911</v>
      </c>
      <c r="F8" s="32" t="n">
        <f aca="false">F$4*Assumptions!$E$7/10000+Assumptions!$E$8*(F$4*$B8/Assumptions!$E$10)^1.5</f>
        <v>0.0116177857925749</v>
      </c>
      <c r="G8" s="32" t="n">
        <f aca="false">G$4*Assumptions!$E$7/10000+Assumptions!$E$8*(G$4*$B8/Assumptions!$E$10)^1.5</f>
        <v>0.0175</v>
      </c>
    </row>
    <row r="9" customFormat="false" ht="15" hidden="false" customHeight="true" outlineLevel="0" collapsed="false">
      <c r="B9" s="37" t="n">
        <v>250</v>
      </c>
      <c r="C9" s="32" t="n">
        <f aca="false">C$4*Assumptions!$E$7/10000+Assumptions!$E$8*(C$4*$B9/Assumptions!$E$10)^1.5</f>
        <v>0.002125</v>
      </c>
      <c r="D9" s="32" t="n">
        <f aca="false">D$4*Assumptions!$E$7/10000+Assumptions!$E$8*(D$4*$B9/Assumptions!$E$10)^1.5</f>
        <v>0.00803658826601964</v>
      </c>
      <c r="E9" s="32" t="n">
        <f aca="false">E$4*Assumptions!$E$7/10000+Assumptions!$E$8*(E$4*$B9/Assumptions!$E$10)^1.5</f>
        <v>0.0222131372890605</v>
      </c>
      <c r="F9" s="32" t="n">
        <f aca="false">F$4*Assumptions!$E$7/10000+Assumptions!$E$8*(F$4*$B9/Assumptions!$E$10)^1.5</f>
        <v>0.040386742324582</v>
      </c>
      <c r="G9" s="32" t="n">
        <f aca="false">G$4*Assumptions!$E$7/10000+Assumptions!$E$8*(G$4*$B9/Assumptions!$E$10)^1.5</f>
        <v>0.0617927061281571</v>
      </c>
    </row>
    <row r="12" customFormat="false" ht="15" hidden="false" customHeight="true" outlineLevel="0" collapsed="false">
      <c r="B12" s="1" t="s">
        <v>196</v>
      </c>
      <c r="C12" s="32" t="n">
        <f aca="false">MAX(Backtest!L5:L64)</f>
        <v>1.19999559294782</v>
      </c>
    </row>
    <row r="13" customFormat="false" ht="15" hidden="false" customHeight="true" outlineLevel="0" collapsed="false">
      <c r="B13" s="1" t="s">
        <v>197</v>
      </c>
      <c r="C13" s="32" t="n">
        <f aca="false">Assumptions!E11</f>
        <v>0.08</v>
      </c>
    </row>
    <row r="14" customFormat="false" ht="15" hidden="false" customHeight="true" outlineLevel="0" collapsed="false">
      <c r="B14" s="1" t="s">
        <v>198</v>
      </c>
      <c r="C14" s="1" t="str">
        <f aca="false">IF(C12&lt;=C13,"PASS","BREACH")</f>
        <v>BREACH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conditionalFormatting sqref="C14">
    <cfRule type="expression" priority="3" aboveAverage="0" equalAverage="0" bottom="0" percent="0" rank="0" text="" dxfId="0">
      <formula>C14="PASS"</formula>
    </cfRule>
    <cfRule type="expression" priority="4" aboveAverage="0" equalAverage="0" bottom="0" percent="0" rank="0" text="" dxfId="1">
      <formula>C14="FAIL"</formula>
    </cfRule>
    <cfRule type="expression" priority="5" aboveAverage="0" equalAverage="0" bottom="0" percent="0" rank="0" text="" dxfId="2">
      <formula>C14="REVIEW"</formula>
    </cfRule>
    <cfRule type="expression" priority="6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199</v>
      </c>
      <c r="C2" s="2"/>
      <c r="D2" s="2"/>
      <c r="E2" s="2"/>
    </row>
    <row r="4" customFormat="false" ht="15" hidden="false" customHeight="true" outlineLevel="0" collapsed="false">
      <c r="B4" s="16" t="s">
        <v>164</v>
      </c>
      <c r="C4" s="16" t="s">
        <v>200</v>
      </c>
      <c r="D4" s="16" t="s">
        <v>201</v>
      </c>
      <c r="E4" s="16" t="s">
        <v>202</v>
      </c>
    </row>
    <row r="5" customFormat="false" ht="15" hidden="false" customHeight="true" outlineLevel="0" collapsed="false">
      <c r="B5" s="1" t="s">
        <v>203</v>
      </c>
      <c r="C5" s="32" t="n">
        <f aca="false">-PERCENTILE(Backtest!H5:H64,1-Assumptions!E15)</f>
        <v>0.0345297713708624</v>
      </c>
      <c r="D5" s="1" t="s">
        <v>131</v>
      </c>
      <c r="E5" s="1" t="s">
        <v>204</v>
      </c>
    </row>
    <row r="6" customFormat="false" ht="15" hidden="false" customHeight="true" outlineLevel="0" collapsed="false">
      <c r="B6" s="1" t="s">
        <v>205</v>
      </c>
      <c r="C6" s="32" t="n">
        <f aca="false">IFERROR(-AVERAGEIF(Backtest!H5:H64,"&lt;="&amp;-C5,Backtest!H5:H64),0)</f>
        <v>0.0346600489657241</v>
      </c>
      <c r="D6" s="1" t="s">
        <v>131</v>
      </c>
      <c r="E6" s="1" t="s">
        <v>206</v>
      </c>
    </row>
    <row r="7" customFormat="false" ht="15" hidden="false" customHeight="true" outlineLevel="0" collapsed="false">
      <c r="B7" s="1" t="s">
        <v>207</v>
      </c>
      <c r="C7" s="32" t="n">
        <f aca="false">-(AVERAGE(Backtest!H5:H64)+NORMSINV(1-Assumptions!E15)*STDEVP(Backtest!H5:H64))</f>
        <v>0.039452008176552</v>
      </c>
      <c r="D7" s="1" t="s">
        <v>131</v>
      </c>
      <c r="E7" s="1" t="s">
        <v>208</v>
      </c>
    </row>
    <row r="8" customFormat="false" ht="15" hidden="false" customHeight="true" outlineLevel="0" collapsed="false">
      <c r="B8" s="1" t="s">
        <v>176</v>
      </c>
      <c r="C8" s="32" t="n">
        <f aca="false">Performance!D9</f>
        <v>-0.625575788325971</v>
      </c>
      <c r="D8" s="1" t="s">
        <v>131</v>
      </c>
      <c r="E8" s="1" t="s">
        <v>209</v>
      </c>
    </row>
    <row r="9" customFormat="false" ht="15" hidden="false" customHeight="true" outlineLevel="0" collapsed="false">
      <c r="B9" s="1" t="s">
        <v>210</v>
      </c>
      <c r="C9" s="32" t="n">
        <f aca="false">ABS(Assumptions!E17)</f>
        <v>0.15</v>
      </c>
      <c r="D9" s="1" t="s">
        <v>131</v>
      </c>
      <c r="E9" s="1" t="s">
        <v>211</v>
      </c>
    </row>
    <row r="10" customFormat="false" ht="15" hidden="false" customHeight="true" outlineLevel="0" collapsed="false">
      <c r="B10" s="1" t="s">
        <v>212</v>
      </c>
      <c r="C10" s="1" t="str">
        <f aca="false">IF(C8&lt;=C9,"PASS","BREACH")</f>
        <v>PASS</v>
      </c>
      <c r="D10" s="1" t="s">
        <v>213</v>
      </c>
      <c r="E10" s="1" t="s">
        <v>214</v>
      </c>
    </row>
    <row r="11" customFormat="false" ht="15" hidden="false" customHeight="true" outlineLevel="0" collapsed="false">
      <c r="B11" s="1" t="s">
        <v>215</v>
      </c>
      <c r="C11" s="32" t="n">
        <f aca="false">Performance!D6</f>
        <v>0.0347255300345332</v>
      </c>
      <c r="D11" s="1" t="s">
        <v>131</v>
      </c>
      <c r="E11" s="1" t="s">
        <v>216</v>
      </c>
    </row>
    <row r="12" customFormat="false" ht="15" hidden="false" customHeight="true" outlineLevel="0" collapsed="false">
      <c r="B12" s="1" t="s">
        <v>217</v>
      </c>
      <c r="C12" s="32" t="n">
        <f aca="false">Assumptions!E16</f>
        <v>0.1</v>
      </c>
      <c r="D12" s="1" t="s">
        <v>131</v>
      </c>
      <c r="E12" s="1" t="s">
        <v>218</v>
      </c>
    </row>
    <row r="13" customFormat="false" ht="15" hidden="false" customHeight="true" outlineLevel="0" collapsed="false">
      <c r="B13" s="1" t="s">
        <v>219</v>
      </c>
      <c r="C13" s="34" t="n">
        <f aca="false">IFERROR(C12/C11,0)</f>
        <v>2.8797256629504</v>
      </c>
      <c r="D13" s="1" t="s">
        <v>220</v>
      </c>
      <c r="E13" s="1" t="s">
        <v>221</v>
      </c>
    </row>
  </sheetData>
  <mergeCells count="1">
    <mergeCell ref="B2:E2"/>
  </mergeCells>
  <conditionalFormatting sqref="C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7" min="6" style="1" width="16"/>
  </cols>
  <sheetData>
    <row r="2" customFormat="false" ht="27.75" hidden="false" customHeight="true" outlineLevel="0" collapsed="false">
      <c r="B2" s="2" t="s">
        <v>222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223</v>
      </c>
      <c r="C4" s="16" t="s">
        <v>224</v>
      </c>
      <c r="D4" s="16" t="s">
        <v>225</v>
      </c>
      <c r="E4" s="16" t="s">
        <v>226</v>
      </c>
      <c r="F4" s="16" t="s">
        <v>227</v>
      </c>
      <c r="G4" s="16" t="s">
        <v>228</v>
      </c>
    </row>
    <row r="5" customFormat="false" ht="15" hidden="false" customHeight="true" outlineLevel="0" collapsed="false">
      <c r="B5" s="1" t="s">
        <v>229</v>
      </c>
      <c r="C5" s="19" t="n">
        <v>-0.12</v>
      </c>
      <c r="D5" s="38" t="n">
        <v>1.5</v>
      </c>
      <c r="E5" s="38" t="n">
        <v>0.6</v>
      </c>
      <c r="F5" s="32" t="n">
        <f aca="false">AVERAGE(Backtest!D5:D64)*D5*Assumptions!$E$7/10000+Assumptions!$E$8*(AVERAGE(Backtest!D5:D64)*D5*Assumptions!$E$9/(Assumptions!$E$10*E5))^1.5</f>
        <v>0.0647393363367636</v>
      </c>
      <c r="G5" s="32" t="n">
        <f aca="false">C5-F5</f>
        <v>-0.184739336336764</v>
      </c>
    </row>
    <row r="6" customFormat="false" ht="15" hidden="false" customHeight="true" outlineLevel="0" collapsed="false">
      <c r="B6" s="1" t="s">
        <v>230</v>
      </c>
      <c r="C6" s="19" t="n">
        <v>-0.06</v>
      </c>
      <c r="D6" s="38" t="n">
        <v>2</v>
      </c>
      <c r="E6" s="38" t="n">
        <v>0.5</v>
      </c>
      <c r="F6" s="32" t="n">
        <f aca="false">AVERAGE(Backtest!D5:D64)*D6*Assumptions!$E$7/10000+Assumptions!$E$8*(AVERAGE(Backtest!D5:D64)*D6*Assumptions!$E$9/(Assumptions!$E$10*E6))^1.5</f>
        <v>0.130120332286715</v>
      </c>
      <c r="G6" s="32" t="n">
        <f aca="false">C6-F6</f>
        <v>-0.190120332286715</v>
      </c>
    </row>
    <row r="7" customFormat="false" ht="15" hidden="false" customHeight="true" outlineLevel="0" collapsed="false">
      <c r="B7" s="1" t="s">
        <v>231</v>
      </c>
      <c r="C7" s="19" t="n">
        <v>-0.1</v>
      </c>
      <c r="D7" s="38" t="n">
        <v>3</v>
      </c>
      <c r="E7" s="38" t="n">
        <v>0.3</v>
      </c>
      <c r="F7" s="32" t="n">
        <f aca="false">AVERAGE(Backtest!D5:D64)*D7*Assumptions!$E$7/10000+Assumptions!$E$8*(AVERAGE(Backtest!D5:D64)*D7*Assumptions!$E$9/(Assumptions!$E$10*E7))^1.5</f>
        <v>0.510069589892548</v>
      </c>
      <c r="G7" s="32" t="n">
        <f aca="false">C7-F7</f>
        <v>-0.610069589892548</v>
      </c>
    </row>
    <row r="8" customFormat="false" ht="15" hidden="false" customHeight="true" outlineLevel="0" collapsed="false">
      <c r="B8" s="1" t="s">
        <v>232</v>
      </c>
      <c r="C8" s="19" t="n">
        <v>-0.04</v>
      </c>
      <c r="D8" s="38" t="n">
        <v>1.5</v>
      </c>
      <c r="E8" s="38" t="n">
        <v>0.15</v>
      </c>
      <c r="F8" s="32" t="n">
        <f aca="false">AVERAGE(Backtest!D5:D64)*D8*Assumptions!$E$7/10000+Assumptions!$E$8*(AVERAGE(Backtest!D5:D64)*D8*Assumptions!$E$9/(Assumptions!$E$10*E8))^1.5</f>
        <v>0.508762073092288</v>
      </c>
      <c r="G8" s="32" t="n">
        <f aca="false">C8-F8</f>
        <v>-0.548762073092288</v>
      </c>
    </row>
    <row r="9" customFormat="false" ht="15" hidden="false" customHeight="true" outlineLevel="0" collapsed="false">
      <c r="B9" s="1" t="s">
        <v>233</v>
      </c>
      <c r="C9" s="19" t="n">
        <v>-0.03</v>
      </c>
      <c r="D9" s="38" t="n">
        <v>1</v>
      </c>
      <c r="E9" s="38" t="n">
        <v>1</v>
      </c>
      <c r="F9" s="32" t="n">
        <f aca="false">AVERAGE(Backtest!D5:D64)*D9*Assumptions!$E$7/10000+Assumptions!$E$8*(AVERAGE(Backtest!D5:D64)*D9*Assumptions!$E$9/(Assumptions!$E$10*E9))^1.5</f>
        <v>0.0169187999359694</v>
      </c>
      <c r="G9" s="32" t="n">
        <f aca="false">C9-F9</f>
        <v>-0.0469187999359694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234</v>
      </c>
      <c r="C2" s="2"/>
    </row>
    <row r="4" customFormat="false" ht="15" hidden="false" customHeight="true" outlineLevel="0" collapsed="false">
      <c r="B4" s="16" t="s">
        <v>235</v>
      </c>
      <c r="C4" s="16" t="s">
        <v>44</v>
      </c>
    </row>
    <row r="5" customFormat="false" ht="15" hidden="false" customHeight="true" outlineLevel="0" collapsed="false">
      <c r="B5" s="1" t="s">
        <v>236</v>
      </c>
      <c r="C5" s="1" t="str">
        <f aca="false">IF(Assumptions!E18&gt;=1,"PASS","FAIL")</f>
        <v>PASS</v>
      </c>
    </row>
    <row r="6" customFormat="false" ht="15" hidden="false" customHeight="true" outlineLevel="0" collapsed="false">
      <c r="B6" s="1" t="s">
        <v>237</v>
      </c>
      <c r="C6" s="1" t="str">
        <f aca="false">IF(Assumptions!E19=1,"PASS","FAIL")</f>
        <v>PASS</v>
      </c>
    </row>
    <row r="7" customFormat="false" ht="15" hidden="false" customHeight="true" outlineLevel="0" collapsed="false">
      <c r="B7" s="1" t="s">
        <v>238</v>
      </c>
      <c r="C7" s="1" t="str">
        <f aca="false">IF(AND(Assumptions!E7&gt;0,Assumptions!E8&gt;0),"PASS","FAIL")</f>
        <v>PASS</v>
      </c>
    </row>
    <row r="8" customFormat="false" ht="15" hidden="false" customHeight="true" outlineLevel="0" collapsed="false">
      <c r="B8" s="1" t="s">
        <v>239</v>
      </c>
      <c r="C8" s="1" t="str">
        <f aca="false">IF('Costs &amp; Capacity'!C14="PASS","PASS","BREACH")</f>
        <v>BREACH</v>
      </c>
    </row>
    <row r="9" customFormat="false" ht="15" hidden="false" customHeight="true" outlineLevel="0" collapsed="false">
      <c r="B9" s="1" t="s">
        <v>240</v>
      </c>
      <c r="C9" s="1" t="str">
        <f aca="false">IF(Performance!C5&gt;=Performance!D5,"PASS","FAIL")</f>
        <v>PASS</v>
      </c>
    </row>
    <row r="10" customFormat="false" ht="15" hidden="false" customHeight="true" outlineLevel="0" collapsed="false">
      <c r="B10" s="1" t="s">
        <v>241</v>
      </c>
      <c r="C10" s="1" t="str">
        <f aca="false">IF(COUNT('Walk Forward'!H5:H10)=6,"PASS","FAIL")</f>
        <v>PASS</v>
      </c>
    </row>
    <row r="11" customFormat="false" ht="15" hidden="false" customHeight="true" outlineLevel="0" collapsed="false">
      <c r="B11" s="1" t="s">
        <v>242</v>
      </c>
      <c r="C11" s="1" t="str">
        <f aca="false">IF(Risk!C10="PASS","PASS","REVIEW")</f>
        <v>PASS</v>
      </c>
    </row>
    <row r="12" customFormat="false" ht="15" hidden="false" customHeight="true" outlineLevel="0" collapsed="false">
      <c r="B12" s="1" t="s">
        <v>243</v>
      </c>
      <c r="C12" s="1" t="str">
        <f aca="false">IF(COUNT(Backtest!H5:H64)=60,"PASS","FAIL")</f>
        <v>PASS</v>
      </c>
    </row>
    <row r="13" customFormat="false" ht="15" hidden="false" customHeight="true" outlineLevel="0" collapsed="false">
      <c r="B13" s="1" t="s">
        <v>244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9" t="s">
        <v>249</v>
      </c>
      <c r="C5" s="39" t="s">
        <v>250</v>
      </c>
      <c r="D5" s="39" t="s">
        <v>251</v>
      </c>
      <c r="E5" s="39" t="s">
        <v>252</v>
      </c>
    </row>
    <row r="6" customFormat="false" ht="15" hidden="false" customHeight="true" outlineLevel="0" collapsed="false">
      <c r="B6" s="39" t="s">
        <v>253</v>
      </c>
      <c r="C6" s="39" t="s">
        <v>254</v>
      </c>
      <c r="D6" s="39" t="s">
        <v>251</v>
      </c>
      <c r="E6" s="39" t="s">
        <v>255</v>
      </c>
    </row>
    <row r="7" customFormat="false" ht="15" hidden="false" customHeight="true" outlineLevel="0" collapsed="false">
      <c r="B7" s="39" t="s">
        <v>256</v>
      </c>
      <c r="C7" s="39" t="s">
        <v>257</v>
      </c>
      <c r="D7" s="39" t="s">
        <v>258</v>
      </c>
      <c r="E7" s="39" t="s">
        <v>259</v>
      </c>
    </row>
    <row r="8" customFormat="false" ht="15" hidden="false" customHeight="true" outlineLevel="0" collapsed="false">
      <c r="B8" s="39" t="s">
        <v>260</v>
      </c>
      <c r="C8" s="39" t="s">
        <v>261</v>
      </c>
      <c r="D8" s="39" t="s">
        <v>258</v>
      </c>
      <c r="E8" s="39" t="s">
        <v>262</v>
      </c>
    </row>
    <row r="9" customFormat="false" ht="15" hidden="false" customHeight="true" outlineLevel="0" collapsed="false">
      <c r="B9" s="39" t="s">
        <v>263</v>
      </c>
      <c r="C9" s="39" t="s">
        <v>264</v>
      </c>
      <c r="D9" s="39" t="s">
        <v>258</v>
      </c>
      <c r="E9" s="39" t="s">
        <v>265</v>
      </c>
    </row>
    <row r="10" customFormat="false" ht="15" hidden="false" customHeight="false" outlineLevel="0" collapsed="false">
      <c r="B10" s="40" t="s">
        <v>266</v>
      </c>
      <c r="C10" s="40" t="s">
        <v>267</v>
      </c>
      <c r="D10" s="40" t="s">
        <v>6</v>
      </c>
      <c r="E10" s="40" t="s">
        <v>268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269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270</v>
      </c>
      <c r="D4" s="16" t="s">
        <v>271</v>
      </c>
      <c r="E4" s="16" t="s">
        <v>272</v>
      </c>
      <c r="F4" s="16" t="s">
        <v>273</v>
      </c>
      <c r="G4" s="16" t="s">
        <v>274</v>
      </c>
    </row>
    <row r="5" customFormat="false" ht="15" hidden="false" customHeight="true" outlineLevel="0" collapsed="false">
      <c r="B5" s="41" t="s">
        <v>6</v>
      </c>
      <c r="C5" s="41" t="s">
        <v>275</v>
      </c>
      <c r="D5" s="41" t="s">
        <v>267</v>
      </c>
      <c r="E5" s="41" t="s">
        <v>276</v>
      </c>
      <c r="F5" s="41" t="s">
        <v>277</v>
      </c>
      <c r="G5" s="41" t="s">
        <v>278</v>
      </c>
    </row>
    <row r="6" customFormat="false" ht="15" hidden="false" customHeight="true" outlineLevel="0" collapsed="false">
      <c r="B6" s="41"/>
      <c r="C6" s="41"/>
      <c r="D6" s="41"/>
      <c r="E6" s="41"/>
      <c r="F6" s="41"/>
      <c r="G6" s="41"/>
    </row>
    <row r="7" customFormat="false" ht="15" hidden="false" customHeight="true" outlineLevel="0" collapsed="false">
      <c r="B7" s="41"/>
      <c r="C7" s="41"/>
      <c r="D7" s="41"/>
      <c r="E7" s="41"/>
      <c r="F7" s="41"/>
      <c r="G7" s="41"/>
    </row>
    <row r="8" customFormat="false" ht="15" hidden="false" customHeight="true" outlineLevel="0" collapsed="false">
      <c r="B8" s="41"/>
      <c r="C8" s="41"/>
      <c r="D8" s="41"/>
      <c r="E8" s="41"/>
      <c r="F8" s="41"/>
      <c r="G8" s="41"/>
    </row>
    <row r="9" customFormat="false" ht="15" hidden="false" customHeight="true" outlineLevel="0" collapsed="false"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B10" s="41"/>
      <c r="C10" s="41"/>
      <c r="D10" s="41"/>
      <c r="E10" s="41"/>
      <c r="F10" s="41"/>
      <c r="G10" s="41"/>
    </row>
    <row r="11" customFormat="false" ht="15" hidden="false" customHeight="true" outlineLevel="0" collapsed="false">
      <c r="B11" s="41"/>
      <c r="C11" s="41"/>
      <c r="D11" s="41"/>
      <c r="E11" s="41"/>
      <c r="F11" s="41"/>
      <c r="G11" s="41"/>
    </row>
    <row r="12" customFormat="false" ht="15" hidden="false" customHeight="true" outlineLevel="0" collapsed="false">
      <c r="B12" s="41"/>
      <c r="C12" s="41"/>
      <c r="D12" s="41"/>
      <c r="E12" s="41"/>
      <c r="F12" s="41"/>
      <c r="G12" s="41"/>
    </row>
    <row r="13" customFormat="false" ht="15" hidden="false" customHeight="true" outlineLevel="0" collapsed="false">
      <c r="B13" s="41"/>
      <c r="C13" s="41"/>
      <c r="D13" s="41"/>
      <c r="E13" s="41"/>
      <c r="F13" s="41"/>
      <c r="G13" s="41"/>
    </row>
    <row r="14" customFormat="false" ht="15" hidden="false" customHeight="true" outlineLevel="0" collapsed="false">
      <c r="B14" s="41"/>
      <c r="C14" s="41"/>
      <c r="D14" s="41"/>
      <c r="E14" s="41"/>
      <c r="F14" s="41"/>
      <c r="G14" s="41"/>
    </row>
    <row r="15" customFormat="false" ht="15" hidden="false" customHeight="true" outlineLevel="0" collapsed="false">
      <c r="B15" s="41"/>
      <c r="C15" s="41"/>
      <c r="D15" s="41"/>
      <c r="E15" s="41"/>
      <c r="F15" s="41"/>
      <c r="G15" s="41"/>
    </row>
    <row r="16" customFormat="false" ht="15" hidden="false" customHeight="true" outlineLevel="0" collapsed="false">
      <c r="B16" s="41"/>
      <c r="C16" s="41"/>
      <c r="D16" s="41"/>
      <c r="E16" s="41"/>
      <c r="F16" s="41"/>
      <c r="G16" s="41"/>
    </row>
    <row r="17" customFormat="false" ht="15" hidden="false" customHeight="true" outlineLevel="0" collapsed="false">
      <c r="B17" s="41"/>
      <c r="C17" s="41"/>
      <c r="D17" s="41"/>
      <c r="E17" s="41"/>
      <c r="F17" s="41"/>
      <c r="G17" s="41"/>
    </row>
    <row r="18" customFormat="false" ht="15" hidden="false" customHeight="true" outlineLevel="0" collapsed="false">
      <c r="B18" s="41"/>
      <c r="C18" s="41"/>
      <c r="D18" s="41"/>
      <c r="E18" s="41"/>
      <c r="F18" s="41"/>
      <c r="G18" s="41"/>
    </row>
    <row r="19" customFormat="false" ht="15" hidden="false" customHeight="true" outlineLevel="0" collapsed="false"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B20" s="41"/>
      <c r="C20" s="41"/>
      <c r="D20" s="41"/>
      <c r="E20" s="41"/>
      <c r="F20" s="41"/>
      <c r="G20" s="41"/>
    </row>
    <row r="21" customFormat="false" ht="15" hidden="false" customHeight="true" outlineLevel="0" collapsed="false">
      <c r="B21" s="41"/>
      <c r="C21" s="41"/>
      <c r="D21" s="41"/>
      <c r="E21" s="41"/>
      <c r="F21" s="41"/>
      <c r="G21" s="41"/>
    </row>
    <row r="22" customFormat="false" ht="15" hidden="false" customHeight="true" outlineLevel="0" collapsed="false"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B23" s="41"/>
      <c r="C23" s="41"/>
      <c r="D23" s="41"/>
      <c r="E23" s="41"/>
      <c r="F23" s="41"/>
      <c r="G23" s="41"/>
    </row>
    <row r="24" customFormat="false" ht="15" hidden="false" customHeight="true" outlineLevel="0" collapsed="false">
      <c r="B24" s="41"/>
      <c r="C24" s="41"/>
      <c r="D24" s="41"/>
      <c r="E24" s="41"/>
      <c r="F24" s="41"/>
      <c r="G24" s="41"/>
    </row>
    <row r="25" customFormat="false" ht="15" hidden="false" customHeight="true" outlineLevel="0" collapsed="false"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B27" s="41"/>
      <c r="C27" s="41"/>
      <c r="D27" s="41"/>
      <c r="E27" s="41"/>
      <c r="F27" s="41"/>
      <c r="G27" s="41"/>
    </row>
    <row r="28" customFormat="false" ht="15" hidden="false" customHeight="true" outlineLevel="0" collapsed="false"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B29" s="41"/>
      <c r="C29" s="41"/>
      <c r="D29" s="41"/>
      <c r="E29" s="41"/>
      <c r="F29" s="41"/>
      <c r="G29" s="41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2026-08-04T03:48:50Z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