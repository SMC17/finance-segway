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Working Capital Cycle" sheetId="5" state="visible" r:id="rId5"/>
    <sheet xmlns:r="http://schemas.openxmlformats.org/officeDocument/2006/relationships" name="Credit &amp; Facility" sheetId="6" state="visible" r:id="rId6"/>
    <sheet xmlns:r="http://schemas.openxmlformats.org/officeDocument/2006/relationships" name="LC &amp; Factoring Cost" sheetId="7" state="visible" r:id="rId7"/>
    <sheet xmlns:r="http://schemas.openxmlformats.org/officeDocument/2006/relationships" name="Documentary Controls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Financing Cost Comparison" sheetId="10" state="visible" r:id="rId10"/>
    <sheet xmlns:r="http://schemas.openxmlformats.org/officeDocument/2006/relationships" name="RefreshLog" sheetId="11" state="visible" r:id="rId11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"/>
    <numFmt numFmtId="166" formatCode="0.0%;\(0.0%\);\-"/>
    <numFmt numFmtId="167" formatCode="#,##0;\(#,##0\);\-"/>
    <numFmt numFmtId="168" formatCode="0.00%;\(0.00%\)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17365D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6" fontId="6" fillId="5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5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4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40" customWidth="1" style="29" min="3" max="3"/>
    <col width="4" customWidth="1" style="29" min="4" max="4"/>
  </cols>
  <sheetData>
    <row r="2" ht="19.7" customHeight="1" s="30">
      <c r="B2" s="31" t="inlineStr">
        <is>
          <t>[COUNTERPARTY] — Trade Finance Model</t>
        </is>
      </c>
    </row>
    <row r="4" ht="15" customHeight="1" s="30">
      <c r="B4" s="32" t="inlineStr">
        <is>
          <t>Counterparty:</t>
        </is>
      </c>
      <c r="C4" s="33" t="inlineStr">
        <is>
          <t>[fill in]</t>
        </is>
      </c>
    </row>
    <row r="5" ht="15" customHeight="1" s="30">
      <c r="B5" s="32" t="inlineStr">
        <is>
          <t>Trade corridor:</t>
        </is>
      </c>
      <c r="C5" s="33" t="inlineStr">
        <is>
          <t>[e.g. exporter-importer country pair]</t>
        </is>
      </c>
    </row>
    <row r="6" ht="15" customHeight="1" s="30">
      <c r="B6" s="32" t="inlineStr">
        <is>
          <t>Last refreshed:</t>
        </is>
      </c>
      <c r="C6" s="34" t="inlineStr">
        <is>
          <t>2020-12-31</t>
        </is>
      </c>
    </row>
    <row r="7" ht="15" customHeight="1" s="30">
      <c r="B7" s="32" t="inlineStr">
        <is>
          <t>Refresh cadence:</t>
        </is>
      </c>
      <c r="C7" s="33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29" min="2" max="2"/>
    <col width="48" customWidth="1" style="29" min="3" max="3"/>
    <col width="24" customWidth="1" style="29" min="4" max="4"/>
    <col width="34" customWidth="1" style="29" min="5" max="5"/>
    <col width="20" customWidth="1" style="29" min="6" max="6"/>
  </cols>
  <sheetData>
    <row r="2" ht="18.55" customHeight="1" s="30">
      <c r="B2" s="35" t="inlineStr">
        <is>
          <t>Trade Finance — Institutional Decision Surface</t>
        </is>
      </c>
    </row>
    <row r="4" ht="15" customHeight="1" s="30">
      <c r="B4" s="36" t="inlineStr">
        <is>
          <t>Model ID</t>
        </is>
      </c>
      <c r="C4" s="37" t="inlineStr">
        <is>
          <t>10</t>
        </is>
      </c>
    </row>
    <row r="5" ht="15" customHeight="1" s="30">
      <c r="B5" s="36" t="inlineStr">
        <is>
          <t>Domain</t>
        </is>
      </c>
      <c r="C5" s="37" t="inlineStr">
        <is>
          <t>Trade Finance</t>
        </is>
      </c>
    </row>
    <row r="6" ht="15" customHeight="1" s="30">
      <c r="B6" s="36" t="inlineStr">
        <is>
          <t>Declared maturity</t>
        </is>
      </c>
      <c r="C6" s="37" t="inlineStr">
        <is>
          <t>M2</t>
        </is>
      </c>
    </row>
    <row r="7" ht="15" customHeight="1" s="30">
      <c r="B7" s="36" t="inlineStr">
        <is>
          <t>Canonical builder</t>
        </is>
      </c>
      <c r="C7" s="37" t="inlineStr">
        <is>
          <t>tools/builders/build_trade_finance_release.py</t>
        </is>
      </c>
    </row>
    <row r="8" ht="15" customHeight="1" s="30">
      <c r="B8" s="36" t="inlineStr">
        <is>
          <t>Decision arena</t>
        </is>
      </c>
      <c r="C8" s="37" t="inlineStr">
        <is>
          <t>trade desk, credit, operations, sanctions and country-risk committee</t>
        </is>
      </c>
    </row>
    <row r="9" ht="15" customHeight="1" s="30">
      <c r="B9" s="36" t="inlineStr">
        <is>
          <t>Committee artifact</t>
        </is>
      </c>
      <c r="C9" s="37" t="inlineStr">
        <is>
          <t>transaction approval and exception pack</t>
        </is>
      </c>
    </row>
    <row r="10" ht="15" customHeight="1" s="30">
      <c r="B10" s="36" t="inlineStr">
        <is>
          <t>Operating cadence</t>
        </is>
      </c>
      <c r="C10" s="37" t="inlineStr">
        <is>
          <t>daily transaction monitoring; weekly exceptions</t>
        </is>
      </c>
    </row>
    <row r="12" ht="15" customHeight="1" s="30">
      <c r="B12" s="38" t="inlineStr">
        <is>
          <t>Key decision outputs</t>
        </is>
      </c>
    </row>
    <row r="13" ht="15" customHeight="1" s="30">
      <c r="B13" s="39" t="inlineStr">
        <is>
          <t>#</t>
        </is>
      </c>
      <c r="C13" s="39" t="inlineStr">
        <is>
          <t>Requirement</t>
        </is>
      </c>
      <c r="D13" s="39" t="inlineStr">
        <is>
          <t>Owner</t>
        </is>
      </c>
      <c r="E13" s="39" t="inlineStr">
        <is>
          <t>Evidence / location</t>
        </is>
      </c>
      <c r="F13" s="39" t="inlineStr">
        <is>
          <t>Status</t>
        </is>
      </c>
    </row>
    <row r="14" ht="15" customHeight="1" s="30">
      <c r="B14" s="29" t="n">
        <v>1</v>
      </c>
      <c r="C14" s="29" t="inlineStr">
        <is>
          <t>self-liquidating cash cycle</t>
        </is>
      </c>
      <c r="F14" s="29" t="inlineStr">
        <is>
          <t>OPEN</t>
        </is>
      </c>
    </row>
    <row r="15" ht="15" customHeight="1" s="30">
      <c r="B15" s="29" t="n">
        <v>2</v>
      </c>
      <c r="C15" s="29" t="inlineStr">
        <is>
          <t>facility utilization and borrowing base</t>
        </is>
      </c>
      <c r="F15" s="29" t="inlineStr">
        <is>
          <t>OPEN</t>
        </is>
      </c>
    </row>
    <row r="16" ht="15" customHeight="1" s="30">
      <c r="B16" s="29" t="n">
        <v>3</v>
      </c>
      <c r="C16" s="29" t="inlineStr">
        <is>
          <t>LC / guarantee cost</t>
        </is>
      </c>
      <c r="F16" s="29" t="inlineStr">
        <is>
          <t>OPEN</t>
        </is>
      </c>
    </row>
    <row r="17" ht="15" customHeight="1" s="30">
      <c r="B17" s="29" t="n">
        <v>4</v>
      </c>
      <c r="C17" s="29" t="inlineStr">
        <is>
          <t>base, downside and break-even outputs</t>
        </is>
      </c>
      <c r="F17" s="29" t="inlineStr">
        <is>
          <t>OPEN</t>
        </is>
      </c>
    </row>
    <row r="18" ht="15" customHeight="1" s="30">
      <c r="B18" s="29" t="n">
        <v>5</v>
      </c>
      <c r="C18" s="29" t="inlineStr">
        <is>
          <t>liquidity / funding requirement and binding constraint</t>
        </is>
      </c>
      <c r="F18" s="29" t="inlineStr">
        <is>
          <t>OPEN</t>
        </is>
      </c>
    </row>
    <row r="20" ht="15" customHeight="1" s="30">
      <c r="B20" s="38" t="inlineStr">
        <is>
          <t>Insider questions</t>
        </is>
      </c>
    </row>
    <row r="21" ht="15" customHeight="1" s="30">
      <c r="B21" s="39" t="inlineStr">
        <is>
          <t>#</t>
        </is>
      </c>
      <c r="C21" s="39" t="inlineStr">
        <is>
          <t>Requirement</t>
        </is>
      </c>
      <c r="D21" s="39" t="inlineStr">
        <is>
          <t>Owner</t>
        </is>
      </c>
      <c r="E21" s="39" t="inlineStr">
        <is>
          <t>Evidence / location</t>
        </is>
      </c>
      <c r="F21" s="39" t="inlineStr">
        <is>
          <t>Status</t>
        </is>
      </c>
    </row>
    <row r="22" ht="15" customHeight="1" s="30">
      <c r="B22" s="29" t="n">
        <v>1</v>
      </c>
      <c r="C22" s="29" t="inlineStr">
        <is>
          <t>Who controls title at each stage?</t>
        </is>
      </c>
      <c r="F22" s="29" t="inlineStr">
        <is>
          <t>OPEN</t>
        </is>
      </c>
    </row>
    <row r="23" ht="15" customHeight="1" s="30">
      <c r="B23" s="29" t="n">
        <v>2</v>
      </c>
      <c r="C23" s="29" t="inlineStr">
        <is>
          <t>What document discrepancy prevents payment?</t>
        </is>
      </c>
      <c r="F23" s="29" t="inlineStr">
        <is>
          <t>OPEN</t>
        </is>
      </c>
    </row>
    <row r="24" ht="15" customHeight="1" s="30">
      <c r="B24" s="29" t="n">
        <v>3</v>
      </c>
      <c r="C24" s="29" t="inlineStr">
        <is>
          <t>Which bank and country risks are correlated?</t>
        </is>
      </c>
      <c r="F24" s="29" t="inlineStr">
        <is>
          <t>OPEN</t>
        </is>
      </c>
    </row>
    <row r="25" ht="15" customHeight="1" s="30">
      <c r="B25" s="29" t="n">
        <v>4</v>
      </c>
      <c r="C25" s="29" t="inlineStr">
        <is>
          <t>Which assumption is owner-approved versus modeler judgement?</t>
        </is>
      </c>
      <c r="F25" s="29" t="inlineStr">
        <is>
          <t>OPEN</t>
        </is>
      </c>
    </row>
    <row r="26" ht="15" customHeight="1" s="30">
      <c r="B26" s="29" t="n">
        <v>5</v>
      </c>
      <c r="C26" s="29" t="inlineStr">
        <is>
          <t>What fails first and who must act?</t>
        </is>
      </c>
      <c r="F26" s="29" t="inlineStr">
        <is>
          <t>OPEN</t>
        </is>
      </c>
    </row>
    <row r="28" ht="15" customHeight="1" s="30">
      <c r="B28" s="38" t="inlineStr">
        <is>
          <t>Scenario families</t>
        </is>
      </c>
    </row>
    <row r="29" ht="15" customHeight="1" s="30">
      <c r="B29" s="39" t="inlineStr">
        <is>
          <t>#</t>
        </is>
      </c>
      <c r="C29" s="39" t="inlineStr">
        <is>
          <t>Requirement</t>
        </is>
      </c>
      <c r="D29" s="39" t="inlineStr">
        <is>
          <t>Owner</t>
        </is>
      </c>
      <c r="E29" s="39" t="inlineStr">
        <is>
          <t>Evidence / location</t>
        </is>
      </c>
      <c r="F29" s="39" t="inlineStr">
        <is>
          <t>Status</t>
        </is>
      </c>
    </row>
    <row r="30" ht="15" customHeight="1" s="30">
      <c r="B30" s="29" t="n">
        <v>1</v>
      </c>
      <c r="C30" s="29" t="inlineStr">
        <is>
          <t>shipment delay</t>
        </is>
      </c>
      <c r="F30" s="29" t="inlineStr">
        <is>
          <t>OPEN</t>
        </is>
      </c>
    </row>
    <row r="31" ht="15" customHeight="1" s="30">
      <c r="B31" s="29" t="n">
        <v>2</v>
      </c>
      <c r="C31" s="29" t="inlineStr">
        <is>
          <t>document discrepancy</t>
        </is>
      </c>
      <c r="F31" s="29" t="inlineStr">
        <is>
          <t>OPEN</t>
        </is>
      </c>
    </row>
    <row r="32" ht="15" customHeight="1" s="30">
      <c r="B32" s="29" t="n">
        <v>3</v>
      </c>
      <c r="C32" s="29" t="inlineStr">
        <is>
          <t>buyer default</t>
        </is>
      </c>
      <c r="F32" s="29" t="inlineStr">
        <is>
          <t>OPEN</t>
        </is>
      </c>
    </row>
    <row r="33" ht="15" customHeight="1" s="30">
      <c r="B33" s="29" t="n">
        <v>4</v>
      </c>
      <c r="C33" s="29" t="inlineStr">
        <is>
          <t>data freshness / source failure</t>
        </is>
      </c>
      <c r="F33" s="29" t="inlineStr">
        <is>
          <t>OPEN</t>
        </is>
      </c>
    </row>
    <row r="34" ht="15" customHeight="1" s="30">
      <c r="B34" s="29" t="n">
        <v>5</v>
      </c>
      <c r="C34" s="29" t="inlineStr">
        <is>
          <t>combined severe-but-plausible downside</t>
        </is>
      </c>
      <c r="F34" s="29" t="inlineStr">
        <is>
          <t>OPEN</t>
        </is>
      </c>
    </row>
    <row r="36" ht="15" customHeight="1" s="30">
      <c r="B36" s="38" t="inlineStr">
        <is>
          <t>Primary diligence documents</t>
        </is>
      </c>
    </row>
    <row r="37" ht="15" customHeight="1" s="30">
      <c r="B37" s="39" t="inlineStr">
        <is>
          <t>#</t>
        </is>
      </c>
      <c r="C37" s="39" t="inlineStr">
        <is>
          <t>Requirement</t>
        </is>
      </c>
      <c r="D37" s="39" t="inlineStr">
        <is>
          <t>Owner</t>
        </is>
      </c>
      <c r="E37" s="39" t="inlineStr">
        <is>
          <t>Evidence / location</t>
        </is>
      </c>
      <c r="F37" s="39" t="inlineStr">
        <is>
          <t>Status</t>
        </is>
      </c>
    </row>
    <row r="38" ht="15" customHeight="1" s="30">
      <c r="B38" s="29" t="n">
        <v>1</v>
      </c>
      <c r="C38" s="29" t="inlineStr">
        <is>
          <t>commercial invoice and purchase order</t>
        </is>
      </c>
      <c r="F38" s="29" t="inlineStr">
        <is>
          <t>OPEN</t>
        </is>
      </c>
    </row>
    <row r="39" ht="15" customHeight="1" s="30">
      <c r="B39" s="29" t="n">
        <v>2</v>
      </c>
      <c r="C39" s="29" t="inlineStr">
        <is>
          <t>bill of lading / warehouse receipt</t>
        </is>
      </c>
      <c r="F39" s="29" t="inlineStr">
        <is>
          <t>OPEN</t>
        </is>
      </c>
    </row>
    <row r="40" ht="15" customHeight="1" s="30">
      <c r="B40" s="29" t="n">
        <v>3</v>
      </c>
      <c r="C40" s="29" t="inlineStr">
        <is>
          <t>letter of credit or guarantee</t>
        </is>
      </c>
      <c r="F40" s="29" t="inlineStr">
        <is>
          <t>OPEN</t>
        </is>
      </c>
    </row>
    <row r="41" ht="15" customHeight="1" s="30">
      <c r="B41" s="29" t="n">
        <v>4</v>
      </c>
      <c r="C41" s="29" t="inlineStr">
        <is>
          <t>approved model card and assumption register</t>
        </is>
      </c>
      <c r="F41" s="29" t="inlineStr">
        <is>
          <t>OPEN</t>
        </is>
      </c>
    </row>
    <row r="42" ht="15" customHeight="1" s="30">
      <c r="B42" s="29" t="n">
        <v>5</v>
      </c>
      <c r="C42" s="29" t="inlineStr">
        <is>
          <t>independent validation and challenge record</t>
        </is>
      </c>
      <c r="F42" s="29" t="inlineStr">
        <is>
          <t>OPEN</t>
        </is>
      </c>
    </row>
    <row r="44" ht="15" customHeight="1" s="30">
      <c r="B44" s="38" t="inlineStr">
        <is>
          <t>Challenge tests</t>
        </is>
      </c>
    </row>
    <row r="45" ht="15" customHeight="1" s="30">
      <c r="B45" s="39" t="inlineStr">
        <is>
          <t>#</t>
        </is>
      </c>
      <c r="C45" s="39" t="inlineStr">
        <is>
          <t>Requirement</t>
        </is>
      </c>
      <c r="D45" s="39" t="inlineStr">
        <is>
          <t>Owner</t>
        </is>
      </c>
      <c r="E45" s="39" t="inlineStr">
        <is>
          <t>Evidence / location</t>
        </is>
      </c>
      <c r="F45" s="39" t="inlineStr">
        <is>
          <t>Status</t>
        </is>
      </c>
    </row>
    <row r="46" ht="15" customHeight="1" s="30">
      <c r="B46" s="29" t="n">
        <v>1</v>
      </c>
      <c r="C46" s="29" t="inlineStr">
        <is>
          <t>cash conversion closes</t>
        </is>
      </c>
      <c r="F46" s="29" t="inlineStr">
        <is>
          <t>OPEN</t>
        </is>
      </c>
    </row>
    <row r="47" ht="15" customHeight="1" s="30">
      <c r="B47" s="29" t="n">
        <v>2</v>
      </c>
      <c r="C47" s="29" t="inlineStr">
        <is>
          <t>exposure follows goods and documents</t>
        </is>
      </c>
      <c r="F47" s="29" t="inlineStr">
        <is>
          <t>OPEN</t>
        </is>
      </c>
    </row>
    <row r="48" ht="15" customHeight="1" s="30">
      <c r="B48" s="29" t="n">
        <v>3</v>
      </c>
      <c r="C48" s="29" t="inlineStr">
        <is>
          <t>fees reflect tenor and utilization</t>
        </is>
      </c>
      <c r="F48" s="29" t="inlineStr">
        <is>
          <t>OPEN</t>
        </is>
      </c>
    </row>
    <row r="49" ht="15" customHeight="1" s="30">
      <c r="B49" s="29" t="n">
        <v>4</v>
      </c>
      <c r="C49" s="29" t="inlineStr">
        <is>
          <t>source-to-model lineage is reproducible</t>
        </is>
      </c>
      <c r="F49" s="29" t="inlineStr">
        <is>
          <t>OPEN</t>
        </is>
      </c>
    </row>
    <row r="50" ht="15" customHeight="1" s="30">
      <c r="B50" s="29" t="n">
        <v>5</v>
      </c>
      <c r="C50" s="29" t="inlineStr">
        <is>
          <t>units, signs, dates and legal definitions reconcile</t>
        </is>
      </c>
      <c r="F50" s="29" t="inlineStr">
        <is>
          <t>OPEN</t>
        </is>
      </c>
    </row>
    <row r="52" ht="15" customHeight="1" s="30">
      <c r="B52" s="38" t="inlineStr">
        <is>
          <t>Known failure modes</t>
        </is>
      </c>
    </row>
    <row r="53" ht="15" customHeight="1" s="30">
      <c r="B53" s="39" t="inlineStr">
        <is>
          <t>#</t>
        </is>
      </c>
      <c r="C53" s="39" t="inlineStr">
        <is>
          <t>Requirement</t>
        </is>
      </c>
      <c r="D53" s="39" t="inlineStr">
        <is>
          <t>Owner</t>
        </is>
      </c>
      <c r="E53" s="39" t="inlineStr">
        <is>
          <t>Evidence / location</t>
        </is>
      </c>
      <c r="F53" s="39" t="inlineStr">
        <is>
          <t>Status</t>
        </is>
      </c>
    </row>
    <row r="54" ht="15" customHeight="1" s="30">
      <c r="B54" s="29" t="n">
        <v>1</v>
      </c>
      <c r="C54" s="29" t="inlineStr">
        <is>
          <t>assuming documents eliminate performance risk</t>
        </is>
      </c>
      <c r="F54" s="29" t="inlineStr">
        <is>
          <t>OPEN</t>
        </is>
      </c>
    </row>
    <row r="55" ht="15" customHeight="1" s="30">
      <c r="B55" s="29" t="n">
        <v>2</v>
      </c>
      <c r="C55" s="29" t="inlineStr">
        <is>
          <t>ignoring discrepancy cure time</t>
        </is>
      </c>
      <c r="F55" s="29" t="inlineStr">
        <is>
          <t>OPEN</t>
        </is>
      </c>
    </row>
    <row r="56" ht="15" customHeight="1" s="30">
      <c r="B56" s="29" t="n">
        <v>3</v>
      </c>
      <c r="C56" s="29" t="inlineStr">
        <is>
          <t>double-counting insurance and collateral</t>
        </is>
      </c>
      <c r="F56" s="29" t="inlineStr">
        <is>
          <t>OPEN</t>
        </is>
      </c>
    </row>
    <row r="57" ht="15" customHeight="1" s="30">
      <c r="B57" s="29" t="n">
        <v>4</v>
      </c>
      <c r="C57" s="29" t="inlineStr">
        <is>
          <t>stale vintage presented as current</t>
        </is>
      </c>
      <c r="F57" s="29" t="inlineStr">
        <is>
          <t>OPEN</t>
        </is>
      </c>
    </row>
    <row r="58" ht="15" customHeight="1" s="30">
      <c r="B58" s="29" t="n">
        <v>5</v>
      </c>
      <c r="C58" s="29" t="inlineStr">
        <is>
          <t>decision output disconnected from a binding constraint</t>
        </is>
      </c>
      <c r="F58" s="29" t="inlineStr">
        <is>
          <t>OPEN</t>
        </is>
      </c>
    </row>
    <row r="60" ht="15" customHeight="1" s="30">
      <c r="B60" s="38" t="inlineStr">
        <is>
          <t>Regulatory / methodological anchors</t>
        </is>
      </c>
    </row>
    <row r="61" ht="15" customHeight="1" s="30">
      <c r="B61" s="39" t="inlineStr">
        <is>
          <t>Standard</t>
        </is>
      </c>
      <c r="C61" s="39" t="inlineStr">
        <is>
          <t>Scope</t>
        </is>
      </c>
      <c r="D61" s="39" t="inlineStr">
        <is>
          <t>Source URL</t>
        </is>
      </c>
      <c r="E61" s="39" t="inlineStr">
        <is>
          <t>Applicability</t>
        </is>
      </c>
      <c r="F61" s="39" t="inlineStr">
        <is>
          <t>Review note</t>
        </is>
      </c>
    </row>
    <row r="62" ht="15" customHeight="1" s="30">
      <c r="B62" s="29" t="inlineStr">
        <is>
          <t>Federal Reserve SR 26-2 Model Risk Management</t>
        </is>
      </c>
      <c r="C62" s="29" t="inlineStr">
        <is>
          <t>governance, validation, change control, monitoring</t>
        </is>
      </c>
      <c r="D62" s="29" t="inlineStr">
        <is>
          <t>https://www.federalreserve.gov/supervisionreg/srletters/SR2602.htm</t>
        </is>
      </c>
      <c r="E62" s="29" t="inlineStr">
        <is>
          <t>Map explicitly</t>
        </is>
      </c>
    </row>
    <row r="63" ht="15" customHeight="1" s="30">
      <c r="B63" s="29" t="inlineStr">
        <is>
          <t>Basel Framework</t>
        </is>
      </c>
      <c r="C63" s="29" t="inlineStr">
        <is>
          <t>prudential capital, liquidity, credit and market risk</t>
        </is>
      </c>
      <c r="D63" s="29" t="inlineStr">
        <is>
          <t>https://www.bis.org/basel_framework/</t>
        </is>
      </c>
      <c r="E63" s="29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29" min="2" max="2"/>
    <col width="22" customWidth="1" style="29" min="3" max="3"/>
    <col width="52" customWidth="1" style="29" min="4" max="4"/>
    <col width="46" customWidth="1" style="29" min="5" max="5"/>
    <col width="36" customWidth="1" style="29" min="6" max="6"/>
    <col width="14" customWidth="1" style="29" min="7" max="7"/>
    <col width="18" customWidth="1" style="29" min="8" max="8"/>
    <col width="14" customWidth="1" style="29" min="9" max="9"/>
  </cols>
  <sheetData>
    <row r="2" ht="18.55" customHeight="1" s="30">
      <c r="B2" s="35" t="inlineStr">
        <is>
          <t>Independent Challenge, Override and Closure Log</t>
        </is>
      </c>
    </row>
    <row r="4" ht="15" customHeight="1" s="30">
      <c r="B4" s="39" t="inlineStr">
        <is>
          <t>Date</t>
        </is>
      </c>
      <c r="C4" s="39" t="inlineStr">
        <is>
          <t>Reviewer</t>
        </is>
      </c>
      <c r="D4" s="39" t="inlineStr">
        <is>
          <t>Challenge</t>
        </is>
      </c>
      <c r="E4" s="39" t="inlineStr">
        <is>
          <t>Owner response</t>
        </is>
      </c>
      <c r="F4" s="39" t="inlineStr">
        <is>
          <t>Evidence</t>
        </is>
      </c>
      <c r="G4" s="39" t="inlineStr">
        <is>
          <t>Impact</t>
        </is>
      </c>
      <c r="H4" s="39" t="inlineStr">
        <is>
          <t>Status</t>
        </is>
      </c>
      <c r="I4" s="39" t="inlineStr">
        <is>
          <t>Closure</t>
        </is>
      </c>
    </row>
    <row r="5" ht="15" customHeight="1" s="30">
      <c r="D5" s="29" t="inlineStr">
        <is>
          <t>cash conversion closes</t>
        </is>
      </c>
      <c r="H5" s="29" t="inlineStr">
        <is>
          <t>OPEN</t>
        </is>
      </c>
    </row>
    <row r="6" ht="15" customHeight="1" s="30">
      <c r="D6" s="29" t="inlineStr">
        <is>
          <t>exposure follows goods and documents</t>
        </is>
      </c>
      <c r="H6" s="29" t="inlineStr">
        <is>
          <t>OPEN</t>
        </is>
      </c>
    </row>
    <row r="7" ht="15" customHeight="1" s="30">
      <c r="D7" s="29" t="inlineStr">
        <is>
          <t>fees reflect tenor and utilization</t>
        </is>
      </c>
      <c r="H7" s="29" t="inlineStr">
        <is>
          <t>OPEN</t>
        </is>
      </c>
    </row>
    <row r="8" ht="15" customHeight="1" s="30">
      <c r="D8" s="29" t="inlineStr">
        <is>
          <t>source-to-model lineage is reproducible</t>
        </is>
      </c>
      <c r="H8" s="29" t="inlineStr">
        <is>
          <t>OPEN</t>
        </is>
      </c>
    </row>
    <row r="9" ht="15" customHeight="1" s="30">
      <c r="D9" s="29" t="inlineStr">
        <is>
          <t>units, signs, dates and legal definitions reconcile</t>
        </is>
      </c>
      <c r="H9" s="29" t="inlineStr">
        <is>
          <t>OPEN</t>
        </is>
      </c>
    </row>
    <row r="10" ht="15" customHeight="1" s="30">
      <c r="H10" s="29" t="n"/>
    </row>
    <row r="11" ht="15" customHeight="1" s="30">
      <c r="H11" s="29" t="n"/>
    </row>
    <row r="12" ht="15" customHeight="1" s="30">
      <c r="H12" s="29" t="n"/>
    </row>
    <row r="13" ht="15" customHeight="1" s="30">
      <c r="H13" s="29" t="n"/>
    </row>
    <row r="14" ht="15" customHeight="1" s="30">
      <c r="H14" s="29" t="n"/>
    </row>
    <row r="15" ht="15" customHeight="1" s="30">
      <c r="H15" s="29" t="n"/>
    </row>
    <row r="16" ht="15" customHeight="1" s="30">
      <c r="H16" s="29" t="n"/>
    </row>
    <row r="17" ht="15" customHeight="1" s="30">
      <c r="H17" s="29" t="n"/>
    </row>
    <row r="18" ht="15" customHeight="1" s="30">
      <c r="H18" s="29" t="n"/>
    </row>
    <row r="19" ht="15" customHeight="1" s="30">
      <c r="H19" s="29" t="n"/>
    </row>
    <row r="20" ht="15" customHeight="1" s="30">
      <c r="H20" s="29" t="n"/>
    </row>
    <row r="21" ht="15" customHeight="1" s="30">
      <c r="H21" s="29" t="n"/>
    </row>
    <row r="22" ht="15" customHeight="1" s="30">
      <c r="H22" s="29" t="n"/>
    </row>
    <row r="23" ht="15" customHeight="1" s="30">
      <c r="H23" s="29" t="n"/>
    </row>
    <row r="24" ht="15" customHeight="1" s="30">
      <c r="H24" s="29" t="n"/>
    </row>
    <row r="25" ht="15" customHeight="1" s="30">
      <c r="H25" s="29" t="n"/>
    </row>
    <row r="26" ht="15" customHeight="1" s="30">
      <c r="H26" s="29" t="n"/>
    </row>
    <row r="27" ht="15" customHeight="1" s="30">
      <c r="H27" s="29" t="n"/>
    </row>
    <row r="28" ht="15" customHeight="1" s="30">
      <c r="H28" s="29" t="n"/>
    </row>
    <row r="29" ht="15" customHeight="1" s="30">
      <c r="H29" s="29" t="n"/>
    </row>
    <row r="30" ht="15" customHeight="1" s="30">
      <c r="H30" s="29" t="n"/>
    </row>
    <row r="31" ht="15" customHeight="1" s="30">
      <c r="H31" s="29" t="n"/>
    </row>
    <row r="32" ht="15" customHeight="1" s="30">
      <c r="H32" s="29" t="n"/>
    </row>
    <row r="33" ht="15" customHeight="1" s="30">
      <c r="H33" s="29" t="n"/>
    </row>
    <row r="34" ht="15" customHeight="1" s="30">
      <c r="H34" s="29" t="n"/>
    </row>
    <row r="35" ht="15" customHeight="1" s="30">
      <c r="H35" s="29" t="n"/>
    </row>
    <row r="36" ht="15" customHeight="1" s="30">
      <c r="H36" s="29" t="n"/>
    </row>
    <row r="37" ht="15" customHeight="1" s="30">
      <c r="H37" s="29" t="n"/>
    </row>
    <row r="38" ht="15" customHeight="1" s="30">
      <c r="H38" s="29" t="n"/>
    </row>
    <row r="39" ht="15" customHeight="1" s="30">
      <c r="H39" s="29" t="n"/>
    </row>
    <row r="40" ht="15" customHeight="1" s="30">
      <c r="H40" s="29" t="n"/>
    </row>
    <row r="41" ht="15" customHeight="1" s="30">
      <c r="H41" s="29" t="n"/>
    </row>
    <row r="42" ht="15" customHeight="1" s="30">
      <c r="H42" s="29" t="n"/>
    </row>
    <row r="43" ht="15" customHeight="1" s="30">
      <c r="H43" s="29" t="n"/>
    </row>
    <row r="44" ht="15" customHeight="1" s="30">
      <c r="H44" s="29" t="n"/>
    </row>
    <row r="45" ht="15" customHeight="1" s="30">
      <c r="H45" s="29" t="n"/>
    </row>
    <row r="46" ht="15" customHeight="1" s="30">
      <c r="H46" s="29" t="n"/>
    </row>
    <row r="47" ht="15" customHeight="1" s="30">
      <c r="H47" s="29" t="n"/>
    </row>
    <row r="48" ht="15" customHeight="1" s="30">
      <c r="H48" s="29" t="n"/>
    </row>
    <row r="49" ht="15" customHeight="1" s="30">
      <c r="H49" s="29" t="n"/>
    </row>
    <row r="50" ht="15" customHeight="1" s="30">
      <c r="H50" s="29" t="n"/>
    </row>
    <row r="51" ht="15" customHeight="1" s="30">
      <c r="H51" s="29" t="n"/>
    </row>
    <row r="52" ht="15" customHeight="1" s="30">
      <c r="H52" s="29" t="n"/>
    </row>
    <row r="53" ht="15" customHeight="1" s="30">
      <c r="H53" s="29" t="n"/>
    </row>
    <row r="54" ht="15" customHeight="1" s="30">
      <c r="H54" s="29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29" min="2" max="2"/>
    <col width="18" customWidth="1" style="29" min="3" max="3"/>
    <col width="42" customWidth="1" style="29" min="4" max="4"/>
    <col width="24" customWidth="1" style="29" min="5" max="5"/>
    <col width="18" customWidth="1" style="29" min="6" max="6"/>
    <col width="22" customWidth="1" style="29" min="7" max="7"/>
    <col width="42" customWidth="1" style="29" min="8" max="8"/>
    <col width="30" customWidth="1" style="29" min="9" max="9"/>
    <col width="15" customWidth="1" style="29" min="10" max="10"/>
  </cols>
  <sheetData>
    <row r="2" ht="18.55" customHeight="1" s="30">
      <c r="B2" s="35" t="inlineStr">
        <is>
          <t>Source, Transformation, Ownership and Refresh Map</t>
        </is>
      </c>
    </row>
    <row r="4" ht="15" customHeight="1" s="30">
      <c r="B4" s="39" t="inlineStr">
        <is>
          <t>Source class</t>
        </is>
      </c>
      <c r="C4" s="39" t="inlineStr">
        <is>
          <t>Cadence</t>
        </is>
      </c>
      <c r="D4" s="39" t="inlineStr">
        <is>
          <t>Control</t>
        </is>
      </c>
      <c r="E4" s="39" t="inlineStr">
        <is>
          <t>System / provider</t>
        </is>
      </c>
      <c r="F4" s="39" t="inlineStr">
        <is>
          <t>As-of</t>
        </is>
      </c>
      <c r="G4" s="39" t="inlineStr">
        <is>
          <t>Owner</t>
        </is>
      </c>
      <c r="H4" s="39" t="inlineStr">
        <is>
          <t>Transform</t>
        </is>
      </c>
      <c r="I4" s="39" t="inlineStr">
        <is>
          <t>Downstream</t>
        </is>
      </c>
      <c r="J4" s="39" t="inlineStr">
        <is>
          <t>Status</t>
        </is>
      </c>
    </row>
    <row r="5" ht="15" customHeight="1" s="30">
      <c r="B5" s="29" t="inlineStr">
        <is>
          <t>shipment events</t>
        </is>
      </c>
      <c r="C5" s="29" t="inlineStr">
        <is>
          <t>event-driven</t>
        </is>
      </c>
      <c r="D5" s="29" t="inlineStr">
        <is>
          <t>document and logistics match</t>
        </is>
      </c>
      <c r="J5" s="29" t="inlineStr">
        <is>
          <t>TO MAP</t>
        </is>
      </c>
    </row>
    <row r="6" ht="15" customHeight="1" s="30">
      <c r="B6" s="29" t="inlineStr">
        <is>
          <t>facility usage</t>
        </is>
      </c>
      <c r="C6" s="29" t="inlineStr">
        <is>
          <t>daily</t>
        </is>
      </c>
      <c r="D6" s="29" t="inlineStr">
        <is>
          <t>transaction-level utilization</t>
        </is>
      </c>
      <c r="J6" s="29" t="inlineStr">
        <is>
          <t>TO MAP</t>
        </is>
      </c>
    </row>
    <row r="7" ht="15" customHeight="1" s="30">
      <c r="B7" s="29" t="inlineStr">
        <is>
          <t>model governance evidence</t>
        </is>
      </c>
      <c r="C7" s="29" t="inlineStr">
        <is>
          <t>per release</t>
        </is>
      </c>
      <c r="D7" s="29" t="inlineStr">
        <is>
          <t>version, reviewer, sign-off and change log</t>
        </is>
      </c>
      <c r="J7" s="29" t="inlineStr">
        <is>
          <t>TO MAP</t>
        </is>
      </c>
    </row>
    <row r="8" ht="15" customHeight="1" s="30">
      <c r="B8" s="29" t="inlineStr">
        <is>
          <t>decision-use snapshot</t>
        </is>
      </c>
      <c r="C8" s="29" t="inlineStr">
        <is>
          <t>per decision</t>
        </is>
      </c>
      <c r="D8" s="29" t="inlineStr">
        <is>
          <t>immutable as-of date and source receipt</t>
        </is>
      </c>
      <c r="J8" s="29" t="inlineStr">
        <is>
          <t>TO MAP</t>
        </is>
      </c>
    </row>
    <row r="9" ht="15" customHeight="1" s="30">
      <c r="J9" s="29" t="n"/>
    </row>
    <row r="10" ht="15" customHeight="1" s="30">
      <c r="J10" s="29" t="n"/>
    </row>
    <row r="11" ht="15" customHeight="1" s="30">
      <c r="J11" s="29" t="n"/>
    </row>
    <row r="12" ht="15" customHeight="1" s="30">
      <c r="J12" s="29" t="n"/>
    </row>
    <row r="13" ht="15" customHeight="1" s="30">
      <c r="J13" s="29" t="n"/>
    </row>
    <row r="14" ht="15" customHeight="1" s="30">
      <c r="J14" s="29" t="n"/>
    </row>
    <row r="15" ht="15" customHeight="1" s="30">
      <c r="J15" s="29" t="n"/>
    </row>
    <row r="16" ht="15" customHeight="1" s="30">
      <c r="J16" s="29" t="n"/>
    </row>
    <row r="17" ht="15" customHeight="1" s="30">
      <c r="J17" s="29" t="n"/>
    </row>
    <row r="18" ht="15" customHeight="1" s="30">
      <c r="J18" s="29" t="n"/>
    </row>
    <row r="19" ht="15" customHeight="1" s="30">
      <c r="J19" s="29" t="n"/>
    </row>
    <row r="20" ht="15" customHeight="1" s="30">
      <c r="J20" s="29" t="n"/>
    </row>
    <row r="21" ht="15" customHeight="1" s="30">
      <c r="J21" s="29" t="n"/>
    </row>
    <row r="22" ht="15" customHeight="1" s="30">
      <c r="J22" s="29" t="n"/>
    </row>
    <row r="23" ht="15" customHeight="1" s="30">
      <c r="J23" s="29" t="n"/>
    </row>
    <row r="24" ht="15" customHeight="1" s="30">
      <c r="J24" s="29" t="n"/>
    </row>
    <row r="25" ht="15" customHeight="1" s="30">
      <c r="J25" s="29" t="n"/>
    </row>
    <row r="26" ht="15" customHeight="1" s="30">
      <c r="J26" s="29" t="n"/>
    </row>
    <row r="27" ht="15" customHeight="1" s="30">
      <c r="J27" s="29" t="n"/>
    </row>
    <row r="28" ht="15" customHeight="1" s="30">
      <c r="J28" s="29" t="n"/>
    </row>
    <row r="29" ht="15" customHeight="1" s="30">
      <c r="J29" s="29" t="n"/>
    </row>
    <row r="30" ht="15" customHeight="1" s="30">
      <c r="J30" s="29" t="n"/>
    </row>
    <row r="31" ht="15" customHeight="1" s="30">
      <c r="J31" s="29" t="n"/>
    </row>
    <row r="32" ht="15" customHeight="1" s="30">
      <c r="J32" s="29" t="n"/>
    </row>
    <row r="33" ht="15" customHeight="1" s="30">
      <c r="J33" s="29" t="n"/>
    </row>
    <row r="34" ht="15" customHeight="1" s="30">
      <c r="J34" s="29" t="n"/>
    </row>
    <row r="35" ht="15" customHeight="1" s="30">
      <c r="J35" s="29" t="n"/>
    </row>
    <row r="36" ht="15" customHeight="1" s="30">
      <c r="J36" s="29" t="n"/>
    </row>
    <row r="37" ht="15" customHeight="1" s="30">
      <c r="J37" s="29" t="n"/>
    </row>
    <row r="38" ht="15" customHeight="1" s="30">
      <c r="J38" s="29" t="n"/>
    </row>
    <row r="39" ht="15" customHeight="1" s="30">
      <c r="J39" s="29" t="n"/>
    </row>
    <row r="40" ht="15" customHeight="1" s="30">
      <c r="J40" s="29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6" customWidth="1" style="29" min="3" max="3"/>
    <col width="40" customWidth="1" style="29" min="4" max="4"/>
  </cols>
  <sheetData>
    <row r="2" ht="19.7" customHeight="1" s="30">
      <c r="B2" s="31" t="inlineStr">
        <is>
          <t>Cash Conversion Cycle</t>
        </is>
      </c>
    </row>
    <row r="4" ht="15" customHeight="1" s="30">
      <c r="B4" s="40" t="inlineStr">
        <is>
          <t>Inputs</t>
        </is>
      </c>
    </row>
    <row r="5" ht="15" customHeight="1" s="30">
      <c r="B5" s="41" t="inlineStr">
        <is>
          <t>Revenue ($, annual)</t>
        </is>
      </c>
      <c r="C5" s="42" t="n">
        <v>58158</v>
      </c>
    </row>
    <row r="6" ht="15" customHeight="1" s="30">
      <c r="B6" s="41" t="inlineStr">
        <is>
          <t>COGS ($, annual)</t>
        </is>
      </c>
      <c r="C6" s="42" t="n">
        <v>63843</v>
      </c>
    </row>
    <row r="7" ht="15" customHeight="1" s="30">
      <c r="B7" s="41" t="inlineStr">
        <is>
          <t>Average accounts receivable ($)</t>
        </is>
      </c>
      <c r="C7" s="42" t="n">
        <v>1955</v>
      </c>
    </row>
    <row r="8" ht="15" customHeight="1" s="30">
      <c r="B8" s="41" t="inlineStr">
        <is>
          <t>Average inventory ($)</t>
        </is>
      </c>
      <c r="C8" s="42" t="n">
        <v>81715</v>
      </c>
    </row>
    <row r="9" ht="15" customHeight="1" s="30">
      <c r="B9" s="41" t="inlineStr">
        <is>
          <t>Average accounts payable ($)</t>
        </is>
      </c>
      <c r="C9" s="42" t="n">
        <v>12928</v>
      </c>
    </row>
    <row r="11" ht="15" customHeight="1" s="30">
      <c r="B11" s="40" t="inlineStr">
        <is>
          <t>Outputs</t>
        </is>
      </c>
    </row>
    <row r="12" ht="15" customHeight="1" s="30">
      <c r="B12" s="29" t="inlineStr">
        <is>
          <t>DSO (Days Sales Outstanding)</t>
        </is>
      </c>
      <c r="C12" s="43">
        <f>IFERROR(C7/C5*365,"-")</f>
        <v/>
      </c>
    </row>
    <row r="13" ht="15" customHeight="1" s="30">
      <c r="B13" s="29" t="inlineStr">
        <is>
          <t>DIO (Days Inventory Outstanding)</t>
        </is>
      </c>
      <c r="C13" s="43">
        <f>IFERROR(C8/C6*365,"-")</f>
        <v/>
      </c>
    </row>
    <row r="14" ht="15" customHeight="1" s="30">
      <c r="B14" s="29" t="inlineStr">
        <is>
          <t>DPO (Days Payable Outstanding)</t>
        </is>
      </c>
      <c r="C14" s="43">
        <f>IFERROR(C9/C6*365,"-")</f>
        <v/>
      </c>
    </row>
    <row r="15" ht="15" customHeight="1" s="30">
      <c r="B15" s="29" t="inlineStr">
        <is>
          <t>Cash Conversion Cycle (DSO+DIO-DPO)</t>
        </is>
      </c>
      <c r="C15" s="44">
        <f>IFERROR(C12+C13-C14,"-")</f>
        <v/>
      </c>
      <c r="D15" s="45" t="inlineStr">
        <is>
          <t>Days cash tied up per cycle — lower/negative is better (supplier financing your growth)</t>
        </is>
      </c>
    </row>
    <row r="16" ht="15" customHeight="1" s="30">
      <c r="B16" s="29" t="inlineStr">
        <is>
          <t>Working capital required ($, approx.)</t>
        </is>
      </c>
      <c r="C16" s="46">
        <f>IFERROR(C15/365*C6,"-")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40" customWidth="1" style="29" min="2" max="2"/>
    <col width="18" customWidth="1" style="29" min="3" max="5"/>
    <col width="44" customWidth="1" style="29" min="6" max="6"/>
  </cols>
  <sheetData>
    <row r="2" ht="19.7" customHeight="1" s="30">
      <c r="B2" s="31" t="inlineStr">
        <is>
          <t>Counterparty Credit, Country Risk, and Facility Utilization</t>
        </is>
      </c>
    </row>
    <row r="3" ht="15" customHeight="1" s="30">
      <c r="B3" s="29" t="inlineStr">
        <is>
          <t>Active scenario</t>
        </is>
      </c>
      <c r="C3" s="47" t="inlineStr">
        <is>
          <t>Base</t>
        </is>
      </c>
    </row>
    <row r="4" ht="15" customHeight="1" s="30">
      <c r="B4" s="48" t="inlineStr">
        <is>
          <t>Metric</t>
        </is>
      </c>
      <c r="C4" s="48" t="inlineStr">
        <is>
          <t>Base</t>
        </is>
      </c>
      <c r="D4" s="48" t="inlineStr">
        <is>
          <t>Downside</t>
        </is>
      </c>
      <c r="E4" s="48" t="inlineStr">
        <is>
          <t>Active</t>
        </is>
      </c>
      <c r="F4" s="48" t="inlineStr">
        <is>
          <t>Owner / interpretation</t>
        </is>
      </c>
    </row>
    <row r="5" ht="15" customHeight="1" s="30">
      <c r="B5" s="29" t="inlineStr">
        <is>
          <t>Facility limit</t>
        </is>
      </c>
      <c r="C5" s="49" t="n">
        <v>100</v>
      </c>
      <c r="D5" s="49" t="n">
        <v>100</v>
      </c>
      <c r="E5" s="46">
        <f>IF($C$3="Downside",D5,C5)</f>
        <v/>
      </c>
      <c r="F5" s="29" t="inlineStr">
        <is>
          <t>approved committed amount</t>
        </is>
      </c>
    </row>
    <row r="6" ht="15" customHeight="1" s="30">
      <c r="B6" s="29" t="inlineStr">
        <is>
          <t>Drawn amount</t>
        </is>
      </c>
      <c r="C6" s="49" t="n">
        <v>60</v>
      </c>
      <c r="D6" s="49" t="n">
        <v>120</v>
      </c>
      <c r="E6" s="46">
        <f>IF($C$3="Downside",D6,C6)</f>
        <v/>
      </c>
      <c r="F6" s="29" t="inlineStr">
        <is>
          <t>current and stress utilization</t>
        </is>
      </c>
    </row>
    <row r="7" ht="15" customHeight="1" s="30">
      <c r="B7" s="29" t="inlineStr">
        <is>
          <t>Exposure at default</t>
        </is>
      </c>
      <c r="C7" s="49" t="n">
        <v>60</v>
      </c>
      <c r="D7" s="49" t="n">
        <v>120</v>
      </c>
      <c r="E7" s="46">
        <f>IF($C$3="Downside",D7,C7)</f>
        <v/>
      </c>
      <c r="F7" s="29" t="inlineStr">
        <is>
          <t>drawn plus applicable contingent exposure</t>
        </is>
      </c>
    </row>
    <row r="8" ht="15" customHeight="1" s="30">
      <c r="B8" s="29" t="inlineStr">
        <is>
          <t>Probability of default</t>
        </is>
      </c>
      <c r="C8" s="50" t="n">
        <v>0.02</v>
      </c>
      <c r="D8" s="50" t="n">
        <v>0.2</v>
      </c>
      <c r="E8" s="51">
        <f>IF($C$3="Downside",D8,C8)</f>
        <v/>
      </c>
      <c r="F8" s="29" t="inlineStr">
        <is>
          <t>point-in-time or approved stress PD</t>
        </is>
      </c>
    </row>
    <row r="9" ht="15" customHeight="1" s="30">
      <c r="B9" s="29" t="inlineStr">
        <is>
          <t>Loss given default</t>
        </is>
      </c>
      <c r="C9" s="50" t="n">
        <v>0.4</v>
      </c>
      <c r="D9" s="50" t="n">
        <v>0.7</v>
      </c>
      <c r="E9" s="51">
        <f>IF($C$3="Downside",D9,C9)</f>
        <v/>
      </c>
      <c r="F9" s="29" t="inlineStr">
        <is>
          <t>net of collateral and recoveries</t>
        </is>
      </c>
    </row>
    <row r="10" ht="15" customHeight="1" s="30">
      <c r="B10" s="29" t="inlineStr">
        <is>
          <t>Gross transaction margin</t>
        </is>
      </c>
      <c r="C10" s="49" t="n">
        <v>8</v>
      </c>
      <c r="D10" s="49" t="n">
        <v>10</v>
      </c>
      <c r="E10" s="46">
        <f>IF($C$3="Downside",D10,C10)</f>
        <v/>
      </c>
      <c r="F10" s="29" t="inlineStr">
        <is>
          <t>before credit and country risk</t>
        </is>
      </c>
    </row>
    <row r="11" ht="15" customHeight="1" s="30">
      <c r="B11" s="29" t="inlineStr">
        <is>
          <t>Country / transfer-risk cost</t>
        </is>
      </c>
      <c r="C11" s="49" t="n">
        <v>0.5</v>
      </c>
      <c r="D11" s="49" t="n">
        <v>5</v>
      </c>
      <c r="E11" s="46">
        <f>IF($C$3="Downside",D11,C11)</f>
        <v/>
      </c>
      <c r="F11" s="29" t="inlineStr">
        <is>
          <t>approved economic charge</t>
        </is>
      </c>
    </row>
    <row r="12" ht="15" customHeight="1" s="30">
      <c r="B12" s="29" t="inlineStr">
        <is>
          <t>Maximum utilization</t>
        </is>
      </c>
      <c r="C12" s="50" t="n">
        <v>0.9</v>
      </c>
      <c r="D12" s="50" t="n">
        <v>0.9</v>
      </c>
      <c r="E12" s="51">
        <f>IF($C$3="Downside",D12,C12)</f>
        <v/>
      </c>
      <c r="F12" s="29" t="inlineStr">
        <is>
          <t>warning threshold</t>
        </is>
      </c>
    </row>
    <row r="13" ht="15" customHeight="1" s="30">
      <c r="B13" s="29" t="inlineStr">
        <is>
          <t>Maximum cash-conversion days</t>
        </is>
      </c>
      <c r="C13" s="52" t="n">
        <v>120</v>
      </c>
      <c r="D13" s="52" t="n">
        <v>120</v>
      </c>
      <c r="E13" s="43">
        <f>IF($C$3="Downside",D13,C13)</f>
        <v/>
      </c>
      <c r="F13" s="29" t="inlineStr">
        <is>
          <t>working-capital warning threshold</t>
        </is>
      </c>
    </row>
    <row r="16" ht="15" customHeight="1" s="30">
      <c r="B16" s="40" t="inlineStr">
        <is>
          <t>Derived outputs</t>
        </is>
      </c>
    </row>
    <row r="17" ht="15" customHeight="1" s="30">
      <c r="B17" s="29" t="inlineStr">
        <is>
          <t>Facility utilization</t>
        </is>
      </c>
      <c r="E17" s="51">
        <f>IFERROR(E6/E5,0)</f>
        <v/>
      </c>
    </row>
    <row r="18" ht="15" customHeight="1" s="30">
      <c r="B18" s="29" t="inlineStr">
        <is>
          <t>Expected loss</t>
        </is>
      </c>
      <c r="E18" s="46">
        <f>E7*E8*E9</f>
        <v/>
      </c>
    </row>
    <row r="19" ht="15" customHeight="1" s="30">
      <c r="B19" s="29" t="inlineStr">
        <is>
          <t>Risk-adjusted margin</t>
        </is>
      </c>
      <c r="E19" s="46">
        <f>E10-E18-E11</f>
        <v/>
      </c>
    </row>
    <row r="20" ht="15" customHeight="1" s="30">
      <c r="B20" s="29" t="inlineStr">
        <is>
          <t>Cash conversion days</t>
        </is>
      </c>
      <c r="E20" s="43">
        <f>'Working Capital Cycle'!C15</f>
        <v/>
      </c>
    </row>
    <row r="21" ht="15" customHeight="1" s="30">
      <c r="B21" s="29" t="inlineStr">
        <is>
          <t>Approximate working capital need</t>
        </is>
      </c>
      <c r="E21" s="46">
        <f>'Working Capital Cycle'!C16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6" customWidth="1" style="29" min="3" max="3"/>
    <col width="40" customWidth="1" style="29" min="4" max="4"/>
  </cols>
  <sheetData>
    <row r="2" ht="19.7" customHeight="1" s="30">
      <c r="B2" s="31" t="inlineStr">
        <is>
          <t>Letter of Credit &amp; Factoring Cost Model</t>
        </is>
      </c>
    </row>
    <row r="4" ht="15" customHeight="1" s="30">
      <c r="B4" s="40" t="inlineStr">
        <is>
          <t>Letter of Credit</t>
        </is>
      </c>
    </row>
    <row r="5" ht="15" customHeight="1" s="30">
      <c r="B5" s="41" t="inlineStr">
        <is>
          <t>LC face value ($)</t>
        </is>
      </c>
      <c r="C5" s="49" t="n">
        <v>0</v>
      </c>
    </row>
    <row r="6" ht="15" customHeight="1" s="30">
      <c r="B6" s="41" t="inlineStr">
        <is>
          <t>Issuance fee %</t>
        </is>
      </c>
      <c r="C6" s="50" t="n">
        <v>0.015</v>
      </c>
    </row>
    <row r="7" ht="15" customHeight="1" s="30">
      <c r="B7" s="41" t="inlineStr">
        <is>
          <t>Confirmation fee %</t>
        </is>
      </c>
      <c r="C7" s="50" t="n">
        <v>0.01</v>
      </c>
    </row>
    <row r="8" ht="15" customHeight="1" s="30">
      <c r="B8" s="41" t="inlineStr">
        <is>
          <t>Tenor (days)</t>
        </is>
      </c>
      <c r="C8" s="53" t="n">
        <v>90</v>
      </c>
    </row>
    <row r="9" ht="15" customHeight="1" s="30">
      <c r="B9" s="29" t="inlineStr">
        <is>
          <t>Total LC cost ($)</t>
        </is>
      </c>
      <c r="C9" s="54">
        <f>C5*(C6+C7)*(C8/365)</f>
        <v/>
      </c>
    </row>
    <row r="10" ht="15" customHeight="1" s="30">
      <c r="B10" s="29" t="inlineStr">
        <is>
          <t>Annualized LC cost %</t>
        </is>
      </c>
      <c r="C10" s="51">
        <f>IFERROR(C9/C5/(C8/365),"-")</f>
        <v/>
      </c>
    </row>
    <row r="13" ht="15" customHeight="1" s="30">
      <c r="B13" s="40" t="inlineStr">
        <is>
          <t>Factoring / Invoice Discounting</t>
        </is>
      </c>
    </row>
    <row r="14" ht="15" customHeight="1" s="30">
      <c r="B14" s="41" t="inlineStr">
        <is>
          <t>Invoice face value ($)</t>
        </is>
      </c>
      <c r="C14" s="49" t="n">
        <v>0</v>
      </c>
    </row>
    <row r="15" ht="15" customHeight="1" s="30">
      <c r="B15" s="41" t="inlineStr">
        <is>
          <t>Advance rate %</t>
        </is>
      </c>
      <c r="C15" s="50" t="n">
        <v>0.85</v>
      </c>
    </row>
    <row r="16" ht="15" customHeight="1" s="30">
      <c r="B16" s="41" t="inlineStr">
        <is>
          <t>Discount/factor fee %</t>
        </is>
      </c>
      <c r="C16" s="50" t="n">
        <v>0.02</v>
      </c>
    </row>
    <row r="17" ht="15" customHeight="1" s="30">
      <c r="B17" s="41" t="inlineStr">
        <is>
          <t>Days to collection</t>
        </is>
      </c>
      <c r="C17" s="53" t="n">
        <v>60</v>
      </c>
    </row>
    <row r="18" ht="15" customHeight="1" s="30">
      <c r="B18" s="29" t="inlineStr">
        <is>
          <t>Cash advanced immediately ($)</t>
        </is>
      </c>
      <c r="C18" s="46">
        <f>C14*C15</f>
        <v/>
      </c>
    </row>
    <row r="19" ht="15" customHeight="1" s="30">
      <c r="B19" s="29" t="inlineStr">
        <is>
          <t>Factoring fee ($)</t>
        </is>
      </c>
      <c r="C19" s="46">
        <f>C14*C16</f>
        <v/>
      </c>
    </row>
    <row r="20" ht="15" customHeight="1" s="30">
      <c r="B20" s="29" t="inlineStr">
        <is>
          <t>Net proceeds after collection ($)</t>
        </is>
      </c>
      <c r="C20" s="46">
        <f>C14-C19</f>
        <v/>
      </c>
    </row>
    <row r="21" ht="15" customHeight="1" s="30">
      <c r="B21" s="29" t="inlineStr">
        <is>
          <t>Effective annualized cost of factoring %</t>
        </is>
      </c>
      <c r="C21" s="55">
        <f>IFERROR(C19/C20*365/C17,"-")</f>
        <v/>
      </c>
      <c r="D21" s="45" t="inlineStr">
        <is>
          <t>Effective cost uses the fee divided by net proceeds and annualizes by the collection period.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8" customWidth="1" style="29" min="2" max="2"/>
    <col width="18" customWidth="1" style="29" min="3" max="4"/>
    <col width="48" customWidth="1" style="29" min="5" max="5"/>
  </cols>
  <sheetData>
    <row r="2" ht="19.7" customHeight="1" s="30">
      <c r="B2" s="31" t="inlineStr">
        <is>
          <t>Documentary Credit Examination and Exception Register</t>
        </is>
      </c>
    </row>
    <row r="4" ht="15" customHeight="1" s="30">
      <c r="B4" s="48" t="inlineStr">
        <is>
          <t>Control</t>
        </is>
      </c>
      <c r="C4" s="48" t="inlineStr">
        <is>
          <t>Input / metric</t>
        </is>
      </c>
      <c r="D4" s="48" t="inlineStr">
        <is>
          <t>Status</t>
        </is>
      </c>
      <c r="E4" s="48" t="inlineStr">
        <is>
          <t>Evidence / action</t>
        </is>
      </c>
    </row>
    <row r="5" ht="15" customHeight="1" s="30">
      <c r="B5" s="29" t="inlineStr">
        <is>
          <t>Days from shipment to presentation</t>
        </is>
      </c>
      <c r="C5" s="53" t="n">
        <v>10</v>
      </c>
      <c r="D5" s="56">
        <f>IF(C5&lt;=21,"PASS","REVIEW")</f>
        <v/>
      </c>
      <c r="E5" s="29" t="inlineStr">
        <is>
          <t>compare against credit terms and applicable presentation period</t>
        </is>
      </c>
    </row>
    <row r="6" ht="15" customHeight="1" s="30">
      <c r="B6" s="29" t="inlineStr">
        <is>
          <t>Document discrepancies identified</t>
        </is>
      </c>
      <c r="C6" s="53" t="n">
        <v>0</v>
      </c>
      <c r="D6" s="56">
        <f>IF(C6=0,"PASS","REVIEW")</f>
        <v/>
      </c>
      <c r="E6" s="29" t="inlineStr">
        <is>
          <t>retain discrepancy list, waiver, refusal, or cure evidence</t>
        </is>
      </c>
    </row>
    <row r="7" ht="15" customHeight="1" s="30">
      <c r="B7" s="29" t="inlineStr">
        <is>
          <t>Sanctions / restricted-party screening complete</t>
        </is>
      </c>
      <c r="C7" s="53" t="n">
        <v>1</v>
      </c>
      <c r="D7" s="56">
        <f>IF(C7=1,"PASS","BREACH")</f>
        <v/>
      </c>
      <c r="E7" s="29" t="inlineStr">
        <is>
          <t>1=yes; evidence must be dated and corridor-specific</t>
        </is>
      </c>
    </row>
    <row r="8" ht="15" customHeight="1" s="30">
      <c r="B8" s="29" t="inlineStr">
        <is>
          <t>Transport / title document matched</t>
        </is>
      </c>
      <c r="C8" s="53" t="n">
        <v>1</v>
      </c>
      <c r="D8" s="56">
        <f>IF(C8=1,"PASS","BREACH")</f>
        <v/>
      </c>
      <c r="E8" s="29" t="inlineStr">
        <is>
          <t>1=yes; verify issuer, consignee, dates, quantity, and goods description</t>
        </is>
      </c>
    </row>
    <row r="9" ht="15" customHeight="1" s="30">
      <c r="B9" s="29" t="inlineStr">
        <is>
          <t>Insurance document matched where required</t>
        </is>
      </c>
      <c r="C9" s="53" t="n">
        <v>1</v>
      </c>
      <c r="D9" s="56">
        <f>IF(C9=1,"PASS","REVIEW")</f>
        <v/>
      </c>
      <c r="E9" s="29" t="inlineStr">
        <is>
          <t>1=yes; review insured amount, risks, currency, and date</t>
        </is>
      </c>
    </row>
    <row r="10" ht="15" customHeight="1" s="30">
      <c r="B10" s="29" t="inlineStr">
        <is>
          <t>Refusal / discrepancy notice within required period</t>
        </is>
      </c>
      <c r="C10" s="53" t="n">
        <v>1</v>
      </c>
      <c r="D10" s="56">
        <f>IF(C10=1,"PASS","BREACH")</f>
        <v/>
      </c>
      <c r="E10" s="29" t="inlineStr">
        <is>
          <t>1=yes; retain timestamp and complete discrepancy statement</t>
        </is>
      </c>
    </row>
    <row r="11" ht="15" customHeight="1" s="30">
      <c r="B11" s="29" t="inlineStr">
        <is>
          <t>Counterparty waiver documented</t>
        </is>
      </c>
      <c r="C11" s="53" t="n">
        <v>1</v>
      </c>
      <c r="D11" s="56">
        <f>IF(OR(C6=0,C11=1),"PASS","BREACH")</f>
        <v/>
      </c>
      <c r="E11" s="29" t="inlineStr">
        <is>
          <t>1=yes when discrepant documents are accepted</t>
        </is>
      </c>
    </row>
    <row r="12" ht="15" customHeight="1" s="30">
      <c r="B12" s="29" t="inlineStr">
        <is>
          <t>Original documents / electronic presentation controlled</t>
        </is>
      </c>
      <c r="C12" s="53" t="n">
        <v>1</v>
      </c>
      <c r="D12" s="56">
        <f>IF(C12=1,"PASS","BREACH")</f>
        <v/>
      </c>
      <c r="E12" s="29" t="inlineStr">
        <is>
          <t>1=yes; preserve authenticity, version, and presentation evidence</t>
        </is>
      </c>
    </row>
    <row r="14" ht="15" customHeight="1" s="30">
      <c r="B14" s="45" t="inlineStr">
        <is>
          <t>This register operationalizes documentary review but is not a substitute for legal advice or the controlling credit 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40" customWidth="1" style="29" min="2" max="2"/>
    <col width="18" customWidth="1" style="29" min="3" max="4"/>
    <col width="50" customWidth="1" style="29" min="5" max="5"/>
  </cols>
  <sheetData>
    <row r="2" ht="19.7" customHeight="1" s="30">
      <c r="B2" s="31" t="inlineStr">
        <is>
          <t>Trade Finance Decision Dashboard and Independent Checks</t>
        </is>
      </c>
    </row>
    <row r="4" ht="15" customHeight="1" s="30">
      <c r="B4" s="48" t="inlineStr">
        <is>
          <t>Check / decision</t>
        </is>
      </c>
      <c r="C4" s="48" t="inlineStr">
        <is>
          <t>Metric</t>
        </is>
      </c>
      <c r="D4" s="48" t="inlineStr">
        <is>
          <t>Status</t>
        </is>
      </c>
      <c r="E4" s="48" t="inlineStr">
        <is>
          <t>Interpretation / action</t>
        </is>
      </c>
    </row>
    <row r="5" ht="15" customHeight="1" s="30">
      <c r="B5" s="29" t="inlineStr">
        <is>
          <t>Cash-conversion identity residual</t>
        </is>
      </c>
      <c r="C5" s="56">
        <f>IF(AND(ISNUMBER('Working Capital Cycle'!C15),ISNUMBER('Working Capital Cycle'!C12),ISNUMBER('Working Capital Cycle'!C13),ISNUMBER('Working Capital Cycle'!C14)),'Working Capital Cycle'!C15-('Working Capital Cycle'!C12+'Working Capital Cycle'!C13-'Working Capital Cycle'!C14),0)</f>
        <v/>
      </c>
      <c r="D5" s="56">
        <f>IF(AND(ISNUMBER('Working Capital Cycle'!C15),ISNUMBER('Working Capital Cycle'!C12),ISNUMBER('Working Capital Cycle'!C13),ISNUMBER('Working Capital Cycle'!C14)),IF(ABS(C5)&lt;0.000001,"PASS","FAIL"),"REVIEW")</f>
        <v/>
      </c>
      <c r="E5" s="29" t="inlineStr">
        <is>
          <t>DSO plus DIO less DPO must equal the reported cash-conversion cycle.</t>
        </is>
      </c>
    </row>
    <row r="6" ht="15" customHeight="1" s="30">
      <c r="B6" s="29" t="inlineStr">
        <is>
          <t>Facility utilization</t>
        </is>
      </c>
      <c r="C6" s="51">
        <f>'Credit &amp; Facility'!E17</f>
        <v/>
      </c>
      <c r="D6" s="56">
        <f>IF(C6&lt;='Credit &amp; Facility'!E12,"PASS",IF(C6&lt;=1,"REVIEW","BREACH"))</f>
        <v/>
      </c>
      <c r="E6" s="29" t="inlineStr">
        <is>
          <t>Escalate excess utilization and contingent-exposure conversion.</t>
        </is>
      </c>
    </row>
    <row r="7" ht="15" customHeight="1" s="30">
      <c r="B7" s="29" t="inlineStr">
        <is>
          <t>Expected loss residual</t>
        </is>
      </c>
      <c r="C7" s="56">
        <f>'Credit &amp; Facility'!E18-'Credit &amp; Facility'!E7*'Credit &amp; Facility'!E8*'Credit &amp; Facility'!E9</f>
        <v/>
      </c>
      <c r="D7" s="56">
        <f>IF(ABS(C7)&lt;0.000001,"PASS","FAIL")</f>
        <v/>
      </c>
      <c r="E7" s="29" t="inlineStr">
        <is>
          <t>Expected loss must equal EAD multiplied by PD and LGD.</t>
        </is>
      </c>
    </row>
    <row r="8" ht="15" customHeight="1" s="30">
      <c r="B8" s="29" t="inlineStr">
        <is>
          <t>Risk-adjusted margin</t>
        </is>
      </c>
      <c r="C8" s="46">
        <f>'Credit &amp; Facility'!E19</f>
        <v/>
      </c>
      <c r="D8" s="56">
        <f>IF(C8&gt;=0,"PASS","BREACH")</f>
        <v/>
      </c>
      <c r="E8" s="29" t="inlineStr">
        <is>
          <t>A transaction that loses money after credit and country risk should not be approved on nominal margin.</t>
        </is>
      </c>
    </row>
    <row r="9" ht="15" customHeight="1" s="30">
      <c r="B9" s="29" t="inlineStr">
        <is>
          <t>Cash-conversion days</t>
        </is>
      </c>
      <c r="C9" s="56">
        <f>'Credit &amp; Facility'!E20</f>
        <v/>
      </c>
      <c r="D9" s="56">
        <f>IF(NOT(ISNUMBER(C9)),"REVIEW",IF(C9&lt;='Credit &amp; Facility'!E13,"PASS","REVIEW"))</f>
        <v/>
      </c>
      <c r="E9" s="29" t="inlineStr">
        <is>
          <t>Longer cycles increase funding and performance risk.</t>
        </is>
      </c>
    </row>
    <row r="10" ht="15" customHeight="1" s="30">
      <c r="B10" s="29" t="inlineStr">
        <is>
          <t>Annualized LC cost</t>
        </is>
      </c>
      <c r="C10" s="56">
        <f>'LC &amp; Factoring Cost'!C10</f>
        <v/>
      </c>
      <c r="D10" s="56">
        <f>IF(ISNUMBER(C10),"PASS","REVIEW")</f>
        <v/>
      </c>
      <c r="E10" s="29" t="inlineStr">
        <is>
          <t>Confirm tenor, issuance, confirmation, amendment, and discrepancy fees.</t>
        </is>
      </c>
    </row>
    <row r="11" ht="15" customHeight="1" s="30">
      <c r="B11" s="29" t="inlineStr">
        <is>
          <t>Effective factoring APR</t>
        </is>
      </c>
      <c r="C11" s="56">
        <f>'LC &amp; Factoring Cost'!C21</f>
        <v/>
      </c>
      <c r="D11" s="56">
        <f>IF(ISNUMBER(C11),"PASS","REVIEW")</f>
        <v/>
      </c>
      <c r="E11" s="29" t="inlineStr">
        <is>
          <t>Compare fee to net proceeds and actual collection period.</t>
        </is>
      </c>
    </row>
    <row r="12" ht="15" customHeight="1" s="30">
      <c r="B12" s="29" t="inlineStr">
        <is>
          <t>Documentary-control exceptions</t>
        </is>
      </c>
      <c r="C12" s="56">
        <f>COUNTIF('Documentary Controls'!D5:D12,"&lt;&gt;PASS")</f>
        <v/>
      </c>
      <c r="D12" s="56">
        <f>IF(C12=0,"PASS","REVIEW")</f>
        <v/>
      </c>
      <c r="E12" s="29" t="inlineStr">
        <is>
          <t>No financing-cost comparison overrides unresolved documentary or sanctions controls.</t>
        </is>
      </c>
    </row>
    <row r="14" ht="15" customHeight="1" s="30">
      <c r="B14" s="32" t="inlineStr">
        <is>
          <t>Overall model status</t>
        </is>
      </c>
      <c r="C14" s="57">
        <f>IF(COUNTIF(D5:D12,"FAIL")+COUNTIF(D5:D12,"BREACH")&gt;0,"BREACH",IF(COUNTIF(D5:D12,"REVIEW")&gt;0,"REVIEW","PASS"))</f>
        <v/>
      </c>
    </row>
    <row r="16" ht="15" customHeight="1" s="30">
      <c r="B16" s="40" t="inlineStr">
        <is>
          <t>Primary decision outputs</t>
        </is>
      </c>
    </row>
    <row r="17" ht="15" customHeight="1" s="30">
      <c r="B17" s="29" t="inlineStr">
        <is>
          <t>Cash conversion days</t>
        </is>
      </c>
      <c r="C17" s="43">
        <f>'Working Capital Cycle'!C15</f>
        <v/>
      </c>
    </row>
    <row r="18" ht="15" customHeight="1" s="30">
      <c r="B18" s="29" t="inlineStr">
        <is>
          <t>Working capital required</t>
        </is>
      </c>
      <c r="C18" s="46">
        <f>'Working Capital Cycle'!C16</f>
        <v/>
      </c>
    </row>
    <row r="19" ht="15" customHeight="1" s="30">
      <c r="B19" s="29" t="inlineStr">
        <is>
          <t>Facility utilization</t>
        </is>
      </c>
      <c r="C19" s="51">
        <f>'Credit &amp; Facility'!E17</f>
        <v/>
      </c>
    </row>
    <row r="20" ht="15" customHeight="1" s="30">
      <c r="B20" s="29" t="inlineStr">
        <is>
          <t>Expected loss</t>
        </is>
      </c>
      <c r="C20" s="46">
        <f>'Credit &amp; Facility'!E18</f>
        <v/>
      </c>
    </row>
    <row r="21" ht="15" customHeight="1" s="30">
      <c r="B21" s="29" t="inlineStr">
        <is>
          <t>Risk-adjusted margin</t>
        </is>
      </c>
      <c r="C21" s="46">
        <f>'Credit &amp; Facility'!E19</f>
        <v/>
      </c>
    </row>
    <row r="22" ht="15" customHeight="1" s="30">
      <c r="B22" s="29" t="inlineStr">
        <is>
          <t>Cheapest financing channel</t>
        </is>
      </c>
      <c r="C22" s="56">
        <f>'Financing Cost Comparison'!C19</f>
        <v/>
      </c>
    </row>
    <row r="23" ht="15" customHeight="1" s="30">
      <c r="B23" s="29" t="inlineStr">
        <is>
          <t>Cheapest annualized cost</t>
        </is>
      </c>
      <c r="C23" s="51">
        <f>'Financing Cost Comparison'!C20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6" customWidth="1" style="29" min="3" max="3"/>
    <col width="40" customWidth="1" style="29" min="4" max="4"/>
  </cols>
  <sheetData>
    <row r="2" ht="19.7" customHeight="1" s="30">
      <c r="B2" s="31" t="inlineStr">
        <is>
          <t>Which Financing Channel Is Cheapest?</t>
        </is>
      </c>
    </row>
    <row r="4" ht="15" customHeight="1" s="30">
      <c r="B4" s="40" t="inlineStr">
        <is>
          <t>Revolving credit line (alternative)</t>
        </is>
      </c>
    </row>
    <row r="5" ht="15" customHeight="1" s="30">
      <c r="B5" s="41" t="inlineStr">
        <is>
          <t>Draw amount ($)</t>
        </is>
      </c>
      <c r="C5" s="49" t="n">
        <v>0</v>
      </c>
    </row>
    <row r="6" ht="15" customHeight="1" s="30">
      <c r="B6" s="41" t="inlineStr">
        <is>
          <t>Base rate + spread, all-in (%)</t>
        </is>
      </c>
      <c r="C6" s="58" t="n">
        <v>0.08</v>
      </c>
    </row>
    <row r="7" ht="15" customHeight="1" s="30">
      <c r="B7" s="41" t="inlineStr">
        <is>
          <t>Commitment fee on undrawn (%)</t>
        </is>
      </c>
      <c r="C7" s="58" t="n">
        <v>0.005</v>
      </c>
    </row>
    <row r="8" ht="15" customHeight="1" s="30">
      <c r="B8" s="41" t="inlineStr">
        <is>
          <t>Undrawn facility amount ($)</t>
        </is>
      </c>
      <c r="C8" s="49" t="n">
        <v>0</v>
      </c>
    </row>
    <row r="9" ht="15" customHeight="1" s="30">
      <c r="B9" s="29" t="inlineStr">
        <is>
          <t>Revolver interest cost ($)</t>
        </is>
      </c>
      <c r="C9" s="46">
        <f>C5*C6</f>
        <v/>
      </c>
    </row>
    <row r="10" ht="15" customHeight="1" s="30">
      <c r="B10" s="29" t="inlineStr">
        <is>
          <t>Revolver commitment fee ($)</t>
        </is>
      </c>
      <c r="C10" s="46">
        <f>C7*C8</f>
        <v/>
      </c>
    </row>
    <row r="11" ht="15" customHeight="1" s="30">
      <c r="B11" s="29" t="inlineStr">
        <is>
          <t>Revolver annualized all-in cost %</t>
        </is>
      </c>
      <c r="C11" s="51">
        <f>IFERROR((C9+C10)/C5,"-")</f>
        <v/>
      </c>
    </row>
    <row r="13" ht="15" customHeight="1" s="30">
      <c r="B13" s="40" t="inlineStr">
        <is>
          <t>Comparison</t>
        </is>
      </c>
    </row>
    <row r="14" ht="15" customHeight="1" s="30">
      <c r="B14" s="48" t="inlineStr">
        <is>
          <t>Channel</t>
        </is>
      </c>
      <c r="C14" s="48" t="inlineStr">
        <is>
          <t>Annualized cost %</t>
        </is>
      </c>
    </row>
    <row r="15" ht="15" customHeight="1" s="30">
      <c r="B15" s="29" t="inlineStr">
        <is>
          <t>Letter of credit</t>
        </is>
      </c>
      <c r="C15" s="59">
        <f>'LC &amp; Factoring Cost'!C10</f>
        <v/>
      </c>
    </row>
    <row r="16" ht="15" customHeight="1" s="30">
      <c r="B16" s="29" t="inlineStr">
        <is>
          <t>Factoring / invoice discounting</t>
        </is>
      </c>
      <c r="C16" s="59">
        <f>'LC &amp; Factoring Cost'!C21</f>
        <v/>
      </c>
    </row>
    <row r="17" ht="15" customHeight="1" s="30">
      <c r="B17" s="29" t="inlineStr">
        <is>
          <t>Revolving credit line</t>
        </is>
      </c>
      <c r="C17" s="59">
        <f>C11</f>
        <v/>
      </c>
    </row>
    <row r="19" ht="15" customHeight="1" s="30">
      <c r="B19" s="29" t="inlineStr">
        <is>
          <t>Cheapest channel</t>
        </is>
      </c>
      <c r="C19" s="57">
        <f>IF(COUNT(C15:C17)&lt;3,"-",INDEX(B15:B17,MATCH(MIN(C15:C17),C15:C17,0)))</f>
        <v/>
      </c>
      <c r="D19" s="45" t="inlineStr">
        <is>
          <t>Only declares a winner once all three channels have real numbers — one live rate shouldn't beat two blanks by default</t>
        </is>
      </c>
    </row>
    <row r="20" ht="15" customHeight="1" s="30">
      <c r="B20" s="29" t="inlineStr">
        <is>
          <t>Cheapest annualized cost %</t>
        </is>
      </c>
      <c r="C20" s="55">
        <f>IF(COUNT(C15:C17)&lt;3,"-",MIN(C15:C17))</f>
        <v/>
      </c>
      <c r="D20" s="45" t="inlineStr">
        <is>
          <t>Compares only financing cost — also weigh speed, collateral/covenant burden, and counterparty credit risk transfer (LC shifts payment risk to the issuing bank; factoring can be non-recourse)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14" customWidth="1" style="29" min="2" max="2"/>
    <col width="16" customWidth="1" style="29" min="3" max="3"/>
    <col width="30" customWidth="1" style="29" min="4" max="5"/>
    <col width="16" customWidth="1" style="29" min="6" max="6"/>
  </cols>
  <sheetData>
    <row r="2" ht="19.7" customHeight="1" s="30">
      <c r="B2" s="31" t="inlineStr">
        <is>
          <t>Refresh Log</t>
        </is>
      </c>
    </row>
    <row r="4" ht="15" customHeight="1" s="30">
      <c r="B4" s="48" t="inlineStr">
        <is>
          <t>Date</t>
        </is>
      </c>
      <c r="C4" s="48" t="inlineStr">
        <is>
          <t>Trigger</t>
        </is>
      </c>
      <c r="D4" s="48" t="inlineStr">
        <is>
          <t>What changed</t>
        </is>
      </c>
      <c r="E4" s="48" t="inlineStr">
        <is>
          <t>Reviewer notes</t>
        </is>
      </c>
      <c r="F4" s="48" t="inlineStr">
        <is>
          <t>Next check</t>
        </is>
      </c>
    </row>
    <row r="5" ht="15" customHeight="1" s="30">
      <c r="B5" s="56" t="inlineStr">
        <is>
          <t>2026-08-04</t>
        </is>
      </c>
      <c r="C5" s="56" t="inlineStr">
        <is>
          <t>External historical evidence materialization</t>
        </is>
      </c>
      <c r="D5" s="56" t="inlineStr">
        <is>
          <t>Generated public case trade-public-boeing-2020-stress from canonical release template</t>
        </is>
      </c>
      <c r="E5" s="56" t="inlineStr">
        <is>
          <t>External historical case; human stakeholder approval remains pending</t>
        </is>
      </c>
      <c r="F5" s="56" t="inlineStr">
        <is>
          <t>On source revision, builder change, monitoring breach, or annual review</t>
        </is>
      </c>
    </row>
    <row r="6" ht="15" customHeight="1" s="30">
      <c r="B6" s="56" t="n"/>
      <c r="C6" s="56" t="n"/>
      <c r="D6" s="56" t="n"/>
      <c r="E6" s="56" t="n"/>
      <c r="F6" s="56" t="n"/>
    </row>
    <row r="7" ht="15" customHeight="1" s="30">
      <c r="B7" s="56" t="n"/>
      <c r="C7" s="56" t="n"/>
      <c r="D7" s="56" t="n"/>
      <c r="E7" s="56" t="n"/>
      <c r="F7" s="56" t="n"/>
    </row>
    <row r="8" ht="15" customHeight="1" s="30">
      <c r="B8" s="56" t="n"/>
      <c r="C8" s="56" t="n"/>
      <c r="D8" s="56" t="n"/>
      <c r="E8" s="56" t="n"/>
      <c r="F8" s="56" t="n"/>
    </row>
    <row r="9" ht="15" customHeight="1" s="30">
      <c r="B9" s="56" t="n"/>
      <c r="C9" s="56" t="n"/>
      <c r="D9" s="56" t="n"/>
      <c r="E9" s="56" t="n"/>
      <c r="F9" s="56" t="n"/>
    </row>
    <row r="10" ht="15" customHeight="1" s="30">
      <c r="B10" s="56" t="n"/>
      <c r="C10" s="56" t="n"/>
      <c r="D10" s="56" t="n"/>
      <c r="E10" s="56" t="n"/>
      <c r="F10" s="56" t="n"/>
    </row>
    <row r="11" ht="15" customHeight="1" s="30">
      <c r="B11" s="56" t="n"/>
      <c r="C11" s="56" t="n"/>
      <c r="D11" s="56" t="n"/>
      <c r="E11" s="56" t="n"/>
      <c r="F11" s="56" t="n"/>
    </row>
    <row r="12" ht="15" customHeight="1" s="30">
      <c r="B12" s="56" t="n"/>
      <c r="C12" s="56" t="n"/>
      <c r="D12" s="56" t="n"/>
      <c r="E12" s="56" t="n"/>
      <c r="F12" s="56" t="n"/>
    </row>
    <row r="13" ht="15" customHeight="1" s="30">
      <c r="B13" s="56" t="n"/>
      <c r="C13" s="56" t="n"/>
      <c r="D13" s="56" t="n"/>
      <c r="E13" s="56" t="n"/>
      <c r="F13" s="56" t="n"/>
    </row>
    <row r="14" ht="15" customHeight="1" s="30">
      <c r="B14" s="56" t="n"/>
      <c r="C14" s="56" t="n"/>
      <c r="D14" s="56" t="n"/>
      <c r="E14" s="56" t="n"/>
      <c r="F14" s="5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2026-08-04T15:32:28Z</dcterms:created>
  <dcterms:modified xmlns:dcterms="http://purl.org/dc/terms/" xmlns:xsi="http://www.w3.org/2001/XMLSchema-instance" xsi:type="dcterms:W3CDTF">2026-08-04T18:30:39Z</dcterms:modified>
  <cp:revision>0</cp:revision>
</cp:coreProperties>
</file>