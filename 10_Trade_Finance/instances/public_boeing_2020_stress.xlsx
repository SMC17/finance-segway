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Working Capital Cycle" sheetId="5" state="visible" r:id="rId7"/>
    <sheet name="Credit &amp; Facility" sheetId="6" state="visible" r:id="rId8"/>
    <sheet name="LC &amp; Factoring Cost" sheetId="7" state="visible" r:id="rId9"/>
    <sheet name="Documentary Controls" sheetId="8" state="visible" r:id="rId10"/>
    <sheet name="Decision &amp; Checks" sheetId="9" state="visible" r:id="rId11"/>
    <sheet name="Financing Cost Comparison" sheetId="10" state="visible" r:id="rId12"/>
    <sheet name="RefreshLog" sheetId="11" state="visible" r:id="rId13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<sst xmlns="http://schemas.openxmlformats.org/spreadsheetml/2006/main" count="325" uniqueCount="242">
  <si>
    <t xml:space="preserve">[COUNTERPARTY] — Trade Finance Model</t>
  </si>
  <si>
    <t xml:space="preserve">Counterparty:</t>
  </si>
  <si>
    <t xml:space="preserve">[fill in]</t>
  </si>
  <si>
    <t xml:space="preserve">Trade corridor:</t>
  </si>
  <si>
    <t xml:space="preserve">[e.g. exporter-importer country pair]</t>
  </si>
  <si>
    <t xml:space="preserve">Last refreshed:</t>
  </si>
  <si>
    <t xml:space="preserve">2020-12-31</t>
  </si>
  <si>
    <t xml:space="preserve">Refresh cadence:</t>
  </si>
  <si>
    <t xml:space="preserve">Weekly</t>
  </si>
  <si>
    <t xml:space="preserve">Trade Finance — Institutional Decision Surface</t>
  </si>
  <si>
    <t xml:space="preserve">Model ID</t>
  </si>
  <si>
    <t xml:space="preserve">10</t>
  </si>
  <si>
    <t xml:space="preserve">Domain</t>
  </si>
  <si>
    <t xml:space="preserve">Trade Finance</t>
  </si>
  <si>
    <t xml:space="preserve">Declared maturity</t>
  </si>
  <si>
    <t xml:space="preserve">M2</t>
  </si>
  <si>
    <t xml:space="preserve">Canonical builder</t>
  </si>
  <si>
    <t xml:space="preserve">tools/builders/build_trade_finance_release.py</t>
  </si>
  <si>
    <t xml:space="preserve">Decision arena</t>
  </si>
  <si>
    <t xml:space="preserve">trade desk, credit, operations, sanctions and country-risk committee</t>
  </si>
  <si>
    <t xml:space="preserve">Committee artifact</t>
  </si>
  <si>
    <t xml:space="preserve">transaction approval and exception pack</t>
  </si>
  <si>
    <t xml:space="preserve">Operating cadence</t>
  </si>
  <si>
    <t xml:space="preserve">daily transaction monitoring; weekly exceptions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</si>
  <si>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</si>
  <si>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</si>
  <si>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</si>
  <si>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</si>
  <si>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</si>
  <si>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</si>
  <si>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self-liquidating cash cycle</t>
  </si>
  <si>
    <t xml:space="preserve">OPEN</t>
  </si>
  <si>
    <t xml:space="preserve">facility utilization and borrowing base</t>
  </si>
  <si>
    <t xml:space="preserve">LC / guarantee cost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</si>
  <si>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</si>
  <si>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</si>
  <si>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</si>
  <si>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Who controls title at each stage?</t>
  </si>
  <si>
    <t xml:space="preserve">What document discrepancy prevents payment?</t>
  </si>
  <si>
    <t xml:space="preserve">Which bank and country risks are correlated?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</si>
  <si>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</si>
  <si>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</si>
  <si>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</si>
  <si>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shipment delay</t>
  </si>
  <si>
    <t xml:space="preserve">document discrepancy</t>
  </si>
  <si>
    <t xml:space="preserve">buyer default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</si>
  <si>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</si>
  <si>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</si>
  <si>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</si>
  <si>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commercial invoice and purchase order</t>
  </si>
  <si>
    <t xml:space="preserve">bill of lading / warehouse receipt</t>
  </si>
  <si>
    <t xml:space="preserve">letter of credit or guarantee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</si>
  <si>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</si>
  <si>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</si>
  <si>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</si>
  <si>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cash conversion closes</t>
  </si>
  <si>
    <t xml:space="preserve">exposure follows goods and documents</t>
  </si>
  <si>
    <t xml:space="preserve">fees reflect tenor and utilization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</si>
  <si>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</si>
  <si>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</si>
  <si>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</si>
  <si>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assuming documents eliminate performance risk</t>
  </si>
  <si>
    <t xml:space="preserve">ignoring discrepancy cure time</t>
  </si>
  <si>
    <t xml:space="preserve">double-counting insurance and collateral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</si>
  <si>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</si>
  <si>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</si>
  <si>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</si>
  <si>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</si>
  <si>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</si>
  <si>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</si>
  <si>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</si>
  <si>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</si>
  <si>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</si>
  <si>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</si>
  <si>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</si>
  <si>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</si>
  <si>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</si>
  <si>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</si>
  <si>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</si>
  <si>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</si>
  <si>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</si>
  <si>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</si>
  <si>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</si>
  <si>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</si>
  <si>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</si>
  <si>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</si>
  <si>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</si>
  <si>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</si>
  <si>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</si>
  <si>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</si>
  <si>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</si>
  <si>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</si>
  <si>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</si>
  <si>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</si>
  <si>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</si>
  <si>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shipment events</t>
  </si>
  <si>
    <t xml:space="preserve">event-driven</t>
  </si>
  <si>
    <t xml:space="preserve">document and logistics match</t>
  </si>
  <si>
    <t xml:space="preserve">TO MAP</t>
  </si>
  <si>
    <t xml:space="preserve">facility usage</t>
  </si>
  <si>
    <t xml:space="preserve">daily</t>
  </si>
  <si>
    <t xml:space="preserve">transaction-level utilization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</si>
  <si>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</si>
  <si>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</si>
  <si>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</si>
  <si>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</si>
  <si>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</si>
  <si>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</si>
  <si>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Cash Conversion Cycle</t>
  </si>
  <si>
    <t xml:space="preserve">Inputs</t>
  </si>
  <si>
    <t xml:space="preserve">Revenue ($, annual)</t>
  </si>
  <si>
    <t xml:space="preserve">COGS ($, annual)</t>
  </si>
  <si>
    <t xml:space="preserve">Average accounts receivable ($)</t>
  </si>
  <si>
    <t xml:space="preserve">Average inventory ($)</t>
  </si>
  <si>
    <t xml:space="preserve">Average accounts payable ($)</t>
  </si>
  <si>
    <t xml:space="preserve">Outputs</t>
  </si>
  <si>
    <t xml:space="preserve">DSO (Days Sales Outstanding)</t>
  </si>
  <si>
    <t xml:space="preserve">DIO (Days Inventory Outstanding)</t>
  </si>
  <si>
    <t xml:space="preserve">DPO (Days Payable Outstanding)</t>
  </si>
  <si>
    <t xml:space="preserve">Cash Conversion Cycle (DSO+DIO-DPO)</t>
  </si>
  <si>
    <t xml:space="preserve">Days cash tied up per cycle — lower/negative is better (supplier financing your growth)</t>
  </si>
  <si>
    <t xml:space="preserve">Working capital required ($, approx.)</t>
  </si>
  <si>
    <t xml:space="preserve">Counterparty Credit, Country Risk, and Facility Utilization</t>
  </si>
  <si>
    <t xml:space="preserve">Active scenario</t>
  </si>
  <si>
    <t xml:space="preserve">Base</t>
  </si>
  <si>
    <t xml:space="preserve">Metric</t>
  </si>
  <si>
    <t xml:space="preserve">Downside</t>
  </si>
  <si>
    <t xml:space="preserve">Active</t>
  </si>
  <si>
    <t xml:space="preserve">Owner / interpretation</t>
  </si>
  <si>
    <t xml:space="preserve">Facility limit</t>
  </si>
  <si>
    <t xml:space="preserve">approved committed amount</t>
  </si>
  <si>
    <t xml:space="preserve">Drawn amount</t>
  </si>
  <si>
    <t xml:space="preserve">current and stress utilization</t>
  </si>
  <si>
    <t xml:space="preserve">Exposure at default</t>
  </si>
  <si>
    <t xml:space="preserve">drawn plus applicable contingent exposure</t>
  </si>
  <si>
    <t xml:space="preserve">Probability of default</t>
  </si>
  <si>
    <t xml:space="preserve">point-in-time or approved stress PD</t>
  </si>
  <si>
    <t xml:space="preserve">Loss given default</t>
  </si>
  <si>
    <t xml:space="preserve">net of collateral and recoveries</t>
  </si>
  <si>
    <t xml:space="preserve">Gross transaction margin</t>
  </si>
  <si>
    <t xml:space="preserve">before credit and country risk</t>
  </si>
  <si>
    <t xml:space="preserve">Country / transfer-risk cost</t>
  </si>
  <si>
    <t xml:space="preserve">approved economic charge</t>
  </si>
  <si>
    <t xml:space="preserve">Maximum utilization</t>
  </si>
  <si>
    <t xml:space="preserve">warning threshold</t>
  </si>
  <si>
    <t xml:space="preserve">Maximum cash-conversion days</t>
  </si>
  <si>
    <t xml:space="preserve">working-capital warning threshold</t>
  </si>
  <si>
    <t xml:space="preserve">Derived outputs</t>
  </si>
  <si>
    <t xml:space="preserve">Facility utilization</t>
  </si>
  <si>
    <t xml:space="preserve">Expected loss</t>
  </si>
  <si>
    <t xml:space="preserve">Risk-adjusted margin</t>
  </si>
  <si>
    <t xml:space="preserve">Cash conversion days</t>
  </si>
  <si>
    <t xml:space="preserve">Approximate working capital need</t>
  </si>
  <si>
    <t xml:space="preserve">Letter of Credit &amp; Factoring Cost Model</t>
  </si>
  <si>
    <t xml:space="preserve">Letter of Credit</t>
  </si>
  <si>
    <t xml:space="preserve">LC face value ($)</t>
  </si>
  <si>
    <t xml:space="preserve">Issuance fee %</t>
  </si>
  <si>
    <t xml:space="preserve">Confirmation fee %</t>
  </si>
  <si>
    <t xml:space="preserve">Tenor (days)</t>
  </si>
  <si>
    <t xml:space="preserve">Total LC cost ($)</t>
  </si>
  <si>
    <t xml:space="preserve">Annualized LC cost %</t>
  </si>
  <si>
    <t xml:space="preserve">Factoring / Invoice Discounting</t>
  </si>
  <si>
    <t xml:space="preserve">Invoice face value ($)</t>
  </si>
  <si>
    <t xml:space="preserve">Advance rate %</t>
  </si>
  <si>
    <t xml:space="preserve">Discount/factor fee %</t>
  </si>
  <si>
    <t xml:space="preserve">Days to collection</t>
  </si>
  <si>
    <t xml:space="preserve">Cash advanced immediately ($)</t>
  </si>
  <si>
    <t xml:space="preserve">Factoring fee ($)</t>
  </si>
  <si>
    <t xml:space="preserve">Net proceeds after collection ($)</t>
  </si>
  <si>
    <t xml:space="preserve">Effective annualized cost of factoring %</t>
  </si>
  <si>
    <t xml:space="preserve">Effective cost uses the fee divided by net proceeds and annualizes by the collection period.</t>
  </si>
  <si>
    <t xml:space="preserve">Documentary Credit Examination and Exception Register</t>
  </si>
  <si>
    <t xml:space="preserve">Input / metric</t>
  </si>
  <si>
    <t xml:space="preserve">Evidence / action</t>
  </si>
  <si>
    <t xml:space="preserve">Days from shipment to presentation</t>
  </si>
  <si>
    <t xml:space="preserve">compare against credit terms and applicable presentation period</t>
  </si>
  <si>
    <t xml:space="preserve">Document discrepancies identified</t>
  </si>
  <si>
    <t xml:space="preserve">retain discrepancy list, waiver, refusal, or cure evidence</t>
  </si>
  <si>
    <t xml:space="preserve">Sanctions / restricted-party screening complete</t>
  </si>
  <si>
    <t xml:space="preserve">1=yes; evidence must be dated and corridor-specific</t>
  </si>
  <si>
    <t xml:space="preserve">Transport / title document matched</t>
  </si>
  <si>
    <t xml:space="preserve">1=yes; verify issuer, consignee, dates, quantity, and goods description</t>
  </si>
  <si>
    <t xml:space="preserve">Insurance document matched where required</t>
  </si>
  <si>
    <t xml:space="preserve">1=yes; review insured amount, risks, currency, and date</t>
  </si>
  <si>
    <t xml:space="preserve">Refusal / discrepancy notice within required period</t>
  </si>
  <si>
    <t xml:space="preserve">1=yes; retain timestamp and complete discrepancy statement</t>
  </si>
  <si>
    <t xml:space="preserve">Counterparty waiver documented</t>
  </si>
  <si>
    <t xml:space="preserve">1=yes when discrepant documents are accepted</t>
  </si>
  <si>
    <t xml:space="preserve">Original documents / electronic presentation controlled</t>
  </si>
  <si>
    <t xml:space="preserve">1=yes; preserve authenticity, version, and presentation evidence</t>
  </si>
  <si>
    <t xml:space="preserve">This register operationalizes documentary review but is not a substitute for legal advice or the controlling credit text.</t>
  </si>
  <si>
    <t xml:space="preserve">Trade Finance Decision Dashboard and Independent Checks</t>
  </si>
  <si>
    <t xml:space="preserve">Check / decision</t>
  </si>
  <si>
    <t xml:space="preserve">Interpretation / action</t>
  </si>
  <si>
    <t xml:space="preserve">Cash-conversion identity residual</t>
  </si>
  <si>
    <t xml:space="preserve">DSO plus DIO less DPO must equal the reported cash-conversion cycle.</t>
  </si>
  <si>
    <t xml:space="preserve">Escalate excess utilization and contingent-exposure conversion.</t>
  </si>
  <si>
    <t xml:space="preserve">Expected loss residual</t>
  </si>
  <si>
    <t xml:space="preserve">Expected loss must equal EAD multiplied by PD and LGD.</t>
  </si>
  <si>
    <t xml:space="preserve">A transaction that loses money after credit and country risk should not be approved on nominal margin.</t>
  </si>
  <si>
    <t xml:space="preserve">Cash-conversion days</t>
  </si>
  <si>
    <t xml:space="preserve">Longer cycles increase funding and performance risk.</t>
  </si>
  <si>
    <t xml:space="preserve">Annualized LC cost</t>
  </si>
  <si>
    <t xml:space="preserve">Confirm tenor, issuance, confirmation, amendment, and discrepancy fees.</t>
  </si>
  <si>
    <t xml:space="preserve">Effective factoring APR</t>
  </si>
  <si>
    <t xml:space="preserve">Compare fee to net proceeds and actual collection period.</t>
  </si>
  <si>
    <t xml:space="preserve">Documentary-control exceptions</t>
  </si>
  <si>
    <t xml:space="preserve">No financing-cost comparison overrides unresolved documentary or sanctions controls.</t>
  </si>
  <si>
    <t xml:space="preserve">Overall model status</t>
  </si>
  <si>
    <t xml:space="preserve">Primary decision outputs</t>
  </si>
  <si>
    <t xml:space="preserve">Working capital required</t>
  </si>
  <si>
    <t xml:space="preserve">Cheapest financing channel</t>
  </si>
  <si>
    <t xml:space="preserve">Cheapest annualized cost</t>
  </si>
  <si>
    <t xml:space="preserve">Which Financing Channel Is Cheapest?</t>
  </si>
  <si>
    <t xml:space="preserve">Revolving credit line (alternative)</t>
  </si>
  <si>
    <t xml:space="preserve">Draw amount ($)</t>
  </si>
  <si>
    <t xml:space="preserve">Base rate + spread, all-in (%)</t>
  </si>
  <si>
    <t xml:space="preserve">Commitment fee on undrawn (%)</t>
  </si>
  <si>
    <t xml:space="preserve">Undrawn facility amount ($)</t>
  </si>
  <si>
    <t xml:space="preserve">Revolver interest cost ($)</t>
  </si>
  <si>
    <t xml:space="preserve">Revolver commitment fee ($)</t>
  </si>
  <si>
    <t xml:space="preserve">Revolver annualized all-in cost %</t>
  </si>
  <si>
    <t xml:space="preserve">Comparison</t>
  </si>
  <si>
    <t xml:space="preserve">Channel</t>
  </si>
  <si>
    <t xml:space="preserve">Annualized cost %</t>
  </si>
  <si>
    <t xml:space="preserve">Letter of credit</t>
  </si>
  <si>
    <t xml:space="preserve">Factoring / invoice discounting</t>
  </si>
  <si>
    <t xml:space="preserve">Revolving credit line</t>
  </si>
  <si>
    <t xml:space="preserve">Cheapest channel</t>
  </si>
  <si>
    <t xml:space="preserve">Only declares a winner once all three channels have real numbers — one live rate shouldn't beat two blanks by default</t>
  </si>
  <si>
    <t xml:space="preserve">Cheapest annualized cost %</t>
  </si>
  <si>
    <t xml:space="preserve">Compares only financing cost — also weigh speed, collateral/covenant burden, and counterparty credit risk transfer (LC shifts payment risk to the issuing bank; factoring can be non-recourse)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</si>
  <si>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</si>
  <si>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</si>
  <si>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</si>
  <si>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</si>
  <si>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</si>
  <si>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</si>
  <si>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</si>
  <si>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trade-public-boeing-2020-stress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</si>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</sst>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"/>
    <numFmt numFmtId="167" formatCode="0.0%;\(0.0%\);\-"/>
    <numFmt numFmtId="168" formatCode="#,##0;\(#,##0\);\-"/>
    <numFmt numFmtId="169" formatCode="0.00%;\(0.00%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D9D9D9"/>
        <bgColor rgb="FFD9EAF7"/>
      </patternFill>
    </fill>
    <fill>
      <patternFill patternType="solid">
        <fgColor rgb="FF1F4E78"/>
        <bgColor rgb="FF17365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6" t="s">
        <v>9</v>
      </c>
      <c r="C2" s="6"/>
      <c r="D2" s="6"/>
      <c r="E2" s="6"/>
      <c r="F2" s="6"/>
    </row>
    <row r="4" customFormat="false" ht="15" hidden="false" customHeight="true" outlineLevel="0" collapsed="false">
      <c r="B4" s="7" t="s">
        <v>10</v>
      </c>
      <c r="C4" s="8" t="s">
        <v>11</v>
      </c>
      <c r="D4" s="8"/>
      <c r="E4" s="8"/>
      <c r="F4" s="8"/>
    </row>
    <row r="5" customFormat="false" ht="15" hidden="false" customHeight="true" outlineLevel="0" collapsed="false">
      <c r="B5" s="7" t="s">
        <v>12</v>
      </c>
      <c r="C5" s="8" t="s">
        <v>13</v>
      </c>
      <c r="D5" s="8"/>
      <c r="E5" s="8"/>
      <c r="F5" s="8"/>
    </row>
    <row r="6" customFormat="false" ht="15" hidden="false" customHeight="true" outlineLevel="0" collapsed="false">
      <c r="B6" s="7" t="s">
        <v>14</v>
      </c>
      <c r="C6" s="8" t="s">
        <v>15</v>
      </c>
      <c r="D6" s="8"/>
      <c r="E6" s="8"/>
      <c r="F6" s="8"/>
    </row>
    <row r="7" customFormat="false" ht="15" hidden="false" customHeight="true" outlineLevel="0" collapsed="false">
      <c r="B7" s="7" t="s">
        <v>16</v>
      </c>
      <c r="C7" s="8" t="s">
        <v>17</v>
      </c>
      <c r="D7" s="8"/>
      <c r="E7" s="8"/>
      <c r="F7" s="8"/>
    </row>
    <row r="8" customFormat="false" ht="15" hidden="false" customHeight="true" outlineLevel="0" collapsed="false">
      <c r="B8" s="7" t="s">
        <v>18</v>
      </c>
      <c r="C8" s="8" t="s">
        <v>19</v>
      </c>
      <c r="D8" s="8"/>
      <c r="E8" s="8"/>
      <c r="F8" s="8"/>
    </row>
    <row r="9" customFormat="false" ht="15" hidden="false" customHeight="true" outlineLevel="0" collapsed="false">
      <c r="B9" s="7" t="s">
        <v>20</v>
      </c>
      <c r="C9" s="8" t="s">
        <v>21</v>
      </c>
      <c r="D9" s="8"/>
      <c r="E9" s="8"/>
      <c r="F9" s="8"/>
    </row>
    <row r="10" customFormat="false" ht="15" hidden="false" customHeight="true" outlineLevel="0" collapsed="false">
      <c r="B10" s="7" t="s">
        <v>22</v>
      </c>
      <c r="C10" s="8" t="s">
        <v>23</v>
      </c>
      <c r="D10" s="8"/>
      <c r="E10" s="8"/>
      <c r="F10" s="8"/>
    </row>
    <row r="12" customFormat="false" ht="15" hidden="false" customHeight="true" outlineLevel="0" collapsed="false">
      <c r="B12" s="9" t="s">
        <v>24</v>
      </c>
      <c r="C12" s="9"/>
      <c r="D12" s="9"/>
      <c r="E12" s="9"/>
      <c r="F12" s="9"/>
    </row>
    <row r="13" customFormat="false" ht="15" hidden="false" customHeight="true" outlineLevel="0" collapsed="false">
      <c r="B13" s="10" t="s">
        <v>25</v>
      </c>
      <c r="C13" s="10" t="s">
        <v>26</v>
      </c>
      <c r="D13" s="10" t="s">
        <v>27</v>
      </c>
      <c r="E13" s="10" t="s">
        <v>28</v>
      </c>
      <c r="F13" s="10" t="s">
        <v>29</v>
      </c>
    </row>
    <row r="14" customFormat="false" ht="15" hidden="false" customHeight="true" outlineLevel="0" collapsed="false">
      <c r="B14" s="1" t="n">
        <v>1</v>
      </c>
      <c r="C14" s="1" t="s">
        <v>30</v>
      </c>
      <c r="F14" s="11" t="s">
        <v>31</v>
      </c>
    </row>
    <row r="15" customFormat="false" ht="15" hidden="false" customHeight="true" outlineLevel="0" collapsed="false">
      <c r="B15" s="1" t="n">
        <v>2</v>
      </c>
      <c r="C15" s="1" t="s">
        <v>32</v>
      </c>
      <c r="F15" s="11" t="s">
        <v>31</v>
      </c>
    </row>
    <row r="16" customFormat="false" ht="15" hidden="false" customHeight="true" outlineLevel="0" collapsed="false">
      <c r="B16" s="1" t="n">
        <v>3</v>
      </c>
      <c r="C16" s="1" t="s">
        <v>33</v>
      </c>
      <c r="F16" s="11" t="s">
        <v>31</v>
      </c>
    </row>
    <row r="17" customFormat="false" ht="15" hidden="false" customHeight="true" outlineLevel="0" collapsed="false">
      <c r="B17" s="1" t="n">
        <v>4</v>
      </c>
      <c r="C17" s="1" t="s">
        <v>34</v>
      </c>
      <c r="F17" s="11" t="s">
        <v>31</v>
      </c>
    </row>
    <row r="18" customFormat="false" ht="15" hidden="false" customHeight="true" outlineLevel="0" collapsed="false">
      <c r="B18" s="1" t="n">
        <v>5</v>
      </c>
      <c r="C18" s="1" t="s">
        <v>35</v>
      </c>
      <c r="F18" s="11" t="s">
        <v>31</v>
      </c>
    </row>
    <row r="20" customFormat="false" ht="15" hidden="false" customHeight="true" outlineLevel="0" collapsed="false">
      <c r="B20" s="9" t="s">
        <v>36</v>
      </c>
      <c r="C20" s="9"/>
      <c r="D20" s="9"/>
      <c r="E20" s="9"/>
      <c r="F20" s="9"/>
    </row>
    <row r="21" customFormat="false" ht="15" hidden="false" customHeight="true" outlineLevel="0" collapsed="false">
      <c r="B21" s="10" t="s">
        <v>25</v>
      </c>
      <c r="C21" s="10" t="s">
        <v>26</v>
      </c>
      <c r="D21" s="10" t="s">
        <v>27</v>
      </c>
      <c r="E21" s="10" t="s">
        <v>28</v>
      </c>
      <c r="F21" s="10" t="s">
        <v>29</v>
      </c>
    </row>
    <row r="22" customFormat="false" ht="15" hidden="false" customHeight="true" outlineLevel="0" collapsed="false">
      <c r="B22" s="1" t="n">
        <v>1</v>
      </c>
      <c r="C22" s="1" t="s">
        <v>37</v>
      </c>
      <c r="F22" s="11" t="s">
        <v>31</v>
      </c>
    </row>
    <row r="23" customFormat="false" ht="15" hidden="false" customHeight="true" outlineLevel="0" collapsed="false">
      <c r="B23" s="1" t="n">
        <v>2</v>
      </c>
      <c r="C23" s="1" t="s">
        <v>38</v>
      </c>
      <c r="F23" s="11" t="s">
        <v>31</v>
      </c>
    </row>
    <row r="24" customFormat="false" ht="15" hidden="false" customHeight="true" outlineLevel="0" collapsed="false">
      <c r="B24" s="1" t="n">
        <v>3</v>
      </c>
      <c r="C24" s="1" t="s">
        <v>39</v>
      </c>
      <c r="F24" s="11" t="s">
        <v>31</v>
      </c>
    </row>
    <row r="25" customFormat="false" ht="15" hidden="false" customHeight="true" outlineLevel="0" collapsed="false">
      <c r="B25" s="1" t="n">
        <v>4</v>
      </c>
      <c r="C25" s="1" t="s">
        <v>40</v>
      </c>
      <c r="F25" s="11" t="s">
        <v>31</v>
      </c>
    </row>
    <row r="26" customFormat="false" ht="15" hidden="false" customHeight="true" outlineLevel="0" collapsed="false">
      <c r="B26" s="1" t="n">
        <v>5</v>
      </c>
      <c r="C26" s="1" t="s">
        <v>41</v>
      </c>
      <c r="F26" s="11" t="s">
        <v>31</v>
      </c>
    </row>
    <row r="28" customFormat="false" ht="15" hidden="false" customHeight="true" outlineLevel="0" collapsed="false">
      <c r="B28" s="9" t="s">
        <v>42</v>
      </c>
      <c r="C28" s="9"/>
      <c r="D28" s="9"/>
      <c r="E28" s="9"/>
      <c r="F28" s="9"/>
    </row>
    <row r="29" customFormat="false" ht="15" hidden="false" customHeight="true" outlineLevel="0" collapsed="false">
      <c r="B29" s="10" t="s">
        <v>25</v>
      </c>
      <c r="C29" s="10" t="s">
        <v>26</v>
      </c>
      <c r="D29" s="10" t="s">
        <v>27</v>
      </c>
      <c r="E29" s="10" t="s">
        <v>28</v>
      </c>
      <c r="F29" s="10" t="s">
        <v>29</v>
      </c>
    </row>
    <row r="30" customFormat="false" ht="15" hidden="false" customHeight="true" outlineLevel="0" collapsed="false">
      <c r="B30" s="1" t="n">
        <v>1</v>
      </c>
      <c r="C30" s="1" t="s">
        <v>43</v>
      </c>
      <c r="F30" s="11" t="s">
        <v>31</v>
      </c>
    </row>
    <row r="31" customFormat="false" ht="15" hidden="false" customHeight="true" outlineLevel="0" collapsed="false">
      <c r="B31" s="1" t="n">
        <v>2</v>
      </c>
      <c r="C31" s="1" t="s">
        <v>44</v>
      </c>
      <c r="F31" s="11" t="s">
        <v>31</v>
      </c>
    </row>
    <row r="32" customFormat="false" ht="15" hidden="false" customHeight="true" outlineLevel="0" collapsed="false">
      <c r="B32" s="1" t="n">
        <v>3</v>
      </c>
      <c r="C32" s="1" t="s">
        <v>45</v>
      </c>
      <c r="F32" s="11" t="s">
        <v>31</v>
      </c>
    </row>
    <row r="33" customFormat="false" ht="15" hidden="false" customHeight="true" outlineLevel="0" collapsed="false">
      <c r="B33" s="1" t="n">
        <v>4</v>
      </c>
      <c r="C33" s="1" t="s">
        <v>46</v>
      </c>
      <c r="F33" s="11" t="s">
        <v>31</v>
      </c>
    </row>
    <row r="34" customFormat="false" ht="15" hidden="false" customHeight="true" outlineLevel="0" collapsed="false">
      <c r="B34" s="1" t="n">
        <v>5</v>
      </c>
      <c r="C34" s="1" t="s">
        <v>47</v>
      </c>
      <c r="F34" s="11" t="s">
        <v>31</v>
      </c>
    </row>
    <row r="36" customFormat="false" ht="15" hidden="false" customHeight="true" outlineLevel="0" collapsed="false">
      <c r="B36" s="9" t="s">
        <v>48</v>
      </c>
      <c r="C36" s="9"/>
      <c r="D36" s="9"/>
      <c r="E36" s="9"/>
      <c r="F36" s="9"/>
    </row>
    <row r="37" customFormat="false" ht="15" hidden="false" customHeight="true" outlineLevel="0" collapsed="false">
      <c r="B37" s="10" t="s">
        <v>25</v>
      </c>
      <c r="C37" s="10" t="s">
        <v>26</v>
      </c>
      <c r="D37" s="10" t="s">
        <v>27</v>
      </c>
      <c r="E37" s="10" t="s">
        <v>28</v>
      </c>
      <c r="F37" s="10" t="s">
        <v>29</v>
      </c>
    </row>
    <row r="38" customFormat="false" ht="15" hidden="false" customHeight="true" outlineLevel="0" collapsed="false">
      <c r="B38" s="1" t="n">
        <v>1</v>
      </c>
      <c r="C38" s="1" t="s">
        <v>49</v>
      </c>
      <c r="F38" s="11" t="s">
        <v>31</v>
      </c>
    </row>
    <row r="39" customFormat="false" ht="15" hidden="false" customHeight="true" outlineLevel="0" collapsed="false">
      <c r="B39" s="1" t="n">
        <v>2</v>
      </c>
      <c r="C39" s="1" t="s">
        <v>50</v>
      </c>
      <c r="F39" s="11" t="s">
        <v>31</v>
      </c>
    </row>
    <row r="40" customFormat="false" ht="15" hidden="false" customHeight="true" outlineLevel="0" collapsed="false">
      <c r="B40" s="1" t="n">
        <v>3</v>
      </c>
      <c r="C40" s="1" t="s">
        <v>51</v>
      </c>
      <c r="F40" s="11" t="s">
        <v>31</v>
      </c>
    </row>
    <row r="41" customFormat="false" ht="15" hidden="false" customHeight="true" outlineLevel="0" collapsed="false">
      <c r="B41" s="1" t="n">
        <v>4</v>
      </c>
      <c r="C41" s="1" t="s">
        <v>52</v>
      </c>
      <c r="F41" s="11" t="s">
        <v>31</v>
      </c>
    </row>
    <row r="42" customFormat="false" ht="15" hidden="false" customHeight="true" outlineLevel="0" collapsed="false">
      <c r="B42" s="1" t="n">
        <v>5</v>
      </c>
      <c r="C42" s="1" t="s">
        <v>53</v>
      </c>
      <c r="F42" s="11" t="s">
        <v>31</v>
      </c>
    </row>
    <row r="44" customFormat="false" ht="15" hidden="false" customHeight="true" outlineLevel="0" collapsed="false">
      <c r="B44" s="9" t="s">
        <v>54</v>
      </c>
      <c r="C44" s="9"/>
      <c r="D44" s="9"/>
      <c r="E44" s="9"/>
      <c r="F44" s="9"/>
    </row>
    <row r="45" customFormat="false" ht="15" hidden="false" customHeight="true" outlineLevel="0" collapsed="false">
      <c r="B45" s="10" t="s">
        <v>25</v>
      </c>
      <c r="C45" s="10" t="s">
        <v>26</v>
      </c>
      <c r="D45" s="10" t="s">
        <v>27</v>
      </c>
      <c r="E45" s="10" t="s">
        <v>28</v>
      </c>
      <c r="F45" s="10" t="s">
        <v>29</v>
      </c>
    </row>
    <row r="46" customFormat="false" ht="15" hidden="false" customHeight="true" outlineLevel="0" collapsed="false">
      <c r="B46" s="1" t="n">
        <v>1</v>
      </c>
      <c r="C46" s="1" t="s">
        <v>55</v>
      </c>
      <c r="F46" s="11" t="s">
        <v>31</v>
      </c>
    </row>
    <row r="47" customFormat="false" ht="15" hidden="false" customHeight="true" outlineLevel="0" collapsed="false">
      <c r="B47" s="1" t="n">
        <v>2</v>
      </c>
      <c r="C47" s="1" t="s">
        <v>56</v>
      </c>
      <c r="F47" s="11" t="s">
        <v>31</v>
      </c>
    </row>
    <row r="48" customFormat="false" ht="15" hidden="false" customHeight="true" outlineLevel="0" collapsed="false">
      <c r="B48" s="1" t="n">
        <v>3</v>
      </c>
      <c r="C48" s="1" t="s">
        <v>57</v>
      </c>
      <c r="F48" s="11" t="s">
        <v>31</v>
      </c>
    </row>
    <row r="49" customFormat="false" ht="15" hidden="false" customHeight="true" outlineLevel="0" collapsed="false">
      <c r="B49" s="1" t="n">
        <v>4</v>
      </c>
      <c r="C49" s="1" t="s">
        <v>58</v>
      </c>
      <c r="F49" s="11" t="s">
        <v>31</v>
      </c>
    </row>
    <row r="50" customFormat="false" ht="15" hidden="false" customHeight="true" outlineLevel="0" collapsed="false">
      <c r="B50" s="1" t="n">
        <v>5</v>
      </c>
      <c r="C50" s="1" t="s">
        <v>59</v>
      </c>
      <c r="F50" s="11" t="s">
        <v>31</v>
      </c>
    </row>
    <row r="52" customFormat="false" ht="15" hidden="false" customHeight="true" outlineLevel="0" collapsed="false">
      <c r="B52" s="9" t="s">
        <v>60</v>
      </c>
      <c r="C52" s="9"/>
      <c r="D52" s="9"/>
      <c r="E52" s="9"/>
      <c r="F52" s="9"/>
    </row>
    <row r="53" customFormat="false" ht="15" hidden="false" customHeight="true" outlineLevel="0" collapsed="false">
      <c r="B53" s="10" t="s">
        <v>25</v>
      </c>
      <c r="C53" s="10" t="s">
        <v>26</v>
      </c>
      <c r="D53" s="10" t="s">
        <v>27</v>
      </c>
      <c r="E53" s="10" t="s">
        <v>28</v>
      </c>
      <c r="F53" s="10" t="s">
        <v>29</v>
      </c>
    </row>
    <row r="54" customFormat="false" ht="15" hidden="false" customHeight="true" outlineLevel="0" collapsed="false">
      <c r="B54" s="1" t="n">
        <v>1</v>
      </c>
      <c r="C54" s="1" t="s">
        <v>61</v>
      </c>
      <c r="F54" s="11" t="s">
        <v>31</v>
      </c>
    </row>
    <row r="55" customFormat="false" ht="15" hidden="false" customHeight="true" outlineLevel="0" collapsed="false">
      <c r="B55" s="1" t="n">
        <v>2</v>
      </c>
      <c r="C55" s="1" t="s">
        <v>62</v>
      </c>
      <c r="F55" s="11" t="s">
        <v>31</v>
      </c>
    </row>
    <row r="56" customFormat="false" ht="15" hidden="false" customHeight="true" outlineLevel="0" collapsed="false">
      <c r="B56" s="1" t="n">
        <v>3</v>
      </c>
      <c r="C56" s="1" t="s">
        <v>63</v>
      </c>
      <c r="F56" s="11" t="s">
        <v>31</v>
      </c>
    </row>
    <row r="57" customFormat="false" ht="15" hidden="false" customHeight="true" outlineLevel="0" collapsed="false">
      <c r="B57" s="1" t="n">
        <v>4</v>
      </c>
      <c r="C57" s="1" t="s">
        <v>64</v>
      </c>
      <c r="F57" s="11" t="s">
        <v>31</v>
      </c>
    </row>
    <row r="58" customFormat="false" ht="15" hidden="false" customHeight="true" outlineLevel="0" collapsed="false">
      <c r="B58" s="1" t="n">
        <v>5</v>
      </c>
      <c r="C58" s="1" t="s">
        <v>65</v>
      </c>
      <c r="F58" s="11" t="s">
        <v>31</v>
      </c>
    </row>
    <row r="60" customFormat="false" ht="15" hidden="false" customHeight="true" outlineLevel="0" collapsed="false">
      <c r="B60" s="9" t="s">
        <v>66</v>
      </c>
      <c r="C60" s="9"/>
      <c r="D60" s="9"/>
      <c r="E60" s="9"/>
      <c r="F60" s="9"/>
    </row>
    <row r="61" customFormat="false" ht="15" hidden="false" customHeight="true" outlineLevel="0" collapsed="false">
      <c r="B61" s="10" t="s">
        <v>67</v>
      </c>
      <c r="C61" s="10" t="s">
        <v>68</v>
      </c>
      <c r="D61" s="10" t="s">
        <v>69</v>
      </c>
      <c r="E61" s="10" t="s">
        <v>70</v>
      </c>
      <c r="F61" s="10" t="s">
        <v>71</v>
      </c>
    </row>
    <row r="62" customFormat="false" ht="15" hidden="false" customHeight="true" outlineLevel="0" collapsed="false">
      <c r="B62" s="1" t="s">
        <v>72</v>
      </c>
      <c r="C62" s="1" t="s">
        <v>73</v>
      </c>
      <c r="D62" s="1" t="s">
        <v>74</v>
      </c>
      <c r="E62" s="1" t="s">
        <v>75</v>
      </c>
    </row>
    <row r="63" customFormat="false" ht="15" hidden="false" customHeight="true" outlineLevel="0" collapsed="false">
      <c r="B63" s="1" t="s">
        <v>76</v>
      </c>
      <c r="C63" s="1" t="s">
        <v>77</v>
      </c>
      <c r="D63" s="1" t="s">
        <v>78</v>
      </c>
      <c r="E63" s="1" t="s">
        <v>75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6" t="s">
        <v>79</v>
      </c>
      <c r="C2" s="6"/>
      <c r="D2" s="6"/>
      <c r="E2" s="6"/>
      <c r="F2" s="6"/>
      <c r="G2" s="6"/>
      <c r="H2" s="6"/>
      <c r="I2" s="6"/>
    </row>
    <row r="4" customFormat="false" ht="15" hidden="false" customHeight="true" outlineLevel="0" collapsed="false">
      <c r="B4" s="10" t="s">
        <v>80</v>
      </c>
      <c r="C4" s="10" t="s">
        <v>81</v>
      </c>
      <c r="D4" s="10" t="s">
        <v>82</v>
      </c>
      <c r="E4" s="10" t="s">
        <v>83</v>
      </c>
      <c r="F4" s="10" t="s">
        <v>84</v>
      </c>
      <c r="G4" s="10" t="s">
        <v>85</v>
      </c>
      <c r="H4" s="10" t="s">
        <v>29</v>
      </c>
      <c r="I4" s="10" t="s">
        <v>86</v>
      </c>
    </row>
    <row r="5" customFormat="false" ht="15" hidden="false" customHeight="true" outlineLevel="0" collapsed="false">
      <c r="D5" s="1" t="s">
        <v>55</v>
      </c>
      <c r="H5" s="11" t="s">
        <v>31</v>
      </c>
    </row>
    <row r="6" customFormat="false" ht="15" hidden="false" customHeight="true" outlineLevel="0" collapsed="false">
      <c r="D6" s="1" t="s">
        <v>56</v>
      </c>
      <c r="H6" s="11" t="s">
        <v>31</v>
      </c>
    </row>
    <row r="7" customFormat="false" ht="15" hidden="false" customHeight="true" outlineLevel="0" collapsed="false">
      <c r="D7" s="1" t="s">
        <v>57</v>
      </c>
      <c r="H7" s="11" t="s">
        <v>31</v>
      </c>
    </row>
    <row r="8" customFormat="false" ht="15" hidden="false" customHeight="true" outlineLevel="0" collapsed="false">
      <c r="D8" s="1" t="s">
        <v>58</v>
      </c>
      <c r="H8" s="11" t="s">
        <v>31</v>
      </c>
    </row>
    <row r="9" customFormat="false" ht="15" hidden="false" customHeight="true" outlineLevel="0" collapsed="false">
      <c r="D9" s="1" t="s">
        <v>59</v>
      </c>
      <c r="H9" s="11" t="s">
        <v>31</v>
      </c>
    </row>
    <row r="10" customFormat="false" ht="15" hidden="false" customHeight="true" outlineLevel="0" collapsed="false">
      <c r="H10" s="11"/>
    </row>
    <row r="11" customFormat="false" ht="15" hidden="false" customHeight="true" outlineLevel="0" collapsed="false">
      <c r="H11" s="11"/>
    </row>
    <row r="12" customFormat="false" ht="15" hidden="false" customHeight="true" outlineLevel="0" collapsed="false">
      <c r="H12" s="11"/>
    </row>
    <row r="13" customFormat="false" ht="15" hidden="false" customHeight="true" outlineLevel="0" collapsed="false">
      <c r="H13" s="11"/>
    </row>
    <row r="14" customFormat="false" ht="15" hidden="false" customHeight="true" outlineLevel="0" collapsed="false">
      <c r="H14" s="11"/>
    </row>
    <row r="15" customFormat="false" ht="15" hidden="false" customHeight="true" outlineLevel="0" collapsed="false">
      <c r="H15" s="11"/>
    </row>
    <row r="16" customFormat="false" ht="15" hidden="false" customHeight="true" outlineLevel="0" collapsed="false">
      <c r="H16" s="11"/>
    </row>
    <row r="17" customFormat="false" ht="15" hidden="false" customHeight="true" outlineLevel="0" collapsed="false">
      <c r="H17" s="11"/>
    </row>
    <row r="18" customFormat="false" ht="15" hidden="false" customHeight="true" outlineLevel="0" collapsed="false">
      <c r="H18" s="11"/>
    </row>
    <row r="19" customFormat="false" ht="15" hidden="false" customHeight="true" outlineLevel="0" collapsed="false">
      <c r="H19" s="11"/>
    </row>
    <row r="20" customFormat="false" ht="15" hidden="false" customHeight="true" outlineLevel="0" collapsed="false">
      <c r="H20" s="11"/>
    </row>
    <row r="21" customFormat="false" ht="15" hidden="false" customHeight="true" outlineLevel="0" collapsed="false">
      <c r="H21" s="11"/>
    </row>
    <row r="22" customFormat="false" ht="15" hidden="false" customHeight="true" outlineLevel="0" collapsed="false">
      <c r="H22" s="11"/>
    </row>
    <row r="23" customFormat="false" ht="15" hidden="false" customHeight="true" outlineLevel="0" collapsed="false">
      <c r="H23" s="11"/>
    </row>
    <row r="24" customFormat="false" ht="15" hidden="false" customHeight="true" outlineLevel="0" collapsed="false">
      <c r="H24" s="11"/>
    </row>
    <row r="25" customFormat="false" ht="15" hidden="false" customHeight="true" outlineLevel="0" collapsed="false">
      <c r="H25" s="11"/>
    </row>
    <row r="26" customFormat="false" ht="15" hidden="false" customHeight="true" outlineLevel="0" collapsed="false">
      <c r="H26" s="11"/>
    </row>
    <row r="27" customFormat="false" ht="15" hidden="false" customHeight="true" outlineLevel="0" collapsed="false">
      <c r="H27" s="11"/>
    </row>
    <row r="28" customFormat="false" ht="15" hidden="false" customHeight="true" outlineLevel="0" collapsed="false">
      <c r="H28" s="11"/>
    </row>
    <row r="29" customFormat="false" ht="15" hidden="false" customHeight="true" outlineLevel="0" collapsed="false">
      <c r="H29" s="11"/>
    </row>
    <row r="30" customFormat="false" ht="15" hidden="false" customHeight="true" outlineLevel="0" collapsed="false">
      <c r="H30" s="11"/>
    </row>
    <row r="31" customFormat="false" ht="15" hidden="false" customHeight="true" outlineLevel="0" collapsed="false">
      <c r="H31" s="11"/>
    </row>
    <row r="32" customFormat="false" ht="15" hidden="false" customHeight="true" outlineLevel="0" collapsed="false">
      <c r="H32" s="11"/>
    </row>
    <row r="33" customFormat="false" ht="15" hidden="false" customHeight="true" outlineLevel="0" collapsed="false">
      <c r="H33" s="11"/>
    </row>
    <row r="34" customFormat="false" ht="15" hidden="false" customHeight="true" outlineLevel="0" collapsed="false">
      <c r="H34" s="11"/>
    </row>
    <row r="35" customFormat="false" ht="15" hidden="false" customHeight="true" outlineLevel="0" collapsed="false">
      <c r="H35" s="11"/>
    </row>
    <row r="36" customFormat="false" ht="15" hidden="false" customHeight="true" outlineLevel="0" collapsed="false">
      <c r="H36" s="11"/>
    </row>
    <row r="37" customFormat="false" ht="15" hidden="false" customHeight="true" outlineLevel="0" collapsed="false">
      <c r="H37" s="11"/>
    </row>
    <row r="38" customFormat="false" ht="15" hidden="false" customHeight="true" outlineLevel="0" collapsed="false">
      <c r="H38" s="11"/>
    </row>
    <row r="39" customFormat="false" ht="15" hidden="false" customHeight="true" outlineLevel="0" collapsed="false">
      <c r="H39" s="11"/>
    </row>
    <row r="40" customFormat="false" ht="15" hidden="false" customHeight="true" outlineLevel="0" collapsed="false">
      <c r="H40" s="11"/>
    </row>
    <row r="41" customFormat="false" ht="15" hidden="false" customHeight="true" outlineLevel="0" collapsed="false">
      <c r="H41" s="11"/>
    </row>
    <row r="42" customFormat="false" ht="15" hidden="false" customHeight="true" outlineLevel="0" collapsed="false">
      <c r="H42" s="11"/>
    </row>
    <row r="43" customFormat="false" ht="15" hidden="false" customHeight="true" outlineLevel="0" collapsed="false">
      <c r="H43" s="11"/>
    </row>
    <row r="44" customFormat="false" ht="15" hidden="false" customHeight="true" outlineLevel="0" collapsed="false">
      <c r="H44" s="11"/>
    </row>
    <row r="45" customFormat="false" ht="15" hidden="false" customHeight="true" outlineLevel="0" collapsed="false">
      <c r="H45" s="11"/>
    </row>
    <row r="46" customFormat="false" ht="15" hidden="false" customHeight="true" outlineLevel="0" collapsed="false">
      <c r="H46" s="11"/>
    </row>
    <row r="47" customFormat="false" ht="15" hidden="false" customHeight="true" outlineLevel="0" collapsed="false">
      <c r="H47" s="11"/>
    </row>
    <row r="48" customFormat="false" ht="15" hidden="false" customHeight="true" outlineLevel="0" collapsed="false">
      <c r="H48" s="11"/>
    </row>
    <row r="49" customFormat="false" ht="15" hidden="false" customHeight="true" outlineLevel="0" collapsed="false">
      <c r="H49" s="11"/>
    </row>
    <row r="50" customFormat="false" ht="15" hidden="false" customHeight="true" outlineLevel="0" collapsed="false">
      <c r="H50" s="11"/>
    </row>
    <row r="51" customFormat="false" ht="15" hidden="false" customHeight="true" outlineLevel="0" collapsed="false">
      <c r="H51" s="11"/>
    </row>
    <row r="52" customFormat="false" ht="15" hidden="false" customHeight="true" outlineLevel="0" collapsed="false">
      <c r="H52" s="11"/>
    </row>
    <row r="53" customFormat="false" ht="15" hidden="false" customHeight="true" outlineLevel="0" collapsed="false">
      <c r="H53" s="11"/>
    </row>
    <row r="54" customFormat="false" ht="15" hidden="false" customHeight="true" outlineLevel="0" collapsed="false">
      <c r="H54" s="1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6" t="s">
        <v>87</v>
      </c>
      <c r="C2" s="6"/>
      <c r="D2" s="6"/>
      <c r="E2" s="6"/>
      <c r="F2" s="6"/>
      <c r="G2" s="6"/>
      <c r="H2" s="6"/>
      <c r="I2" s="6"/>
      <c r="J2" s="6"/>
    </row>
    <row r="4" customFormat="false" ht="15" hidden="false" customHeight="true" outlineLevel="0" collapsed="false">
      <c r="B4" s="10" t="s">
        <v>88</v>
      </c>
      <c r="C4" s="10" t="s">
        <v>89</v>
      </c>
      <c r="D4" s="10" t="s">
        <v>90</v>
      </c>
      <c r="E4" s="10" t="s">
        <v>91</v>
      </c>
      <c r="F4" s="10" t="s">
        <v>92</v>
      </c>
      <c r="G4" s="10" t="s">
        <v>27</v>
      </c>
      <c r="H4" s="10" t="s">
        <v>93</v>
      </c>
      <c r="I4" s="10" t="s">
        <v>94</v>
      </c>
      <c r="J4" s="10" t="s">
        <v>29</v>
      </c>
    </row>
    <row r="5" customFormat="false" ht="15" hidden="false" customHeight="true" outlineLevel="0" collapsed="false">
      <c r="B5" s="1" t="s">
        <v>95</v>
      </c>
      <c r="C5" s="1" t="s">
        <v>96</v>
      </c>
      <c r="D5" s="1" t="s">
        <v>97</v>
      </c>
      <c r="J5" s="11" t="s">
        <v>98</v>
      </c>
    </row>
    <row r="6" customFormat="false" ht="15" hidden="false" customHeight="true" outlineLevel="0" collapsed="false">
      <c r="B6" s="1" t="s">
        <v>99</v>
      </c>
      <c r="C6" s="1" t="s">
        <v>100</v>
      </c>
      <c r="D6" s="1" t="s">
        <v>101</v>
      </c>
      <c r="J6" s="11" t="s">
        <v>98</v>
      </c>
    </row>
    <row r="7" customFormat="false" ht="15" hidden="false" customHeight="true" outlineLevel="0" collapsed="false">
      <c r="B7" s="1" t="s">
        <v>102</v>
      </c>
      <c r="C7" s="1" t="s">
        <v>103</v>
      </c>
      <c r="D7" s="1" t="s">
        <v>104</v>
      </c>
      <c r="J7" s="11" t="s">
        <v>98</v>
      </c>
    </row>
    <row r="8" customFormat="false" ht="15" hidden="false" customHeight="true" outlineLevel="0" collapsed="false">
      <c r="B8" s="1" t="s">
        <v>105</v>
      </c>
      <c r="C8" s="1" t="s">
        <v>106</v>
      </c>
      <c r="D8" s="1" t="s">
        <v>107</v>
      </c>
      <c r="J8" s="11" t="s">
        <v>98</v>
      </c>
    </row>
    <row r="9" customFormat="false" ht="15" hidden="false" customHeight="true" outlineLevel="0" collapsed="false">
      <c r="J9" s="11"/>
    </row>
    <row r="10" customFormat="false" ht="15" hidden="false" customHeight="true" outlineLevel="0" collapsed="false">
      <c r="J10" s="11"/>
    </row>
    <row r="11" customFormat="false" ht="15" hidden="false" customHeight="true" outlineLevel="0" collapsed="false">
      <c r="J11" s="11"/>
    </row>
    <row r="12" customFormat="false" ht="15" hidden="false" customHeight="true" outlineLevel="0" collapsed="false">
      <c r="J12" s="11"/>
    </row>
    <row r="13" customFormat="false" ht="15" hidden="false" customHeight="true" outlineLevel="0" collapsed="false">
      <c r="J13" s="11"/>
    </row>
    <row r="14" customFormat="false" ht="15" hidden="false" customHeight="true" outlineLevel="0" collapsed="false">
      <c r="J14" s="11"/>
    </row>
    <row r="15" customFormat="false" ht="15" hidden="false" customHeight="true" outlineLevel="0" collapsed="false">
      <c r="J15" s="11"/>
    </row>
    <row r="16" customFormat="false" ht="15" hidden="false" customHeight="true" outlineLevel="0" collapsed="false">
      <c r="J16" s="11"/>
    </row>
    <row r="17" customFormat="false" ht="15" hidden="false" customHeight="true" outlineLevel="0" collapsed="false">
      <c r="J17" s="11"/>
    </row>
    <row r="18" customFormat="false" ht="15" hidden="false" customHeight="true" outlineLevel="0" collapsed="false">
      <c r="J18" s="11"/>
    </row>
    <row r="19" customFormat="false" ht="15" hidden="false" customHeight="true" outlineLevel="0" collapsed="false">
      <c r="J19" s="11"/>
    </row>
    <row r="20" customFormat="false" ht="15" hidden="false" customHeight="true" outlineLevel="0" collapsed="false">
      <c r="J20" s="11"/>
    </row>
    <row r="21" customFormat="false" ht="15" hidden="false" customHeight="true" outlineLevel="0" collapsed="false">
      <c r="J21" s="11"/>
    </row>
    <row r="22" customFormat="false" ht="15" hidden="false" customHeight="true" outlineLevel="0" collapsed="false">
      <c r="J22" s="11"/>
    </row>
    <row r="23" customFormat="false" ht="15" hidden="false" customHeight="true" outlineLevel="0" collapsed="false">
      <c r="J23" s="11"/>
    </row>
    <row r="24" customFormat="false" ht="15" hidden="false" customHeight="true" outlineLevel="0" collapsed="false">
      <c r="J24" s="11"/>
    </row>
    <row r="25" customFormat="false" ht="15" hidden="false" customHeight="true" outlineLevel="0" collapsed="false">
      <c r="J25" s="11"/>
    </row>
    <row r="26" customFormat="false" ht="15" hidden="false" customHeight="true" outlineLevel="0" collapsed="false">
      <c r="J26" s="11"/>
    </row>
    <row r="27" customFormat="false" ht="15" hidden="false" customHeight="true" outlineLevel="0" collapsed="false">
      <c r="J27" s="11"/>
    </row>
    <row r="28" customFormat="false" ht="15" hidden="false" customHeight="true" outlineLevel="0" collapsed="false">
      <c r="J28" s="11"/>
    </row>
    <row r="29" customFormat="false" ht="15" hidden="false" customHeight="true" outlineLevel="0" collapsed="false">
      <c r="J29" s="11"/>
    </row>
    <row r="30" customFormat="false" ht="15" hidden="false" customHeight="true" outlineLevel="0" collapsed="false">
      <c r="J30" s="11"/>
    </row>
    <row r="31" customFormat="false" ht="15" hidden="false" customHeight="true" outlineLevel="0" collapsed="false">
      <c r="J31" s="11"/>
    </row>
    <row r="32" customFormat="false" ht="15" hidden="false" customHeight="true" outlineLevel="0" collapsed="false">
      <c r="J32" s="11"/>
    </row>
    <row r="33" customFormat="false" ht="15" hidden="false" customHeight="true" outlineLevel="0" collapsed="false">
      <c r="J33" s="11"/>
    </row>
    <row r="34" customFormat="false" ht="15" hidden="false" customHeight="true" outlineLevel="0" collapsed="false">
      <c r="J34" s="11"/>
    </row>
    <row r="35" customFormat="false" ht="15" hidden="false" customHeight="true" outlineLevel="0" collapsed="false">
      <c r="J35" s="11"/>
    </row>
    <row r="36" customFormat="false" ht="15" hidden="false" customHeight="true" outlineLevel="0" collapsed="false">
      <c r="J36" s="11"/>
    </row>
    <row r="37" customFormat="false" ht="15" hidden="false" customHeight="true" outlineLevel="0" collapsed="false">
      <c r="J37" s="11"/>
    </row>
    <row r="38" customFormat="false" ht="15" hidden="false" customHeight="true" outlineLevel="0" collapsed="false">
      <c r="J38" s="11"/>
    </row>
    <row r="39" customFormat="false" ht="15" hidden="false" customHeight="true" outlineLevel="0" collapsed="false">
      <c r="J39" s="11"/>
    </row>
    <row r="40" customFormat="false" ht="15" hidden="false" customHeight="true" outlineLevel="0" collapsed="false">
      <c r="J40" s="11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108</v>
      </c>
    </row>
    <row r="4" customFormat="false" ht="15" hidden="false" customHeight="true" outlineLevel="0" collapsed="false">
      <c r="B4" s="12" t="s">
        <v>109</v>
      </c>
    </row>
    <row r="5" customFormat="false" ht="15" hidden="false" customHeight="true" outlineLevel="0" collapsed="false">
      <c r="B5" s="13" t="s">
        <v>110</v>
      </c>
      <c r="C5" s="14" t="n">
        <v>58158</v>
      </c>
    </row>
    <row r="6" customFormat="false" ht="15" hidden="false" customHeight="true" outlineLevel="0" collapsed="false">
      <c r="B6" s="13" t="s">
        <v>111</v>
      </c>
      <c r="C6" s="14" t="n">
        <v>63843</v>
      </c>
    </row>
    <row r="7" customFormat="false" ht="15" hidden="false" customHeight="true" outlineLevel="0" collapsed="false">
      <c r="B7" s="13" t="s">
        <v>112</v>
      </c>
      <c r="C7" s="14" t="n">
        <v>1955</v>
      </c>
    </row>
    <row r="8" customFormat="false" ht="15" hidden="false" customHeight="true" outlineLevel="0" collapsed="false">
      <c r="B8" s="13" t="s">
        <v>113</v>
      </c>
      <c r="C8" s="14" t="n">
        <v>81715</v>
      </c>
    </row>
    <row r="9" customFormat="false" ht="15" hidden="false" customHeight="true" outlineLevel="0" collapsed="false">
      <c r="B9" s="13" t="s">
        <v>114</v>
      </c>
      <c r="C9" s="14" t="n">
        <v>12928</v>
      </c>
    </row>
    <row r="11" customFormat="false" ht="15" hidden="false" customHeight="true" outlineLevel="0" collapsed="false">
      <c r="B11" s="12" t="s">
        <v>115</v>
      </c>
    </row>
    <row r="12" customFormat="false" ht="15" hidden="false" customHeight="true" outlineLevel="0" collapsed="false">
      <c r="B12" s="1" t="s">
        <v>116</v>
      </c>
      <c r="C12" s="15" t="n">
        <f aca="false">IFERROR(C7/C5*365,"-")</f>
        <v>12.2695931772069</v>
      </c>
    </row>
    <row r="13" customFormat="false" ht="15" hidden="false" customHeight="true" outlineLevel="0" collapsed="false">
      <c r="B13" s="1" t="s">
        <v>117</v>
      </c>
      <c r="C13" s="15" t="n">
        <f aca="false">IFERROR(C8/C6*365,"-")</f>
        <v>467.176902714471</v>
      </c>
    </row>
    <row r="14" customFormat="false" ht="15" hidden="false" customHeight="true" outlineLevel="0" collapsed="false">
      <c r="B14" s="1" t="s">
        <v>118</v>
      </c>
      <c r="C14" s="15" t="n">
        <f aca="false">IFERROR(C9/C6*365,"-")</f>
        <v>73.9113136913992</v>
      </c>
    </row>
    <row r="15" customFormat="false" ht="15" hidden="false" customHeight="true" outlineLevel="0" collapsed="false">
      <c r="B15" s="1" t="s">
        <v>119</v>
      </c>
      <c r="C15" s="16" t="n">
        <f aca="false">IFERROR(C12+C13-C14,"-")</f>
        <v>405.535182200279</v>
      </c>
      <c r="D15" s="17" t="s">
        <v>120</v>
      </c>
    </row>
    <row r="16" customFormat="false" ht="15" hidden="false" customHeight="true" outlineLevel="0" collapsed="false">
      <c r="B16" s="1" t="s">
        <v>121</v>
      </c>
      <c r="C16" s="18" t="n">
        <f aca="false">IFERROR(C15/365*C6,"-")</f>
        <v>70933.1031156505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8"/>
    <col collapsed="false" customWidth="true" hidden="false" outlineLevel="0" max="6" min="6" style="1" width="44"/>
  </cols>
  <sheetData>
    <row r="2" customFormat="false" ht="19.5" hidden="false" customHeight="true" outlineLevel="0" collapsed="false">
      <c r="B2" s="2" t="s">
        <v>122</v>
      </c>
    </row>
    <row r="3" customFormat="false" ht="15" hidden="false" customHeight="true" outlineLevel="0" collapsed="false">
      <c r="B3" s="1" t="s">
        <v>123</v>
      </c>
      <c r="C3" s="19" t="s">
        <v>124</v>
      </c>
    </row>
    <row r="4" customFormat="false" ht="15" hidden="false" customHeight="true" outlineLevel="0" collapsed="false">
      <c r="B4" s="20" t="s">
        <v>125</v>
      </c>
      <c r="C4" s="20" t="s">
        <v>124</v>
      </c>
      <c r="D4" s="20" t="s">
        <v>126</v>
      </c>
      <c r="E4" s="20" t="s">
        <v>127</v>
      </c>
      <c r="F4" s="20" t="s">
        <v>128</v>
      </c>
    </row>
    <row r="5" customFormat="false" ht="15" hidden="false" customHeight="true" outlineLevel="0" collapsed="false">
      <c r="B5" s="1" t="s">
        <v>129</v>
      </c>
      <c r="C5" s="14" t="n">
        <v>100</v>
      </c>
      <c r="D5" s="14" t="n">
        <v>100</v>
      </c>
      <c r="E5" s="18" t="n">
        <f aca="false">IF($C$3="Downside",D5,C5)</f>
        <v>100</v>
      </c>
      <c r="F5" s="1" t="s">
        <v>130</v>
      </c>
    </row>
    <row r="6" customFormat="false" ht="15" hidden="false" customHeight="true" outlineLevel="0" collapsed="false">
      <c r="B6" s="1" t="s">
        <v>131</v>
      </c>
      <c r="C6" s="14" t="n">
        <v>60</v>
      </c>
      <c r="D6" s="14" t="n">
        <v>120</v>
      </c>
      <c r="E6" s="18" t="n">
        <f aca="false">IF($C$3="Downside",D6,C6)</f>
        <v>60</v>
      </c>
      <c r="F6" s="1" t="s">
        <v>132</v>
      </c>
    </row>
    <row r="7" customFormat="false" ht="15" hidden="false" customHeight="true" outlineLevel="0" collapsed="false">
      <c r="B7" s="1" t="s">
        <v>133</v>
      </c>
      <c r="C7" s="14" t="n">
        <v>60</v>
      </c>
      <c r="D7" s="14" t="n">
        <v>120</v>
      </c>
      <c r="E7" s="18" t="n">
        <f aca="false">IF($C$3="Downside",D7,C7)</f>
        <v>60</v>
      </c>
      <c r="F7" s="1" t="s">
        <v>134</v>
      </c>
    </row>
    <row r="8" customFormat="false" ht="15" hidden="false" customHeight="true" outlineLevel="0" collapsed="false">
      <c r="B8" s="1" t="s">
        <v>135</v>
      </c>
      <c r="C8" s="21" t="n">
        <v>0.02</v>
      </c>
      <c r="D8" s="21" t="n">
        <v>0.2</v>
      </c>
      <c r="E8" s="22" t="n">
        <f aca="false">IF($C$3="Downside",D8,C8)</f>
        <v>0.02</v>
      </c>
      <c r="F8" s="1" t="s">
        <v>136</v>
      </c>
    </row>
    <row r="9" customFormat="false" ht="15" hidden="false" customHeight="true" outlineLevel="0" collapsed="false">
      <c r="B9" s="1" t="s">
        <v>137</v>
      </c>
      <c r="C9" s="21" t="n">
        <v>0.4</v>
      </c>
      <c r="D9" s="21" t="n">
        <v>0.7</v>
      </c>
      <c r="E9" s="22" t="n">
        <f aca="false">IF($C$3="Downside",D9,C9)</f>
        <v>0.4</v>
      </c>
      <c r="F9" s="1" t="s">
        <v>138</v>
      </c>
    </row>
    <row r="10" customFormat="false" ht="15" hidden="false" customHeight="true" outlineLevel="0" collapsed="false">
      <c r="B10" s="1" t="s">
        <v>139</v>
      </c>
      <c r="C10" s="14" t="n">
        <v>8</v>
      </c>
      <c r="D10" s="14" t="n">
        <v>10</v>
      </c>
      <c r="E10" s="18" t="n">
        <f aca="false">IF($C$3="Downside",D10,C10)</f>
        <v>8</v>
      </c>
      <c r="F10" s="1" t="s">
        <v>140</v>
      </c>
    </row>
    <row r="11" customFormat="false" ht="15" hidden="false" customHeight="true" outlineLevel="0" collapsed="false">
      <c r="B11" s="1" t="s">
        <v>141</v>
      </c>
      <c r="C11" s="14" t="n">
        <v>0.5</v>
      </c>
      <c r="D11" s="14" t="n">
        <v>5</v>
      </c>
      <c r="E11" s="18" t="n">
        <f aca="false">IF($C$3="Downside",D11,C11)</f>
        <v>0.5</v>
      </c>
      <c r="F11" s="1" t="s">
        <v>142</v>
      </c>
    </row>
    <row r="12" customFormat="false" ht="15" hidden="false" customHeight="true" outlineLevel="0" collapsed="false">
      <c r="B12" s="1" t="s">
        <v>143</v>
      </c>
      <c r="C12" s="21" t="n">
        <v>0.9</v>
      </c>
      <c r="D12" s="21" t="n">
        <v>0.9</v>
      </c>
      <c r="E12" s="22" t="n">
        <f aca="false">IF($C$3="Downside",D12,C12)</f>
        <v>0.9</v>
      </c>
      <c r="F12" s="1" t="s">
        <v>144</v>
      </c>
    </row>
    <row r="13" customFormat="false" ht="15" hidden="false" customHeight="true" outlineLevel="0" collapsed="false">
      <c r="B13" s="1" t="s">
        <v>145</v>
      </c>
      <c r="C13" s="23" t="n">
        <v>120</v>
      </c>
      <c r="D13" s="23" t="n">
        <v>120</v>
      </c>
      <c r="E13" s="15" t="n">
        <f aca="false">IF($C$3="Downside",D13,C13)</f>
        <v>120</v>
      </c>
      <c r="F13" s="1" t="s">
        <v>146</v>
      </c>
    </row>
    <row r="16" customFormat="false" ht="15" hidden="false" customHeight="true" outlineLevel="0" collapsed="false">
      <c r="B16" s="12" t="s">
        <v>147</v>
      </c>
    </row>
    <row r="17" customFormat="false" ht="15" hidden="false" customHeight="true" outlineLevel="0" collapsed="false">
      <c r="B17" s="1" t="s">
        <v>148</v>
      </c>
      <c r="E17" s="22" t="n">
        <f aca="false">IFERROR(E6/E5,0)</f>
        <v>0.6</v>
      </c>
    </row>
    <row r="18" customFormat="false" ht="15" hidden="false" customHeight="true" outlineLevel="0" collapsed="false">
      <c r="B18" s="1" t="s">
        <v>149</v>
      </c>
      <c r="E18" s="18" t="n">
        <f aca="false">E7*E8*E9</f>
        <v>0.48</v>
      </c>
    </row>
    <row r="19" customFormat="false" ht="15" hidden="false" customHeight="true" outlineLevel="0" collapsed="false">
      <c r="B19" s="1" t="s">
        <v>150</v>
      </c>
      <c r="E19" s="18" t="n">
        <f aca="false">E10-E18-E11</f>
        <v>7.02</v>
      </c>
    </row>
    <row r="20" customFormat="false" ht="15" hidden="false" customHeight="true" outlineLevel="0" collapsed="false">
      <c r="B20" s="1" t="s">
        <v>151</v>
      </c>
      <c r="E20" s="15" t="n">
        <f aca="false">'Working Capital Cycle'!C15</f>
        <v>405.535182200279</v>
      </c>
    </row>
    <row r="21" customFormat="false" ht="15" hidden="false" customHeight="true" outlineLevel="0" collapsed="false">
      <c r="B21" s="1" t="s">
        <v>152</v>
      </c>
      <c r="E21" s="18" t="n">
        <f aca="false">'Working Capital Cycle'!C16</f>
        <v>70933.1031156505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153</v>
      </c>
    </row>
    <row r="4" customFormat="false" ht="15" hidden="false" customHeight="true" outlineLevel="0" collapsed="false">
      <c r="B4" s="12" t="s">
        <v>154</v>
      </c>
    </row>
    <row r="5" customFormat="false" ht="15" hidden="false" customHeight="true" outlineLevel="0" collapsed="false">
      <c r="B5" s="13" t="s">
        <v>155</v>
      </c>
      <c r="C5" s="14" t="n">
        <v>0</v>
      </c>
    </row>
    <row r="6" customFormat="false" ht="15" hidden="false" customHeight="true" outlineLevel="0" collapsed="false">
      <c r="B6" s="13" t="s">
        <v>156</v>
      </c>
      <c r="C6" s="21" t="n">
        <v>0.015</v>
      </c>
    </row>
    <row r="7" customFormat="false" ht="15" hidden="false" customHeight="true" outlineLevel="0" collapsed="false">
      <c r="B7" s="13" t="s">
        <v>157</v>
      </c>
      <c r="C7" s="21" t="n">
        <v>0.01</v>
      </c>
    </row>
    <row r="8" customFormat="false" ht="15" hidden="false" customHeight="true" outlineLevel="0" collapsed="false">
      <c r="B8" s="13" t="s">
        <v>158</v>
      </c>
      <c r="C8" s="24" t="n">
        <v>90</v>
      </c>
    </row>
    <row r="9" customFormat="false" ht="15" hidden="false" customHeight="true" outlineLevel="0" collapsed="false">
      <c r="B9" s="1" t="s">
        <v>159</v>
      </c>
      <c r="C9" s="25" t="n">
        <f aca="false">C5*(C6+C7)*(C8/365)</f>
        <v>0</v>
      </c>
    </row>
    <row r="10" customFormat="false" ht="15" hidden="false" customHeight="true" outlineLevel="0" collapsed="false">
      <c r="B10" s="1" t="s">
        <v>160</v>
      </c>
      <c r="C10" s="22" t="str">
        <f aca="false">IFERROR(C9/C5/(C8/365),"-")</f>
        <v>-</v>
      </c>
    </row>
    <row r="13" customFormat="false" ht="15" hidden="false" customHeight="true" outlineLevel="0" collapsed="false">
      <c r="B13" s="12" t="s">
        <v>161</v>
      </c>
    </row>
    <row r="14" customFormat="false" ht="15" hidden="false" customHeight="true" outlineLevel="0" collapsed="false">
      <c r="B14" s="13" t="s">
        <v>162</v>
      </c>
      <c r="C14" s="14" t="n">
        <v>0</v>
      </c>
    </row>
    <row r="15" customFormat="false" ht="15" hidden="false" customHeight="true" outlineLevel="0" collapsed="false">
      <c r="B15" s="13" t="s">
        <v>163</v>
      </c>
      <c r="C15" s="21" t="n">
        <v>0.85</v>
      </c>
    </row>
    <row r="16" customFormat="false" ht="15" hidden="false" customHeight="true" outlineLevel="0" collapsed="false">
      <c r="B16" s="13" t="s">
        <v>164</v>
      </c>
      <c r="C16" s="21" t="n">
        <v>0.02</v>
      </c>
    </row>
    <row r="17" customFormat="false" ht="15" hidden="false" customHeight="true" outlineLevel="0" collapsed="false">
      <c r="B17" s="13" t="s">
        <v>165</v>
      </c>
      <c r="C17" s="24" t="n">
        <v>60</v>
      </c>
    </row>
    <row r="18" customFormat="false" ht="15" hidden="false" customHeight="true" outlineLevel="0" collapsed="false">
      <c r="B18" s="1" t="s">
        <v>166</v>
      </c>
      <c r="C18" s="18" t="n">
        <f aca="false">C14*C15</f>
        <v>0</v>
      </c>
    </row>
    <row r="19" customFormat="false" ht="15" hidden="false" customHeight="true" outlineLevel="0" collapsed="false">
      <c r="B19" s="1" t="s">
        <v>167</v>
      </c>
      <c r="C19" s="18" t="n">
        <f aca="false">C14*C16</f>
        <v>0</v>
      </c>
    </row>
    <row r="20" customFormat="false" ht="15" hidden="false" customHeight="true" outlineLevel="0" collapsed="false">
      <c r="B20" s="1" t="s">
        <v>168</v>
      </c>
      <c r="C20" s="18" t="n">
        <f aca="false">C14-C19</f>
        <v>0</v>
      </c>
    </row>
    <row r="21" customFormat="false" ht="15" hidden="false" customHeight="true" outlineLevel="0" collapsed="false">
      <c r="B21" s="1" t="s">
        <v>169</v>
      </c>
      <c r="C21" s="26" t="str">
        <f aca="false">IFERROR(C19/C20*365/C17,"-")</f>
        <v>-</v>
      </c>
      <c r="D21" s="17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4" min="3" style="1" width="18"/>
    <col collapsed="false" customWidth="true" hidden="false" outlineLevel="0" max="5" min="5" style="1" width="48"/>
  </cols>
  <sheetData>
    <row r="2" customFormat="false" ht="19.5" hidden="false" customHeight="true" outlineLevel="0" collapsed="false">
      <c r="B2" s="2" t="s">
        <v>171</v>
      </c>
    </row>
    <row r="4" customFormat="false" ht="15" hidden="false" customHeight="true" outlineLevel="0" collapsed="false">
      <c r="B4" s="20" t="s">
        <v>90</v>
      </c>
      <c r="C4" s="20" t="s">
        <v>172</v>
      </c>
      <c r="D4" s="20" t="s">
        <v>29</v>
      </c>
      <c r="E4" s="20" t="s">
        <v>173</v>
      </c>
    </row>
    <row r="5" customFormat="false" ht="15" hidden="false" customHeight="true" outlineLevel="0" collapsed="false">
      <c r="B5" s="1" t="s">
        <v>174</v>
      </c>
      <c r="C5" s="24" t="n">
        <v>10</v>
      </c>
      <c r="D5" s="27" t="str">
        <f aca="false">IF(C5&lt;=21,"PASS","REVIEW")</f>
        <v>PASS</v>
      </c>
      <c r="E5" s="1" t="s">
        <v>175</v>
      </c>
    </row>
    <row r="6" customFormat="false" ht="15" hidden="false" customHeight="true" outlineLevel="0" collapsed="false">
      <c r="B6" s="1" t="s">
        <v>176</v>
      </c>
      <c r="C6" s="24" t="n">
        <v>0</v>
      </c>
      <c r="D6" s="27" t="str">
        <f aca="false">IF(C6=0,"PASS","REVIEW")</f>
        <v>PASS</v>
      </c>
      <c r="E6" s="1" t="s">
        <v>177</v>
      </c>
    </row>
    <row r="7" customFormat="false" ht="15" hidden="false" customHeight="true" outlineLevel="0" collapsed="false">
      <c r="B7" s="1" t="s">
        <v>178</v>
      </c>
      <c r="C7" s="24" t="n">
        <v>1</v>
      </c>
      <c r="D7" s="27" t="str">
        <f aca="false">IF(C7=1,"PASS","BREACH")</f>
        <v>PASS</v>
      </c>
      <c r="E7" s="1" t="s">
        <v>179</v>
      </c>
    </row>
    <row r="8" customFormat="false" ht="15" hidden="false" customHeight="true" outlineLevel="0" collapsed="false">
      <c r="B8" s="1" t="s">
        <v>180</v>
      </c>
      <c r="C8" s="24" t="n">
        <v>1</v>
      </c>
      <c r="D8" s="27" t="str">
        <f aca="false">IF(C8=1,"PASS","BREACH")</f>
        <v>PASS</v>
      </c>
      <c r="E8" s="1" t="s">
        <v>181</v>
      </c>
    </row>
    <row r="9" customFormat="false" ht="15" hidden="false" customHeight="true" outlineLevel="0" collapsed="false">
      <c r="B9" s="1" t="s">
        <v>182</v>
      </c>
      <c r="C9" s="24" t="n">
        <v>1</v>
      </c>
      <c r="D9" s="27" t="str">
        <f aca="false">IF(C9=1,"PASS","REVIEW")</f>
        <v>PASS</v>
      </c>
      <c r="E9" s="1" t="s">
        <v>183</v>
      </c>
    </row>
    <row r="10" customFormat="false" ht="15" hidden="false" customHeight="true" outlineLevel="0" collapsed="false">
      <c r="B10" s="1" t="s">
        <v>184</v>
      </c>
      <c r="C10" s="24" t="n">
        <v>1</v>
      </c>
      <c r="D10" s="27" t="str">
        <f aca="false">IF(C10=1,"PASS","BREACH")</f>
        <v>PASS</v>
      </c>
      <c r="E10" s="1" t="s">
        <v>185</v>
      </c>
    </row>
    <row r="11" customFormat="false" ht="15" hidden="false" customHeight="true" outlineLevel="0" collapsed="false">
      <c r="B11" s="1" t="s">
        <v>186</v>
      </c>
      <c r="C11" s="24" t="n">
        <v>1</v>
      </c>
      <c r="D11" s="27" t="str">
        <f aca="false">IF(OR(C6=0,C11=1),"PASS","BREACH")</f>
        <v>PASS</v>
      </c>
      <c r="E11" s="1" t="s">
        <v>187</v>
      </c>
    </row>
    <row r="12" customFormat="false" ht="15" hidden="false" customHeight="true" outlineLevel="0" collapsed="false">
      <c r="B12" s="1" t="s">
        <v>188</v>
      </c>
      <c r="C12" s="24" t="n">
        <v>1</v>
      </c>
      <c r="D12" s="27" t="str">
        <f aca="false">IF(C12=1,"PASS","BREACH")</f>
        <v>PASS</v>
      </c>
      <c r="E12" s="1" t="s">
        <v>189</v>
      </c>
    </row>
    <row r="14" customFormat="false" ht="15" hidden="false" customHeight="true" outlineLevel="0" collapsed="false">
      <c r="B14" s="17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50"/>
  </cols>
  <sheetData>
    <row r="2" customFormat="false" ht="19.5" hidden="false" customHeight="true" outlineLevel="0" collapsed="false">
      <c r="B2" s="2" t="s">
        <v>191</v>
      </c>
    </row>
    <row r="4" customFormat="false" ht="15" hidden="false" customHeight="true" outlineLevel="0" collapsed="false">
      <c r="B4" s="20" t="s">
        <v>192</v>
      </c>
      <c r="C4" s="20" t="s">
        <v>125</v>
      </c>
      <c r="D4" s="20" t="s">
        <v>29</v>
      </c>
      <c r="E4" s="20" t="s">
        <v>193</v>
      </c>
    </row>
    <row r="5" customFormat="false" ht="15" hidden="false" customHeight="true" outlineLevel="0" collapsed="false">
      <c r="B5" s="1" t="s">
        <v>194</v>
      </c>
      <c r="C5" s="27" t="n">
        <f aca="false">IF(AND(ISNUMBER('Working Capital Cycle'!C15),ISNUMBER('Working Capital Cycle'!C12),ISNUMBER('Working Capital Cycle'!C13),ISNUMBER('Working Capital Cycle'!C14)),'Working Capital Cycle'!C15-('Working Capital Cycle'!C12+'Working Capital Cycle'!C13-'Working Capital Cycle'!C14),0)</f>
        <v>0</v>
      </c>
      <c r="D5" s="27" t="str">
        <f aca="false">IF(AND(ISNUMBER('Working Capital Cycle'!C15),ISNUMBER('Working Capital Cycle'!C12),ISNUMBER('Working Capital Cycle'!C13),ISNUMBER('Working Capital Cycle'!C14)),IF(ABS(C5)&lt;0.000001,"PASS","FAIL"),"REVIEW")</f>
        <v>PASS</v>
      </c>
      <c r="E5" s="1" t="s">
        <v>195</v>
      </c>
    </row>
    <row r="6" customFormat="false" ht="15" hidden="false" customHeight="true" outlineLevel="0" collapsed="false">
      <c r="B6" s="1" t="s">
        <v>148</v>
      </c>
      <c r="C6" s="22" t="n">
        <f aca="false">'Credit &amp; Facility'!E17</f>
        <v>0.6</v>
      </c>
      <c r="D6" s="27" t="str">
        <f aca="false">IF(C6&lt;='Credit &amp; Facility'!E12,"PASS",IF(C6&lt;=1,"REVIEW","BREACH"))</f>
        <v>PASS</v>
      </c>
      <c r="E6" s="1" t="s">
        <v>196</v>
      </c>
    </row>
    <row r="7" customFormat="false" ht="15" hidden="false" customHeight="true" outlineLevel="0" collapsed="false">
      <c r="B7" s="1" t="s">
        <v>197</v>
      </c>
      <c r="C7" s="27" t="n">
        <f aca="false">'Credit &amp; Facility'!E18-'Credit &amp; Facility'!E7*'Credit &amp; Facility'!E8*'Credit &amp; Facility'!E9</f>
        <v>0</v>
      </c>
      <c r="D7" s="27" t="str">
        <f aca="false">IF(ABS(C7)&lt;0.000001,"PASS","FAIL")</f>
        <v>PASS</v>
      </c>
      <c r="E7" s="1" t="s">
        <v>198</v>
      </c>
    </row>
    <row r="8" customFormat="false" ht="15" hidden="false" customHeight="true" outlineLevel="0" collapsed="false">
      <c r="B8" s="1" t="s">
        <v>150</v>
      </c>
      <c r="C8" s="18" t="n">
        <f aca="false">'Credit &amp; Facility'!E19</f>
        <v>7.02</v>
      </c>
      <c r="D8" s="27" t="str">
        <f aca="false">IF(C8&gt;=0,"PASS","BREACH")</f>
        <v>PASS</v>
      </c>
      <c r="E8" s="1" t="s">
        <v>199</v>
      </c>
    </row>
    <row r="9" customFormat="false" ht="15" hidden="false" customHeight="true" outlineLevel="0" collapsed="false">
      <c r="B9" s="1" t="s">
        <v>200</v>
      </c>
      <c r="C9" s="15" t="n">
        <f aca="false">'Credit &amp; Facility'!E20</f>
        <v>405.535182200279</v>
      </c>
      <c r="D9" s="27" t="str">
        <f aca="false">IF(NOT(ISNUMBER(C9)),"REVIEW",IF(C9&lt;='Credit &amp; Facility'!E13,"PASS","REVIEW"))</f>
        <v>REVIEW</v>
      </c>
      <c r="E9" s="1" t="s">
        <v>201</v>
      </c>
    </row>
    <row r="10" customFormat="false" ht="15" hidden="false" customHeight="true" outlineLevel="0" collapsed="false">
      <c r="B10" s="1" t="s">
        <v>202</v>
      </c>
      <c r="C10" s="27" t="str">
        <f aca="false">'LC &amp; Factoring Cost'!C10</f>
        <v>-</v>
      </c>
      <c r="D10" s="27" t="str">
        <f aca="false">IF(ISNUMBER(C10),"PASS","REVIEW")</f>
        <v>REVIEW</v>
      </c>
      <c r="E10" s="1" t="s">
        <v>203</v>
      </c>
    </row>
    <row r="11" customFormat="false" ht="15" hidden="false" customHeight="true" outlineLevel="0" collapsed="false">
      <c r="B11" s="1" t="s">
        <v>204</v>
      </c>
      <c r="C11" s="27" t="str">
        <f aca="false">'LC &amp; Factoring Cost'!C21</f>
        <v>-</v>
      </c>
      <c r="D11" s="27" t="str">
        <f aca="false">IF(ISNUMBER(C11),"PASS","REVIEW")</f>
        <v>REVIEW</v>
      </c>
      <c r="E11" s="1" t="s">
        <v>205</v>
      </c>
    </row>
    <row r="12" customFormat="false" ht="15" hidden="false" customHeight="true" outlineLevel="0" collapsed="false">
      <c r="B12" s="1" t="s">
        <v>206</v>
      </c>
      <c r="C12" s="27" t="n">
        <f aca="false">COUNTIF('Documentary Controls'!D5:D12,"&lt;&gt;PASS")</f>
        <v>0</v>
      </c>
      <c r="D12" s="27" t="str">
        <f aca="false">IF(C12=0,"PASS","REVIEW")</f>
        <v>PASS</v>
      </c>
      <c r="E12" s="1" t="s">
        <v>207</v>
      </c>
    </row>
    <row r="14" customFormat="false" ht="15" hidden="false" customHeight="true" outlineLevel="0" collapsed="false">
      <c r="B14" s="3" t="s">
        <v>208</v>
      </c>
      <c r="C14" s="28" t="str">
        <f aca="false">IF(COUNTIF(D5:D12,"FAIL")+COUNTIF(D5:D12,"BREACH")&gt;0,"BREACH",IF(COUNTIF(D5:D12,"REVIEW")&gt;0,"REVIEW","PASS"))</f>
        <v>REVIEW</v>
      </c>
    </row>
    <row r="16" customFormat="false" ht="15" hidden="false" customHeight="true" outlineLevel="0" collapsed="false">
      <c r="B16" s="12" t="s">
        <v>209</v>
      </c>
    </row>
    <row r="17" customFormat="false" ht="15" hidden="false" customHeight="true" outlineLevel="0" collapsed="false">
      <c r="B17" s="1" t="s">
        <v>151</v>
      </c>
      <c r="C17" s="15" t="n">
        <f aca="false">'Working Capital Cycle'!C15</f>
        <v>405.535182200279</v>
      </c>
    </row>
    <row r="18" customFormat="false" ht="15" hidden="false" customHeight="true" outlineLevel="0" collapsed="false">
      <c r="B18" s="1" t="s">
        <v>210</v>
      </c>
      <c r="C18" s="18" t="n">
        <f aca="false">'Working Capital Cycle'!C16</f>
        <v>70933.1031156505</v>
      </c>
    </row>
    <row r="19" customFormat="false" ht="15" hidden="false" customHeight="true" outlineLevel="0" collapsed="false">
      <c r="B19" s="1" t="s">
        <v>148</v>
      </c>
      <c r="C19" s="22" t="n">
        <f aca="false">'Credit &amp; Facility'!E17</f>
        <v>0.6</v>
      </c>
    </row>
    <row r="20" customFormat="false" ht="15" hidden="false" customHeight="true" outlineLevel="0" collapsed="false">
      <c r="B20" s="1" t="s">
        <v>149</v>
      </c>
      <c r="C20" s="18" t="n">
        <f aca="false">'Credit &amp; Facility'!E18</f>
        <v>0.48</v>
      </c>
    </row>
    <row r="21" customFormat="false" ht="15" hidden="false" customHeight="true" outlineLevel="0" collapsed="false">
      <c r="B21" s="1" t="s">
        <v>150</v>
      </c>
      <c r="C21" s="18" t="n">
        <f aca="false">'Credit &amp; Facility'!E19</f>
        <v>7.02</v>
      </c>
    </row>
    <row r="22" customFormat="false" ht="15" hidden="false" customHeight="true" outlineLevel="0" collapsed="false">
      <c r="B22" s="1" t="s">
        <v>211</v>
      </c>
      <c r="C22" s="27" t="str">
        <f aca="false">'Financing Cost Comparison'!C19</f>
        <v>-</v>
      </c>
    </row>
    <row r="23" customFormat="false" ht="15" hidden="false" customHeight="true" outlineLevel="0" collapsed="false">
      <c r="B23" s="1" t="s">
        <v>212</v>
      </c>
      <c r="C23" s="22" t="str">
        <f aca="false">'Financing Cost Comparison'!C20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213</v>
      </c>
    </row>
    <row r="4" customFormat="false" ht="15" hidden="false" customHeight="true" outlineLevel="0" collapsed="false">
      <c r="B4" s="12" t="s">
        <v>214</v>
      </c>
    </row>
    <row r="5" customFormat="false" ht="15" hidden="false" customHeight="true" outlineLevel="0" collapsed="false">
      <c r="B5" s="13" t="s">
        <v>215</v>
      </c>
      <c r="C5" s="14" t="n">
        <v>0</v>
      </c>
    </row>
    <row r="6" customFormat="false" ht="15" hidden="false" customHeight="true" outlineLevel="0" collapsed="false">
      <c r="B6" s="13" t="s">
        <v>216</v>
      </c>
      <c r="C6" s="29" t="n">
        <v>0.08</v>
      </c>
    </row>
    <row r="7" customFormat="false" ht="15" hidden="false" customHeight="true" outlineLevel="0" collapsed="false">
      <c r="B7" s="13" t="s">
        <v>217</v>
      </c>
      <c r="C7" s="29" t="n">
        <v>0.005</v>
      </c>
    </row>
    <row r="8" customFormat="false" ht="15" hidden="false" customHeight="true" outlineLevel="0" collapsed="false">
      <c r="B8" s="13" t="s">
        <v>218</v>
      </c>
      <c r="C8" s="14" t="n">
        <v>0</v>
      </c>
    </row>
    <row r="9" customFormat="false" ht="15" hidden="false" customHeight="true" outlineLevel="0" collapsed="false">
      <c r="B9" s="1" t="s">
        <v>219</v>
      </c>
      <c r="C9" s="18" t="n">
        <f aca="false">C5*C6</f>
        <v>0</v>
      </c>
    </row>
    <row r="10" customFormat="false" ht="15" hidden="false" customHeight="true" outlineLevel="0" collapsed="false">
      <c r="B10" s="1" t="s">
        <v>220</v>
      </c>
      <c r="C10" s="18" t="n">
        <f aca="false">C7*C8</f>
        <v>0</v>
      </c>
    </row>
    <row r="11" customFormat="false" ht="15" hidden="false" customHeight="true" outlineLevel="0" collapsed="false">
      <c r="B11" s="1" t="s">
        <v>221</v>
      </c>
      <c r="C11" s="22" t="str">
        <f aca="false">IFERROR((C9+C10)/C5,"-")</f>
        <v>-</v>
      </c>
    </row>
    <row r="13" customFormat="false" ht="15" hidden="false" customHeight="true" outlineLevel="0" collapsed="false">
      <c r="B13" s="12" t="s">
        <v>222</v>
      </c>
    </row>
    <row r="14" customFormat="false" ht="15" hidden="false" customHeight="true" outlineLevel="0" collapsed="false">
      <c r="B14" s="20" t="s">
        <v>223</v>
      </c>
      <c r="C14" s="20" t="s">
        <v>224</v>
      </c>
    </row>
    <row r="15" customFormat="false" ht="15" hidden="false" customHeight="true" outlineLevel="0" collapsed="false">
      <c r="B15" s="1" t="s">
        <v>225</v>
      </c>
      <c r="C15" s="30" t="str">
        <f aca="false">'LC &amp; Factoring Cost'!C10</f>
        <v>-</v>
      </c>
    </row>
    <row r="16" customFormat="false" ht="15" hidden="false" customHeight="true" outlineLevel="0" collapsed="false">
      <c r="B16" s="1" t="s">
        <v>226</v>
      </c>
      <c r="C16" s="30" t="str">
        <f aca="false">'LC &amp; Factoring Cost'!C21</f>
        <v>-</v>
      </c>
    </row>
    <row r="17" customFormat="false" ht="15" hidden="false" customHeight="true" outlineLevel="0" collapsed="false">
      <c r="B17" s="1" t="s">
        <v>227</v>
      </c>
      <c r="C17" s="30" t="str">
        <f aca="false">C11</f>
        <v>-</v>
      </c>
    </row>
    <row r="19" customFormat="false" ht="15" hidden="false" customHeight="true" outlineLevel="0" collapsed="false">
      <c r="B19" s="1" t="s">
        <v>228</v>
      </c>
      <c r="C19" s="28" t="str">
        <f aca="false">IF(COUNT(C15:C17)&lt;3,"-",INDEX(B15:B17,MATCH(MIN(C15:C17),C15:C17,0)))</f>
        <v>-</v>
      </c>
      <c r="D19" s="17" t="s">
        <v>229</v>
      </c>
    </row>
    <row r="20" customFormat="false" ht="15" hidden="false" customHeight="true" outlineLevel="0" collapsed="false">
      <c r="B20" s="1" t="s">
        <v>230</v>
      </c>
      <c r="C20" s="26" t="str">
        <f aca="false">IF(COUNT(C15:C17)&lt;3,"-",MIN(C15:C17))</f>
        <v>-</v>
      </c>
      <c r="D20" s="17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5" hidden="false" customHeight="true" outlineLevel="0" collapsed="false">
      <c r="B2" s="2" t="s">
        <v>232</v>
      </c>
    </row>
    <row r="4" customFormat="false" ht="15" hidden="false" customHeight="true" outlineLevel="0" collapsed="false">
      <c r="B4" s="20" t="s">
        <v>80</v>
      </c>
      <c r="C4" s="20" t="s">
        <v>233</v>
      </c>
      <c r="D4" s="20" t="s">
        <v>234</v>
      </c>
      <c r="E4" s="20" t="s">
        <v>235</v>
      </c>
      <c r="F4" s="20" t="s">
        <v>236</v>
      </c>
    </row>
    <row r="5" customFormat="false" ht="15" hidden="false" customHeight="true" outlineLevel="0" collapsed="false">
      <c r="B5" s="27" t="s">
        <v>237</v>
      </c>
      <c r="C5" s="27" t="s">
        <v>238</v>
      </c>
      <c r="D5" s="27" t="s">
        <v>239</v>
      </c>
      <c r="E5" s="27" t="s">
        <v>240</v>
      </c>
      <c r="F5" s="27" t="s">
        <v>241</v>
      </c>
    </row>
    <row r="6" customFormat="false" ht="15" hidden="false" customHeight="true" outlineLevel="0" collapsed="false">
      <c r="B6" s="27"/>
      <c r="C6" s="27"/>
      <c r="D6" s="27"/>
      <c r="E6" s="27"/>
      <c r="F6" s="27"/>
    </row>
    <row r="7" customFormat="false" ht="15" hidden="false" customHeight="true" outlineLevel="0" collapsed="false">
      <c r="B7" s="27"/>
      <c r="C7" s="27"/>
      <c r="D7" s="27"/>
      <c r="E7" s="27"/>
      <c r="F7" s="27"/>
    </row>
    <row r="8" customFormat="false" ht="15" hidden="false" customHeight="true" outlineLevel="0" collapsed="false">
      <c r="B8" s="27"/>
      <c r="C8" s="27"/>
      <c r="D8" s="27"/>
      <c r="E8" s="27"/>
      <c r="F8" s="27"/>
    </row>
    <row r="9" customFormat="false" ht="15" hidden="false" customHeight="true" outlineLevel="0" collapsed="false">
      <c r="B9" s="27"/>
      <c r="C9" s="27"/>
      <c r="D9" s="27"/>
      <c r="E9" s="27"/>
      <c r="F9" s="27"/>
    </row>
    <row r="10" customFormat="false" ht="15" hidden="false" customHeight="true" outlineLevel="0" collapsed="false">
      <c r="B10" s="27"/>
      <c r="C10" s="27"/>
      <c r="D10" s="27"/>
      <c r="E10" s="27"/>
      <c r="F10" s="27"/>
    </row>
    <row r="11" customFormat="false" ht="15" hidden="false" customHeight="true" outlineLevel="0" collapsed="false">
      <c r="B11" s="27"/>
      <c r="C11" s="27"/>
      <c r="D11" s="27"/>
      <c r="E11" s="27"/>
      <c r="F11" s="27"/>
    </row>
    <row r="12" customFormat="false" ht="15" hidden="false" customHeight="true" outlineLevel="0" collapsed="false">
      <c r="B12" s="27"/>
      <c r="C12" s="27"/>
      <c r="D12" s="27"/>
      <c r="E12" s="27"/>
      <c r="F12" s="27"/>
    </row>
    <row r="13" customFormat="false" ht="15" hidden="false" customHeight="true" outlineLevel="0" collapsed="false">
      <c r="B13" s="27"/>
      <c r="C13" s="27"/>
      <c r="D13" s="27"/>
      <c r="E13" s="27"/>
      <c r="F13" s="27"/>
    </row>
    <row r="14" customFormat="false" ht="15" hidden="false" customHeight="true" outlineLevel="0" collapsed="false">
      <c r="B14" s="27"/>
      <c r="C14" s="27"/>
      <c r="D14" s="27"/>
      <c r="E14" s="27"/>
      <c r="F14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2026-08-04T15:32:28Z</dcterms:created>
  <dc:creator>openpyxl</dc:creator>
  <dc:description/>
  <dc:language>en-US</dc:language>
  <cp:lastModifiedBy/>
  <dcterms:modified xsi:type="dcterms:W3CDTF">2026-08-04T18:30:39Z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