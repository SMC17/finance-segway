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Working Capital Cycle" sheetId="2" state="visible" r:id="rId4"/>
    <sheet name="LC &amp; Factoring Cost" sheetId="3" state="visible" r:id="rId5"/>
    <sheet name="Financing Cost Comparison" sheetId="4" state="visible" r:id="rId6"/>
    <sheet name="Refresh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<sst xmlns="http://schemas.openxmlformats.org/spreadsheetml/2006/main" count="66" uniqueCount="66">
  <si>
    <t xml:space="preserve">[COUNTERPARTY] — Trade Finance Model</t>
  </si>
  <si>
    <t xml:space="preserve">Counterparty:</t>
  </si>
  <si>
    <t xml:space="preserve">[fill in]</t>
  </si>
  <si>
    <t xml:space="preserve">Trade corridor:</t>
  </si>
  <si>
    <t xml:space="preserve">[e.g. exporter-importer country pair]</t>
  </si>
  <si>
    <t xml:space="preserve">Last refreshed:</t>
  </si>
  <si>
    <t xml:space="preserve">[date]</t>
  </si>
  <si>
    <t xml:space="preserve">Refresh cadence:</t>
  </si>
  <si>
    <t xml:space="preserve">Weekly</t>
  </si>
  <si>
    <t xml:space="preserve">Cash Conversion Cycle</t>
  </si>
  <si>
    <t xml:space="preserve">Inputs</t>
  </si>
  <si>
    <t xml:space="preserve">Revenue ($, annual)</t>
  </si>
  <si>
    <t xml:space="preserve">COGS ($, annual)</t>
  </si>
  <si>
    <t xml:space="preserve">Average accounts receivable ($)</t>
  </si>
  <si>
    <t xml:space="preserve">Average inventory ($)</t>
  </si>
  <si>
    <t xml:space="preserve">Average accounts payable ($)</t>
  </si>
  <si>
    <t xml:space="preserve">Outputs</t>
  </si>
  <si>
    <t xml:space="preserve">DSO (Days Sales Outstanding)</t>
  </si>
  <si>
    <t xml:space="preserve">DIO (Days Inventory Outstanding)</t>
  </si>
  <si>
    <t xml:space="preserve">DPO (Days Payable Outstanding)</t>
  </si>
  <si>
    <t xml:space="preserve">Cash Conversion Cycle (DSO+DIO-DPO)</t>
  </si>
  <si>
    <t xml:space="preserve">Days cash tied up per cycle — lower/negative is better (supplier financing your growth)</t>
  </si>
  <si>
    <t xml:space="preserve">Working capital required ($, approx.)</t>
  </si>
  <si>
    <t xml:space="preserve">Letter of Credit &amp; Factoring Cost Model</t>
  </si>
  <si>
    <t xml:space="preserve">Letter of Credit</t>
  </si>
  <si>
    <t xml:space="preserve">LC face value ($)</t>
  </si>
  <si>
    <t xml:space="preserve">Issuance fee %</t>
  </si>
  <si>
    <t xml:space="preserve">Confirmation fee %</t>
  </si>
  <si>
    <t xml:space="preserve">Tenor (days)</t>
  </si>
  <si>
    <t xml:space="preserve">Total LC cost ($)</t>
  </si>
  <si>
    <t xml:space="preserve">Annualized LC cost %</t>
  </si>
  <si>
    <t xml:space="preserve">Factoring / Invoice Discounting</t>
  </si>
  <si>
    <t xml:space="preserve">Invoice face value ($)</t>
  </si>
  <si>
    <t xml:space="preserve">Advance rate %</t>
  </si>
  <si>
    <t xml:space="preserve">Discount/factor fee %</t>
  </si>
  <si>
    <t xml:space="preserve">Days to collection</t>
  </si>
  <si>
    <t xml:space="preserve">Cash advanced immediately ($)</t>
  </si>
  <si>
    <t xml:space="preserve">Factoring fee ($)</t>
  </si>
  <si>
    <t xml:space="preserve">Net proceeds after collection ($)</t>
  </si>
  <si>
    <t xml:space="preserve">Effective annualized cost of factoring %</t>
  </si>
  <si>
    <t xml:space="preserve">Compare vs. bank credit line rate to decide financing channel</t>
  </si>
  <si>
    <t xml:space="preserve">Which Financing Channel Is Cheapest?</t>
  </si>
  <si>
    <t xml:space="preserve">Revolving credit line (alternative)</t>
  </si>
  <si>
    <t xml:space="preserve">Draw amount ($)</t>
  </si>
  <si>
    <t xml:space="preserve">Base rate + spread, all-in (%)</t>
  </si>
  <si>
    <t xml:space="preserve">Commitment fee on undrawn (%)</t>
  </si>
  <si>
    <t xml:space="preserve">Undrawn facility amount ($)</t>
  </si>
  <si>
    <t xml:space="preserve">Revolver interest cost ($)</t>
  </si>
  <si>
    <t xml:space="preserve">Revolver commitment fee ($)</t>
  </si>
  <si>
    <t xml:space="preserve">Revolver annualized all-in cost %</t>
  </si>
  <si>
    <t xml:space="preserve">Comparison</t>
  </si>
  <si>
    <t xml:space="preserve">Channel</t>
  </si>
  <si>
    <t xml:space="preserve">Annualized cost %</t>
  </si>
  <si>
    <t xml:space="preserve">Letter of credit</t>
  </si>
  <si>
    <t xml:space="preserve">Factoring / invoice discounting</t>
  </si>
  <si>
    <t xml:space="preserve">Revolving credit line</t>
  </si>
  <si>
    <t xml:space="preserve">Cheapest channel</t>
  </si>
  <si>
    <t xml:space="preserve">Only declares a winner once all three channels have real numbers — one live rate shouldn't beat two blanks by default</t>
  </si>
  <si>
    <t xml:space="preserve">Cheapest annualized cost %</t>
  </si>
  <si>
    <t xml:space="preserve">Compares only financing cost — also weigh speed, collateral/covenant burden, and counterparty credit risk transfer (LC shifts payment risk to the issuing bank; factoring can be non-recourse)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</si>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</sst>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"/>
    <numFmt numFmtId="167" formatCode="0.0%;\(0.0%\);\-"/>
    <numFmt numFmtId="168" formatCode="#,##0;\(#,##0\);\-"/>
    <numFmt numFmtId="169" formatCode="0.00%;\(0.00%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9</v>
      </c>
    </row>
    <row r="4" customFormat="false" ht="15" hidden="false" customHeight="false" outlineLevel="0" collapsed="false">
      <c r="B4" s="4" t="s">
        <v>10</v>
      </c>
    </row>
    <row r="5" customFormat="false" ht="15" hidden="false" customHeight="false" outlineLevel="0" collapsed="false">
      <c r="B5" s="5" t="s">
        <v>11</v>
      </c>
      <c r="C5" s="6" t="n">
        <v>0</v>
      </c>
    </row>
    <row r="6" customFormat="false" ht="15" hidden="false" customHeight="false" outlineLevel="0" collapsed="false">
      <c r="B6" s="5" t="s">
        <v>12</v>
      </c>
      <c r="C6" s="6" t="n">
        <v>0</v>
      </c>
    </row>
    <row r="7" customFormat="false" ht="15" hidden="false" customHeight="false" outlineLevel="0" collapsed="false">
      <c r="B7" s="5" t="s">
        <v>13</v>
      </c>
      <c r="C7" s="6" t="n">
        <v>0</v>
      </c>
    </row>
    <row r="8" customFormat="false" ht="15" hidden="false" customHeight="false" outlineLevel="0" collapsed="false">
      <c r="B8" s="5" t="s">
        <v>14</v>
      </c>
      <c r="C8" s="6" t="n">
        <v>0</v>
      </c>
    </row>
    <row r="9" customFormat="false" ht="15" hidden="false" customHeight="false" outlineLevel="0" collapsed="false">
      <c r="B9" s="5" t="s">
        <v>15</v>
      </c>
      <c r="C9" s="6" t="n">
        <v>0</v>
      </c>
    </row>
    <row r="11" customFormat="false" ht="15" hidden="false" customHeight="false" outlineLevel="0" collapsed="false">
      <c r="B11" s="4" t="s">
        <v>16</v>
      </c>
    </row>
    <row r="12" customFormat="false" ht="15" hidden="false" customHeight="false" outlineLevel="0" collapsed="false">
      <c r="B12" s="0" t="s">
        <v>17</v>
      </c>
      <c r="C12" s="7" t="str">
        <f aca="false">IFERROR(C7/C5*365,"-")</f>
        <v>-</v>
      </c>
    </row>
    <row r="13" customFormat="false" ht="15" hidden="false" customHeight="false" outlineLevel="0" collapsed="false">
      <c r="B13" s="0" t="s">
        <v>18</v>
      </c>
      <c r="C13" s="7" t="str">
        <f aca="false">IFERROR(C8/C6*365,"-")</f>
        <v>-</v>
      </c>
    </row>
    <row r="14" customFormat="false" ht="15" hidden="false" customHeight="false" outlineLevel="0" collapsed="false">
      <c r="B14" s="0" t="s">
        <v>19</v>
      </c>
      <c r="C14" s="7" t="str">
        <f aca="false">IFERROR(C9/C6*365,"-")</f>
        <v>-</v>
      </c>
    </row>
    <row r="15" customFormat="false" ht="15" hidden="false" customHeight="false" outlineLevel="0" collapsed="false">
      <c r="B15" s="0" t="s">
        <v>20</v>
      </c>
      <c r="C15" s="8" t="str">
        <f aca="false">IFERROR(C12+C13-C14,"-")</f>
        <v>-</v>
      </c>
      <c r="D15" s="9" t="s">
        <v>21</v>
      </c>
    </row>
    <row r="16" customFormat="false" ht="15" hidden="false" customHeight="false" outlineLevel="0" collapsed="false">
      <c r="B16" s="0" t="s">
        <v>22</v>
      </c>
      <c r="C16" s="10" t="str">
        <f aca="false">IFERROR(C15/365*C6,"-")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23</v>
      </c>
    </row>
    <row r="4" customFormat="false" ht="15" hidden="false" customHeight="false" outlineLevel="0" collapsed="false">
      <c r="B4" s="4" t="s">
        <v>24</v>
      </c>
    </row>
    <row r="5" customFormat="false" ht="15" hidden="false" customHeight="false" outlineLevel="0" collapsed="false">
      <c r="B5" s="5" t="s">
        <v>25</v>
      </c>
      <c r="C5" s="6" t="n">
        <v>0</v>
      </c>
    </row>
    <row r="6" customFormat="false" ht="15" hidden="false" customHeight="false" outlineLevel="0" collapsed="false">
      <c r="B6" s="5" t="s">
        <v>26</v>
      </c>
      <c r="C6" s="11" t="n">
        <v>0.015</v>
      </c>
    </row>
    <row r="7" customFormat="false" ht="15" hidden="false" customHeight="false" outlineLevel="0" collapsed="false">
      <c r="B7" s="5" t="s">
        <v>27</v>
      </c>
      <c r="C7" s="11" t="n">
        <v>0.01</v>
      </c>
    </row>
    <row r="8" customFormat="false" ht="15" hidden="false" customHeight="false" outlineLevel="0" collapsed="false">
      <c r="B8" s="5" t="s">
        <v>28</v>
      </c>
      <c r="C8" s="12" t="n">
        <v>90</v>
      </c>
    </row>
    <row r="9" customFormat="false" ht="15" hidden="false" customHeight="false" outlineLevel="0" collapsed="false">
      <c r="B9" s="0" t="s">
        <v>29</v>
      </c>
      <c r="C9" s="13" t="n">
        <f aca="false">C5*(C6+C7)*(C8/365)</f>
        <v>0</v>
      </c>
    </row>
    <row r="10" customFormat="false" ht="15" hidden="false" customHeight="false" outlineLevel="0" collapsed="false">
      <c r="B10" s="0" t="s">
        <v>30</v>
      </c>
      <c r="C10" s="14" t="str">
        <f aca="false">IFERROR(C9/C5/(C8/365),"-")</f>
        <v>-</v>
      </c>
    </row>
    <row r="13" customFormat="false" ht="15" hidden="false" customHeight="false" outlineLevel="0" collapsed="false">
      <c r="B13" s="4" t="s">
        <v>31</v>
      </c>
    </row>
    <row r="14" customFormat="false" ht="15" hidden="false" customHeight="false" outlineLevel="0" collapsed="false">
      <c r="B14" s="5" t="s">
        <v>32</v>
      </c>
      <c r="C14" s="6" t="n">
        <v>0</v>
      </c>
    </row>
    <row r="15" customFormat="false" ht="15" hidden="false" customHeight="false" outlineLevel="0" collapsed="false">
      <c r="B15" s="5" t="s">
        <v>33</v>
      </c>
      <c r="C15" s="11" t="n">
        <v>0.85</v>
      </c>
    </row>
    <row r="16" customFormat="false" ht="15" hidden="false" customHeight="false" outlineLevel="0" collapsed="false">
      <c r="B16" s="5" t="s">
        <v>34</v>
      </c>
      <c r="C16" s="11" t="n">
        <v>0.02</v>
      </c>
    </row>
    <row r="17" customFormat="false" ht="15" hidden="false" customHeight="false" outlineLevel="0" collapsed="false">
      <c r="B17" s="5" t="s">
        <v>35</v>
      </c>
      <c r="C17" s="12" t="n">
        <v>60</v>
      </c>
    </row>
    <row r="18" customFormat="false" ht="15" hidden="false" customHeight="false" outlineLevel="0" collapsed="false">
      <c r="B18" s="0" t="s">
        <v>36</v>
      </c>
      <c r="C18" s="10" t="n">
        <f aca="false">C14*C15</f>
        <v>0</v>
      </c>
    </row>
    <row r="19" customFormat="false" ht="15" hidden="false" customHeight="false" outlineLevel="0" collapsed="false">
      <c r="B19" s="0" t="s">
        <v>37</v>
      </c>
      <c r="C19" s="10" t="n">
        <f aca="false">C14*C16</f>
        <v>0</v>
      </c>
    </row>
    <row r="20" customFormat="false" ht="15" hidden="false" customHeight="false" outlineLevel="0" collapsed="false">
      <c r="B20" s="0" t="s">
        <v>38</v>
      </c>
      <c r="C20" s="10" t="n">
        <f aca="false">C14-C19</f>
        <v>0</v>
      </c>
    </row>
    <row r="21" customFormat="false" ht="15" hidden="false" customHeight="false" outlineLevel="0" collapsed="false">
      <c r="B21" s="0" t="s">
        <v>39</v>
      </c>
      <c r="C21" s="15" t="n">
        <f aca="false">IFERROR(C16/(C17/365),"-")</f>
        <v>0.121666666666667</v>
      </c>
      <c r="D21" s="9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41</v>
      </c>
    </row>
    <row r="4" customFormat="false" ht="15" hidden="false" customHeight="false" outlineLevel="0" collapsed="false">
      <c r="B4" s="4" t="s">
        <v>42</v>
      </c>
    </row>
    <row r="5" customFormat="false" ht="15" hidden="false" customHeight="false" outlineLevel="0" collapsed="false">
      <c r="B5" s="5" t="s">
        <v>43</v>
      </c>
      <c r="C5" s="6" t="n">
        <v>0</v>
      </c>
    </row>
    <row r="6" customFormat="false" ht="15" hidden="false" customHeight="false" outlineLevel="0" collapsed="false">
      <c r="B6" s="5" t="s">
        <v>44</v>
      </c>
      <c r="C6" s="16" t="n">
        <v>0.08</v>
      </c>
    </row>
    <row r="7" customFormat="false" ht="15" hidden="false" customHeight="false" outlineLevel="0" collapsed="false">
      <c r="B7" s="5" t="s">
        <v>45</v>
      </c>
      <c r="C7" s="16" t="n">
        <v>0.005</v>
      </c>
    </row>
    <row r="8" customFormat="false" ht="15" hidden="false" customHeight="false" outlineLevel="0" collapsed="false">
      <c r="B8" s="5" t="s">
        <v>46</v>
      </c>
      <c r="C8" s="6" t="n">
        <v>0</v>
      </c>
    </row>
    <row r="9" customFormat="false" ht="15" hidden="false" customHeight="false" outlineLevel="0" collapsed="false">
      <c r="B9" s="0" t="s">
        <v>47</v>
      </c>
      <c r="C9" s="10" t="n">
        <f aca="false">C5*C6</f>
        <v>0</v>
      </c>
    </row>
    <row r="10" customFormat="false" ht="15" hidden="false" customHeight="false" outlineLevel="0" collapsed="false">
      <c r="B10" s="0" t="s">
        <v>48</v>
      </c>
      <c r="C10" s="10" t="n">
        <f aca="false">C7*C8</f>
        <v>0</v>
      </c>
    </row>
    <row r="11" customFormat="false" ht="15" hidden="false" customHeight="false" outlineLevel="0" collapsed="false">
      <c r="B11" s="0" t="s">
        <v>49</v>
      </c>
      <c r="C11" s="14" t="str">
        <f aca="false">IFERROR((C9+C10)/C5,"-")</f>
        <v>-</v>
      </c>
    </row>
    <row r="13" customFormat="false" ht="15" hidden="false" customHeight="false" outlineLevel="0" collapsed="false">
      <c r="B13" s="4" t="s">
        <v>50</v>
      </c>
    </row>
    <row r="14" customFormat="false" ht="15" hidden="false" customHeight="false" outlineLevel="0" collapsed="false">
      <c r="B14" s="17" t="s">
        <v>51</v>
      </c>
      <c r="C14" s="17" t="s">
        <v>52</v>
      </c>
    </row>
    <row r="15" customFormat="false" ht="15" hidden="false" customHeight="false" outlineLevel="0" collapsed="false">
      <c r="B15" s="0" t="s">
        <v>53</v>
      </c>
      <c r="C15" s="18" t="str">
        <f aca="false">'LC &amp; Factoring Cost'!C10</f>
        <v>-</v>
      </c>
    </row>
    <row r="16" customFormat="false" ht="15" hidden="false" customHeight="false" outlineLevel="0" collapsed="false">
      <c r="B16" s="0" t="s">
        <v>54</v>
      </c>
      <c r="C16" s="18" t="n">
        <f aca="false">'LC &amp; Factoring Cost'!C21</f>
        <v>0.121666666666667</v>
      </c>
    </row>
    <row r="17" customFormat="false" ht="15" hidden="false" customHeight="false" outlineLevel="0" collapsed="false">
      <c r="B17" s="0" t="s">
        <v>55</v>
      </c>
      <c r="C17" s="18" t="str">
        <f aca="false">C11</f>
        <v>-</v>
      </c>
    </row>
    <row r="19" customFormat="false" ht="15" hidden="false" customHeight="false" outlineLevel="0" collapsed="false">
      <c r="B19" s="0" t="s">
        <v>56</v>
      </c>
      <c r="C19" s="19" t="str">
        <f aca="false">IF(COUNT(C15:C17)&lt;3,"-",INDEX(B15:B17,MATCH(MIN(C15:C17),C15:C17,0)))</f>
        <v>-</v>
      </c>
      <c r="D19" s="9" t="s">
        <v>57</v>
      </c>
    </row>
    <row r="20" customFormat="false" ht="15" hidden="false" customHeight="false" outlineLevel="0" collapsed="false">
      <c r="B20" s="0" t="s">
        <v>58</v>
      </c>
      <c r="C20" s="15" t="str">
        <f aca="false">IF(COUNT(C15:C17)&lt;3,"-",MIN(C15:C17))</f>
        <v>-</v>
      </c>
      <c r="D20" s="9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60</v>
      </c>
    </row>
    <row r="4" customFormat="false" ht="15" hidden="false" customHeight="false" outlineLevel="0" collapsed="false">
      <c r="B4" s="17" t="s">
        <v>61</v>
      </c>
      <c r="C4" s="17" t="s">
        <v>62</v>
      </c>
      <c r="D4" s="17" t="s">
        <v>63</v>
      </c>
      <c r="E4" s="17" t="s">
        <v>64</v>
      </c>
      <c r="F4" s="17" t="s">
        <v>65</v>
      </c>
    </row>
    <row r="5" customFormat="false" ht="15" hidden="false" customHeight="false" outlineLevel="0" collapsed="false">
      <c r="B5" s="20"/>
      <c r="C5" s="20"/>
      <c r="D5" s="20"/>
      <c r="E5" s="20"/>
      <c r="F5" s="20"/>
    </row>
    <row r="6" customFormat="false" ht="15" hidden="false" customHeight="false" outlineLevel="0" collapsed="false">
      <c r="B6" s="20"/>
      <c r="C6" s="20"/>
      <c r="D6" s="20"/>
      <c r="E6" s="20"/>
      <c r="F6" s="20"/>
    </row>
    <row r="7" customFormat="false" ht="15" hidden="false" customHeight="false" outlineLevel="0" collapsed="false">
      <c r="B7" s="20"/>
      <c r="C7" s="20"/>
      <c r="D7" s="20"/>
      <c r="E7" s="20"/>
      <c r="F7" s="20"/>
    </row>
    <row r="8" customFormat="false" ht="15" hidden="false" customHeight="false" outlineLevel="0" collapsed="false">
      <c r="B8" s="20"/>
      <c r="C8" s="20"/>
      <c r="D8" s="20"/>
      <c r="E8" s="20"/>
      <c r="F8" s="20"/>
    </row>
    <row r="9" customFormat="false" ht="15" hidden="false" customHeight="false" outlineLevel="0" collapsed="false">
      <c r="B9" s="20"/>
      <c r="C9" s="20"/>
      <c r="D9" s="20"/>
      <c r="E9" s="20"/>
      <c r="F9" s="20"/>
    </row>
    <row r="10" customFormat="false" ht="15" hidden="false" customHeight="false" outlineLevel="0" collapsed="false">
      <c r="B10" s="20"/>
      <c r="C10" s="20"/>
      <c r="D10" s="20"/>
      <c r="E10" s="20"/>
      <c r="F10" s="20"/>
    </row>
    <row r="11" customFormat="false" ht="15" hidden="false" customHeight="false" outlineLevel="0" collapsed="false">
      <c r="B11" s="20"/>
      <c r="C11" s="20"/>
      <c r="D11" s="20"/>
      <c r="E11" s="20"/>
      <c r="F11" s="20"/>
    </row>
    <row r="12" customFormat="false" ht="15" hidden="false" customHeight="false" outlineLevel="0" collapsed="false">
      <c r="B12" s="20"/>
      <c r="C12" s="20"/>
      <c r="D12" s="20"/>
      <c r="E12" s="20"/>
      <c r="F12" s="20"/>
    </row>
    <row r="13" customFormat="false" ht="15" hidden="false" customHeight="false" outlineLevel="0" collapsed="false">
      <c r="B13" s="20"/>
      <c r="C13" s="20"/>
      <c r="D13" s="20"/>
      <c r="E13" s="20"/>
      <c r="F13" s="20"/>
    </row>
    <row r="14" customFormat="false" ht="15" hidden="false" customHeight="false" outlineLevel="0" collapsed="false">
      <c r="B14" s="20"/>
      <c r="C14" s="20"/>
      <c r="D14" s="20"/>
      <c r="E14" s="20"/>
      <c r="F14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2026-08-03T22:51:07Z</dcterms:created>
  <dc:creator>openpyxl</dc:creator>
  <dc:description/>
  <dc:language>en-US</dc:language>
  <cp:lastModifiedBy/>
  <dcterms:modified xsi:type="dcterms:W3CDTF">2026-08-03T22:51:07Z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