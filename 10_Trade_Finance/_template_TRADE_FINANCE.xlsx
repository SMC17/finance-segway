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Working Capital Cycle" sheetId="5" state="visible" r:id="rId5"/>
    <sheet name="LC &amp; Factoring Cost" sheetId="6" state="visible" r:id="rId6"/>
    <sheet name="Financing Cost Comparison" sheetId="7" state="visible" r:id="rId7"/>
    <sheet name="RefreshLog" sheetId="8" state="visible" r:id="rId8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0.0"/>
    <numFmt numFmtId="166" formatCode="0.0%;\(0.0%\);\-"/>
    <numFmt numFmtId="167" formatCode="#,##0;\(#,##0\);\-"/>
    <numFmt numFmtId="168" formatCode="0.00%;\(0.00%\)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0" fontId="9" fillId="4" borderId="0" applyAlignment="1" pivotButton="0" quotePrefix="0" xfId="0">
      <alignment horizontal="center" vertical="bottom"/>
    </xf>
    <xf numFmtId="166" fontId="10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1" fillId="5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5" borderId="0" pivotButton="0" quotePrefix="0" xfId="0"/>
    <xf numFmtId="0" fontId="12" fillId="6" borderId="2" applyAlignment="1" pivotButton="0" quotePrefix="0" xfId="0">
      <alignment wrapText="1"/>
    </xf>
    <xf numFmtId="0" fontId="5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0" fontId="9" fillId="4" borderId="0" applyAlignment="1" pivotButton="0" quotePrefix="0" xfId="0">
      <alignment horizontal="center" vertical="bottom"/>
    </xf>
    <xf numFmtId="166" fontId="10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1" min="1" max="1"/>
    <col width="30" customWidth="1" style="21" min="2" max="2"/>
    <col width="40" customWidth="1" style="21" min="3" max="3"/>
    <col width="4" customWidth="1" style="21" min="4" max="4"/>
  </cols>
  <sheetData>
    <row r="2" ht="19.7" customHeight="1" s="22">
      <c r="B2" s="23" t="inlineStr">
        <is>
          <t>[COUNTERPARTY] — Trade Finance Model</t>
        </is>
      </c>
    </row>
    <row r="4" ht="15" customHeight="1" s="22">
      <c r="B4" s="24" t="inlineStr">
        <is>
          <t>Counterparty:</t>
        </is>
      </c>
      <c r="C4" s="25" t="inlineStr">
        <is>
          <t>[fill in]</t>
        </is>
      </c>
    </row>
    <row r="5" ht="15" customHeight="1" s="22">
      <c r="B5" s="24" t="inlineStr">
        <is>
          <t>Trade corridor:</t>
        </is>
      </c>
      <c r="C5" s="25" t="inlineStr">
        <is>
          <t>[e.g. exporter-importer country pair]</t>
        </is>
      </c>
    </row>
    <row r="6" ht="15" customHeight="1" s="22">
      <c r="B6" s="24" t="inlineStr">
        <is>
          <t>Last refreshed:</t>
        </is>
      </c>
      <c r="C6" s="25" t="inlineStr">
        <is>
          <t>[date]</t>
        </is>
      </c>
    </row>
    <row r="7" ht="15" customHeight="1" s="22">
      <c r="B7" s="24" t="inlineStr">
        <is>
          <t>Refresh cadence:</t>
        </is>
      </c>
      <c r="C7" s="25" t="inlineStr">
        <is>
          <t>Weekly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22" min="2" max="2"/>
    <col width="48" customWidth="1" style="22" min="3" max="3"/>
    <col width="24" customWidth="1" style="22" min="4" max="4"/>
    <col width="34" customWidth="1" style="22" min="5" max="5"/>
    <col width="20" customWidth="1" style="22" min="6" max="6"/>
  </cols>
  <sheetData>
    <row r="2">
      <c r="B2" s="26" t="inlineStr">
        <is>
          <t>Trade Finance — Institutional Decision Surface</t>
        </is>
      </c>
    </row>
    <row r="4">
      <c r="B4" s="27" t="inlineStr">
        <is>
          <t>Model ID</t>
        </is>
      </c>
      <c r="C4" s="28" t="inlineStr">
        <is>
          <t>10</t>
        </is>
      </c>
    </row>
    <row r="5">
      <c r="B5" s="27" t="inlineStr">
        <is>
          <t>Domain</t>
        </is>
      </c>
      <c r="C5" s="28" t="inlineStr">
        <is>
          <t>Trade Finance</t>
        </is>
      </c>
    </row>
    <row r="6">
      <c r="B6" s="27" t="inlineStr">
        <is>
          <t>Declared maturity</t>
        </is>
      </c>
      <c r="C6" s="28" t="inlineStr">
        <is>
          <t>M1</t>
        </is>
      </c>
    </row>
    <row r="7">
      <c r="B7" s="27" t="inlineStr">
        <is>
          <t>Canonical builder</t>
        </is>
      </c>
      <c r="C7" s="28" t="inlineStr">
        <is>
          <t>tools/builders/build_trade_finance_template.py</t>
        </is>
      </c>
    </row>
    <row r="8">
      <c r="B8" s="27" t="inlineStr">
        <is>
          <t>Decision arena</t>
        </is>
      </c>
      <c r="C8" s="28" t="inlineStr">
        <is>
          <t>trade desk, credit, operations, sanctions and country-risk committee</t>
        </is>
      </c>
    </row>
    <row r="9">
      <c r="B9" s="27" t="inlineStr">
        <is>
          <t>Committee artifact</t>
        </is>
      </c>
      <c r="C9" s="28" t="inlineStr">
        <is>
          <t>transaction approval and exception pack</t>
        </is>
      </c>
    </row>
    <row r="10">
      <c r="B10" s="27" t="inlineStr">
        <is>
          <t>Operating cadence</t>
        </is>
      </c>
      <c r="C10" s="28" t="inlineStr">
        <is>
          <t>daily transaction monitoring; weekly exceptions</t>
        </is>
      </c>
    </row>
    <row r="12">
      <c r="B12" s="29" t="inlineStr">
        <is>
          <t>Key decision outputs</t>
        </is>
      </c>
    </row>
    <row r="13">
      <c r="B13" s="30" t="inlineStr">
        <is>
          <t>#</t>
        </is>
      </c>
      <c r="C13" s="30" t="inlineStr">
        <is>
          <t>Requirement</t>
        </is>
      </c>
      <c r="D13" s="30" t="inlineStr">
        <is>
          <t>Owner</t>
        </is>
      </c>
      <c r="E13" s="30" t="inlineStr">
        <is>
          <t>Evidence / location</t>
        </is>
      </c>
      <c r="F13" s="30" t="inlineStr">
        <is>
          <t>Status</t>
        </is>
      </c>
    </row>
    <row r="14">
      <c r="B14" t="n">
        <v>1</v>
      </c>
      <c r="C14" t="inlineStr">
        <is>
          <t>self-liquidating cash cycle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facility utilization and borrowing base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LC / guarantee cost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9" t="inlineStr">
        <is>
          <t>Insider questions</t>
        </is>
      </c>
    </row>
    <row r="21">
      <c r="B21" s="30" t="inlineStr">
        <is>
          <t>#</t>
        </is>
      </c>
      <c r="C21" s="30" t="inlineStr">
        <is>
          <t>Requirement</t>
        </is>
      </c>
      <c r="D21" s="30" t="inlineStr">
        <is>
          <t>Owner</t>
        </is>
      </c>
      <c r="E21" s="30" t="inlineStr">
        <is>
          <t>Evidence / location</t>
        </is>
      </c>
      <c r="F21" s="30" t="inlineStr">
        <is>
          <t>Status</t>
        </is>
      </c>
    </row>
    <row r="22">
      <c r="B22" t="n">
        <v>1</v>
      </c>
      <c r="C22" t="inlineStr">
        <is>
          <t>Who controls title at each stage?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What document discrepancy prevents payment?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bank and country risks are correlated?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9" t="inlineStr">
        <is>
          <t>Scenario families</t>
        </is>
      </c>
    </row>
    <row r="29">
      <c r="B29" s="30" t="inlineStr">
        <is>
          <t>#</t>
        </is>
      </c>
      <c r="C29" s="30" t="inlineStr">
        <is>
          <t>Requirement</t>
        </is>
      </c>
      <c r="D29" s="30" t="inlineStr">
        <is>
          <t>Owner</t>
        </is>
      </c>
      <c r="E29" s="30" t="inlineStr">
        <is>
          <t>Evidence / location</t>
        </is>
      </c>
      <c r="F29" s="30" t="inlineStr">
        <is>
          <t>Status</t>
        </is>
      </c>
    </row>
    <row r="30">
      <c r="B30" t="n">
        <v>1</v>
      </c>
      <c r="C30" t="inlineStr">
        <is>
          <t>shipment delay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document discrepancy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buyer default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9" t="inlineStr">
        <is>
          <t>Primary diligence documents</t>
        </is>
      </c>
    </row>
    <row r="37">
      <c r="B37" s="30" t="inlineStr">
        <is>
          <t>#</t>
        </is>
      </c>
      <c r="C37" s="30" t="inlineStr">
        <is>
          <t>Requirement</t>
        </is>
      </c>
      <c r="D37" s="30" t="inlineStr">
        <is>
          <t>Owner</t>
        </is>
      </c>
      <c r="E37" s="30" t="inlineStr">
        <is>
          <t>Evidence / location</t>
        </is>
      </c>
      <c r="F37" s="30" t="inlineStr">
        <is>
          <t>Status</t>
        </is>
      </c>
    </row>
    <row r="38">
      <c r="B38" t="n">
        <v>1</v>
      </c>
      <c r="C38" t="inlineStr">
        <is>
          <t>commercial invoice and purchase order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bill of lading / warehouse receipt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letter of credit or guarantee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9" t="inlineStr">
        <is>
          <t>Challenge tests</t>
        </is>
      </c>
    </row>
    <row r="45">
      <c r="B45" s="30" t="inlineStr">
        <is>
          <t>#</t>
        </is>
      </c>
      <c r="C45" s="30" t="inlineStr">
        <is>
          <t>Requirement</t>
        </is>
      </c>
      <c r="D45" s="30" t="inlineStr">
        <is>
          <t>Owner</t>
        </is>
      </c>
      <c r="E45" s="30" t="inlineStr">
        <is>
          <t>Evidence / location</t>
        </is>
      </c>
      <c r="F45" s="30" t="inlineStr">
        <is>
          <t>Status</t>
        </is>
      </c>
    </row>
    <row r="46">
      <c r="B46" t="n">
        <v>1</v>
      </c>
      <c r="C46" t="inlineStr">
        <is>
          <t>cash conversion closes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exposure follows goods and documents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fees reflect tenor and utilization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9" t="inlineStr">
        <is>
          <t>Known failure modes</t>
        </is>
      </c>
    </row>
    <row r="53">
      <c r="B53" s="30" t="inlineStr">
        <is>
          <t>#</t>
        </is>
      </c>
      <c r="C53" s="30" t="inlineStr">
        <is>
          <t>Requirement</t>
        </is>
      </c>
      <c r="D53" s="30" t="inlineStr">
        <is>
          <t>Owner</t>
        </is>
      </c>
      <c r="E53" s="30" t="inlineStr">
        <is>
          <t>Evidence / location</t>
        </is>
      </c>
      <c r="F53" s="30" t="inlineStr">
        <is>
          <t>Status</t>
        </is>
      </c>
    </row>
    <row r="54">
      <c r="B54" t="n">
        <v>1</v>
      </c>
      <c r="C54" t="inlineStr">
        <is>
          <t>assuming documents eliminate performance risk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discrepancy cure time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double-counting insurance and collateral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9" t="inlineStr">
        <is>
          <t>Regulatory / methodological anchors</t>
        </is>
      </c>
    </row>
    <row r="61">
      <c r="B61" s="30" t="inlineStr">
        <is>
          <t>Standard</t>
        </is>
      </c>
      <c r="C61" s="30" t="inlineStr">
        <is>
          <t>Scope</t>
        </is>
      </c>
      <c r="D61" s="30" t="inlineStr">
        <is>
          <t>Source URL</t>
        </is>
      </c>
      <c r="E61" s="30" t="inlineStr">
        <is>
          <t>Applicability</t>
        </is>
      </c>
      <c r="F61" s="30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Framework</t>
        </is>
      </c>
      <c r="C63" t="inlineStr">
        <is>
          <t>prudential capital, liquidity, credit and market risk</t>
        </is>
      </c>
      <c r="D63" t="inlineStr">
        <is>
          <t>https://www.bis.org/basel_framework/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22" min="2" max="2"/>
    <col width="22" customWidth="1" style="22" min="3" max="3"/>
    <col width="52" customWidth="1" style="22" min="4" max="4"/>
    <col width="46" customWidth="1" style="22" min="5" max="5"/>
    <col width="36" customWidth="1" style="22" min="6" max="6"/>
    <col width="14" customWidth="1" style="22" min="7" max="7"/>
    <col width="18" customWidth="1" style="22" min="8" max="8"/>
    <col width="14" customWidth="1" style="22" min="9" max="9"/>
  </cols>
  <sheetData>
    <row r="2">
      <c r="B2" s="26" t="inlineStr">
        <is>
          <t>Independent Challenge, Override and Closure Log</t>
        </is>
      </c>
    </row>
    <row r="4">
      <c r="B4" s="30" t="inlineStr">
        <is>
          <t>Date</t>
        </is>
      </c>
      <c r="C4" s="30" t="inlineStr">
        <is>
          <t>Reviewer</t>
        </is>
      </c>
      <c r="D4" s="30" t="inlineStr">
        <is>
          <t>Challenge</t>
        </is>
      </c>
      <c r="E4" s="30" t="inlineStr">
        <is>
          <t>Owner response</t>
        </is>
      </c>
      <c r="F4" s="30" t="inlineStr">
        <is>
          <t>Evidence</t>
        </is>
      </c>
      <c r="G4" s="30" t="inlineStr">
        <is>
          <t>Impact</t>
        </is>
      </c>
      <c r="H4" s="30" t="inlineStr">
        <is>
          <t>Status</t>
        </is>
      </c>
      <c r="I4" s="30" t="inlineStr">
        <is>
          <t>Closure</t>
        </is>
      </c>
    </row>
    <row r="5">
      <c r="B5" t="inlineStr"/>
      <c r="C5" t="inlineStr"/>
      <c r="D5" t="inlineStr">
        <is>
          <t>cash conversion closes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exposure follows goods and documents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fees reflect tenor and utilization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22" min="2" max="2"/>
    <col width="18" customWidth="1" style="22" min="3" max="3"/>
    <col width="42" customWidth="1" style="22" min="4" max="4"/>
    <col width="24" customWidth="1" style="22" min="5" max="5"/>
    <col width="18" customWidth="1" style="22" min="6" max="6"/>
    <col width="22" customWidth="1" style="22" min="7" max="7"/>
    <col width="42" customWidth="1" style="22" min="8" max="8"/>
    <col width="30" customWidth="1" style="22" min="9" max="9"/>
    <col width="15" customWidth="1" style="22" min="10" max="10"/>
  </cols>
  <sheetData>
    <row r="2">
      <c r="B2" s="26" t="inlineStr">
        <is>
          <t>Source, Transformation, Ownership and Refresh Map</t>
        </is>
      </c>
    </row>
    <row r="4">
      <c r="B4" s="30" t="inlineStr">
        <is>
          <t>Source class</t>
        </is>
      </c>
      <c r="C4" s="30" t="inlineStr">
        <is>
          <t>Cadence</t>
        </is>
      </c>
      <c r="D4" s="30" t="inlineStr">
        <is>
          <t>Control</t>
        </is>
      </c>
      <c r="E4" s="30" t="inlineStr">
        <is>
          <t>System / provider</t>
        </is>
      </c>
      <c r="F4" s="30" t="inlineStr">
        <is>
          <t>As-of</t>
        </is>
      </c>
      <c r="G4" s="30" t="inlineStr">
        <is>
          <t>Owner</t>
        </is>
      </c>
      <c r="H4" s="30" t="inlineStr">
        <is>
          <t>Transform</t>
        </is>
      </c>
      <c r="I4" s="30" t="inlineStr">
        <is>
          <t>Downstream</t>
        </is>
      </c>
      <c r="J4" s="30" t="inlineStr">
        <is>
          <t>Status</t>
        </is>
      </c>
    </row>
    <row r="5">
      <c r="B5" t="inlineStr">
        <is>
          <t>shipment events</t>
        </is>
      </c>
      <c r="C5" t="inlineStr">
        <is>
          <t>event-driven</t>
        </is>
      </c>
      <c r="D5" t="inlineStr">
        <is>
          <t>document and logistics match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facility usage</t>
        </is>
      </c>
      <c r="C6" t="inlineStr">
        <is>
          <t>daily</t>
        </is>
      </c>
      <c r="D6" t="inlineStr">
        <is>
          <t>transaction-level utilization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1" min="1" max="1"/>
    <col width="30" customWidth="1" style="21" min="2" max="2"/>
    <col width="16" customWidth="1" style="21" min="3" max="3"/>
    <col width="40" customWidth="1" style="21" min="4" max="4"/>
  </cols>
  <sheetData>
    <row r="2" ht="19.7" customHeight="1" s="22">
      <c r="B2" s="23" t="inlineStr">
        <is>
          <t>Cash Conversion Cycle</t>
        </is>
      </c>
    </row>
    <row r="4" ht="15" customHeight="1" s="22">
      <c r="B4" s="31" t="inlineStr">
        <is>
          <t>Inputs</t>
        </is>
      </c>
    </row>
    <row r="5" ht="15" customHeight="1" s="22">
      <c r="B5" s="32" t="inlineStr">
        <is>
          <t>Revenue ($, annual)</t>
        </is>
      </c>
      <c r="C5" s="33" t="n">
        <v>0</v>
      </c>
    </row>
    <row r="6" ht="15" customHeight="1" s="22">
      <c r="B6" s="32" t="inlineStr">
        <is>
          <t>COGS ($, annual)</t>
        </is>
      </c>
      <c r="C6" s="33" t="n">
        <v>0</v>
      </c>
    </row>
    <row r="7" ht="15" customHeight="1" s="22">
      <c r="B7" s="32" t="inlineStr">
        <is>
          <t>Average accounts receivable ($)</t>
        </is>
      </c>
      <c r="C7" s="33" t="n">
        <v>0</v>
      </c>
    </row>
    <row r="8" ht="15" customHeight="1" s="22">
      <c r="B8" s="32" t="inlineStr">
        <is>
          <t>Average inventory ($)</t>
        </is>
      </c>
      <c r="C8" s="33" t="n">
        <v>0</v>
      </c>
    </row>
    <row r="9" ht="15" customHeight="1" s="22">
      <c r="B9" s="32" t="inlineStr">
        <is>
          <t>Average accounts payable ($)</t>
        </is>
      </c>
      <c r="C9" s="33" t="n">
        <v>0</v>
      </c>
    </row>
    <row r="11" ht="15" customHeight="1" s="22">
      <c r="B11" s="31" t="inlineStr">
        <is>
          <t>Outputs</t>
        </is>
      </c>
    </row>
    <row r="12" ht="15" customHeight="1" s="22">
      <c r="B12" s="21" t="inlineStr">
        <is>
          <t>DSO (Days Sales Outstanding)</t>
        </is>
      </c>
      <c r="C12" s="34">
        <f>IFERROR(C7/C5*365,"-")</f>
        <v/>
      </c>
    </row>
    <row r="13" ht="15" customHeight="1" s="22">
      <c r="B13" s="21" t="inlineStr">
        <is>
          <t>DIO (Days Inventory Outstanding)</t>
        </is>
      </c>
      <c r="C13" s="34">
        <f>IFERROR(C8/C6*365,"-")</f>
        <v/>
      </c>
    </row>
    <row r="14" ht="15" customHeight="1" s="22">
      <c r="B14" s="21" t="inlineStr">
        <is>
          <t>DPO (Days Payable Outstanding)</t>
        </is>
      </c>
      <c r="C14" s="34">
        <f>IFERROR(C9/C6*365,"-")</f>
        <v/>
      </c>
    </row>
    <row r="15" ht="15" customHeight="1" s="22">
      <c r="B15" s="21" t="inlineStr">
        <is>
          <t>Cash Conversion Cycle (DSO+DIO-DPO)</t>
        </is>
      </c>
      <c r="C15" s="35">
        <f>IFERROR(C12+C13-C14,"-")</f>
        <v/>
      </c>
      <c r="D15" s="36" t="inlineStr">
        <is>
          <t>Days cash tied up per cycle — lower/negative is better (supplier financing your growth)</t>
        </is>
      </c>
    </row>
    <row r="16" ht="15" customHeight="1" s="22">
      <c r="B16" s="21" t="inlineStr">
        <is>
          <t>Working capital required ($, approx.)</t>
        </is>
      </c>
      <c r="C16" s="37">
        <f>IFERROR(C15/365*C6,"-")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D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1" min="1" max="1"/>
    <col width="30" customWidth="1" style="21" min="2" max="2"/>
    <col width="16" customWidth="1" style="21" min="3" max="3"/>
    <col width="40" customWidth="1" style="21" min="4" max="4"/>
  </cols>
  <sheetData>
    <row r="2" ht="19.7" customHeight="1" s="22">
      <c r="B2" s="23" t="inlineStr">
        <is>
          <t>Letter of Credit &amp; Factoring Cost Model</t>
        </is>
      </c>
    </row>
    <row r="4" ht="15" customHeight="1" s="22">
      <c r="B4" s="31" t="inlineStr">
        <is>
          <t>Letter of Credit</t>
        </is>
      </c>
    </row>
    <row r="5" ht="15" customHeight="1" s="22">
      <c r="B5" s="32" t="inlineStr">
        <is>
          <t>LC face value ($)</t>
        </is>
      </c>
      <c r="C5" s="33" t="n">
        <v>0</v>
      </c>
    </row>
    <row r="6" ht="15" customHeight="1" s="22">
      <c r="B6" s="32" t="inlineStr">
        <is>
          <t>Issuance fee %</t>
        </is>
      </c>
      <c r="C6" s="38" t="n">
        <v>0.015</v>
      </c>
    </row>
    <row r="7" ht="15" customHeight="1" s="22">
      <c r="B7" s="32" t="inlineStr">
        <is>
          <t>Confirmation fee %</t>
        </is>
      </c>
      <c r="C7" s="38" t="n">
        <v>0.01</v>
      </c>
    </row>
    <row r="8" ht="15" customHeight="1" s="22">
      <c r="B8" s="32" t="inlineStr">
        <is>
          <t>Tenor (days)</t>
        </is>
      </c>
      <c r="C8" s="39" t="n">
        <v>90</v>
      </c>
    </row>
    <row r="9" ht="15" customHeight="1" s="22">
      <c r="B9" s="21" t="inlineStr">
        <is>
          <t>Total LC cost ($)</t>
        </is>
      </c>
      <c r="C9" s="40">
        <f>C5*(C6+C7)*(C8/365)</f>
        <v/>
      </c>
    </row>
    <row r="10" ht="15" customHeight="1" s="22">
      <c r="B10" s="21" t="inlineStr">
        <is>
          <t>Annualized LC cost %</t>
        </is>
      </c>
      <c r="C10" s="41">
        <f>IFERROR(C9/C5/(C8/365),"-")</f>
        <v/>
      </c>
    </row>
    <row r="13" ht="15" customHeight="1" s="22">
      <c r="B13" s="31" t="inlineStr">
        <is>
          <t>Factoring / Invoice Discounting</t>
        </is>
      </c>
    </row>
    <row r="14" ht="15" customHeight="1" s="22">
      <c r="B14" s="32" t="inlineStr">
        <is>
          <t>Invoice face value ($)</t>
        </is>
      </c>
      <c r="C14" s="33" t="n">
        <v>0</v>
      </c>
    </row>
    <row r="15" ht="15" customHeight="1" s="22">
      <c r="B15" s="32" t="inlineStr">
        <is>
          <t>Advance rate %</t>
        </is>
      </c>
      <c r="C15" s="38" t="n">
        <v>0.85</v>
      </c>
    </row>
    <row r="16" ht="15" customHeight="1" s="22">
      <c r="B16" s="32" t="inlineStr">
        <is>
          <t>Discount/factor fee %</t>
        </is>
      </c>
      <c r="C16" s="38" t="n">
        <v>0.02</v>
      </c>
    </row>
    <row r="17" ht="15" customHeight="1" s="22">
      <c r="B17" s="32" t="inlineStr">
        <is>
          <t>Days to collection</t>
        </is>
      </c>
      <c r="C17" s="39" t="n">
        <v>60</v>
      </c>
    </row>
    <row r="18" ht="15" customHeight="1" s="22">
      <c r="B18" s="21" t="inlineStr">
        <is>
          <t>Cash advanced immediately ($)</t>
        </is>
      </c>
      <c r="C18" s="37">
        <f>C14*C15</f>
        <v/>
      </c>
    </row>
    <row r="19" ht="15" customHeight="1" s="22">
      <c r="B19" s="21" t="inlineStr">
        <is>
          <t>Factoring fee ($)</t>
        </is>
      </c>
      <c r="C19" s="37">
        <f>C14*C16</f>
        <v/>
      </c>
    </row>
    <row r="20" ht="15" customHeight="1" s="22">
      <c r="B20" s="21" t="inlineStr">
        <is>
          <t>Net proceeds after collection ($)</t>
        </is>
      </c>
      <c r="C20" s="37">
        <f>C14-C19</f>
        <v/>
      </c>
    </row>
    <row r="21" ht="15" customHeight="1" s="22">
      <c r="B21" s="21" t="inlineStr">
        <is>
          <t>Effective annualized cost of factoring %</t>
        </is>
      </c>
      <c r="C21" s="42">
        <f>IFERROR(C16/(C17/365),"-")</f>
        <v/>
      </c>
      <c r="D21" s="36" t="inlineStr">
        <is>
          <t>Compare vs. bank credit line rate to decide financing channel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1" min="1" max="1"/>
    <col width="30" customWidth="1" style="21" min="2" max="2"/>
    <col width="16" customWidth="1" style="21" min="3" max="3"/>
    <col width="40" customWidth="1" style="21" min="4" max="4"/>
  </cols>
  <sheetData>
    <row r="2" ht="19.7" customHeight="1" s="22">
      <c r="B2" s="23" t="inlineStr">
        <is>
          <t>Which Financing Channel Is Cheapest?</t>
        </is>
      </c>
    </row>
    <row r="4" ht="15" customHeight="1" s="22">
      <c r="B4" s="31" t="inlineStr">
        <is>
          <t>Revolving credit line (alternative)</t>
        </is>
      </c>
    </row>
    <row r="5" ht="15" customHeight="1" s="22">
      <c r="B5" s="32" t="inlineStr">
        <is>
          <t>Draw amount ($)</t>
        </is>
      </c>
      <c r="C5" s="33" t="n">
        <v>0</v>
      </c>
    </row>
    <row r="6" ht="15" customHeight="1" s="22">
      <c r="B6" s="32" t="inlineStr">
        <is>
          <t>Base rate + spread, all-in (%)</t>
        </is>
      </c>
      <c r="C6" s="43" t="n">
        <v>0.08</v>
      </c>
    </row>
    <row r="7" ht="15" customHeight="1" s="22">
      <c r="B7" s="32" t="inlineStr">
        <is>
          <t>Commitment fee on undrawn (%)</t>
        </is>
      </c>
      <c r="C7" s="43" t="n">
        <v>0.005</v>
      </c>
    </row>
    <row r="8" ht="15" customHeight="1" s="22">
      <c r="B8" s="32" t="inlineStr">
        <is>
          <t>Undrawn facility amount ($)</t>
        </is>
      </c>
      <c r="C8" s="33" t="n">
        <v>0</v>
      </c>
    </row>
    <row r="9" ht="15" customHeight="1" s="22">
      <c r="B9" s="21" t="inlineStr">
        <is>
          <t>Revolver interest cost ($)</t>
        </is>
      </c>
      <c r="C9" s="37">
        <f>C5*C6</f>
        <v/>
      </c>
    </row>
    <row r="10" ht="15" customHeight="1" s="22">
      <c r="B10" s="21" t="inlineStr">
        <is>
          <t>Revolver commitment fee ($)</t>
        </is>
      </c>
      <c r="C10" s="37">
        <f>C7*C8</f>
        <v/>
      </c>
    </row>
    <row r="11" ht="15" customHeight="1" s="22">
      <c r="B11" s="21" t="inlineStr">
        <is>
          <t>Revolver annualized all-in cost %</t>
        </is>
      </c>
      <c r="C11" s="41">
        <f>IFERROR((C9+C10)/C5,"-")</f>
        <v/>
      </c>
    </row>
    <row r="13" ht="15" customHeight="1" s="22">
      <c r="B13" s="31" t="inlineStr">
        <is>
          <t>Comparison</t>
        </is>
      </c>
    </row>
    <row r="14" ht="15" customHeight="1" s="22">
      <c r="B14" s="44" t="inlineStr">
        <is>
          <t>Channel</t>
        </is>
      </c>
      <c r="C14" s="44" t="inlineStr">
        <is>
          <t>Annualized cost %</t>
        </is>
      </c>
    </row>
    <row r="15" ht="15" customHeight="1" s="22">
      <c r="B15" s="21" t="inlineStr">
        <is>
          <t>Letter of credit</t>
        </is>
      </c>
      <c r="C15" s="45">
        <f>'LC &amp; Factoring Cost'!C10</f>
        <v/>
      </c>
    </row>
    <row r="16" ht="15" customHeight="1" s="22">
      <c r="B16" s="21" t="inlineStr">
        <is>
          <t>Factoring / invoice discounting</t>
        </is>
      </c>
      <c r="C16" s="45">
        <f>'LC &amp; Factoring Cost'!C21</f>
        <v/>
      </c>
    </row>
    <row r="17" ht="15" customHeight="1" s="22">
      <c r="B17" s="21" t="inlineStr">
        <is>
          <t>Revolving credit line</t>
        </is>
      </c>
      <c r="C17" s="45">
        <f>C11</f>
        <v/>
      </c>
    </row>
    <row r="19" ht="15" customHeight="1" s="22">
      <c r="B19" s="21" t="inlineStr">
        <is>
          <t>Cheapest channel</t>
        </is>
      </c>
      <c r="C19" s="46">
        <f>IF(COUNT(C15:C17)&lt;3,"-",INDEX(B15:B17,MATCH(MIN(C15:C17),C15:C17,0)))</f>
        <v/>
      </c>
      <c r="D19" s="36" t="inlineStr">
        <is>
          <t>Only declares a winner once all three channels have real numbers — one live rate shouldn't beat two blanks by default</t>
        </is>
      </c>
    </row>
    <row r="20" ht="15" customHeight="1" s="22">
      <c r="B20" s="21" t="inlineStr">
        <is>
          <t>Cheapest annualized cost %</t>
        </is>
      </c>
      <c r="C20" s="42">
        <f>IF(COUNT(C15:C17)&lt;3,"-",MIN(C15:C17))</f>
        <v/>
      </c>
      <c r="D20" s="36" t="inlineStr">
        <is>
          <t>Compares only financing cost — also weigh speed, collateral/covenant burden, and counterparty credit risk transfer (LC shifts payment risk to the issuing bank; factoring can be non-recourse)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1" min="1" max="1"/>
    <col width="14" customWidth="1" style="21" min="2" max="2"/>
    <col width="16" customWidth="1" style="21" min="3" max="3"/>
    <col width="30" customWidth="1" style="21" min="4" max="5"/>
    <col width="16" customWidth="1" style="21" min="6" max="6"/>
  </cols>
  <sheetData>
    <row r="2" ht="19.7" customHeight="1" s="22">
      <c r="B2" s="23" t="inlineStr">
        <is>
          <t>Refresh Log</t>
        </is>
      </c>
    </row>
    <row r="4" ht="15" customHeight="1" s="22">
      <c r="B4" s="44" t="inlineStr">
        <is>
          <t>Date</t>
        </is>
      </c>
      <c r="C4" s="44" t="inlineStr">
        <is>
          <t>Trigger</t>
        </is>
      </c>
      <c r="D4" s="44" t="inlineStr">
        <is>
          <t>What changed</t>
        </is>
      </c>
      <c r="E4" s="44" t="inlineStr">
        <is>
          <t>Reviewer notes</t>
        </is>
      </c>
      <c r="F4" s="44" t="inlineStr">
        <is>
          <t>Next check</t>
        </is>
      </c>
    </row>
    <row r="5" ht="15" customHeight="1" s="22">
      <c r="B5" s="47" t="n"/>
      <c r="C5" s="47" t="n"/>
      <c r="D5" s="47" t="n"/>
      <c r="E5" s="47" t="n"/>
      <c r="F5" s="47" t="n"/>
    </row>
    <row r="6" ht="15" customHeight="1" s="22">
      <c r="B6" s="47" t="n"/>
      <c r="C6" s="47" t="n"/>
      <c r="D6" s="47" t="n"/>
      <c r="E6" s="47" t="n"/>
      <c r="F6" s="47" t="n"/>
    </row>
    <row r="7" ht="15" customHeight="1" s="22">
      <c r="B7" s="47" t="n"/>
      <c r="C7" s="47" t="n"/>
      <c r="D7" s="47" t="n"/>
      <c r="E7" s="47" t="n"/>
      <c r="F7" s="47" t="n"/>
    </row>
    <row r="8" ht="15" customHeight="1" s="22">
      <c r="B8" s="47" t="n"/>
      <c r="C8" s="47" t="n"/>
      <c r="D8" s="47" t="n"/>
      <c r="E8" s="47" t="n"/>
      <c r="F8" s="47" t="n"/>
    </row>
    <row r="9" ht="15" customHeight="1" s="22">
      <c r="B9" s="47" t="n"/>
      <c r="C9" s="47" t="n"/>
      <c r="D9" s="47" t="n"/>
      <c r="E9" s="47" t="n"/>
      <c r="F9" s="47" t="n"/>
    </row>
    <row r="10" ht="15" customHeight="1" s="22">
      <c r="B10" s="47" t="n"/>
      <c r="C10" s="47" t="n"/>
      <c r="D10" s="47" t="n"/>
      <c r="E10" s="47" t="n"/>
      <c r="F10" s="47" t="n"/>
    </row>
    <row r="11" ht="15" customHeight="1" s="22">
      <c r="B11" s="47" t="n"/>
      <c r="C11" s="47" t="n"/>
      <c r="D11" s="47" t="n"/>
      <c r="E11" s="47" t="n"/>
      <c r="F11" s="47" t="n"/>
    </row>
    <row r="12" ht="15" customHeight="1" s="22">
      <c r="B12" s="47" t="n"/>
      <c r="C12" s="47" t="n"/>
      <c r="D12" s="47" t="n"/>
      <c r="E12" s="47" t="n"/>
      <c r="F12" s="47" t="n"/>
    </row>
    <row r="13" ht="15" customHeight="1" s="22">
      <c r="B13" s="47" t="n"/>
      <c r="C13" s="47" t="n"/>
      <c r="D13" s="47" t="n"/>
      <c r="E13" s="47" t="n"/>
      <c r="F13" s="47" t="n"/>
    </row>
    <row r="14" ht="15" customHeight="1" s="22">
      <c r="B14" s="47" t="n"/>
      <c r="C14" s="47" t="n"/>
      <c r="D14" s="47" t="n"/>
      <c r="E14" s="47" t="n"/>
      <c r="F14" s="4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2026-08-03T22:51:07Z</dcterms:created>
  <dcterms:modified xsi:type="dcterms:W3CDTF">2026-08-04T03:48:33Z</dcterms:modified>
  <cp:revision>0</cp:revision>
</cp:coreProperties>
</file>