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<sst xmlns="http://schemas.openxmlformats.org/spreadsheetml/2006/main" count="476" uniqueCount="323">
  <si>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</si>
  <si>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</si>
  <si>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</si>
  <si>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</si>
  <si>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</si>
  <si>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</si>
  <si>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</si>
  <si>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</si>
  <si>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</si>
  <si>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</si>
  <si>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</si>
  <si>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</si>
  <si>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</si>
  <si>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</si>
  <si>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</si>
  <si>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</si>
  <si>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</si>
  <si>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</si>
  <si>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</si>
  <si>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</si>
  <si>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</si>
  <si>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</si>
  <si>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</si>
  <si>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</si>
  <si>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</si>
  <si>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</si>
  <si>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</si>
  <si>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</si>
  <si>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</si>
  <si>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</si>
  <si>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</si>
  <si>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</si>
  <si>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</si>
  <si>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</si>
  <si>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</si>
  <si>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</si>
  <si>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</si>
  <si>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</si>
  <si>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</si>
  <si>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</si>
  <si>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</si>
  <si>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</si>
  <si>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</si>
  <si>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</si>
  <si>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</si>
  <si>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</si>
  <si>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</si>
  <si>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</si>
  <si>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</si>
  <si>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</si>
  <si>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</si>
  <si>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</si>
  <si>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</si>
  <si>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</si>
  <si>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</si>
  <si>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</si>
  <si>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</si>
  <si>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</si>
  <si>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</si>
  <si>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</si>
  <si>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</si>
  <si>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</si>
  <si>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</si>
  <si>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</si>
  <si>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</si>
  <si>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</si>
  <si>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</si>
  <si>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</si>
  <si>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</si>
  <si>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</si>
  <si>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</si>
  <si>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</si>
  <si>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</si>
  <si>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</si>
  <si>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</si>
  <si>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</si>
  <si>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</si>
  <si>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</si>
  <si>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</si>
  <si>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</si>
  <si>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</si>
  <si>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</si>
  <si>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</si>
  <si>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</si>
  <si>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</si>
  <si>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</si>
  <si>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</si>
  <si>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</si>
  <si>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</si>
  <si>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</si>
  <si>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</si>
  <si>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</si>
  <si>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</si>
  <si>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</si>
  <si>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</si>
  <si>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</si>
  <si>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</si>
  <si>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</si>
  <si>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</si>
  <si>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</si>
  <si>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</si>
  <si>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</si>
  <si>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</si>
  <si>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</si>
  <si>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</si>
  <si>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</si>
  <si>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</si>
  <si>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</si>
  <si>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</si>
  <si>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</si>
  <si>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</si>
  <si>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</si>
  <si>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</si>
  <si>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</si>
  <si>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</si>
  <si>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</si>
  <si>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</si>
  <si>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</si>
  <si>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</si>
  <si>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</si>
  <si>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</si>
  <si>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</si>
  <si>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</si>
  <si>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</si>
  <si>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</si>
  <si>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</si>
  <si>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</si>
  <si>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</si>
  <si>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</si>
  <si>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</si>
  <si>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</si>
  <si>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</si>
  <si>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</si>
  <si>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</si>
  <si>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</si>
  <si>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</si>
  <si>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</si>
  <si>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</si>
  <si>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</si>
  <si>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Base</t>
  </si>
  <si>
    <t xml:space="preserve">Metric</t>
  </si>
  <si>
    <t xml:space="preserve">Adversarial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</si>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</sst>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19</v>
      </c>
      <c r="C2" s="8"/>
      <c r="D2" s="8"/>
      <c r="E2" s="8"/>
      <c r="F2" s="8"/>
    </row>
    <row r="4" customFormat="false" ht="15" hidden="false" customHeight="true" outlineLevel="0" collapsed="false">
      <c r="B4" s="9" t="s">
        <v>20</v>
      </c>
      <c r="C4" s="10" t="s">
        <v>21</v>
      </c>
      <c r="D4" s="10"/>
      <c r="E4" s="10"/>
      <c r="F4" s="10"/>
    </row>
    <row r="5" customFormat="false" ht="15" hidden="false" customHeight="true" outlineLevel="0" collapsed="false">
      <c r="B5" s="9" t="s">
        <v>22</v>
      </c>
      <c r="C5" s="10" t="s">
        <v>23</v>
      </c>
      <c r="D5" s="10"/>
      <c r="E5" s="10"/>
      <c r="F5" s="10"/>
    </row>
    <row r="6" customFormat="false" ht="15" hidden="false" customHeight="true" outlineLevel="0" collapsed="false">
      <c r="B6" s="9" t="s">
        <v>24</v>
      </c>
      <c r="C6" s="10" t="s">
        <v>25</v>
      </c>
      <c r="D6" s="10"/>
      <c r="E6" s="10"/>
      <c r="F6" s="10"/>
    </row>
    <row r="7" customFormat="false" ht="15" hidden="false" customHeight="true" outlineLevel="0" collapsed="false">
      <c r="B7" s="9" t="s">
        <v>26</v>
      </c>
      <c r="C7" s="10" t="s">
        <v>27</v>
      </c>
      <c r="D7" s="10"/>
      <c r="E7" s="10"/>
      <c r="F7" s="10"/>
    </row>
    <row r="8" customFormat="false" ht="15" hidden="false" customHeight="true" outlineLevel="0" collapsed="false">
      <c r="B8" s="9" t="s">
        <v>28</v>
      </c>
      <c r="C8" s="10" t="s">
        <v>29</v>
      </c>
      <c r="D8" s="10"/>
      <c r="E8" s="10"/>
      <c r="F8" s="10"/>
    </row>
    <row r="9" customFormat="false" ht="15" hidden="false" customHeight="true" outlineLevel="0" collapsed="false">
      <c r="B9" s="9" t="s">
        <v>30</v>
      </c>
      <c r="C9" s="10" t="s">
        <v>31</v>
      </c>
      <c r="D9" s="10"/>
      <c r="E9" s="10"/>
      <c r="F9" s="10"/>
    </row>
    <row r="10" customFormat="false" ht="15" hidden="false" customHeight="true" outlineLevel="0" collapsed="false">
      <c r="B10" s="9" t="s">
        <v>32</v>
      </c>
      <c r="C10" s="10" t="s">
        <v>33</v>
      </c>
      <c r="D10" s="10"/>
      <c r="E10" s="10"/>
      <c r="F10" s="10"/>
    </row>
    <row r="12" customFormat="false" ht="15" hidden="false" customHeight="false" outlineLevel="0" collapsed="false">
      <c r="B12" s="11" t="s">
        <v>34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35</v>
      </c>
      <c r="C13" s="12" t="s">
        <v>36</v>
      </c>
      <c r="D13" s="12" t="s">
        <v>37</v>
      </c>
      <c r="E13" s="12" t="s">
        <v>38</v>
      </c>
      <c r="F13" s="12" t="s">
        <v>39</v>
      </c>
    </row>
    <row r="14" customFormat="false" ht="15" hidden="false" customHeight="false" outlineLevel="0" collapsed="false">
      <c r="B14" s="0" t="n">
        <v>1</v>
      </c>
      <c r="C14" s="0" t="s">
        <v>40</v>
      </c>
      <c r="F14" s="13" t="s">
        <v>41</v>
      </c>
    </row>
    <row r="15" customFormat="false" ht="15" hidden="false" customHeight="false" outlineLevel="0" collapsed="false">
      <c r="B15" s="0" t="n">
        <v>2</v>
      </c>
      <c r="C15" s="0" t="s">
        <v>42</v>
      </c>
      <c r="F15" s="13" t="s">
        <v>41</v>
      </c>
    </row>
    <row r="16" customFormat="false" ht="15" hidden="false" customHeight="false" outlineLevel="0" collapsed="false">
      <c r="B16" s="0" t="n">
        <v>3</v>
      </c>
      <c r="C16" s="0" t="s">
        <v>43</v>
      </c>
      <c r="F16" s="13" t="s">
        <v>41</v>
      </c>
    </row>
    <row r="17" customFormat="false" ht="15" hidden="false" customHeight="false" outlineLevel="0" collapsed="false">
      <c r="B17" s="0" t="n">
        <v>4</v>
      </c>
      <c r="C17" s="0" t="s">
        <v>44</v>
      </c>
      <c r="F17" s="13" t="s">
        <v>41</v>
      </c>
    </row>
    <row r="18" customFormat="false" ht="15" hidden="false" customHeight="false" outlineLevel="0" collapsed="false">
      <c r="B18" s="0" t="n">
        <v>5</v>
      </c>
      <c r="C18" s="0" t="s">
        <v>45</v>
      </c>
      <c r="F18" s="13" t="s">
        <v>41</v>
      </c>
    </row>
    <row r="20" customFormat="false" ht="15" hidden="false" customHeight="false" outlineLevel="0" collapsed="false">
      <c r="B20" s="11" t="s">
        <v>46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35</v>
      </c>
      <c r="C21" s="12" t="s">
        <v>36</v>
      </c>
      <c r="D21" s="12" t="s">
        <v>37</v>
      </c>
      <c r="E21" s="12" t="s">
        <v>38</v>
      </c>
      <c r="F21" s="12" t="s">
        <v>39</v>
      </c>
    </row>
    <row r="22" customFormat="false" ht="15" hidden="false" customHeight="false" outlineLevel="0" collapsed="false">
      <c r="B22" s="0" t="n">
        <v>1</v>
      </c>
      <c r="C22" s="0" t="s">
        <v>47</v>
      </c>
      <c r="F22" s="13" t="s">
        <v>41</v>
      </c>
    </row>
    <row r="23" customFormat="false" ht="15" hidden="false" customHeight="false" outlineLevel="0" collapsed="false">
      <c r="B23" s="0" t="n">
        <v>2</v>
      </c>
      <c r="C23" s="0" t="s">
        <v>48</v>
      </c>
      <c r="F23" s="13" t="s">
        <v>41</v>
      </c>
    </row>
    <row r="24" customFormat="false" ht="15" hidden="false" customHeight="false" outlineLevel="0" collapsed="false">
      <c r="B24" s="0" t="n">
        <v>3</v>
      </c>
      <c r="C24" s="0" t="s">
        <v>49</v>
      </c>
      <c r="F24" s="13" t="s">
        <v>41</v>
      </c>
    </row>
    <row r="25" customFormat="false" ht="15" hidden="false" customHeight="false" outlineLevel="0" collapsed="false">
      <c r="B25" s="0" t="n">
        <v>4</v>
      </c>
      <c r="C25" s="0" t="s">
        <v>50</v>
      </c>
      <c r="F25" s="13" t="s">
        <v>41</v>
      </c>
    </row>
    <row r="26" customFormat="false" ht="15" hidden="false" customHeight="false" outlineLevel="0" collapsed="false">
      <c r="B26" s="0" t="n">
        <v>5</v>
      </c>
      <c r="C26" s="0" t="s">
        <v>51</v>
      </c>
      <c r="F26" s="13" t="s">
        <v>41</v>
      </c>
    </row>
    <row r="28" customFormat="false" ht="15" hidden="false" customHeight="false" outlineLevel="0" collapsed="false">
      <c r="B28" s="11" t="s">
        <v>52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35</v>
      </c>
      <c r="C29" s="12" t="s">
        <v>36</v>
      </c>
      <c r="D29" s="12" t="s">
        <v>37</v>
      </c>
      <c r="E29" s="12" t="s">
        <v>38</v>
      </c>
      <c r="F29" s="12" t="s">
        <v>39</v>
      </c>
    </row>
    <row r="30" customFormat="false" ht="15" hidden="false" customHeight="false" outlineLevel="0" collapsed="false">
      <c r="B30" s="0" t="n">
        <v>1</v>
      </c>
      <c r="C30" s="0" t="s">
        <v>53</v>
      </c>
      <c r="F30" s="13" t="s">
        <v>41</v>
      </c>
    </row>
    <row r="31" customFormat="false" ht="15" hidden="false" customHeight="false" outlineLevel="0" collapsed="false">
      <c r="B31" s="0" t="n">
        <v>2</v>
      </c>
      <c r="C31" s="0" t="s">
        <v>54</v>
      </c>
      <c r="F31" s="13" t="s">
        <v>41</v>
      </c>
    </row>
    <row r="32" customFormat="false" ht="15" hidden="false" customHeight="false" outlineLevel="0" collapsed="false">
      <c r="B32" s="0" t="n">
        <v>3</v>
      </c>
      <c r="C32" s="0" t="s">
        <v>55</v>
      </c>
      <c r="F32" s="13" t="s">
        <v>41</v>
      </c>
    </row>
    <row r="33" customFormat="false" ht="15" hidden="false" customHeight="false" outlineLevel="0" collapsed="false">
      <c r="B33" s="0" t="n">
        <v>4</v>
      </c>
      <c r="C33" s="0" t="s">
        <v>56</v>
      </c>
      <c r="F33" s="13" t="s">
        <v>41</v>
      </c>
    </row>
    <row r="34" customFormat="false" ht="15" hidden="false" customHeight="false" outlineLevel="0" collapsed="false">
      <c r="B34" s="0" t="n">
        <v>5</v>
      </c>
      <c r="C34" s="0" t="s">
        <v>57</v>
      </c>
      <c r="F34" s="13" t="s">
        <v>41</v>
      </c>
    </row>
    <row r="36" customFormat="false" ht="15" hidden="false" customHeight="false" outlineLevel="0" collapsed="false">
      <c r="B36" s="11" t="s">
        <v>58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35</v>
      </c>
      <c r="C37" s="12" t="s">
        <v>36</v>
      </c>
      <c r="D37" s="12" t="s">
        <v>37</v>
      </c>
      <c r="E37" s="12" t="s">
        <v>38</v>
      </c>
      <c r="F37" s="12" t="s">
        <v>39</v>
      </c>
    </row>
    <row r="38" customFormat="false" ht="15" hidden="false" customHeight="false" outlineLevel="0" collapsed="false">
      <c r="B38" s="0" t="n">
        <v>1</v>
      </c>
      <c r="C38" s="0" t="s">
        <v>59</v>
      </c>
      <c r="F38" s="13" t="s">
        <v>41</v>
      </c>
    </row>
    <row r="39" customFormat="false" ht="15" hidden="false" customHeight="false" outlineLevel="0" collapsed="false">
      <c r="B39" s="0" t="n">
        <v>2</v>
      </c>
      <c r="C39" s="0" t="s">
        <v>60</v>
      </c>
      <c r="F39" s="13" t="s">
        <v>41</v>
      </c>
    </row>
    <row r="40" customFormat="false" ht="15" hidden="false" customHeight="false" outlineLevel="0" collapsed="false">
      <c r="B40" s="0" t="n">
        <v>3</v>
      </c>
      <c r="C40" s="0" t="s">
        <v>61</v>
      </c>
      <c r="F40" s="13" t="s">
        <v>41</v>
      </c>
    </row>
    <row r="41" customFormat="false" ht="15" hidden="false" customHeight="false" outlineLevel="0" collapsed="false">
      <c r="B41" s="0" t="n">
        <v>4</v>
      </c>
      <c r="C41" s="0" t="s">
        <v>62</v>
      </c>
      <c r="F41" s="13" t="s">
        <v>41</v>
      </c>
    </row>
    <row r="42" customFormat="false" ht="15" hidden="false" customHeight="false" outlineLevel="0" collapsed="false">
      <c r="B42" s="0" t="n">
        <v>5</v>
      </c>
      <c r="C42" s="0" t="s">
        <v>63</v>
      </c>
      <c r="F42" s="13" t="s">
        <v>41</v>
      </c>
    </row>
    <row r="44" customFormat="false" ht="15" hidden="false" customHeight="false" outlineLevel="0" collapsed="false">
      <c r="B44" s="11" t="s">
        <v>64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35</v>
      </c>
      <c r="C45" s="12" t="s">
        <v>36</v>
      </c>
      <c r="D45" s="12" t="s">
        <v>37</v>
      </c>
      <c r="E45" s="12" t="s">
        <v>38</v>
      </c>
      <c r="F45" s="12" t="s">
        <v>39</v>
      </c>
    </row>
    <row r="46" customFormat="false" ht="15" hidden="false" customHeight="false" outlineLevel="0" collapsed="false">
      <c r="B46" s="0" t="n">
        <v>1</v>
      </c>
      <c r="C46" s="0" t="s">
        <v>65</v>
      </c>
      <c r="F46" s="13" t="s">
        <v>41</v>
      </c>
    </row>
    <row r="47" customFormat="false" ht="15" hidden="false" customHeight="false" outlineLevel="0" collapsed="false">
      <c r="B47" s="0" t="n">
        <v>2</v>
      </c>
      <c r="C47" s="0" t="s">
        <v>66</v>
      </c>
      <c r="F47" s="13" t="s">
        <v>41</v>
      </c>
    </row>
    <row r="48" customFormat="false" ht="15" hidden="false" customHeight="false" outlineLevel="0" collapsed="false">
      <c r="B48" s="0" t="n">
        <v>3</v>
      </c>
      <c r="C48" s="0" t="s">
        <v>67</v>
      </c>
      <c r="F48" s="13" t="s">
        <v>41</v>
      </c>
    </row>
    <row r="49" customFormat="false" ht="15" hidden="false" customHeight="false" outlineLevel="0" collapsed="false">
      <c r="B49" s="0" t="n">
        <v>4</v>
      </c>
      <c r="C49" s="0" t="s">
        <v>68</v>
      </c>
      <c r="F49" s="13" t="s">
        <v>41</v>
      </c>
    </row>
    <row r="50" customFormat="false" ht="15" hidden="false" customHeight="false" outlineLevel="0" collapsed="false">
      <c r="B50" s="0" t="n">
        <v>5</v>
      </c>
      <c r="C50" s="0" t="s">
        <v>69</v>
      </c>
      <c r="F50" s="13" t="s">
        <v>41</v>
      </c>
    </row>
    <row r="52" customFormat="false" ht="15" hidden="false" customHeight="false" outlineLevel="0" collapsed="false">
      <c r="B52" s="11" t="s">
        <v>70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35</v>
      </c>
      <c r="C53" s="12" t="s">
        <v>36</v>
      </c>
      <c r="D53" s="12" t="s">
        <v>37</v>
      </c>
      <c r="E53" s="12" t="s">
        <v>38</v>
      </c>
      <c r="F53" s="12" t="s">
        <v>39</v>
      </c>
    </row>
    <row r="54" customFormat="false" ht="15" hidden="false" customHeight="false" outlineLevel="0" collapsed="false">
      <c r="B54" s="0" t="n">
        <v>1</v>
      </c>
      <c r="C54" s="0" t="s">
        <v>71</v>
      </c>
      <c r="F54" s="13" t="s">
        <v>41</v>
      </c>
    </row>
    <row r="55" customFormat="false" ht="15" hidden="false" customHeight="false" outlineLevel="0" collapsed="false">
      <c r="B55" s="0" t="n">
        <v>2</v>
      </c>
      <c r="C55" s="0" t="s">
        <v>72</v>
      </c>
      <c r="F55" s="13" t="s">
        <v>41</v>
      </c>
    </row>
    <row r="56" customFormat="false" ht="15" hidden="false" customHeight="false" outlineLevel="0" collapsed="false">
      <c r="B56" s="0" t="n">
        <v>3</v>
      </c>
      <c r="C56" s="0" t="s">
        <v>73</v>
      </c>
      <c r="F56" s="13" t="s">
        <v>41</v>
      </c>
    </row>
    <row r="57" customFormat="false" ht="15" hidden="false" customHeight="false" outlineLevel="0" collapsed="false">
      <c r="B57" s="0" t="n">
        <v>4</v>
      </c>
      <c r="C57" s="0" t="s">
        <v>74</v>
      </c>
      <c r="F57" s="13" t="s">
        <v>41</v>
      </c>
    </row>
    <row r="58" customFormat="false" ht="15" hidden="false" customHeight="false" outlineLevel="0" collapsed="false">
      <c r="B58" s="0" t="n">
        <v>5</v>
      </c>
      <c r="C58" s="0" t="s">
        <v>75</v>
      </c>
      <c r="F58" s="13" t="s">
        <v>41</v>
      </c>
    </row>
    <row r="60" customFormat="false" ht="15" hidden="false" customHeight="false" outlineLevel="0" collapsed="false">
      <c r="B60" s="11" t="s">
        <v>76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77</v>
      </c>
      <c r="C61" s="12" t="s">
        <v>78</v>
      </c>
      <c r="D61" s="12" t="s">
        <v>79</v>
      </c>
      <c r="E61" s="12" t="s">
        <v>80</v>
      </c>
      <c r="F61" s="12" t="s">
        <v>81</v>
      </c>
    </row>
    <row r="62" customFormat="false" ht="15" hidden="false" customHeight="false" outlineLevel="0" collapsed="false">
      <c r="B62" s="0" t="s">
        <v>82</v>
      </c>
      <c r="C62" s="0" t="s">
        <v>83</v>
      </c>
      <c r="D62" s="0" t="s">
        <v>84</v>
      </c>
      <c r="E62" s="0" t="s">
        <v>85</v>
      </c>
    </row>
    <row r="63" customFormat="false" ht="15" hidden="false" customHeight="false" outlineLevel="0" collapsed="false">
      <c r="B63" s="0" t="s">
        <v>86</v>
      </c>
      <c r="C63" s="0" t="s">
        <v>87</v>
      </c>
      <c r="D63" s="0" t="s">
        <v>88</v>
      </c>
      <c r="E63" s="0" t="s">
        <v>85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89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90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39</v>
      </c>
      <c r="I4" s="12" t="s">
        <v>96</v>
      </c>
    </row>
    <row r="5" customFormat="false" ht="15" hidden="false" customHeight="false" outlineLevel="0" collapsed="false">
      <c r="D5" s="0" t="s">
        <v>65</v>
      </c>
      <c r="H5" s="13" t="s">
        <v>41</v>
      </c>
    </row>
    <row r="6" customFormat="false" ht="15" hidden="false" customHeight="false" outlineLevel="0" collapsed="false">
      <c r="D6" s="0" t="s">
        <v>66</v>
      </c>
      <c r="H6" s="13" t="s">
        <v>41</v>
      </c>
    </row>
    <row r="7" customFormat="false" ht="15" hidden="false" customHeight="false" outlineLevel="0" collapsed="false">
      <c r="D7" s="0" t="s">
        <v>67</v>
      </c>
      <c r="H7" s="13" t="s">
        <v>41</v>
      </c>
    </row>
    <row r="8" customFormat="false" ht="15" hidden="false" customHeight="false" outlineLevel="0" collapsed="false">
      <c r="D8" s="0" t="s">
        <v>68</v>
      </c>
      <c r="H8" s="13" t="s">
        <v>41</v>
      </c>
    </row>
    <row r="9" customFormat="false" ht="15" hidden="false" customHeight="false" outlineLevel="0" collapsed="false">
      <c r="D9" s="0" t="s">
        <v>69</v>
      </c>
      <c r="H9" s="13" t="s">
        <v>41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97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102</v>
      </c>
      <c r="G4" s="12" t="s">
        <v>37</v>
      </c>
      <c r="H4" s="12" t="s">
        <v>103</v>
      </c>
      <c r="I4" s="12" t="s">
        <v>104</v>
      </c>
      <c r="J4" s="12" t="s">
        <v>39</v>
      </c>
    </row>
    <row r="5" customFormat="false" ht="15" hidden="false" customHeight="false" outlineLevel="0" collapsed="false">
      <c r="B5" s="0" t="s">
        <v>105</v>
      </c>
      <c r="C5" s="0" t="s">
        <v>106</v>
      </c>
      <c r="D5" s="0" t="s">
        <v>107</v>
      </c>
      <c r="J5" s="13" t="s">
        <v>108</v>
      </c>
    </row>
    <row r="6" customFormat="false" ht="15" hidden="false" customHeight="false" outlineLevel="0" collapsed="false">
      <c r="B6" s="0" t="s">
        <v>109</v>
      </c>
      <c r="C6" s="0" t="s">
        <v>110</v>
      </c>
      <c r="D6" s="0" t="s">
        <v>111</v>
      </c>
      <c r="J6" s="13" t="s">
        <v>108</v>
      </c>
    </row>
    <row r="7" customFormat="false" ht="15" hidden="false" customHeight="false" outlineLevel="0" collapsed="false">
      <c r="B7" s="0" t="s">
        <v>112</v>
      </c>
      <c r="C7" s="0" t="s">
        <v>113</v>
      </c>
      <c r="D7" s="0" t="s">
        <v>114</v>
      </c>
      <c r="J7" s="13" t="s">
        <v>108</v>
      </c>
    </row>
    <row r="8" customFormat="false" ht="15" hidden="false" customHeight="false" outlineLevel="0" collapsed="false">
      <c r="B8" s="0" t="s">
        <v>115</v>
      </c>
      <c r="C8" s="0" t="s">
        <v>116</v>
      </c>
      <c r="D8" s="0" t="s">
        <v>117</v>
      </c>
      <c r="J8" s="13" t="s">
        <v>108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A4" s="14"/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</row>
    <row r="5" customFormat="false" ht="15" hidden="false" customHeight="false" outlineLevel="0" collapsed="false">
      <c r="B5" s="4" t="s">
        <v>126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6" t="s">
        <v>127</v>
      </c>
    </row>
    <row r="6" customFormat="false" ht="15" hidden="false" customHeight="false" outlineLevel="0" collapsed="false">
      <c r="B6" s="4" t="s">
        <v>128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6" t="s">
        <v>127</v>
      </c>
    </row>
    <row r="7" customFormat="false" ht="15" hidden="false" customHeight="false" outlineLevel="0" collapsed="false">
      <c r="B7" s="4" t="s">
        <v>129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6" t="s">
        <v>127</v>
      </c>
    </row>
    <row r="8" customFormat="false" ht="15" hidden="false" customHeight="false" outlineLevel="0" collapsed="false">
      <c r="B8" s="4" t="s">
        <v>130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6" t="s">
        <v>127</v>
      </c>
    </row>
    <row r="9" customFormat="false" ht="15" hidden="false" customHeight="false" outlineLevel="0" collapsed="false">
      <c r="B9" s="4" t="s">
        <v>131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6" t="s">
        <v>127</v>
      </c>
    </row>
    <row r="10" customFormat="false" ht="15" hidden="false" customHeight="false" outlineLevel="0" collapsed="false">
      <c r="B10" s="4" t="s">
        <v>132</v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6" t="s">
        <v>127</v>
      </c>
    </row>
    <row r="11" customFormat="false" ht="15" hidden="false" customHeight="false" outlineLevel="0" collapsed="false">
      <c r="B11" s="4" t="s">
        <v>133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6" t="s">
        <v>127</v>
      </c>
    </row>
    <row r="12" customFormat="false" ht="15" hidden="false" customHeight="false" outlineLevel="0" collapsed="false">
      <c r="B12" s="4" t="s">
        <v>134</v>
      </c>
      <c r="C12" s="18" t="n">
        <f aca="false">'Cap Table &amp; Dilution'!E19</f>
        <v>160</v>
      </c>
      <c r="D12" s="18" t="n">
        <f aca="false">'Cap Table &amp; Dilution'!E19</f>
        <v>160</v>
      </c>
      <c r="E12" s="18" t="n">
        <f aca="false">'Cap Table &amp; Dilution'!E19</f>
        <v>160</v>
      </c>
      <c r="F12" s="18" t="n">
        <f aca="false">'Cap Table &amp; Dilution'!E19</f>
        <v>160</v>
      </c>
      <c r="G12" s="18" t="n">
        <f aca="false">'Cap Table &amp; Dilution'!E19</f>
        <v>160</v>
      </c>
      <c r="H12" s="16" t="s">
        <v>127</v>
      </c>
    </row>
    <row r="13" customFormat="false" ht="15" hidden="false" customHeight="false" outlineLevel="0" collapsed="false">
      <c r="B13" s="4" t="s">
        <v>135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6" t="s">
        <v>127</v>
      </c>
    </row>
    <row r="14" customFormat="false" ht="15" hidden="false" customHeight="false" outlineLevel="0" collapsed="false">
      <c r="B14" s="4" t="s">
        <v>136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46"/>
  </cols>
  <sheetData>
    <row r="2" customFormat="false" ht="19.7" hidden="false" customHeight="false" outlineLevel="0" collapsed="false">
      <c r="B2" s="1" t="s">
        <v>137</v>
      </c>
    </row>
    <row r="3" customFormat="false" ht="15" hidden="false" customHeight="false" outlineLevel="0" collapsed="false">
      <c r="B3" s="0" t="s">
        <v>138</v>
      </c>
      <c r="C3" s="19" t="s">
        <v>139</v>
      </c>
    </row>
    <row r="4" customFormat="false" ht="15" hidden="false" customHeight="false" outlineLevel="0" collapsed="false">
      <c r="B4" s="14" t="s">
        <v>140</v>
      </c>
      <c r="C4" s="14" t="s">
        <v>139</v>
      </c>
      <c r="D4" s="14" t="s">
        <v>141</v>
      </c>
      <c r="E4" s="14" t="s">
        <v>142</v>
      </c>
      <c r="F4" s="14" t="s">
        <v>143</v>
      </c>
    </row>
    <row r="5" customFormat="false" ht="15" hidden="false" customHeight="false" outlineLevel="0" collapsed="false">
      <c r="B5" s="0" t="s">
        <v>144</v>
      </c>
      <c r="C5" s="20" t="n">
        <v>100</v>
      </c>
      <c r="D5" s="20" t="n">
        <v>100</v>
      </c>
      <c r="E5" s="21" t="n">
        <f aca="false">IF($C$3="Adversarial",D5,C5)</f>
        <v>100</v>
      </c>
      <c r="F5" s="13" t="s">
        <v>145</v>
      </c>
    </row>
    <row r="6" customFormat="false" ht="15" hidden="false" customHeight="false" outlineLevel="0" collapsed="false">
      <c r="B6" s="0" t="s">
        <v>146</v>
      </c>
      <c r="C6" s="20" t="n">
        <v>5</v>
      </c>
      <c r="D6" s="20" t="n">
        <v>20</v>
      </c>
      <c r="E6" s="21" t="n">
        <f aca="false">IF($C$3="Adversarial",D6,C6)</f>
        <v>5</v>
      </c>
      <c r="F6" s="13" t="s">
        <v>147</v>
      </c>
    </row>
    <row r="7" customFormat="false" ht="15" hidden="false" customHeight="false" outlineLevel="0" collapsed="false">
      <c r="B7" s="0" t="s">
        <v>148</v>
      </c>
      <c r="C7" s="20" t="n">
        <v>20</v>
      </c>
      <c r="D7" s="20" t="n">
        <v>150</v>
      </c>
      <c r="E7" s="21" t="n">
        <f aca="false">IF($C$3="Adversarial",D7,C7)</f>
        <v>20</v>
      </c>
      <c r="F7" s="13" t="s">
        <v>149</v>
      </c>
    </row>
    <row r="8" customFormat="false" ht="15" hidden="false" customHeight="false" outlineLevel="0" collapsed="false">
      <c r="B8" s="0" t="s">
        <v>150</v>
      </c>
      <c r="C8" s="20" t="n">
        <v>25</v>
      </c>
      <c r="D8" s="20" t="n">
        <v>100</v>
      </c>
      <c r="E8" s="21" t="n">
        <f aca="false">IF($C$3="Adversarial",D8,C8)</f>
        <v>25</v>
      </c>
      <c r="F8" s="13" t="s">
        <v>151</v>
      </c>
    </row>
    <row r="9" customFormat="false" ht="15" hidden="false" customHeight="false" outlineLevel="0" collapsed="false">
      <c r="B9" s="0" t="s">
        <v>152</v>
      </c>
      <c r="C9" s="22" t="n">
        <v>100</v>
      </c>
      <c r="D9" s="22" t="n">
        <v>500</v>
      </c>
      <c r="E9" s="23" t="n">
        <f aca="false">IF($C$3="Adversarial",D9,C9)</f>
        <v>100</v>
      </c>
      <c r="F9" s="13" t="s">
        <v>153</v>
      </c>
    </row>
    <row r="10" customFormat="false" ht="15" hidden="false" customHeight="false" outlineLevel="0" collapsed="false">
      <c r="B10" s="0" t="s">
        <v>154</v>
      </c>
      <c r="C10" s="24" t="n">
        <v>10</v>
      </c>
      <c r="D10" s="24" t="n">
        <v>5</v>
      </c>
      <c r="E10" s="25" t="n">
        <f aca="false">IF($C$3="Adversarial",D10,C10)</f>
        <v>10</v>
      </c>
      <c r="F10" s="13" t="s">
        <v>155</v>
      </c>
    </row>
    <row r="11" customFormat="false" ht="15" hidden="false" customHeight="false" outlineLevel="0" collapsed="false">
      <c r="B11" s="0" t="s">
        <v>156</v>
      </c>
      <c r="C11" s="24" t="n">
        <v>11</v>
      </c>
      <c r="D11" s="24" t="n">
        <v>4</v>
      </c>
      <c r="E11" s="25" t="n">
        <f aca="false">IF($C$3="Adversarial",D11,C11)</f>
        <v>11</v>
      </c>
      <c r="F11" s="13" t="s">
        <v>157</v>
      </c>
    </row>
    <row r="12" customFormat="false" ht="15" hidden="false" customHeight="false" outlineLevel="0" collapsed="false">
      <c r="B12" s="0" t="s">
        <v>158</v>
      </c>
      <c r="C12" s="22" t="n">
        <v>5</v>
      </c>
      <c r="D12" s="22" t="n">
        <v>20</v>
      </c>
      <c r="E12" s="23" t="n">
        <f aca="false">IF($C$3="Adversarial",D12,C12)</f>
        <v>5</v>
      </c>
      <c r="F12" s="13" t="s">
        <v>159</v>
      </c>
    </row>
    <row r="13" customFormat="false" ht="15" hidden="false" customHeight="false" outlineLevel="0" collapsed="false">
      <c r="B13" s="0" t="s">
        <v>160</v>
      </c>
      <c r="C13" s="15" t="n">
        <v>0.35</v>
      </c>
      <c r="D13" s="15" t="n">
        <v>0.35</v>
      </c>
      <c r="E13" s="26" t="n">
        <f aca="false">IF($C$3="Adversarial",D13,C13)</f>
        <v>0.35</v>
      </c>
      <c r="F13" s="13" t="s">
        <v>161</v>
      </c>
    </row>
    <row r="14" customFormat="false" ht="15" hidden="false" customHeight="false" outlineLevel="0" collapsed="false">
      <c r="B14" s="0" t="s">
        <v>162</v>
      </c>
      <c r="C14" s="15" t="n">
        <v>0.1</v>
      </c>
      <c r="D14" s="15" t="n">
        <v>0.1</v>
      </c>
      <c r="E14" s="26" t="n">
        <f aca="false">IF($C$3="Adversarial",D14,C14)</f>
        <v>0.1</v>
      </c>
      <c r="F14" s="13" t="s">
        <v>163</v>
      </c>
    </row>
    <row r="17" customFormat="false" ht="15" hidden="false" customHeight="false" outlineLevel="0" collapsed="false">
      <c r="B17" s="27" t="s">
        <v>164</v>
      </c>
    </row>
    <row r="18" customFormat="false" ht="15" hidden="false" customHeight="false" outlineLevel="0" collapsed="false">
      <c r="B18" s="0" t="s">
        <v>165</v>
      </c>
      <c r="E18" s="21" t="n">
        <f aca="false">IFERROR(E9/E10,0)</f>
        <v>10</v>
      </c>
    </row>
    <row r="19" customFormat="false" ht="15" hidden="false" customHeight="false" outlineLevel="0" collapsed="false">
      <c r="B19" s="0" t="s">
        <v>166</v>
      </c>
      <c r="E19" s="21" t="n">
        <f aca="false">SUM(E5:E8)+E18</f>
        <v>160</v>
      </c>
    </row>
    <row r="20" customFormat="false" ht="15" hidden="false" customHeight="false" outlineLevel="0" collapsed="false">
      <c r="B20" s="0" t="s">
        <v>167</v>
      </c>
      <c r="E20" s="26" t="n">
        <f aca="false">IFERROR(E5/E19,0)</f>
        <v>0.625</v>
      </c>
    </row>
    <row r="21" customFormat="false" ht="15" hidden="false" customHeight="false" outlineLevel="0" collapsed="false">
      <c r="B21" s="0" t="s">
        <v>168</v>
      </c>
      <c r="E21" s="26" t="n">
        <f aca="false">1-E20</f>
        <v>0.375</v>
      </c>
    </row>
    <row r="22" customFormat="false" ht="15" hidden="false" customHeight="false" outlineLevel="0" collapsed="false">
      <c r="B22" s="0" t="s">
        <v>169</v>
      </c>
      <c r="E22" s="26" t="n">
        <f aca="false">IFERROR(E6/E19,0)</f>
        <v>0.03125</v>
      </c>
    </row>
    <row r="23" customFormat="false" ht="15" hidden="false" customHeight="false" outlineLevel="0" collapsed="false">
      <c r="B23" s="0" t="s">
        <v>170</v>
      </c>
      <c r="E23" s="23" t="n">
        <f aca="false">E7*E11</f>
        <v>220</v>
      </c>
    </row>
    <row r="24" customFormat="false" ht="15" hidden="false" customHeight="false" outlineLevel="0" collapsed="false">
      <c r="B24" s="0" t="s">
        <v>171</v>
      </c>
      <c r="E24" s="23" t="n">
        <f aca="false">E23-E12</f>
        <v>215</v>
      </c>
    </row>
    <row r="25" customFormat="false" ht="15" hidden="false" customHeight="false" outlineLevel="0" collapsed="false">
      <c r="B25" s="0" t="s">
        <v>172</v>
      </c>
      <c r="E25" s="21" t="n">
        <f aca="false">E19-E5-E6-E7-E8-E18</f>
        <v>0</v>
      </c>
    </row>
    <row r="27" customFormat="false" ht="15" hidden="false" customHeight="false" outlineLevel="0" collapsed="false">
      <c r="B27" s="2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174</v>
      </c>
    </row>
    <row r="4" customFormat="false" ht="15" hidden="false" customHeight="false" outlineLevel="0" collapsed="false">
      <c r="B4" s="14" t="s">
        <v>140</v>
      </c>
      <c r="C4" s="14" t="s">
        <v>139</v>
      </c>
      <c r="D4" s="14" t="s">
        <v>141</v>
      </c>
      <c r="E4" s="14" t="s">
        <v>175</v>
      </c>
    </row>
    <row r="5" customFormat="false" ht="15" hidden="false" customHeight="false" outlineLevel="0" collapsed="false">
      <c r="B5" s="0" t="s">
        <v>176</v>
      </c>
      <c r="C5" s="21" t="n">
        <f aca="false">'Cap Table &amp; Dilution'!C5</f>
        <v>100</v>
      </c>
      <c r="D5" s="21" t="n">
        <f aca="false">'Cap Table &amp; Dilution'!D5</f>
        <v>100</v>
      </c>
      <c r="E5" s="13" t="s">
        <v>177</v>
      </c>
    </row>
    <row r="6" customFormat="false" ht="15" hidden="false" customHeight="false" outlineLevel="0" collapsed="false">
      <c r="B6" s="0" t="s">
        <v>178</v>
      </c>
      <c r="C6" s="21" t="n">
        <f aca="false">'Cap Table &amp; Dilution'!C8</f>
        <v>25</v>
      </c>
      <c r="D6" s="21" t="n">
        <f aca="false">'Cap Table &amp; Dilution'!D8</f>
        <v>100</v>
      </c>
      <c r="E6" s="13" t="s">
        <v>179</v>
      </c>
    </row>
    <row r="7" customFormat="false" ht="15" hidden="false" customHeight="false" outlineLevel="0" collapsed="false">
      <c r="B7" s="0" t="s">
        <v>180</v>
      </c>
      <c r="C7" s="24" t="n">
        <v>12</v>
      </c>
      <c r="D7" s="24" t="n">
        <v>10</v>
      </c>
      <c r="E7" s="13" t="s">
        <v>181</v>
      </c>
    </row>
    <row r="8" customFormat="false" ht="15" hidden="false" customHeight="false" outlineLevel="0" collapsed="false">
      <c r="B8" s="0" t="s">
        <v>182</v>
      </c>
      <c r="C8" s="24" t="n">
        <v>9</v>
      </c>
      <c r="D8" s="24" t="n">
        <v>3</v>
      </c>
      <c r="E8" s="13" t="s">
        <v>183</v>
      </c>
    </row>
    <row r="9" customFormat="false" ht="15" hidden="false" customHeight="false" outlineLevel="0" collapsed="false">
      <c r="B9" s="0" t="s">
        <v>184</v>
      </c>
      <c r="C9" s="15" t="n">
        <v>0.9</v>
      </c>
      <c r="D9" s="15" t="n">
        <v>0.45</v>
      </c>
      <c r="E9" s="13" t="s">
        <v>185</v>
      </c>
    </row>
    <row r="10" customFormat="false" ht="15" hidden="false" customHeight="false" outlineLevel="0" collapsed="false">
      <c r="B10" s="0" t="s">
        <v>186</v>
      </c>
      <c r="C10" s="15" t="n">
        <v>0.02</v>
      </c>
      <c r="D10" s="15" t="n">
        <v>0.08</v>
      </c>
      <c r="E10" s="13" t="s">
        <v>187</v>
      </c>
    </row>
    <row r="13" customFormat="false" ht="15" hidden="false" customHeight="false" outlineLevel="0" collapsed="false">
      <c r="B13" s="0" t="s">
        <v>188</v>
      </c>
      <c r="C13" s="23" t="n">
        <f aca="false">IFERROR((C5*C7+C6*C8)/(C5+C6),0)</f>
        <v>11.4</v>
      </c>
      <c r="D13" s="23" t="n">
        <f aca="false">IFERROR((D5*D7+D6*D8)/(D5+D6),0)</f>
        <v>6.5</v>
      </c>
    </row>
    <row r="14" customFormat="false" ht="15" hidden="false" customHeight="false" outlineLevel="0" collapsed="false">
      <c r="B14" s="0" t="s">
        <v>189</v>
      </c>
      <c r="C14" s="23" t="n">
        <f aca="false">C7-C13</f>
        <v>0.6</v>
      </c>
      <c r="D14" s="23" t="n">
        <f aca="false">D7-D13</f>
        <v>3.5</v>
      </c>
    </row>
    <row r="15" customFormat="false" ht="15" hidden="false" customHeight="false" outlineLevel="0" collapsed="false">
      <c r="B15" s="0" t="s">
        <v>190</v>
      </c>
      <c r="C15" s="26" t="n">
        <f aca="false">IFERROR(1-C8/C7,0)</f>
        <v>0.25</v>
      </c>
      <c r="D15" s="26" t="n">
        <f aca="false">IFERROR(1-D8/D7,0)</f>
        <v>0.7</v>
      </c>
    </row>
    <row r="16" customFormat="false" ht="15" hidden="false" customHeight="false" outlineLevel="0" collapsed="false">
      <c r="B16" s="0" t="s">
        <v>191</v>
      </c>
      <c r="C16" s="21" t="n">
        <f aca="false">C6*C9</f>
        <v>22.5</v>
      </c>
      <c r="D16" s="21" t="n">
        <f aca="false">D6*D9</f>
        <v>45</v>
      </c>
    </row>
    <row r="17" customFormat="false" ht="15" hidden="false" customHeight="false" outlineLevel="0" collapsed="false">
      <c r="B17" s="0" t="s">
        <v>192</v>
      </c>
      <c r="C17" s="23" t="n">
        <f aca="false">C16*C8</f>
        <v>202.5</v>
      </c>
      <c r="D17" s="23" t="n">
        <f aca="false">D16*D8</f>
        <v>135</v>
      </c>
    </row>
    <row r="18" customFormat="false" ht="15" hidden="false" customHeight="false" outlineLevel="0" collapsed="false">
      <c r="B18" s="0" t="s">
        <v>193</v>
      </c>
      <c r="C18" s="23" t="n">
        <f aca="false">(C6-C16)*C8*C10</f>
        <v>0.45</v>
      </c>
      <c r="D18" s="23" t="n">
        <f aca="false">(D6-D16)*D8*D10</f>
        <v>13.2</v>
      </c>
    </row>
    <row r="19" customFormat="false" ht="15" hidden="false" customHeight="false" outlineLevel="0" collapsed="false">
      <c r="B19" s="0" t="s">
        <v>194</v>
      </c>
      <c r="C19" s="23" t="n">
        <f aca="false">C17-C18</f>
        <v>202.05</v>
      </c>
      <c r="D19" s="23" t="n">
        <f aca="false">D17-D18</f>
        <v>121.8</v>
      </c>
    </row>
    <row r="21" customFormat="false" ht="15" hidden="false" customHeight="false" outlineLevel="0" collapsed="false">
      <c r="B21" s="28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196</v>
      </c>
    </row>
    <row r="4" customFormat="false" ht="15" hidden="false" customHeight="false" outlineLevel="0" collapsed="false">
      <c r="B4" s="14" t="s">
        <v>140</v>
      </c>
      <c r="C4" s="14" t="s">
        <v>139</v>
      </c>
      <c r="D4" s="14" t="s">
        <v>141</v>
      </c>
      <c r="E4" s="14" t="s">
        <v>175</v>
      </c>
    </row>
    <row r="5" customFormat="false" ht="15" hidden="false" customHeight="false" outlineLevel="0" collapsed="false">
      <c r="B5" s="0" t="s">
        <v>197</v>
      </c>
      <c r="C5" s="23" t="n">
        <f aca="false">'Cap Table &amp; Dilution'!C9</f>
        <v>100</v>
      </c>
      <c r="D5" s="23" t="n">
        <f aca="false">'Cap Table &amp; Dilution'!D9</f>
        <v>500</v>
      </c>
      <c r="E5" s="13" t="s">
        <v>198</v>
      </c>
    </row>
    <row r="6" customFormat="false" ht="15" hidden="false" customHeight="false" outlineLevel="0" collapsed="false">
      <c r="B6" s="0" t="s">
        <v>154</v>
      </c>
      <c r="C6" s="25" t="n">
        <f aca="false">'Cap Table &amp; Dilution'!C10</f>
        <v>10</v>
      </c>
      <c r="D6" s="25" t="n">
        <f aca="false">'Cap Table &amp; Dilution'!D10</f>
        <v>5</v>
      </c>
      <c r="E6" s="13" t="s">
        <v>199</v>
      </c>
    </row>
    <row r="7" customFormat="false" ht="15" hidden="false" customHeight="false" outlineLevel="0" collapsed="false">
      <c r="B7" s="0" t="s">
        <v>200</v>
      </c>
      <c r="C7" s="24" t="n">
        <v>12</v>
      </c>
      <c r="D7" s="24" t="n">
        <v>4</v>
      </c>
      <c r="E7" s="13" t="s">
        <v>201</v>
      </c>
    </row>
    <row r="8" customFormat="false" ht="15" hidden="false" customHeight="false" outlineLevel="0" collapsed="false">
      <c r="B8" s="0" t="s">
        <v>202</v>
      </c>
      <c r="C8" s="15" t="n">
        <v>0.04</v>
      </c>
      <c r="D8" s="15" t="n">
        <v>0.08</v>
      </c>
      <c r="E8" s="13" t="s">
        <v>203</v>
      </c>
    </row>
    <row r="9" customFormat="false" ht="15" hidden="false" customHeight="false" outlineLevel="0" collapsed="false">
      <c r="B9" s="0" t="s">
        <v>204</v>
      </c>
      <c r="C9" s="29" t="n">
        <v>3</v>
      </c>
      <c r="D9" s="29" t="n">
        <v>1</v>
      </c>
      <c r="E9" s="13" t="s">
        <v>205</v>
      </c>
    </row>
    <row r="10" customFormat="false" ht="15" hidden="false" customHeight="false" outlineLevel="0" collapsed="false">
      <c r="B10" s="0" t="s">
        <v>206</v>
      </c>
      <c r="C10" s="15" t="n">
        <v>0.05</v>
      </c>
      <c r="D10" s="15" t="n">
        <v>0.15</v>
      </c>
      <c r="E10" s="13" t="s">
        <v>207</v>
      </c>
    </row>
    <row r="11" customFormat="false" ht="15" hidden="false" customHeight="false" outlineLevel="0" collapsed="false">
      <c r="B11" s="0" t="s">
        <v>208</v>
      </c>
      <c r="C11" s="24" t="n">
        <v>9.5</v>
      </c>
      <c r="D11" s="24" t="n">
        <v>3.5</v>
      </c>
      <c r="E11" s="13" t="s">
        <v>209</v>
      </c>
    </row>
    <row r="14" customFormat="false" ht="15" hidden="false" customHeight="false" outlineLevel="0" collapsed="false">
      <c r="B14" s="0" t="s">
        <v>210</v>
      </c>
      <c r="C14" s="21" t="n">
        <f aca="false">IFERROR(C5/C6,0)</f>
        <v>10</v>
      </c>
      <c r="D14" s="21" t="n">
        <f aca="false">IFERROR(D5/D6,0)</f>
        <v>100</v>
      </c>
    </row>
    <row r="15" customFormat="false" ht="15" hidden="false" customHeight="false" outlineLevel="0" collapsed="false">
      <c r="B15" s="0" t="s">
        <v>211</v>
      </c>
      <c r="C15" s="21" t="n">
        <f aca="false">IFERROR(C5/C11,0)</f>
        <v>10.5263157894737</v>
      </c>
      <c r="D15" s="21" t="n">
        <f aca="false">IFERROR(D5/D11,0)</f>
        <v>142.857142857143</v>
      </c>
    </row>
    <row r="16" customFormat="false" ht="15" hidden="false" customHeight="false" outlineLevel="0" collapsed="false">
      <c r="B16" s="0" t="s">
        <v>212</v>
      </c>
      <c r="C16" s="23" t="n">
        <f aca="false">C14*C7</f>
        <v>120</v>
      </c>
      <c r="D16" s="23" t="n">
        <f aca="false">D14*D7</f>
        <v>400</v>
      </c>
    </row>
    <row r="17" customFormat="false" ht="15" hidden="false" customHeight="false" outlineLevel="0" collapsed="false">
      <c r="B17" s="0" t="s">
        <v>213</v>
      </c>
      <c r="C17" s="23" t="n">
        <f aca="false">C5*(1+C10)</f>
        <v>105</v>
      </c>
      <c r="D17" s="23" t="n">
        <f aca="false">D5*(1+D10)</f>
        <v>575</v>
      </c>
    </row>
    <row r="18" customFormat="false" ht="15" hidden="false" customHeight="false" outlineLevel="0" collapsed="false">
      <c r="B18" s="0" t="s">
        <v>214</v>
      </c>
      <c r="C18" s="30" t="n">
        <f aca="false">IFERROR(C16/C5,0)</f>
        <v>1.2</v>
      </c>
      <c r="D18" s="30" t="n">
        <f aca="false">IFERROR(D16/D5,0)</f>
        <v>0.8</v>
      </c>
    </row>
    <row r="19" customFormat="false" ht="15" hidden="false" customHeight="false" outlineLevel="0" collapsed="false">
      <c r="B19" s="0" t="s">
        <v>215</v>
      </c>
      <c r="C19" s="21" t="n">
        <f aca="false">C15-C14</f>
        <v>0.526315789473685</v>
      </c>
      <c r="D19" s="21" t="n">
        <f aca="false">D15-D14</f>
        <v>42.8571428571429</v>
      </c>
    </row>
    <row r="20" customFormat="false" ht="15" hidden="false" customHeight="false" outlineLevel="0" collapsed="false">
      <c r="B20" s="0" t="s">
        <v>216</v>
      </c>
      <c r="C20" s="23" t="n">
        <f aca="false">C5*C8</f>
        <v>4</v>
      </c>
      <c r="D20" s="23" t="n">
        <f aca="false">D5*D8</f>
        <v>40</v>
      </c>
    </row>
    <row r="22" customFormat="false" ht="15" hidden="false" customHeight="false" outlineLevel="0" collapsed="false">
      <c r="B22" s="28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8"/>
    <col collapsed="false" customWidth="true" hidden="false" outlineLevel="0" max="5" min="5" style="0" width="52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14" t="s">
        <v>219</v>
      </c>
      <c r="C4" s="14" t="s">
        <v>140</v>
      </c>
      <c r="D4" s="14" t="s">
        <v>39</v>
      </c>
      <c r="E4" s="14" t="s">
        <v>220</v>
      </c>
    </row>
    <row r="5" customFormat="false" ht="15" hidden="false" customHeight="false" outlineLevel="0" collapsed="false">
      <c r="B5" s="0" t="s">
        <v>172</v>
      </c>
      <c r="C5" s="21" t="n">
        <f aca="false">'Cap Table &amp; Dilution'!E25</f>
        <v>0</v>
      </c>
      <c r="D5" s="31" t="str">
        <f aca="false">IF(ABS(C5)&lt;0.000001,"PASS","FAIL")</f>
        <v>PASS</v>
      </c>
      <c r="E5" s="13" t="s">
        <v>221</v>
      </c>
    </row>
    <row r="6" customFormat="false" ht="15" hidden="false" customHeight="false" outlineLevel="0" collapsed="false">
      <c r="B6" s="0" t="s">
        <v>222</v>
      </c>
      <c r="C6" s="31" t="n">
        <f aca="false">'Cap Table &amp; Dilution'!E20+'Cap Table &amp; Dilution'!E21-1</f>
        <v>0</v>
      </c>
      <c r="D6" s="31" t="str">
        <f aca="false">IF(ABS(C6)&lt;0.000001,"PASS","FAIL")</f>
        <v>PASS</v>
      </c>
      <c r="E6" s="13" t="s">
        <v>223</v>
      </c>
    </row>
    <row r="7" customFormat="false" ht="15" hidden="false" customHeight="false" outlineLevel="0" collapsed="false">
      <c r="B7" s="0" t="s">
        <v>168</v>
      </c>
      <c r="C7" s="26" t="n">
        <f aca="false">'Cap Table &amp; Dilution'!E21</f>
        <v>0.375</v>
      </c>
      <c r="D7" s="31" t="str">
        <f aca="false">IF(C7&lt;='Cap Table &amp; Dilution'!E13,"PASS","BREACH")</f>
        <v>BREACH</v>
      </c>
      <c r="E7" s="13" t="s">
        <v>224</v>
      </c>
    </row>
    <row r="8" customFormat="false" ht="15" hidden="false" customHeight="false" outlineLevel="0" collapsed="false">
      <c r="B8" s="0" t="s">
        <v>169</v>
      </c>
      <c r="C8" s="26" t="n">
        <f aca="false">'Cap Table &amp; Dilution'!E22</f>
        <v>0.03125</v>
      </c>
      <c r="D8" s="31" t="str">
        <f aca="false">IF(C8&lt;='Cap Table &amp; Dilution'!E14,"PASS","REVIEW")</f>
        <v>PASS</v>
      </c>
      <c r="E8" s="13" t="s">
        <v>225</v>
      </c>
    </row>
    <row r="9" customFormat="false" ht="15" hidden="false" customHeight="false" outlineLevel="0" collapsed="false">
      <c r="B9" s="0" t="s">
        <v>171</v>
      </c>
      <c r="C9" s="23" t="n">
        <f aca="false">'Cap Table &amp; Dilution'!E24</f>
        <v>215</v>
      </c>
      <c r="D9" s="31" t="str">
        <f aca="false">IF(C9&gt;=0,"PASS","BREACH")</f>
        <v>PASS</v>
      </c>
      <c r="E9" s="13" t="s">
        <v>226</v>
      </c>
    </row>
    <row r="10" customFormat="false" ht="15" hidden="false" customHeight="false" outlineLevel="0" collapsed="false">
      <c r="B10" s="0" t="s">
        <v>227</v>
      </c>
      <c r="C10" s="31" t="n">
        <f aca="false">'Rights Offering'!C13-(('Rights Offering'!C5*'Rights Offering'!C7+'Rights Offering'!C6*'Rights Offering'!C8)/('Rights Offering'!C5+'Rights Offering'!C6))</f>
        <v>0</v>
      </c>
      <c r="D10" s="31" t="str">
        <f aca="false">IF(ABS(C10)&lt;0.000001,"PASS","FAIL")</f>
        <v>PASS</v>
      </c>
      <c r="E10" s="13" t="s">
        <v>228</v>
      </c>
    </row>
    <row r="11" customFormat="false" ht="15" hidden="false" customHeight="false" outlineLevel="0" collapsed="false">
      <c r="B11" s="0" t="s">
        <v>229</v>
      </c>
      <c r="C11" s="23" t="n">
        <f aca="false">'Rights Offering'!C14</f>
        <v>0.6</v>
      </c>
      <c r="D11" s="31" t="str">
        <f aca="false">IF(C11&gt;=0,"PASS","REVIEW")</f>
        <v>PASS</v>
      </c>
      <c r="E11" s="13" t="s">
        <v>230</v>
      </c>
    </row>
    <row r="12" customFormat="false" ht="15" hidden="false" customHeight="false" outlineLevel="0" collapsed="false">
      <c r="B12" s="0" t="s">
        <v>231</v>
      </c>
      <c r="C12" s="26" t="n">
        <f aca="false">'Rights Offering'!D9</f>
        <v>0.45</v>
      </c>
      <c r="D12" s="31" t="str">
        <f aca="false">IF(C12&gt;=0.75,"PASS",IF(C12&gt;=0.5,"REVIEW","BREACH"))</f>
        <v>BREACH</v>
      </c>
      <c r="E12" s="13" t="s">
        <v>232</v>
      </c>
    </row>
    <row r="13" customFormat="false" ht="15" hidden="false" customHeight="false" outlineLevel="0" collapsed="false">
      <c r="B13" s="0" t="s">
        <v>233</v>
      </c>
      <c r="C13" s="31" t="n">
        <f aca="false">'Convertible Securities'!C14-'Cap Table &amp; Dilution'!C18</f>
        <v>10</v>
      </c>
      <c r="D13" s="31" t="str">
        <f aca="false">IF(ABS(C13)&lt;0.000001,"PASS","FAIL")</f>
        <v>FAIL</v>
      </c>
      <c r="E13" s="13" t="s">
        <v>234</v>
      </c>
    </row>
    <row r="14" customFormat="false" ht="15" hidden="false" customHeight="false" outlineLevel="0" collapsed="false">
      <c r="B14" s="0" t="s">
        <v>215</v>
      </c>
      <c r="C14" s="21" t="n">
        <f aca="false">'Convertible Securities'!D19</f>
        <v>42.8571428571429</v>
      </c>
      <c r="D14" s="31" t="str">
        <f aca="false">IF(C14&lt;=0,"PASS","REVIEW")</f>
        <v>REVIEW</v>
      </c>
      <c r="E14" s="13" t="s">
        <v>235</v>
      </c>
    </row>
    <row r="16" customFormat="false" ht="15" hidden="false" customHeight="false" outlineLevel="0" collapsed="false">
      <c r="B16" s="2" t="s">
        <v>236</v>
      </c>
      <c r="C16" s="32" t="str">
        <f aca="false">IF(COUNTIF(D5:D14,"FAIL")+COUNTIF(D5:D14,"BREACH")&gt;0,"BREACH",IF(COUNTIF(D5:D14,"REVIEW")&gt;0,"REVIEW","PASS"))</f>
        <v>BREACH</v>
      </c>
    </row>
    <row r="18" customFormat="false" ht="15" hidden="false" customHeight="false" outlineLevel="0" collapsed="false">
      <c r="B18" s="27" t="s">
        <v>237</v>
      </c>
    </row>
    <row r="19" customFormat="false" ht="15" hidden="false" customHeight="false" outlineLevel="0" collapsed="false">
      <c r="B19" s="0" t="s">
        <v>238</v>
      </c>
      <c r="C19" s="21" t="n">
        <f aca="false">'Cap Table &amp; Dilution'!E19</f>
        <v>160</v>
      </c>
    </row>
    <row r="20" customFormat="false" ht="15" hidden="false" customHeight="false" outlineLevel="0" collapsed="false">
      <c r="B20" s="0" t="s">
        <v>168</v>
      </c>
      <c r="C20" s="26" t="n">
        <f aca="false">'Cap Table &amp; Dilution'!E21</f>
        <v>0.375</v>
      </c>
    </row>
    <row r="21" customFormat="false" ht="15" hidden="false" customHeight="false" outlineLevel="0" collapsed="false">
      <c r="B21" s="0" t="s">
        <v>171</v>
      </c>
      <c r="C21" s="23" t="n">
        <f aca="false">'Cap Table &amp; Dilution'!E24</f>
        <v>215</v>
      </c>
    </row>
    <row r="22" customFormat="false" ht="15" hidden="false" customHeight="false" outlineLevel="0" collapsed="false">
      <c r="B22" s="0" t="s">
        <v>239</v>
      </c>
      <c r="C22" s="25" t="n">
        <f aca="false">'Rights Offering'!C13</f>
        <v>11.4</v>
      </c>
    </row>
    <row r="23" customFormat="false" ht="15" hidden="false" customHeight="false" outlineLevel="0" collapsed="false">
      <c r="B23" s="0" t="s">
        <v>194</v>
      </c>
      <c r="C23" s="23" t="n">
        <f aca="false">'Rights Offering'!C19</f>
        <v>202.05</v>
      </c>
    </row>
    <row r="24" customFormat="false" ht="15" hidden="false" customHeight="false" outlineLevel="0" collapsed="false">
      <c r="B24" s="0" t="s">
        <v>210</v>
      </c>
      <c r="C24" s="21" t="n">
        <f aca="false">'Convertible Securities'!C14</f>
        <v>10</v>
      </c>
    </row>
    <row r="25" customFormat="false" ht="15" hidden="false" customHeight="false" outlineLevel="0" collapsed="false">
      <c r="B25" s="0" t="s">
        <v>240</v>
      </c>
      <c r="C25" s="21" t="n">
        <f aca="false">'Convertible Securities'!D15</f>
        <v>142.857142857143</v>
      </c>
    </row>
    <row r="26" customFormat="false" ht="15" hidden="false" customHeight="false" outlineLevel="0" collapsed="false">
      <c r="B26" s="0" t="s">
        <v>241</v>
      </c>
      <c r="C26" s="23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242</v>
      </c>
    </row>
    <row r="4" customFormat="false" ht="15" hidden="false" customHeight="false" outlineLevel="0" collapsed="false">
      <c r="A4" s="14"/>
      <c r="B4" s="14" t="s">
        <v>243</v>
      </c>
      <c r="C4" s="14" t="s">
        <v>244</v>
      </c>
      <c r="D4" s="14" t="s">
        <v>245</v>
      </c>
      <c r="E4" s="14" t="s">
        <v>246</v>
      </c>
      <c r="F4" s="14" t="s">
        <v>247</v>
      </c>
      <c r="G4" s="14" t="s">
        <v>248</v>
      </c>
      <c r="H4" s="14" t="s">
        <v>249</v>
      </c>
      <c r="I4" s="14" t="s">
        <v>250</v>
      </c>
    </row>
    <row r="5" customFormat="false" ht="15" hidden="false" customHeight="false" outlineLevel="0" collapsed="false">
      <c r="B5" s="2" t="s">
        <v>251</v>
      </c>
      <c r="C5" s="33"/>
      <c r="D5" s="33"/>
      <c r="E5" s="33"/>
      <c r="F5" s="33" t="n">
        <f aca="false">E5*(1+Assumptions!C5)</f>
        <v>0</v>
      </c>
      <c r="G5" s="33" t="n">
        <f aca="false">F5*(1+Assumptions!D5)</f>
        <v>0</v>
      </c>
      <c r="H5" s="33" t="n">
        <f aca="false">G5*(1+Assumptions!E5)</f>
        <v>0</v>
      </c>
      <c r="I5" s="33" t="n">
        <f aca="false">H5*(1+Assumptions!F5)</f>
        <v>0</v>
      </c>
    </row>
    <row r="6" customFormat="false" ht="15" hidden="false" customHeight="false" outlineLevel="0" collapsed="false">
      <c r="B6" s="4" t="s">
        <v>126</v>
      </c>
      <c r="C6" s="34"/>
      <c r="D6" s="34" t="str">
        <f aca="false">IFERROR(D5/C5-1,"-")</f>
        <v>-</v>
      </c>
      <c r="E6" s="34" t="str">
        <f aca="false">IFERROR(E5/D5-1,"-")</f>
        <v>-</v>
      </c>
      <c r="F6" s="34" t="str">
        <f aca="false">IFERROR(F5/E5-1,"-")</f>
        <v>-</v>
      </c>
      <c r="G6" s="34" t="str">
        <f aca="false">IFERROR(G5/F5-1,"-")</f>
        <v>-</v>
      </c>
      <c r="H6" s="34" t="str">
        <f aca="false">IFERROR(H5/G5-1,"-")</f>
        <v>-</v>
      </c>
      <c r="I6" s="34" t="str">
        <f aca="false">IFERROR(I5/H5-1,"-")</f>
        <v>-</v>
      </c>
    </row>
    <row r="7" customFormat="false" ht="15" hidden="false" customHeight="false" outlineLevel="0" collapsed="false">
      <c r="B7" s="4" t="s">
        <v>252</v>
      </c>
      <c r="C7" s="33"/>
      <c r="D7" s="33"/>
      <c r="E7" s="33"/>
      <c r="F7" s="33" t="n">
        <f aca="false">F5*(1-Assumptions!C6)</f>
        <v>0</v>
      </c>
      <c r="G7" s="33" t="n">
        <f aca="false">G5*(1-Assumptions!D6)</f>
        <v>0</v>
      </c>
      <c r="H7" s="33" t="n">
        <f aca="false">H5*(1-Assumptions!E6)</f>
        <v>0</v>
      </c>
      <c r="I7" s="33" t="n">
        <f aca="false">I5*(1-Assumptions!F6)</f>
        <v>0</v>
      </c>
    </row>
    <row r="8" customFormat="false" ht="15" hidden="false" customHeight="false" outlineLevel="0" collapsed="false">
      <c r="B8" s="2" t="s">
        <v>253</v>
      </c>
      <c r="C8" s="33"/>
      <c r="D8" s="33" t="n">
        <f aca="false">D5-D7</f>
        <v>0</v>
      </c>
      <c r="E8" s="33" t="n">
        <f aca="false">E5-E7</f>
        <v>0</v>
      </c>
      <c r="F8" s="33" t="n">
        <f aca="false">F5-F7</f>
        <v>0</v>
      </c>
      <c r="G8" s="33" t="n">
        <f aca="false">G5-G7</f>
        <v>0</v>
      </c>
      <c r="H8" s="33" t="n">
        <f aca="false">H5-H7</f>
        <v>0</v>
      </c>
      <c r="I8" s="33" t="n">
        <f aca="false">I5-I7</f>
        <v>0</v>
      </c>
    </row>
    <row r="9" customFormat="false" ht="15" hidden="false" customHeight="false" outlineLevel="0" collapsed="false">
      <c r="B9" s="4" t="s">
        <v>128</v>
      </c>
      <c r="C9" s="34"/>
      <c r="D9" s="34" t="str">
        <f aca="false">IFERROR(D8/D5,"-")</f>
        <v>-</v>
      </c>
      <c r="E9" s="34" t="str">
        <f aca="false">IFERROR(E8/E5,"-")</f>
        <v>-</v>
      </c>
      <c r="F9" s="34" t="str">
        <f aca="false">IFERROR(F8/F5,"-")</f>
        <v>-</v>
      </c>
      <c r="G9" s="34" t="str">
        <f aca="false">IFERROR(G8/G5,"-")</f>
        <v>-</v>
      </c>
      <c r="H9" s="34" t="str">
        <f aca="false">IFERROR(H8/H5,"-")</f>
        <v>-</v>
      </c>
      <c r="I9" s="34" t="str">
        <f aca="false">IFERROR(I8/I5,"-")</f>
        <v>-</v>
      </c>
    </row>
    <row r="10" customFormat="false" ht="15" hidden="false" customHeight="false" outlineLevel="0" collapsed="false">
      <c r="B10" s="4" t="s">
        <v>254</v>
      </c>
      <c r="C10" s="33"/>
      <c r="D10" s="33"/>
      <c r="E10" s="33"/>
      <c r="F10" s="33" t="n">
        <f aca="false">F5*Assumptions!C7</f>
        <v>0</v>
      </c>
      <c r="G10" s="33" t="n">
        <f aca="false">G5*Assumptions!D7</f>
        <v>0</v>
      </c>
      <c r="H10" s="33" t="n">
        <f aca="false">H5*Assumptions!E7</f>
        <v>0</v>
      </c>
      <c r="I10" s="33" t="n">
        <f aca="false">I5*Assumptions!F7</f>
        <v>0</v>
      </c>
    </row>
    <row r="11" customFormat="false" ht="15" hidden="false" customHeight="false" outlineLevel="0" collapsed="false">
      <c r="B11" s="2" t="s">
        <v>255</v>
      </c>
      <c r="C11" s="33"/>
      <c r="D11" s="33"/>
      <c r="E11" s="33"/>
      <c r="F11" s="33" t="n">
        <f aca="false">F8-F10</f>
        <v>0</v>
      </c>
      <c r="G11" s="33" t="n">
        <f aca="false">G8-G10</f>
        <v>0</v>
      </c>
      <c r="H11" s="33" t="n">
        <f aca="false">H8-H10</f>
        <v>0</v>
      </c>
      <c r="I11" s="33" t="n">
        <f aca="false">I8-I10</f>
        <v>0</v>
      </c>
    </row>
    <row r="12" customFormat="false" ht="15" hidden="false" customHeight="false" outlineLevel="0" collapsed="false">
      <c r="B12" s="4" t="s">
        <v>256</v>
      </c>
      <c r="C12" s="34"/>
      <c r="D12" s="34"/>
      <c r="E12" s="34"/>
      <c r="F12" s="34" t="str">
        <f aca="false">IFERROR(F11/F5,"-")</f>
        <v>-</v>
      </c>
      <c r="G12" s="34" t="str">
        <f aca="false">IFERROR(G11/G5,"-")</f>
        <v>-</v>
      </c>
      <c r="H12" s="34" t="str">
        <f aca="false">IFERROR(H11/H5,"-")</f>
        <v>-</v>
      </c>
      <c r="I12" s="34" t="str">
        <f aca="false">IFERROR(I11/I5,"-")</f>
        <v>-</v>
      </c>
    </row>
    <row r="13" customFormat="false" ht="15" hidden="false" customHeight="false" outlineLevel="0" collapsed="false">
      <c r="B13" s="4" t="s">
        <v>257</v>
      </c>
      <c r="C13" s="33"/>
      <c r="D13" s="33"/>
      <c r="E13" s="33"/>
      <c r="F13" s="33" t="n">
        <f aca="false">F5*Assumptions!C10*Assumptions!C9</f>
        <v>0</v>
      </c>
      <c r="G13" s="33" t="n">
        <f aca="false">G5*Assumptions!D10*Assumptions!D9</f>
        <v>0</v>
      </c>
      <c r="H13" s="33" t="n">
        <f aca="false">H5*Assumptions!E10*Assumptions!E9</f>
        <v>0</v>
      </c>
      <c r="I13" s="33" t="n">
        <f aca="false">I5*Assumptions!F10*Assumptions!F9</f>
        <v>0</v>
      </c>
    </row>
    <row r="14" customFormat="false" ht="15" hidden="false" customHeight="false" outlineLevel="0" collapsed="false">
      <c r="B14" s="2" t="s">
        <v>258</v>
      </c>
      <c r="C14" s="33"/>
      <c r="D14" s="33"/>
      <c r="E14" s="33"/>
      <c r="F14" s="33" t="n">
        <f aca="false">F11-F13</f>
        <v>0</v>
      </c>
      <c r="G14" s="33" t="n">
        <f aca="false">G11-G13</f>
        <v>0</v>
      </c>
      <c r="H14" s="33" t="n">
        <f aca="false">H11-H13</f>
        <v>0</v>
      </c>
      <c r="I14" s="33" t="n">
        <f aca="false">I11-I13</f>
        <v>0</v>
      </c>
    </row>
    <row r="15" customFormat="false" ht="15" hidden="false" customHeight="false" outlineLevel="0" collapsed="false">
      <c r="B15" s="4" t="s">
        <v>259</v>
      </c>
      <c r="C15" s="33"/>
      <c r="D15" s="33"/>
      <c r="E15" s="33"/>
      <c r="F15" s="33" t="n">
        <f aca="false">$E$15</f>
        <v>0</v>
      </c>
      <c r="G15" s="33" t="n">
        <f aca="false">$E$15</f>
        <v>0</v>
      </c>
      <c r="H15" s="33" t="n">
        <f aca="false">$E$15</f>
        <v>0</v>
      </c>
      <c r="I15" s="33" t="n">
        <f aca="false">$E$15</f>
        <v>0</v>
      </c>
    </row>
    <row r="16" customFormat="false" ht="15" hidden="false" customHeight="false" outlineLevel="0" collapsed="false">
      <c r="B16" s="4" t="s">
        <v>260</v>
      </c>
      <c r="C16" s="33"/>
      <c r="D16" s="33"/>
      <c r="E16" s="33"/>
      <c r="F16" s="33" t="n">
        <f aca="false">F14-F15</f>
        <v>0</v>
      </c>
      <c r="G16" s="33" t="n">
        <f aca="false">G14-G15</f>
        <v>0</v>
      </c>
      <c r="H16" s="33" t="n">
        <f aca="false">H14-H15</f>
        <v>0</v>
      </c>
      <c r="I16" s="33" t="n">
        <f aca="false">I14-I15</f>
        <v>0</v>
      </c>
    </row>
    <row r="17" customFormat="false" ht="15" hidden="false" customHeight="false" outlineLevel="0" collapsed="false">
      <c r="B17" s="4" t="s">
        <v>261</v>
      </c>
      <c r="C17" s="33"/>
      <c r="D17" s="33"/>
      <c r="E17" s="33"/>
      <c r="F17" s="33" t="n">
        <f aca="false">F16*Assumptions!C8</f>
        <v>0</v>
      </c>
      <c r="G17" s="33" t="n">
        <f aca="false">G16*Assumptions!D8</f>
        <v>0</v>
      </c>
      <c r="H17" s="33" t="n">
        <f aca="false">H16*Assumptions!E8</f>
        <v>0</v>
      </c>
      <c r="I17" s="33" t="n">
        <f aca="false">I16*Assumptions!F8</f>
        <v>0</v>
      </c>
    </row>
    <row r="18" customFormat="false" ht="15" hidden="false" customHeight="false" outlineLevel="0" collapsed="false">
      <c r="B18" s="2" t="s">
        <v>262</v>
      </c>
      <c r="C18" s="33"/>
      <c r="D18" s="33"/>
      <c r="E18" s="33"/>
      <c r="F18" s="33" t="n">
        <f aca="false">F16-F17</f>
        <v>0</v>
      </c>
      <c r="G18" s="33" t="n">
        <f aca="false">G16-G17</f>
        <v>0</v>
      </c>
      <c r="H18" s="33" t="n">
        <f aca="false">H16-H17</f>
        <v>0</v>
      </c>
      <c r="I18" s="33" t="n">
        <f aca="false">I16-I17</f>
        <v>0</v>
      </c>
    </row>
    <row r="19" customFormat="false" ht="15" hidden="false" customHeight="false" outlineLevel="0" collapsed="false">
      <c r="B19" s="4" t="s">
        <v>263</v>
      </c>
      <c r="C19" s="33"/>
      <c r="D19" s="33"/>
      <c r="E19" s="33"/>
      <c r="F19" s="33" t="n">
        <f aca="false">Assumptions!C12</f>
        <v>160</v>
      </c>
      <c r="G19" s="33" t="n">
        <f aca="false">Assumptions!D12</f>
        <v>160</v>
      </c>
      <c r="H19" s="33" t="n">
        <f aca="false">Assumptions!E12</f>
        <v>160</v>
      </c>
      <c r="I19" s="33" t="n">
        <f aca="false">Assumptions!F12</f>
        <v>160</v>
      </c>
    </row>
    <row r="20" customFormat="false" ht="15" hidden="false" customHeight="false" outlineLevel="0" collapsed="false">
      <c r="B20" s="4" t="s">
        <v>264</v>
      </c>
      <c r="C20" s="33"/>
      <c r="D20" s="33"/>
      <c r="E20" s="33"/>
      <c r="F20" s="33" t="n">
        <f aca="false">IFERROR(F18/F19,"-")</f>
        <v>0</v>
      </c>
      <c r="G20" s="33" t="n">
        <f aca="false">IFERROR(G18/G19,"-")</f>
        <v>0</v>
      </c>
      <c r="H20" s="33" t="n">
        <f aca="false">IFERROR(H18/H19,"-")</f>
        <v>0</v>
      </c>
      <c r="I20" s="33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265</v>
      </c>
    </row>
    <row r="4" customFormat="false" ht="15" hidden="false" customHeight="false" outlineLevel="0" collapsed="false">
      <c r="A4" s="14"/>
      <c r="B4" s="14" t="s">
        <v>243</v>
      </c>
      <c r="C4" s="14" t="s">
        <v>245</v>
      </c>
      <c r="D4" s="14" t="s">
        <v>246</v>
      </c>
      <c r="E4" s="14" t="s">
        <v>247</v>
      </c>
      <c r="F4" s="14" t="s">
        <v>248</v>
      </c>
      <c r="G4" s="13" t="s">
        <v>249</v>
      </c>
    </row>
    <row r="5" customFormat="false" ht="15" hidden="false" customHeight="false" outlineLevel="0" collapsed="false">
      <c r="B5" s="4" t="s">
        <v>266</v>
      </c>
      <c r="C5" s="33"/>
      <c r="D5" s="33"/>
      <c r="E5" s="33"/>
      <c r="F5" s="33"/>
      <c r="G5" s="33"/>
    </row>
    <row r="6" customFormat="false" ht="15" hidden="false" customHeight="false" outlineLevel="0" collapsed="false">
      <c r="B6" s="4" t="s">
        <v>267</v>
      </c>
      <c r="C6" s="33"/>
      <c r="D6" s="33"/>
      <c r="E6" s="33"/>
      <c r="F6" s="33"/>
      <c r="G6" s="33"/>
    </row>
    <row r="7" customFormat="false" ht="15" hidden="false" customHeight="false" outlineLevel="0" collapsed="false">
      <c r="B7" s="4" t="s">
        <v>268</v>
      </c>
      <c r="C7" s="33"/>
      <c r="D7" s="33"/>
      <c r="E7" s="33"/>
      <c r="F7" s="33"/>
      <c r="G7" s="33"/>
    </row>
    <row r="8" customFormat="false" ht="15" hidden="false" customHeight="false" outlineLevel="0" collapsed="false">
      <c r="B8" s="2" t="s">
        <v>269</v>
      </c>
      <c r="C8" s="33" t="n">
        <f aca="false">C5+C6+C7</f>
        <v>0</v>
      </c>
      <c r="D8" s="33" t="n">
        <f aca="false">D5+D6+D7</f>
        <v>0</v>
      </c>
      <c r="E8" s="33" t="n">
        <f aca="false">E5+E6+E7</f>
        <v>0</v>
      </c>
      <c r="F8" s="33" t="n">
        <f aca="false">F5+F6+F7</f>
        <v>0</v>
      </c>
      <c r="G8" s="33" t="n">
        <f aca="false">G5+G6+G7</f>
        <v>0</v>
      </c>
    </row>
    <row r="9" customFormat="false" ht="15" hidden="false" customHeight="false" outlineLevel="0" collapsed="false">
      <c r="B9" s="4" t="s">
        <v>270</v>
      </c>
      <c r="C9" s="33"/>
      <c r="D9" s="33"/>
      <c r="E9" s="33"/>
      <c r="F9" s="33"/>
      <c r="G9" s="33"/>
    </row>
    <row r="10" customFormat="false" ht="15" hidden="false" customHeight="false" outlineLevel="0" collapsed="false">
      <c r="B10" s="4" t="s">
        <v>271</v>
      </c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2" t="s">
        <v>272</v>
      </c>
      <c r="C11" s="33" t="n">
        <f aca="false">C8+C9+C10</f>
        <v>0</v>
      </c>
      <c r="D11" s="33" t="n">
        <f aca="false">D8+D9+D10</f>
        <v>0</v>
      </c>
      <c r="E11" s="33" t="n">
        <f aca="false">E8+E9+E10</f>
        <v>0</v>
      </c>
      <c r="F11" s="33" t="n">
        <f aca="false">F8+F9+F10</f>
        <v>0</v>
      </c>
      <c r="G11" s="33" t="n">
        <f aca="false">G8+G9+G10</f>
        <v>0</v>
      </c>
    </row>
    <row r="12" customFormat="false" ht="15" hidden="false" customHeight="false" outlineLevel="0" collapsed="false">
      <c r="B12" s="4" t="s">
        <v>273</v>
      </c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4" t="s">
        <v>274</v>
      </c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2" t="s">
        <v>275</v>
      </c>
      <c r="C14" s="33" t="n">
        <f aca="false">C12+C13</f>
        <v>0</v>
      </c>
      <c r="D14" s="33" t="n">
        <f aca="false">D12+D13</f>
        <v>0</v>
      </c>
      <c r="E14" s="33" t="n">
        <f aca="false">E12+E13</f>
        <v>0</v>
      </c>
      <c r="F14" s="33" t="n">
        <f aca="false">F12+F13</f>
        <v>0</v>
      </c>
      <c r="G14" s="33" t="n">
        <f aca="false">G12+G13</f>
        <v>0</v>
      </c>
    </row>
    <row r="15" customFormat="false" ht="15" hidden="false" customHeight="false" outlineLevel="0" collapsed="false">
      <c r="B15" s="4" t="s">
        <v>276</v>
      </c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2" t="s">
        <v>277</v>
      </c>
      <c r="C16" s="33" t="n">
        <f aca="false">C14+C15</f>
        <v>0</v>
      </c>
      <c r="D16" s="33" t="n">
        <f aca="false">D14+D15</f>
        <v>0</v>
      </c>
      <c r="E16" s="33" t="n">
        <f aca="false">E14+E15</f>
        <v>0</v>
      </c>
      <c r="F16" s="33" t="n">
        <f aca="false">F14+F15</f>
        <v>0</v>
      </c>
      <c r="G16" s="33" t="n">
        <f aca="false">G14+G15</f>
        <v>0</v>
      </c>
    </row>
    <row r="17" customFormat="false" ht="15" hidden="false" customHeight="false" outlineLevel="0" collapsed="false">
      <c r="B17" s="2" t="s">
        <v>278</v>
      </c>
      <c r="C17" s="33"/>
      <c r="D17" s="33"/>
      <c r="E17" s="33"/>
      <c r="F17" s="33"/>
      <c r="G17" s="33"/>
    </row>
    <row r="19" customFormat="false" ht="15" hidden="false" customHeight="false" outlineLevel="0" collapsed="false">
      <c r="B19" s="28" t="s">
        <v>279</v>
      </c>
      <c r="C19" s="23" t="n">
        <f aca="false">C11-C16-C17</f>
        <v>0</v>
      </c>
      <c r="D19" s="23" t="n">
        <f aca="false">D11-D16-D17</f>
        <v>0</v>
      </c>
      <c r="E19" s="23" t="n">
        <f aca="false">E11-E16-E17</f>
        <v>0</v>
      </c>
      <c r="F19" s="23" t="n">
        <f aca="false">F11-F16-F17</f>
        <v>0</v>
      </c>
      <c r="G19" s="23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280</v>
      </c>
    </row>
    <row r="4" customFormat="false" ht="15" hidden="false" customHeight="false" outlineLevel="0" collapsed="false">
      <c r="A4" s="14"/>
      <c r="B4" s="14" t="s">
        <v>243</v>
      </c>
      <c r="C4" s="14" t="s">
        <v>245</v>
      </c>
      <c r="D4" s="14" t="s">
        <v>246</v>
      </c>
      <c r="E4" s="14" t="s">
        <v>247</v>
      </c>
      <c r="F4" s="14" t="s">
        <v>248</v>
      </c>
      <c r="G4" s="13" t="s">
        <v>249</v>
      </c>
    </row>
    <row r="5" customFormat="false" ht="15" hidden="false" customHeight="false" outlineLevel="0" collapsed="false">
      <c r="B5" s="4" t="s">
        <v>262</v>
      </c>
      <c r="C5" s="33"/>
      <c r="D5" s="33"/>
      <c r="E5" s="35" t="n">
        <f aca="false">IS!F18</f>
        <v>0</v>
      </c>
      <c r="F5" s="35" t="n">
        <f aca="false">IS!G18</f>
        <v>0</v>
      </c>
      <c r="G5" s="35" t="n">
        <f aca="false">IS!H18</f>
        <v>0</v>
      </c>
    </row>
    <row r="6" customFormat="false" ht="15" hidden="false" customHeight="false" outlineLevel="0" collapsed="false">
      <c r="B6" s="4" t="s">
        <v>281</v>
      </c>
      <c r="C6" s="33"/>
      <c r="D6" s="33"/>
      <c r="E6" s="35" t="n">
        <f aca="false">IS!F13</f>
        <v>0</v>
      </c>
      <c r="F6" s="35" t="n">
        <f aca="false">IS!G13</f>
        <v>0</v>
      </c>
      <c r="G6" s="35" t="n">
        <f aca="false">IS!H13</f>
        <v>0</v>
      </c>
    </row>
    <row r="7" customFormat="false" ht="15" hidden="false" customHeight="false" outlineLevel="0" collapsed="false">
      <c r="B7" s="4" t="s">
        <v>282</v>
      </c>
      <c r="C7" s="33"/>
      <c r="D7" s="33"/>
      <c r="E7" s="33"/>
      <c r="F7" s="33"/>
      <c r="G7" s="33"/>
    </row>
    <row r="8" customFormat="false" ht="15" hidden="false" customHeight="false" outlineLevel="0" collapsed="false">
      <c r="B8" s="2" t="s">
        <v>283</v>
      </c>
      <c r="C8" s="33" t="n">
        <f aca="false">C5+C6+C7</f>
        <v>0</v>
      </c>
      <c r="D8" s="33" t="n">
        <f aca="false">D5+D6+D7</f>
        <v>0</v>
      </c>
      <c r="E8" s="33" t="n">
        <f aca="false">E5+E6+E7</f>
        <v>0</v>
      </c>
      <c r="F8" s="33" t="n">
        <f aca="false">F5+F6+F7</f>
        <v>0</v>
      </c>
      <c r="G8" s="33" t="n">
        <f aca="false">G5+G6+G7</f>
        <v>0</v>
      </c>
    </row>
    <row r="9" customFormat="false" ht="15" hidden="false" customHeight="false" outlineLevel="0" collapsed="false">
      <c r="B9" s="4" t="s">
        <v>284</v>
      </c>
      <c r="C9" s="33"/>
      <c r="D9" s="33"/>
      <c r="E9" s="33"/>
      <c r="F9" s="33"/>
      <c r="G9" s="33"/>
    </row>
    <row r="10" customFormat="false" ht="15" hidden="false" customHeight="false" outlineLevel="0" collapsed="false">
      <c r="B10" s="2" t="s">
        <v>285</v>
      </c>
      <c r="C10" s="33" t="n">
        <f aca="false">C8+C9</f>
        <v>0</v>
      </c>
      <c r="D10" s="33" t="n">
        <f aca="false">D8+D9</f>
        <v>0</v>
      </c>
      <c r="E10" s="33" t="n">
        <f aca="false">E8+E9</f>
        <v>0</v>
      </c>
      <c r="F10" s="33" t="n">
        <f aca="false">F8+F9</f>
        <v>0</v>
      </c>
      <c r="G10" s="33" t="n">
        <f aca="false">G8+G9</f>
        <v>0</v>
      </c>
    </row>
    <row r="11" customFormat="false" ht="15" hidden="false" customHeight="false" outlineLevel="0" collapsed="false">
      <c r="B11" s="4" t="s">
        <v>286</v>
      </c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4" t="s">
        <v>287</v>
      </c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4" t="s">
        <v>288</v>
      </c>
      <c r="C13" s="33" t="n">
        <f aca="false">C10+C11+C12</f>
        <v>0</v>
      </c>
      <c r="D13" s="33" t="n">
        <f aca="false">D10+D11+D12</f>
        <v>0</v>
      </c>
      <c r="E13" s="33" t="n">
        <f aca="false">E10+E11+E12</f>
        <v>0</v>
      </c>
      <c r="F13" s="33" t="n">
        <f aca="false">F10+F11+F12</f>
        <v>0</v>
      </c>
      <c r="G13" s="33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289</v>
      </c>
    </row>
    <row r="4" customFormat="false" ht="15" hidden="false" customHeight="false" outlineLevel="0" collapsed="false">
      <c r="C4" s="14" t="s">
        <v>247</v>
      </c>
      <c r="D4" s="14" t="s">
        <v>248</v>
      </c>
      <c r="E4" s="14" t="s">
        <v>249</v>
      </c>
      <c r="F4" s="14" t="s">
        <v>250</v>
      </c>
      <c r="G4" s="14" t="s">
        <v>290</v>
      </c>
      <c r="H4" s="2" t="s">
        <v>291</v>
      </c>
    </row>
    <row r="5" customFormat="false" ht="15" hidden="false" customHeight="false" outlineLevel="0" collapsed="false">
      <c r="B5" s="0" t="s">
        <v>292</v>
      </c>
      <c r="C5" s="36" t="n">
        <f aca="false">IS!F14*(1-Assumptions!C8)+IS!F13-IS!F5*Assumptions!C10</f>
        <v>0</v>
      </c>
      <c r="D5" s="36" t="n">
        <f aca="false">IS!G14*(1-Assumptions!D8)+IS!G13-IS!G5*Assumptions!D10</f>
        <v>0</v>
      </c>
      <c r="E5" s="36" t="n">
        <f aca="false">IS!H14*(1-Assumptions!E8)+IS!H13-IS!H5*Assumptions!E10</f>
        <v>0</v>
      </c>
      <c r="F5" s="36" t="n">
        <f aca="false">IS!I14*(1-Assumptions!F8)+IS!I13-IS!I5*Assumptions!F10</f>
        <v>0</v>
      </c>
      <c r="G5" s="36" t="n">
        <f aca="false">F5*(1+Assumptions!G5)</f>
        <v>0</v>
      </c>
      <c r="H5" s="13" t="s">
        <v>293</v>
      </c>
      <c r="I5" s="37" t="n">
        <v>0.1</v>
      </c>
    </row>
    <row r="6" customFormat="false" ht="15" hidden="false" customHeight="false" outlineLevel="0" collapsed="false">
      <c r="B6" s="0" t="s">
        <v>294</v>
      </c>
      <c r="C6" s="38" t="n">
        <f aca="false">1/(1+$I$5)^(1)</f>
        <v>0.909090909090909</v>
      </c>
      <c r="D6" s="38" t="n">
        <f aca="false">1/(1+$I$5)^(2)</f>
        <v>0.826446280991735</v>
      </c>
      <c r="E6" s="38" t="n">
        <f aca="false">1/(1+$I$5)^(3)</f>
        <v>0.751314800901578</v>
      </c>
      <c r="F6" s="38" t="n">
        <f aca="false">1/(1+$I$5)^(4)</f>
        <v>0.683013455365071</v>
      </c>
      <c r="G6" s="38" t="n">
        <f aca="false">1/(1+$I$5)^(5)</f>
        <v>0.620921323059155</v>
      </c>
      <c r="H6" s="13" t="s">
        <v>295</v>
      </c>
      <c r="I6" s="37" t="n">
        <v>0.025</v>
      </c>
    </row>
    <row r="7" customFormat="false" ht="15" hidden="false" customHeight="false" outlineLevel="0" collapsed="false">
      <c r="B7" s="0" t="s">
        <v>296</v>
      </c>
      <c r="C7" s="39" t="n">
        <f aca="false">C5*C6</f>
        <v>0</v>
      </c>
      <c r="D7" s="39" t="n">
        <f aca="false">D5*D6</f>
        <v>0</v>
      </c>
      <c r="E7" s="39" t="n">
        <f aca="false">E5*E6</f>
        <v>0</v>
      </c>
      <c r="F7" s="39" t="n">
        <f aca="false">F5*F6</f>
        <v>0</v>
      </c>
      <c r="G7" s="39" t="n">
        <f aca="false">G5*G6</f>
        <v>0</v>
      </c>
      <c r="H7" s="13" t="s">
        <v>297</v>
      </c>
      <c r="I7" s="39" t="n">
        <f aca="false">G5*(1+I6)/(I5-I6)</f>
        <v>0</v>
      </c>
    </row>
    <row r="8" customFormat="false" ht="15" hidden="false" customHeight="false" outlineLevel="0" collapsed="false">
      <c r="H8" s="0" t="s">
        <v>298</v>
      </c>
      <c r="I8" s="39" t="n">
        <f aca="false">I7*G6</f>
        <v>0</v>
      </c>
    </row>
    <row r="9" customFormat="false" ht="15" hidden="false" customHeight="false" outlineLevel="0" collapsed="false">
      <c r="H9" s="0" t="s">
        <v>299</v>
      </c>
      <c r="I9" s="39" t="n">
        <f aca="false">SUM(C7:G7)</f>
        <v>0</v>
      </c>
    </row>
    <row r="10" customFormat="false" ht="15" hidden="false" customHeight="false" outlineLevel="0" collapsed="false">
      <c r="H10" s="0" t="s">
        <v>300</v>
      </c>
      <c r="I10" s="40" t="n">
        <f aca="false">I8+I9</f>
        <v>0</v>
      </c>
    </row>
    <row r="11" customFormat="false" ht="15" hidden="false" customHeight="false" outlineLevel="0" collapsed="false">
      <c r="H11" s="0" t="s">
        <v>301</v>
      </c>
      <c r="I11" s="41" t="n">
        <v>0</v>
      </c>
    </row>
    <row r="12" customFormat="false" ht="15" hidden="false" customHeight="false" outlineLevel="0" collapsed="false">
      <c r="H12" s="0" t="s">
        <v>302</v>
      </c>
      <c r="I12" s="40" t="n">
        <f aca="false">I10-I11</f>
        <v>0</v>
      </c>
    </row>
    <row r="13" customFormat="false" ht="15" hidden="false" customHeight="false" outlineLevel="0" collapsed="false">
      <c r="H13" s="0" t="s">
        <v>303</v>
      </c>
      <c r="I13" s="41" t="n">
        <v>1</v>
      </c>
    </row>
    <row r="14" customFormat="false" ht="15" hidden="false" customHeight="false" outlineLevel="0" collapsed="false">
      <c r="H14" s="0" t="s">
        <v>304</v>
      </c>
      <c r="I14" s="4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305</v>
      </c>
    </row>
    <row r="4" customFormat="false" ht="15" hidden="false" customHeight="false" outlineLevel="0" collapsed="false">
      <c r="A4" s="14"/>
      <c r="B4" s="14" t="s">
        <v>306</v>
      </c>
      <c r="C4" s="14" t="s">
        <v>307</v>
      </c>
      <c r="D4" s="14" t="s">
        <v>308</v>
      </c>
      <c r="E4" s="14" t="s">
        <v>309</v>
      </c>
      <c r="F4" s="14" t="s">
        <v>310</v>
      </c>
      <c r="G4" s="14" t="s">
        <v>311</v>
      </c>
      <c r="H4" s="14" t="s">
        <v>312</v>
      </c>
    </row>
    <row r="5" customFormat="false" ht="15" hidden="false" customHeight="false" outlineLevel="0" collapsed="false">
      <c r="B5" s="3" t="s">
        <v>313</v>
      </c>
      <c r="C5" s="42" t="n">
        <v>0</v>
      </c>
      <c r="D5" s="42" t="n">
        <v>0</v>
      </c>
      <c r="E5" s="42" t="n">
        <v>0</v>
      </c>
      <c r="F5" s="43" t="n">
        <v>0</v>
      </c>
      <c r="G5" s="43" t="n">
        <v>0</v>
      </c>
      <c r="H5" s="43" t="n">
        <v>0</v>
      </c>
    </row>
    <row r="6" customFormat="false" ht="15" hidden="false" customHeight="false" outlineLevel="0" collapsed="false">
      <c r="B6" s="3" t="s">
        <v>313</v>
      </c>
      <c r="C6" s="42" t="n">
        <v>0</v>
      </c>
      <c r="D6" s="42" t="n">
        <v>0</v>
      </c>
      <c r="E6" s="42" t="n">
        <v>0</v>
      </c>
      <c r="F6" s="43" t="n">
        <v>0</v>
      </c>
      <c r="G6" s="43" t="n">
        <v>0</v>
      </c>
      <c r="H6" s="43" t="n">
        <v>0</v>
      </c>
    </row>
    <row r="7" customFormat="false" ht="15" hidden="false" customHeight="false" outlineLevel="0" collapsed="false">
      <c r="B7" s="3" t="s">
        <v>313</v>
      </c>
      <c r="C7" s="42" t="n">
        <v>0</v>
      </c>
      <c r="D7" s="42" t="n">
        <v>0</v>
      </c>
      <c r="E7" s="42" t="n">
        <v>0</v>
      </c>
      <c r="F7" s="43" t="n">
        <v>0</v>
      </c>
      <c r="G7" s="43" t="n">
        <v>0</v>
      </c>
      <c r="H7" s="43" t="n">
        <v>0</v>
      </c>
    </row>
    <row r="8" customFormat="false" ht="15" hidden="false" customHeight="false" outlineLevel="0" collapsed="false">
      <c r="B8" s="3" t="s">
        <v>313</v>
      </c>
      <c r="C8" s="42" t="n">
        <v>0</v>
      </c>
      <c r="D8" s="42" t="n">
        <v>0</v>
      </c>
      <c r="E8" s="42" t="n">
        <v>0</v>
      </c>
      <c r="F8" s="43" t="n">
        <v>0</v>
      </c>
      <c r="G8" s="43" t="n">
        <v>0</v>
      </c>
      <c r="H8" s="43" t="n">
        <v>0</v>
      </c>
    </row>
    <row r="9" customFormat="false" ht="15" hidden="false" customHeight="false" outlineLevel="0" collapsed="false">
      <c r="B9" s="3" t="s">
        <v>313</v>
      </c>
      <c r="C9" s="42" t="n">
        <v>0</v>
      </c>
      <c r="D9" s="42" t="n">
        <v>0</v>
      </c>
      <c r="E9" s="42" t="n">
        <v>0</v>
      </c>
      <c r="F9" s="43" t="n">
        <v>0</v>
      </c>
      <c r="G9" s="43" t="n">
        <v>0</v>
      </c>
      <c r="H9" s="43" t="n">
        <v>0</v>
      </c>
    </row>
    <row r="10" customFormat="false" ht="15" hidden="false" customHeight="false" outlineLevel="0" collapsed="false">
      <c r="B10" s="3" t="s">
        <v>313</v>
      </c>
      <c r="C10" s="42" t="n">
        <v>0</v>
      </c>
      <c r="D10" s="42" t="n">
        <v>0</v>
      </c>
      <c r="E10" s="42" t="n">
        <v>0</v>
      </c>
      <c r="F10" s="43" t="n">
        <v>0</v>
      </c>
      <c r="G10" s="43" t="n">
        <v>0</v>
      </c>
      <c r="H10" s="43" t="n">
        <v>0</v>
      </c>
    </row>
    <row r="11" customFormat="false" ht="15" hidden="false" customHeight="false" outlineLevel="0" collapsed="false">
      <c r="B11" s="3" t="s">
        <v>313</v>
      </c>
      <c r="C11" s="42" t="n">
        <v>0</v>
      </c>
      <c r="D11" s="42" t="n">
        <v>0</v>
      </c>
      <c r="E11" s="42" t="n">
        <v>0</v>
      </c>
      <c r="F11" s="43" t="n">
        <v>0</v>
      </c>
      <c r="G11" s="43" t="n">
        <v>0</v>
      </c>
      <c r="H11" s="43" t="n">
        <v>0</v>
      </c>
    </row>
    <row r="13" customFormat="false" ht="15" hidden="false" customHeight="false" outlineLevel="0" collapsed="false">
      <c r="B13" s="2" t="s">
        <v>314</v>
      </c>
      <c r="C13" s="40" t="n">
        <f aca="false">MEDIAN(C5:C12)</f>
        <v>0</v>
      </c>
      <c r="D13" s="40" t="n">
        <f aca="false">MEDIAN(D5:D12)</f>
        <v>0</v>
      </c>
      <c r="E13" s="40" t="n">
        <f aca="false">MEDIAN(E5:E12)</f>
        <v>0</v>
      </c>
      <c r="F13" s="44" t="n">
        <f aca="false">MEDIAN(F5:F12)</f>
        <v>0</v>
      </c>
      <c r="G13" s="44" t="n">
        <f aca="false">MEDIAN(G5:G12)</f>
        <v>0</v>
      </c>
      <c r="H13" s="44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315</v>
      </c>
    </row>
    <row r="4" customFormat="false" ht="15" hidden="false" customHeight="false" outlineLevel="0" collapsed="false">
      <c r="B4" s="27" t="s">
        <v>316</v>
      </c>
      <c r="C4" s="45" t="n">
        <v>0.015</v>
      </c>
      <c r="D4" s="45" t="n">
        <v>0.02</v>
      </c>
      <c r="E4" s="45" t="n">
        <v>0.025</v>
      </c>
      <c r="F4" s="45" t="n">
        <v>0.03</v>
      </c>
      <c r="G4" s="45" t="n">
        <v>0.035</v>
      </c>
    </row>
    <row r="5" customFormat="false" ht="15" hidden="false" customHeight="false" outlineLevel="0" collapsed="false">
      <c r="B5" s="45" t="n">
        <v>0.08</v>
      </c>
      <c r="C5" s="28" t="s">
        <v>317</v>
      </c>
      <c r="D5" s="28" t="s">
        <v>317</v>
      </c>
      <c r="E5" s="28" t="s">
        <v>317</v>
      </c>
      <c r="F5" s="28" t="s">
        <v>317</v>
      </c>
      <c r="G5" s="28" t="s">
        <v>317</v>
      </c>
    </row>
    <row r="6" customFormat="false" ht="15" hidden="false" customHeight="false" outlineLevel="0" collapsed="false">
      <c r="B6" s="45" t="n">
        <v>0.09</v>
      </c>
      <c r="C6" s="28" t="s">
        <v>317</v>
      </c>
      <c r="D6" s="28" t="s">
        <v>317</v>
      </c>
      <c r="E6" s="28" t="s">
        <v>317</v>
      </c>
      <c r="F6" s="28" t="s">
        <v>317</v>
      </c>
      <c r="G6" s="28" t="s">
        <v>317</v>
      </c>
    </row>
    <row r="7" customFormat="false" ht="15" hidden="false" customHeight="false" outlineLevel="0" collapsed="false">
      <c r="B7" s="45" t="n">
        <v>0.1</v>
      </c>
      <c r="C7" s="28" t="s">
        <v>317</v>
      </c>
      <c r="D7" s="28" t="s">
        <v>317</v>
      </c>
      <c r="E7" s="28" t="s">
        <v>317</v>
      </c>
      <c r="F7" s="28" t="s">
        <v>317</v>
      </c>
      <c r="G7" s="28" t="s">
        <v>317</v>
      </c>
    </row>
    <row r="8" customFormat="false" ht="15" hidden="false" customHeight="false" outlineLevel="0" collapsed="false">
      <c r="B8" s="45" t="n">
        <v>0.11</v>
      </c>
      <c r="C8" s="28" t="s">
        <v>317</v>
      </c>
      <c r="D8" s="28" t="s">
        <v>317</v>
      </c>
      <c r="E8" s="28" t="s">
        <v>317</v>
      </c>
      <c r="F8" s="28" t="s">
        <v>317</v>
      </c>
      <c r="G8" s="28" t="s">
        <v>317</v>
      </c>
    </row>
    <row r="9" customFormat="false" ht="15" hidden="false" customHeight="false" outlineLevel="0" collapsed="false">
      <c r="B9" s="45" t="n">
        <v>0.12</v>
      </c>
      <c r="C9" s="28" t="s">
        <v>317</v>
      </c>
      <c r="D9" s="28" t="s">
        <v>317</v>
      </c>
      <c r="E9" s="28" t="s">
        <v>317</v>
      </c>
      <c r="F9" s="28" t="s">
        <v>317</v>
      </c>
      <c r="G9" s="28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318</v>
      </c>
    </row>
    <row r="4" customFormat="false" ht="15" hidden="false" customHeight="false" outlineLevel="0" collapsed="false">
      <c r="A4" s="14"/>
      <c r="B4" s="14" t="s">
        <v>90</v>
      </c>
      <c r="C4" s="14" t="s">
        <v>319</v>
      </c>
      <c r="D4" s="14" t="s">
        <v>320</v>
      </c>
      <c r="E4" s="14" t="s">
        <v>321</v>
      </c>
      <c r="F4" s="14" t="s">
        <v>322</v>
      </c>
    </row>
    <row r="5" customFormat="false" ht="15" hidden="false" customHeight="false" outlineLevel="0" collapsed="false">
      <c r="B5" s="31"/>
      <c r="C5" s="31"/>
      <c r="D5" s="31"/>
      <c r="E5" s="31"/>
      <c r="F5" s="31"/>
    </row>
    <row r="6" customFormat="false" ht="15" hidden="false" customHeight="false" outlineLevel="0" collapsed="false">
      <c r="B6" s="31"/>
      <c r="C6" s="31"/>
      <c r="D6" s="31"/>
      <c r="E6" s="31"/>
      <c r="F6" s="31"/>
    </row>
    <row r="7" customFormat="false" ht="15" hidden="false" customHeight="false" outlineLevel="0" collapsed="false">
      <c r="B7" s="31"/>
      <c r="C7" s="31"/>
      <c r="D7" s="31"/>
      <c r="E7" s="31"/>
      <c r="F7" s="31"/>
    </row>
    <row r="8" customFormat="false" ht="15" hidden="false" customHeight="false" outlineLevel="0" collapsed="false">
      <c r="B8" s="31"/>
      <c r="C8" s="31"/>
      <c r="D8" s="31"/>
      <c r="E8" s="31"/>
      <c r="F8" s="31"/>
    </row>
    <row r="9" customFormat="false" ht="15" hidden="false" customHeight="false" outlineLevel="0" collapsed="false">
      <c r="B9" s="31"/>
      <c r="C9" s="31"/>
      <c r="D9" s="31"/>
      <c r="E9" s="31"/>
      <c r="F9" s="31"/>
    </row>
    <row r="10" customFormat="false" ht="15" hidden="false" customHeight="false" outlineLevel="0" collapsed="false">
      <c r="B10" s="31"/>
      <c r="C10" s="31"/>
      <c r="D10" s="31"/>
      <c r="E10" s="31"/>
      <c r="F10" s="31"/>
    </row>
    <row r="11" customFormat="false" ht="15" hidden="false" customHeight="false" outlineLevel="0" collapsed="false">
      <c r="B11" s="31"/>
      <c r="C11" s="31"/>
      <c r="D11" s="31"/>
      <c r="E11" s="31"/>
      <c r="F11" s="31"/>
    </row>
    <row r="12" customFormat="false" ht="15" hidden="false" customHeight="false" outlineLevel="0" collapsed="false">
      <c r="B12" s="31"/>
      <c r="C12" s="31"/>
      <c r="D12" s="31"/>
      <c r="E12" s="31"/>
      <c r="F12" s="31"/>
    </row>
    <row r="13" customFormat="false" ht="15" hidden="false" customHeight="false" outlineLevel="0" collapsed="false">
      <c r="B13" s="31"/>
      <c r="C13" s="31"/>
      <c r="D13" s="31"/>
      <c r="E13" s="31"/>
      <c r="F13" s="31"/>
    </row>
    <row r="14" customFormat="false" ht="15" hidden="false" customHeight="fals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